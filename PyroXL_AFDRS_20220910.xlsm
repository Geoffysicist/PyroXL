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AFDRS" sheetId="1" r:id="rId1"/>
    <sheet name="List tables" sheetId="3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" l="1"/>
  <c r="L15" i="1"/>
  <c r="N15" i="1"/>
  <c r="O15" i="1" s="1"/>
  <c r="P15" i="1"/>
  <c r="M15" i="1"/>
  <c r="H15" i="1"/>
  <c r="J15" i="1"/>
  <c r="I15" i="1"/>
  <c r="K15" i="1"/>
  <c r="G15" i="1"/>
</calcChain>
</file>

<file path=xl/sharedStrings.xml><?xml version="1.0" encoding="utf-8"?>
<sst xmlns="http://schemas.openxmlformats.org/spreadsheetml/2006/main" count="51" uniqueCount="41">
  <si>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</si>
  <si>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</si>
  <si>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</si>
  <si>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</si>
  <si>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</si>
  <si>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</si>
  <si>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</si>
  <si>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</si>
  <si>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</si>
  <si>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</si>
  <si>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</si>
  <si>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</si>
  <si>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</si>
  <si>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</si>
  <si>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</si>
  <si>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</si>
  <si>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</si>
  <si>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</si>
  <si>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</si>
  <si>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</si>
  <si>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</si>
  <si>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</si>
  <si>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</si>
  <si>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</si>
  <si>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</si>
  <si>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</si>
  <si>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</si>
  <si>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</si>
  <si>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</si>
  <si>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</si>
  <si>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</si>
  <si>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</si>
  <si>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</si>
  <si>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</si>
  <si>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</si>
  <si>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</si>
  <si>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</si>
  <si>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Users can unlock the sheet (no password) but be careful you may break things</t>
  </si>
  <si>
    <t>feedback and bug reports to fab@rfs.nsw.gov.au</t>
  </si>
  <si>
    <t>repository https://github.com/Geoffysicist/PyroXL</t>
  </si>
  <si>
    <t>If copying and pasting right click and choose 'paste values'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</si>
</sst>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</cellXfs>
  <cellStyles count="1">
    <cellStyle name="Normal" xfId="0" builtinId="0"/>
  </cellStyles>
  <dxfs count="8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15"/>
  <sheetViews>
    <sheetView tabSelected="1" zoomScale="130" zoomScaleNormal="130" workbookViewId="0">
      <pane xSplit="6" ySplit="14" topLeftCell="G15" activePane="bottomRight" state="frozen"/>
      <selection pane="topRight" activeCell="H1" sqref="H1"/>
      <selection pane="bottomLeft" activeCell="A12" sqref="A12"/>
      <selection pane="bottomRight" activeCell="A9" sqref="A9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"/>
    <col min="10" max="10" width="8.88671875" style="6"/>
    <col min="11" max="11" width="8.88671875" style="5"/>
    <col min="12" max="12" width="8.88671875" style="6"/>
    <col min="13" max="15" width="8.88671875" style="8"/>
    <col min="16" max="17" width="8.88671875" style="9"/>
    <col min="18" max="16384" width="8.88671875" style="10"/>
  </cols>
  <sheetData>
    <row r="1" spans="1:17" ht="18" x14ac:dyDescent="0.35">
      <c r="A1" s="1" t="s">
        <v>34</v>
      </c>
      <c r="B1" s="2"/>
      <c r="C1" s="3"/>
      <c r="D1" s="3"/>
      <c r="E1" s="3"/>
      <c r="F1" s="3"/>
      <c r="G1" s="4" t="s">
        <v>6</v>
      </c>
      <c r="M1" s="7" t="s">
        <v>22</v>
      </c>
    </row>
    <row r="2" spans="1:17" x14ac:dyDescent="0.3">
      <c r="A2" s="11" t="s">
        <v>35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O2" s="14" t="s">
        <v>31</v>
      </c>
    </row>
    <row r="3" spans="1:17" x14ac:dyDescent="0.3">
      <c r="A3" s="11" t="s">
        <v>36</v>
      </c>
      <c r="B3" s="2"/>
      <c r="C3" s="3"/>
      <c r="D3" s="3"/>
      <c r="E3" s="3"/>
      <c r="F3" s="3"/>
      <c r="G3" s="15"/>
      <c r="H3" s="16" t="s">
        <v>30</v>
      </c>
      <c r="I3" s="17" t="s">
        <v>31</v>
      </c>
      <c r="M3" s="18" t="s">
        <v>33</v>
      </c>
      <c r="N3" s="34" t="s">
        <v>24</v>
      </c>
      <c r="O3" s="8">
        <v>6</v>
      </c>
    </row>
    <row r="4" spans="1:17" x14ac:dyDescent="0.3">
      <c r="A4" s="11" t="s">
        <v>40</v>
      </c>
      <c r="B4" s="2"/>
      <c r="C4" s="3"/>
      <c r="D4" s="3"/>
      <c r="E4" s="3"/>
      <c r="F4" s="3"/>
      <c r="G4" s="19" t="s">
        <v>15</v>
      </c>
      <c r="H4" s="33">
        <v>3</v>
      </c>
      <c r="I4" s="33">
        <v>10</v>
      </c>
      <c r="M4" s="18" t="s">
        <v>27</v>
      </c>
      <c r="N4" s="34">
        <v>80</v>
      </c>
    </row>
    <row r="5" spans="1:17" x14ac:dyDescent="0.3">
      <c r="A5" s="11" t="s">
        <v>37</v>
      </c>
      <c r="B5" s="2"/>
      <c r="C5" s="3"/>
      <c r="D5" s="3"/>
      <c r="E5" s="3"/>
      <c r="F5" s="3"/>
      <c r="G5" s="19" t="s">
        <v>16</v>
      </c>
      <c r="H5" s="33">
        <v>3</v>
      </c>
      <c r="I5" s="33">
        <v>2</v>
      </c>
    </row>
    <row r="6" spans="1:17" x14ac:dyDescent="0.3">
      <c r="A6" s="11" t="s">
        <v>38</v>
      </c>
      <c r="B6" s="2"/>
      <c r="C6" s="3"/>
      <c r="D6" s="3"/>
      <c r="E6" s="3"/>
      <c r="F6" s="3"/>
      <c r="G6" s="19" t="s">
        <v>17</v>
      </c>
      <c r="H6" s="33">
        <v>2</v>
      </c>
      <c r="I6" s="33">
        <v>2</v>
      </c>
    </row>
    <row r="7" spans="1:17" x14ac:dyDescent="0.3">
      <c r="A7" s="36" t="s">
        <v>39</v>
      </c>
      <c r="B7" s="2"/>
      <c r="C7" s="3"/>
      <c r="D7" s="3"/>
      <c r="E7" s="3"/>
      <c r="F7" s="3"/>
      <c r="G7" s="19" t="s">
        <v>18</v>
      </c>
      <c r="H7" s="33">
        <v>1</v>
      </c>
      <c r="I7" s="33">
        <v>2</v>
      </c>
    </row>
    <row r="8" spans="1:17" x14ac:dyDescent="0.3">
      <c r="A8" s="11"/>
      <c r="B8" s="2"/>
      <c r="C8" s="3"/>
      <c r="D8" s="3"/>
      <c r="E8" s="3"/>
      <c r="F8" s="3"/>
      <c r="G8" s="19" t="s">
        <v>32</v>
      </c>
      <c r="H8" s="20"/>
      <c r="I8" s="33">
        <v>4.5</v>
      </c>
    </row>
    <row r="9" spans="1:17" x14ac:dyDescent="0.3">
      <c r="A9" s="11"/>
      <c r="B9" s="2"/>
      <c r="C9" s="3"/>
      <c r="D9" s="3"/>
      <c r="E9" s="3"/>
      <c r="F9" s="3"/>
      <c r="G9" s="19"/>
      <c r="H9" s="17" t="s">
        <v>19</v>
      </c>
      <c r="I9" s="20"/>
    </row>
    <row r="10" spans="1:17" x14ac:dyDescent="0.3">
      <c r="A10" s="11"/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</row>
    <row r="11" spans="1:1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</row>
    <row r="12" spans="1:17" x14ac:dyDescent="0.3">
      <c r="A12" s="11"/>
      <c r="B12" s="2"/>
      <c r="C12" s="3"/>
      <c r="D12" s="3"/>
      <c r="E12" s="3"/>
      <c r="F12" s="3"/>
      <c r="G12" s="19" t="s">
        <v>32</v>
      </c>
      <c r="H12" s="32">
        <v>20</v>
      </c>
      <c r="I12" s="13" t="s">
        <v>21</v>
      </c>
    </row>
    <row r="13" spans="1:17" ht="18" x14ac:dyDescent="0.35">
      <c r="A13" s="1" t="s">
        <v>5</v>
      </c>
      <c r="B13" s="2"/>
      <c r="C13" s="3"/>
      <c r="D13" s="3"/>
      <c r="E13" s="3"/>
      <c r="F13" s="3"/>
    </row>
    <row r="14" spans="1:17" s="28" customFormat="1" ht="49.95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</row>
    <row r="15" spans="1:17" x14ac:dyDescent="0.3">
      <c r="A15" s="29">
        <v>44813</v>
      </c>
      <c r="B15" s="30">
        <v>0.40486111111111112</v>
      </c>
      <c r="C15" s="31">
        <v>20</v>
      </c>
      <c r="D15" s="31">
        <v>60</v>
      </c>
      <c r="E15" s="31">
        <v>20</v>
      </c>
      <c r="F15" s="31">
        <v>8</v>
      </c>
      <c r="G15" s="5">
        <f t="shared" ref="G15" si="0">fbi(I15,$G$1)</f>
        <v>13</v>
      </c>
      <c r="H15" s="5">
        <f>ROS_Forest_AFDRS(E15,fhs_s,fhs_ns,fh_ns,L15,F15,WAF)</f>
        <v>185</v>
      </c>
      <c r="I15" s="5">
        <f>Intensity_forest_AFDRS(H15,F15,J15,ffl_s,ffl_ns,ffl_e,ffl_b,ffl_o,ffh_o)</f>
        <v>1071</v>
      </c>
      <c r="J15" s="6">
        <f>Flame_Height_AFDRS(H15,ffh_e)</f>
        <v>3.2359602451324463</v>
      </c>
      <c r="K15" s="5">
        <f>Forest_spotting(H15,E15,fhs_s)</f>
        <v>309</v>
      </c>
      <c r="L15" s="6">
        <f>FMC_Forest(C15,D15,A15,B15)</f>
        <v>12.840000152587891</v>
      </c>
      <c r="M15" s="8">
        <f>fbi(O15,$M$1)</f>
        <v>18</v>
      </c>
      <c r="N15" s="8">
        <f>ROS_Grass_AFDRS(E15,L15,curing,state_grass)</f>
        <v>2007</v>
      </c>
      <c r="O15" s="8">
        <f>Intensity_AFDRS(N15,fl_grass)</f>
        <v>6222</v>
      </c>
      <c r="P15" s="9">
        <f>Flame_H_Grass(N15)</f>
        <v>2.2388441562652588</v>
      </c>
      <c r="Q15" s="9">
        <f>FMC_Grass(C15,D15)</f>
        <v>13.760000228881836</v>
      </c>
    </row>
  </sheetData>
  <sheetProtection sheet="1" objects="1" scenarios="1"/>
  <conditionalFormatting sqref="M15:M1048576">
    <cfRule type="expression" dxfId="7" priority="1">
      <formula>$M15&gt;=100</formula>
    </cfRule>
    <cfRule type="expression" dxfId="6" priority="2">
      <formula>$M15&gt;=50</formula>
    </cfRule>
    <cfRule type="expression" dxfId="5" priority="3">
      <formula>$M15&gt;=24</formula>
    </cfRule>
    <cfRule type="expression" dxfId="4" priority="4">
      <formula>$M15&gt;=12</formula>
    </cfRule>
  </conditionalFormatting>
  <conditionalFormatting sqref="G15:G1048576">
    <cfRule type="expression" dxfId="3" priority="5">
      <formula>$G15&gt;=100</formula>
    </cfRule>
    <cfRule type="expression" dxfId="2" priority="6">
      <formula>$G15&gt;50</formula>
    </cfRule>
    <cfRule type="expression" dxfId="1" priority="7">
      <formula>$G15&gt;=24</formula>
    </cfRule>
    <cfRule type="expression" dxfId="0" priority="8">
      <formula>$G15&gt;=12</formula>
    </cfRule>
  </conditionalFormatting>
  <dataValidations disablePrompts="1"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8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N3 P2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</sheetViews>
  <sheetFormatPr defaultRowHeight="14.4" x14ac:dyDescent="0.3"/>
  <cols>
    <col min="1" max="1" width="12.109375" customWidth="1"/>
  </cols>
  <sheetData>
    <row r="1" spans="1:1" x14ac:dyDescent="0.3">
      <c r="A1" t="s">
        <v>23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26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List 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2022-09-10T07:52:37Z</dcterms:modified>
</cp:coreProperties>
</file>