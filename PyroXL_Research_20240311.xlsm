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filterPrivacy="1" codeName="ThisWorkbook"/>
  <xr:revisionPtr revIDLastSave="0" documentId="13_ncr:1_{394A3D14-4995-4055-BBED-E0E62229DC10}" xr6:coauthVersionLast="47" xr6:coauthVersionMax="47" xr10:uidLastSave="{00000000-0000-0000-0000-000000000000}"/>
  <bookViews>
    <workbookView xWindow="-108" yWindow="-108" windowWidth="30936" windowHeight="16896" activeTab="2" xr2:uid="{00000000-000D-0000-FFFF-FFFF00000000}"/>
  </bookViews>
  <sheets>
    <sheet name="AFDRS" sheetId="1" r:id="rId1"/>
    <sheet name="models_tables" sheetId="3" state="hidden" r:id="rId2"/>
    <sheet name="Changelog" sheetId="24" r:id="rId3"/>
  </sheets>
  <functionGroups builtInGroupCount="19"/>
  <definedNames>
    <definedName name="AWAP_uf">AFDRS!$AZ$2</definedName>
    <definedName name="cov_o_mallee">AFDRS!$AS$7</definedName>
    <definedName name="curing_grass">AFDRS!$Q$4</definedName>
    <definedName name="curing_woodland">AFDRS!$AA$5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b_trees">AFDRS!$G$3</definedName>
    <definedName name="fb_width">AFDRS!$G$2</definedName>
    <definedName name="fhs_b">AFDRS!$J$7</definedName>
    <definedName name="fhs_e">AFDRS!$J$6</definedName>
    <definedName name="fhs_ns">AFDRS!$J$5</definedName>
    <definedName name="fhs_s">AFDRS!$J$4</definedName>
    <definedName name="fk_heath">AFDRS!$AH$10</definedName>
    <definedName name="fk_mallee">AFDRS!$AS$11</definedName>
    <definedName name="fl_b_forest">AFDRS!$K$7</definedName>
    <definedName name="fl_e_forest">AFDRS!$K$6</definedName>
    <definedName name="fl_heath">AFDRS!$AH$9</definedName>
    <definedName name="fl_ns_forest">AFDRS!$K$5</definedName>
    <definedName name="fl_o_forest">AFDRS!$K$8</definedName>
    <definedName name="fl_o_mallee">AFDRS!$AS$6</definedName>
    <definedName name="fl_o_ss_mallee">AFDRS!$AS$10</definedName>
    <definedName name="fl_s_forest">AFDRS!$K$4</definedName>
    <definedName name="fl_s_grass">AFDRS!$R$3</definedName>
    <definedName name="fl_s_mallee">AFDRS!$AS$5</definedName>
    <definedName name="fl_s_ss_mallee">AFDRS!$AS$9</definedName>
    <definedName name="fl_ss_heath" comment="maximum steady state fuel load (t/ha)">AFDRS!$AH$8</definedName>
    <definedName name="fl_total_max_heath">models_tables!$C$19</definedName>
    <definedName name="fl_woodland">AFDRS!$AA$4</definedName>
    <definedName name="Forest">AFDRS!$I$1</definedName>
    <definedName name="fuel_cov_spinifex">AFDRS!#REF!</definedName>
    <definedName name="Fuel_load__buttongrass">AFDRS!$BC$3</definedName>
    <definedName name="Grass">AFDRS!$P$1</definedName>
    <definedName name="h_e_forest">AFDRS!$J$11</definedName>
    <definedName name="h_el_heath">AFDRS!$AH$7</definedName>
    <definedName name="h_ns_forest">AFDRS!$J$10</definedName>
    <definedName name="h_o_forest">AFDRS!$J$12</definedName>
    <definedName name="h_o_mallee">AFDRS!$AS$8</definedName>
    <definedName name="Heath">AFDRS!$AD$1</definedName>
    <definedName name="kbdi">AFDRS!$G$13</definedName>
    <definedName name="Mallee">AFDRS!$AO$1</definedName>
    <definedName name="outputs_r1">AFDRS!$H$15:$BY$15</definedName>
    <definedName name="overstorey_heath">AFDRS!$AH$6</definedName>
    <definedName name="Pine">AFDRS!$AJ$1</definedName>
    <definedName name="productivity_buttongrass">AFDRS!$BC$2</definedName>
    <definedName name="productivity_spinifex">AFDRS!$AZ$5</definedName>
    <definedName name="rain">AFDRS!$G$10</definedName>
    <definedName name="rh_row1">AFDRS!$D$15</definedName>
    <definedName name="Spinifex">AFDRS!$AV$1</definedName>
    <definedName name="state_grass">AFDRS!$Q$3</definedName>
    <definedName name="submodel_forest">AFDRS!$M$10</definedName>
    <definedName name="subtype_spinifex">AFDRS!$AZ$7</definedName>
    <definedName name="subtype_woodland">AFDRS!$AA$3</definedName>
    <definedName name="temp_row1">AFDRS!$C$15</definedName>
    <definedName name="time_row1">AFDRS!$B$15</definedName>
    <definedName name="tsf" comment="time since fire">AFDRS!$G$12</definedName>
    <definedName name="tsr">AFDRS!$G$11</definedName>
    <definedName name="waf_forest">AFDRS!$J$2</definedName>
    <definedName name="waf_spinifex">AFDRS!$AZ$6</definedName>
    <definedName name="waf_woodland">AFDRS!$AA$6</definedName>
    <definedName name="wind_dir_row1">AFDRS!$E$15</definedName>
    <definedName name="wind_mag_row1">AFDRS!$F$15</definedName>
    <definedName name="Woodland">AFDRS!$X$1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AS6" i="1"/>
  <c r="AS5" i="1"/>
  <c r="AH9" i="1"/>
  <c r="AB4" i="1"/>
  <c r="R3" i="1"/>
  <c r="AZ15" i="1"/>
  <c r="J6" i="1"/>
  <c r="N15" i="1"/>
  <c r="J5" i="1"/>
  <c r="BG15" i="1"/>
  <c r="BX15" i="1"/>
  <c r="V15" i="1"/>
  <c r="BE15" i="1"/>
  <c r="BF15" i="1" s="1"/>
  <c r="U15" i="1"/>
  <c r="BK15" i="1"/>
  <c r="T15" i="1"/>
  <c r="AS15" i="1"/>
  <c r="AO15" i="1"/>
  <c r="H15" i="1"/>
  <c r="AW15" i="1"/>
  <c r="BR15" i="1"/>
  <c r="BT15" i="1" s="1"/>
  <c r="BB15" i="1"/>
  <c r="AN15" i="1"/>
  <c r="AK15" i="1" s="1" a="1"/>
  <c r="AB15" i="1"/>
  <c r="Y15" i="1" s="1"/>
  <c r="Q15" i="1"/>
  <c r="J7" i="1"/>
  <c r="J4" i="1"/>
  <c r="J15" i="1" s="1"/>
  <c r="BC3" i="1"/>
  <c r="BC15" i="1" s="1"/>
  <c r="AH15" i="1"/>
  <c r="BH15" i="1"/>
  <c r="BI15" i="1" s="1"/>
  <c r="BL15" i="1" s="1" a="1"/>
  <c r="AX15" i="1"/>
  <c r="AV15" i="1"/>
  <c r="AY15" i="1"/>
  <c r="BS15" i="1"/>
  <c r="BW15" i="1"/>
  <c r="BU15" i="1"/>
  <c r="BV15" i="1"/>
  <c r="BN15" i="1" s="1"/>
  <c r="Z15" i="1"/>
  <c r="AA15" i="1"/>
  <c r="R15" i="1"/>
  <c r="S15" i="1"/>
  <c r="L15" i="1"/>
  <c r="K15" i="1"/>
  <c r="M15" i="1"/>
  <c r="BA15" i="1"/>
  <c r="BD15" i="1"/>
  <c r="BQ15" i="1"/>
  <c r="BP15" i="1"/>
  <c r="BO15" i="1" s="1"/>
  <c r="X15" i="1"/>
  <c r="AC15" i="1" a="1"/>
  <c r="W15" i="1" a="1"/>
  <c r="P15" i="1"/>
  <c r="O15" i="1" a="1"/>
  <c r="I15" i="1"/>
  <c r="BM15" i="1"/>
  <c r="BY15" i="1" a="1"/>
  <c r="AT15" i="1"/>
  <c r="AU15" i="1"/>
  <c r="AP15" i="1"/>
  <c r="AQ15" i="1"/>
  <c r="AR15" i="1"/>
  <c r="AI15" i="1"/>
  <c r="AE15" i="1" s="1"/>
  <c r="AF15" i="1" s="1"/>
  <c r="AG15" i="1"/>
  <c r="AD15" i="1"/>
  <c r="BY15" i="1" l="1"/>
  <c r="O15" i="1"/>
  <c r="W15" i="1"/>
  <c r="AC15" i="1"/>
  <c r="AL15" i="1"/>
  <c r="AK15" i="1"/>
  <c r="AM15" i="1"/>
  <c r="BL15" i="1"/>
  <c r="AJ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AS5" authorId="0" shapeId="0" xr:uid="{0DA86A9C-3931-4F6B-AA17-66B1135D4080}">
      <text>
        <r>
          <rPr>
            <sz val="9"/>
            <color indexed="81"/>
            <rFont val="Tahoma"/>
            <family val="2"/>
          </rPr>
          <t>to calculate from TSF enter the formula =@fuel_amount(fl_s_ss_mallee,tsf,fk_mallee)</t>
        </r>
      </text>
    </comment>
    <comment ref="AS6" authorId="0" shapeId="0" xr:uid="{A797BD83-65BF-4F81-934C-368079C6A0A8}">
      <text>
        <r>
          <rPr>
            <sz val="9"/>
            <color indexed="81"/>
            <rFont val="Tahoma"/>
            <family val="2"/>
          </rPr>
          <t>to calculate from TSF enter the formula =@fuel_amount(fl_o_ss_mallee,tsf,fk_mallee)</t>
        </r>
      </text>
    </comment>
    <comment ref="AH9" authorId="0" shapeId="0" xr:uid="{CD632EC4-1559-4ABF-9B6C-F53B3F50352D}">
      <text>
        <r>
          <rPr>
            <sz val="9"/>
            <color indexed="81"/>
            <rFont val="Tahoma"/>
            <family val="2"/>
          </rPr>
          <t>to calculate from TSF use formula =@fuel_amount(fl_ss_heath,tsf,fk_heath)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<sst xmlns="http://schemas.openxmlformats.org/spreadsheetml/2006/main" count="372" uniqueCount="271">
  <si>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</si>
  <si>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</si>
  <si>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</si>
  <si>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</si>
  <si>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</si>
  <si>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</si>
  <si>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</si>
  <si>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</si>
  <si>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</si>
  <si>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</si>
  <si>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</si>
  <si>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</si>
  <si>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</si>
  <si>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</si>
  <si>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</si>
  <si>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</si>
  <si>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</si>
  <si>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</si>
  <si>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</si>
  <si>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</si>
  <si>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</si>
  <si>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</si>
  <si>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</si>
  <si>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</si>
  <si>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</si>
  <si>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</si>
  <si>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</si>
  <si>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</si>
  <si>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</si>
  <si>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</si>
  <si>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</si>
  <si>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</si>
  <si>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</si>
  <si>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</si>
  <si>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</si>
  <si>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</si>
  <si>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</si>
  <si>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</si>
  <si>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</si>
  <si>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</si>
  <si>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</si>
  <si>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</si>
  <si>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</si>
  <si>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</si>
  <si>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</si>
  <si>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</si>
  <si>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</si>
  <si>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</si>
  <si>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</si>
  <si>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</si>
  <si>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</si>
  <si>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</si>
  <si>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</si>
  <si>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</si>
  <si>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</si>
  <si>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</si>
  <si>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</si>
  <si>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</si>
  <si>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</si>
  <si>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</si>
  <si>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</si>
  <si>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</si>
  <si>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</si>
  <si>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</si>
  <si>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</si>
  <si>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</si>
  <si>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</si>
  <si>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</si>
  <si>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</si>
  <si>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</si>
  <si>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</si>
  <si>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</si>
  <si>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</si>
  <si>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</si>
  <si>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</si>
  <si>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</si>
  <si>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</si>
  <si>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</si>
  <si>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</si>
  <si>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</si>
  <si>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</si>
  <si>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</si>
  <si>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</si>
  <si>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</si>
  <si>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</si>
  <si>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</si>
  <si>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</si>
  <si>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</si>
  <si>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</si>
  <si>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</si>
  <si>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</si>
  <si>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</si>
  <si>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</si>
  <si>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</si>
  <si>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</si>
  <si>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</si>
  <si>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</si>
  <si>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</si>
  <si>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</si>
  <si>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</si>
  <si>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</si>
  <si>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</si>
  <si>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</si>
  <si>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</si>
  <si>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</si>
  <si>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</si>
  <si>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</si>
  <si>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</si>
  <si>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</si>
  <si>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</si>
  <si>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</si>
  <si>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</si>
  <si>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</si>
  <si>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</si>
  <si>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</si>
  <si>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</si>
  <si>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</si>
  <si>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</si>
  <si>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</si>
  <si>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</si>
  <si>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</si>
  <si>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</si>
  <si>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</si>
  <si>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</si>
  <si>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</si>
  <si>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</si>
  <si>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</si>
  <si>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</si>
  <si>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</si>
  <si>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</si>
  <si>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</si>
  <si>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</si>
  <si>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</si>
  <si>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</si>
  <si>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</si>
  <si>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</si>
  <si>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</si>
  <si>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</si>
  <si>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</si>
  <si>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</si>
  <si>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</si>
  <si>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</si>
  <si>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</si>
  <si>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</si>
  <si>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</si>
  <si>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</si>
  <si>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</si>
  <si>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</si>
  <si>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</si>
  <si>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</si>
  <si>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</si>
  <si>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</si>
  <si>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</si>
  <si>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</si>
  <si>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</si>
  <si>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</si>
  <si>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</si>
  <si>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</si>
  <si>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</si>
  <si>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</si>
  <si>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</si>
  <si>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</si>
  <si>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</si>
  <si>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</si>
  <si>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</si>
  <si>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</si>
  <si>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</si>
  <si>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</si>
  <si>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</si>
  <si>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</si>
  <si>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</si>
  <si>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</si>
  <si>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</si>
  <si>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</si>
  <si>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</si>
  <si>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</si>
  <si>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</si>
  <si>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</si>
  <si>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</si>
  <si>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</si>
  <si>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</si>
  <si>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</si>
  <si>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</si>
  <si>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</si>
  <si>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</si>
  <si>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</si>
  <si>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</si>
  <si>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</si>
  <si>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</si>
  <si>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</si>
  <si>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</si>
  <si>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</si>
  <si>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</si>
  <si>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</si>
  <si>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</si>
  <si>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</si>
  <si>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</si>
  <si>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</si>
  <si>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</si>
  <si>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</si>
  <si>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</si>
  <si>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</si>
  <si>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</si>
  <si>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</si>
  <si>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</si>
  <si>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</si>
  <si>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</si>
  <si>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</si>
  <si>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</si>
  <si>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</si>
  <si>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</si>
  <si>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</si>
  <si>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</si>
  <si>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</si>
  <si>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</si>
  <si>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</si>
  <si>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</si>
  <si>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</si>
  <si>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</si>
  <si>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</si>
  <si>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</si>
  <si>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</si>
  <si>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</si>
  <si>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</si>
  <si>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</si>
  <si>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</si>
  <si>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Forest fuel types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</si>
  <si>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</si>
  <si>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</si>
  <si>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</si>
  <si>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</si>
  <si>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</si>
  <si>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</si>
  <si>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</si>
  <si>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</si>
  <si>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</si>
  <si>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</si>
  <si>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</si>
  <si>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</si>
  <si>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</si>
  <si>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</si>
  <si>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</si>
  <si>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</si>
  <si>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</si>
  <si>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</si>
  <si>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</si>
  <si>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</si>
  <si>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</si>
  <si>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</si>
  <si>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</si>
  <si>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</si>
  <si>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</si>
  <si>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</si>
  <si>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</si>
  <si>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</si>
  <si>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</si>
  <si>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</si>
  <si>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</si>
  <si>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</si>
  <si>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</si>
  <si>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</si>
  <si>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</si>
  <si>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steady state surface fuel load</t>
  </si>
  <si>
    <t>steady state canopy fuel load</t>
  </si>
  <si>
    <t>Spread Prob</t>
  </si>
  <si>
    <t>Crown Prob</t>
  </si>
  <si>
    <t>Added notes to several fields; exposed spread probabilities for mallee and spinifex, exposed some growth curve parameters</t>
  </si>
  <si>
    <t>Parameters required from forest Model (Vesta)</t>
  </si>
  <si>
    <t>surface, near surface, elevated and canopy fuel loads</t>
  </si>
  <si>
    <t>elevated and canopy heights</t>
  </si>
  <si>
    <t>Spread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</si>
</sst>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6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0" fillId="14" borderId="7" xfId="0" applyNumberFormat="1" applyFill="1" applyBorder="1" applyProtection="1"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40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11" sqref="A11"/>
    </sheetView>
  </sheetViews>
  <sheetFormatPr defaultColWidth="8.88671875" defaultRowHeight="14.4" x14ac:dyDescent="0.3"/>
  <cols>
    <col min="1" max="1" width="13.6640625" style="19" customWidth="1"/>
    <col min="2" max="2" width="10.6640625" style="20" customWidth="1"/>
    <col min="3" max="7" width="10.6640625" style="21" customWidth="1"/>
    <col min="8" max="8" width="10.6640625" style="78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5" width="8.88671875" style="5"/>
    <col min="16" max="16" width="8.88671875" style="7"/>
    <col min="17" max="18" width="8.88671875" style="34"/>
    <col min="19" max="20" width="8.88671875" style="8"/>
    <col min="21" max="21" width="8.88671875" style="34"/>
    <col min="22" max="23" width="8.88671875" style="8"/>
    <col min="24" max="26" width="8.88671875" style="90"/>
    <col min="27" max="29" width="8.88671875" style="92"/>
    <col min="30" max="30" width="8.88671875" style="28"/>
    <col min="31" max="32" width="8.88671875" style="35"/>
    <col min="33" max="35" width="8.88671875" style="32"/>
    <col min="36" max="36" width="8.88671875" style="104"/>
    <col min="37" max="38" width="8.88671875" style="113"/>
    <col min="39" max="40" width="8.88671875" style="107"/>
    <col min="41" max="41" width="8.88671875" style="73"/>
    <col min="42" max="43" width="8.88671875" style="87"/>
    <col min="44" max="44" width="8.88671875" style="82"/>
    <col min="45" max="47" width="8.88671875" style="73"/>
    <col min="48" max="48" width="8.88671875" style="115"/>
    <col min="49" max="50" width="8.88671875" style="126"/>
    <col min="51" max="51" width="8.88671875" style="123"/>
    <col min="52" max="52" width="8.88671875" style="115"/>
    <col min="53" max="53" width="12.6640625" style="4" customWidth="1"/>
    <col min="54" max="55" width="8.88671875" style="33"/>
    <col min="56" max="58" width="8.88671875" style="5"/>
    <col min="59" max="61" width="8.88671875" style="126"/>
    <col min="62" max="62" width="8.88671875" style="123"/>
    <col min="63" max="64" width="8.88671875" style="115"/>
    <col min="65" max="65" width="8.88671875" style="73"/>
    <col min="66" max="67" width="8.88671875" style="87"/>
    <col min="68" max="69" width="8.88671875" style="82"/>
    <col min="70" max="75" width="8.88671875" style="73"/>
    <col min="76" max="77" width="10.5546875" style="73" customWidth="1"/>
    <col min="78" max="16384" width="8.88671875" style="9"/>
  </cols>
  <sheetData>
    <row r="1" spans="1:77" ht="18" x14ac:dyDescent="0.35">
      <c r="A1" s="88" t="s">
        <v>113</v>
      </c>
      <c r="B1" s="144"/>
      <c r="C1" s="145"/>
      <c r="D1" s="2"/>
      <c r="E1" s="2"/>
      <c r="F1" s="142" t="s">
        <v>255</v>
      </c>
      <c r="G1" s="2"/>
      <c r="I1" s="3" t="s">
        <v>2</v>
      </c>
      <c r="J1" s="4"/>
      <c r="P1" s="6" t="s">
        <v>16</v>
      </c>
      <c r="Q1" s="7"/>
      <c r="R1" s="7"/>
      <c r="X1" s="91" t="s">
        <v>116</v>
      </c>
      <c r="AD1" s="30" t="s">
        <v>47</v>
      </c>
      <c r="AE1" s="28"/>
      <c r="AF1" s="28"/>
      <c r="AG1" s="28"/>
      <c r="AH1" s="28"/>
      <c r="AI1" s="28"/>
      <c r="AJ1" s="103" t="s">
        <v>91</v>
      </c>
      <c r="AK1" s="104"/>
      <c r="AL1" s="104"/>
      <c r="AM1" s="104"/>
      <c r="AN1" s="104"/>
      <c r="AO1" s="72" t="s">
        <v>101</v>
      </c>
      <c r="AP1" s="73"/>
      <c r="AQ1" s="73"/>
      <c r="AR1" s="73"/>
      <c r="AV1" s="120" t="s">
        <v>126</v>
      </c>
      <c r="BA1" s="3" t="s">
        <v>224</v>
      </c>
      <c r="BB1" s="4"/>
      <c r="BG1" s="136" t="s">
        <v>233</v>
      </c>
      <c r="BM1" s="72" t="s">
        <v>232</v>
      </c>
      <c r="BN1" s="73"/>
      <c r="BO1" s="134"/>
      <c r="BP1" s="134"/>
    </row>
    <row r="2" spans="1:77" x14ac:dyDescent="0.3">
      <c r="A2" s="88" t="s">
        <v>114</v>
      </c>
      <c r="B2" s="44">
        <v>45362</v>
      </c>
      <c r="C2" s="2"/>
      <c r="D2" s="2"/>
      <c r="E2" s="2"/>
      <c r="F2" s="2" t="s">
        <v>253</v>
      </c>
      <c r="G2" s="46">
        <v>2</v>
      </c>
      <c r="I2" s="11" t="s">
        <v>53</v>
      </c>
      <c r="J2" s="22">
        <v>3</v>
      </c>
      <c r="K2" s="12" t="s">
        <v>125</v>
      </c>
      <c r="P2" s="13"/>
      <c r="Q2" s="7"/>
      <c r="R2" s="13" t="s">
        <v>22</v>
      </c>
      <c r="AE2" s="28"/>
      <c r="AF2" s="28"/>
      <c r="AH2" s="31" t="s">
        <v>244</v>
      </c>
      <c r="AI2" s="31"/>
      <c r="AJ2" s="105" t="s">
        <v>100</v>
      </c>
      <c r="AK2" s="104"/>
      <c r="AL2" s="106"/>
      <c r="AN2" s="104"/>
      <c r="AP2" s="73"/>
      <c r="AQ2" s="73"/>
      <c r="AS2" s="83" t="s">
        <v>244</v>
      </c>
      <c r="AT2" s="83"/>
      <c r="AU2" s="83"/>
      <c r="AY2" s="130" t="s">
        <v>127</v>
      </c>
      <c r="AZ2" s="121">
        <v>0</v>
      </c>
      <c r="BB2" s="11" t="s">
        <v>228</v>
      </c>
      <c r="BC2" s="22">
        <v>1</v>
      </c>
      <c r="BJ2" s="130" t="s">
        <v>240</v>
      </c>
      <c r="BK2" s="121">
        <f>SUM(fl_s_forest,fl_ns_forest,fl_e_forest)</f>
        <v>21</v>
      </c>
      <c r="BL2" s="130"/>
      <c r="BM2" s="73" t="s">
        <v>267</v>
      </c>
      <c r="BN2" s="73"/>
      <c r="BO2" s="83"/>
      <c r="BP2" s="134"/>
    </row>
    <row r="3" spans="1:77" x14ac:dyDescent="0.3">
      <c r="A3" s="88" t="s">
        <v>115</v>
      </c>
      <c r="B3" s="45">
        <v>0.92645833333333327</v>
      </c>
      <c r="C3" s="2"/>
      <c r="D3" s="2"/>
      <c r="E3" s="2"/>
      <c r="F3" s="2" t="s">
        <v>254</v>
      </c>
      <c r="G3" s="46" t="b">
        <v>1</v>
      </c>
      <c r="I3" s="14"/>
      <c r="J3" s="15" t="s">
        <v>65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93" t="s">
        <v>117</v>
      </c>
      <c r="AA3" s="143" t="s">
        <v>119</v>
      </c>
      <c r="AB3" s="152" t="s">
        <v>259</v>
      </c>
      <c r="AE3" s="28"/>
      <c r="AF3" s="28"/>
      <c r="AH3" s="31" t="s">
        <v>261</v>
      </c>
      <c r="AI3" s="31"/>
      <c r="AK3" s="104"/>
      <c r="AL3" s="106"/>
      <c r="AM3" s="106"/>
      <c r="AN3" s="104"/>
      <c r="AP3" s="73"/>
      <c r="AQ3" s="73"/>
      <c r="AS3" s="83" t="s">
        <v>245</v>
      </c>
      <c r="AT3" s="83"/>
      <c r="AU3" s="83"/>
      <c r="AY3" s="130"/>
      <c r="AZ3" s="130"/>
      <c r="BB3" s="11" t="s">
        <v>229</v>
      </c>
      <c r="BC3" s="133">
        <f>fuel_load_buttongrass(tsf,productivity_buttongrass)</f>
        <v>10.322029113769531</v>
      </c>
      <c r="BJ3" s="130"/>
      <c r="BK3" s="130"/>
      <c r="BL3" s="130"/>
      <c r="BN3" s="73" t="s">
        <v>268</v>
      </c>
      <c r="BO3" s="83"/>
      <c r="BP3" s="83"/>
    </row>
    <row r="4" spans="1:77" x14ac:dyDescent="0.3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3.5</v>
      </c>
      <c r="K4" s="23">
        <v>14</v>
      </c>
      <c r="P4" s="16" t="s">
        <v>21</v>
      </c>
      <c r="Q4" s="24">
        <v>80</v>
      </c>
      <c r="R4" s="7"/>
      <c r="S4" s="151"/>
      <c r="Z4" s="93" t="s">
        <v>260</v>
      </c>
      <c r="AA4" s="114">
        <v>4.5</v>
      </c>
      <c r="AB4" s="92" t="str">
        <f>load_to_state_grass(fl_woodland)</f>
        <v>grazed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30"/>
      <c r="AZ4" s="130"/>
      <c r="BA4" s="14"/>
      <c r="BB4" s="14"/>
      <c r="BC4" s="14"/>
      <c r="BD4" s="14"/>
      <c r="BE4" s="14"/>
      <c r="BF4" s="14"/>
      <c r="BJ4" s="130"/>
      <c r="BK4" s="130"/>
      <c r="BL4" s="130"/>
      <c r="BN4" s="73" t="s">
        <v>269</v>
      </c>
      <c r="BO4" s="134"/>
      <c r="BP4" s="134"/>
    </row>
    <row r="5" spans="1:77" ht="15.6" x14ac:dyDescent="0.3">
      <c r="A5" s="89" t="s">
        <v>25</v>
      </c>
      <c r="B5" s="1"/>
      <c r="C5" s="2"/>
      <c r="D5" s="2"/>
      <c r="E5" s="2"/>
      <c r="F5" s="2"/>
      <c r="G5" s="2"/>
      <c r="I5" s="17" t="s">
        <v>10</v>
      </c>
      <c r="J5" s="18">
        <f>fl_to_fhs(I5,K5)</f>
        <v>3</v>
      </c>
      <c r="K5" s="23">
        <v>3.5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109</v>
      </c>
      <c r="AS5" s="155">
        <f>fuel_amount(fl_s_ss_mallee,tsf,fk_mallee)</f>
        <v>3.7905807417286677</v>
      </c>
      <c r="AT5" s="83"/>
      <c r="AU5" s="83"/>
      <c r="AY5" s="130"/>
      <c r="AZ5" s="130"/>
      <c r="BA5" s="14"/>
      <c r="BB5" s="14"/>
      <c r="BC5" s="14"/>
      <c r="BD5" s="14"/>
      <c r="BE5" s="14"/>
      <c r="BF5" s="14"/>
      <c r="BJ5" s="130"/>
      <c r="BK5" s="130"/>
      <c r="BL5" s="130"/>
      <c r="BN5" s="73" t="s">
        <v>53</v>
      </c>
      <c r="BO5" s="134"/>
      <c r="BP5" s="134"/>
    </row>
    <row r="6" spans="1:77" x14ac:dyDescent="0.3">
      <c r="A6" s="10" t="s">
        <v>231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3.5</v>
      </c>
      <c r="K6" s="23">
        <v>3.5</v>
      </c>
      <c r="Q6" s="7"/>
      <c r="R6" s="7"/>
      <c r="Z6" s="93" t="s">
        <v>124</v>
      </c>
      <c r="AA6" s="101">
        <v>0.5</v>
      </c>
      <c r="AE6" s="28"/>
      <c r="AF6" s="28"/>
      <c r="AG6" s="31" t="s">
        <v>50</v>
      </c>
      <c r="AH6" s="29" t="b">
        <v>0</v>
      </c>
      <c r="AI6" s="31"/>
      <c r="AK6" s="104"/>
      <c r="AL6" s="106"/>
      <c r="AM6" s="106"/>
      <c r="AN6" s="104"/>
      <c r="AP6" s="73"/>
      <c r="AQ6" s="73"/>
      <c r="AR6" s="83" t="s">
        <v>110</v>
      </c>
      <c r="AS6" s="155">
        <f>fuel_amount(fl_o_ss_mallee,tsf,fk_mallee)</f>
        <v>0.7980169982586669</v>
      </c>
      <c r="AT6" s="83"/>
      <c r="AU6" s="83"/>
      <c r="AY6" s="130" t="s">
        <v>124</v>
      </c>
      <c r="AZ6" s="122">
        <v>0.5</v>
      </c>
      <c r="BA6" s="14"/>
      <c r="BB6" s="14"/>
      <c r="BC6" s="14"/>
      <c r="BD6" s="14"/>
      <c r="BE6" s="14"/>
      <c r="BF6" s="14"/>
      <c r="BJ6" s="130"/>
      <c r="BK6" s="130"/>
      <c r="BL6" s="130"/>
      <c r="BN6" s="73" t="s">
        <v>96</v>
      </c>
      <c r="BO6" s="73"/>
      <c r="BP6" s="83"/>
      <c r="BQ6" s="83"/>
    </row>
    <row r="7" spans="1:77" x14ac:dyDescent="0.3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Q7" s="7"/>
      <c r="R7" s="7"/>
      <c r="AE7" s="28"/>
      <c r="AF7" s="28"/>
      <c r="AG7" s="31" t="s">
        <v>54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111</v>
      </c>
      <c r="AS7" s="84">
        <v>18</v>
      </c>
      <c r="AT7" s="83"/>
      <c r="AU7" s="83"/>
      <c r="AY7" s="130" t="s">
        <v>117</v>
      </c>
      <c r="AZ7" s="121" t="s">
        <v>129</v>
      </c>
      <c r="BA7" s="14"/>
      <c r="BB7" s="14"/>
      <c r="BC7" s="14"/>
      <c r="BD7" s="14"/>
      <c r="BE7" s="14"/>
      <c r="BF7" s="14"/>
      <c r="BJ7" s="130"/>
      <c r="BK7" s="130"/>
      <c r="BL7" s="130"/>
      <c r="BN7" s="73"/>
      <c r="BO7" s="73"/>
      <c r="BP7" s="135"/>
      <c r="BQ7" s="135"/>
    </row>
    <row r="8" spans="1:77" x14ac:dyDescent="0.3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 t="s">
        <v>79</v>
      </c>
      <c r="AH8" s="29">
        <v>12</v>
      </c>
      <c r="AI8" s="31"/>
      <c r="AK8" s="104"/>
      <c r="AL8" s="104"/>
      <c r="AM8" s="104"/>
      <c r="AN8" s="104"/>
      <c r="AP8" s="73"/>
      <c r="AQ8" s="73"/>
      <c r="AR8" s="83" t="s">
        <v>112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30"/>
      <c r="BK8" s="130"/>
      <c r="BL8" s="130"/>
      <c r="BN8" s="73"/>
      <c r="BO8" s="73"/>
      <c r="BP8" s="135"/>
      <c r="BQ8" s="135"/>
    </row>
    <row r="9" spans="1:77" x14ac:dyDescent="0.3">
      <c r="A9" s="10" t="s">
        <v>64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2" t="s">
        <v>225</v>
      </c>
      <c r="Q9" s="7"/>
      <c r="R9" s="7"/>
      <c r="AE9" s="28"/>
      <c r="AF9" s="28"/>
      <c r="AG9" s="31" t="s">
        <v>28</v>
      </c>
      <c r="AH9" s="154">
        <f>fuel_amount(fl_ss_heath,tsf,fk_heath)</f>
        <v>11.780212333335189</v>
      </c>
      <c r="AI9" s="31"/>
      <c r="AK9" s="104"/>
      <c r="AL9" s="104"/>
      <c r="AM9" s="104"/>
      <c r="AN9" s="104"/>
      <c r="AP9" s="73"/>
      <c r="AQ9" s="73"/>
      <c r="AR9" s="83" t="s">
        <v>262</v>
      </c>
      <c r="AS9" s="73">
        <v>3.8</v>
      </c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3">
      <c r="A10" s="25"/>
      <c r="B10" s="1"/>
      <c r="C10" s="2"/>
      <c r="D10" s="2"/>
      <c r="E10" s="2"/>
      <c r="F10" s="131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96</v>
      </c>
      <c r="M10" s="66" t="s">
        <v>98</v>
      </c>
      <c r="Q10" s="7"/>
      <c r="R10" s="7"/>
      <c r="AE10" s="28"/>
      <c r="AF10" s="28"/>
      <c r="AG10" s="31" t="s">
        <v>63</v>
      </c>
      <c r="AH10" s="28">
        <v>0.2</v>
      </c>
      <c r="AI10" s="28"/>
      <c r="AK10" s="104"/>
      <c r="AL10" s="104"/>
      <c r="AM10" s="104"/>
      <c r="AN10" s="104"/>
      <c r="AP10" s="73"/>
      <c r="AQ10" s="73"/>
      <c r="AR10" s="83" t="s">
        <v>263</v>
      </c>
      <c r="AS10" s="73">
        <v>0.8</v>
      </c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3">
      <c r="A11" s="27" t="s">
        <v>43</v>
      </c>
      <c r="B11" s="1"/>
      <c r="C11" s="2"/>
      <c r="D11" s="2"/>
      <c r="E11" s="2"/>
      <c r="F11" s="131" t="s">
        <v>48</v>
      </c>
      <c r="G11" s="46">
        <v>48</v>
      </c>
      <c r="I11" s="17" t="s">
        <v>11</v>
      </c>
      <c r="J11" s="22">
        <v>1.5</v>
      </c>
      <c r="K11" s="12" t="s">
        <v>15</v>
      </c>
      <c r="L11" s="146" t="s">
        <v>257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 t="s">
        <v>63</v>
      </c>
      <c r="AS11" s="73">
        <v>0.3</v>
      </c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3">
      <c r="A12" s="25"/>
      <c r="B12" s="1"/>
      <c r="C12" s="2"/>
      <c r="D12" s="2"/>
      <c r="E12" s="2"/>
      <c r="F12" s="131" t="s">
        <v>250</v>
      </c>
      <c r="G12" s="65">
        <v>20</v>
      </c>
      <c r="I12" s="17" t="s">
        <v>23</v>
      </c>
      <c r="J12" s="22">
        <v>20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" x14ac:dyDescent="0.35">
      <c r="A13" s="36" t="s">
        <v>1</v>
      </c>
      <c r="B13" s="37"/>
      <c r="C13" s="38"/>
      <c r="D13" s="38"/>
      <c r="E13" s="38"/>
      <c r="F13" s="64" t="s">
        <v>92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7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6"/>
      <c r="AW13" s="127"/>
      <c r="AX13" s="127"/>
      <c r="AY13" s="124"/>
      <c r="AZ13" s="116"/>
      <c r="BA13" s="14"/>
      <c r="BB13" s="14"/>
      <c r="BC13" s="14"/>
      <c r="BD13" s="14"/>
      <c r="BE13" s="14"/>
      <c r="BF13" s="14"/>
      <c r="BG13" s="127"/>
      <c r="BH13" s="127"/>
      <c r="BI13" s="127"/>
      <c r="BJ13" s="124"/>
      <c r="BK13" s="116"/>
      <c r="BL13" s="116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3">
      <c r="A14" s="56" t="s">
        <v>102</v>
      </c>
      <c r="B14" s="57" t="s">
        <v>103</v>
      </c>
      <c r="C14" s="58" t="s">
        <v>104</v>
      </c>
      <c r="D14" s="58" t="s">
        <v>105</v>
      </c>
      <c r="E14" s="58" t="s">
        <v>106</v>
      </c>
      <c r="F14" s="58" t="s">
        <v>107</v>
      </c>
      <c r="G14" s="58" t="s">
        <v>0</v>
      </c>
      <c r="H14" s="81" t="s">
        <v>108</v>
      </c>
      <c r="I14" s="59" t="s">
        <v>93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7" t="s">
        <v>256</v>
      </c>
      <c r="P14" s="61" t="s">
        <v>93</v>
      </c>
      <c r="Q14" s="61" t="s">
        <v>4</v>
      </c>
      <c r="R14" s="61" t="s">
        <v>5</v>
      </c>
      <c r="S14" s="62" t="s">
        <v>6</v>
      </c>
      <c r="T14" s="62" t="s">
        <v>8</v>
      </c>
      <c r="U14" s="138" t="s">
        <v>242</v>
      </c>
      <c r="V14" s="62" t="s">
        <v>243</v>
      </c>
      <c r="W14" s="148" t="s">
        <v>256</v>
      </c>
      <c r="X14" s="96" t="s">
        <v>93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256</v>
      </c>
      <c r="AD14" s="63" t="s">
        <v>93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270</v>
      </c>
      <c r="AJ14" s="109" t="s">
        <v>93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93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264</v>
      </c>
      <c r="AU14" s="76" t="s">
        <v>265</v>
      </c>
      <c r="AV14" s="117" t="s">
        <v>93</v>
      </c>
      <c r="AW14" s="128" t="s">
        <v>4</v>
      </c>
      <c r="AX14" s="128" t="s">
        <v>5</v>
      </c>
      <c r="AY14" s="118" t="s">
        <v>6</v>
      </c>
      <c r="AZ14" s="118" t="s">
        <v>8</v>
      </c>
      <c r="BA14" s="59" t="s">
        <v>93</v>
      </c>
      <c r="BB14" s="59" t="s">
        <v>4</v>
      </c>
      <c r="BC14" s="59" t="s">
        <v>5</v>
      </c>
      <c r="BD14" s="60" t="s">
        <v>6</v>
      </c>
      <c r="BE14" s="60" t="s">
        <v>227</v>
      </c>
      <c r="BF14" s="60" t="s">
        <v>8</v>
      </c>
      <c r="BG14" s="128" t="s">
        <v>241</v>
      </c>
      <c r="BH14" s="128" t="s">
        <v>4</v>
      </c>
      <c r="BI14" s="128" t="s">
        <v>5</v>
      </c>
      <c r="BJ14" s="118" t="s">
        <v>6</v>
      </c>
      <c r="BK14" s="118" t="s">
        <v>8</v>
      </c>
      <c r="BL14" s="149" t="s">
        <v>256</v>
      </c>
      <c r="BM14" s="75" t="s">
        <v>93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234</v>
      </c>
      <c r="BT14" s="76" t="s">
        <v>235</v>
      </c>
      <c r="BU14" s="76" t="s">
        <v>236</v>
      </c>
      <c r="BV14" s="76" t="s">
        <v>238</v>
      </c>
      <c r="BW14" s="76" t="s">
        <v>237</v>
      </c>
      <c r="BX14" s="76" t="s">
        <v>239</v>
      </c>
      <c r="BY14" s="150" t="s">
        <v>256</v>
      </c>
    </row>
    <row r="15" spans="1:77" s="68" customFormat="1" x14ac:dyDescent="0.3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230</v>
      </c>
      <c r="F15" s="46">
        <v>20</v>
      </c>
      <c r="G15" s="46">
        <v>8</v>
      </c>
      <c r="H15" s="80">
        <f>backbearing(E15)</f>
        <v>180</v>
      </c>
      <c r="I15" s="47">
        <f>fbi(K15,Forest)</f>
        <v>22</v>
      </c>
      <c r="J15" s="48">
        <f>ROS_forest(F15,fhs_s,fhs_ns,h_ns_forest,N15,G15,waf_forest,kbdi,submodel_forest)</f>
        <v>443.74971870008682</v>
      </c>
      <c r="K15" s="48">
        <f>Intensity_forest(J15,G15,L15,fl_s_forest,fl_ns_forest,fl_e_forest,fl_o_forest,h_o_forest,waf_forest,kbdi,submodel_forest)</f>
        <v>3576.622874844918</v>
      </c>
      <c r="L15" s="49">
        <f>Flame_height_forest(J15,h_e_forest)</f>
        <v>4.4232821464538574</v>
      </c>
      <c r="M15" s="47">
        <f>Spotting_forest(J15,$F15,fhs_s)</f>
        <v>446</v>
      </c>
      <c r="N15" s="49">
        <f>FMC_Forest(C15,D15,A15,B15,submodel_forest)</f>
        <v>7.8125</v>
      </c>
      <c r="O15" s="49" cm="1">
        <f t="array" ref="O15">breach_probability(K15,fb_width,fb_trees)</f>
        <v>86.847984313964844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ROS_woodland(F15,AB15,curing_woodland,subtype_woodland,fl_woodland,waf_woodland)</f>
        <v>1316.746826171875</v>
      </c>
      <c r="Z15" s="99">
        <f>Intensity_woodland(Y15,fl_woodland)</f>
        <v>3061.436289749242</v>
      </c>
      <c r="AA15" s="100">
        <f>Flame_height_woodland(Y15,fl_woodland)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35</v>
      </c>
      <c r="AE15" s="54">
        <f>ROS_heath(F15,h_el_heath,AH15,AI15,overstorey_heath)</f>
        <v>1778.055101891714</v>
      </c>
      <c r="AF15" s="54">
        <f>intensity_heath(AE15,fl_heath)</f>
        <v>10822.031097671403</v>
      </c>
      <c r="AG15" s="55">
        <f>Flame_height_heath(AF15)</f>
        <v>5.6868230121607617</v>
      </c>
      <c r="AH15" s="55">
        <f>FMC_heath(C15,D15,rain,tsr)</f>
        <v>8.3899999999999988</v>
      </c>
      <c r="AI15" s="55">
        <f>+SI_heath(F15,h_el_heath,AH15,overstorey_heath)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971.50356951016272</v>
      </c>
      <c r="AR15" s="85">
        <f>flame_height_mallee(AQ15)</f>
        <v>1.2365297270076696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9">
        <f>fbi(AW15,Spinifex)</f>
        <v>21</v>
      </c>
      <c r="AW15" s="129">
        <f>ROS_spinifex(F15,tsf,AZ15,waf_spinifex,subtype_spinifex)</f>
        <v>1079.9922455839728</v>
      </c>
      <c r="AX15" s="129">
        <f>intensity_spinifex(AW15,tsf,subtype_spinifex)</f>
        <v>557.99600186650753</v>
      </c>
      <c r="AY15" s="125">
        <f>flame_height_spinifex(AW15,tsf,subtype_spinifex)</f>
        <v>1.976744532585144</v>
      </c>
      <c r="AZ15" s="125">
        <f>FMC_spinifex(AWAP_uf,tsf,D15,C15,subtype_spinifex)</f>
        <v>15.323552999333447</v>
      </c>
      <c r="BA15" s="47">
        <f>fbi(BC15,Forest)</f>
        <v>34</v>
      </c>
      <c r="BB15" s="48">
        <f>ROS_buttongrass($F15, $BF15, tsf, productivity_buttongrass)</f>
        <v>1201.114501953125</v>
      </c>
      <c r="BC15" s="48">
        <f>Intensity(BB15,Fuel_load__buttongrass)</f>
        <v>6405.6020392812688</v>
      </c>
      <c r="BD15" s="49">
        <f>Flame_height_buttongrass(BC15)</f>
        <v>5.0618047714233398</v>
      </c>
      <c r="BE15" s="49">
        <f>dewpoint($C15,$D15)</f>
        <v>6.2268691062927246</v>
      </c>
      <c r="BF15" s="49">
        <f>FMC_buttongrass($C15,$D15,$BE15,tsr,rain)</f>
        <v>8.3325986862182617</v>
      </c>
      <c r="BG15" s="129">
        <f>FFDI(C15,D15,G15,F15)</f>
        <v>13.112368583679199</v>
      </c>
      <c r="BH15" s="129">
        <f>ROS_Mk5(BG15,$BK$2)</f>
        <v>330.43170166015625</v>
      </c>
      <c r="BI15" s="129">
        <f>Intensity(BH15,$BK$2*G15/10)</f>
        <v>2868.1470808623549</v>
      </c>
      <c r="BJ15" s="125"/>
      <c r="BK15" s="125">
        <f>FMC_Mk5(C15,D15)</f>
        <v>7.3936080932617188</v>
      </c>
      <c r="BL15" s="125" cm="1">
        <f t="array" ref="BL15">breach_probability(BI15,fb_width,fb_trees)</f>
        <v>83.651634216308594</v>
      </c>
      <c r="BM15" s="47">
        <f>fbi(BO15,Forest)</f>
        <v>41</v>
      </c>
      <c r="BN15" s="86">
        <f>ros_Vesta2(BS15,BT15,BU15,BV15,BW15)</f>
        <v>1003.21875</v>
      </c>
      <c r="BO15" s="86">
        <f>Intensity_forest(BN15,G15,BP15,fl_s_forest,fl_ns_forest,fl_e_forest,fl_o_forest,h_o_forest,waf_forest,kbdi,submodel_forest)</f>
        <v>8085.9434463065118</v>
      </c>
      <c r="BP15" s="85">
        <f>Flame_height_forest(BN15,h_e_forest)</f>
        <v>7.9776105880737305</v>
      </c>
      <c r="BQ15" s="85">
        <f>Spotting_forest(BN15,$F15,fhs_s)</f>
        <v>2010</v>
      </c>
      <c r="BR15" s="85">
        <f>FMC_Vesta2(C15,D15,A15,B15,submodel_forest)</f>
        <v>7.8125</v>
      </c>
      <c r="BS15" s="87">
        <f>ros1_Vesta2(F15,waf_forest,fl_s_forest+fl_ns_forest,BR15,BX15)</f>
        <v>284.07785034179688</v>
      </c>
      <c r="BT15" s="87">
        <f>ros2_Vesta2(F15,waf_forest,fl_s_forest+fl_ns_forest,h_e_forest,BR15,BX15)</f>
        <v>1003.1612548828125</v>
      </c>
      <c r="BU15" s="87">
        <f>ros3_Vesta2(F15,BR15,BX15)</f>
        <v>1250.569580078125</v>
      </c>
      <c r="BV15" s="141">
        <f>prob_phase2(F15,waf_forest,fl_s_forest+fl_ns_forest,BR15,BX15)</f>
        <v>0.99999511241912842</v>
      </c>
      <c r="BW15" s="141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97.099746704101563</v>
      </c>
    </row>
    <row r="16" spans="1:77" x14ac:dyDescent="0.3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9"/>
      <c r="AW16" s="129"/>
      <c r="AX16" s="129"/>
      <c r="AY16" s="125"/>
      <c r="AZ16" s="119"/>
      <c r="BA16" s="47"/>
      <c r="BB16" s="48"/>
      <c r="BC16" s="48"/>
      <c r="BD16" s="49"/>
      <c r="BE16" s="49"/>
      <c r="BF16" s="49"/>
      <c r="BG16" s="129"/>
      <c r="BH16" s="129"/>
      <c r="BI16" s="129"/>
      <c r="BJ16" s="125"/>
      <c r="BK16" s="119"/>
      <c r="BL16" s="119"/>
      <c r="BM16" s="77"/>
      <c r="BN16" s="86"/>
      <c r="BO16" s="86"/>
      <c r="BP16" s="85"/>
      <c r="BQ16" s="85"/>
      <c r="BR16" s="77"/>
    </row>
    <row r="17" spans="1:70" x14ac:dyDescent="0.3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9"/>
      <c r="AW17" s="129"/>
      <c r="AX17" s="129"/>
      <c r="AY17" s="125"/>
      <c r="AZ17" s="119"/>
      <c r="BA17" s="47"/>
      <c r="BB17" s="48"/>
      <c r="BC17" s="48"/>
      <c r="BD17" s="49"/>
      <c r="BE17" s="49"/>
      <c r="BF17" s="49"/>
      <c r="BG17" s="129"/>
      <c r="BH17" s="129"/>
      <c r="BI17" s="129"/>
      <c r="BJ17" s="125"/>
      <c r="BK17" s="119"/>
      <c r="BL17" s="119"/>
      <c r="BM17" s="77"/>
      <c r="BN17" s="86"/>
      <c r="BO17" s="86"/>
      <c r="BP17" s="85"/>
      <c r="BQ17" s="85"/>
      <c r="BR17" s="77"/>
    </row>
    <row r="18" spans="1:70" x14ac:dyDescent="0.3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9"/>
      <c r="AW18" s="129"/>
      <c r="AX18" s="129"/>
      <c r="AY18" s="125"/>
      <c r="AZ18" s="119"/>
      <c r="BA18" s="47"/>
      <c r="BB18" s="48"/>
      <c r="BC18" s="48"/>
      <c r="BD18" s="49"/>
      <c r="BE18" s="49"/>
      <c r="BF18" s="49"/>
      <c r="BG18" s="129"/>
      <c r="BH18" s="129"/>
      <c r="BI18" s="129"/>
      <c r="BJ18" s="125"/>
      <c r="BK18" s="119"/>
      <c r="BL18" s="119"/>
      <c r="BM18" s="77"/>
      <c r="BN18" s="86"/>
      <c r="BO18" s="86"/>
      <c r="BP18" s="85"/>
      <c r="BQ18" s="85"/>
      <c r="BR18" s="77"/>
    </row>
    <row r="19" spans="1:70" x14ac:dyDescent="0.3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9"/>
      <c r="AW19" s="129"/>
      <c r="AX19" s="129"/>
      <c r="AY19" s="125"/>
      <c r="AZ19" s="119"/>
      <c r="BA19" s="47"/>
      <c r="BB19" s="48"/>
      <c r="BC19" s="48"/>
      <c r="BD19" s="49"/>
      <c r="BE19" s="49"/>
      <c r="BF19" s="49"/>
      <c r="BG19" s="129"/>
      <c r="BH19" s="129"/>
      <c r="BI19" s="129"/>
      <c r="BJ19" s="125"/>
      <c r="BK19" s="119"/>
      <c r="BL19" s="119"/>
      <c r="BM19" s="77"/>
      <c r="BN19" s="86"/>
      <c r="BO19" s="86"/>
      <c r="BP19" s="85"/>
      <c r="BQ19" s="85"/>
      <c r="BR19" s="77"/>
    </row>
    <row r="20" spans="1:70" x14ac:dyDescent="0.3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9"/>
      <c r="AW20" s="129"/>
      <c r="AX20" s="129"/>
      <c r="AY20" s="125"/>
      <c r="AZ20" s="119"/>
      <c r="BA20" s="47"/>
      <c r="BB20" s="48"/>
      <c r="BC20" s="48"/>
      <c r="BD20" s="49"/>
      <c r="BE20" s="49"/>
      <c r="BF20" s="49"/>
      <c r="BG20" s="129"/>
      <c r="BH20" s="129"/>
      <c r="BI20" s="129"/>
      <c r="BJ20" s="125"/>
      <c r="BK20" s="119"/>
      <c r="BL20" s="119"/>
      <c r="BM20" s="77"/>
      <c r="BN20" s="86"/>
      <c r="BO20" s="86"/>
      <c r="BP20" s="85"/>
      <c r="BQ20" s="85"/>
      <c r="BR20" s="77"/>
    </row>
    <row r="21" spans="1:70" x14ac:dyDescent="0.3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9"/>
      <c r="AW21" s="129"/>
      <c r="AX21" s="129"/>
      <c r="AY21" s="125"/>
      <c r="AZ21" s="119"/>
      <c r="BA21" s="47"/>
      <c r="BB21" s="48"/>
      <c r="BC21" s="48"/>
      <c r="BD21" s="49"/>
      <c r="BE21" s="49"/>
      <c r="BF21" s="49"/>
      <c r="BG21" s="129"/>
      <c r="BH21" s="129"/>
      <c r="BI21" s="129"/>
      <c r="BJ21" s="125"/>
      <c r="BK21" s="119"/>
      <c r="BL21" s="119"/>
      <c r="BM21" s="77"/>
      <c r="BN21" s="86"/>
      <c r="BO21" s="86"/>
      <c r="BP21" s="85"/>
      <c r="BQ21" s="85"/>
      <c r="BR21" s="77"/>
    </row>
    <row r="22" spans="1:70" x14ac:dyDescent="0.3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9"/>
      <c r="AW22" s="129"/>
      <c r="AX22" s="129"/>
      <c r="AY22" s="125"/>
      <c r="AZ22" s="119"/>
      <c r="BA22" s="47"/>
      <c r="BB22" s="48"/>
      <c r="BC22" s="48"/>
      <c r="BD22" s="49"/>
      <c r="BE22" s="49"/>
      <c r="BF22" s="49"/>
      <c r="BG22" s="129"/>
      <c r="BH22" s="129"/>
      <c r="BI22" s="129"/>
      <c r="BJ22" s="125"/>
      <c r="BK22" s="119"/>
      <c r="BL22" s="119"/>
      <c r="BM22" s="77"/>
      <c r="BN22" s="86"/>
      <c r="BO22" s="86"/>
      <c r="BP22" s="85"/>
      <c r="BQ22" s="85"/>
      <c r="BR22" s="77"/>
    </row>
    <row r="23" spans="1:70" x14ac:dyDescent="0.3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9"/>
      <c r="AW23" s="129"/>
      <c r="AX23" s="129"/>
      <c r="AY23" s="125"/>
      <c r="AZ23" s="119"/>
      <c r="BA23" s="47"/>
      <c r="BB23" s="48"/>
      <c r="BC23" s="48"/>
      <c r="BD23" s="49"/>
      <c r="BE23" s="49"/>
      <c r="BF23" s="49"/>
      <c r="BG23" s="129"/>
      <c r="BH23" s="129"/>
      <c r="BI23" s="129"/>
      <c r="BJ23" s="125"/>
      <c r="BK23" s="119"/>
      <c r="BL23" s="119"/>
      <c r="BM23" s="77"/>
      <c r="BN23" s="86"/>
      <c r="BO23" s="86"/>
      <c r="BP23" s="85"/>
      <c r="BQ23" s="85"/>
      <c r="BR23" s="77"/>
    </row>
    <row r="24" spans="1:70" x14ac:dyDescent="0.3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9"/>
      <c r="AW24" s="129"/>
      <c r="AX24" s="129"/>
      <c r="AY24" s="125"/>
      <c r="AZ24" s="119"/>
      <c r="BA24" s="47"/>
      <c r="BB24" s="48"/>
      <c r="BC24" s="48"/>
      <c r="BD24" s="49"/>
      <c r="BE24" s="49"/>
      <c r="BF24" s="49"/>
      <c r="BG24" s="129"/>
      <c r="BH24" s="129"/>
      <c r="BI24" s="129"/>
      <c r="BJ24" s="125"/>
      <c r="BK24" s="119"/>
      <c r="BL24" s="119"/>
      <c r="BM24" s="77"/>
      <c r="BN24" s="86"/>
      <c r="BO24" s="86"/>
      <c r="BP24" s="85"/>
      <c r="BQ24" s="85"/>
      <c r="BR24" s="77"/>
    </row>
    <row r="25" spans="1:70" x14ac:dyDescent="0.3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9"/>
      <c r="AW25" s="129"/>
      <c r="AX25" s="129"/>
      <c r="AY25" s="125"/>
      <c r="AZ25" s="119"/>
      <c r="BA25" s="47"/>
      <c r="BB25" s="48"/>
      <c r="BC25" s="48"/>
      <c r="BD25" s="49"/>
      <c r="BE25" s="49"/>
      <c r="BF25" s="49"/>
      <c r="BG25" s="129"/>
      <c r="BH25" s="129"/>
      <c r="BI25" s="129"/>
      <c r="BJ25" s="125"/>
      <c r="BK25" s="119"/>
      <c r="BL25" s="119"/>
      <c r="BM25" s="77"/>
      <c r="BN25" s="86"/>
      <c r="BO25" s="86"/>
      <c r="BP25" s="85"/>
      <c r="BQ25" s="85"/>
      <c r="BR25" s="77"/>
    </row>
    <row r="26" spans="1:70" x14ac:dyDescent="0.3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9"/>
      <c r="AW26" s="129"/>
      <c r="AX26" s="129"/>
      <c r="AY26" s="125"/>
      <c r="AZ26" s="119"/>
      <c r="BA26" s="47"/>
      <c r="BB26" s="48"/>
      <c r="BC26" s="48"/>
      <c r="BD26" s="49"/>
      <c r="BE26" s="49"/>
      <c r="BF26" s="49"/>
      <c r="BG26" s="129"/>
      <c r="BH26" s="129"/>
      <c r="BI26" s="129"/>
      <c r="BJ26" s="125"/>
      <c r="BK26" s="119"/>
      <c r="BL26" s="119"/>
      <c r="BM26" s="77"/>
      <c r="BN26" s="86"/>
      <c r="BO26" s="86"/>
      <c r="BP26" s="85"/>
      <c r="BQ26" s="85"/>
      <c r="BR26" s="77"/>
    </row>
    <row r="27" spans="1:70" x14ac:dyDescent="0.3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9"/>
      <c r="AW27" s="129"/>
      <c r="AX27" s="129"/>
      <c r="AY27" s="125"/>
      <c r="AZ27" s="119"/>
      <c r="BA27" s="47"/>
      <c r="BB27" s="48"/>
      <c r="BC27" s="48"/>
      <c r="BD27" s="49"/>
      <c r="BE27" s="49"/>
      <c r="BF27" s="49"/>
      <c r="BG27" s="129"/>
      <c r="BH27" s="129"/>
      <c r="BI27" s="129"/>
      <c r="BJ27" s="125"/>
      <c r="BK27" s="119"/>
      <c r="BL27" s="119"/>
      <c r="BM27" s="77"/>
      <c r="BN27" s="86"/>
      <c r="BO27" s="86"/>
      <c r="BP27" s="85"/>
      <c r="BQ27" s="85"/>
      <c r="BR27" s="77"/>
    </row>
    <row r="28" spans="1:70" x14ac:dyDescent="0.3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9"/>
      <c r="AW28" s="129"/>
      <c r="AX28" s="129"/>
      <c r="AY28" s="125"/>
      <c r="AZ28" s="119"/>
      <c r="BA28" s="47"/>
      <c r="BB28" s="48"/>
      <c r="BC28" s="48"/>
      <c r="BD28" s="49"/>
      <c r="BE28" s="49"/>
      <c r="BF28" s="49"/>
      <c r="BG28" s="129"/>
      <c r="BH28" s="129"/>
      <c r="BI28" s="129"/>
      <c r="BJ28" s="125"/>
      <c r="BK28" s="119"/>
      <c r="BL28" s="119"/>
      <c r="BM28" s="77"/>
      <c r="BN28" s="86"/>
      <c r="BO28" s="86"/>
      <c r="BP28" s="85"/>
      <c r="BQ28" s="85"/>
      <c r="BR28" s="77"/>
    </row>
    <row r="29" spans="1:70" x14ac:dyDescent="0.3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9"/>
      <c r="AW29" s="129"/>
      <c r="AX29" s="129"/>
      <c r="AY29" s="125"/>
      <c r="AZ29" s="119"/>
      <c r="BA29" s="47"/>
      <c r="BB29" s="48"/>
      <c r="BC29" s="48"/>
      <c r="BD29" s="49"/>
      <c r="BE29" s="49"/>
      <c r="BF29" s="49"/>
      <c r="BG29" s="129"/>
      <c r="BH29" s="129"/>
      <c r="BI29" s="129"/>
      <c r="BJ29" s="125"/>
      <c r="BK29" s="119"/>
      <c r="BL29" s="119"/>
      <c r="BM29" s="77"/>
      <c r="BN29" s="86"/>
      <c r="BO29" s="86"/>
      <c r="BP29" s="85"/>
      <c r="BQ29" s="85"/>
      <c r="BR29" s="77"/>
    </row>
    <row r="30" spans="1:70" x14ac:dyDescent="0.3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9"/>
      <c r="AW30" s="129"/>
      <c r="AX30" s="129"/>
      <c r="AY30" s="125"/>
      <c r="AZ30" s="119"/>
      <c r="BA30" s="47"/>
      <c r="BB30" s="48"/>
      <c r="BC30" s="48"/>
      <c r="BD30" s="49"/>
      <c r="BE30" s="49"/>
      <c r="BF30" s="49"/>
      <c r="BG30" s="129"/>
      <c r="BH30" s="129"/>
      <c r="BI30" s="129"/>
      <c r="BJ30" s="125"/>
      <c r="BK30" s="119"/>
      <c r="BL30" s="119"/>
      <c r="BM30" s="77"/>
      <c r="BN30" s="86"/>
      <c r="BO30" s="86"/>
      <c r="BP30" s="85"/>
      <c r="BQ30" s="85"/>
      <c r="BR30" s="77"/>
    </row>
    <row r="31" spans="1:70" x14ac:dyDescent="0.3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9"/>
      <c r="AW31" s="129"/>
      <c r="AX31" s="129"/>
      <c r="AY31" s="125"/>
      <c r="AZ31" s="119"/>
      <c r="BA31" s="47"/>
      <c r="BB31" s="48"/>
      <c r="BC31" s="48"/>
      <c r="BD31" s="49"/>
      <c r="BE31" s="49"/>
      <c r="BF31" s="49"/>
      <c r="BG31" s="129"/>
      <c r="BH31" s="129"/>
      <c r="BI31" s="129"/>
      <c r="BJ31" s="125"/>
      <c r="BK31" s="119"/>
      <c r="BL31" s="119"/>
      <c r="BM31" s="77"/>
      <c r="BN31" s="86"/>
      <c r="BO31" s="86"/>
      <c r="BP31" s="85"/>
      <c r="BQ31" s="85"/>
      <c r="BR31" s="77"/>
    </row>
    <row r="32" spans="1:70" x14ac:dyDescent="0.3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9"/>
      <c r="AW32" s="129"/>
      <c r="AX32" s="129"/>
      <c r="AY32" s="125"/>
      <c r="AZ32" s="119"/>
      <c r="BA32" s="47"/>
      <c r="BB32" s="48"/>
      <c r="BC32" s="48"/>
      <c r="BD32" s="49"/>
      <c r="BE32" s="49"/>
      <c r="BF32" s="49"/>
      <c r="BG32" s="129"/>
      <c r="BH32" s="129"/>
      <c r="BI32" s="129"/>
      <c r="BJ32" s="125"/>
      <c r="BK32" s="119"/>
      <c r="BL32" s="119"/>
      <c r="BM32" s="77"/>
      <c r="BN32" s="86"/>
      <c r="BO32" s="86"/>
      <c r="BP32" s="85"/>
      <c r="BQ32" s="85"/>
      <c r="BR32" s="77"/>
    </row>
    <row r="33" spans="8:70" x14ac:dyDescent="0.3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9"/>
      <c r="AW33" s="129"/>
      <c r="AX33" s="129"/>
      <c r="AY33" s="125"/>
      <c r="AZ33" s="119"/>
      <c r="BA33" s="47"/>
      <c r="BB33" s="48"/>
      <c r="BC33" s="48"/>
      <c r="BD33" s="49"/>
      <c r="BE33" s="49"/>
      <c r="BF33" s="49"/>
      <c r="BG33" s="129"/>
      <c r="BH33" s="129"/>
      <c r="BI33" s="129"/>
      <c r="BJ33" s="125"/>
      <c r="BK33" s="119"/>
      <c r="BL33" s="119"/>
      <c r="BM33" s="77"/>
      <c r="BN33" s="86"/>
      <c r="BO33" s="86"/>
      <c r="BP33" s="85"/>
      <c r="BQ33" s="85"/>
      <c r="BR33" s="77"/>
    </row>
    <row r="34" spans="8:70" x14ac:dyDescent="0.3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9"/>
      <c r="AW34" s="129"/>
      <c r="AX34" s="129"/>
      <c r="AY34" s="125"/>
      <c r="AZ34" s="119"/>
      <c r="BA34" s="47"/>
      <c r="BB34" s="48"/>
      <c r="BC34" s="48"/>
      <c r="BD34" s="49"/>
      <c r="BE34" s="49"/>
      <c r="BF34" s="49"/>
      <c r="BG34" s="129"/>
      <c r="BH34" s="129"/>
      <c r="BI34" s="129"/>
      <c r="BJ34" s="125"/>
      <c r="BK34" s="119"/>
      <c r="BL34" s="119"/>
      <c r="BM34" s="77"/>
      <c r="BN34" s="86"/>
      <c r="BO34" s="86"/>
      <c r="BP34" s="85"/>
      <c r="BQ34" s="85"/>
      <c r="BR34" s="77"/>
    </row>
    <row r="35" spans="8:70" x14ac:dyDescent="0.3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9"/>
      <c r="AW35" s="129"/>
      <c r="AX35" s="129"/>
      <c r="AY35" s="125"/>
      <c r="AZ35" s="119"/>
      <c r="BA35" s="47"/>
      <c r="BB35" s="48"/>
      <c r="BC35" s="48"/>
      <c r="BD35" s="49"/>
      <c r="BE35" s="49"/>
      <c r="BF35" s="49"/>
      <c r="BG35" s="129"/>
      <c r="BH35" s="129"/>
      <c r="BI35" s="129"/>
      <c r="BJ35" s="125"/>
      <c r="BK35" s="119"/>
      <c r="BL35" s="119"/>
      <c r="BM35" s="77"/>
      <c r="BN35" s="86"/>
      <c r="BO35" s="86"/>
      <c r="BP35" s="85"/>
      <c r="BQ35" s="85"/>
      <c r="BR35" s="77"/>
    </row>
    <row r="36" spans="8:70" x14ac:dyDescent="0.3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9"/>
      <c r="AW36" s="129"/>
      <c r="AX36" s="129"/>
      <c r="AY36" s="125"/>
      <c r="AZ36" s="119"/>
      <c r="BA36" s="47"/>
      <c r="BB36" s="48"/>
      <c r="BC36" s="48"/>
      <c r="BD36" s="49"/>
      <c r="BE36" s="49"/>
      <c r="BF36" s="49"/>
      <c r="BG36" s="129"/>
      <c r="BH36" s="129"/>
      <c r="BI36" s="129"/>
      <c r="BJ36" s="125"/>
      <c r="BK36" s="119"/>
      <c r="BL36" s="119"/>
      <c r="BM36" s="77"/>
      <c r="BN36" s="86"/>
      <c r="BO36" s="86"/>
      <c r="BP36" s="85"/>
      <c r="BQ36" s="85"/>
      <c r="BR36" s="77"/>
    </row>
    <row r="37" spans="8:70" x14ac:dyDescent="0.3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9"/>
      <c r="AW37" s="129"/>
      <c r="AX37" s="129"/>
      <c r="AY37" s="125"/>
      <c r="AZ37" s="119"/>
      <c r="BA37" s="47"/>
      <c r="BB37" s="48"/>
      <c r="BC37" s="48"/>
      <c r="BD37" s="49"/>
      <c r="BE37" s="49"/>
      <c r="BF37" s="49"/>
      <c r="BG37" s="129"/>
      <c r="BH37" s="129"/>
      <c r="BI37" s="129"/>
      <c r="BJ37" s="125"/>
      <c r="BK37" s="119"/>
      <c r="BL37" s="119"/>
      <c r="BM37" s="77"/>
      <c r="BN37" s="86"/>
      <c r="BO37" s="86"/>
      <c r="BP37" s="85"/>
      <c r="BQ37" s="85"/>
      <c r="BR37" s="77"/>
    </row>
    <row r="38" spans="8:70" x14ac:dyDescent="0.3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9"/>
      <c r="AW38" s="129"/>
      <c r="AX38" s="129"/>
      <c r="AY38" s="125"/>
      <c r="AZ38" s="119"/>
      <c r="BA38" s="47"/>
      <c r="BB38" s="48"/>
      <c r="BC38" s="48"/>
      <c r="BD38" s="49"/>
      <c r="BE38" s="49"/>
      <c r="BF38" s="49"/>
      <c r="BG38" s="129"/>
      <c r="BH38" s="129"/>
      <c r="BI38" s="129"/>
      <c r="BJ38" s="125"/>
      <c r="BK38" s="119"/>
      <c r="BL38" s="119"/>
      <c r="BM38" s="77"/>
      <c r="BN38" s="86"/>
      <c r="BO38" s="86"/>
      <c r="BP38" s="85"/>
      <c r="BQ38" s="85"/>
      <c r="BR38" s="77"/>
    </row>
    <row r="39" spans="8:70" x14ac:dyDescent="0.3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9"/>
      <c r="AW39" s="129"/>
      <c r="AX39" s="129"/>
      <c r="AY39" s="125"/>
      <c r="AZ39" s="119"/>
      <c r="BA39" s="47"/>
      <c r="BB39" s="48"/>
      <c r="BC39" s="48"/>
      <c r="BD39" s="49"/>
      <c r="BE39" s="49"/>
      <c r="BF39" s="49"/>
      <c r="BG39" s="129"/>
      <c r="BH39" s="129"/>
      <c r="BI39" s="129"/>
      <c r="BJ39" s="125"/>
      <c r="BK39" s="119"/>
      <c r="BL39" s="119"/>
      <c r="BM39" s="77"/>
      <c r="BN39" s="86"/>
      <c r="BO39" s="86"/>
      <c r="BP39" s="85"/>
      <c r="BQ39" s="85"/>
      <c r="BR39" s="77"/>
    </row>
    <row r="40" spans="8:70" x14ac:dyDescent="0.3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9"/>
      <c r="AW40" s="129"/>
      <c r="AX40" s="129"/>
      <c r="AY40" s="125"/>
      <c r="AZ40" s="119"/>
      <c r="BA40" s="47"/>
      <c r="BB40" s="48"/>
      <c r="BC40" s="48"/>
      <c r="BD40" s="49"/>
      <c r="BE40" s="49"/>
      <c r="BF40" s="49"/>
      <c r="BG40" s="129"/>
      <c r="BH40" s="129"/>
      <c r="BI40" s="129"/>
      <c r="BJ40" s="125"/>
      <c r="BK40" s="119"/>
      <c r="BL40" s="119"/>
      <c r="BM40" s="77"/>
      <c r="BN40" s="86"/>
      <c r="BO40" s="86"/>
      <c r="BP40" s="85"/>
      <c r="BQ40" s="85"/>
      <c r="BR40" s="77"/>
    </row>
    <row r="41" spans="8:70" x14ac:dyDescent="0.3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9"/>
      <c r="AW41" s="129"/>
      <c r="AX41" s="129"/>
      <c r="AY41" s="125"/>
      <c r="AZ41" s="119"/>
      <c r="BA41" s="47"/>
      <c r="BB41" s="48"/>
      <c r="BC41" s="48"/>
      <c r="BD41" s="49"/>
      <c r="BE41" s="49"/>
      <c r="BF41" s="49"/>
      <c r="BG41" s="129"/>
      <c r="BH41" s="129"/>
      <c r="BI41" s="129"/>
      <c r="BJ41" s="125"/>
      <c r="BK41" s="119"/>
      <c r="BL41" s="119"/>
      <c r="BM41" s="77"/>
      <c r="BN41" s="86"/>
      <c r="BO41" s="86"/>
      <c r="BP41" s="85"/>
      <c r="BQ41" s="85"/>
      <c r="BR41" s="77"/>
    </row>
    <row r="42" spans="8:70" x14ac:dyDescent="0.3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9"/>
      <c r="AW42" s="129"/>
      <c r="AX42" s="129"/>
      <c r="AY42" s="125"/>
      <c r="AZ42" s="119"/>
      <c r="BA42" s="47"/>
      <c r="BB42" s="48"/>
      <c r="BC42" s="48"/>
      <c r="BD42" s="49"/>
      <c r="BE42" s="49"/>
      <c r="BF42" s="49"/>
      <c r="BG42" s="129"/>
      <c r="BH42" s="129"/>
      <c r="BI42" s="129"/>
      <c r="BJ42" s="125"/>
      <c r="BK42" s="119"/>
      <c r="BL42" s="119"/>
      <c r="BM42" s="77"/>
      <c r="BN42" s="86"/>
      <c r="BO42" s="86"/>
      <c r="BP42" s="85"/>
      <c r="BQ42" s="85"/>
      <c r="BR42" s="77"/>
    </row>
    <row r="43" spans="8:70" x14ac:dyDescent="0.3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9"/>
      <c r="AW43" s="129"/>
      <c r="AX43" s="129"/>
      <c r="AY43" s="125"/>
      <c r="AZ43" s="119"/>
      <c r="BA43" s="47"/>
      <c r="BB43" s="48"/>
      <c r="BC43" s="48"/>
      <c r="BD43" s="49"/>
      <c r="BE43" s="49"/>
      <c r="BF43" s="49"/>
      <c r="BG43" s="129"/>
      <c r="BH43" s="129"/>
      <c r="BI43" s="129"/>
      <c r="BJ43" s="125"/>
      <c r="BK43" s="119"/>
      <c r="BL43" s="119"/>
      <c r="BM43" s="77"/>
      <c r="BN43" s="86"/>
      <c r="BO43" s="86"/>
      <c r="BP43" s="85"/>
      <c r="BQ43" s="85"/>
      <c r="BR43" s="77"/>
    </row>
    <row r="44" spans="8:70" x14ac:dyDescent="0.3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9"/>
      <c r="AW44" s="129"/>
      <c r="AX44" s="129"/>
      <c r="AY44" s="125"/>
      <c r="AZ44" s="119"/>
      <c r="BA44" s="47"/>
      <c r="BB44" s="48"/>
      <c r="BC44" s="48"/>
      <c r="BD44" s="49"/>
      <c r="BE44" s="49"/>
      <c r="BF44" s="49"/>
      <c r="BG44" s="129"/>
      <c r="BH44" s="129"/>
      <c r="BI44" s="129"/>
      <c r="BJ44" s="125"/>
      <c r="BK44" s="119"/>
      <c r="BL44" s="119"/>
      <c r="BM44" s="77"/>
      <c r="BN44" s="86"/>
      <c r="BO44" s="86"/>
      <c r="BP44" s="85"/>
      <c r="BQ44" s="85"/>
      <c r="BR44" s="77"/>
    </row>
    <row r="45" spans="8:70" x14ac:dyDescent="0.3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9"/>
      <c r="AW45" s="129"/>
      <c r="AX45" s="129"/>
      <c r="AY45" s="125"/>
      <c r="AZ45" s="119"/>
      <c r="BA45" s="47"/>
      <c r="BB45" s="48"/>
      <c r="BC45" s="48"/>
      <c r="BD45" s="49"/>
      <c r="BE45" s="49"/>
      <c r="BF45" s="49"/>
      <c r="BG45" s="129"/>
      <c r="BH45" s="129"/>
      <c r="BI45" s="129"/>
      <c r="BJ45" s="125"/>
      <c r="BK45" s="119"/>
      <c r="BL45" s="119"/>
      <c r="BM45" s="77"/>
      <c r="BN45" s="86"/>
      <c r="BO45" s="86"/>
      <c r="BP45" s="85"/>
      <c r="BQ45" s="85"/>
      <c r="BR45" s="77"/>
    </row>
    <row r="46" spans="8:70" x14ac:dyDescent="0.3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9"/>
      <c r="AW46" s="129"/>
      <c r="AX46" s="129"/>
      <c r="AY46" s="125"/>
      <c r="AZ46" s="119"/>
      <c r="BA46" s="47"/>
      <c r="BB46" s="48"/>
      <c r="BC46" s="48"/>
      <c r="BD46" s="49"/>
      <c r="BE46" s="49"/>
      <c r="BF46" s="49"/>
      <c r="BG46" s="129"/>
      <c r="BH46" s="129"/>
      <c r="BI46" s="129"/>
      <c r="BJ46" s="125"/>
      <c r="BK46" s="119"/>
      <c r="BL46" s="119"/>
      <c r="BM46" s="77"/>
      <c r="BN46" s="86"/>
      <c r="BO46" s="86"/>
      <c r="BP46" s="85"/>
      <c r="BQ46" s="85"/>
      <c r="BR46" s="77"/>
    </row>
    <row r="47" spans="8:70" x14ac:dyDescent="0.3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9"/>
      <c r="AW47" s="129"/>
      <c r="AX47" s="129"/>
      <c r="AY47" s="125"/>
      <c r="AZ47" s="119"/>
      <c r="BA47" s="47"/>
      <c r="BB47" s="48"/>
      <c r="BC47" s="48"/>
      <c r="BD47" s="49"/>
      <c r="BE47" s="49"/>
      <c r="BF47" s="49"/>
      <c r="BG47" s="129"/>
      <c r="BH47" s="129"/>
      <c r="BI47" s="129"/>
      <c r="BJ47" s="125"/>
      <c r="BK47" s="119"/>
      <c r="BL47" s="119"/>
      <c r="BM47" s="77"/>
      <c r="BN47" s="86"/>
      <c r="BO47" s="86"/>
      <c r="BP47" s="85"/>
      <c r="BQ47" s="85"/>
      <c r="BR47" s="77"/>
    </row>
    <row r="48" spans="8:70" x14ac:dyDescent="0.3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9"/>
      <c r="AW48" s="129"/>
      <c r="AX48" s="129"/>
      <c r="AY48" s="125"/>
      <c r="AZ48" s="119"/>
      <c r="BA48" s="47"/>
      <c r="BB48" s="48"/>
      <c r="BC48" s="48"/>
      <c r="BD48" s="49"/>
      <c r="BE48" s="49"/>
      <c r="BF48" s="49"/>
      <c r="BG48" s="129"/>
      <c r="BH48" s="129"/>
      <c r="BI48" s="129"/>
      <c r="BJ48" s="125"/>
      <c r="BK48" s="119"/>
      <c r="BL48" s="119"/>
      <c r="BM48" s="77"/>
      <c r="BN48" s="86"/>
      <c r="BO48" s="86"/>
      <c r="BP48" s="85"/>
      <c r="BQ48" s="85"/>
      <c r="BR48" s="77"/>
    </row>
    <row r="49" spans="8:70" x14ac:dyDescent="0.3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9"/>
      <c r="AW49" s="129"/>
      <c r="AX49" s="129"/>
      <c r="AY49" s="125"/>
      <c r="AZ49" s="119"/>
      <c r="BA49" s="47"/>
      <c r="BB49" s="48"/>
      <c r="BC49" s="48"/>
      <c r="BD49" s="49"/>
      <c r="BE49" s="49"/>
      <c r="BF49" s="49"/>
      <c r="BG49" s="129"/>
      <c r="BH49" s="129"/>
      <c r="BI49" s="129"/>
      <c r="BJ49" s="125"/>
      <c r="BK49" s="119"/>
      <c r="BL49" s="119"/>
      <c r="BM49" s="77"/>
      <c r="BN49" s="86"/>
      <c r="BO49" s="86"/>
      <c r="BP49" s="85"/>
      <c r="BQ49" s="85"/>
      <c r="BR49" s="77"/>
    </row>
    <row r="50" spans="8:70" x14ac:dyDescent="0.3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9"/>
      <c r="AW50" s="129"/>
      <c r="AX50" s="129"/>
      <c r="AY50" s="125"/>
      <c r="AZ50" s="119"/>
      <c r="BA50" s="47"/>
      <c r="BB50" s="48"/>
      <c r="BC50" s="48"/>
      <c r="BD50" s="49"/>
      <c r="BE50" s="49"/>
      <c r="BF50" s="49"/>
      <c r="BG50" s="129"/>
      <c r="BH50" s="129"/>
      <c r="BI50" s="129"/>
      <c r="BJ50" s="125"/>
      <c r="BK50" s="119"/>
      <c r="BL50" s="119"/>
      <c r="BM50" s="77"/>
      <c r="BN50" s="86"/>
      <c r="BO50" s="86"/>
      <c r="BP50" s="85"/>
      <c r="BQ50" s="85"/>
      <c r="BR50" s="77"/>
    </row>
    <row r="51" spans="8:70" x14ac:dyDescent="0.3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9"/>
      <c r="AW51" s="129"/>
      <c r="AX51" s="129"/>
      <c r="AY51" s="125"/>
      <c r="AZ51" s="119"/>
      <c r="BA51" s="47"/>
      <c r="BB51" s="48"/>
      <c r="BC51" s="48"/>
      <c r="BD51" s="49"/>
      <c r="BE51" s="49"/>
      <c r="BF51" s="49"/>
      <c r="BG51" s="129"/>
      <c r="BH51" s="129"/>
      <c r="BI51" s="129"/>
      <c r="BJ51" s="125"/>
      <c r="BK51" s="119"/>
      <c r="BL51" s="119"/>
      <c r="BM51" s="77"/>
      <c r="BN51" s="86"/>
      <c r="BO51" s="86"/>
      <c r="BP51" s="85"/>
      <c r="BQ51" s="85"/>
      <c r="BR51" s="77"/>
    </row>
    <row r="52" spans="8:70" x14ac:dyDescent="0.3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9"/>
      <c r="AW52" s="129"/>
      <c r="AX52" s="129"/>
      <c r="AY52" s="125"/>
      <c r="AZ52" s="119"/>
      <c r="BA52" s="47"/>
      <c r="BB52" s="48"/>
      <c r="BC52" s="48"/>
      <c r="BD52" s="49"/>
      <c r="BE52" s="49"/>
      <c r="BF52" s="49"/>
      <c r="BG52" s="129"/>
      <c r="BH52" s="129"/>
      <c r="BI52" s="129"/>
      <c r="BJ52" s="125"/>
      <c r="BK52" s="119"/>
      <c r="BL52" s="119"/>
      <c r="BM52" s="77"/>
      <c r="BN52" s="86"/>
      <c r="BO52" s="86"/>
      <c r="BP52" s="85"/>
      <c r="BQ52" s="85"/>
      <c r="BR52" s="77"/>
    </row>
    <row r="53" spans="8:70" x14ac:dyDescent="0.3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9"/>
      <c r="AW53" s="129"/>
      <c r="AX53" s="129"/>
      <c r="AY53" s="125"/>
      <c r="AZ53" s="119"/>
      <c r="BA53" s="47"/>
      <c r="BB53" s="48"/>
      <c r="BC53" s="48"/>
      <c r="BD53" s="49"/>
      <c r="BE53" s="49"/>
      <c r="BF53" s="49"/>
      <c r="BG53" s="129"/>
      <c r="BH53" s="129"/>
      <c r="BI53" s="129"/>
      <c r="BJ53" s="125"/>
      <c r="BK53" s="119"/>
      <c r="BL53" s="119"/>
      <c r="BM53" s="77"/>
      <c r="BN53" s="86"/>
      <c r="BO53" s="86"/>
      <c r="BP53" s="85"/>
      <c r="BQ53" s="85"/>
      <c r="BR53" s="77"/>
    </row>
    <row r="54" spans="8:70" x14ac:dyDescent="0.3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9"/>
      <c r="AW54" s="129"/>
      <c r="AX54" s="129"/>
      <c r="AY54" s="125"/>
      <c r="AZ54" s="119"/>
      <c r="BA54" s="47"/>
      <c r="BB54" s="48"/>
      <c r="BC54" s="48"/>
      <c r="BD54" s="49"/>
      <c r="BE54" s="49"/>
      <c r="BF54" s="49"/>
      <c r="BG54" s="129"/>
      <c r="BH54" s="129"/>
      <c r="BI54" s="129"/>
      <c r="BJ54" s="125"/>
      <c r="BK54" s="119"/>
      <c r="BL54" s="119"/>
      <c r="BM54" s="77"/>
      <c r="BN54" s="86"/>
      <c r="BO54" s="86"/>
      <c r="BP54" s="85"/>
      <c r="BQ54" s="85"/>
      <c r="BR54" s="77"/>
    </row>
    <row r="55" spans="8:70" x14ac:dyDescent="0.3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9"/>
      <c r="AW55" s="129"/>
      <c r="AX55" s="129"/>
      <c r="AY55" s="125"/>
      <c r="AZ55" s="119"/>
      <c r="BA55" s="47"/>
      <c r="BB55" s="48"/>
      <c r="BC55" s="48"/>
      <c r="BD55" s="49"/>
      <c r="BE55" s="49"/>
      <c r="BF55" s="49"/>
      <c r="BG55" s="129"/>
      <c r="BH55" s="129"/>
      <c r="BI55" s="129"/>
      <c r="BJ55" s="125"/>
      <c r="BK55" s="119"/>
      <c r="BL55" s="119"/>
      <c r="BM55" s="77"/>
      <c r="BN55" s="86"/>
      <c r="BO55" s="86"/>
      <c r="BP55" s="85"/>
      <c r="BQ55" s="85"/>
      <c r="BR55" s="77"/>
    </row>
    <row r="56" spans="8:70" x14ac:dyDescent="0.3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9"/>
      <c r="AW56" s="129"/>
      <c r="AX56" s="129"/>
      <c r="AY56" s="125"/>
      <c r="AZ56" s="119"/>
      <c r="BA56" s="47"/>
      <c r="BB56" s="48"/>
      <c r="BC56" s="48"/>
      <c r="BD56" s="49"/>
      <c r="BE56" s="49"/>
      <c r="BF56" s="49"/>
      <c r="BG56" s="129"/>
      <c r="BH56" s="129"/>
      <c r="BI56" s="129"/>
      <c r="BJ56" s="125"/>
      <c r="BK56" s="119"/>
      <c r="BL56" s="119"/>
      <c r="BM56" s="77"/>
      <c r="BN56" s="86"/>
      <c r="BO56" s="86"/>
      <c r="BP56" s="85"/>
      <c r="BQ56" s="85"/>
      <c r="BR56" s="77"/>
    </row>
    <row r="57" spans="8:70" x14ac:dyDescent="0.3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9"/>
      <c r="AW57" s="129"/>
      <c r="AX57" s="129"/>
      <c r="AY57" s="125"/>
      <c r="AZ57" s="119"/>
      <c r="BA57" s="47"/>
      <c r="BB57" s="48"/>
      <c r="BC57" s="48"/>
      <c r="BD57" s="49"/>
      <c r="BE57" s="49"/>
      <c r="BF57" s="49"/>
      <c r="BG57" s="129"/>
      <c r="BH57" s="129"/>
      <c r="BI57" s="129"/>
      <c r="BJ57" s="125"/>
      <c r="BK57" s="119"/>
      <c r="BL57" s="119"/>
      <c r="BM57" s="77"/>
      <c r="BN57" s="86"/>
      <c r="BO57" s="86"/>
      <c r="BP57" s="85"/>
      <c r="BQ57" s="85"/>
      <c r="BR57" s="77"/>
    </row>
    <row r="58" spans="8:70" x14ac:dyDescent="0.3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9"/>
      <c r="AW58" s="129"/>
      <c r="AX58" s="129"/>
      <c r="AY58" s="125"/>
      <c r="AZ58" s="119"/>
      <c r="BA58" s="47"/>
      <c r="BB58" s="48"/>
      <c r="BC58" s="48"/>
      <c r="BD58" s="49"/>
      <c r="BE58" s="49"/>
      <c r="BF58" s="49"/>
      <c r="BG58" s="129"/>
      <c r="BH58" s="129"/>
      <c r="BI58" s="129"/>
      <c r="BJ58" s="125"/>
      <c r="BK58" s="119"/>
      <c r="BL58" s="119"/>
      <c r="BM58" s="77"/>
      <c r="BN58" s="86"/>
      <c r="BO58" s="86"/>
      <c r="BP58" s="85"/>
      <c r="BQ58" s="85"/>
      <c r="BR58" s="77"/>
    </row>
    <row r="59" spans="8:70" x14ac:dyDescent="0.3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9"/>
      <c r="AW59" s="129"/>
      <c r="AX59" s="129"/>
      <c r="AY59" s="125"/>
      <c r="AZ59" s="119"/>
      <c r="BA59" s="47"/>
      <c r="BB59" s="48"/>
      <c r="BC59" s="48"/>
      <c r="BD59" s="49"/>
      <c r="BE59" s="49"/>
      <c r="BF59" s="49"/>
      <c r="BG59" s="129"/>
      <c r="BH59" s="129"/>
      <c r="BI59" s="129"/>
      <c r="BJ59" s="125"/>
      <c r="BK59" s="119"/>
      <c r="BL59" s="119"/>
      <c r="BM59" s="77"/>
      <c r="BN59" s="86"/>
      <c r="BO59" s="86"/>
      <c r="BP59" s="85"/>
      <c r="BQ59" s="85"/>
      <c r="BR59" s="77"/>
    </row>
    <row r="60" spans="8:70" x14ac:dyDescent="0.3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9"/>
      <c r="AW60" s="129"/>
      <c r="AX60" s="129"/>
      <c r="AY60" s="125"/>
      <c r="AZ60" s="119"/>
      <c r="BA60" s="47"/>
      <c r="BB60" s="48"/>
      <c r="BC60" s="48"/>
      <c r="BD60" s="49"/>
      <c r="BE60" s="49"/>
      <c r="BF60" s="49"/>
      <c r="BG60" s="129"/>
      <c r="BH60" s="129"/>
      <c r="BI60" s="129"/>
      <c r="BJ60" s="125"/>
      <c r="BK60" s="119"/>
      <c r="BL60" s="119"/>
      <c r="BM60" s="77"/>
      <c r="BN60" s="86"/>
      <c r="BO60" s="86"/>
      <c r="BP60" s="85"/>
      <c r="BQ60" s="85"/>
      <c r="BR60" s="77"/>
    </row>
    <row r="61" spans="8:70" x14ac:dyDescent="0.3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9"/>
      <c r="AW61" s="129"/>
      <c r="AX61" s="129"/>
      <c r="AY61" s="125"/>
      <c r="AZ61" s="119"/>
      <c r="BA61" s="47"/>
      <c r="BB61" s="48"/>
      <c r="BC61" s="48"/>
      <c r="BD61" s="49"/>
      <c r="BE61" s="49"/>
      <c r="BF61" s="49"/>
      <c r="BG61" s="129"/>
      <c r="BH61" s="129"/>
      <c r="BI61" s="129"/>
      <c r="BJ61" s="125"/>
      <c r="BK61" s="119"/>
      <c r="BL61" s="119"/>
      <c r="BM61" s="77"/>
      <c r="BN61" s="86"/>
      <c r="BO61" s="86"/>
      <c r="BP61" s="85"/>
      <c r="BQ61" s="85"/>
      <c r="BR61" s="77"/>
    </row>
    <row r="62" spans="8:70" x14ac:dyDescent="0.3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9"/>
      <c r="AW62" s="129"/>
      <c r="AX62" s="129"/>
      <c r="AY62" s="125"/>
      <c r="AZ62" s="119"/>
      <c r="BA62" s="47"/>
      <c r="BB62" s="48"/>
      <c r="BC62" s="48"/>
      <c r="BD62" s="49"/>
      <c r="BE62" s="49"/>
      <c r="BF62" s="49"/>
      <c r="BG62" s="129"/>
      <c r="BH62" s="129"/>
      <c r="BI62" s="129"/>
      <c r="BJ62" s="125"/>
      <c r="BK62" s="119"/>
      <c r="BL62" s="119"/>
      <c r="BM62" s="77"/>
      <c r="BN62" s="86"/>
      <c r="BO62" s="86"/>
      <c r="BP62" s="85"/>
      <c r="BQ62" s="85"/>
      <c r="BR62" s="77"/>
    </row>
    <row r="63" spans="8:70" x14ac:dyDescent="0.3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9"/>
      <c r="AW63" s="129"/>
      <c r="AX63" s="129"/>
      <c r="AY63" s="125"/>
      <c r="AZ63" s="119"/>
      <c r="BA63" s="47"/>
      <c r="BB63" s="48"/>
      <c r="BC63" s="48"/>
      <c r="BD63" s="49"/>
      <c r="BE63" s="49"/>
      <c r="BF63" s="49"/>
      <c r="BG63" s="129"/>
      <c r="BH63" s="129"/>
      <c r="BI63" s="129"/>
      <c r="BJ63" s="125"/>
      <c r="BK63" s="119"/>
      <c r="BL63" s="119"/>
      <c r="BM63" s="77"/>
      <c r="BN63" s="86"/>
      <c r="BO63" s="86"/>
      <c r="BP63" s="85"/>
      <c r="BQ63" s="85"/>
      <c r="BR63" s="77"/>
    </row>
    <row r="64" spans="8:70" x14ac:dyDescent="0.3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9"/>
      <c r="AW64" s="129"/>
      <c r="AX64" s="129"/>
      <c r="AY64" s="125"/>
      <c r="AZ64" s="119"/>
      <c r="BA64" s="47"/>
      <c r="BB64" s="48"/>
      <c r="BC64" s="48"/>
      <c r="BD64" s="49"/>
      <c r="BE64" s="49"/>
      <c r="BF64" s="49"/>
      <c r="BG64" s="129"/>
      <c r="BH64" s="129"/>
      <c r="BI64" s="129"/>
      <c r="BJ64" s="125"/>
      <c r="BK64" s="119"/>
      <c r="BL64" s="119"/>
      <c r="BM64" s="77"/>
      <c r="BN64" s="86"/>
      <c r="BO64" s="86"/>
      <c r="BP64" s="85"/>
      <c r="BQ64" s="85"/>
      <c r="BR64" s="77"/>
    </row>
    <row r="65" spans="8:70" x14ac:dyDescent="0.3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9"/>
      <c r="AW65" s="129"/>
      <c r="AX65" s="129"/>
      <c r="AY65" s="125"/>
      <c r="AZ65" s="119"/>
      <c r="BA65" s="47"/>
      <c r="BB65" s="48"/>
      <c r="BC65" s="48"/>
      <c r="BD65" s="49"/>
      <c r="BE65" s="49"/>
      <c r="BF65" s="49"/>
      <c r="BG65" s="129"/>
      <c r="BH65" s="129"/>
      <c r="BI65" s="129"/>
      <c r="BJ65" s="125"/>
      <c r="BK65" s="119"/>
      <c r="BL65" s="119"/>
      <c r="BM65" s="77"/>
      <c r="BN65" s="86"/>
      <c r="BO65" s="86"/>
      <c r="BP65" s="85"/>
      <c r="BQ65" s="85"/>
      <c r="BR65" s="77"/>
    </row>
    <row r="66" spans="8:70" x14ac:dyDescent="0.3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9"/>
      <c r="AW66" s="129"/>
      <c r="AX66" s="129"/>
      <c r="AY66" s="125"/>
      <c r="AZ66" s="119"/>
      <c r="BA66" s="47"/>
      <c r="BB66" s="48"/>
      <c r="BC66" s="48"/>
      <c r="BD66" s="49"/>
      <c r="BE66" s="49"/>
      <c r="BF66" s="49"/>
      <c r="BG66" s="129"/>
      <c r="BH66" s="129"/>
      <c r="BI66" s="129"/>
      <c r="BJ66" s="125"/>
      <c r="BK66" s="119"/>
      <c r="BL66" s="119"/>
      <c r="BM66" s="77"/>
      <c r="BN66" s="86"/>
      <c r="BO66" s="86"/>
      <c r="BP66" s="85"/>
      <c r="BQ66" s="85"/>
      <c r="BR66" s="77"/>
    </row>
    <row r="67" spans="8:70" x14ac:dyDescent="0.3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9"/>
      <c r="AW67" s="129"/>
      <c r="AX67" s="129"/>
      <c r="AY67" s="125"/>
      <c r="AZ67" s="119"/>
      <c r="BA67" s="47"/>
      <c r="BB67" s="48"/>
      <c r="BC67" s="48"/>
      <c r="BD67" s="49"/>
      <c r="BE67" s="49"/>
      <c r="BF67" s="49"/>
      <c r="BG67" s="129"/>
      <c r="BH67" s="129"/>
      <c r="BI67" s="129"/>
      <c r="BJ67" s="125"/>
      <c r="BK67" s="119"/>
      <c r="BL67" s="119"/>
      <c r="BM67" s="77"/>
      <c r="BN67" s="86"/>
      <c r="BO67" s="86"/>
      <c r="BP67" s="85"/>
      <c r="BQ67" s="85"/>
      <c r="BR67" s="77"/>
    </row>
    <row r="68" spans="8:70" x14ac:dyDescent="0.3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9"/>
      <c r="AW68" s="129"/>
      <c r="AX68" s="129"/>
      <c r="AY68" s="125"/>
      <c r="AZ68" s="119"/>
      <c r="BA68" s="47"/>
      <c r="BB68" s="48"/>
      <c r="BC68" s="48"/>
      <c r="BD68" s="49"/>
      <c r="BE68" s="49"/>
      <c r="BF68" s="49"/>
      <c r="BG68" s="129"/>
      <c r="BH68" s="129"/>
      <c r="BI68" s="129"/>
      <c r="BJ68" s="125"/>
      <c r="BK68" s="119"/>
      <c r="BL68" s="119"/>
      <c r="BM68" s="77"/>
      <c r="BN68" s="86"/>
      <c r="BO68" s="86"/>
      <c r="BP68" s="85"/>
      <c r="BQ68" s="85"/>
      <c r="BR68" s="77"/>
    </row>
    <row r="69" spans="8:70" x14ac:dyDescent="0.3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9"/>
      <c r="AW69" s="129"/>
      <c r="AX69" s="129"/>
      <c r="AY69" s="125"/>
      <c r="AZ69" s="119"/>
      <c r="BA69" s="47"/>
      <c r="BB69" s="48"/>
      <c r="BC69" s="48"/>
      <c r="BD69" s="49"/>
      <c r="BE69" s="49"/>
      <c r="BF69" s="49"/>
      <c r="BG69" s="129"/>
      <c r="BH69" s="129"/>
      <c r="BI69" s="129"/>
      <c r="BJ69" s="125"/>
      <c r="BK69" s="119"/>
      <c r="BL69" s="119"/>
      <c r="BM69" s="77"/>
      <c r="BN69" s="86"/>
      <c r="BO69" s="86"/>
      <c r="BP69" s="85"/>
      <c r="BQ69" s="85"/>
      <c r="BR69" s="77"/>
    </row>
    <row r="70" spans="8:70" x14ac:dyDescent="0.3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9"/>
      <c r="AW70" s="129"/>
      <c r="AX70" s="129"/>
      <c r="AY70" s="125"/>
      <c r="AZ70" s="119"/>
      <c r="BA70" s="47"/>
      <c r="BB70" s="48"/>
      <c r="BC70" s="48"/>
      <c r="BD70" s="49"/>
      <c r="BE70" s="49"/>
      <c r="BF70" s="49"/>
      <c r="BG70" s="129"/>
      <c r="BH70" s="129"/>
      <c r="BI70" s="129"/>
      <c r="BJ70" s="125"/>
      <c r="BK70" s="119"/>
      <c r="BL70" s="119"/>
      <c r="BM70" s="77"/>
      <c r="BN70" s="86"/>
      <c r="BO70" s="86"/>
      <c r="BP70" s="85"/>
      <c r="BQ70" s="85"/>
      <c r="BR70" s="77"/>
    </row>
    <row r="71" spans="8:70" x14ac:dyDescent="0.3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9"/>
      <c r="AW71" s="129"/>
      <c r="AX71" s="129"/>
      <c r="AY71" s="125"/>
      <c r="AZ71" s="119"/>
      <c r="BA71" s="47"/>
      <c r="BB71" s="48"/>
      <c r="BC71" s="48"/>
      <c r="BD71" s="49"/>
      <c r="BE71" s="49"/>
      <c r="BF71" s="49"/>
      <c r="BG71" s="129"/>
      <c r="BH71" s="129"/>
      <c r="BI71" s="129"/>
      <c r="BJ71" s="125"/>
      <c r="BK71" s="119"/>
      <c r="BL71" s="119"/>
      <c r="BM71" s="77"/>
      <c r="BN71" s="86"/>
      <c r="BO71" s="86"/>
      <c r="BP71" s="85"/>
      <c r="BQ71" s="85"/>
      <c r="BR71" s="77"/>
    </row>
    <row r="72" spans="8:70" x14ac:dyDescent="0.3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9"/>
      <c r="AW72" s="129"/>
      <c r="AX72" s="129"/>
      <c r="AY72" s="125"/>
      <c r="AZ72" s="119"/>
      <c r="BA72" s="47"/>
      <c r="BB72" s="48"/>
      <c r="BC72" s="48"/>
      <c r="BD72" s="49"/>
      <c r="BE72" s="49"/>
      <c r="BF72" s="49"/>
      <c r="BG72" s="129"/>
      <c r="BH72" s="129"/>
      <c r="BI72" s="129"/>
      <c r="BJ72" s="125"/>
      <c r="BK72" s="119"/>
      <c r="BL72" s="119"/>
      <c r="BM72" s="77"/>
      <c r="BN72" s="86"/>
      <c r="BO72" s="86"/>
      <c r="BP72" s="85"/>
      <c r="BQ72" s="85"/>
      <c r="BR72" s="77"/>
    </row>
    <row r="73" spans="8:70" x14ac:dyDescent="0.3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9"/>
      <c r="AW73" s="129"/>
      <c r="AX73" s="129"/>
      <c r="AY73" s="125"/>
      <c r="AZ73" s="119"/>
      <c r="BA73" s="47"/>
      <c r="BB73" s="48"/>
      <c r="BC73" s="48"/>
      <c r="BD73" s="49"/>
      <c r="BE73" s="49"/>
      <c r="BF73" s="49"/>
      <c r="BG73" s="129"/>
      <c r="BH73" s="129"/>
      <c r="BI73" s="129"/>
      <c r="BJ73" s="125"/>
      <c r="BK73" s="119"/>
      <c r="BL73" s="119"/>
      <c r="BM73" s="77"/>
      <c r="BN73" s="86"/>
      <c r="BO73" s="86"/>
      <c r="BP73" s="85"/>
      <c r="BQ73" s="85"/>
      <c r="BR73" s="77"/>
    </row>
    <row r="74" spans="8:70" x14ac:dyDescent="0.3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9"/>
      <c r="AW74" s="129"/>
      <c r="AX74" s="129"/>
      <c r="AY74" s="125"/>
      <c r="AZ74" s="119"/>
      <c r="BA74" s="47"/>
      <c r="BB74" s="48"/>
      <c r="BC74" s="48"/>
      <c r="BD74" s="49"/>
      <c r="BE74" s="49"/>
      <c r="BF74" s="49"/>
      <c r="BG74" s="129"/>
      <c r="BH74" s="129"/>
      <c r="BI74" s="129"/>
      <c r="BJ74" s="125"/>
      <c r="BK74" s="119"/>
      <c r="BL74" s="119"/>
      <c r="BM74" s="77"/>
      <c r="BN74" s="86"/>
      <c r="BO74" s="86"/>
      <c r="BP74" s="85"/>
      <c r="BQ74" s="85"/>
      <c r="BR74" s="77"/>
    </row>
    <row r="75" spans="8:70" x14ac:dyDescent="0.3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9"/>
      <c r="AW75" s="129"/>
      <c r="AX75" s="129"/>
      <c r="AY75" s="125"/>
      <c r="AZ75" s="119"/>
      <c r="BA75" s="47"/>
      <c r="BB75" s="48"/>
      <c r="BC75" s="48"/>
      <c r="BD75" s="49"/>
      <c r="BE75" s="49"/>
      <c r="BF75" s="49"/>
      <c r="BG75" s="129"/>
      <c r="BH75" s="129"/>
      <c r="BI75" s="129"/>
      <c r="BJ75" s="125"/>
      <c r="BK75" s="119"/>
      <c r="BL75" s="119"/>
      <c r="BM75" s="77"/>
      <c r="BN75" s="86"/>
      <c r="BO75" s="86"/>
      <c r="BP75" s="85"/>
      <c r="BQ75" s="85"/>
      <c r="BR75" s="77"/>
    </row>
    <row r="76" spans="8:70" x14ac:dyDescent="0.3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9"/>
      <c r="AW76" s="129"/>
      <c r="AX76" s="129"/>
      <c r="AY76" s="125"/>
      <c r="AZ76" s="119"/>
      <c r="BA76" s="47"/>
      <c r="BB76" s="48"/>
      <c r="BC76" s="48"/>
      <c r="BD76" s="49"/>
      <c r="BE76" s="49"/>
      <c r="BF76" s="49"/>
      <c r="BG76" s="129"/>
      <c r="BH76" s="129"/>
      <c r="BI76" s="129"/>
      <c r="BJ76" s="125"/>
      <c r="BK76" s="119"/>
      <c r="BL76" s="119"/>
      <c r="BM76" s="77"/>
      <c r="BN76" s="86"/>
      <c r="BO76" s="86"/>
      <c r="BP76" s="85"/>
      <c r="BQ76" s="85"/>
      <c r="BR76" s="77"/>
    </row>
    <row r="77" spans="8:70" x14ac:dyDescent="0.3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9"/>
      <c r="AW77" s="129"/>
      <c r="AX77" s="129"/>
      <c r="AY77" s="125"/>
      <c r="AZ77" s="119"/>
      <c r="BA77" s="47"/>
      <c r="BB77" s="48"/>
      <c r="BC77" s="48"/>
      <c r="BD77" s="49"/>
      <c r="BE77" s="49"/>
      <c r="BF77" s="49"/>
      <c r="BG77" s="129"/>
      <c r="BH77" s="129"/>
      <c r="BI77" s="129"/>
      <c r="BJ77" s="125"/>
      <c r="BK77" s="119"/>
      <c r="BL77" s="119"/>
      <c r="BM77" s="77"/>
      <c r="BN77" s="86"/>
      <c r="BO77" s="86"/>
      <c r="BP77" s="85"/>
      <c r="BQ77" s="85"/>
      <c r="BR77" s="77"/>
    </row>
    <row r="78" spans="8:70" x14ac:dyDescent="0.3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9"/>
      <c r="AW78" s="129"/>
      <c r="AX78" s="129"/>
      <c r="AY78" s="125"/>
      <c r="AZ78" s="119"/>
      <c r="BA78" s="47"/>
      <c r="BB78" s="48"/>
      <c r="BC78" s="48"/>
      <c r="BD78" s="49"/>
      <c r="BE78" s="49"/>
      <c r="BF78" s="49"/>
      <c r="BG78" s="129"/>
      <c r="BH78" s="129"/>
      <c r="BI78" s="129"/>
      <c r="BJ78" s="125"/>
      <c r="BK78" s="119"/>
      <c r="BL78" s="119"/>
      <c r="BM78" s="77"/>
      <c r="BN78" s="86"/>
      <c r="BO78" s="86"/>
      <c r="BP78" s="85"/>
      <c r="BQ78" s="85"/>
      <c r="BR78" s="77"/>
    </row>
    <row r="79" spans="8:70" x14ac:dyDescent="0.3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9"/>
      <c r="AW79" s="129"/>
      <c r="AX79" s="129"/>
      <c r="AY79" s="125"/>
      <c r="AZ79" s="119"/>
      <c r="BA79" s="47"/>
      <c r="BB79" s="48"/>
      <c r="BC79" s="48"/>
      <c r="BD79" s="49"/>
      <c r="BE79" s="49"/>
      <c r="BF79" s="49"/>
      <c r="BG79" s="129"/>
      <c r="BH79" s="129"/>
      <c r="BI79" s="129"/>
      <c r="BJ79" s="125"/>
      <c r="BK79" s="119"/>
      <c r="BL79" s="119"/>
      <c r="BM79" s="77"/>
      <c r="BN79" s="86"/>
      <c r="BO79" s="86"/>
      <c r="BP79" s="85"/>
      <c r="BQ79" s="85"/>
      <c r="BR79" s="77"/>
    </row>
    <row r="80" spans="8:70" x14ac:dyDescent="0.3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9"/>
      <c r="AW80" s="129"/>
      <c r="AX80" s="129"/>
      <c r="AY80" s="125"/>
      <c r="AZ80" s="119"/>
      <c r="BA80" s="47"/>
      <c r="BB80" s="48"/>
      <c r="BC80" s="48"/>
      <c r="BD80" s="49"/>
      <c r="BE80" s="49"/>
      <c r="BF80" s="49"/>
      <c r="BG80" s="129"/>
      <c r="BH80" s="129"/>
      <c r="BI80" s="129"/>
      <c r="BJ80" s="125"/>
      <c r="BK80" s="119"/>
      <c r="BL80" s="119"/>
      <c r="BM80" s="77"/>
      <c r="BN80" s="86"/>
      <c r="BO80" s="86"/>
      <c r="BP80" s="85"/>
      <c r="BQ80" s="85"/>
      <c r="BR80" s="77"/>
    </row>
    <row r="81" spans="8:70" x14ac:dyDescent="0.3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9"/>
      <c r="AW81" s="129"/>
      <c r="AX81" s="129"/>
      <c r="AY81" s="125"/>
      <c r="AZ81" s="119"/>
      <c r="BA81" s="47"/>
      <c r="BB81" s="48"/>
      <c r="BC81" s="48"/>
      <c r="BD81" s="49"/>
      <c r="BE81" s="49"/>
      <c r="BF81" s="49"/>
      <c r="BG81" s="129"/>
      <c r="BH81" s="129"/>
      <c r="BI81" s="129"/>
      <c r="BJ81" s="125"/>
      <c r="BK81" s="119"/>
      <c r="BL81" s="119"/>
      <c r="BM81" s="77"/>
      <c r="BN81" s="86"/>
      <c r="BO81" s="86"/>
      <c r="BP81" s="85"/>
      <c r="BQ81" s="85"/>
      <c r="BR81" s="77"/>
    </row>
    <row r="82" spans="8:70" x14ac:dyDescent="0.3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9"/>
      <c r="AW82" s="129"/>
      <c r="AX82" s="129"/>
      <c r="AY82" s="125"/>
      <c r="AZ82" s="119"/>
      <c r="BA82" s="47"/>
      <c r="BB82" s="48"/>
      <c r="BC82" s="48"/>
      <c r="BD82" s="49"/>
      <c r="BE82" s="49"/>
      <c r="BF82" s="49"/>
      <c r="BG82" s="129"/>
      <c r="BH82" s="129"/>
      <c r="BI82" s="129"/>
      <c r="BJ82" s="125"/>
      <c r="BK82" s="119"/>
      <c r="BL82" s="119"/>
      <c r="BM82" s="77"/>
      <c r="BN82" s="86"/>
      <c r="BO82" s="86"/>
      <c r="BP82" s="85"/>
      <c r="BQ82" s="85"/>
      <c r="BR82" s="77"/>
    </row>
    <row r="83" spans="8:70" x14ac:dyDescent="0.3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9"/>
      <c r="AW83" s="129"/>
      <c r="AX83" s="129"/>
      <c r="AY83" s="125"/>
      <c r="AZ83" s="119"/>
      <c r="BA83" s="47"/>
      <c r="BB83" s="48"/>
      <c r="BC83" s="48"/>
      <c r="BD83" s="49"/>
      <c r="BE83" s="49"/>
      <c r="BF83" s="49"/>
      <c r="BG83" s="129"/>
      <c r="BH83" s="129"/>
      <c r="BI83" s="129"/>
      <c r="BJ83" s="125"/>
      <c r="BK83" s="119"/>
      <c r="BL83" s="119"/>
      <c r="BM83" s="77"/>
      <c r="BN83" s="86"/>
      <c r="BO83" s="86"/>
      <c r="BP83" s="85"/>
      <c r="BQ83" s="85"/>
      <c r="BR83" s="77"/>
    </row>
    <row r="84" spans="8:70" x14ac:dyDescent="0.3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9"/>
      <c r="AW84" s="129"/>
      <c r="AX84" s="129"/>
      <c r="AY84" s="125"/>
      <c r="AZ84" s="119"/>
      <c r="BA84" s="47"/>
      <c r="BB84" s="48"/>
      <c r="BC84" s="48"/>
      <c r="BD84" s="49"/>
      <c r="BE84" s="49"/>
      <c r="BF84" s="49"/>
      <c r="BG84" s="129"/>
      <c r="BH84" s="129"/>
      <c r="BI84" s="129"/>
      <c r="BJ84" s="125"/>
      <c r="BK84" s="119"/>
      <c r="BL84" s="119"/>
      <c r="BM84" s="77"/>
      <c r="BN84" s="86"/>
      <c r="BO84" s="86"/>
      <c r="BP84" s="85"/>
      <c r="BQ84" s="85"/>
      <c r="BR84" s="77"/>
    </row>
    <row r="85" spans="8:70" x14ac:dyDescent="0.3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9"/>
      <c r="AW85" s="129"/>
      <c r="AX85" s="129"/>
      <c r="AY85" s="125"/>
      <c r="AZ85" s="119"/>
      <c r="BA85" s="47"/>
      <c r="BB85" s="48"/>
      <c r="BC85" s="48"/>
      <c r="BD85" s="49"/>
      <c r="BE85" s="49"/>
      <c r="BF85" s="49"/>
      <c r="BG85" s="129"/>
      <c r="BH85" s="129"/>
      <c r="BI85" s="129"/>
      <c r="BJ85" s="125"/>
      <c r="BK85" s="119"/>
      <c r="BL85" s="119"/>
      <c r="BM85" s="77"/>
      <c r="BN85" s="86"/>
      <c r="BO85" s="86"/>
      <c r="BP85" s="85"/>
      <c r="BQ85" s="85"/>
      <c r="BR85" s="77"/>
    </row>
    <row r="86" spans="8:70" x14ac:dyDescent="0.3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9"/>
      <c r="AW86" s="129"/>
      <c r="AX86" s="129"/>
      <c r="AY86" s="125"/>
      <c r="AZ86" s="119"/>
      <c r="BA86" s="47"/>
      <c r="BB86" s="48"/>
      <c r="BC86" s="48"/>
      <c r="BD86" s="49"/>
      <c r="BE86" s="49"/>
      <c r="BF86" s="49"/>
      <c r="BG86" s="129"/>
      <c r="BH86" s="129"/>
      <c r="BI86" s="129"/>
      <c r="BJ86" s="125"/>
      <c r="BK86" s="119"/>
      <c r="BL86" s="119"/>
      <c r="BM86" s="77"/>
      <c r="BN86" s="86"/>
      <c r="BO86" s="86"/>
      <c r="BP86" s="85"/>
      <c r="BQ86" s="85"/>
      <c r="BR86" s="77"/>
    </row>
    <row r="87" spans="8:70" x14ac:dyDescent="0.3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9"/>
      <c r="AW87" s="129"/>
      <c r="AX87" s="129"/>
      <c r="AY87" s="125"/>
      <c r="AZ87" s="119"/>
      <c r="BA87" s="47"/>
      <c r="BB87" s="48"/>
      <c r="BC87" s="48"/>
      <c r="BD87" s="49"/>
      <c r="BE87" s="49"/>
      <c r="BF87" s="49"/>
      <c r="BG87" s="129"/>
      <c r="BH87" s="129"/>
      <c r="BI87" s="129"/>
      <c r="BJ87" s="125"/>
      <c r="BK87" s="119"/>
      <c r="BL87" s="119"/>
      <c r="BM87" s="77"/>
      <c r="BN87" s="86"/>
      <c r="BO87" s="86"/>
      <c r="BP87" s="85"/>
      <c r="BQ87" s="85"/>
      <c r="BR87" s="77"/>
    </row>
    <row r="88" spans="8:70" x14ac:dyDescent="0.3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9"/>
      <c r="AW88" s="129"/>
      <c r="AX88" s="129"/>
      <c r="AY88" s="125"/>
      <c r="AZ88" s="119"/>
      <c r="BA88" s="47"/>
      <c r="BB88" s="48"/>
      <c r="BC88" s="48"/>
      <c r="BD88" s="49"/>
      <c r="BE88" s="49"/>
      <c r="BF88" s="49"/>
      <c r="BG88" s="129"/>
      <c r="BH88" s="129"/>
      <c r="BI88" s="129"/>
      <c r="BJ88" s="125"/>
      <c r="BK88" s="119"/>
      <c r="BL88" s="119"/>
      <c r="BM88" s="77"/>
      <c r="BN88" s="86"/>
      <c r="BO88" s="86"/>
      <c r="BP88" s="85"/>
      <c r="BQ88" s="85"/>
      <c r="BR88" s="77"/>
    </row>
    <row r="89" spans="8:70" x14ac:dyDescent="0.3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9"/>
      <c r="AW89" s="129"/>
      <c r="AX89" s="129"/>
      <c r="AY89" s="125"/>
      <c r="AZ89" s="119"/>
      <c r="BA89" s="47"/>
      <c r="BB89" s="48"/>
      <c r="BC89" s="48"/>
      <c r="BD89" s="49"/>
      <c r="BE89" s="49"/>
      <c r="BF89" s="49"/>
      <c r="BG89" s="129"/>
      <c r="BH89" s="129"/>
      <c r="BI89" s="129"/>
      <c r="BJ89" s="125"/>
      <c r="BK89" s="119"/>
      <c r="BL89" s="119"/>
      <c r="BM89" s="77"/>
      <c r="BN89" s="86"/>
      <c r="BO89" s="86"/>
      <c r="BP89" s="85"/>
      <c r="BQ89" s="85"/>
      <c r="BR89" s="77"/>
    </row>
    <row r="90" spans="8:70" x14ac:dyDescent="0.3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9"/>
      <c r="AW90" s="129"/>
      <c r="AX90" s="129"/>
      <c r="AY90" s="125"/>
      <c r="AZ90" s="119"/>
      <c r="BA90" s="47"/>
      <c r="BB90" s="48"/>
      <c r="BC90" s="48"/>
      <c r="BD90" s="49"/>
      <c r="BE90" s="49"/>
      <c r="BF90" s="49"/>
      <c r="BG90" s="129"/>
      <c r="BH90" s="129"/>
      <c r="BI90" s="129"/>
      <c r="BJ90" s="125"/>
      <c r="BK90" s="119"/>
      <c r="BL90" s="119"/>
      <c r="BM90" s="77"/>
      <c r="BN90" s="86"/>
      <c r="BO90" s="86"/>
      <c r="BP90" s="85"/>
      <c r="BQ90" s="85"/>
      <c r="BR90" s="77"/>
    </row>
    <row r="91" spans="8:70" x14ac:dyDescent="0.3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9"/>
      <c r="AW91" s="129"/>
      <c r="AX91" s="129"/>
      <c r="AY91" s="125"/>
      <c r="AZ91" s="119"/>
      <c r="BA91" s="47"/>
      <c r="BB91" s="48"/>
      <c r="BC91" s="48"/>
      <c r="BD91" s="49"/>
      <c r="BE91" s="49"/>
      <c r="BF91" s="49"/>
      <c r="BG91" s="129"/>
      <c r="BH91" s="129"/>
      <c r="BI91" s="129"/>
      <c r="BJ91" s="125"/>
      <c r="BK91" s="119"/>
      <c r="BL91" s="119"/>
      <c r="BM91" s="77"/>
      <c r="BN91" s="86"/>
      <c r="BO91" s="86"/>
      <c r="BP91" s="85"/>
      <c r="BQ91" s="85"/>
      <c r="BR91" s="77"/>
    </row>
    <row r="92" spans="8:70" x14ac:dyDescent="0.3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9"/>
      <c r="AW92" s="129"/>
      <c r="AX92" s="129"/>
      <c r="AY92" s="125"/>
      <c r="AZ92" s="119"/>
      <c r="BA92" s="47"/>
      <c r="BB92" s="48"/>
      <c r="BC92" s="48"/>
      <c r="BD92" s="49"/>
      <c r="BE92" s="49"/>
      <c r="BF92" s="49"/>
      <c r="BG92" s="129"/>
      <c r="BH92" s="129"/>
      <c r="BI92" s="129"/>
      <c r="BJ92" s="125"/>
      <c r="BK92" s="119"/>
      <c r="BL92" s="119"/>
      <c r="BM92" s="77"/>
      <c r="BN92" s="86"/>
      <c r="BO92" s="86"/>
      <c r="BP92" s="85"/>
      <c r="BQ92" s="85"/>
      <c r="BR92" s="77"/>
    </row>
    <row r="93" spans="8:70" x14ac:dyDescent="0.3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9"/>
      <c r="AW93" s="129"/>
      <c r="AX93" s="129"/>
      <c r="AY93" s="125"/>
      <c r="AZ93" s="119"/>
      <c r="BA93" s="47"/>
      <c r="BB93" s="48"/>
      <c r="BC93" s="48"/>
      <c r="BD93" s="49"/>
      <c r="BE93" s="49"/>
      <c r="BF93" s="49"/>
      <c r="BG93" s="129"/>
      <c r="BH93" s="129"/>
      <c r="BI93" s="129"/>
      <c r="BJ93" s="125"/>
      <c r="BK93" s="119"/>
      <c r="BL93" s="119"/>
      <c r="BM93" s="77"/>
      <c r="BN93" s="86"/>
      <c r="BO93" s="86"/>
      <c r="BP93" s="85"/>
      <c r="BQ93" s="85"/>
      <c r="BR93" s="77"/>
    </row>
    <row r="94" spans="8:70" x14ac:dyDescent="0.3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9"/>
      <c r="AW94" s="129"/>
      <c r="AX94" s="129"/>
      <c r="AY94" s="125"/>
      <c r="AZ94" s="119"/>
      <c r="BA94" s="47"/>
      <c r="BB94" s="48"/>
      <c r="BC94" s="48"/>
      <c r="BD94" s="49"/>
      <c r="BE94" s="49"/>
      <c r="BF94" s="49"/>
      <c r="BG94" s="129"/>
      <c r="BH94" s="129"/>
      <c r="BI94" s="129"/>
      <c r="BJ94" s="125"/>
      <c r="BK94" s="119"/>
      <c r="BL94" s="119"/>
      <c r="BM94" s="77"/>
      <c r="BN94" s="86"/>
      <c r="BO94" s="86"/>
      <c r="BP94" s="85"/>
      <c r="BQ94" s="85"/>
      <c r="BR94" s="77"/>
    </row>
    <row r="95" spans="8:70" x14ac:dyDescent="0.3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9"/>
      <c r="AW95" s="129"/>
      <c r="AX95" s="129"/>
      <c r="AY95" s="125"/>
      <c r="AZ95" s="119"/>
      <c r="BA95" s="47"/>
      <c r="BB95" s="48"/>
      <c r="BC95" s="48"/>
      <c r="BD95" s="49"/>
      <c r="BE95" s="49"/>
      <c r="BF95" s="49"/>
      <c r="BG95" s="129"/>
      <c r="BH95" s="129"/>
      <c r="BI95" s="129"/>
      <c r="BJ95" s="125"/>
      <c r="BK95" s="119"/>
      <c r="BL95" s="119"/>
      <c r="BM95" s="77"/>
      <c r="BN95" s="86"/>
      <c r="BO95" s="86"/>
      <c r="BP95" s="85"/>
      <c r="BQ95" s="85"/>
      <c r="BR95" s="77"/>
    </row>
    <row r="96" spans="8:70" x14ac:dyDescent="0.3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9"/>
      <c r="AW96" s="129"/>
      <c r="AX96" s="129"/>
      <c r="AY96" s="125"/>
      <c r="AZ96" s="119"/>
      <c r="BA96" s="47"/>
      <c r="BB96" s="48"/>
      <c r="BC96" s="48"/>
      <c r="BD96" s="49"/>
      <c r="BE96" s="49"/>
      <c r="BF96" s="49"/>
      <c r="BG96" s="129"/>
      <c r="BH96" s="129"/>
      <c r="BI96" s="129"/>
      <c r="BJ96" s="125"/>
      <c r="BK96" s="119"/>
      <c r="BL96" s="119"/>
      <c r="BM96" s="77"/>
      <c r="BN96" s="86"/>
      <c r="BO96" s="86"/>
      <c r="BP96" s="85"/>
      <c r="BQ96" s="85"/>
      <c r="BR96" s="77"/>
    </row>
    <row r="97" spans="8:70" x14ac:dyDescent="0.3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9"/>
      <c r="AW97" s="129"/>
      <c r="AX97" s="129"/>
      <c r="AY97" s="125"/>
      <c r="AZ97" s="119"/>
      <c r="BA97" s="47"/>
      <c r="BB97" s="48"/>
      <c r="BC97" s="48"/>
      <c r="BD97" s="49"/>
      <c r="BE97" s="49"/>
      <c r="BF97" s="49"/>
      <c r="BG97" s="129"/>
      <c r="BH97" s="129"/>
      <c r="BI97" s="129"/>
      <c r="BJ97" s="125"/>
      <c r="BK97" s="119"/>
      <c r="BL97" s="119"/>
      <c r="BM97" s="77"/>
      <c r="BN97" s="86"/>
      <c r="BO97" s="86"/>
      <c r="BP97" s="85"/>
      <c r="BQ97" s="85"/>
      <c r="BR97" s="77"/>
    </row>
    <row r="98" spans="8:70" x14ac:dyDescent="0.3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9"/>
      <c r="AW98" s="129"/>
      <c r="AX98" s="129"/>
      <c r="AY98" s="125"/>
      <c r="AZ98" s="119"/>
      <c r="BA98" s="47"/>
      <c r="BB98" s="48"/>
      <c r="BC98" s="48"/>
      <c r="BD98" s="49"/>
      <c r="BE98" s="49"/>
      <c r="BF98" s="49"/>
      <c r="BG98" s="129"/>
      <c r="BH98" s="129"/>
      <c r="BI98" s="129"/>
      <c r="BJ98" s="125"/>
      <c r="BK98" s="119"/>
      <c r="BL98" s="119"/>
      <c r="BM98" s="77"/>
      <c r="BN98" s="86"/>
      <c r="BO98" s="86"/>
      <c r="BP98" s="85"/>
      <c r="BQ98" s="85"/>
      <c r="BR98" s="77"/>
    </row>
    <row r="99" spans="8:70" x14ac:dyDescent="0.3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9"/>
      <c r="AW99" s="129"/>
      <c r="AX99" s="129"/>
      <c r="AY99" s="125"/>
      <c r="AZ99" s="119"/>
      <c r="BA99" s="47"/>
      <c r="BB99" s="48"/>
      <c r="BC99" s="48"/>
      <c r="BD99" s="49"/>
      <c r="BE99" s="49"/>
      <c r="BF99" s="49"/>
      <c r="BG99" s="129"/>
      <c r="BH99" s="129"/>
      <c r="BI99" s="129"/>
      <c r="BJ99" s="125"/>
      <c r="BK99" s="119"/>
      <c r="BL99" s="119"/>
      <c r="BM99" s="77"/>
      <c r="BN99" s="86"/>
      <c r="BO99" s="86"/>
      <c r="BP99" s="85"/>
      <c r="BQ99" s="85"/>
      <c r="BR99" s="77"/>
    </row>
    <row r="100" spans="8:70" x14ac:dyDescent="0.3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9"/>
      <c r="AW100" s="129"/>
      <c r="AX100" s="129"/>
      <c r="AY100" s="125"/>
      <c r="AZ100" s="119"/>
      <c r="BA100" s="47"/>
      <c r="BB100" s="48"/>
      <c r="BC100" s="48"/>
      <c r="BD100" s="49"/>
      <c r="BE100" s="49"/>
      <c r="BF100" s="49"/>
      <c r="BG100" s="129"/>
      <c r="BH100" s="129"/>
      <c r="BI100" s="129"/>
      <c r="BJ100" s="125"/>
      <c r="BK100" s="119"/>
      <c r="BL100" s="119"/>
      <c r="BM100" s="77"/>
      <c r="BN100" s="86"/>
      <c r="BO100" s="86"/>
      <c r="BP100" s="85"/>
      <c r="BQ100" s="85"/>
      <c r="BR100" s="77"/>
    </row>
    <row r="101" spans="8:70" x14ac:dyDescent="0.3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9"/>
      <c r="AW101" s="129"/>
      <c r="AX101" s="129"/>
      <c r="AY101" s="125"/>
      <c r="AZ101" s="119"/>
      <c r="BA101" s="47"/>
      <c r="BB101" s="48"/>
      <c r="BC101" s="48"/>
      <c r="BD101" s="49"/>
      <c r="BE101" s="49"/>
      <c r="BF101" s="49"/>
      <c r="BG101" s="129"/>
      <c r="BH101" s="129"/>
      <c r="BI101" s="129"/>
      <c r="BJ101" s="125"/>
      <c r="BK101" s="119"/>
      <c r="BL101" s="119"/>
      <c r="BM101" s="77"/>
      <c r="BN101" s="86"/>
      <c r="BO101" s="86"/>
      <c r="BP101" s="85"/>
      <c r="BQ101" s="85"/>
      <c r="BR101" s="77"/>
    </row>
    <row r="102" spans="8:70" x14ac:dyDescent="0.3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9"/>
      <c r="AW102" s="129"/>
      <c r="AX102" s="129"/>
      <c r="AY102" s="125"/>
      <c r="AZ102" s="119"/>
      <c r="BA102" s="47"/>
      <c r="BB102" s="48"/>
      <c r="BC102" s="48"/>
      <c r="BD102" s="49"/>
      <c r="BE102" s="49"/>
      <c r="BF102" s="49"/>
      <c r="BG102" s="129"/>
      <c r="BH102" s="129"/>
      <c r="BI102" s="129"/>
      <c r="BJ102" s="125"/>
      <c r="BK102" s="119"/>
      <c r="BL102" s="119"/>
      <c r="BM102" s="77"/>
      <c r="BN102" s="86"/>
      <c r="BO102" s="86"/>
      <c r="BP102" s="85"/>
      <c r="BQ102" s="85"/>
      <c r="BR102" s="77"/>
    </row>
    <row r="103" spans="8:70" x14ac:dyDescent="0.3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9"/>
      <c r="AW103" s="129"/>
      <c r="AX103" s="129"/>
      <c r="AY103" s="125"/>
      <c r="AZ103" s="119"/>
      <c r="BA103" s="47"/>
      <c r="BB103" s="48"/>
      <c r="BC103" s="48"/>
      <c r="BD103" s="49"/>
      <c r="BE103" s="49"/>
      <c r="BF103" s="49"/>
      <c r="BG103" s="129"/>
      <c r="BH103" s="129"/>
      <c r="BI103" s="129"/>
      <c r="BJ103" s="125"/>
      <c r="BK103" s="119"/>
      <c r="BL103" s="119"/>
      <c r="BM103" s="77"/>
      <c r="BN103" s="86"/>
      <c r="BO103" s="86"/>
      <c r="BP103" s="85"/>
      <c r="BQ103" s="85"/>
      <c r="BR103" s="77"/>
    </row>
    <row r="104" spans="8:70" x14ac:dyDescent="0.3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9"/>
      <c r="AW104" s="129"/>
      <c r="AX104" s="129"/>
      <c r="AY104" s="125"/>
      <c r="AZ104" s="119"/>
      <c r="BA104" s="47"/>
      <c r="BB104" s="48"/>
      <c r="BC104" s="48"/>
      <c r="BD104" s="49"/>
      <c r="BE104" s="49"/>
      <c r="BF104" s="49"/>
      <c r="BG104" s="129"/>
      <c r="BH104" s="129"/>
      <c r="BI104" s="129"/>
      <c r="BJ104" s="125"/>
      <c r="BK104" s="119"/>
      <c r="BL104" s="119"/>
      <c r="BM104" s="77"/>
      <c r="BN104" s="86"/>
      <c r="BO104" s="86"/>
      <c r="BP104" s="85"/>
      <c r="BQ104" s="85"/>
      <c r="BR104" s="77"/>
    </row>
    <row r="105" spans="8:70" x14ac:dyDescent="0.3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9"/>
      <c r="AW105" s="129"/>
      <c r="AX105" s="129"/>
      <c r="AY105" s="125"/>
      <c r="AZ105" s="119"/>
      <c r="BA105" s="47"/>
      <c r="BB105" s="48"/>
      <c r="BC105" s="48"/>
      <c r="BD105" s="49"/>
      <c r="BE105" s="49"/>
      <c r="BF105" s="49"/>
      <c r="BG105" s="129"/>
      <c r="BH105" s="129"/>
      <c r="BI105" s="129"/>
      <c r="BJ105" s="125"/>
      <c r="BK105" s="119"/>
      <c r="BL105" s="119"/>
      <c r="BM105" s="77"/>
      <c r="BN105" s="86"/>
      <c r="BO105" s="86"/>
      <c r="BP105" s="85"/>
      <c r="BQ105" s="85"/>
      <c r="BR105" s="77"/>
    </row>
    <row r="106" spans="8:70" x14ac:dyDescent="0.3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9"/>
      <c r="AW106" s="129"/>
      <c r="AX106" s="129"/>
      <c r="AY106" s="125"/>
      <c r="AZ106" s="119"/>
      <c r="BA106" s="47"/>
      <c r="BB106" s="48"/>
      <c r="BC106" s="48"/>
      <c r="BD106" s="49"/>
      <c r="BE106" s="49"/>
      <c r="BF106" s="49"/>
      <c r="BG106" s="129"/>
      <c r="BH106" s="129"/>
      <c r="BI106" s="129"/>
      <c r="BJ106" s="125"/>
      <c r="BK106" s="119"/>
      <c r="BL106" s="119"/>
      <c r="BM106" s="77"/>
      <c r="BN106" s="86"/>
      <c r="BO106" s="86"/>
      <c r="BP106" s="85"/>
      <c r="BQ106" s="85"/>
      <c r="BR106" s="77"/>
    </row>
    <row r="107" spans="8:70" x14ac:dyDescent="0.3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9"/>
      <c r="AW107" s="129"/>
      <c r="AX107" s="129"/>
      <c r="AY107" s="125"/>
      <c r="AZ107" s="119"/>
      <c r="BA107" s="47"/>
      <c r="BB107" s="48"/>
      <c r="BC107" s="48"/>
      <c r="BD107" s="49"/>
      <c r="BE107" s="49"/>
      <c r="BF107" s="49"/>
      <c r="BG107" s="129"/>
      <c r="BH107" s="129"/>
      <c r="BI107" s="129"/>
      <c r="BJ107" s="125"/>
      <c r="BK107" s="119"/>
      <c r="BL107" s="119"/>
      <c r="BM107" s="77"/>
      <c r="BN107" s="86"/>
      <c r="BO107" s="86"/>
      <c r="BP107" s="85"/>
      <c r="BQ107" s="85"/>
      <c r="BR107" s="77"/>
    </row>
    <row r="108" spans="8:70" x14ac:dyDescent="0.3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9"/>
      <c r="AW108" s="129"/>
      <c r="AX108" s="129"/>
      <c r="AY108" s="125"/>
      <c r="AZ108" s="119"/>
      <c r="BA108" s="47"/>
      <c r="BB108" s="48"/>
      <c r="BC108" s="48"/>
      <c r="BD108" s="49"/>
      <c r="BE108" s="49"/>
      <c r="BF108" s="49"/>
      <c r="BG108" s="129"/>
      <c r="BH108" s="129"/>
      <c r="BI108" s="129"/>
      <c r="BJ108" s="125"/>
      <c r="BK108" s="119"/>
      <c r="BL108" s="119"/>
      <c r="BM108" s="77"/>
      <c r="BN108" s="86"/>
      <c r="BO108" s="86"/>
      <c r="BP108" s="85"/>
      <c r="BQ108" s="85"/>
      <c r="BR108" s="77"/>
    </row>
    <row r="109" spans="8:70" x14ac:dyDescent="0.3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9"/>
      <c r="AW109" s="129"/>
      <c r="AX109" s="129"/>
      <c r="AY109" s="125"/>
      <c r="AZ109" s="119"/>
      <c r="BA109" s="47"/>
      <c r="BB109" s="48"/>
      <c r="BC109" s="48"/>
      <c r="BD109" s="49"/>
      <c r="BE109" s="49"/>
      <c r="BF109" s="49"/>
      <c r="BG109" s="129"/>
      <c r="BH109" s="129"/>
      <c r="BI109" s="129"/>
      <c r="BJ109" s="125"/>
      <c r="BK109" s="119"/>
      <c r="BL109" s="119"/>
      <c r="BM109" s="77"/>
      <c r="BN109" s="86"/>
      <c r="BO109" s="86"/>
      <c r="BP109" s="85"/>
      <c r="BQ109" s="85"/>
      <c r="BR109" s="77"/>
    </row>
    <row r="110" spans="8:70" x14ac:dyDescent="0.3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9"/>
      <c r="AW110" s="129"/>
      <c r="AX110" s="129"/>
      <c r="AY110" s="125"/>
      <c r="AZ110" s="119"/>
      <c r="BA110" s="47"/>
      <c r="BB110" s="48"/>
      <c r="BC110" s="48"/>
      <c r="BD110" s="49"/>
      <c r="BE110" s="49"/>
      <c r="BF110" s="49"/>
      <c r="BG110" s="129"/>
      <c r="BH110" s="129"/>
      <c r="BI110" s="129"/>
      <c r="BJ110" s="125"/>
      <c r="BK110" s="119"/>
      <c r="BL110" s="119"/>
      <c r="BM110" s="77"/>
      <c r="BN110" s="86"/>
      <c r="BO110" s="86"/>
      <c r="BP110" s="85"/>
      <c r="BQ110" s="85"/>
      <c r="BR110" s="77"/>
    </row>
    <row r="111" spans="8:70" x14ac:dyDescent="0.3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9"/>
      <c r="AW111" s="129"/>
      <c r="AX111" s="129"/>
      <c r="AY111" s="125"/>
      <c r="AZ111" s="119"/>
      <c r="BA111" s="47"/>
      <c r="BB111" s="48"/>
      <c r="BC111" s="48"/>
      <c r="BD111" s="49"/>
      <c r="BE111" s="49"/>
      <c r="BF111" s="49"/>
      <c r="BG111" s="129"/>
      <c r="BH111" s="129"/>
      <c r="BI111" s="129"/>
      <c r="BJ111" s="125"/>
      <c r="BK111" s="119"/>
      <c r="BL111" s="119"/>
      <c r="BM111" s="77"/>
      <c r="BN111" s="86"/>
      <c r="BO111" s="86"/>
      <c r="BP111" s="85"/>
      <c r="BQ111" s="85"/>
      <c r="BR111" s="77"/>
    </row>
    <row r="112" spans="8:70" x14ac:dyDescent="0.3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9"/>
      <c r="AW112" s="129"/>
      <c r="AX112" s="129"/>
      <c r="AY112" s="125"/>
      <c r="AZ112" s="119"/>
      <c r="BA112" s="47"/>
      <c r="BB112" s="48"/>
      <c r="BC112" s="48"/>
      <c r="BD112" s="49"/>
      <c r="BE112" s="49"/>
      <c r="BF112" s="49"/>
      <c r="BG112" s="129"/>
      <c r="BH112" s="129"/>
      <c r="BI112" s="129"/>
      <c r="BJ112" s="125"/>
      <c r="BK112" s="119"/>
      <c r="BL112" s="119"/>
      <c r="BM112" s="77"/>
      <c r="BN112" s="86"/>
      <c r="BO112" s="86"/>
      <c r="BP112" s="85"/>
      <c r="BQ112" s="85"/>
      <c r="BR112" s="77"/>
    </row>
    <row r="113" spans="8:70" x14ac:dyDescent="0.3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9"/>
      <c r="AW113" s="129"/>
      <c r="AX113" s="129"/>
      <c r="AY113" s="125"/>
      <c r="AZ113" s="119"/>
      <c r="BA113" s="47"/>
      <c r="BB113" s="48"/>
      <c r="BC113" s="48"/>
      <c r="BD113" s="49"/>
      <c r="BE113" s="49"/>
      <c r="BF113" s="49"/>
      <c r="BG113" s="129"/>
      <c r="BH113" s="129"/>
      <c r="BI113" s="129"/>
      <c r="BJ113" s="125"/>
      <c r="BK113" s="119"/>
      <c r="BL113" s="119"/>
      <c r="BM113" s="77"/>
      <c r="BN113" s="86"/>
      <c r="BO113" s="86"/>
      <c r="BP113" s="85"/>
      <c r="BQ113" s="85"/>
      <c r="BR113" s="77"/>
    </row>
    <row r="114" spans="8:70" x14ac:dyDescent="0.3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9"/>
      <c r="AW114" s="129"/>
      <c r="AX114" s="129"/>
      <c r="AY114" s="125"/>
      <c r="AZ114" s="119"/>
      <c r="BA114" s="47"/>
      <c r="BB114" s="48"/>
      <c r="BC114" s="48"/>
      <c r="BD114" s="49"/>
      <c r="BE114" s="49"/>
      <c r="BF114" s="49"/>
      <c r="BG114" s="129"/>
      <c r="BH114" s="129"/>
      <c r="BI114" s="129"/>
      <c r="BJ114" s="125"/>
      <c r="BK114" s="119"/>
      <c r="BL114" s="119"/>
      <c r="BM114" s="77"/>
      <c r="BN114" s="86"/>
      <c r="BO114" s="86"/>
      <c r="BP114" s="85"/>
      <c r="BQ114" s="85"/>
      <c r="BR114" s="77"/>
    </row>
    <row r="115" spans="8:70" x14ac:dyDescent="0.3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9"/>
      <c r="AW115" s="129"/>
      <c r="AX115" s="129"/>
      <c r="AY115" s="125"/>
      <c r="AZ115" s="119"/>
      <c r="BA115" s="47"/>
      <c r="BB115" s="48"/>
      <c r="BC115" s="48"/>
      <c r="BD115" s="49"/>
      <c r="BE115" s="49"/>
      <c r="BF115" s="49"/>
      <c r="BG115" s="129"/>
      <c r="BH115" s="129"/>
      <c r="BI115" s="129"/>
      <c r="BJ115" s="125"/>
      <c r="BK115" s="119"/>
      <c r="BL115" s="119"/>
      <c r="BM115" s="77"/>
      <c r="BN115" s="86"/>
      <c r="BO115" s="86"/>
      <c r="BP115" s="85"/>
      <c r="BQ115" s="85"/>
      <c r="BR115" s="77"/>
    </row>
    <row r="116" spans="8:70" x14ac:dyDescent="0.3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9"/>
      <c r="AW116" s="129"/>
      <c r="AX116" s="129"/>
      <c r="AY116" s="125"/>
      <c r="AZ116" s="119"/>
      <c r="BA116" s="47"/>
      <c r="BB116" s="48"/>
      <c r="BC116" s="48"/>
      <c r="BD116" s="49"/>
      <c r="BE116" s="49"/>
      <c r="BF116" s="49"/>
      <c r="BG116" s="129"/>
      <c r="BH116" s="129"/>
      <c r="BI116" s="129"/>
      <c r="BJ116" s="125"/>
      <c r="BK116" s="119"/>
      <c r="BL116" s="119"/>
      <c r="BM116" s="77"/>
      <c r="BN116" s="86"/>
      <c r="BO116" s="86"/>
      <c r="BP116" s="85"/>
      <c r="BQ116" s="85"/>
      <c r="BR116" s="77"/>
    </row>
    <row r="117" spans="8:70" x14ac:dyDescent="0.3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9"/>
      <c r="AW117" s="129"/>
      <c r="AX117" s="129"/>
      <c r="AY117" s="125"/>
      <c r="AZ117" s="119"/>
      <c r="BA117" s="47"/>
      <c r="BB117" s="48"/>
      <c r="BC117" s="48"/>
      <c r="BD117" s="49"/>
      <c r="BE117" s="49"/>
      <c r="BF117" s="49"/>
      <c r="BG117" s="129"/>
      <c r="BH117" s="129"/>
      <c r="BI117" s="129"/>
      <c r="BJ117" s="125"/>
      <c r="BK117" s="119"/>
      <c r="BL117" s="119"/>
      <c r="BM117" s="77"/>
      <c r="BN117" s="86"/>
      <c r="BO117" s="86"/>
      <c r="BP117" s="85"/>
      <c r="BQ117" s="85"/>
      <c r="BR117" s="77"/>
    </row>
    <row r="118" spans="8:70" x14ac:dyDescent="0.3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9"/>
      <c r="AW118" s="129"/>
      <c r="AX118" s="129"/>
      <c r="AY118" s="125"/>
      <c r="AZ118" s="119"/>
      <c r="BA118" s="47"/>
      <c r="BB118" s="48"/>
      <c r="BC118" s="48"/>
      <c r="BD118" s="49"/>
      <c r="BE118" s="49"/>
      <c r="BF118" s="49"/>
      <c r="BG118" s="129"/>
      <c r="BH118" s="129"/>
      <c r="BI118" s="129"/>
      <c r="BJ118" s="125"/>
      <c r="BK118" s="119"/>
      <c r="BL118" s="119"/>
      <c r="BM118" s="77"/>
      <c r="BN118" s="86"/>
      <c r="BO118" s="86"/>
      <c r="BP118" s="85"/>
      <c r="BQ118" s="85"/>
      <c r="BR118" s="77"/>
    </row>
    <row r="119" spans="8:70" x14ac:dyDescent="0.3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9"/>
      <c r="AW119" s="129"/>
      <c r="AX119" s="129"/>
      <c r="AY119" s="125"/>
      <c r="AZ119" s="119"/>
      <c r="BA119" s="47"/>
      <c r="BB119" s="48"/>
      <c r="BC119" s="48"/>
      <c r="BD119" s="49"/>
      <c r="BE119" s="49"/>
      <c r="BF119" s="49"/>
      <c r="BG119" s="129"/>
      <c r="BH119" s="129"/>
      <c r="BI119" s="129"/>
      <c r="BJ119" s="125"/>
      <c r="BK119" s="119"/>
      <c r="BL119" s="119"/>
      <c r="BM119" s="77"/>
      <c r="BN119" s="86"/>
      <c r="BO119" s="86"/>
      <c r="BP119" s="85"/>
      <c r="BQ119" s="85"/>
      <c r="BR119" s="77"/>
    </row>
    <row r="120" spans="8:70" x14ac:dyDescent="0.3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9"/>
      <c r="AW120" s="129"/>
      <c r="AX120" s="129"/>
      <c r="AY120" s="125"/>
      <c r="AZ120" s="119"/>
      <c r="BA120" s="47"/>
      <c r="BB120" s="48"/>
      <c r="BC120" s="48"/>
      <c r="BD120" s="49"/>
      <c r="BE120" s="49"/>
      <c r="BF120" s="49"/>
      <c r="BG120" s="129"/>
      <c r="BH120" s="129"/>
      <c r="BI120" s="129"/>
      <c r="BJ120" s="125"/>
      <c r="BK120" s="119"/>
      <c r="BL120" s="119"/>
      <c r="BM120" s="77"/>
      <c r="BN120" s="86"/>
      <c r="BO120" s="86"/>
      <c r="BP120" s="85"/>
      <c r="BQ120" s="85"/>
      <c r="BR120" s="77"/>
    </row>
    <row r="121" spans="8:70" x14ac:dyDescent="0.3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9"/>
      <c r="AW121" s="129"/>
      <c r="AX121" s="129"/>
      <c r="AY121" s="125"/>
      <c r="AZ121" s="119"/>
      <c r="BA121" s="47"/>
      <c r="BB121" s="48"/>
      <c r="BC121" s="48"/>
      <c r="BD121" s="49"/>
      <c r="BE121" s="49"/>
      <c r="BF121" s="49"/>
      <c r="BG121" s="129"/>
      <c r="BH121" s="129"/>
      <c r="BI121" s="129"/>
      <c r="BJ121" s="125"/>
      <c r="BK121" s="119"/>
      <c r="BL121" s="119"/>
      <c r="BM121" s="77"/>
      <c r="BN121" s="86"/>
      <c r="BO121" s="86"/>
      <c r="BP121" s="85"/>
      <c r="BQ121" s="85"/>
      <c r="BR121" s="77"/>
    </row>
    <row r="122" spans="8:70" x14ac:dyDescent="0.3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9"/>
      <c r="AW122" s="129"/>
      <c r="AX122" s="129"/>
      <c r="AY122" s="125"/>
      <c r="AZ122" s="119"/>
      <c r="BA122" s="47"/>
      <c r="BB122" s="48"/>
      <c r="BC122" s="48"/>
      <c r="BD122" s="49"/>
      <c r="BE122" s="49"/>
      <c r="BF122" s="49"/>
      <c r="BG122" s="129"/>
      <c r="BH122" s="129"/>
      <c r="BI122" s="129"/>
      <c r="BJ122" s="125"/>
      <c r="BK122" s="119"/>
      <c r="BL122" s="119"/>
      <c r="BM122" s="77"/>
      <c r="BN122" s="86"/>
      <c r="BO122" s="86"/>
      <c r="BP122" s="85"/>
      <c r="BQ122" s="85"/>
      <c r="BR122" s="77"/>
    </row>
    <row r="123" spans="8:70" x14ac:dyDescent="0.3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9"/>
      <c r="AW123" s="129"/>
      <c r="AX123" s="129"/>
      <c r="AY123" s="125"/>
      <c r="AZ123" s="119"/>
      <c r="BA123" s="47"/>
      <c r="BB123" s="48"/>
      <c r="BC123" s="48"/>
      <c r="BD123" s="49"/>
      <c r="BE123" s="49"/>
      <c r="BF123" s="49"/>
      <c r="BG123" s="129"/>
      <c r="BH123" s="129"/>
      <c r="BI123" s="129"/>
      <c r="BJ123" s="125"/>
      <c r="BK123" s="119"/>
      <c r="BL123" s="119"/>
      <c r="BM123" s="77"/>
      <c r="BN123" s="86"/>
      <c r="BO123" s="86"/>
      <c r="BP123" s="85"/>
      <c r="BQ123" s="85"/>
      <c r="BR123" s="77"/>
    </row>
    <row r="124" spans="8:70" x14ac:dyDescent="0.3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9"/>
      <c r="AW124" s="129"/>
      <c r="AX124" s="129"/>
      <c r="AY124" s="125"/>
      <c r="AZ124" s="119"/>
      <c r="BA124" s="47"/>
      <c r="BB124" s="48"/>
      <c r="BC124" s="48"/>
      <c r="BD124" s="49"/>
      <c r="BE124" s="49"/>
      <c r="BF124" s="49"/>
      <c r="BG124" s="129"/>
      <c r="BH124" s="129"/>
      <c r="BI124" s="129"/>
      <c r="BJ124" s="125"/>
      <c r="BK124" s="119"/>
      <c r="BL124" s="119"/>
      <c r="BM124" s="77"/>
      <c r="BN124" s="86"/>
      <c r="BO124" s="86"/>
      <c r="BP124" s="85"/>
      <c r="BQ124" s="85"/>
      <c r="BR124" s="77"/>
    </row>
    <row r="125" spans="8:70" x14ac:dyDescent="0.3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9"/>
      <c r="AW125" s="129"/>
      <c r="AX125" s="129"/>
      <c r="AY125" s="125"/>
      <c r="AZ125" s="119"/>
      <c r="BA125" s="47"/>
      <c r="BB125" s="48"/>
      <c r="BC125" s="48"/>
      <c r="BD125" s="49"/>
      <c r="BE125" s="49"/>
      <c r="BF125" s="49"/>
      <c r="BG125" s="129"/>
      <c r="BH125" s="129"/>
      <c r="BI125" s="129"/>
      <c r="BJ125" s="125"/>
      <c r="BK125" s="119"/>
      <c r="BL125" s="119"/>
      <c r="BM125" s="77"/>
      <c r="BN125" s="86"/>
      <c r="BO125" s="86"/>
      <c r="BP125" s="85"/>
      <c r="BQ125" s="85"/>
      <c r="BR125" s="77"/>
    </row>
    <row r="126" spans="8:70" x14ac:dyDescent="0.3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9"/>
      <c r="AW126" s="129"/>
      <c r="AX126" s="129"/>
      <c r="AY126" s="125"/>
      <c r="AZ126" s="119"/>
      <c r="BA126" s="47"/>
      <c r="BB126" s="48"/>
      <c r="BC126" s="48"/>
      <c r="BD126" s="49"/>
      <c r="BE126" s="49"/>
      <c r="BF126" s="49"/>
      <c r="BG126" s="129"/>
      <c r="BH126" s="129"/>
      <c r="BI126" s="129"/>
      <c r="BJ126" s="125"/>
      <c r="BK126" s="119"/>
      <c r="BL126" s="119"/>
      <c r="BM126" s="77"/>
      <c r="BN126" s="86"/>
      <c r="BO126" s="86"/>
      <c r="BP126" s="85"/>
      <c r="BQ126" s="85"/>
      <c r="BR126" s="77"/>
    </row>
    <row r="127" spans="8:70" x14ac:dyDescent="0.3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9"/>
      <c r="AW127" s="129"/>
      <c r="AX127" s="129"/>
      <c r="AY127" s="125"/>
      <c r="AZ127" s="119"/>
      <c r="BA127" s="47"/>
      <c r="BB127" s="48"/>
      <c r="BC127" s="48"/>
      <c r="BD127" s="49"/>
      <c r="BE127" s="49"/>
      <c r="BF127" s="49"/>
      <c r="BG127" s="129"/>
      <c r="BH127" s="129"/>
      <c r="BI127" s="129"/>
      <c r="BJ127" s="125"/>
      <c r="BK127" s="119"/>
      <c r="BL127" s="119"/>
      <c r="BM127" s="77"/>
      <c r="BN127" s="86"/>
      <c r="BO127" s="86"/>
      <c r="BP127" s="85"/>
      <c r="BQ127" s="85"/>
      <c r="BR127" s="77"/>
    </row>
    <row r="128" spans="8:70" x14ac:dyDescent="0.3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9"/>
      <c r="AW128" s="129"/>
      <c r="AX128" s="129"/>
      <c r="AY128" s="125"/>
      <c r="AZ128" s="119"/>
      <c r="BA128" s="47"/>
      <c r="BB128" s="48"/>
      <c r="BC128" s="48"/>
      <c r="BD128" s="49"/>
      <c r="BE128" s="49"/>
      <c r="BF128" s="49"/>
      <c r="BG128" s="129"/>
      <c r="BH128" s="129"/>
      <c r="BI128" s="129"/>
      <c r="BJ128" s="125"/>
      <c r="BK128" s="119"/>
      <c r="BL128" s="119"/>
      <c r="BM128" s="77"/>
      <c r="BN128" s="86"/>
      <c r="BO128" s="86"/>
      <c r="BP128" s="85"/>
      <c r="BQ128" s="85"/>
      <c r="BR128" s="77"/>
    </row>
    <row r="129" spans="8:70" x14ac:dyDescent="0.3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9"/>
      <c r="AW129" s="129"/>
      <c r="AX129" s="129"/>
      <c r="AY129" s="125"/>
      <c r="AZ129" s="119"/>
      <c r="BA129" s="47"/>
      <c r="BB129" s="48"/>
      <c r="BC129" s="48"/>
      <c r="BD129" s="49"/>
      <c r="BE129" s="49"/>
      <c r="BF129" s="49"/>
      <c r="BG129" s="129"/>
      <c r="BH129" s="129"/>
      <c r="BI129" s="129"/>
      <c r="BJ129" s="125"/>
      <c r="BK129" s="119"/>
      <c r="BL129" s="119"/>
      <c r="BM129" s="77"/>
      <c r="BN129" s="86"/>
      <c r="BO129" s="86"/>
      <c r="BP129" s="85"/>
      <c r="BQ129" s="85"/>
      <c r="BR129" s="77"/>
    </row>
    <row r="130" spans="8:70" x14ac:dyDescent="0.3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9"/>
      <c r="AW130" s="129"/>
      <c r="AX130" s="129"/>
      <c r="AY130" s="125"/>
      <c r="AZ130" s="119"/>
      <c r="BA130" s="47"/>
      <c r="BB130" s="48"/>
      <c r="BC130" s="48"/>
      <c r="BD130" s="49"/>
      <c r="BE130" s="49"/>
      <c r="BF130" s="49"/>
      <c r="BG130" s="129"/>
      <c r="BH130" s="129"/>
      <c r="BI130" s="129"/>
      <c r="BJ130" s="125"/>
      <c r="BK130" s="119"/>
      <c r="BL130" s="119"/>
      <c r="BM130" s="77"/>
      <c r="BN130" s="86"/>
      <c r="BO130" s="86"/>
      <c r="BP130" s="85"/>
      <c r="BQ130" s="85"/>
      <c r="BR130" s="77"/>
    </row>
    <row r="131" spans="8:70" x14ac:dyDescent="0.3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9"/>
      <c r="AW131" s="129"/>
      <c r="AX131" s="129"/>
      <c r="AY131" s="125"/>
      <c r="AZ131" s="119"/>
      <c r="BA131" s="47"/>
      <c r="BB131" s="48"/>
      <c r="BC131" s="48"/>
      <c r="BD131" s="49"/>
      <c r="BE131" s="49"/>
      <c r="BF131" s="49"/>
      <c r="BG131" s="129"/>
      <c r="BH131" s="129"/>
      <c r="BI131" s="129"/>
      <c r="BJ131" s="125"/>
      <c r="BK131" s="119"/>
      <c r="BL131" s="119"/>
      <c r="BM131" s="77"/>
      <c r="BN131" s="86"/>
      <c r="BO131" s="86"/>
      <c r="BP131" s="85"/>
      <c r="BQ131" s="85"/>
      <c r="BR131" s="77"/>
    </row>
    <row r="132" spans="8:70" x14ac:dyDescent="0.3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9"/>
      <c r="AW132" s="129"/>
      <c r="AX132" s="129"/>
      <c r="AY132" s="125"/>
      <c r="AZ132" s="119"/>
      <c r="BA132" s="47"/>
      <c r="BB132" s="48"/>
      <c r="BC132" s="48"/>
      <c r="BD132" s="49"/>
      <c r="BE132" s="49"/>
      <c r="BF132" s="49"/>
      <c r="BG132" s="129"/>
      <c r="BH132" s="129"/>
      <c r="BI132" s="129"/>
      <c r="BJ132" s="125"/>
      <c r="BK132" s="119"/>
      <c r="BL132" s="119"/>
      <c r="BM132" s="77"/>
      <c r="BN132" s="86"/>
      <c r="BO132" s="86"/>
      <c r="BP132" s="85"/>
      <c r="BQ132" s="85"/>
      <c r="BR132" s="77"/>
    </row>
    <row r="133" spans="8:70" x14ac:dyDescent="0.3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9"/>
      <c r="AW133" s="129"/>
      <c r="AX133" s="129"/>
      <c r="AY133" s="125"/>
      <c r="AZ133" s="119"/>
      <c r="BA133" s="47"/>
      <c r="BB133" s="48"/>
      <c r="BC133" s="48"/>
      <c r="BD133" s="49"/>
      <c r="BE133" s="49"/>
      <c r="BF133" s="49"/>
      <c r="BG133" s="129"/>
      <c r="BH133" s="129"/>
      <c r="BI133" s="129"/>
      <c r="BJ133" s="125"/>
      <c r="BK133" s="119"/>
      <c r="BL133" s="119"/>
      <c r="BM133" s="77"/>
      <c r="BN133" s="86"/>
      <c r="BO133" s="86"/>
      <c r="BP133" s="85"/>
      <c r="BQ133" s="85"/>
      <c r="BR133" s="77"/>
    </row>
    <row r="134" spans="8:70" x14ac:dyDescent="0.3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9"/>
      <c r="AW134" s="129"/>
      <c r="AX134" s="129"/>
      <c r="AY134" s="125"/>
      <c r="AZ134" s="119"/>
      <c r="BA134" s="47"/>
      <c r="BB134" s="48"/>
      <c r="BC134" s="48"/>
      <c r="BD134" s="49"/>
      <c r="BE134" s="49"/>
      <c r="BF134" s="49"/>
      <c r="BG134" s="129"/>
      <c r="BH134" s="129"/>
      <c r="BI134" s="129"/>
      <c r="BJ134" s="125"/>
      <c r="BK134" s="119"/>
      <c r="BL134" s="119"/>
      <c r="BM134" s="77"/>
      <c r="BN134" s="86"/>
      <c r="BO134" s="86"/>
      <c r="BP134" s="85"/>
      <c r="BQ134" s="85"/>
      <c r="BR134" s="77"/>
    </row>
    <row r="135" spans="8:70" x14ac:dyDescent="0.3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9"/>
      <c r="AW135" s="129"/>
      <c r="AX135" s="129"/>
      <c r="AY135" s="125"/>
      <c r="AZ135" s="119"/>
      <c r="BA135" s="47"/>
      <c r="BB135" s="48"/>
      <c r="BC135" s="48"/>
      <c r="BD135" s="49"/>
      <c r="BE135" s="49"/>
      <c r="BF135" s="49"/>
      <c r="BG135" s="129"/>
      <c r="BH135" s="129"/>
      <c r="BI135" s="129"/>
      <c r="BJ135" s="125"/>
      <c r="BK135" s="119"/>
      <c r="BL135" s="119"/>
      <c r="BM135" s="77"/>
      <c r="BN135" s="86"/>
      <c r="BO135" s="86"/>
      <c r="BP135" s="85"/>
      <c r="BQ135" s="85"/>
      <c r="BR135" s="77"/>
    </row>
    <row r="136" spans="8:70" x14ac:dyDescent="0.3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9"/>
      <c r="AW136" s="129"/>
      <c r="AX136" s="129"/>
      <c r="AY136" s="125"/>
      <c r="AZ136" s="119"/>
      <c r="BA136" s="47"/>
      <c r="BB136" s="48"/>
      <c r="BC136" s="48"/>
      <c r="BD136" s="49"/>
      <c r="BE136" s="49"/>
      <c r="BF136" s="49"/>
      <c r="BG136" s="129"/>
      <c r="BH136" s="129"/>
      <c r="BI136" s="129"/>
      <c r="BJ136" s="125"/>
      <c r="BK136" s="119"/>
      <c r="BL136" s="119"/>
      <c r="BM136" s="77"/>
      <c r="BN136" s="86"/>
      <c r="BO136" s="86"/>
      <c r="BP136" s="85"/>
      <c r="BQ136" s="85"/>
      <c r="BR136" s="77"/>
    </row>
    <row r="137" spans="8:70" x14ac:dyDescent="0.3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9"/>
      <c r="AW137" s="129"/>
      <c r="AX137" s="129"/>
      <c r="AY137" s="125"/>
      <c r="AZ137" s="119"/>
      <c r="BA137" s="47"/>
      <c r="BB137" s="48"/>
      <c r="BC137" s="48"/>
      <c r="BD137" s="49"/>
      <c r="BE137" s="49"/>
      <c r="BF137" s="49"/>
      <c r="BG137" s="129"/>
      <c r="BH137" s="129"/>
      <c r="BI137" s="129"/>
      <c r="BJ137" s="125"/>
      <c r="BK137" s="119"/>
      <c r="BL137" s="119"/>
      <c r="BM137" s="77"/>
      <c r="BN137" s="86"/>
      <c r="BO137" s="86"/>
      <c r="BP137" s="85"/>
      <c r="BQ137" s="85"/>
      <c r="BR137" s="77"/>
    </row>
    <row r="138" spans="8:70" x14ac:dyDescent="0.3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9"/>
      <c r="AW138" s="129"/>
      <c r="AX138" s="129"/>
      <c r="AY138" s="125"/>
      <c r="AZ138" s="119"/>
      <c r="BA138" s="47"/>
      <c r="BB138" s="48"/>
      <c r="BC138" s="48"/>
      <c r="BD138" s="49"/>
      <c r="BE138" s="49"/>
      <c r="BF138" s="49"/>
      <c r="BG138" s="129"/>
      <c r="BH138" s="129"/>
      <c r="BI138" s="129"/>
      <c r="BJ138" s="125"/>
      <c r="BK138" s="119"/>
      <c r="BL138" s="119"/>
      <c r="BM138" s="77"/>
      <c r="BN138" s="86"/>
      <c r="BO138" s="86"/>
      <c r="BP138" s="85"/>
      <c r="BQ138" s="85"/>
      <c r="BR138" s="77"/>
    </row>
    <row r="139" spans="8:70" x14ac:dyDescent="0.3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9"/>
      <c r="AW139" s="129"/>
      <c r="AX139" s="129"/>
      <c r="AY139" s="125"/>
      <c r="AZ139" s="119"/>
      <c r="BA139" s="47"/>
      <c r="BB139" s="48"/>
      <c r="BC139" s="48"/>
      <c r="BD139" s="49"/>
      <c r="BE139" s="49"/>
      <c r="BF139" s="49"/>
      <c r="BG139" s="129"/>
      <c r="BH139" s="129"/>
      <c r="BI139" s="129"/>
      <c r="BJ139" s="125"/>
      <c r="BK139" s="119"/>
      <c r="BL139" s="119"/>
      <c r="BM139" s="77"/>
      <c r="BN139" s="86"/>
      <c r="BO139" s="86"/>
      <c r="BP139" s="85"/>
      <c r="BQ139" s="85"/>
      <c r="BR139" s="77"/>
    </row>
    <row r="140" spans="8:70" x14ac:dyDescent="0.3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9"/>
      <c r="AW140" s="129"/>
      <c r="AX140" s="129"/>
      <c r="AY140" s="125"/>
      <c r="AZ140" s="119"/>
      <c r="BA140" s="47"/>
      <c r="BB140" s="48"/>
      <c r="BC140" s="48"/>
      <c r="BD140" s="49"/>
      <c r="BE140" s="49"/>
      <c r="BF140" s="49"/>
      <c r="BG140" s="129"/>
      <c r="BH140" s="129"/>
      <c r="BI140" s="129"/>
      <c r="BJ140" s="125"/>
      <c r="BK140" s="119"/>
      <c r="BL140" s="119"/>
      <c r="BM140" s="77"/>
      <c r="BN140" s="86"/>
      <c r="BO140" s="86"/>
      <c r="BP140" s="85"/>
      <c r="BQ140" s="85"/>
      <c r="BR140" s="77"/>
    </row>
    <row r="141" spans="8:70" x14ac:dyDescent="0.3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9"/>
      <c r="AW141" s="129"/>
      <c r="AX141" s="129"/>
      <c r="AY141" s="125"/>
      <c r="AZ141" s="119"/>
      <c r="BA141" s="47"/>
      <c r="BB141" s="48"/>
      <c r="BC141" s="48"/>
      <c r="BD141" s="49"/>
      <c r="BE141" s="49"/>
      <c r="BF141" s="49"/>
      <c r="BG141" s="129"/>
      <c r="BH141" s="129"/>
      <c r="BI141" s="129"/>
      <c r="BJ141" s="125"/>
      <c r="BK141" s="119"/>
      <c r="BL141" s="119"/>
      <c r="BM141" s="77"/>
      <c r="BN141" s="86"/>
      <c r="BO141" s="86"/>
      <c r="BP141" s="85"/>
      <c r="BQ141" s="85"/>
      <c r="BR141" s="77"/>
    </row>
    <row r="142" spans="8:70" x14ac:dyDescent="0.3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9"/>
      <c r="AW142" s="129"/>
      <c r="AX142" s="129"/>
      <c r="AY142" s="125"/>
      <c r="AZ142" s="119"/>
      <c r="BA142" s="47"/>
      <c r="BB142" s="48"/>
      <c r="BC142" s="48"/>
      <c r="BD142" s="49"/>
      <c r="BE142" s="49"/>
      <c r="BF142" s="49"/>
      <c r="BG142" s="129"/>
      <c r="BH142" s="129"/>
      <c r="BI142" s="129"/>
      <c r="BJ142" s="125"/>
      <c r="BK142" s="119"/>
      <c r="BL142" s="119"/>
      <c r="BM142" s="77"/>
      <c r="BN142" s="86"/>
      <c r="BO142" s="86"/>
      <c r="BP142" s="85"/>
      <c r="BQ142" s="85"/>
      <c r="BR142" s="77"/>
    </row>
    <row r="143" spans="8:70" x14ac:dyDescent="0.3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9"/>
      <c r="AW143" s="129"/>
      <c r="AX143" s="129"/>
      <c r="AY143" s="125"/>
      <c r="AZ143" s="119"/>
      <c r="BA143" s="47"/>
      <c r="BB143" s="48"/>
      <c r="BC143" s="48"/>
      <c r="BD143" s="49"/>
      <c r="BE143" s="49"/>
      <c r="BF143" s="49"/>
      <c r="BG143" s="129"/>
      <c r="BH143" s="129"/>
      <c r="BI143" s="129"/>
      <c r="BJ143" s="125"/>
      <c r="BK143" s="119"/>
      <c r="BL143" s="119"/>
      <c r="BM143" s="77"/>
      <c r="BN143" s="86"/>
      <c r="BO143" s="86"/>
      <c r="BP143" s="85"/>
      <c r="BQ143" s="85"/>
      <c r="BR143" s="77"/>
    </row>
    <row r="144" spans="8:70" x14ac:dyDescent="0.3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9"/>
      <c r="AW144" s="129"/>
      <c r="AX144" s="129"/>
      <c r="AY144" s="125"/>
      <c r="AZ144" s="119"/>
      <c r="BA144" s="47"/>
      <c r="BB144" s="48"/>
      <c r="BC144" s="48"/>
      <c r="BD144" s="49"/>
      <c r="BE144" s="49"/>
      <c r="BF144" s="49"/>
      <c r="BG144" s="129"/>
      <c r="BH144" s="129"/>
      <c r="BI144" s="129"/>
      <c r="BJ144" s="125"/>
      <c r="BK144" s="119"/>
      <c r="BL144" s="119"/>
      <c r="BM144" s="77"/>
      <c r="BN144" s="86"/>
      <c r="BO144" s="86"/>
      <c r="BP144" s="85"/>
      <c r="BQ144" s="85"/>
      <c r="BR144" s="77"/>
    </row>
    <row r="145" spans="8:70" x14ac:dyDescent="0.3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9"/>
      <c r="AW145" s="129"/>
      <c r="AX145" s="129"/>
      <c r="AY145" s="125"/>
      <c r="AZ145" s="119"/>
      <c r="BA145" s="47"/>
      <c r="BB145" s="48"/>
      <c r="BC145" s="48"/>
      <c r="BD145" s="49"/>
      <c r="BE145" s="49"/>
      <c r="BF145" s="49"/>
      <c r="BG145" s="129"/>
      <c r="BH145" s="129"/>
      <c r="BI145" s="129"/>
      <c r="BJ145" s="125"/>
      <c r="BK145" s="119"/>
      <c r="BL145" s="119"/>
      <c r="BM145" s="77"/>
      <c r="BN145" s="86"/>
      <c r="BO145" s="86"/>
      <c r="BP145" s="85"/>
      <c r="BQ145" s="85"/>
      <c r="BR145" s="77"/>
    </row>
    <row r="146" spans="8:70" x14ac:dyDescent="0.3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9"/>
      <c r="AW146" s="129"/>
      <c r="AX146" s="129"/>
      <c r="AY146" s="125"/>
      <c r="AZ146" s="119"/>
      <c r="BA146" s="47"/>
      <c r="BB146" s="48"/>
      <c r="BC146" s="48"/>
      <c r="BD146" s="49"/>
      <c r="BE146" s="49"/>
      <c r="BF146" s="49"/>
      <c r="BG146" s="129"/>
      <c r="BH146" s="129"/>
      <c r="BI146" s="129"/>
      <c r="BJ146" s="125"/>
      <c r="BK146" s="119"/>
      <c r="BL146" s="119"/>
      <c r="BM146" s="77"/>
      <c r="BN146" s="86"/>
      <c r="BO146" s="86"/>
      <c r="BP146" s="85"/>
      <c r="BQ146" s="85"/>
      <c r="BR146" s="77"/>
    </row>
    <row r="147" spans="8:70" x14ac:dyDescent="0.3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9"/>
      <c r="AW147" s="129"/>
      <c r="AX147" s="129"/>
      <c r="AY147" s="125"/>
      <c r="AZ147" s="119"/>
      <c r="BA147" s="47"/>
      <c r="BB147" s="48"/>
      <c r="BC147" s="48"/>
      <c r="BD147" s="49"/>
      <c r="BE147" s="49"/>
      <c r="BF147" s="49"/>
      <c r="BG147" s="129"/>
      <c r="BH147" s="129"/>
      <c r="BI147" s="129"/>
      <c r="BJ147" s="125"/>
      <c r="BK147" s="119"/>
      <c r="BL147" s="119"/>
      <c r="BM147" s="77"/>
      <c r="BN147" s="86"/>
      <c r="BO147" s="86"/>
      <c r="BP147" s="85"/>
      <c r="BQ147" s="85"/>
      <c r="BR147" s="77"/>
    </row>
    <row r="148" spans="8:70" x14ac:dyDescent="0.3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9"/>
      <c r="AW148" s="129"/>
      <c r="AX148" s="129"/>
      <c r="AY148" s="125"/>
      <c r="AZ148" s="119"/>
      <c r="BA148" s="47"/>
      <c r="BB148" s="48"/>
      <c r="BC148" s="48"/>
      <c r="BD148" s="49"/>
      <c r="BE148" s="49"/>
      <c r="BF148" s="49"/>
      <c r="BG148" s="129"/>
      <c r="BH148" s="129"/>
      <c r="BI148" s="129"/>
      <c r="BJ148" s="125"/>
      <c r="BK148" s="119"/>
      <c r="BL148" s="119"/>
      <c r="BM148" s="77"/>
      <c r="BN148" s="86"/>
      <c r="BO148" s="86"/>
      <c r="BP148" s="85"/>
      <c r="BQ148" s="85"/>
      <c r="BR148" s="77"/>
    </row>
    <row r="149" spans="8:70" x14ac:dyDescent="0.3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9"/>
      <c r="AW149" s="129"/>
      <c r="AX149" s="129"/>
      <c r="AY149" s="125"/>
      <c r="AZ149" s="119"/>
      <c r="BA149" s="47"/>
      <c r="BB149" s="48"/>
      <c r="BC149" s="48"/>
      <c r="BD149" s="49"/>
      <c r="BE149" s="49"/>
      <c r="BF149" s="49"/>
      <c r="BG149" s="129"/>
      <c r="BH149" s="129"/>
      <c r="BI149" s="129"/>
      <c r="BJ149" s="125"/>
      <c r="BK149" s="119"/>
      <c r="BL149" s="119"/>
      <c r="BM149" s="77"/>
      <c r="BN149" s="86"/>
      <c r="BO149" s="86"/>
      <c r="BP149" s="85"/>
      <c r="BQ149" s="85"/>
      <c r="BR149" s="77"/>
    </row>
    <row r="150" spans="8:70" x14ac:dyDescent="0.3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9"/>
      <c r="AW150" s="129"/>
      <c r="AX150" s="129"/>
      <c r="AY150" s="125"/>
      <c r="AZ150" s="119"/>
      <c r="BA150" s="47"/>
      <c r="BB150" s="48"/>
      <c r="BC150" s="48"/>
      <c r="BD150" s="49"/>
      <c r="BE150" s="49"/>
      <c r="BF150" s="49"/>
      <c r="BG150" s="129"/>
      <c r="BH150" s="129"/>
      <c r="BI150" s="129"/>
      <c r="BJ150" s="125"/>
      <c r="BK150" s="119"/>
      <c r="BL150" s="119"/>
      <c r="BM150" s="77"/>
      <c r="BN150" s="86"/>
      <c r="BO150" s="86"/>
      <c r="BP150" s="85"/>
      <c r="BQ150" s="85"/>
      <c r="BR150" s="77"/>
    </row>
    <row r="151" spans="8:70" x14ac:dyDescent="0.3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9"/>
      <c r="AW151" s="129"/>
      <c r="AX151" s="129"/>
      <c r="AY151" s="125"/>
      <c r="AZ151" s="119"/>
      <c r="BA151" s="47"/>
      <c r="BB151" s="48"/>
      <c r="BC151" s="48"/>
      <c r="BD151" s="49"/>
      <c r="BE151" s="49"/>
      <c r="BF151" s="49"/>
      <c r="BG151" s="129"/>
      <c r="BH151" s="129"/>
      <c r="BI151" s="129"/>
      <c r="BJ151" s="125"/>
      <c r="BK151" s="119"/>
      <c r="BL151" s="119"/>
      <c r="BM151" s="77"/>
      <c r="BN151" s="86"/>
      <c r="BO151" s="86"/>
      <c r="BP151" s="85"/>
      <c r="BQ151" s="85"/>
      <c r="BR151" s="77"/>
    </row>
    <row r="152" spans="8:70" x14ac:dyDescent="0.3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9"/>
      <c r="AW152" s="129"/>
      <c r="AX152" s="129"/>
      <c r="AY152" s="125"/>
      <c r="AZ152" s="119"/>
      <c r="BA152" s="47"/>
      <c r="BB152" s="48"/>
      <c r="BC152" s="48"/>
      <c r="BD152" s="49"/>
      <c r="BE152" s="49"/>
      <c r="BF152" s="49"/>
      <c r="BG152" s="129"/>
      <c r="BH152" s="129"/>
      <c r="BI152" s="129"/>
      <c r="BJ152" s="125"/>
      <c r="BK152" s="119"/>
      <c r="BL152" s="119"/>
      <c r="BM152" s="77"/>
      <c r="BN152" s="86"/>
      <c r="BO152" s="86"/>
      <c r="BP152" s="85"/>
      <c r="BQ152" s="85"/>
      <c r="BR152" s="77"/>
    </row>
    <row r="153" spans="8:70" x14ac:dyDescent="0.3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9"/>
      <c r="AW153" s="129"/>
      <c r="AX153" s="129"/>
      <c r="AY153" s="125"/>
      <c r="AZ153" s="119"/>
      <c r="BA153" s="47"/>
      <c r="BB153" s="48"/>
      <c r="BC153" s="48"/>
      <c r="BD153" s="49"/>
      <c r="BE153" s="49"/>
      <c r="BF153" s="49"/>
      <c r="BG153" s="129"/>
      <c r="BH153" s="129"/>
      <c r="BI153" s="129"/>
      <c r="BJ153" s="125"/>
      <c r="BK153" s="119"/>
      <c r="BL153" s="119"/>
      <c r="BM153" s="77"/>
      <c r="BN153" s="86"/>
      <c r="BO153" s="86"/>
      <c r="BP153" s="85"/>
      <c r="BQ153" s="85"/>
      <c r="BR153" s="77"/>
    </row>
    <row r="154" spans="8:70" x14ac:dyDescent="0.3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9"/>
      <c r="AW154" s="129"/>
      <c r="AX154" s="129"/>
      <c r="AY154" s="125"/>
      <c r="AZ154" s="119"/>
      <c r="BA154" s="47"/>
      <c r="BB154" s="48"/>
      <c r="BC154" s="48"/>
      <c r="BD154" s="49"/>
      <c r="BE154" s="49"/>
      <c r="BF154" s="49"/>
      <c r="BG154" s="129"/>
      <c r="BH154" s="129"/>
      <c r="BI154" s="129"/>
      <c r="BJ154" s="125"/>
      <c r="BK154" s="119"/>
      <c r="BL154" s="119"/>
      <c r="BM154" s="77"/>
      <c r="BN154" s="86"/>
      <c r="BO154" s="86"/>
      <c r="BP154" s="85"/>
      <c r="BQ154" s="85"/>
      <c r="BR154" s="77"/>
    </row>
    <row r="155" spans="8:70" x14ac:dyDescent="0.3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9"/>
      <c r="AW155" s="129"/>
      <c r="AX155" s="129"/>
      <c r="AY155" s="125"/>
      <c r="AZ155" s="119"/>
      <c r="BA155" s="47"/>
      <c r="BB155" s="48"/>
      <c r="BC155" s="48"/>
      <c r="BD155" s="49"/>
      <c r="BE155" s="49"/>
      <c r="BF155" s="49"/>
      <c r="BG155" s="129"/>
      <c r="BH155" s="129"/>
      <c r="BI155" s="129"/>
      <c r="BJ155" s="125"/>
      <c r="BK155" s="119"/>
      <c r="BL155" s="119"/>
      <c r="BM155" s="77"/>
      <c r="BN155" s="86"/>
      <c r="BO155" s="86"/>
      <c r="BP155" s="85"/>
      <c r="BQ155" s="85"/>
      <c r="BR155" s="77"/>
    </row>
    <row r="156" spans="8:70" x14ac:dyDescent="0.3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9"/>
      <c r="AW156" s="129"/>
      <c r="AX156" s="129"/>
      <c r="AY156" s="125"/>
      <c r="AZ156" s="119"/>
      <c r="BA156" s="47"/>
      <c r="BB156" s="48"/>
      <c r="BC156" s="48"/>
      <c r="BD156" s="49"/>
      <c r="BE156" s="49"/>
      <c r="BF156" s="49"/>
      <c r="BG156" s="129"/>
      <c r="BH156" s="129"/>
      <c r="BI156" s="129"/>
      <c r="BJ156" s="125"/>
      <c r="BK156" s="119"/>
      <c r="BL156" s="119"/>
      <c r="BM156" s="77"/>
      <c r="BN156" s="86"/>
      <c r="BO156" s="86"/>
      <c r="BP156" s="85"/>
      <c r="BQ156" s="85"/>
      <c r="BR156" s="77"/>
    </row>
    <row r="157" spans="8:70" x14ac:dyDescent="0.3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9"/>
      <c r="AW157" s="129"/>
      <c r="AX157" s="129"/>
      <c r="AY157" s="125"/>
      <c r="AZ157" s="119"/>
      <c r="BA157" s="47"/>
      <c r="BB157" s="48"/>
      <c r="BC157" s="48"/>
      <c r="BD157" s="49"/>
      <c r="BE157" s="49"/>
      <c r="BF157" s="49"/>
      <c r="BG157" s="129"/>
      <c r="BH157" s="129"/>
      <c r="BI157" s="129"/>
      <c r="BJ157" s="125"/>
      <c r="BK157" s="119"/>
      <c r="BL157" s="119"/>
      <c r="BM157" s="77"/>
      <c r="BN157" s="86"/>
      <c r="BO157" s="86"/>
      <c r="BP157" s="85"/>
      <c r="BQ157" s="85"/>
      <c r="BR157" s="77"/>
    </row>
    <row r="158" spans="8:70" x14ac:dyDescent="0.3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9"/>
      <c r="AW158" s="129"/>
      <c r="AX158" s="129"/>
      <c r="AY158" s="125"/>
      <c r="AZ158" s="119"/>
      <c r="BA158" s="47"/>
      <c r="BB158" s="48"/>
      <c r="BC158" s="48"/>
      <c r="BD158" s="49"/>
      <c r="BE158" s="49"/>
      <c r="BF158" s="49"/>
      <c r="BG158" s="129"/>
      <c r="BH158" s="129"/>
      <c r="BI158" s="129"/>
      <c r="BJ158" s="125"/>
      <c r="BK158" s="119"/>
      <c r="BL158" s="119"/>
      <c r="BM158" s="77"/>
      <c r="BN158" s="86"/>
      <c r="BO158" s="86"/>
      <c r="BP158" s="85"/>
      <c r="BQ158" s="85"/>
      <c r="BR158" s="77"/>
    </row>
    <row r="159" spans="8:70" x14ac:dyDescent="0.3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9"/>
      <c r="AW159" s="129"/>
      <c r="AX159" s="129"/>
      <c r="AY159" s="125"/>
      <c r="AZ159" s="119"/>
      <c r="BA159" s="47"/>
      <c r="BB159" s="48"/>
      <c r="BC159" s="48"/>
      <c r="BD159" s="49"/>
      <c r="BE159" s="49"/>
      <c r="BF159" s="49"/>
      <c r="BG159" s="129"/>
      <c r="BH159" s="129"/>
      <c r="BI159" s="129"/>
      <c r="BJ159" s="125"/>
      <c r="BK159" s="119"/>
      <c r="BL159" s="119"/>
      <c r="BM159" s="77"/>
      <c r="BN159" s="86"/>
      <c r="BO159" s="86"/>
      <c r="BP159" s="85"/>
      <c r="BQ159" s="85"/>
      <c r="BR159" s="77"/>
    </row>
    <row r="160" spans="8:70" x14ac:dyDescent="0.3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9"/>
      <c r="AW160" s="129"/>
      <c r="AX160" s="129"/>
      <c r="AY160" s="125"/>
      <c r="AZ160" s="119"/>
      <c r="BA160" s="47"/>
      <c r="BB160" s="48"/>
      <c r="BC160" s="48"/>
      <c r="BD160" s="49"/>
      <c r="BE160" s="49"/>
      <c r="BF160" s="49"/>
      <c r="BG160" s="129"/>
      <c r="BH160" s="129"/>
      <c r="BI160" s="129"/>
      <c r="BJ160" s="125"/>
      <c r="BK160" s="119"/>
      <c r="BL160" s="119"/>
      <c r="BM160" s="77"/>
      <c r="BN160" s="86"/>
      <c r="BO160" s="86"/>
      <c r="BP160" s="85"/>
      <c r="BQ160" s="85"/>
      <c r="BR160" s="77"/>
    </row>
    <row r="161" spans="8:70" x14ac:dyDescent="0.3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9"/>
      <c r="AW161" s="129"/>
      <c r="AX161" s="129"/>
      <c r="AY161" s="125"/>
      <c r="AZ161" s="119"/>
      <c r="BA161" s="47"/>
      <c r="BB161" s="48"/>
      <c r="BC161" s="48"/>
      <c r="BD161" s="49"/>
      <c r="BE161" s="49"/>
      <c r="BF161" s="49"/>
      <c r="BG161" s="129"/>
      <c r="BH161" s="129"/>
      <c r="BI161" s="129"/>
      <c r="BJ161" s="125"/>
      <c r="BK161" s="119"/>
      <c r="BL161" s="119"/>
      <c r="BM161" s="77"/>
      <c r="BN161" s="86"/>
      <c r="BO161" s="86"/>
      <c r="BP161" s="85"/>
      <c r="BQ161" s="85"/>
      <c r="BR161" s="77"/>
    </row>
    <row r="162" spans="8:70" x14ac:dyDescent="0.3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9"/>
      <c r="AW162" s="129"/>
      <c r="AX162" s="129"/>
      <c r="AY162" s="125"/>
      <c r="AZ162" s="119"/>
      <c r="BA162" s="47"/>
      <c r="BB162" s="48"/>
      <c r="BC162" s="48"/>
      <c r="BD162" s="49"/>
      <c r="BE162" s="49"/>
      <c r="BF162" s="49"/>
      <c r="BG162" s="129"/>
      <c r="BH162" s="129"/>
      <c r="BI162" s="129"/>
      <c r="BJ162" s="125"/>
      <c r="BK162" s="119"/>
      <c r="BL162" s="119"/>
      <c r="BM162" s="77"/>
      <c r="BN162" s="86"/>
      <c r="BO162" s="86"/>
      <c r="BP162" s="85"/>
      <c r="BQ162" s="85"/>
      <c r="BR162" s="77"/>
    </row>
    <row r="163" spans="8:70" x14ac:dyDescent="0.3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9"/>
      <c r="AW163" s="129"/>
      <c r="AX163" s="129"/>
      <c r="AY163" s="125"/>
      <c r="AZ163" s="119"/>
      <c r="BA163" s="47"/>
      <c r="BB163" s="48"/>
      <c r="BC163" s="48"/>
      <c r="BD163" s="49"/>
      <c r="BE163" s="49"/>
      <c r="BF163" s="49"/>
      <c r="BG163" s="129"/>
      <c r="BH163" s="129"/>
      <c r="BI163" s="129"/>
      <c r="BJ163" s="125"/>
      <c r="BK163" s="119"/>
      <c r="BL163" s="119"/>
      <c r="BM163" s="77"/>
      <c r="BN163" s="86"/>
      <c r="BO163" s="86"/>
      <c r="BP163" s="85"/>
      <c r="BQ163" s="85"/>
      <c r="BR163" s="77"/>
    </row>
    <row r="164" spans="8:70" x14ac:dyDescent="0.3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9"/>
      <c r="AW164" s="129"/>
      <c r="AX164" s="129"/>
      <c r="AY164" s="125"/>
      <c r="AZ164" s="119"/>
      <c r="BA164" s="47"/>
      <c r="BB164" s="48"/>
      <c r="BC164" s="48"/>
      <c r="BD164" s="49"/>
      <c r="BE164" s="49"/>
      <c r="BF164" s="49"/>
      <c r="BG164" s="129"/>
      <c r="BH164" s="129"/>
      <c r="BI164" s="129"/>
      <c r="BJ164" s="125"/>
      <c r="BK164" s="119"/>
      <c r="BL164" s="119"/>
      <c r="BM164" s="77"/>
      <c r="BN164" s="86"/>
      <c r="BO164" s="86"/>
      <c r="BP164" s="85"/>
      <c r="BQ164" s="85"/>
      <c r="BR164" s="77"/>
    </row>
    <row r="165" spans="8:70" x14ac:dyDescent="0.3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9"/>
      <c r="AW165" s="129"/>
      <c r="AX165" s="129"/>
      <c r="AY165" s="125"/>
      <c r="AZ165" s="119"/>
      <c r="BA165" s="47"/>
      <c r="BB165" s="48"/>
      <c r="BC165" s="48"/>
      <c r="BD165" s="49"/>
      <c r="BE165" s="49"/>
      <c r="BF165" s="49"/>
      <c r="BG165" s="129"/>
      <c r="BH165" s="129"/>
      <c r="BI165" s="129"/>
      <c r="BJ165" s="125"/>
      <c r="BK165" s="119"/>
      <c r="BL165" s="119"/>
      <c r="BM165" s="77"/>
      <c r="BN165" s="86"/>
      <c r="BO165" s="86"/>
      <c r="BP165" s="85"/>
      <c r="BQ165" s="85"/>
      <c r="BR165" s="77"/>
    </row>
    <row r="166" spans="8:70" x14ac:dyDescent="0.3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9"/>
      <c r="AW166" s="129"/>
      <c r="AX166" s="129"/>
      <c r="AY166" s="125"/>
      <c r="AZ166" s="119"/>
      <c r="BA166" s="47"/>
      <c r="BB166" s="48"/>
      <c r="BC166" s="48"/>
      <c r="BD166" s="49"/>
      <c r="BE166" s="49"/>
      <c r="BF166" s="49"/>
      <c r="BG166" s="129"/>
      <c r="BH166" s="129"/>
      <c r="BI166" s="129"/>
      <c r="BJ166" s="125"/>
      <c r="BK166" s="119"/>
      <c r="BL166" s="119"/>
      <c r="BM166" s="77"/>
      <c r="BN166" s="86"/>
      <c r="BO166" s="86"/>
      <c r="BP166" s="85"/>
      <c r="BQ166" s="85"/>
      <c r="BR166" s="77"/>
    </row>
    <row r="167" spans="8:70" x14ac:dyDescent="0.3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9"/>
      <c r="AW167" s="129"/>
      <c r="AX167" s="129"/>
      <c r="AY167" s="125"/>
      <c r="AZ167" s="119"/>
      <c r="BA167" s="47"/>
      <c r="BB167" s="48"/>
      <c r="BC167" s="48"/>
      <c r="BD167" s="49"/>
      <c r="BE167" s="49"/>
      <c r="BF167" s="49"/>
      <c r="BG167" s="129"/>
      <c r="BH167" s="129"/>
      <c r="BI167" s="129"/>
      <c r="BJ167" s="125"/>
      <c r="BK167" s="119"/>
      <c r="BL167" s="119"/>
      <c r="BM167" s="77"/>
      <c r="BN167" s="86"/>
      <c r="BO167" s="86"/>
      <c r="BP167" s="85"/>
      <c r="BQ167" s="85"/>
      <c r="BR167" s="77"/>
    </row>
    <row r="168" spans="8:70" x14ac:dyDescent="0.3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9"/>
      <c r="AW168" s="129"/>
      <c r="AX168" s="129"/>
      <c r="AY168" s="125"/>
      <c r="AZ168" s="119"/>
      <c r="BA168" s="47"/>
      <c r="BB168" s="48"/>
      <c r="BC168" s="48"/>
      <c r="BD168" s="49"/>
      <c r="BE168" s="49"/>
      <c r="BF168" s="49"/>
      <c r="BG168" s="129"/>
      <c r="BH168" s="129"/>
      <c r="BI168" s="129"/>
      <c r="BJ168" s="125"/>
      <c r="BK168" s="119"/>
      <c r="BL168" s="119"/>
      <c r="BM168" s="77"/>
      <c r="BN168" s="86"/>
      <c r="BO168" s="86"/>
      <c r="BP168" s="85"/>
      <c r="BQ168" s="85"/>
      <c r="BR168" s="77"/>
    </row>
    <row r="169" spans="8:70" x14ac:dyDescent="0.3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9"/>
      <c r="AW169" s="129"/>
      <c r="AX169" s="129"/>
      <c r="AY169" s="125"/>
      <c r="AZ169" s="119"/>
      <c r="BA169" s="47"/>
      <c r="BB169" s="48"/>
      <c r="BC169" s="48"/>
      <c r="BD169" s="49"/>
      <c r="BE169" s="49"/>
      <c r="BF169" s="49"/>
      <c r="BG169" s="129"/>
      <c r="BH169" s="129"/>
      <c r="BI169" s="129"/>
      <c r="BJ169" s="125"/>
      <c r="BK169" s="119"/>
      <c r="BL169" s="119"/>
      <c r="BM169" s="77"/>
      <c r="BN169" s="86"/>
      <c r="BO169" s="86"/>
      <c r="BP169" s="85"/>
      <c r="BQ169" s="85"/>
      <c r="BR169" s="77"/>
    </row>
    <row r="170" spans="8:70" x14ac:dyDescent="0.3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9"/>
      <c r="AW170" s="129"/>
      <c r="AX170" s="129"/>
      <c r="AY170" s="125"/>
      <c r="AZ170" s="119"/>
      <c r="BA170" s="47"/>
      <c r="BB170" s="48"/>
      <c r="BC170" s="48"/>
      <c r="BD170" s="49"/>
      <c r="BE170" s="49"/>
      <c r="BF170" s="49"/>
      <c r="BG170" s="129"/>
      <c r="BH170" s="129"/>
      <c r="BI170" s="129"/>
      <c r="BJ170" s="125"/>
      <c r="BK170" s="119"/>
      <c r="BL170" s="119"/>
      <c r="BM170" s="77"/>
      <c r="BN170" s="86"/>
      <c r="BO170" s="86"/>
      <c r="BP170" s="85"/>
      <c r="BQ170" s="85"/>
      <c r="BR170" s="77"/>
    </row>
    <row r="171" spans="8:70" x14ac:dyDescent="0.3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9"/>
      <c r="AW171" s="129"/>
      <c r="AX171" s="129"/>
      <c r="AY171" s="125"/>
      <c r="AZ171" s="119"/>
      <c r="BA171" s="47"/>
      <c r="BB171" s="48"/>
      <c r="BC171" s="48"/>
      <c r="BD171" s="49"/>
      <c r="BE171" s="49"/>
      <c r="BF171" s="49"/>
      <c r="BG171" s="129"/>
      <c r="BH171" s="129"/>
      <c r="BI171" s="129"/>
      <c r="BJ171" s="125"/>
      <c r="BK171" s="119"/>
      <c r="BL171" s="119"/>
      <c r="BM171" s="77"/>
      <c r="BN171" s="86"/>
      <c r="BO171" s="86"/>
      <c r="BP171" s="85"/>
      <c r="BQ171" s="85"/>
      <c r="BR171" s="77"/>
    </row>
    <row r="172" spans="8:70" x14ac:dyDescent="0.3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9"/>
      <c r="AW172" s="129"/>
      <c r="AX172" s="129"/>
      <c r="AY172" s="125"/>
      <c r="AZ172" s="119"/>
      <c r="BA172" s="47"/>
      <c r="BB172" s="48"/>
      <c r="BC172" s="48"/>
      <c r="BD172" s="49"/>
      <c r="BE172" s="49"/>
      <c r="BF172" s="49"/>
      <c r="BG172" s="129"/>
      <c r="BH172" s="129"/>
      <c r="BI172" s="129"/>
      <c r="BJ172" s="125"/>
      <c r="BK172" s="119"/>
      <c r="BL172" s="119"/>
      <c r="BM172" s="77"/>
      <c r="BN172" s="86"/>
      <c r="BO172" s="86"/>
      <c r="BP172" s="85"/>
      <c r="BQ172" s="85"/>
      <c r="BR172" s="77"/>
    </row>
    <row r="173" spans="8:70" x14ac:dyDescent="0.3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9"/>
      <c r="AW173" s="129"/>
      <c r="AX173" s="129"/>
      <c r="AY173" s="125"/>
      <c r="AZ173" s="119"/>
      <c r="BA173" s="47"/>
      <c r="BB173" s="48"/>
      <c r="BC173" s="48"/>
      <c r="BD173" s="49"/>
      <c r="BE173" s="49"/>
      <c r="BF173" s="49"/>
      <c r="BG173" s="129"/>
      <c r="BH173" s="129"/>
      <c r="BI173" s="129"/>
      <c r="BJ173" s="125"/>
      <c r="BK173" s="119"/>
      <c r="BL173" s="119"/>
      <c r="BM173" s="77"/>
      <c r="BN173" s="86"/>
      <c r="BO173" s="86"/>
      <c r="BP173" s="85"/>
      <c r="BQ173" s="85"/>
      <c r="BR173" s="77"/>
    </row>
    <row r="174" spans="8:70" x14ac:dyDescent="0.3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9"/>
      <c r="AW174" s="129"/>
      <c r="AX174" s="129"/>
      <c r="AY174" s="125"/>
      <c r="AZ174" s="119"/>
      <c r="BA174" s="47"/>
      <c r="BB174" s="48"/>
      <c r="BC174" s="48"/>
      <c r="BD174" s="49"/>
      <c r="BE174" s="49"/>
      <c r="BF174" s="49"/>
      <c r="BG174" s="129"/>
      <c r="BH174" s="129"/>
      <c r="BI174" s="129"/>
      <c r="BJ174" s="125"/>
      <c r="BK174" s="119"/>
      <c r="BL174" s="119"/>
      <c r="BM174" s="77"/>
      <c r="BN174" s="86"/>
      <c r="BO174" s="86"/>
      <c r="BP174" s="85"/>
      <c r="BQ174" s="85"/>
      <c r="BR174" s="77"/>
    </row>
    <row r="175" spans="8:70" x14ac:dyDescent="0.3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9"/>
      <c r="AW175" s="129"/>
      <c r="AX175" s="129"/>
      <c r="AY175" s="125"/>
      <c r="AZ175" s="119"/>
      <c r="BA175" s="47"/>
      <c r="BB175" s="48"/>
      <c r="BC175" s="48"/>
      <c r="BD175" s="49"/>
      <c r="BE175" s="49"/>
      <c r="BF175" s="49"/>
      <c r="BG175" s="129"/>
      <c r="BH175" s="129"/>
      <c r="BI175" s="129"/>
      <c r="BJ175" s="125"/>
      <c r="BK175" s="119"/>
      <c r="BL175" s="119"/>
      <c r="BM175" s="77"/>
      <c r="BN175" s="86"/>
      <c r="BO175" s="86"/>
      <c r="BP175" s="85"/>
      <c r="BQ175" s="85"/>
      <c r="BR175" s="77"/>
    </row>
    <row r="176" spans="8:70" x14ac:dyDescent="0.3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9"/>
      <c r="AW176" s="129"/>
      <c r="AX176" s="129"/>
      <c r="AY176" s="125"/>
      <c r="AZ176" s="119"/>
      <c r="BA176" s="47"/>
      <c r="BB176" s="48"/>
      <c r="BC176" s="48"/>
      <c r="BD176" s="49"/>
      <c r="BE176" s="49"/>
      <c r="BF176" s="49"/>
      <c r="BG176" s="129"/>
      <c r="BH176" s="129"/>
      <c r="BI176" s="129"/>
      <c r="BJ176" s="125"/>
      <c r="BK176" s="119"/>
      <c r="BL176" s="119"/>
      <c r="BM176" s="77"/>
      <c r="BN176" s="86"/>
      <c r="BO176" s="86"/>
      <c r="BP176" s="85"/>
      <c r="BQ176" s="85"/>
      <c r="BR176" s="77"/>
    </row>
    <row r="177" spans="8:70" x14ac:dyDescent="0.3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9"/>
      <c r="AW177" s="129"/>
      <c r="AX177" s="129"/>
      <c r="AY177" s="125"/>
      <c r="AZ177" s="119"/>
      <c r="BA177" s="47"/>
      <c r="BB177" s="48"/>
      <c r="BC177" s="48"/>
      <c r="BD177" s="49"/>
      <c r="BE177" s="49"/>
      <c r="BF177" s="49"/>
      <c r="BG177" s="129"/>
      <c r="BH177" s="129"/>
      <c r="BI177" s="129"/>
      <c r="BJ177" s="125"/>
      <c r="BK177" s="119"/>
      <c r="BL177" s="119"/>
      <c r="BM177" s="77"/>
      <c r="BN177" s="86"/>
      <c r="BO177" s="86"/>
      <c r="BP177" s="85"/>
      <c r="BQ177" s="85"/>
      <c r="BR177" s="77"/>
    </row>
    <row r="178" spans="8:70" x14ac:dyDescent="0.3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9"/>
      <c r="AW178" s="129"/>
      <c r="AX178" s="129"/>
      <c r="AY178" s="125"/>
      <c r="AZ178" s="119"/>
      <c r="BG178" s="129"/>
      <c r="BH178" s="129"/>
      <c r="BI178" s="129"/>
      <c r="BJ178" s="125"/>
      <c r="BK178" s="119"/>
      <c r="BL178" s="119"/>
      <c r="BM178" s="77"/>
      <c r="BN178" s="86"/>
      <c r="BO178" s="86"/>
      <c r="BP178" s="85"/>
      <c r="BQ178" s="85"/>
      <c r="BR178" s="77"/>
    </row>
  </sheetData>
  <mergeCells count="1">
    <mergeCell ref="B1:C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5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AH6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models_tables!$R$2:$R$6</xm:f>
          </x14:formula1>
          <xm:sqref>AA3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models_tables!$U$2:$U$3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U47"/>
  <sheetViews>
    <sheetView workbookViewId="0">
      <selection activeCell="D39" sqref="D39"/>
    </sheetView>
  </sheetViews>
  <sheetFormatPr defaultRowHeight="14.4" x14ac:dyDescent="0.3"/>
  <cols>
    <col min="2" max="2" width="12.88671875" customWidth="1"/>
    <col min="4" max="4" width="28.6640625" bestFit="1" customWidth="1"/>
    <col min="5" max="5" width="13.6640625" customWidth="1"/>
    <col min="6" max="6" width="18.109375" customWidth="1"/>
    <col min="7" max="7" width="28.6640625" customWidth="1"/>
    <col min="9" max="9" width="12.109375" customWidth="1"/>
    <col min="11" max="11" width="17.33203125" customWidth="1"/>
  </cols>
  <sheetData>
    <row r="1" spans="1:21" x14ac:dyDescent="0.3">
      <c r="A1" s="26" t="s">
        <v>44</v>
      </c>
      <c r="F1" s="26" t="s">
        <v>130</v>
      </c>
      <c r="G1" s="26" t="s">
        <v>131</v>
      </c>
      <c r="I1" t="s">
        <v>17</v>
      </c>
      <c r="K1" t="s">
        <v>51</v>
      </c>
      <c r="L1" t="s">
        <v>53</v>
      </c>
      <c r="N1" s="26" t="s">
        <v>97</v>
      </c>
      <c r="P1" s="26" t="s">
        <v>226</v>
      </c>
      <c r="R1" s="26" t="s">
        <v>118</v>
      </c>
      <c r="U1" s="26" t="s">
        <v>128</v>
      </c>
    </row>
    <row r="2" spans="1:21" x14ac:dyDescent="0.3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138</v>
      </c>
      <c r="G2" t="s">
        <v>184</v>
      </c>
      <c r="I2" t="s">
        <v>18</v>
      </c>
      <c r="K2" t="b">
        <v>1</v>
      </c>
      <c r="L2">
        <v>0.35</v>
      </c>
      <c r="N2" t="s">
        <v>98</v>
      </c>
      <c r="R2" t="s">
        <v>119</v>
      </c>
      <c r="U2" t="s">
        <v>129</v>
      </c>
    </row>
    <row r="3" spans="1:21" x14ac:dyDescent="0.3">
      <c r="A3" t="s">
        <v>66</v>
      </c>
      <c r="B3" t="s">
        <v>40</v>
      </c>
      <c r="C3">
        <v>30</v>
      </c>
      <c r="D3" t="s">
        <v>67</v>
      </c>
      <c r="F3" t="s">
        <v>157</v>
      </c>
      <c r="G3" t="s">
        <v>203</v>
      </c>
      <c r="I3" t="s">
        <v>19</v>
      </c>
      <c r="K3" t="b">
        <v>0</v>
      </c>
      <c r="L3">
        <v>0.66700000000000004</v>
      </c>
      <c r="N3" t="s">
        <v>99</v>
      </c>
      <c r="R3" t="s">
        <v>120</v>
      </c>
      <c r="U3" t="s">
        <v>119</v>
      </c>
    </row>
    <row r="4" spans="1:21" x14ac:dyDescent="0.3">
      <c r="A4" t="s">
        <v>66</v>
      </c>
      <c r="B4" t="s">
        <v>39</v>
      </c>
      <c r="C4">
        <v>25</v>
      </c>
      <c r="D4" t="s">
        <v>68</v>
      </c>
      <c r="F4" t="s">
        <v>170</v>
      </c>
      <c r="G4" t="s">
        <v>216</v>
      </c>
      <c r="I4" t="s">
        <v>20</v>
      </c>
      <c r="R4" t="s">
        <v>121</v>
      </c>
    </row>
    <row r="5" spans="1:21" x14ac:dyDescent="0.3">
      <c r="A5" t="s">
        <v>66</v>
      </c>
      <c r="B5" t="s">
        <v>62</v>
      </c>
      <c r="C5">
        <v>25</v>
      </c>
      <c r="D5" t="s">
        <v>76</v>
      </c>
      <c r="F5" t="s">
        <v>155</v>
      </c>
      <c r="G5" t="s">
        <v>201</v>
      </c>
      <c r="R5" t="s">
        <v>122</v>
      </c>
    </row>
    <row r="6" spans="1:21" x14ac:dyDescent="0.3">
      <c r="A6" t="s">
        <v>66</v>
      </c>
      <c r="B6" t="s">
        <v>35</v>
      </c>
      <c r="C6">
        <v>20</v>
      </c>
      <c r="D6" t="s">
        <v>77</v>
      </c>
      <c r="F6" t="s">
        <v>149</v>
      </c>
      <c r="G6" t="s">
        <v>195</v>
      </c>
      <c r="R6" t="s">
        <v>123</v>
      </c>
    </row>
    <row r="7" spans="1:21" x14ac:dyDescent="0.3">
      <c r="A7" t="s">
        <v>27</v>
      </c>
      <c r="B7" t="s">
        <v>29</v>
      </c>
      <c r="C7">
        <v>8</v>
      </c>
      <c r="D7" t="s">
        <v>78</v>
      </c>
      <c r="F7" t="s">
        <v>167</v>
      </c>
      <c r="G7" t="s">
        <v>213</v>
      </c>
    </row>
    <row r="8" spans="1:21" x14ac:dyDescent="0.3">
      <c r="A8" t="s">
        <v>27</v>
      </c>
      <c r="B8" t="s">
        <v>37</v>
      </c>
      <c r="C8">
        <v>3</v>
      </c>
      <c r="D8" t="s">
        <v>69</v>
      </c>
      <c r="F8" t="s">
        <v>146</v>
      </c>
      <c r="G8" t="s">
        <v>192</v>
      </c>
    </row>
    <row r="9" spans="1:21" x14ac:dyDescent="0.3">
      <c r="A9" t="s">
        <v>27</v>
      </c>
      <c r="B9" t="s">
        <v>36</v>
      </c>
      <c r="C9">
        <v>3</v>
      </c>
      <c r="D9" t="s">
        <v>70</v>
      </c>
      <c r="F9" t="s">
        <v>144</v>
      </c>
      <c r="G9" t="s">
        <v>190</v>
      </c>
    </row>
    <row r="10" spans="1:21" x14ac:dyDescent="0.3">
      <c r="A10" t="s">
        <v>27</v>
      </c>
      <c r="B10" t="s">
        <v>32</v>
      </c>
      <c r="C10">
        <v>3</v>
      </c>
      <c r="D10" t="s">
        <v>71</v>
      </c>
      <c r="F10" t="s">
        <v>133</v>
      </c>
      <c r="G10" t="s">
        <v>179</v>
      </c>
    </row>
    <row r="11" spans="1:21" x14ac:dyDescent="0.3">
      <c r="A11" t="s">
        <v>27</v>
      </c>
      <c r="B11" t="s">
        <v>31</v>
      </c>
      <c r="C11">
        <v>3</v>
      </c>
      <c r="D11" t="s">
        <v>72</v>
      </c>
      <c r="F11" t="s">
        <v>152</v>
      </c>
      <c r="G11" t="s">
        <v>198</v>
      </c>
    </row>
    <row r="12" spans="1:21" x14ac:dyDescent="0.3">
      <c r="A12" t="s">
        <v>27</v>
      </c>
      <c r="B12" t="s">
        <v>33</v>
      </c>
      <c r="C12">
        <v>4.5</v>
      </c>
      <c r="D12" t="s">
        <v>73</v>
      </c>
      <c r="F12" t="s">
        <v>168</v>
      </c>
      <c r="G12" t="s">
        <v>214</v>
      </c>
    </row>
    <row r="13" spans="1:21" x14ac:dyDescent="0.3">
      <c r="A13" t="s">
        <v>27</v>
      </c>
      <c r="B13" t="s">
        <v>30</v>
      </c>
      <c r="C13">
        <v>10</v>
      </c>
      <c r="D13" t="s">
        <v>74</v>
      </c>
      <c r="F13" t="s">
        <v>158</v>
      </c>
      <c r="G13" t="s">
        <v>204</v>
      </c>
    </row>
    <row r="14" spans="1:21" x14ac:dyDescent="0.3">
      <c r="A14" t="s">
        <v>27</v>
      </c>
      <c r="B14" t="s">
        <v>38</v>
      </c>
      <c r="C14">
        <v>20</v>
      </c>
      <c r="D14" t="s">
        <v>75</v>
      </c>
      <c r="F14" t="s">
        <v>171</v>
      </c>
      <c r="G14" t="s">
        <v>217</v>
      </c>
    </row>
    <row r="15" spans="1:21" x14ac:dyDescent="0.3">
      <c r="A15" t="s">
        <v>27</v>
      </c>
      <c r="B15" t="s">
        <v>34</v>
      </c>
      <c r="C15">
        <v>20</v>
      </c>
      <c r="D15" t="s">
        <v>81</v>
      </c>
      <c r="F15" t="s">
        <v>132</v>
      </c>
      <c r="G15" t="s">
        <v>178</v>
      </c>
    </row>
    <row r="16" spans="1:21" x14ac:dyDescent="0.3">
      <c r="A16" t="s">
        <v>27</v>
      </c>
      <c r="B16" t="s">
        <v>3</v>
      </c>
      <c r="C16">
        <v>3</v>
      </c>
      <c r="D16" t="s">
        <v>82</v>
      </c>
      <c r="F16" t="s">
        <v>169</v>
      </c>
      <c r="G16" t="s">
        <v>215</v>
      </c>
    </row>
    <row r="17" spans="1:7" x14ac:dyDescent="0.3">
      <c r="A17" t="s">
        <v>42</v>
      </c>
      <c r="B17" t="s">
        <v>41</v>
      </c>
      <c r="C17">
        <v>100</v>
      </c>
      <c r="D17" t="s">
        <v>83</v>
      </c>
      <c r="F17" t="s">
        <v>159</v>
      </c>
      <c r="G17" t="s">
        <v>205</v>
      </c>
    </row>
    <row r="18" spans="1:7" x14ac:dyDescent="0.3">
      <c r="A18" t="s">
        <v>42</v>
      </c>
      <c r="B18" t="s">
        <v>24</v>
      </c>
      <c r="C18" t="s">
        <v>19</v>
      </c>
      <c r="D18" t="s">
        <v>84</v>
      </c>
      <c r="F18" t="s">
        <v>172</v>
      </c>
      <c r="G18" t="s">
        <v>218</v>
      </c>
    </row>
    <row r="19" spans="1:7" x14ac:dyDescent="0.3">
      <c r="A19" t="s">
        <v>58</v>
      </c>
      <c r="B19" t="s">
        <v>94</v>
      </c>
      <c r="C19">
        <v>20</v>
      </c>
      <c r="D19" t="s">
        <v>79</v>
      </c>
      <c r="F19" t="s">
        <v>156</v>
      </c>
      <c r="G19" t="s">
        <v>202</v>
      </c>
    </row>
    <row r="20" spans="1:7" x14ac:dyDescent="0.3">
      <c r="A20" t="s">
        <v>58</v>
      </c>
      <c r="B20" t="s">
        <v>59</v>
      </c>
      <c r="C20">
        <v>2</v>
      </c>
      <c r="D20" t="s">
        <v>80</v>
      </c>
      <c r="F20" t="s">
        <v>174</v>
      </c>
      <c r="G20" t="s">
        <v>220</v>
      </c>
    </row>
    <row r="21" spans="1:7" x14ac:dyDescent="0.3">
      <c r="A21" t="s">
        <v>58</v>
      </c>
      <c r="B21" t="s">
        <v>46</v>
      </c>
      <c r="C21">
        <v>48</v>
      </c>
      <c r="D21" t="s">
        <v>85</v>
      </c>
      <c r="F21" t="s">
        <v>163</v>
      </c>
      <c r="G21" t="s">
        <v>209</v>
      </c>
    </row>
    <row r="22" spans="1:7" x14ac:dyDescent="0.3">
      <c r="A22" t="s">
        <v>58</v>
      </c>
      <c r="B22" t="s">
        <v>95</v>
      </c>
      <c r="C22">
        <v>0.2</v>
      </c>
      <c r="D22" t="s">
        <v>63</v>
      </c>
      <c r="F22" t="s">
        <v>166</v>
      </c>
      <c r="G22" t="s">
        <v>212</v>
      </c>
    </row>
    <row r="23" spans="1:7" x14ac:dyDescent="0.3">
      <c r="A23" t="s">
        <v>58</v>
      </c>
      <c r="B23" t="s">
        <v>52</v>
      </c>
      <c r="C23" t="b">
        <v>0</v>
      </c>
      <c r="D23" t="s">
        <v>61</v>
      </c>
      <c r="F23" t="s">
        <v>136</v>
      </c>
      <c r="G23" t="s">
        <v>182</v>
      </c>
    </row>
    <row r="24" spans="1:7" x14ac:dyDescent="0.3">
      <c r="A24" t="s">
        <v>58</v>
      </c>
      <c r="B24" t="s">
        <v>45</v>
      </c>
      <c r="F24" t="s">
        <v>137</v>
      </c>
      <c r="G24" t="s">
        <v>183</v>
      </c>
    </row>
    <row r="25" spans="1:7" x14ac:dyDescent="0.3">
      <c r="A25" t="s">
        <v>86</v>
      </c>
      <c r="B25" t="s">
        <v>29</v>
      </c>
      <c r="C25">
        <v>8</v>
      </c>
      <c r="D25" t="s">
        <v>78</v>
      </c>
      <c r="F25" t="s">
        <v>165</v>
      </c>
      <c r="G25" t="s">
        <v>211</v>
      </c>
    </row>
    <row r="26" spans="1:7" x14ac:dyDescent="0.3">
      <c r="A26" t="s">
        <v>86</v>
      </c>
      <c r="B26" t="s">
        <v>3</v>
      </c>
      <c r="C26">
        <v>5</v>
      </c>
      <c r="D26" t="s">
        <v>87</v>
      </c>
      <c r="F26" t="s">
        <v>160</v>
      </c>
      <c r="G26" t="s">
        <v>206</v>
      </c>
    </row>
    <row r="27" spans="1:7" x14ac:dyDescent="0.3">
      <c r="A27" t="s">
        <v>86</v>
      </c>
      <c r="B27" t="s">
        <v>88</v>
      </c>
      <c r="C27">
        <v>100</v>
      </c>
      <c r="D27" t="s">
        <v>89</v>
      </c>
      <c r="F27" t="s">
        <v>176</v>
      </c>
      <c r="G27" t="s">
        <v>222</v>
      </c>
    </row>
    <row r="28" spans="1:7" x14ac:dyDescent="0.3">
      <c r="A28" t="s">
        <v>90</v>
      </c>
      <c r="B28" t="s">
        <v>30</v>
      </c>
      <c r="C28">
        <v>1.05</v>
      </c>
      <c r="D28" t="s">
        <v>74</v>
      </c>
      <c r="F28" t="s">
        <v>177</v>
      </c>
      <c r="G28" t="s">
        <v>223</v>
      </c>
    </row>
    <row r="29" spans="1:7" x14ac:dyDescent="0.3">
      <c r="F29" t="s">
        <v>153</v>
      </c>
      <c r="G29" t="s">
        <v>199</v>
      </c>
    </row>
    <row r="30" spans="1:7" x14ac:dyDescent="0.3">
      <c r="F30" t="s">
        <v>139</v>
      </c>
      <c r="G30" t="s">
        <v>185</v>
      </c>
    </row>
    <row r="31" spans="1:7" x14ac:dyDescent="0.3">
      <c r="F31" t="s">
        <v>154</v>
      </c>
      <c r="G31" t="s">
        <v>200</v>
      </c>
    </row>
    <row r="32" spans="1:7" x14ac:dyDescent="0.3">
      <c r="F32" t="s">
        <v>150</v>
      </c>
      <c r="G32" t="s">
        <v>196</v>
      </c>
    </row>
    <row r="33" spans="6:7" x14ac:dyDescent="0.3">
      <c r="F33" t="s">
        <v>148</v>
      </c>
      <c r="G33" t="s">
        <v>194</v>
      </c>
    </row>
    <row r="34" spans="6:7" x14ac:dyDescent="0.3">
      <c r="F34" t="s">
        <v>151</v>
      </c>
      <c r="G34" t="s">
        <v>197</v>
      </c>
    </row>
    <row r="35" spans="6:7" x14ac:dyDescent="0.3">
      <c r="F35" t="s">
        <v>173</v>
      </c>
      <c r="G35" t="s">
        <v>219</v>
      </c>
    </row>
    <row r="36" spans="6:7" x14ac:dyDescent="0.3">
      <c r="F36" t="s">
        <v>145</v>
      </c>
      <c r="G36" t="s">
        <v>191</v>
      </c>
    </row>
    <row r="37" spans="6:7" x14ac:dyDescent="0.3">
      <c r="F37" t="s">
        <v>142</v>
      </c>
      <c r="G37" t="s">
        <v>188</v>
      </c>
    </row>
    <row r="38" spans="6:7" x14ac:dyDescent="0.3">
      <c r="F38" t="s">
        <v>141</v>
      </c>
      <c r="G38" t="s">
        <v>187</v>
      </c>
    </row>
    <row r="39" spans="6:7" x14ac:dyDescent="0.3">
      <c r="F39" t="s">
        <v>140</v>
      </c>
      <c r="G39" t="s">
        <v>186</v>
      </c>
    </row>
    <row r="40" spans="6:7" x14ac:dyDescent="0.3">
      <c r="F40" t="s">
        <v>143</v>
      </c>
      <c r="G40" t="s">
        <v>189</v>
      </c>
    </row>
    <row r="41" spans="6:7" x14ac:dyDescent="0.3">
      <c r="F41" t="s">
        <v>162</v>
      </c>
      <c r="G41" t="s">
        <v>208</v>
      </c>
    </row>
    <row r="42" spans="6:7" x14ac:dyDescent="0.3">
      <c r="F42" t="s">
        <v>161</v>
      </c>
      <c r="G42" t="s">
        <v>207</v>
      </c>
    </row>
    <row r="43" spans="6:7" x14ac:dyDescent="0.3">
      <c r="F43" t="s">
        <v>134</v>
      </c>
      <c r="G43" t="s">
        <v>180</v>
      </c>
    </row>
    <row r="44" spans="6:7" x14ac:dyDescent="0.3">
      <c r="F44" t="s">
        <v>164</v>
      </c>
      <c r="G44" t="s">
        <v>210</v>
      </c>
    </row>
    <row r="45" spans="6:7" x14ac:dyDescent="0.3">
      <c r="F45" t="s">
        <v>147</v>
      </c>
      <c r="G45" t="s">
        <v>193</v>
      </c>
    </row>
    <row r="46" spans="6:7" x14ac:dyDescent="0.3">
      <c r="F46" t="s">
        <v>135</v>
      </c>
      <c r="G46" t="s">
        <v>181</v>
      </c>
    </row>
    <row r="47" spans="6:7" x14ac:dyDescent="0.3">
      <c r="F47" t="s">
        <v>175</v>
      </c>
      <c r="G47" t="s">
        <v>221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6"/>
  <sheetViews>
    <sheetView tabSelected="1" workbookViewId="0">
      <selection activeCell="C3" sqref="C3"/>
    </sheetView>
  </sheetViews>
  <sheetFormatPr defaultRowHeight="14.4" x14ac:dyDescent="0.3"/>
  <cols>
    <col min="1" max="1" width="10.6640625" bestFit="1" customWidth="1"/>
    <col min="2" max="2" width="28.5546875" bestFit="1" customWidth="1"/>
    <col min="3" max="3" width="100.77734375" style="153" customWidth="1"/>
  </cols>
  <sheetData>
    <row r="1" spans="1:3" x14ac:dyDescent="0.3">
      <c r="A1" t="s">
        <v>114</v>
      </c>
      <c r="B1" t="s">
        <v>246</v>
      </c>
      <c r="C1" s="153" t="s">
        <v>247</v>
      </c>
    </row>
    <row r="2" spans="1:3" ht="28.8" x14ac:dyDescent="0.3">
      <c r="A2" s="139">
        <v>45362</v>
      </c>
      <c r="B2" s="140" t="s">
        <v>248</v>
      </c>
      <c r="C2" s="153" t="s">
        <v>266</v>
      </c>
    </row>
    <row r="3" spans="1:3" ht="43.2" x14ac:dyDescent="0.3">
      <c r="A3" s="139">
        <v>45350</v>
      </c>
      <c r="B3" s="140" t="s">
        <v>248</v>
      </c>
      <c r="C3" s="153" t="s">
        <v>258</v>
      </c>
    </row>
    <row r="4" spans="1:3" x14ac:dyDescent="0.3">
      <c r="A4" s="139">
        <v>45337</v>
      </c>
      <c r="B4" s="140" t="s">
        <v>248</v>
      </c>
      <c r="C4" s="153" t="s">
        <v>249</v>
      </c>
    </row>
    <row r="5" spans="1:3" x14ac:dyDescent="0.3">
      <c r="A5" s="139">
        <v>45337</v>
      </c>
      <c r="B5" s="140" t="s">
        <v>248</v>
      </c>
      <c r="C5" s="153" t="s">
        <v>251</v>
      </c>
    </row>
    <row r="6" spans="1:3" x14ac:dyDescent="0.3">
      <c r="A6" s="139">
        <v>45337</v>
      </c>
      <c r="B6" s="140" t="s">
        <v>248</v>
      </c>
      <c r="C6" s="153" t="s">
        <v>252</v>
      </c>
    </row>
  </sheetData>
  <hyperlinks>
    <hyperlink ref="B4" r:id="rId1" xr:uid="{9C519682-40A3-4376-BBAD-C3A15B12AFA3}"/>
    <hyperlink ref="B5" r:id="rId2" xr:uid="{B1588E9A-788F-4281-B98F-E8F54F0FF0F2}"/>
    <hyperlink ref="B6" r:id="rId3" xr:uid="{AB6E1068-558F-437B-8A54-14E7C534CCD3}"/>
    <hyperlink ref="B3" r:id="rId4" xr:uid="{62C32CD0-8A71-4E82-9007-654A953FEE96}"/>
    <hyperlink ref="B2" r:id="rId5" xr:uid="{23857086-BAB7-4882-96D8-8AF6EF25DC51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63</vt:i4>
      </vt:variant>
    </vt:vector>
  </HeadingPairs>
  <TitlesOfParts>
    <vt:vector size="66" baseType="lpstr">
      <vt:lpstr>AFDRS</vt:lpstr>
      <vt:lpstr>models_tables</vt:lpstr>
      <vt:lpstr>Changelog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2024-03-11T11:22:00Z</dcterms:modified>
</cp:coreProperties>
</file>