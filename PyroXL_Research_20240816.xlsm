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filterPrivacy="1" codeName="ThisWorkbook"/>
  <xr:revisionPtr revIDLastSave="0" documentId="13_ncr:1_{AF3E849B-C5E2-4ADD-86EF-949EEE50A225}" xr6:coauthVersionLast="47" xr6:coauthVersionMax="47" xr10:uidLastSave="{00000000-0000-0000-0000-000000000000}"/>
  <bookViews>
    <workbookView xWindow="30612" yWindow="-108" windowWidth="30936" windowHeight="16896" xr2:uid="{B7C7CBCF-53DC-479F-9405-DA22A9D1C5BB}"/>
  </bookViews>
  <sheets>
    <sheet name="SpreadModels" sheetId="1" r:id="rId1"/>
    <sheet name="Changelog" sheetId="24" r:id="rId2"/>
    <sheet name="AFDRS Fuel LUT" sheetId="25" r:id="rId3"/>
    <sheet name="lookup_tables" sheetId="3" r:id="rId4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SpreadModels!$BD$1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lookup_tables!$C$19</definedName>
    <definedName name="fl_woodland">SpreadModels!$AA$4</definedName>
    <definedName name="Forest">SpreadModels!$I$1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lookup_tables!$Y$2:$Z$499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lookup_tables!$AE$2:$AF$499</definedName>
    <definedName name="kbdi">SpreadModels!$G$12</definedName>
    <definedName name="Mallee">SpreadModels!$AO$1</definedName>
    <definedName name="MalleeLUT">lookup_tables!$AG$2:$AH$499</definedName>
    <definedName name="outputs_r1">SpreadModels!$H$15:$BY$15</definedName>
    <definedName name="Pine">SpreadModels!$AJ$1</definedName>
    <definedName name="PineLUT">lookup_tables!$AI$2:$AJ$499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lookup_tables!$AK$2:$AL$499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H15" i="1"/>
  <c r="AH15" i="1"/>
  <c r="BG15" i="1"/>
  <c r="BE15" i="1"/>
  <c r="AS15" i="1"/>
  <c r="BC3" i="1"/>
  <c r="AZ15" i="1"/>
  <c r="R3" i="1"/>
  <c r="AT15" i="1"/>
  <c r="AU15" i="1"/>
  <c r="BK15" i="1"/>
  <c r="BF15" i="1"/>
  <c r="AP15" i="1"/>
  <c r="AN15" i="1"/>
  <c r="J4" i="1"/>
  <c r="AB15" i="1"/>
  <c r="J5" i="1"/>
  <c r="AK15" i="1" a="1"/>
  <c r="J7" i="1"/>
  <c r="J6" i="1"/>
  <c r="T15" i="1"/>
  <c r="Q15" i="1" s="1"/>
  <c r="AQ15" i="1"/>
  <c r="BH15" i="1"/>
  <c r="BI15" i="1" s="1"/>
  <c r="BR15" i="1"/>
  <c r="BB15" i="1"/>
  <c r="BC15" i="1" s="1"/>
  <c r="V15" i="1"/>
  <c r="U15" i="1" s="1"/>
  <c r="N15" i="1"/>
  <c r="J15" i="1" s="1"/>
  <c r="BL15" i="1" a="1"/>
  <c r="BX15" i="1"/>
  <c r="L15" i="1"/>
  <c r="S15" i="1"/>
  <c r="R15" i="1"/>
  <c r="BA15" i="1"/>
  <c r="K15" i="1"/>
  <c r="M15" i="1"/>
  <c r="BS15" i="1"/>
  <c r="BU15" i="1"/>
  <c r="BT15" i="1"/>
  <c r="BW15" i="1" s="1"/>
  <c r="W15" i="1" a="1"/>
  <c r="P15" i="1"/>
  <c r="I15" i="1"/>
  <c r="O15" i="1" a="1"/>
  <c r="AO15" i="1"/>
  <c r="AR15" i="1"/>
  <c r="W15" i="1" l="1"/>
  <c r="BL15" i="1"/>
  <c r="O15" i="1"/>
  <c r="AK15" i="1"/>
  <c r="AM15" i="1"/>
  <c r="AL15" i="1"/>
  <c r="BV15" i="1"/>
  <c r="BN15" i="1" s="1"/>
  <c r="BQ15" i="1"/>
  <c r="AJ15" i="1"/>
  <c r="BD15" i="1"/>
  <c r="Y15" i="1"/>
  <c r="AW15" i="1"/>
  <c r="AI15" i="1"/>
  <c r="AE15" i="1" s="1"/>
  <c r="AF15" i="1" s="1"/>
  <c r="BP15" i="1"/>
  <c r="BO15" i="1" s="1"/>
  <c r="Z15" i="1"/>
  <c r="AA15" i="1"/>
  <c r="AV15" i="1"/>
  <c r="AX15" i="1"/>
  <c r="AY15" i="1"/>
  <c r="AD15" i="1"/>
  <c r="AG15" i="1"/>
  <c r="BY15" i="1" a="1"/>
  <c r="BM15" i="1"/>
  <c r="AC15" i="1" a="1"/>
  <c r="X15" i="1"/>
  <c r="AC15" i="1" l="1"/>
  <c r="BY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<sst xmlns="http://schemas.openxmlformats.org/spreadsheetml/2006/main" count="1922" uniqueCount="771">
  <si>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</si>
  <si>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</si>
  <si>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</si>
  <si>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</si>
  <si>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</si>
  <si>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</si>
  <si>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</si>
  <si>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</si>
  <si>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</si>
  <si>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</si>
  <si>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</si>
  <si>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</si>
  <si>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</si>
  <si>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</si>
  <si>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</si>
  <si>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</si>
  <si>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</si>
  <si>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</si>
  <si>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</si>
  <si>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</si>
  <si>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</si>
  <si>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</si>
  <si>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</si>
  <si>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</si>
  <si>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</si>
  <si>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</si>
  <si>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</si>
  <si>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</si>
  <si>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</si>
  <si>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</si>
  <si>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</si>
  <si>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</si>
  <si>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</si>
  <si>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</si>
  <si>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</si>
  <si>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</si>
  <si>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</si>
  <si>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</si>
  <si>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</si>
  <si>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</si>
  <si>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</si>
  <si>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</si>
  <si>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</si>
  <si>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</si>
  <si>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</si>
  <si>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</si>
  <si>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</si>
  <si>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</si>
  <si>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</si>
  <si>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</si>
  <si>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</si>
  <si>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</si>
  <si>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</si>
  <si>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</si>
  <si>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</si>
  <si>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</si>
  <si>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</si>
  <si>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</si>
  <si>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</si>
  <si>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</si>
  <si>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</si>
  <si>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</si>
  <si>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</si>
  <si>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</si>
  <si>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</si>
  <si>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</si>
  <si>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</si>
  <si>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</si>
  <si>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</si>
  <si>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</si>
  <si>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</si>
  <si>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</si>
  <si>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</si>
  <si>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</si>
  <si>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</si>
  <si>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</si>
  <si>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</si>
  <si>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</si>
  <si>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</si>
  <si>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</si>
  <si>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</si>
  <si>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</si>
  <si>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</si>
  <si>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</si>
  <si>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</si>
  <si>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</si>
  <si>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</si>
  <si>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</si>
  <si>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</si>
  <si>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</si>
  <si>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</si>
  <si>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</si>
  <si>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</si>
  <si>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</si>
  <si>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</si>
  <si>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</si>
  <si>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</si>
  <si>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</si>
  <si>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</si>
  <si>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</si>
  <si>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</si>
  <si>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</si>
  <si>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</si>
  <si>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</si>
  <si>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</si>
  <si>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</si>
  <si>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</si>
  <si>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</si>
  <si>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</si>
  <si>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</si>
  <si>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</si>
  <si>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</si>
  <si>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</si>
  <si>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</si>
  <si>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</si>
  <si>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</si>
  <si>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</si>
  <si>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</si>
  <si>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</si>
  <si>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</si>
  <si>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</si>
  <si>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</si>
  <si>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</si>
  <si>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</si>
  <si>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</si>
  <si>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</si>
  <si>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</si>
  <si>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</si>
  <si>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</si>
  <si>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</si>
  <si>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</si>
  <si>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</si>
  <si>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</si>
  <si>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</si>
  <si>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</si>
  <si>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</si>
  <si>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</si>
  <si>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</si>
  <si>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</si>
  <si>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</si>
  <si>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</si>
  <si>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</si>
  <si>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</si>
  <si>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</si>
  <si>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</si>
  <si>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</si>
  <si>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</si>
  <si>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</si>
  <si>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</si>
  <si>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</si>
  <si>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</si>
  <si>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</si>
  <si>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</si>
  <si>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</si>
  <si>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</si>
  <si>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</si>
  <si>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</si>
  <si>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</si>
  <si>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</si>
  <si>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</si>
  <si>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</si>
  <si>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</si>
  <si>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</si>
  <si>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</si>
  <si>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</si>
  <si>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</si>
  <si>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</si>
  <si>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</si>
  <si>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</si>
  <si>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</si>
  <si>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</si>
  <si>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</si>
  <si>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</si>
  <si>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</si>
  <si>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</si>
  <si>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</si>
  <si>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</si>
  <si>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</si>
  <si>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</si>
  <si>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</si>
  <si>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</si>
  <si>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</si>
  <si>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</si>
  <si>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</si>
  <si>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</si>
  <si>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</si>
  <si>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</si>
  <si>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</si>
  <si>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</si>
  <si>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</si>
  <si>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</si>
  <si>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</si>
  <si>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</si>
  <si>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</si>
  <si>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</si>
  <si>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</si>
  <si>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</si>
  <si>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</si>
  <si>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</si>
  <si>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</si>
  <si>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</si>
  <si>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</si>
  <si>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</si>
  <si>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</si>
  <si>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</si>
  <si>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</si>
  <si>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</si>
  <si>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</si>
  <si>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</si>
  <si>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</si>
  <si>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</si>
  <si>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</si>
  <si>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</si>
  <si>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</si>
  <si>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</si>
  <si>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</si>
  <si>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</si>
  <si>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</si>
  <si>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</si>
  <si>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</si>
  <si>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</si>
  <si>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</si>
  <si>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</si>
  <si>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</si>
  <si>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</si>
  <si>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</si>
  <si>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</si>
  <si>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</si>
  <si>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</si>
  <si>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</si>
  <si>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</si>
  <si>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</si>
  <si>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</si>
  <si>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</si>
  <si>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</si>
  <si>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</si>
  <si>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</si>
  <si>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</si>
  <si>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</si>
  <si>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</si>
  <si>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</si>
  <si>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</si>
  <si>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</si>
  <si>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</si>
  <si>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</si>
  <si>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</si>
  <si>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</si>
  <si>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</si>
  <si>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</si>
  <si>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</si>
  <si>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</si>
  <si>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</si>
  <si>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</si>
  <si>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</si>
  <si>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</si>
  <si>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</si>
  <si>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</si>
  <si>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</si>
  <si>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</si>
  <si>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</si>
  <si>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</si>
  <si>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</si>
  <si>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</si>
  <si>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</si>
  <si>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</si>
  <si>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</si>
  <si>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</si>
  <si>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</si>
  <si>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</si>
  <si>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</si>
  <si>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</si>
  <si>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</si>
  <si>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</si>
  <si>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</si>
  <si>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</si>
  <si>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</si>
  <si>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</si>
  <si>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</si>
  <si>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</si>
  <si>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</si>
  <si>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</si>
  <si>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</si>
  <si>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</si>
  <si>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</si>
  <si>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</si>
  <si>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</si>
  <si>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</si>
  <si>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</si>
  <si>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</si>
  <si>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</si>
  <si>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</si>
  <si>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</si>
  <si>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</si>
  <si>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</si>
  <si>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</si>
  <si>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</si>
  <si>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</si>
  <si>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</si>
  <si>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</si>
  <si>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</si>
  <si>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</si>
  <si>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</si>
  <si>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</si>
  <si>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</si>
  <si>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</si>
  <si>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</si>
  <si>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</si>
  <si>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</si>
  <si>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</si>
  <si>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</si>
  <si>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</si>
  <si>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</si>
  <si>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</si>
  <si>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</si>
  <si>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</si>
  <si>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</si>
  <si>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</si>
  <si>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</si>
  <si>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</si>
  <si>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</si>
  <si>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</si>
  <si>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</si>
  <si>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</si>
  <si>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</si>
  <si>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</si>
  <si>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</si>
  <si>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</si>
  <si>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</si>
  <si>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</si>
  <si>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</si>
  <si>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</si>
  <si>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</si>
  <si>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</si>
  <si>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</si>
  <si>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</si>
  <si>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</si>
  <si>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</si>
  <si>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</si>
  <si>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</si>
  <si>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</si>
  <si>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</si>
  <si>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</si>
  <si>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</si>
  <si>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</si>
  <si>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</si>
  <si>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</si>
  <si>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</si>
  <si>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</si>
  <si>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</si>
  <si>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</si>
  <si>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</si>
  <si>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</si>
  <si>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</si>
  <si>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</si>
  <si>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</si>
  <si>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</si>
  <si>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</si>
  <si>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</si>
  <si>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</si>
  <si>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</si>
  <si>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</si>
  <si>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</si>
  <si>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</si>
  <si>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</si>
  <si>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</si>
  <si>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</si>
  <si>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</si>
  <si>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</si>
  <si>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</si>
  <si>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</si>
  <si>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</si>
  <si>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</si>
  <si>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</si>
  <si>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</si>
  <si>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</si>
  <si>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</si>
  <si>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</si>
  <si>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</si>
  <si>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</si>
  <si>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</si>
  <si>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</si>
  <si>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</si>
  <si>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</si>
  <si>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</si>
  <si>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</si>
  <si>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</si>
  <si>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</si>
  <si>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</si>
  <si>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</si>
  <si>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</si>
  <si>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</si>
  <si>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</si>
  <si>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</si>
  <si>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</si>
  <si>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</si>
  <si>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</si>
  <si>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</si>
  <si>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</si>
  <si>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</si>
  <si>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</si>
  <si>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</si>
  <si>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</si>
  <si>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</si>
  <si>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</si>
  <si>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</si>
  <si>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</si>
  <si>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</si>
  <si>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</si>
  <si>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</si>
  <si>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</si>
  <si>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</si>
  <si>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</si>
  <si>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</si>
  <si>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</si>
  <si>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</si>
  <si>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</si>
  <si>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</si>
  <si>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</si>
  <si>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</si>
  <si>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</si>
  <si>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</si>
  <si>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</si>
  <si>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</si>
  <si>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</si>
  <si>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</si>
  <si>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</si>
  <si>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</si>
  <si>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</si>
  <si>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</si>
  <si>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</si>
  <si>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</si>
  <si>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</si>
  <si>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</si>
  <si>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</si>
  <si>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</si>
  <si>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</si>
  <si>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</si>
  <si>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</si>
  <si>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</si>
  <si>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</si>
  <si>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</si>
  <si>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</si>
  <si>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</si>
  <si>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</si>
  <si>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</si>
  <si>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</si>
  <si>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</si>
  <si>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</si>
  <si>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</si>
  <si>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</si>
  <si>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</si>
  <si>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</si>
  <si>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</si>
  <si>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</si>
  <si>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</si>
  <si>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</si>
  <si>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</si>
  <si>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</si>
  <si>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</si>
  <si>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</si>
  <si>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</si>
  <si>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</si>
  <si>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</si>
  <si>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</si>
  <si>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</si>
  <si>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</si>
  <si>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</si>
  <si>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</si>
  <si>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</si>
  <si>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</si>
  <si>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</si>
  <si>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</si>
  <si>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</si>
  <si>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</si>
  <si>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</si>
  <si>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</si>
  <si>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</si>
  <si>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</si>
  <si>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</si>
  <si>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</si>
  <si>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</si>
  <si>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</si>
  <si>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</si>
  <si>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</si>
  <si>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</si>
  <si>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</si>
  <si>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</si>
  <si>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</si>
  <si>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</si>
  <si>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</si>
  <si>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</si>
  <si>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</si>
  <si>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</si>
  <si>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</si>
  <si>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</si>
  <si>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</si>
  <si>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</si>
  <si>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</si>
  <si>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</si>
  <si>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</si>
  <si>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</si>
  <si>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</si>
  <si>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</si>
  <si>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</si>
  <si>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</si>
  <si>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</si>
  <si>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</si>
  <si>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</si>
  <si>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</si>
  <si>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</si>
  <si>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</si>
  <si>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</si>
  <si>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</si>
  <si>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</si>
  <si>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</si>
  <si>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</si>
  <si>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</si>
  <si>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</si>
  <si>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</si>
  <si>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</si>
  <si>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</si>
  <si>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</si>
  <si>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</si>
  <si>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</si>
  <si>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</si>
  <si>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</si>
  <si>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</si>
  <si>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</si>
  <si>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</si>
  <si>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</si>
  <si>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</si>
  <si>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</si>
  <si>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</si>
  <si>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</si>
  <si>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</si>
  <si>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</si>
  <si>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</si>
  <si>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</si>
  <si>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</si>
  <si>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</si>
  <si>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</si>
  <si>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</si>
  <si>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</si>
  <si>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</si>
  <si>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</si>
  <si>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</si>
  <si>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</si>
  <si>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</si>
  <si>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</si>
  <si>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</si>
  <si>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</si>
  <si>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</si>
  <si>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</si>
  <si>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</si>
  <si>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</si>
  <si>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</si>
  <si>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</si>
  <si>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</si>
  <si>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</si>
  <si>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</si>
  <si>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</si>
  <si>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</si>
  <si>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</si>
  <si>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</si>
  <si>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</si>
  <si>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</si>
  <si>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</si>
  <si>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</si>
  <si>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</si>
  <si>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</si>
  <si>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</si>
  <si>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</si>
  <si>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</si>
  <si>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</si>
  <si>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</si>
  <si>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</si>
  <si>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</si>
  <si>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</si>
  <si>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</si>
  <si>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</si>
  <si>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</si>
  <si>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</si>
  <si>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</si>
  <si>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</si>
  <si>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</si>
  <si>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</si>
  <si>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</si>
  <si>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</si>
  <si>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</si>
  <si>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</si>
  <si>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</si>
  <si>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</si>
  <si>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</si>
  <si>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</si>
  <si>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</si>
  <si>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</si>
  <si>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</si>
  <si>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</si>
  <si>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</si>
  <si>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</si>
  <si>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</si>
  <si>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</si>
  <si>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</si>
  <si>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</si>
  <si>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</si>
  <si>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</si>
  <si>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</si>
  <si>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</si>
  <si>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</si>
  <si>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</si>
  <si>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</si>
  <si>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</si>
  <si>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</si>
  <si>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</si>
  <si>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</si>
  <si>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</si>
  <si>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</si>
  <si>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</si>
  <si>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</si>
  <si>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</si>
  <si>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</si>
  <si>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</si>
  <si>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</si>
  <si>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</si>
  <si>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</si>
  <si>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</si>
  <si>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</si>
  <si>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</si>
  <si>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</si>
  <si>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</si>
  <si>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</si>
  <si>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</si>
  <si>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</si>
  <si>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</si>
  <si>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</si>
  <si>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</si>
  <si>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</si>
  <si>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</si>
  <si>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</si>
  <si>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</si>
  <si>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</si>
  <si>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</si>
  <si>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</si>
  <si>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</si>
  <si>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</si>
  <si>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</si>
  <si>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</si>
  <si>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</si>
  <si>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</si>
  <si>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</si>
  <si>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</si>
  <si>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</si>
  <si>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</si>
  <si>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</si>
  <si>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</si>
  <si>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</si>
  <si>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</si>
  <si>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</si>
  <si>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</si>
  <si>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</si>
  <si>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</si>
  <si>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</si>
  <si>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</si>
  <si>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</si>
  <si>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</si>
  <si>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</si>
  <si>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</si>
  <si>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</si>
  <si>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</si>
  <si>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</si>
  <si>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</si>
  <si>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</si>
  <si>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</si>
  <si>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</si>
  <si>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</si>
  <si>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</si>
  <si>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</si>
  <si>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</si>
  <si>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</si>
  <si>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</si>
  <si>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</si>
  <si>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</si>
  <si>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</si>
  <si>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</si>
  <si>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</si>
  <si>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</si>
  <si>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</si>
  <si>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</si>
  <si>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</si>
  <si>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</si>
  <si>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</si>
  <si>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</si>
  <si>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</si>
  <si>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</si>
  <si>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</si>
  <si>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</si>
  <si>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</si>
  <si>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</si>
  <si>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</si>
  <si>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</si>
  <si>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</si>
  <si>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</si>
  <si>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</si>
  <si>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</si>
  <si>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</si>
  <si>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</si>
  <si>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</si>
  <si>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</si>
  <si>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</si>
  <si>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</si>
  <si>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</si>
  <si>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</si>
  <si>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</si>
  <si>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</si>
  <si>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</si>
  <si>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</si>
  <si>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</si>
  <si>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</si>
  <si>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</si>
  <si>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</si>
  <si>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</si>
  <si>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</si>
  <si>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</si>
  <si>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default taken from the forest model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</si>
  <si>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</si>
  <si>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</si>
  <si>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</si>
  <si>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</si>
  <si>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</si>
  <si>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NSW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</si>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</sst>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8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167" fontId="0" fillId="0" borderId="0" xfId="0" applyNumberFormat="1"/>
    <xf numFmtId="0" fontId="0" fillId="19" borderId="9" xfId="0" applyFont="1" applyFill="1" applyBorder="1"/>
    <xf numFmtId="0" fontId="0" fillId="0" borderId="9" xfId="0" applyFont="1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0" fillId="3" borderId="5" xfId="0" applyFill="1" applyBorder="1" applyAlignment="1" applyProtection="1">
      <alignment wrapText="1"/>
      <protection locked="0"/>
    </xf>
  </cellXfs>
  <cellStyles count="2">
    <cellStyle name="Hyperlink" xfId="1" builtinId="8"/>
    <cellStyle name="Normal" xfId="0" builtinId="0"/>
  </cellStyles>
  <dxfs count="44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1E7D1"/>
      <color rgb="FFACD4AC"/>
      <color rgb="FFFFE8C6"/>
      <color rgb="FFFFF5E7"/>
      <color rgb="FFEBEFE5"/>
      <color rgb="FFC6D2B4"/>
      <color rgb="FF93C793"/>
      <color rgb="FFE3C3C3"/>
      <color rgb="FFF1E3E3"/>
      <color rgb="FFF4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4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4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5" totalsRowShown="0" headerRowDxfId="40">
  <autoFilter ref="A2:D35" xr:uid="{C5440D96-D451-4A27-B36D-0588EBEA2573}"/>
  <sortState xmlns:xlrd2="http://schemas.microsoft.com/office/spreadsheetml/2017/richdata2" ref="A3:D34">
    <sortCondition ref="A2:A34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9" sqref="G19"/>
    </sheetView>
  </sheetViews>
  <sheetFormatPr defaultColWidth="8.88671875" defaultRowHeight="14.4" x14ac:dyDescent="0.3"/>
  <cols>
    <col min="1" max="1" width="13.6640625" style="19" customWidth="1"/>
    <col min="2" max="2" width="10.6640625" style="20" customWidth="1"/>
    <col min="3" max="7" width="10.6640625" style="21" customWidth="1"/>
    <col min="8" max="8" width="10.6640625" style="77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5" width="8.88671875" style="5"/>
    <col min="16" max="16" width="8.88671875" style="7"/>
    <col min="17" max="18" width="8.88671875" style="34"/>
    <col min="19" max="20" width="8.88671875" style="8"/>
    <col min="21" max="21" width="8.88671875" style="34"/>
    <col min="22" max="23" width="8.88671875" style="8"/>
    <col min="24" max="26" width="8.88671875" style="89"/>
    <col min="27" max="29" width="8.88671875" style="91"/>
    <col min="30" max="30" width="8.88671875" style="28"/>
    <col min="31" max="32" width="8.88671875" style="35"/>
    <col min="33" max="35" width="8.88671875" style="32"/>
    <col min="36" max="36" width="8.88671875" style="103"/>
    <col min="37" max="38" width="8.88671875" style="112"/>
    <col min="39" max="40" width="8.88671875" style="106"/>
    <col min="41" max="41" width="8.88671875" style="72"/>
    <col min="42" max="43" width="8.88671875" style="86"/>
    <col min="44" max="44" width="8.88671875" style="81"/>
    <col min="45" max="47" width="8.88671875" style="72"/>
    <col min="48" max="48" width="12.5546875" style="113" customWidth="1"/>
    <col min="49" max="50" width="8.88671875" style="124"/>
    <col min="51" max="51" width="8.88671875" style="121"/>
    <col min="52" max="52" width="8.88671875" style="113"/>
    <col min="53" max="53" width="12.6640625" style="4" customWidth="1"/>
    <col min="54" max="55" width="8.88671875" style="33"/>
    <col min="56" max="58" width="8.88671875" style="5"/>
    <col min="59" max="61" width="8.88671875" style="124"/>
    <col min="62" max="62" width="8.88671875" style="121"/>
    <col min="63" max="64" width="8.88671875" style="113"/>
    <col min="65" max="65" width="8.88671875" style="72"/>
    <col min="66" max="67" width="8.88671875" style="86"/>
    <col min="68" max="69" width="8.88671875" style="81"/>
    <col min="70" max="75" width="8.88671875" style="72"/>
    <col min="76" max="77" width="10.5546875" style="72" customWidth="1"/>
    <col min="78" max="16384" width="8.88671875" style="9"/>
  </cols>
  <sheetData>
    <row r="1" spans="1:77" ht="18" x14ac:dyDescent="0.35">
      <c r="A1" s="87" t="s">
        <v>88</v>
      </c>
      <c r="B1" s="168"/>
      <c r="C1" s="169"/>
      <c r="D1" s="2"/>
      <c r="E1" s="2"/>
      <c r="F1" s="139" t="s">
        <v>222</v>
      </c>
      <c r="G1" s="2"/>
      <c r="I1" s="3" t="s">
        <v>2</v>
      </c>
      <c r="J1" s="150" t="s">
        <v>703</v>
      </c>
      <c r="K1" s="170" t="s">
        <v>711</v>
      </c>
      <c r="L1" s="171"/>
      <c r="M1" s="171"/>
      <c r="N1" s="171"/>
      <c r="O1" s="172"/>
      <c r="P1" s="6" t="s">
        <v>15</v>
      </c>
      <c r="R1" s="13" t="s">
        <v>703</v>
      </c>
      <c r="S1" s="176" t="s">
        <v>711</v>
      </c>
      <c r="T1" s="177"/>
      <c r="U1" s="178"/>
      <c r="X1" s="90" t="s">
        <v>91</v>
      </c>
      <c r="Z1" s="151" t="s">
        <v>703</v>
      </c>
      <c r="AA1" s="173" t="s">
        <v>711</v>
      </c>
      <c r="AB1" s="174"/>
      <c r="AC1" s="175"/>
      <c r="AD1" s="30" t="s">
        <v>36</v>
      </c>
      <c r="AE1" s="28"/>
      <c r="AF1" s="154" t="s">
        <v>703</v>
      </c>
      <c r="AG1" s="179" t="s">
        <v>711</v>
      </c>
      <c r="AH1" s="180"/>
      <c r="AI1" s="181"/>
      <c r="AJ1" s="102" t="s">
        <v>68</v>
      </c>
      <c r="AK1" s="103"/>
      <c r="AL1" s="104" t="s">
        <v>703</v>
      </c>
      <c r="AM1" s="157" t="s">
        <v>711</v>
      </c>
      <c r="AN1" s="158"/>
      <c r="AO1" s="71" t="s">
        <v>76</v>
      </c>
      <c r="AP1" s="72"/>
      <c r="AQ1" s="132" t="s">
        <v>703</v>
      </c>
      <c r="AR1" s="159" t="s">
        <v>711</v>
      </c>
      <c r="AS1" s="160"/>
      <c r="AT1" s="161"/>
      <c r="AV1" s="118" t="s">
        <v>100</v>
      </c>
      <c r="AW1" s="153" t="s">
        <v>703</v>
      </c>
      <c r="AX1" s="165" t="s">
        <v>711</v>
      </c>
      <c r="AY1" s="166"/>
      <c r="AZ1" s="167"/>
      <c r="BA1" s="3" t="s">
        <v>192</v>
      </c>
      <c r="BB1" s="4"/>
      <c r="BC1" s="150" t="s">
        <v>703</v>
      </c>
      <c r="BD1" s="162" t="s">
        <v>711</v>
      </c>
      <c r="BE1" s="163"/>
      <c r="BF1" s="164"/>
      <c r="BG1" s="134" t="s">
        <v>200</v>
      </c>
      <c r="BM1" s="71" t="s">
        <v>199</v>
      </c>
      <c r="BN1" s="72"/>
      <c r="BO1" s="132"/>
      <c r="BP1" s="132"/>
    </row>
    <row r="2" spans="1:77" x14ac:dyDescent="0.3">
      <c r="A2" s="87" t="s">
        <v>89</v>
      </c>
      <c r="B2" s="44">
        <v>45520</v>
      </c>
      <c r="C2" s="2"/>
      <c r="D2" s="2"/>
      <c r="E2" s="2"/>
      <c r="F2" s="2" t="s">
        <v>220</v>
      </c>
      <c r="G2" s="46">
        <v>2</v>
      </c>
      <c r="I2" s="11" t="s">
        <v>40</v>
      </c>
      <c r="J2" s="22">
        <v>3</v>
      </c>
      <c r="K2" s="12" t="s">
        <v>99</v>
      </c>
      <c r="P2" s="13"/>
      <c r="Q2" s="7"/>
      <c r="R2" s="13" t="s">
        <v>21</v>
      </c>
      <c r="AE2" s="28"/>
      <c r="AF2" s="28"/>
      <c r="AH2" s="31" t="s">
        <v>211</v>
      </c>
      <c r="AI2" s="31"/>
      <c r="AJ2" s="104" t="s">
        <v>75</v>
      </c>
      <c r="AK2" s="103"/>
      <c r="AL2" s="105"/>
      <c r="AN2" s="103"/>
      <c r="AP2" s="72"/>
      <c r="AQ2" s="72"/>
      <c r="AS2" s="82" t="s">
        <v>211</v>
      </c>
      <c r="AT2" s="82"/>
      <c r="AU2" s="82"/>
      <c r="AV2" s="185" t="s">
        <v>758</v>
      </c>
      <c r="BB2" s="11" t="s">
        <v>195</v>
      </c>
      <c r="BC2" s="22">
        <v>1</v>
      </c>
      <c r="BJ2" s="128" t="s">
        <v>207</v>
      </c>
      <c r="BK2" s="119">
        <f>SUM(fl_s_forest,fl_ns_forest,fl_e_forest)</f>
        <v>16</v>
      </c>
      <c r="BL2" s="128"/>
      <c r="BM2" s="72" t="s">
        <v>722</v>
      </c>
      <c r="BN2" s="72"/>
      <c r="BO2" s="82"/>
      <c r="BP2" s="132"/>
    </row>
    <row r="3" spans="1:77" x14ac:dyDescent="0.3">
      <c r="A3" s="87" t="s">
        <v>90</v>
      </c>
      <c r="B3" s="45">
        <v>0.63467592592592592</v>
      </c>
      <c r="C3" s="2"/>
      <c r="D3" s="2"/>
      <c r="E3" s="2"/>
      <c r="F3" s="2" t="s">
        <v>221</v>
      </c>
      <c r="G3" s="46" t="b">
        <v>1</v>
      </c>
      <c r="I3" s="14"/>
      <c r="J3" s="15" t="s">
        <v>49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225</v>
      </c>
      <c r="AA3" s="100" t="s">
        <v>18</v>
      </c>
      <c r="AE3" s="28"/>
      <c r="AF3" s="28"/>
      <c r="AH3" s="31" t="s">
        <v>227</v>
      </c>
      <c r="AI3" s="31"/>
      <c r="AK3" s="103"/>
      <c r="AL3" s="105"/>
      <c r="AM3" s="105"/>
      <c r="AN3" s="103"/>
      <c r="AP3" s="72"/>
      <c r="AQ3" s="72"/>
      <c r="AS3" s="82" t="s">
        <v>212</v>
      </c>
      <c r="AT3" s="82"/>
      <c r="AU3" s="82"/>
      <c r="AY3" s="128"/>
      <c r="AZ3" s="128"/>
      <c r="BB3" s="11" t="s">
        <v>196</v>
      </c>
      <c r="BC3" s="131">
        <f>fuel_load_buttongrass(tsf,productivity_buttongrass)</f>
        <v>10.901261329650879</v>
      </c>
      <c r="BJ3" s="128"/>
      <c r="BK3" s="155" t="s">
        <v>723</v>
      </c>
      <c r="BL3" s="128"/>
      <c r="BN3" s="72" t="s">
        <v>231</v>
      </c>
      <c r="BO3" s="82"/>
      <c r="BP3" s="82"/>
    </row>
    <row r="4" spans="1:77" x14ac:dyDescent="0.3">
      <c r="A4" s="87"/>
      <c r="B4" s="1"/>
      <c r="C4" s="2"/>
      <c r="D4" s="2"/>
      <c r="E4" s="2"/>
      <c r="F4" s="2"/>
      <c r="G4" s="2"/>
      <c r="I4" s="17" t="s">
        <v>8</v>
      </c>
      <c r="J4" s="18">
        <f>fl_to_fhs(I4,K4)</f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226</v>
      </c>
      <c r="AA4" s="156">
        <v>4.5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232</v>
      </c>
      <c r="BO4" s="132"/>
      <c r="BP4" s="132"/>
    </row>
    <row r="5" spans="1:77" ht="15.6" x14ac:dyDescent="0.3">
      <c r="A5" s="88" t="s">
        <v>24</v>
      </c>
      <c r="B5" s="1"/>
      <c r="C5" s="2"/>
      <c r="D5" s="2"/>
      <c r="E5" s="2"/>
      <c r="F5" s="139" t="s">
        <v>225</v>
      </c>
      <c r="G5" s="46" t="s">
        <v>729</v>
      </c>
      <c r="I5" s="17" t="s">
        <v>9</v>
      </c>
      <c r="J5" s="18">
        <f>fl_to_fhs(I5,K5)</f>
        <v>2</v>
      </c>
      <c r="K5" s="23">
        <v>3</v>
      </c>
      <c r="Q5" s="7"/>
      <c r="R5" s="7"/>
      <c r="Z5" s="92" t="s">
        <v>20</v>
      </c>
      <c r="AA5" s="101">
        <v>100</v>
      </c>
      <c r="AE5" s="28"/>
      <c r="AF5" s="28"/>
      <c r="AK5" s="103"/>
      <c r="AL5" s="105"/>
      <c r="AM5" s="105"/>
      <c r="AN5" s="103"/>
      <c r="AP5" s="72"/>
      <c r="AQ5" s="72"/>
      <c r="AR5" s="82" t="s">
        <v>84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J5" s="128"/>
      <c r="BK5" s="128"/>
      <c r="BL5" s="128"/>
      <c r="BN5" s="72" t="s">
        <v>40</v>
      </c>
      <c r="BO5" s="132"/>
      <c r="BP5" s="132"/>
    </row>
    <row r="6" spans="1:77" x14ac:dyDescent="0.3">
      <c r="A6" s="10" t="s">
        <v>198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98</v>
      </c>
      <c r="AA6" s="101">
        <v>0.5</v>
      </c>
      <c r="AE6" s="28"/>
      <c r="AF6" s="28"/>
      <c r="AG6" s="31" t="s">
        <v>725</v>
      </c>
      <c r="AH6" s="29">
        <v>0.66700000000000004</v>
      </c>
      <c r="AI6" s="31"/>
      <c r="AK6" s="103"/>
      <c r="AL6" s="105"/>
      <c r="AM6" s="105"/>
      <c r="AN6" s="103"/>
      <c r="AP6" s="72"/>
      <c r="AQ6" s="72"/>
      <c r="AR6" s="82" t="s">
        <v>85</v>
      </c>
      <c r="AS6" s="149">
        <v>0.8</v>
      </c>
      <c r="AT6" s="82"/>
      <c r="AU6" s="82"/>
      <c r="AY6" s="128" t="s">
        <v>98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71</v>
      </c>
      <c r="BO6" s="72"/>
      <c r="BP6" s="82"/>
      <c r="BQ6" s="82"/>
    </row>
    <row r="7" spans="1:77" x14ac:dyDescent="0.3">
      <c r="A7" s="25"/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41</v>
      </c>
      <c r="AH7" s="29">
        <v>1.3</v>
      </c>
      <c r="AI7" s="31"/>
      <c r="AK7" s="103"/>
      <c r="AL7" s="103"/>
      <c r="AM7" s="103"/>
      <c r="AN7" s="103"/>
      <c r="AP7" s="72"/>
      <c r="AQ7" s="72"/>
      <c r="AR7" s="82" t="s">
        <v>86</v>
      </c>
      <c r="AS7" s="83">
        <v>18</v>
      </c>
      <c r="AT7" s="82"/>
      <c r="AU7" s="82"/>
      <c r="AY7" s="128" t="s">
        <v>71</v>
      </c>
      <c r="AZ7" s="119" t="s">
        <v>103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77" x14ac:dyDescent="0.3">
      <c r="A8" s="10" t="s">
        <v>25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87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N8" s="72"/>
      <c r="BO8" s="72"/>
      <c r="BP8" s="133"/>
      <c r="BQ8" s="133"/>
    </row>
    <row r="9" spans="1:77" x14ac:dyDescent="0.3">
      <c r="A9" s="10" t="s">
        <v>48</v>
      </c>
      <c r="B9" s="1"/>
      <c r="C9" s="2"/>
      <c r="D9" s="2"/>
      <c r="E9" s="2"/>
      <c r="F9" s="129" t="s">
        <v>38</v>
      </c>
      <c r="G9" s="46">
        <v>0</v>
      </c>
      <c r="I9" s="17"/>
      <c r="J9" s="12" t="s">
        <v>12</v>
      </c>
      <c r="K9" s="18"/>
      <c r="L9" s="130" t="s">
        <v>193</v>
      </c>
      <c r="Q9" s="7"/>
      <c r="R9" s="7"/>
      <c r="AE9" s="28"/>
      <c r="AF9" s="28"/>
      <c r="AG9" s="31" t="s">
        <v>27</v>
      </c>
      <c r="AH9" s="148">
        <v>12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N9" s="72"/>
      <c r="BO9" s="72"/>
      <c r="BP9" s="72"/>
      <c r="BQ9" s="72"/>
    </row>
    <row r="10" spans="1:77" x14ac:dyDescent="0.3">
      <c r="A10" s="25"/>
      <c r="B10" s="1"/>
      <c r="C10" s="2"/>
      <c r="D10" s="2"/>
      <c r="E10" s="2"/>
      <c r="F10" s="129" t="s">
        <v>37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71</v>
      </c>
      <c r="M10" s="65" t="s">
        <v>73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77" x14ac:dyDescent="0.3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224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77" x14ac:dyDescent="0.3">
      <c r="A12" s="25"/>
      <c r="B12" s="1"/>
      <c r="C12" s="2"/>
      <c r="D12" s="2"/>
      <c r="E12" s="2"/>
      <c r="F12" s="186" t="s">
        <v>69</v>
      </c>
      <c r="G12" s="64">
        <v>100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77" s="66" customFormat="1" ht="18" x14ac:dyDescent="0.35">
      <c r="A13" s="36" t="s">
        <v>1</v>
      </c>
      <c r="B13" s="37"/>
      <c r="C13" s="38"/>
      <c r="D13" s="38"/>
      <c r="E13" s="38"/>
      <c r="F13" s="186" t="s">
        <v>101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</row>
    <row r="14" spans="1:77" s="68" customFormat="1" ht="60" customHeight="1" x14ac:dyDescent="0.3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59" t="s">
        <v>70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223</v>
      </c>
      <c r="P14" s="61" t="s">
        <v>70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209</v>
      </c>
      <c r="V14" s="62" t="s">
        <v>210</v>
      </c>
      <c r="W14" s="142" t="s">
        <v>223</v>
      </c>
      <c r="X14" s="95" t="s">
        <v>70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223</v>
      </c>
      <c r="AD14" s="63" t="s">
        <v>70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233</v>
      </c>
      <c r="AJ14" s="108" t="s">
        <v>70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70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228</v>
      </c>
      <c r="AU14" s="75" t="s">
        <v>229</v>
      </c>
      <c r="AV14" s="115" t="s">
        <v>70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70</v>
      </c>
      <c r="BB14" s="59" t="s">
        <v>3</v>
      </c>
      <c r="BC14" s="59" t="s">
        <v>4</v>
      </c>
      <c r="BD14" s="60" t="s">
        <v>5</v>
      </c>
      <c r="BE14" s="60" t="s">
        <v>194</v>
      </c>
      <c r="BF14" s="60" t="s">
        <v>7</v>
      </c>
      <c r="BG14" s="126" t="s">
        <v>208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223</v>
      </c>
      <c r="BM14" s="74" t="s">
        <v>70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201</v>
      </c>
      <c r="BT14" s="75" t="s">
        <v>202</v>
      </c>
      <c r="BU14" s="75" t="s">
        <v>203</v>
      </c>
      <c r="BV14" s="75" t="s">
        <v>205</v>
      </c>
      <c r="BW14" s="75" t="s">
        <v>204</v>
      </c>
      <c r="BX14" s="75" t="s">
        <v>206</v>
      </c>
      <c r="BY14" s="144" t="s">
        <v>223</v>
      </c>
    </row>
    <row r="15" spans="1:77" s="67" customFormat="1" x14ac:dyDescent="0.3">
      <c r="A15" s="44">
        <v>45520</v>
      </c>
      <c r="B15" s="45">
        <v>0.63467592592592592</v>
      </c>
      <c r="C15" s="46">
        <v>25</v>
      </c>
      <c r="D15" s="46">
        <v>30</v>
      </c>
      <c r="E15" s="46" t="s">
        <v>197</v>
      </c>
      <c r="F15" s="46">
        <v>20</v>
      </c>
      <c r="G15" s="46">
        <v>8</v>
      </c>
      <c r="H15" s="79">
        <f>backbearing(E15)</f>
        <v>180</v>
      </c>
      <c r="I15" s="47">
        <f>fbi(K15,Forest)</f>
        <v>17</v>
      </c>
      <c r="J15" s="48">
        <f>ROS_forest(F15,fhs_s,fhs_ns,h_ns_forest,N15,G15,waf_forest,kbdi,submodel_forest)</f>
        <v>321.76293430405002</v>
      </c>
      <c r="K15" s="48">
        <f>Intensity_forest(J15,G15,L15,fl_s_forest,fl_ns_forest,fl_e_forest,fl_o_forest,h_o_forest,waf_forest,kbdi,submodel_forest)</f>
        <v>2127.9254913012755</v>
      </c>
      <c r="L15" s="49">
        <f>Flame_height_forest(J15,h_e_forest)</f>
        <v>4.8282146453857422</v>
      </c>
      <c r="M15" s="47">
        <f>Spotting_forest(J15,$F15,fhs_s)</f>
        <v>10</v>
      </c>
      <c r="N15" s="49">
        <f>FMC_Forest(C15,D15,A15,B15,submodel_forest)</f>
        <v>7.5449999999999999</v>
      </c>
      <c r="O15" s="49" cm="1">
        <f t="array" ref="O15">breach_probability(K15,fb_width,fb_trees)</f>
        <v>79.674171447753906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2" cm="1">
        <f t="array" ref="W15">breach_probability(R15,fb_width,fb_trees)</f>
        <v>96.4061279296875</v>
      </c>
      <c r="X15" s="97">
        <f>fbi(Z15,Woodland)</f>
        <v>13</v>
      </c>
      <c r="Y15" s="98">
        <f>ROS_woodland(F15,AB15,curing_woodland, state_woodland,waf_woodland)</f>
        <v>1606.534423828125</v>
      </c>
      <c r="Z15" s="98">
        <f>Intensity_woodland(Y15,fl_woodland)</f>
        <v>3735.1924364515799</v>
      </c>
      <c r="AA15" s="99">
        <f>Flame_height_woodland(Y15,state_woodland)</f>
        <v>0.88276749849319458</v>
      </c>
      <c r="AB15" s="99">
        <f>FMC_woodland(C15,D15)</f>
        <v>8.5950002670288086</v>
      </c>
      <c r="AC15" s="99" cm="1">
        <f t="array" ref="AC15">breach_probability(Z15,fb_width,fb_trees)</f>
        <v>87.486427307128906</v>
      </c>
      <c r="AD15" s="53">
        <f>fbi(AF15,Heath)</f>
        <v>35</v>
      </c>
      <c r="AE15" s="54">
        <f>ROS_heath(F15,h_el_heath,AH15,AI15,waf_heath)</f>
        <v>1778.055101891714</v>
      </c>
      <c r="AF15" s="54">
        <f>intensity_heath(AE15,fl_heath)</f>
        <v>11023.941631728627</v>
      </c>
      <c r="AG15" s="55">
        <f>Flame_height_heath(AF15)</f>
        <v>5.7537570083878355</v>
      </c>
      <c r="AH15" s="55">
        <f>FMC_heath(C15,D15,rain,tsr)</f>
        <v>8.3899999999999988</v>
      </c>
      <c r="AI15" s="55">
        <f>+SI_heath(F15,h_el_heath,AH15,waf_heath)</f>
        <v>0.99240677354064466</v>
      </c>
      <c r="AJ15" s="109">
        <f>fbi(AL15,Pine)</f>
        <v>17</v>
      </c>
      <c r="AK15" s="110">
        <f t="array" ref="AK15:AM15">fb_pine_ensemble(F15,AN15,G15,kbdi)</f>
        <v>816.03883812382151</v>
      </c>
      <c r="AL15" s="110">
        <v>2251.8909951973737</v>
      </c>
      <c r="AM15" s="111">
        <v>4.0868029594421387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3" cm="1">
        <f t="array" ref="BL15">breach_probability(BI15,fb_width,fb_trees)</f>
        <v>76.841522216796875</v>
      </c>
      <c r="BM15" s="47">
        <f>fbi(BO15,Forest)</f>
        <v>36</v>
      </c>
      <c r="BN15" s="85">
        <f>ros_Vesta2(BS15,BT15,BU15,BV15,BW15)</f>
        <v>1041.31884765625</v>
      </c>
      <c r="BO15" s="85">
        <f>Intensity_forest(BN15,G15,BP15,fl_s_forest,fl_ns_forest,fl_e_forest,fl_o_forest,h_o_forest,waf_forest,kbdi,submodel_forest)</f>
        <v>6886.5884919060818</v>
      </c>
      <c r="BP15" s="84">
        <f>Flame_height_forest(BN15,h_e_forest)</f>
        <v>11.286286354064941</v>
      </c>
      <c r="BQ15" s="84">
        <f>Spotting_forest(BN15,$F15,fhs_s)</f>
        <v>1938</v>
      </c>
      <c r="BR15" s="84">
        <f>FMC_Vesta2(C15,D15,A15,B15,submodel_forest)</f>
        <v>7.5449999999999999</v>
      </c>
      <c r="BS15" s="86">
        <f>ros1_Vesta2(F15,waf_forest,fl_s_forest+fl_ns_forest,BR15,BX15)</f>
        <v>236.1473388671875</v>
      </c>
      <c r="BT15" s="86">
        <f>ros2_Vesta2(F15,waf_forest,fl_s_forest+fl_ns_forest,h_e_forest,BR15,BX15)</f>
        <v>1041.4190673828125</v>
      </c>
      <c r="BU15" s="86">
        <f>ros3_Vesta2(F15,BR15,BX15)</f>
        <v>1293.6922607421875</v>
      </c>
      <c r="BV15" s="138">
        <f>prob_phase2(F15,waf_forest,fl_s_forest+fl_ns_forest,BR15,BX15)</f>
        <v>0.99973130226135254</v>
      </c>
      <c r="BW15" s="138">
        <f>prob_phase3(F15,BT15,BR15,BX15)</f>
        <v>4.6006991760805249E-4</v>
      </c>
      <c r="BX15" s="81">
        <f>fuel_availability_Vesta2(G15,kbdi,waf_forest,$BN$12)</f>
        <v>0.94976853617656709</v>
      </c>
      <c r="BY15" s="84" cm="1">
        <f t="array" ref="BY15">breach_probability(BO15,fb_width,fb_trees)</f>
        <v>95.6025390625</v>
      </c>
    </row>
    <row r="16" spans="1:77" x14ac:dyDescent="0.3">
      <c r="A16" s="44"/>
      <c r="B16" s="45"/>
      <c r="C16" s="46"/>
      <c r="D16" s="46"/>
      <c r="E16" s="187"/>
      <c r="F16" s="46"/>
      <c r="G16" s="46"/>
      <c r="H16" s="79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7"/>
      <c r="Y16" s="98"/>
      <c r="Z16" s="98"/>
      <c r="AA16" s="99"/>
      <c r="AB16" s="99"/>
      <c r="AC16" s="99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84"/>
      <c r="AT16" s="84"/>
      <c r="AU16" s="84"/>
      <c r="AV16" s="117"/>
      <c r="AW16" s="127"/>
      <c r="AX16" s="127"/>
      <c r="AY16" s="123"/>
      <c r="AZ16" s="123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23"/>
      <c r="BL16" s="123"/>
      <c r="BM16" s="47"/>
      <c r="BN16" s="85"/>
      <c r="BO16" s="85"/>
      <c r="BP16" s="84"/>
      <c r="BQ16" s="84"/>
      <c r="BR16" s="84"/>
      <c r="BS16" s="86"/>
      <c r="BT16" s="86"/>
      <c r="BU16" s="86"/>
      <c r="BV16" s="138"/>
      <c r="BW16" s="138"/>
      <c r="BX16" s="81"/>
      <c r="BY16" s="84"/>
    </row>
    <row r="17" spans="1:70" x14ac:dyDescent="0.3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76"/>
      <c r="AT17" s="76"/>
      <c r="AU17" s="76"/>
      <c r="AV17" s="117"/>
      <c r="AW17" s="127"/>
      <c r="AX17" s="127"/>
      <c r="AY17" s="123"/>
      <c r="AZ17" s="117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17"/>
      <c r="BL17" s="117"/>
      <c r="BM17" s="76"/>
      <c r="BN17" s="85"/>
      <c r="BO17" s="85"/>
      <c r="BP17" s="84"/>
      <c r="BQ17" s="84"/>
      <c r="BR17" s="76"/>
    </row>
    <row r="18" spans="1:70" x14ac:dyDescent="0.3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76"/>
      <c r="AT18" s="76"/>
      <c r="AU18" s="76"/>
      <c r="AV18" s="117"/>
      <c r="AW18" s="127"/>
      <c r="AX18" s="127"/>
      <c r="AY18" s="123"/>
      <c r="AZ18" s="117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17"/>
      <c r="BL18" s="117"/>
      <c r="BM18" s="76"/>
      <c r="BN18" s="85"/>
      <c r="BO18" s="85"/>
      <c r="BP18" s="84"/>
      <c r="BQ18" s="84"/>
      <c r="BR18" s="76"/>
    </row>
    <row r="19" spans="1:70" x14ac:dyDescent="0.3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76"/>
      <c r="AT19" s="76"/>
      <c r="AU19" s="76"/>
      <c r="AV19" s="117"/>
      <c r="AW19" s="127"/>
      <c r="AX19" s="127"/>
      <c r="AY19" s="123"/>
      <c r="AZ19" s="117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17"/>
      <c r="BL19" s="117"/>
      <c r="BM19" s="76"/>
      <c r="BN19" s="85"/>
      <c r="BO19" s="85"/>
      <c r="BP19" s="84"/>
      <c r="BQ19" s="84"/>
      <c r="BR19" s="76"/>
    </row>
    <row r="20" spans="1:70" x14ac:dyDescent="0.3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76"/>
      <c r="AT20" s="76"/>
      <c r="AU20" s="76"/>
      <c r="AV20" s="117"/>
      <c r="AW20" s="127"/>
      <c r="AX20" s="127"/>
      <c r="AY20" s="123"/>
      <c r="AZ20" s="117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17"/>
      <c r="BL20" s="117"/>
      <c r="BM20" s="76"/>
      <c r="BN20" s="85"/>
      <c r="BO20" s="85"/>
      <c r="BP20" s="84"/>
      <c r="BQ20" s="84"/>
      <c r="BR20" s="76"/>
    </row>
    <row r="21" spans="1:70" x14ac:dyDescent="0.3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76"/>
      <c r="AT21" s="76"/>
      <c r="AU21" s="76"/>
      <c r="AV21" s="117"/>
      <c r="AW21" s="127"/>
      <c r="AX21" s="127"/>
      <c r="AY21" s="123"/>
      <c r="AZ21" s="117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17"/>
      <c r="BL21" s="117"/>
      <c r="BM21" s="76"/>
      <c r="BN21" s="85"/>
      <c r="BO21" s="85"/>
      <c r="BP21" s="84"/>
      <c r="BQ21" s="84"/>
      <c r="BR21" s="76"/>
    </row>
    <row r="22" spans="1:70" x14ac:dyDescent="0.3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76"/>
      <c r="AT22" s="76"/>
      <c r="AU22" s="76"/>
      <c r="AV22" s="117"/>
      <c r="AW22" s="127"/>
      <c r="AX22" s="127"/>
      <c r="AY22" s="123"/>
      <c r="AZ22" s="117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17"/>
      <c r="BL22" s="117"/>
      <c r="BM22" s="76"/>
      <c r="BN22" s="85"/>
      <c r="BO22" s="85"/>
      <c r="BP22" s="84"/>
      <c r="BQ22" s="84"/>
      <c r="BR22" s="76"/>
    </row>
    <row r="23" spans="1:70" x14ac:dyDescent="0.3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0" x14ac:dyDescent="0.3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0" x14ac:dyDescent="0.3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0" x14ac:dyDescent="0.3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0" x14ac:dyDescent="0.3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0" x14ac:dyDescent="0.3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0" x14ac:dyDescent="0.3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0" x14ac:dyDescent="0.3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0" x14ac:dyDescent="0.3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0" x14ac:dyDescent="0.3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3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3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3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3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3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3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3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3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3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3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3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3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3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3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3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3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3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3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3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3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3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3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3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3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3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3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3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3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3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3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3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3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3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3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3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3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3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3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3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3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3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3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3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3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3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3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3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3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3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3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3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3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3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3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3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3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3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3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3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3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3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3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3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3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3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3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3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3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3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3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3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3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3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3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3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3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3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3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3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3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3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3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3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3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3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3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3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3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3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3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3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3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3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3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3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3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3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3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3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3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3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3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3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3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3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3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3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3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3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3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3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3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3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3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3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3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3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3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3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3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3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3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3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3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3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3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3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3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3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3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3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3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3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3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3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3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3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3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3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3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3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3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3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3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3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3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7:BM178">
    <cfRule type="expression" dxfId="11" priority="12">
      <formula>BM17&gt;=12</formula>
    </cfRule>
  </conditionalFormatting>
  <conditionalFormatting sqref="BM17:BM178">
    <cfRule type="expression" dxfId="10" priority="9">
      <formula>BM17&gt;=100</formula>
    </cfRule>
    <cfRule type="expression" dxfId="9" priority="10">
      <formula>BM17&gt;=50</formula>
    </cfRule>
    <cfRule type="expression" dxfId="8" priority="11">
      <formula>BM17&gt;=24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:BM16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AX1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AA3 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8"/>
  <sheetViews>
    <sheetView workbookViewId="0">
      <selection activeCell="C13" sqref="C13"/>
    </sheetView>
  </sheetViews>
  <sheetFormatPr defaultRowHeight="14.4" x14ac:dyDescent="0.3"/>
  <cols>
    <col min="1" max="1" width="10.6640625" style="182" bestFit="1" customWidth="1"/>
    <col min="2" max="2" width="28.5546875" bestFit="1" customWidth="1"/>
    <col min="3" max="3" width="100.6640625" style="147" customWidth="1"/>
  </cols>
  <sheetData>
    <row r="1" spans="1:3" x14ac:dyDescent="0.3">
      <c r="A1" s="182" t="s">
        <v>727</v>
      </c>
      <c r="B1" t="s">
        <v>213</v>
      </c>
      <c r="C1" s="147" t="s">
        <v>214</v>
      </c>
    </row>
    <row r="2" spans="1:3" ht="28.8" x14ac:dyDescent="0.3">
      <c r="A2" s="182">
        <v>45520</v>
      </c>
      <c r="B2" s="137" t="s">
        <v>215</v>
      </c>
      <c r="C2" s="147" t="s">
        <v>724</v>
      </c>
    </row>
    <row r="3" spans="1:3" ht="43.2" x14ac:dyDescent="0.3">
      <c r="A3" s="182">
        <v>45517</v>
      </c>
      <c r="B3" s="137" t="s">
        <v>215</v>
      </c>
      <c r="C3" s="147" t="s">
        <v>706</v>
      </c>
    </row>
    <row r="4" spans="1:3" ht="28.8" x14ac:dyDescent="0.3">
      <c r="A4" s="182">
        <v>45362</v>
      </c>
      <c r="B4" s="137" t="s">
        <v>215</v>
      </c>
      <c r="C4" s="147" t="s">
        <v>230</v>
      </c>
    </row>
    <row r="5" spans="1:3" ht="43.2" x14ac:dyDescent="0.3">
      <c r="A5" s="182">
        <v>45350</v>
      </c>
      <c r="B5" s="137" t="s">
        <v>215</v>
      </c>
      <c r="C5" s="147" t="s">
        <v>726</v>
      </c>
    </row>
    <row r="6" spans="1:3" x14ac:dyDescent="0.3">
      <c r="A6" s="182">
        <v>45337</v>
      </c>
      <c r="B6" s="137" t="s">
        <v>215</v>
      </c>
      <c r="C6" s="147" t="s">
        <v>216</v>
      </c>
    </row>
    <row r="7" spans="1:3" x14ac:dyDescent="0.3">
      <c r="A7" s="182">
        <v>45337</v>
      </c>
      <c r="B7" s="137" t="s">
        <v>215</v>
      </c>
      <c r="C7" s="147" t="s">
        <v>218</v>
      </c>
    </row>
    <row r="8" spans="1:3" x14ac:dyDescent="0.3">
      <c r="A8" s="182">
        <v>45337</v>
      </c>
      <c r="B8" s="137" t="s">
        <v>215</v>
      </c>
      <c r="C8" s="147" t="s">
        <v>219</v>
      </c>
    </row>
  </sheetData>
  <hyperlinks>
    <hyperlink ref="B6" r:id="rId1" xr:uid="{9C519682-40A3-4376-BBAD-C3A15B12AFA3}"/>
    <hyperlink ref="B7" r:id="rId2" xr:uid="{B1588E9A-788F-4281-B98F-E8F54F0FF0F2}"/>
    <hyperlink ref="B8" r:id="rId3" xr:uid="{AB6E1068-558F-437B-8A54-14E7C534CCD3}"/>
    <hyperlink ref="B5" r:id="rId4" xr:uid="{62C32CD0-8A71-4E82-9007-654A953FEE96}"/>
    <hyperlink ref="B4" r:id="rId5" xr:uid="{23857086-BAB7-4882-96D8-8AF6EF25DC51}"/>
    <hyperlink ref="B3" r:id="rId6" xr:uid="{A7BD4FF4-3F48-44F2-8B44-69944C056496}"/>
    <hyperlink ref="B2" r:id="rId7" xr:uid="{020C6672-8EB2-42AA-B6CA-5A6FC37F8A9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zoomScale="80" zoomScaleNormal="80" workbookViewId="0">
      <selection activeCell="AC1" sqref="AC1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3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3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3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3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3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3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3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3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3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3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3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3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3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3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3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3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3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3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3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3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3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3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3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3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3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3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3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3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3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3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3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3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3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3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3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3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3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3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3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3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3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3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3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3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3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3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3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3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3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3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3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3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3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3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O46"/>
  <sheetViews>
    <sheetView workbookViewId="0">
      <selection activeCell="G1" sqref="G1"/>
    </sheetView>
  </sheetViews>
  <sheetFormatPr defaultRowHeight="14.4" x14ac:dyDescent="0.3"/>
  <cols>
    <col min="1" max="1" width="12.88671875" bestFit="1" customWidth="1"/>
    <col min="2" max="2" width="16.21875" bestFit="1" customWidth="1"/>
    <col min="3" max="3" width="7.77734375" bestFit="1" customWidth="1"/>
    <col min="4" max="4" width="34.6640625" bestFit="1" customWidth="1"/>
    <col min="5" max="5" width="13.6640625" customWidth="1"/>
    <col min="6" max="7" width="12.109375" customWidth="1"/>
    <col min="9" max="9" width="18.109375" customWidth="1"/>
    <col min="10" max="10" width="28.664062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34</v>
      </c>
      <c r="F1" s="26" t="s">
        <v>16</v>
      </c>
      <c r="G1" s="26" t="s">
        <v>734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3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3">
      <c r="A3" t="s">
        <v>50</v>
      </c>
      <c r="B3" t="s">
        <v>759</v>
      </c>
      <c r="C3">
        <v>0</v>
      </c>
      <c r="D3" t="s">
        <v>760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655</v>
      </c>
      <c r="X3">
        <v>2112</v>
      </c>
      <c r="Y3" t="s">
        <v>643</v>
      </c>
      <c r="Z3">
        <v>2210</v>
      </c>
      <c r="AA3" t="s">
        <v>642</v>
      </c>
      <c r="AB3">
        <v>2301</v>
      </c>
      <c r="AE3" t="s">
        <v>632</v>
      </c>
      <c r="AF3">
        <v>2601</v>
      </c>
      <c r="AG3" t="s">
        <v>634</v>
      </c>
      <c r="AH3">
        <v>2501</v>
      </c>
      <c r="AI3" t="s">
        <v>644</v>
      </c>
      <c r="AJ3">
        <v>2200</v>
      </c>
      <c r="AK3" t="s">
        <v>635</v>
      </c>
      <c r="AL3">
        <v>2451</v>
      </c>
    </row>
    <row r="4" spans="1:38" x14ac:dyDescent="0.3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656</v>
      </c>
      <c r="X4">
        <v>2111</v>
      </c>
      <c r="Y4" t="s">
        <v>636</v>
      </c>
      <c r="Z4">
        <v>2360</v>
      </c>
      <c r="AA4" t="s">
        <v>639</v>
      </c>
      <c r="AB4">
        <v>2304</v>
      </c>
      <c r="AE4" t="s">
        <v>631</v>
      </c>
      <c r="AF4">
        <v>2602</v>
      </c>
    </row>
    <row r="5" spans="1:38" x14ac:dyDescent="0.3">
      <c r="A5" t="s">
        <v>50</v>
      </c>
      <c r="B5" t="s">
        <v>770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658</v>
      </c>
      <c r="X5">
        <v>2108</v>
      </c>
      <c r="Y5" t="s">
        <v>263</v>
      </c>
      <c r="Z5">
        <v>2370</v>
      </c>
      <c r="AA5" t="s">
        <v>638</v>
      </c>
      <c r="AB5">
        <v>2311</v>
      </c>
      <c r="AE5" t="s">
        <v>630</v>
      </c>
      <c r="AF5">
        <v>2603</v>
      </c>
    </row>
    <row r="6" spans="1:38" x14ac:dyDescent="0.3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731</v>
      </c>
      <c r="M6" s="183">
        <v>0.35</v>
      </c>
      <c r="Q6" t="s">
        <v>97</v>
      </c>
      <c r="W6" t="s">
        <v>645</v>
      </c>
      <c r="X6">
        <v>2170</v>
      </c>
      <c r="Y6" t="s">
        <v>633</v>
      </c>
      <c r="Z6">
        <v>2551</v>
      </c>
      <c r="AA6" t="s">
        <v>637</v>
      </c>
      <c r="AB6">
        <v>2312</v>
      </c>
      <c r="AE6" t="s">
        <v>629</v>
      </c>
      <c r="AF6">
        <v>2604</v>
      </c>
    </row>
    <row r="7" spans="1:38" x14ac:dyDescent="0.3">
      <c r="A7" t="s">
        <v>50</v>
      </c>
      <c r="B7" t="s">
        <v>35</v>
      </c>
      <c r="C7">
        <v>0</v>
      </c>
      <c r="D7" t="s">
        <v>728</v>
      </c>
      <c r="I7" t="s">
        <v>139</v>
      </c>
      <c r="J7" t="s">
        <v>182</v>
      </c>
      <c r="M7" s="184">
        <v>0.66700000000000004</v>
      </c>
      <c r="W7" t="s">
        <v>653</v>
      </c>
      <c r="X7">
        <v>2114</v>
      </c>
      <c r="Y7" t="s">
        <v>628</v>
      </c>
      <c r="Z7">
        <v>2751</v>
      </c>
      <c r="AA7" t="s">
        <v>573</v>
      </c>
      <c r="AB7">
        <v>2350</v>
      </c>
    </row>
    <row r="8" spans="1:38" x14ac:dyDescent="0.3">
      <c r="A8" t="s">
        <v>50</v>
      </c>
      <c r="B8" t="s">
        <v>767</v>
      </c>
      <c r="C8">
        <v>30</v>
      </c>
      <c r="D8" t="s">
        <v>51</v>
      </c>
      <c r="I8" t="s">
        <v>120</v>
      </c>
      <c r="J8" t="s">
        <v>163</v>
      </c>
      <c r="Q8" t="s">
        <v>732</v>
      </c>
      <c r="W8" t="s">
        <v>661</v>
      </c>
      <c r="X8">
        <v>2103</v>
      </c>
      <c r="Y8" t="s">
        <v>627</v>
      </c>
      <c r="Z8">
        <v>2752</v>
      </c>
    </row>
    <row r="9" spans="1:38" x14ac:dyDescent="0.3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663</v>
      </c>
      <c r="X9">
        <v>2101</v>
      </c>
      <c r="Y9" t="s">
        <v>584</v>
      </c>
      <c r="Z9">
        <v>2800</v>
      </c>
    </row>
    <row r="10" spans="1:38" x14ac:dyDescent="0.3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654</v>
      </c>
      <c r="X10">
        <v>2113</v>
      </c>
      <c r="Y10" t="s">
        <v>626</v>
      </c>
      <c r="Z10">
        <v>2810</v>
      </c>
    </row>
    <row r="11" spans="1:38" x14ac:dyDescent="0.3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657</v>
      </c>
      <c r="X11">
        <v>2109</v>
      </c>
      <c r="Y11" t="s">
        <v>238</v>
      </c>
      <c r="Z11">
        <v>2820</v>
      </c>
    </row>
    <row r="12" spans="1:38" x14ac:dyDescent="0.3">
      <c r="A12" t="s">
        <v>735</v>
      </c>
      <c r="B12" t="s">
        <v>673</v>
      </c>
      <c r="C12">
        <v>1</v>
      </c>
      <c r="D12" t="s">
        <v>736</v>
      </c>
      <c r="I12" t="s">
        <v>140</v>
      </c>
      <c r="J12" t="s">
        <v>183</v>
      </c>
      <c r="W12" t="s">
        <v>640</v>
      </c>
      <c r="X12">
        <v>2303</v>
      </c>
      <c r="Y12" t="s">
        <v>624</v>
      </c>
      <c r="Z12">
        <v>2901</v>
      </c>
    </row>
    <row r="13" spans="1:38" x14ac:dyDescent="0.3">
      <c r="A13" t="s">
        <v>26</v>
      </c>
      <c r="B13" t="s">
        <v>750</v>
      </c>
      <c r="C13">
        <v>2.2000000000000002</v>
      </c>
      <c r="D13" t="s">
        <v>730</v>
      </c>
      <c r="I13" t="s">
        <v>132</v>
      </c>
      <c r="J13" t="s">
        <v>175</v>
      </c>
      <c r="W13" t="s">
        <v>660</v>
      </c>
      <c r="X13">
        <v>2105</v>
      </c>
    </row>
    <row r="14" spans="1:38" x14ac:dyDescent="0.3">
      <c r="A14" t="s">
        <v>26</v>
      </c>
      <c r="B14" t="s">
        <v>743</v>
      </c>
      <c r="C14">
        <v>3</v>
      </c>
      <c r="D14" t="s">
        <v>742</v>
      </c>
      <c r="I14" t="s">
        <v>143</v>
      </c>
      <c r="J14" t="s">
        <v>186</v>
      </c>
      <c r="W14" t="s">
        <v>641</v>
      </c>
      <c r="X14">
        <v>2302</v>
      </c>
    </row>
    <row r="15" spans="1:38" x14ac:dyDescent="0.3">
      <c r="A15" t="s">
        <v>26</v>
      </c>
      <c r="B15" t="s">
        <v>744</v>
      </c>
      <c r="C15">
        <v>3</v>
      </c>
      <c r="D15" t="s">
        <v>53</v>
      </c>
      <c r="I15" t="s">
        <v>106</v>
      </c>
      <c r="J15" t="s">
        <v>149</v>
      </c>
      <c r="W15" t="s">
        <v>662</v>
      </c>
      <c r="X15">
        <v>2102</v>
      </c>
    </row>
    <row r="16" spans="1:38" x14ac:dyDescent="0.3">
      <c r="A16" t="s">
        <v>26</v>
      </c>
      <c r="B16" t="s">
        <v>745</v>
      </c>
      <c r="C16">
        <v>4.5</v>
      </c>
      <c r="D16" t="s">
        <v>54</v>
      </c>
      <c r="I16" t="s">
        <v>141</v>
      </c>
      <c r="J16" t="s">
        <v>184</v>
      </c>
      <c r="W16" t="s">
        <v>659</v>
      </c>
      <c r="X16">
        <v>2106</v>
      </c>
    </row>
    <row r="17" spans="1:24" x14ac:dyDescent="0.3">
      <c r="A17" t="s">
        <v>26</v>
      </c>
      <c r="B17" t="s">
        <v>746</v>
      </c>
      <c r="C17">
        <v>10</v>
      </c>
      <c r="D17" t="s">
        <v>55</v>
      </c>
      <c r="I17" t="s">
        <v>133</v>
      </c>
      <c r="J17" t="s">
        <v>176</v>
      </c>
      <c r="W17" t="s">
        <v>646</v>
      </c>
      <c r="X17">
        <v>2162</v>
      </c>
    </row>
    <row r="18" spans="1:24" x14ac:dyDescent="0.3">
      <c r="A18" t="s">
        <v>26</v>
      </c>
      <c r="B18" t="s">
        <v>757</v>
      </c>
      <c r="C18">
        <v>2</v>
      </c>
      <c r="D18" t="s">
        <v>756</v>
      </c>
      <c r="I18" t="s">
        <v>144</v>
      </c>
      <c r="J18" t="s">
        <v>187</v>
      </c>
      <c r="W18" t="s">
        <v>649</v>
      </c>
      <c r="X18">
        <v>2153</v>
      </c>
    </row>
    <row r="19" spans="1:24" x14ac:dyDescent="0.3">
      <c r="A19" t="s">
        <v>26</v>
      </c>
      <c r="B19" t="s">
        <v>747</v>
      </c>
      <c r="C19">
        <v>20</v>
      </c>
      <c r="D19" t="s">
        <v>56</v>
      </c>
      <c r="I19" t="s">
        <v>130</v>
      </c>
      <c r="J19" t="s">
        <v>173</v>
      </c>
      <c r="W19" t="s">
        <v>648</v>
      </c>
      <c r="X19">
        <v>2154</v>
      </c>
    </row>
    <row r="20" spans="1:24" x14ac:dyDescent="0.3">
      <c r="A20" t="s">
        <v>26</v>
      </c>
      <c r="B20" t="s">
        <v>748</v>
      </c>
      <c r="C20">
        <v>20</v>
      </c>
      <c r="D20" t="s">
        <v>62</v>
      </c>
      <c r="I20" t="s">
        <v>146</v>
      </c>
      <c r="J20" t="s">
        <v>189</v>
      </c>
      <c r="W20" t="s">
        <v>651</v>
      </c>
      <c r="X20">
        <v>2151</v>
      </c>
    </row>
    <row r="21" spans="1:24" x14ac:dyDescent="0.3">
      <c r="A21" t="s">
        <v>26</v>
      </c>
      <c r="B21" t="s">
        <v>135</v>
      </c>
      <c r="C21" t="s">
        <v>73</v>
      </c>
      <c r="D21" t="s">
        <v>764</v>
      </c>
      <c r="I21" t="s">
        <v>136</v>
      </c>
      <c r="J21" t="s">
        <v>179</v>
      </c>
      <c r="W21" t="s">
        <v>650</v>
      </c>
      <c r="X21">
        <v>2152</v>
      </c>
    </row>
    <row r="22" spans="1:24" x14ac:dyDescent="0.3">
      <c r="A22" t="s">
        <v>26</v>
      </c>
      <c r="B22" t="s">
        <v>749</v>
      </c>
      <c r="C22">
        <v>3</v>
      </c>
      <c r="D22" t="s">
        <v>738</v>
      </c>
      <c r="I22" t="s">
        <v>138</v>
      </c>
      <c r="J22" t="s">
        <v>181</v>
      </c>
      <c r="W22" t="s">
        <v>647</v>
      </c>
      <c r="X22">
        <v>2161</v>
      </c>
    </row>
    <row r="23" spans="1:24" x14ac:dyDescent="0.3">
      <c r="A23" t="s">
        <v>32</v>
      </c>
      <c r="B23" t="s">
        <v>31</v>
      </c>
      <c r="C23">
        <v>100</v>
      </c>
      <c r="D23" t="s">
        <v>63</v>
      </c>
      <c r="I23" t="s">
        <v>110</v>
      </c>
      <c r="J23" t="s">
        <v>153</v>
      </c>
      <c r="W23" t="s">
        <v>652</v>
      </c>
      <c r="X23">
        <v>2120</v>
      </c>
    </row>
    <row r="24" spans="1:24" x14ac:dyDescent="0.3">
      <c r="A24" t="s">
        <v>32</v>
      </c>
      <c r="B24" t="s">
        <v>23</v>
      </c>
      <c r="C24" t="s">
        <v>18</v>
      </c>
      <c r="D24" t="s">
        <v>64</v>
      </c>
      <c r="I24" t="s">
        <v>111</v>
      </c>
      <c r="J24" t="s">
        <v>154</v>
      </c>
    </row>
    <row r="25" spans="1:24" x14ac:dyDescent="0.3">
      <c r="A25" t="s">
        <v>45</v>
      </c>
      <c r="B25" t="s">
        <v>751</v>
      </c>
      <c r="C25">
        <v>12</v>
      </c>
      <c r="D25" t="s">
        <v>60</v>
      </c>
    </row>
    <row r="26" spans="1:24" x14ac:dyDescent="0.3">
      <c r="A26" t="s">
        <v>45</v>
      </c>
      <c r="B26" t="s">
        <v>752</v>
      </c>
      <c r="C26">
        <v>1.3</v>
      </c>
      <c r="D26" t="s">
        <v>61</v>
      </c>
    </row>
    <row r="27" spans="1:24" x14ac:dyDescent="0.3">
      <c r="A27" t="s">
        <v>45</v>
      </c>
      <c r="B27" t="s">
        <v>666</v>
      </c>
      <c r="C27">
        <v>0.66700000000000004</v>
      </c>
      <c r="D27" t="s">
        <v>737</v>
      </c>
      <c r="I27" t="s">
        <v>148</v>
      </c>
      <c r="J27" t="s">
        <v>191</v>
      </c>
    </row>
    <row r="28" spans="1:24" x14ac:dyDescent="0.3">
      <c r="A28" t="s">
        <v>739</v>
      </c>
      <c r="B28" t="s">
        <v>740</v>
      </c>
      <c r="C28">
        <v>18</v>
      </c>
      <c r="D28" t="s">
        <v>755</v>
      </c>
      <c r="I28" t="s">
        <v>127</v>
      </c>
      <c r="J28" t="s">
        <v>170</v>
      </c>
    </row>
    <row r="29" spans="1:24" x14ac:dyDescent="0.3">
      <c r="A29" t="s">
        <v>739</v>
      </c>
      <c r="B29" t="s">
        <v>754</v>
      </c>
      <c r="C29">
        <v>0.8</v>
      </c>
      <c r="D29" t="s">
        <v>54</v>
      </c>
      <c r="I29" t="s">
        <v>113</v>
      </c>
      <c r="J29" t="s">
        <v>156</v>
      </c>
    </row>
    <row r="30" spans="1:24" x14ac:dyDescent="0.3">
      <c r="A30" t="s">
        <v>739</v>
      </c>
      <c r="B30" t="s">
        <v>753</v>
      </c>
      <c r="C30">
        <v>3.8</v>
      </c>
      <c r="D30" t="s">
        <v>55</v>
      </c>
      <c r="I30" t="s">
        <v>128</v>
      </c>
      <c r="J30" t="s">
        <v>171</v>
      </c>
    </row>
    <row r="31" spans="1:24" x14ac:dyDescent="0.3">
      <c r="A31" t="s">
        <v>739</v>
      </c>
      <c r="B31" t="s">
        <v>741</v>
      </c>
      <c r="C31">
        <v>4.5</v>
      </c>
      <c r="D31" t="s">
        <v>62</v>
      </c>
      <c r="I31" t="s">
        <v>124</v>
      </c>
      <c r="J31" t="s">
        <v>167</v>
      </c>
    </row>
    <row r="32" spans="1:24" x14ac:dyDescent="0.3">
      <c r="A32" t="s">
        <v>761</v>
      </c>
      <c r="B32" t="s">
        <v>762</v>
      </c>
      <c r="C32" t="s">
        <v>103</v>
      </c>
      <c r="D32" t="s">
        <v>763</v>
      </c>
      <c r="I32" t="s">
        <v>122</v>
      </c>
      <c r="J32" t="s">
        <v>165</v>
      </c>
    </row>
    <row r="33" spans="1:10" x14ac:dyDescent="0.3">
      <c r="A33" t="s">
        <v>761</v>
      </c>
      <c r="B33" t="s">
        <v>765</v>
      </c>
      <c r="C33">
        <v>0.7</v>
      </c>
      <c r="D33" t="s">
        <v>766</v>
      </c>
      <c r="I33" t="s">
        <v>125</v>
      </c>
      <c r="J33" t="s">
        <v>168</v>
      </c>
    </row>
    <row r="34" spans="1:10" x14ac:dyDescent="0.3">
      <c r="A34" t="s">
        <v>93</v>
      </c>
      <c r="B34" t="s">
        <v>674</v>
      </c>
      <c r="C34">
        <v>0.5</v>
      </c>
      <c r="D34" t="s">
        <v>733</v>
      </c>
      <c r="I34" t="s">
        <v>145</v>
      </c>
      <c r="J34" t="s">
        <v>188</v>
      </c>
    </row>
    <row r="35" spans="1:10" x14ac:dyDescent="0.3">
      <c r="A35" t="s">
        <v>50</v>
      </c>
      <c r="B35" t="s">
        <v>768</v>
      </c>
      <c r="C35" t="s">
        <v>197</v>
      </c>
      <c r="D35" t="s">
        <v>769</v>
      </c>
      <c r="I35" t="s">
        <v>119</v>
      </c>
      <c r="J35" t="s">
        <v>162</v>
      </c>
    </row>
    <row r="36" spans="1:10" x14ac:dyDescent="0.3">
      <c r="I36" t="s">
        <v>116</v>
      </c>
      <c r="J36" t="s">
        <v>159</v>
      </c>
    </row>
    <row r="37" spans="1:10" x14ac:dyDescent="0.3">
      <c r="I37" t="s">
        <v>115</v>
      </c>
      <c r="J37" t="s">
        <v>158</v>
      </c>
    </row>
    <row r="38" spans="1:10" x14ac:dyDescent="0.3">
      <c r="I38" t="s">
        <v>114</v>
      </c>
      <c r="J38" t="s">
        <v>157</v>
      </c>
    </row>
    <row r="39" spans="1:10" x14ac:dyDescent="0.3">
      <c r="I39" t="s">
        <v>117</v>
      </c>
      <c r="J39" t="s">
        <v>160</v>
      </c>
    </row>
    <row r="40" spans="1:10" x14ac:dyDescent="0.3">
      <c r="I40" t="s">
        <v>135</v>
      </c>
      <c r="J40" t="s">
        <v>178</v>
      </c>
    </row>
    <row r="41" spans="1:10" x14ac:dyDescent="0.3">
      <c r="I41" t="s">
        <v>134</v>
      </c>
      <c r="J41" t="s">
        <v>177</v>
      </c>
    </row>
    <row r="42" spans="1:10" x14ac:dyDescent="0.3">
      <c r="I42" t="s">
        <v>108</v>
      </c>
      <c r="J42" t="s">
        <v>151</v>
      </c>
    </row>
    <row r="43" spans="1:10" x14ac:dyDescent="0.3">
      <c r="I43" t="s">
        <v>137</v>
      </c>
      <c r="J43" t="s">
        <v>180</v>
      </c>
    </row>
    <row r="44" spans="1:10" x14ac:dyDescent="0.3">
      <c r="I44" t="s">
        <v>121</v>
      </c>
      <c r="J44" t="s">
        <v>164</v>
      </c>
    </row>
    <row r="45" spans="1:10" x14ac:dyDescent="0.3">
      <c r="I45" t="s">
        <v>109</v>
      </c>
      <c r="J45" t="s">
        <v>152</v>
      </c>
    </row>
    <row r="46" spans="1:10" x14ac:dyDescent="0.3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97</vt:i4>
      </vt:variant>
    </vt:vector>
  </HeadingPairs>
  <TitlesOfParts>
    <vt:vector size="101" baseType="lpstr">
      <vt:lpstr>SpreadModels</vt:lpstr>
      <vt:lpstr>Changelog</vt:lpstr>
      <vt:lpstr>AFDRS Fuel LUT</vt:lpstr>
      <vt:lpstr>lookup_tables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2024-08-16T06:11:59Z</dcterms:modified>
</cp:coreProperties>
</file>