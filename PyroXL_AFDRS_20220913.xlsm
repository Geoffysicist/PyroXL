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30720" windowHeight="13512"/>
  </bookViews>
  <sheets>
    <sheet name="AFDRS" sheetId="1" r:id="rId1"/>
    <sheet name="tables" sheetId="3" state="hidden" r:id="rId2"/>
  </sheets>
  <functionGroups builtInGroupCount="18"/>
  <definedNames>
    <definedName name="curing">AFDRS!$N$4</definedName>
    <definedName name="FBI_forest">AFDRS!$G$15:$G$1048576</definedName>
    <definedName name="ffh_e" comment="forest fuel height elevated">AFDRS!$H$11</definedName>
    <definedName name="ffh_o" comment="forest fuel height canopy (overstorey)">AFDRS!$H$12</definedName>
    <definedName name="ffl_b" comment="forest fuel load bark">AFDRS!$I$7</definedName>
    <definedName name="ffl_e" comment="forest fuel load elevated">AFDRS!$I$6</definedName>
    <definedName name="ffl_ns" comment="forest fuel load near surface">AFDRS!$I$5</definedName>
    <definedName name="ffl_o" comment="forest fuel load canopy (overstorey)">AFDRS!$I$8</definedName>
    <definedName name="ffl_s" comment="forest fuel load surface">AFDRS!$I$4</definedName>
    <definedName name="fh_ns">AFDRS!$H$10</definedName>
    <definedName name="fhs_ns">AFDRS!$H$5</definedName>
    <definedName name="fhs_s">AFDRS!$H$4</definedName>
    <definedName name="fl_grass">AFDRS!$O$3</definedName>
    <definedName name="Outputs">AFDRS!$G$15:$Q$15</definedName>
    <definedName name="start_date">AFDRS!$A$15</definedName>
    <definedName name="state_grass">AFDRS!$N$3</definedName>
    <definedName name="WAF">AFDRS!$H$2</definedName>
    <definedName name="weather">AFDRS!$A$15:$F$1048576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5" i="1" l="1"/>
  <c r="L15" i="1"/>
  <c r="H15" i="1"/>
  <c r="K15" i="1"/>
  <c r="J15" i="1"/>
  <c r="I15" i="1"/>
  <c r="N15" i="1"/>
  <c r="O15" i="1" s="1"/>
  <c r="G15" i="1" l="1"/>
  <c r="M15" i="1"/>
  <c r="P15" i="1"/>
</calcChain>
</file>

<file path=xl/sharedStrings.xml><?xml version="1.0" encoding="utf-8"?>
<sst xmlns="http://schemas.openxmlformats.org/spreadsheetml/2006/main" count="76" uniqueCount="63">
  <si>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</si>
  <si>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</si>
  <si>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</si>
  <si>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</si>
  <si>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</si>
  <si>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</si>
  <si>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</si>
  <si>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</si>
  <si>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</si>
  <si>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</si>
  <si>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</si>
  <si>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</si>
  <si>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</si>
  <si>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</si>
  <si>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</si>
  <si>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</si>
  <si>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</si>
  <si>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</si>
  <si>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</si>
  <si>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</si>
  <si>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</si>
  <si>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</si>
  <si>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</si>
  <si>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</si>
  <si>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</si>
  <si>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</si>
  <si>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</si>
  <si>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</si>
  <si>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</si>
  <si>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</si>
  <si>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</si>
  <si>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</si>
  <si>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</si>
  <si>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</si>
  <si>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</si>
  <si>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</si>
  <si>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</si>
  <si>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U_10</t>
  </si>
  <si>
    <t>temp</t>
  </si>
  <si>
    <t>to contribute to testing please use the development version (no date suffix) in the repository</t>
  </si>
  <si>
    <t>https://github.com/Geoffysicist/PyroXL</t>
  </si>
  <si>
    <t>Default values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</si>
  <si>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</si>
  <si>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</si>
  <si>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</si>
  <si>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</si>
  <si>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</si>
  <si>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</si>
  <si>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</si>
  <si>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</si>
  <si>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</si>
  <si>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</si>
  <si>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10 m wind speed (km/h)</t>
  </si>
  <si>
    <t>presence of woodland overstorey</t>
  </si>
  <si>
    <t>time since fire (y)</t>
  </si>
  <si>
    <t>tsf</t>
  </si>
  <si>
    <t>k</t>
  </si>
  <si>
    <t>fuel accumulation parameter</t>
  </si>
  <si>
    <t>fl_max</t>
  </si>
  <si>
    <t>steady state fuel load (t/ha)</t>
  </si>
  <si>
    <t>feedback and bug reports to fba@rfs.nsw.gov.au</t>
  </si>
  <si>
    <t xml:space="preserve">VESTA Hazard Score </t>
  </si>
  <si>
    <t>PLEASE READ DISCLAIMER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</si>
</sst>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hh:mm"/>
    <numFmt numFmtId="166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6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6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164" fontId="5" fillId="2" borderId="1" xfId="0" applyNumberFormat="1" applyFont="1" applyFill="1" applyBorder="1" applyProtection="1"/>
  </cellXfs>
  <cellStyles count="2">
    <cellStyle name="Hyperlink" xfId="1" builtinId="8"/>
    <cellStyle name="Normal" xfId="0" builtinId="0"/>
  </cellStyles>
  <dxfs count="8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H1:I3" totalsRowShown="0">
  <autoFilter ref="H1:I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Q15"/>
  <sheetViews>
    <sheetView tabSelected="1" workbookViewId="0">
      <selection activeCell="N3" sqref="N3"/>
    </sheetView>
  </sheetViews>
  <sheetFormatPr defaultRowHeight="14.4" x14ac:dyDescent="0.3"/>
  <cols>
    <col min="1" max="1" width="13.77734375" style="29" customWidth="1"/>
    <col min="2" max="2" width="10.77734375" style="30" customWidth="1"/>
    <col min="3" max="6" width="10.77734375" style="31" customWidth="1"/>
    <col min="7" max="7" width="12.77734375" style="5" customWidth="1"/>
    <col min="8" max="9" width="8.88671875" style="5"/>
    <col min="10" max="10" width="8.88671875" style="6"/>
    <col min="11" max="11" width="8.88671875" style="5"/>
    <col min="12" max="12" width="8.88671875" style="6"/>
    <col min="13" max="15" width="8.88671875" style="8"/>
    <col min="16" max="17" width="8.88671875" style="9"/>
    <col min="18" max="16384" width="8.88671875" style="10"/>
  </cols>
  <sheetData>
    <row r="1" spans="1:17" ht="18" x14ac:dyDescent="0.35">
      <c r="A1" s="1" t="s">
        <v>33</v>
      </c>
      <c r="B1" s="2"/>
      <c r="C1" s="3"/>
      <c r="D1" s="3"/>
      <c r="E1" s="3"/>
      <c r="F1" s="3"/>
      <c r="G1" s="4" t="s">
        <v>6</v>
      </c>
      <c r="M1" s="7" t="s">
        <v>22</v>
      </c>
    </row>
    <row r="2" spans="1:17" x14ac:dyDescent="0.3">
      <c r="A2" s="11" t="s">
        <v>34</v>
      </c>
      <c r="B2" s="2"/>
      <c r="C2" s="3"/>
      <c r="D2" s="3"/>
      <c r="E2" s="3"/>
      <c r="F2" s="3"/>
      <c r="G2" s="12" t="s">
        <v>7</v>
      </c>
      <c r="H2" s="32">
        <v>3</v>
      </c>
      <c r="I2" s="13" t="s">
        <v>14</v>
      </c>
      <c r="M2" s="14"/>
      <c r="O2" s="14" t="s">
        <v>30</v>
      </c>
    </row>
    <row r="3" spans="1:17" x14ac:dyDescent="0.3">
      <c r="A3" s="11" t="s">
        <v>35</v>
      </c>
      <c r="B3" s="2"/>
      <c r="C3" s="3"/>
      <c r="D3" s="3"/>
      <c r="E3" s="3"/>
      <c r="F3" s="3"/>
      <c r="G3" s="15"/>
      <c r="H3" s="16" t="s">
        <v>61</v>
      </c>
      <c r="I3" s="17" t="s">
        <v>30</v>
      </c>
      <c r="M3" s="18" t="s">
        <v>32</v>
      </c>
      <c r="N3" s="34" t="s">
        <v>25</v>
      </c>
      <c r="O3" s="8">
        <v>4.5</v>
      </c>
    </row>
    <row r="4" spans="1:17" x14ac:dyDescent="0.3">
      <c r="A4" s="11" t="s">
        <v>36</v>
      </c>
      <c r="B4" s="2"/>
      <c r="C4" s="3"/>
      <c r="D4" s="3"/>
      <c r="E4" s="3"/>
      <c r="F4" s="3"/>
      <c r="G4" s="19" t="s">
        <v>15</v>
      </c>
      <c r="H4" s="33">
        <v>3</v>
      </c>
      <c r="I4" s="33">
        <v>10</v>
      </c>
      <c r="M4" s="18" t="s">
        <v>27</v>
      </c>
      <c r="N4" s="34">
        <v>100</v>
      </c>
    </row>
    <row r="5" spans="1:17" x14ac:dyDescent="0.3">
      <c r="A5" s="11"/>
      <c r="B5" s="2"/>
      <c r="C5" s="3"/>
      <c r="D5" s="3"/>
      <c r="E5" s="3"/>
      <c r="F5" s="3"/>
      <c r="G5" s="19" t="s">
        <v>16</v>
      </c>
      <c r="H5" s="33">
        <v>3</v>
      </c>
      <c r="I5" s="33">
        <v>2</v>
      </c>
    </row>
    <row r="6" spans="1:17" x14ac:dyDescent="0.3">
      <c r="A6" s="39" t="s">
        <v>62</v>
      </c>
      <c r="B6" s="2"/>
      <c r="C6" s="3"/>
      <c r="D6" s="3"/>
      <c r="E6" s="3"/>
      <c r="F6" s="3"/>
      <c r="G6" s="19" t="s">
        <v>17</v>
      </c>
      <c r="H6" s="33">
        <v>2</v>
      </c>
      <c r="I6" s="33">
        <v>2</v>
      </c>
    </row>
    <row r="7" spans="1:17" x14ac:dyDescent="0.3">
      <c r="A7" s="11" t="s">
        <v>60</v>
      </c>
      <c r="B7" s="2"/>
      <c r="C7" s="3"/>
      <c r="D7" s="3"/>
      <c r="E7" s="3"/>
      <c r="F7" s="3"/>
      <c r="G7" s="19" t="s">
        <v>18</v>
      </c>
      <c r="H7" s="33">
        <v>1</v>
      </c>
      <c r="I7" s="33">
        <v>2</v>
      </c>
    </row>
    <row r="8" spans="1:17" x14ac:dyDescent="0.3">
      <c r="A8" s="11"/>
      <c r="B8" s="2"/>
      <c r="C8" s="3"/>
      <c r="D8" s="3"/>
      <c r="E8" s="3"/>
      <c r="F8" s="3"/>
      <c r="G8" s="19" t="s">
        <v>31</v>
      </c>
      <c r="H8" s="20"/>
      <c r="I8" s="33">
        <v>4.5</v>
      </c>
    </row>
    <row r="9" spans="1:17" x14ac:dyDescent="0.3">
      <c r="A9" s="36" t="s">
        <v>39</v>
      </c>
      <c r="B9" s="2"/>
      <c r="C9" s="3"/>
      <c r="D9" s="3"/>
      <c r="E9" s="3"/>
      <c r="F9" s="3"/>
      <c r="G9" s="19"/>
      <c r="H9" s="17" t="s">
        <v>19</v>
      </c>
      <c r="I9" s="20"/>
    </row>
    <row r="10" spans="1:17" x14ac:dyDescent="0.3">
      <c r="A10" s="38" t="s">
        <v>40</v>
      </c>
      <c r="B10" s="2"/>
      <c r="C10" s="3"/>
      <c r="D10" s="3"/>
      <c r="E10" s="3"/>
      <c r="F10" s="3"/>
      <c r="G10" s="19" t="s">
        <v>16</v>
      </c>
      <c r="H10" s="32">
        <v>20</v>
      </c>
      <c r="I10" s="13" t="s">
        <v>20</v>
      </c>
    </row>
    <row r="11" spans="1:17" x14ac:dyDescent="0.3">
      <c r="A11" s="11"/>
      <c r="B11" s="2"/>
      <c r="C11" s="3"/>
      <c r="D11" s="3"/>
      <c r="E11" s="3"/>
      <c r="F11" s="3"/>
      <c r="G11" s="19" t="s">
        <v>17</v>
      </c>
      <c r="H11" s="32">
        <v>2</v>
      </c>
      <c r="I11" s="13" t="s">
        <v>21</v>
      </c>
    </row>
    <row r="12" spans="1:17" x14ac:dyDescent="0.3">
      <c r="A12" s="36"/>
      <c r="B12" s="2"/>
      <c r="C12" s="3"/>
      <c r="D12" s="3"/>
      <c r="E12" s="3"/>
      <c r="F12" s="3"/>
      <c r="G12" s="19" t="s">
        <v>31</v>
      </c>
      <c r="H12" s="32">
        <v>20</v>
      </c>
      <c r="I12" s="13" t="s">
        <v>21</v>
      </c>
    </row>
    <row r="13" spans="1:17" ht="18" x14ac:dyDescent="0.35">
      <c r="A13" s="1" t="s">
        <v>5</v>
      </c>
      <c r="B13" s="2"/>
      <c r="C13" s="3"/>
      <c r="D13" s="3"/>
      <c r="E13" s="3"/>
      <c r="F13" s="3"/>
    </row>
    <row r="14" spans="1:17" s="28" customFormat="1" ht="60" customHeight="1" x14ac:dyDescent="0.3">
      <c r="A14" s="21" t="s">
        <v>0</v>
      </c>
      <c r="B14" s="22" t="s">
        <v>8</v>
      </c>
      <c r="C14" s="35" t="s">
        <v>1</v>
      </c>
      <c r="D14" s="35" t="s">
        <v>2</v>
      </c>
      <c r="E14" s="23" t="s">
        <v>3</v>
      </c>
      <c r="F14" s="23" t="s">
        <v>4</v>
      </c>
      <c r="G14" s="24" t="s">
        <v>29</v>
      </c>
      <c r="H14" s="24" t="s">
        <v>9</v>
      </c>
      <c r="I14" s="24" t="s">
        <v>10</v>
      </c>
      <c r="J14" s="25" t="s">
        <v>11</v>
      </c>
      <c r="K14" s="24" t="s">
        <v>12</v>
      </c>
      <c r="L14" s="25" t="s">
        <v>13</v>
      </c>
      <c r="M14" s="26" t="s">
        <v>28</v>
      </c>
      <c r="N14" s="26" t="s">
        <v>9</v>
      </c>
      <c r="O14" s="26" t="s">
        <v>10</v>
      </c>
      <c r="P14" s="27" t="s">
        <v>11</v>
      </c>
      <c r="Q14" s="27" t="s">
        <v>13</v>
      </c>
    </row>
    <row r="15" spans="1:17" x14ac:dyDescent="0.3">
      <c r="A15" s="29">
        <v>22695</v>
      </c>
      <c r="B15" s="30">
        <v>0.625</v>
      </c>
      <c r="C15" s="31">
        <v>25</v>
      </c>
      <c r="D15" s="31">
        <v>30</v>
      </c>
      <c r="E15" s="31">
        <v>20</v>
      </c>
      <c r="F15" s="31">
        <v>8</v>
      </c>
      <c r="G15" s="5">
        <f t="shared" ref="G15" si="0">fbi(I15,$G$1)</f>
        <v>21</v>
      </c>
      <c r="H15" s="5">
        <f t="shared" ref="H15" si="1">ROS_forest(E15,fhs_s,fhs_ns,fh_ns,L15,F15,WAF)</f>
        <v>574</v>
      </c>
      <c r="I15" s="5">
        <f t="shared" ref="I15" si="2">Intensity_forest(H15,F15,J15,ffl_s,ffl_ns,ffl_e,ffl_o,ffh_o)</f>
        <v>3322</v>
      </c>
      <c r="J15" s="6">
        <f t="shared" ref="J15" si="3">Flame_height_forest(H15,ffh_e)</f>
        <v>7.3372163772583008</v>
      </c>
      <c r="K15" s="5">
        <f t="shared" ref="K15" si="4">Spotting_forest(H15,E15,fhs_s)</f>
        <v>744</v>
      </c>
      <c r="L15" s="6">
        <f>FMC_Forest(C15,D15,A15,B15)</f>
        <v>6.0124998092651367</v>
      </c>
      <c r="M15" s="8">
        <f>fbi(O15,$M$1)</f>
        <v>20</v>
      </c>
      <c r="N15" s="8">
        <f t="shared" ref="N15" si="5">ROS_grass(E15,Q15,curing,state_grass)</f>
        <v>3162</v>
      </c>
      <c r="O15" s="8">
        <f t="shared" ref="O15" si="6">Intensity(N15,fl_grass)</f>
        <v>7352</v>
      </c>
      <c r="P15" s="9">
        <f t="shared" ref="P15" si="7">Flame_height_grass(N15,state_grass)</f>
        <v>1.0779472589492798</v>
      </c>
      <c r="Q15" s="9">
        <f>FMC_Grass(C15,D15)</f>
        <v>8.5950002670288086</v>
      </c>
    </row>
  </sheetData>
  <sheetProtection sheet="1" objects="1" scenarios="1"/>
  <conditionalFormatting sqref="M15:M1048576">
    <cfRule type="expression" dxfId="7" priority="5">
      <formula>$M15&gt;=100</formula>
    </cfRule>
    <cfRule type="expression" dxfId="6" priority="6">
      <formula>$M15&gt;=50</formula>
    </cfRule>
    <cfRule type="expression" dxfId="5" priority="7">
      <formula>$M15&gt;=24</formula>
    </cfRule>
    <cfRule type="expression" dxfId="4" priority="8">
      <formula>$M15&gt;=12</formula>
    </cfRule>
  </conditionalFormatting>
  <conditionalFormatting sqref="G15:G1048576">
    <cfRule type="expression" dxfId="3" priority="9">
      <formula>$G15&gt;=100</formula>
    </cfRule>
    <cfRule type="expression" dxfId="2" priority="10">
      <formula>$G15&gt;50</formula>
    </cfRule>
    <cfRule type="expression" dxfId="1" priority="11">
      <formula>$G15&gt;=24</formula>
    </cfRule>
    <cfRule type="expression" dxfId="0" priority="12">
      <formula>$G15&gt;=12</formula>
    </cfRule>
  </conditionalFormatting>
  <dataValidations count="13">
    <dataValidation type="decimal" allowBlank="1" showInputMessage="1" showErrorMessage="1" errorTitle="Invalid Curing %" error="Choose a value between 0 and 100" promptTitle="Curing (%)" prompt="select a value betwen 0 and 100" sqref="N4:P4">
      <formula1>0</formula1>
      <formula2>100</formula2>
    </dataValidation>
    <dataValidation type="decimal" errorStyle="warning" allowBlank="1" showInputMessage="1" showErrorMessage="1" errorTitle="Invalid WAF" error="Enter a number between 1 and 6" promptTitle="WAF" prompt="Entera number between 1 and 6. Dry-open eucalypt forest typically has values 3.0 to 3.5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P2">
      <formula1>$B$2:$B$4</formula1>
    </dataValidation>
    <dataValidation type="decimal" allowBlank="1" showInputMessage="1" showErrorMessage="1" errorTitle="Invalid Hazard Score" promptTitle="Fuel Hazard Score" prompt="Input a value between 0 and 4._x000a_Must be consistent with the Fine Fuel Load._x000a_see Hines et al. 2010, Cheney et al. 2012" sqref="H4:H7">
      <formula1>0</formula1>
      <formula2>4</formula2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I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I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I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I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I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H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H11">
      <formula1>0</formula1>
      <formula2>4</formula2>
    </dataValidation>
    <dataValidation type="decimal" showInputMessage="1" showErrorMessage="1" promptTitle="Canopy Fuel Height" prompt="Enter an AVERAGE canopy fuel height between 10 and 60 m" sqref="H12">
      <formula1>10</formula1>
      <formula2>60</formula2>
    </dataValidation>
  </dataValidations>
  <hyperlinks>
    <hyperlink ref="A10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N3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9"/>
  <sheetViews>
    <sheetView workbookViewId="0">
      <selection activeCell="D11" sqref="D11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6" width="12.109375" customWidth="1"/>
    <col min="8" max="8" width="17.33203125" customWidth="1"/>
  </cols>
  <sheetData>
    <row r="1" spans="1:9" x14ac:dyDescent="0.3">
      <c r="A1" s="37" t="s">
        <v>41</v>
      </c>
      <c r="F1" t="s">
        <v>23</v>
      </c>
      <c r="H1" t="s">
        <v>42</v>
      </c>
      <c r="I1" t="s">
        <v>44</v>
      </c>
    </row>
    <row r="2" spans="1:9" x14ac:dyDescent="0.3">
      <c r="A2" s="37" t="s">
        <v>48</v>
      </c>
      <c r="B2" s="37" t="s">
        <v>46</v>
      </c>
      <c r="C2" s="37" t="s">
        <v>47</v>
      </c>
      <c r="D2" s="37" t="s">
        <v>51</v>
      </c>
      <c r="F2" t="s">
        <v>24</v>
      </c>
      <c r="H2" t="b">
        <v>1</v>
      </c>
      <c r="I2">
        <v>0.35</v>
      </c>
    </row>
    <row r="3" spans="1:9" x14ac:dyDescent="0.3">
      <c r="A3" t="s">
        <v>49</v>
      </c>
      <c r="B3" t="s">
        <v>50</v>
      </c>
      <c r="C3">
        <v>2</v>
      </c>
      <c r="D3" t="s">
        <v>45</v>
      </c>
      <c r="F3" t="s">
        <v>25</v>
      </c>
      <c r="H3" t="b">
        <v>0</v>
      </c>
      <c r="I3">
        <v>0.66700000000000004</v>
      </c>
    </row>
    <row r="4" spans="1:9" x14ac:dyDescent="0.3">
      <c r="B4" t="s">
        <v>38</v>
      </c>
      <c r="C4">
        <v>25</v>
      </c>
      <c r="F4" t="s">
        <v>26</v>
      </c>
    </row>
    <row r="5" spans="1:9" x14ac:dyDescent="0.3">
      <c r="B5" t="s">
        <v>37</v>
      </c>
      <c r="C5">
        <v>20</v>
      </c>
      <c r="D5" t="s">
        <v>52</v>
      </c>
    </row>
    <row r="6" spans="1:9" x14ac:dyDescent="0.3">
      <c r="A6" t="s">
        <v>49</v>
      </c>
      <c r="B6" t="s">
        <v>43</v>
      </c>
      <c r="C6" t="b">
        <v>0</v>
      </c>
      <c r="D6" t="s">
        <v>53</v>
      </c>
    </row>
    <row r="7" spans="1:9" x14ac:dyDescent="0.3">
      <c r="B7" t="s">
        <v>55</v>
      </c>
      <c r="C7">
        <v>25</v>
      </c>
      <c r="D7" t="s">
        <v>54</v>
      </c>
    </row>
    <row r="8" spans="1:9" x14ac:dyDescent="0.3">
      <c r="A8" t="s">
        <v>49</v>
      </c>
      <c r="B8" t="s">
        <v>56</v>
      </c>
      <c r="C8">
        <v>0.2</v>
      </c>
      <c r="D8" t="s">
        <v>57</v>
      </c>
    </row>
    <row r="9" spans="1:9" x14ac:dyDescent="0.3">
      <c r="A9" t="s">
        <v>49</v>
      </c>
      <c r="B9" t="s">
        <v>58</v>
      </c>
      <c r="C9">
        <v>20</v>
      </c>
      <c r="D9" t="s">
        <v>59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AFDRS</vt:lpstr>
      <vt:lpstr>tables</vt:lpstr>
      <vt:lpstr>curing</vt:lpstr>
      <vt:lpstr>FBI_forest</vt:lpstr>
      <vt:lpstr>ffh_e</vt:lpstr>
      <vt:lpstr>ffh_o</vt:lpstr>
      <vt:lpstr>ffl_b</vt:lpstr>
      <vt:lpstr>ffl_e</vt:lpstr>
      <vt:lpstr>ffl_ns</vt:lpstr>
      <vt:lpstr>ffl_o</vt:lpstr>
      <vt:lpstr>ffl_s</vt:lpstr>
      <vt:lpstr>fh_ns</vt:lpstr>
      <vt:lpstr>fhs_ns</vt:lpstr>
      <vt:lpstr>fhs_s</vt:lpstr>
      <vt:lpstr>fl_grass</vt:lpstr>
      <vt:lpstr>Outputs</vt:lpstr>
      <vt:lpstr>start_date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2022-09-13T07:05:30Z</dcterms:modified>
</cp:coreProperties>
</file>