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r:id="rId2"/>
    <sheet name="models_fuel_paramss" sheetId="22" r:id="rId3"/>
    <sheet name="tests_sandbox" sheetId="2" r:id="rId4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AM18" i="1"/>
  <c r="N19" i="1"/>
  <c r="X20" i="1"/>
  <c r="H22" i="1"/>
  <c r="AM24" i="1"/>
  <c r="N25" i="1"/>
  <c r="X26" i="1"/>
  <c r="H28" i="1"/>
  <c r="AM30" i="1"/>
  <c r="N31" i="1"/>
  <c r="X32" i="1"/>
  <c r="H34" i="1"/>
  <c r="AM36" i="1"/>
  <c r="N37" i="1"/>
  <c r="X38" i="1"/>
  <c r="H20" i="1"/>
  <c r="X30" i="1"/>
  <c r="AM23" i="1"/>
  <c r="N30" i="1"/>
  <c r="AR16" i="1"/>
  <c r="S17" i="1"/>
  <c r="P17" i="1" s="1"/>
  <c r="R17" i="1" s="1"/>
  <c r="AC18" i="1"/>
  <c r="AH21" i="1"/>
  <c r="AR22" i="1"/>
  <c r="S23" i="1"/>
  <c r="AC24" i="1"/>
  <c r="AH27" i="1"/>
  <c r="AR28" i="1"/>
  <c r="S29" i="1"/>
  <c r="AC30" i="1"/>
  <c r="AH33" i="1"/>
  <c r="AR34" i="1"/>
  <c r="AO34" i="1" s="1"/>
  <c r="AQ34" i="1" s="1"/>
  <c r="S35" i="1"/>
  <c r="AC36" i="1"/>
  <c r="AH39" i="1"/>
  <c r="AM16" i="1"/>
  <c r="X24" i="1"/>
  <c r="H26" i="1"/>
  <c r="AM34" i="1"/>
  <c r="H21" i="1"/>
  <c r="P23" i="1"/>
  <c r="R23" i="1" s="1"/>
  <c r="X25" i="1"/>
  <c r="H17" i="1"/>
  <c r="AM19" i="1"/>
  <c r="N20" i="1"/>
  <c r="X21" i="1"/>
  <c r="H23" i="1"/>
  <c r="AM25" i="1"/>
  <c r="N26" i="1"/>
  <c r="X27" i="1"/>
  <c r="H29" i="1"/>
  <c r="AM31" i="1"/>
  <c r="N32" i="1"/>
  <c r="X33" i="1"/>
  <c r="H35" i="1"/>
  <c r="AM37" i="1"/>
  <c r="N38" i="1"/>
  <c r="X39" i="1"/>
  <c r="AC39" i="1"/>
  <c r="H32" i="1"/>
  <c r="AI36" i="1"/>
  <c r="N18" i="1"/>
  <c r="N24" i="1"/>
  <c r="P35" i="1"/>
  <c r="R35" i="1" s="1"/>
  <c r="AH16" i="1"/>
  <c r="AR17" i="1"/>
  <c r="AO17" i="1" s="1"/>
  <c r="S18" i="1"/>
  <c r="P18" i="1" s="1"/>
  <c r="R18" i="1" s="1"/>
  <c r="AC19" i="1"/>
  <c r="Z19" i="1" s="1"/>
  <c r="AH22" i="1"/>
  <c r="AR23" i="1"/>
  <c r="AO23" i="1" s="1"/>
  <c r="S24" i="1"/>
  <c r="P24" i="1" s="1"/>
  <c r="R24" i="1" s="1"/>
  <c r="AC25" i="1"/>
  <c r="Z25" i="1" s="1"/>
  <c r="AH28" i="1"/>
  <c r="AR29" i="1"/>
  <c r="AO29" i="1" s="1"/>
  <c r="S30" i="1"/>
  <c r="P30" i="1" s="1"/>
  <c r="R30" i="1" s="1"/>
  <c r="AC31" i="1"/>
  <c r="Z31" i="1" s="1"/>
  <c r="AH34" i="1"/>
  <c r="AR35" i="1"/>
  <c r="AO35" i="1" s="1"/>
  <c r="S36" i="1"/>
  <c r="P36" i="1" s="1"/>
  <c r="R36" i="1" s="1"/>
  <c r="AC37" i="1"/>
  <c r="Z37" i="1" s="1"/>
  <c r="S38" i="1"/>
  <c r="AI18" i="1"/>
  <c r="AM22" i="1"/>
  <c r="AM28" i="1"/>
  <c r="N35" i="1"/>
  <c r="AM29" i="1"/>
  <c r="AI37" i="1"/>
  <c r="X16" i="1"/>
  <c r="U16" i="1" s="1"/>
  <c r="AI16" i="1"/>
  <c r="H18" i="1"/>
  <c r="AM20" i="1"/>
  <c r="N21" i="1"/>
  <c r="X22" i="1"/>
  <c r="U22" i="1" s="1"/>
  <c r="H24" i="1"/>
  <c r="AM26" i="1"/>
  <c r="N27" i="1"/>
  <c r="X28" i="1"/>
  <c r="U28" i="1" s="1"/>
  <c r="AI28" i="1"/>
  <c r="H30" i="1"/>
  <c r="AM32" i="1"/>
  <c r="N33" i="1"/>
  <c r="X34" i="1"/>
  <c r="U34" i="1" s="1"/>
  <c r="AI34" i="1"/>
  <c r="H36" i="1"/>
  <c r="P38" i="1"/>
  <c r="AM38" i="1"/>
  <c r="N39" i="1"/>
  <c r="Z39" i="1"/>
  <c r="Z30" i="1"/>
  <c r="X37" i="1"/>
  <c r="AJ16" i="1"/>
  <c r="AH17" i="1"/>
  <c r="AE17" i="1" s="1" a="1"/>
  <c r="AR18" i="1"/>
  <c r="AO18" i="1" s="1"/>
  <c r="S19" i="1"/>
  <c r="P19" i="1" s="1"/>
  <c r="R19" i="1" s="1"/>
  <c r="AC20" i="1"/>
  <c r="Z20" i="1" s="1"/>
  <c r="AJ22" i="1"/>
  <c r="AH23" i="1"/>
  <c r="AE23" i="1" s="1" a="1"/>
  <c r="U24" i="1"/>
  <c r="AR24" i="1"/>
  <c r="AO24" i="1" s="1"/>
  <c r="S25" i="1"/>
  <c r="P25" i="1" s="1"/>
  <c r="R25" i="1" s="1"/>
  <c r="AC26" i="1"/>
  <c r="Z26" i="1" s="1"/>
  <c r="AJ28" i="1"/>
  <c r="AH29" i="1"/>
  <c r="AE29" i="1" s="1" a="1"/>
  <c r="U30" i="1"/>
  <c r="AR30" i="1"/>
  <c r="AO30" i="1" s="1"/>
  <c r="S31" i="1"/>
  <c r="P31" i="1" s="1"/>
  <c r="R31" i="1" s="1"/>
  <c r="AC32" i="1"/>
  <c r="Z32" i="1" s="1"/>
  <c r="AJ34" i="1"/>
  <c r="AH35" i="1"/>
  <c r="AE35" i="1" s="1" a="1"/>
  <c r="AR36" i="1"/>
  <c r="AO36" i="1" s="1"/>
  <c r="S37" i="1"/>
  <c r="P37" i="1" s="1"/>
  <c r="R37" i="1" s="1"/>
  <c r="AC38" i="1"/>
  <c r="Z38" i="1" s="1"/>
  <c r="N17" i="1"/>
  <c r="AI24" i="1"/>
  <c r="Z18" i="1"/>
  <c r="Z36" i="1"/>
  <c r="N16" i="1"/>
  <c r="AK16" i="1"/>
  <c r="X17" i="1"/>
  <c r="U17" i="1" s="1"/>
  <c r="H19" i="1"/>
  <c r="AM21" i="1"/>
  <c r="N22" i="1"/>
  <c r="AK22" i="1"/>
  <c r="AI22" i="1" s="1"/>
  <c r="X23" i="1"/>
  <c r="U23" i="1" s="1"/>
  <c r="AI23" i="1"/>
  <c r="V24" i="1"/>
  <c r="T24" i="1" s="1"/>
  <c r="H25" i="1"/>
  <c r="AM27" i="1"/>
  <c r="N28" i="1"/>
  <c r="AK28" i="1"/>
  <c r="X29" i="1"/>
  <c r="U29" i="1" s="1"/>
  <c r="AI29" i="1"/>
  <c r="V30" i="1"/>
  <c r="T30" i="1" s="1"/>
  <c r="H31" i="1"/>
  <c r="AM33" i="1"/>
  <c r="N34" i="1"/>
  <c r="AK34" i="1"/>
  <c r="X35" i="1"/>
  <c r="U35" i="1" s="1"/>
  <c r="H37" i="1"/>
  <c r="R38" i="1"/>
  <c r="AM39" i="1"/>
  <c r="AR37" i="1"/>
  <c r="AO37" i="1" s="1"/>
  <c r="N23" i="1"/>
  <c r="N29" i="1"/>
  <c r="X36" i="1"/>
  <c r="U36" i="1" s="1"/>
  <c r="V36" i="1" s="1"/>
  <c r="T36" i="1" s="1"/>
  <c r="H38" i="1"/>
  <c r="X31" i="1"/>
  <c r="AL16" i="1"/>
  <c r="AH18" i="1"/>
  <c r="AE18" i="1" s="1" a="1"/>
  <c r="AR19" i="1"/>
  <c r="AO19" i="1" s="1"/>
  <c r="S20" i="1"/>
  <c r="P20" i="1" s="1"/>
  <c r="R20" i="1" s="1"/>
  <c r="AC21" i="1"/>
  <c r="Z21" i="1" s="1"/>
  <c r="AL22" i="1"/>
  <c r="AJ23" i="1"/>
  <c r="AK23" i="1" s="1"/>
  <c r="W24" i="1"/>
  <c r="AH24" i="1"/>
  <c r="AE24" i="1" s="1" a="1"/>
  <c r="U25" i="1"/>
  <c r="V25" i="1" s="1"/>
  <c r="T25" i="1" s="1"/>
  <c r="AR25" i="1"/>
  <c r="AO25" i="1" s="1"/>
  <c r="S26" i="1"/>
  <c r="P26" i="1" s="1"/>
  <c r="R26" i="1" s="1"/>
  <c r="AC27" i="1"/>
  <c r="Z27" i="1" s="1"/>
  <c r="AL28" i="1"/>
  <c r="AJ29" i="1"/>
  <c r="AK29" i="1" s="1"/>
  <c r="W30" i="1"/>
  <c r="AH30" i="1"/>
  <c r="AE30" i="1" s="1" a="1"/>
  <c r="U31" i="1"/>
  <c r="V31" i="1" s="1"/>
  <c r="T31" i="1" s="1"/>
  <c r="AR31" i="1"/>
  <c r="AO31" i="1" s="1"/>
  <c r="S32" i="1"/>
  <c r="P32" i="1" s="1"/>
  <c r="R32" i="1" s="1"/>
  <c r="AC33" i="1"/>
  <c r="Z33" i="1" s="1"/>
  <c r="AL34" i="1"/>
  <c r="W36" i="1"/>
  <c r="AH36" i="1"/>
  <c r="AE36" i="1" s="1" a="1"/>
  <c r="U37" i="1"/>
  <c r="V37" i="1" s="1"/>
  <c r="T37" i="1" s="1"/>
  <c r="X18" i="1"/>
  <c r="U18" i="1" s="1"/>
  <c r="AI30" i="1"/>
  <c r="AM17" i="1"/>
  <c r="AO22" i="1"/>
  <c r="AQ22" i="1" s="1"/>
  <c r="AC16" i="1"/>
  <c r="Z16" i="1" s="1"/>
  <c r="AJ18" i="1"/>
  <c r="AK18" i="1" s="1"/>
  <c r="AH19" i="1"/>
  <c r="AE19" i="1" s="1" a="1"/>
  <c r="U20" i="1"/>
  <c r="V20" i="1" s="1"/>
  <c r="T20" i="1" s="1"/>
  <c r="AR20" i="1"/>
  <c r="AO20" i="1" s="1"/>
  <c r="S21" i="1"/>
  <c r="P21" i="1" s="1"/>
  <c r="R21" i="1" s="1"/>
  <c r="AE21" i="1" a="1"/>
  <c r="AC22" i="1"/>
  <c r="Z22" i="1" s="1"/>
  <c r="AN22" i="1"/>
  <c r="AL23" i="1"/>
  <c r="AJ24" i="1"/>
  <c r="AK24" i="1" s="1"/>
  <c r="W25" i="1"/>
  <c r="AH25" i="1"/>
  <c r="AE25" i="1" s="1" a="1"/>
  <c r="U26" i="1"/>
  <c r="V26" i="1" s="1"/>
  <c r="T26" i="1" s="1"/>
  <c r="AR26" i="1"/>
  <c r="AO26" i="1" s="1"/>
  <c r="S27" i="1"/>
  <c r="P27" i="1" s="1"/>
  <c r="R27" i="1" s="1"/>
  <c r="AE27" i="1" a="1"/>
  <c r="AC28" i="1"/>
  <c r="Z28" i="1" s="1"/>
  <c r="AL29" i="1"/>
  <c r="AJ30" i="1"/>
  <c r="AK30" i="1" s="1"/>
  <c r="W31" i="1"/>
  <c r="AH31" i="1"/>
  <c r="AE31" i="1" s="1" a="1"/>
  <c r="U32" i="1"/>
  <c r="AR32" i="1"/>
  <c r="AO32" i="1" s="1"/>
  <c r="S33" i="1"/>
  <c r="P33" i="1" s="1"/>
  <c r="R33" i="1" s="1"/>
  <c r="AE33" i="1" a="1"/>
  <c r="AC34" i="1"/>
  <c r="Z34" i="1" s="1"/>
  <c r="AN34" i="1"/>
  <c r="AJ36" i="1"/>
  <c r="AK36" i="1" s="1"/>
  <c r="W37" i="1"/>
  <c r="AH37" i="1"/>
  <c r="AE37" i="1" s="1" a="1"/>
  <c r="U38" i="1"/>
  <c r="V38" i="1" s="1"/>
  <c r="T38" i="1" s="1"/>
  <c r="AR38" i="1"/>
  <c r="AO38" i="1" s="1"/>
  <c r="S39" i="1"/>
  <c r="P39" i="1" s="1"/>
  <c r="R39" i="1" s="1"/>
  <c r="AE39" i="1" a="1"/>
  <c r="X19" i="1"/>
  <c r="U19" i="1" s="1"/>
  <c r="Z24" i="1"/>
  <c r="H27" i="1"/>
  <c r="AO28" i="1"/>
  <c r="V32" i="1"/>
  <c r="T32" i="1" s="1"/>
  <c r="AM35" i="1"/>
  <c r="S16" i="1"/>
  <c r="P16" i="1" s="1"/>
  <c r="R16" i="1" s="1"/>
  <c r="AE16" i="1" a="1"/>
  <c r="AC17" i="1"/>
  <c r="Z17" i="1" s="1"/>
  <c r="AN17" i="1"/>
  <c r="AL18" i="1"/>
  <c r="AJ19" i="1"/>
  <c r="AK19" i="1" s="1"/>
  <c r="W20" i="1"/>
  <c r="AH20" i="1"/>
  <c r="AE20" i="1" s="1" a="1"/>
  <c r="U21" i="1"/>
  <c r="AR21" i="1"/>
  <c r="AO21" i="1" s="1"/>
  <c r="S22" i="1"/>
  <c r="P22" i="1" s="1"/>
  <c r="R22" i="1" s="1"/>
  <c r="AE22" i="1" a="1"/>
  <c r="AP22" i="1"/>
  <c r="AC23" i="1"/>
  <c r="Z23" i="1" s="1"/>
  <c r="AN23" i="1"/>
  <c r="AL24" i="1"/>
  <c r="AJ25" i="1"/>
  <c r="AK25" i="1" s="1"/>
  <c r="AL25" i="1" s="1"/>
  <c r="W26" i="1"/>
  <c r="AH26" i="1"/>
  <c r="AE26" i="1" s="1" a="1"/>
  <c r="U27" i="1"/>
  <c r="AR27" i="1"/>
  <c r="AO27" i="1" s="1"/>
  <c r="S28" i="1"/>
  <c r="P28" i="1" s="1"/>
  <c r="R28" i="1" s="1"/>
  <c r="AE28" i="1" a="1"/>
  <c r="AP28" i="1"/>
  <c r="AC29" i="1"/>
  <c r="Z29" i="1" s="1"/>
  <c r="AN29" i="1"/>
  <c r="AL30" i="1"/>
  <c r="AJ31" i="1"/>
  <c r="AK31" i="1" s="1"/>
  <c r="W32" i="1"/>
  <c r="AH32" i="1"/>
  <c r="AE32" i="1" s="1" a="1"/>
  <c r="U33" i="1"/>
  <c r="AR33" i="1"/>
  <c r="AO33" i="1" s="1"/>
  <c r="S34" i="1"/>
  <c r="P34" i="1" s="1"/>
  <c r="R34" i="1" s="1"/>
  <c r="AE34" i="1" a="1"/>
  <c r="AP34" i="1"/>
  <c r="AC35" i="1"/>
  <c r="Z35" i="1" s="1"/>
  <c r="AN35" i="1"/>
  <c r="AL36" i="1"/>
  <c r="AJ37" i="1"/>
  <c r="AK37" i="1" s="1"/>
  <c r="AL37" i="1" s="1"/>
  <c r="W38" i="1"/>
  <c r="AH38" i="1"/>
  <c r="AE38" i="1" s="1" a="1"/>
  <c r="U39" i="1"/>
  <c r="AR39" i="1"/>
  <c r="AO39" i="1" s="1"/>
  <c r="AO16" i="1"/>
  <c r="AQ21" i="1"/>
  <c r="AI25" i="1"/>
  <c r="P29" i="1"/>
  <c r="R29" i="1" s="1"/>
  <c r="H33" i="1"/>
  <c r="N36" i="1"/>
  <c r="H39" i="1"/>
  <c r="H15" i="1"/>
  <c r="AQ17" i="1"/>
  <c r="AP17" i="1"/>
  <c r="AQ23" i="1"/>
  <c r="AP23" i="1"/>
  <c r="AQ29" i="1"/>
  <c r="AP29" i="1"/>
  <c r="AQ35" i="1"/>
  <c r="AP35" i="1"/>
  <c r="W16" i="1"/>
  <c r="V16" i="1"/>
  <c r="T16" i="1" s="1"/>
  <c r="AJ20" i="1"/>
  <c r="AK20" i="1" s="1"/>
  <c r="W22" i="1"/>
  <c r="V22" i="1"/>
  <c r="T22" i="1" s="1"/>
  <c r="AJ26" i="1"/>
  <c r="AK26" i="1" s="1"/>
  <c r="AL26" i="1" s="1"/>
  <c r="AI26" i="1"/>
  <c r="W28" i="1"/>
  <c r="V28" i="1"/>
  <c r="T28" i="1" s="1"/>
  <c r="AJ32" i="1"/>
  <c r="AK32" i="1" s="1"/>
  <c r="W34" i="1"/>
  <c r="V34" i="1"/>
  <c r="T34" i="1" s="1"/>
  <c r="AJ38" i="1"/>
  <c r="AK38" i="1" s="1"/>
  <c r="AQ18" i="1"/>
  <c r="AP18" i="1"/>
  <c r="AN18" i="1"/>
  <c r="AQ24" i="1"/>
  <c r="AP24" i="1"/>
  <c r="AN24" i="1"/>
  <c r="AQ30" i="1"/>
  <c r="AP30" i="1"/>
  <c r="AN30" i="1"/>
  <c r="AQ36" i="1"/>
  <c r="AP36" i="1"/>
  <c r="AN36" i="1"/>
  <c r="W17" i="1"/>
  <c r="V17" i="1"/>
  <c r="T17" i="1" s="1"/>
  <c r="AJ21" i="1"/>
  <c r="AK21" i="1" s="1"/>
  <c r="W23" i="1"/>
  <c r="V23" i="1"/>
  <c r="T23" i="1" s="1"/>
  <c r="AJ27" i="1"/>
  <c r="AK27" i="1" s="1"/>
  <c r="AL27" i="1" s="1"/>
  <c r="AI27" i="1"/>
  <c r="W29" i="1"/>
  <c r="V29" i="1"/>
  <c r="T29" i="1" s="1"/>
  <c r="AJ33" i="1"/>
  <c r="AK33" i="1" s="1"/>
  <c r="W35" i="1"/>
  <c r="V35" i="1"/>
  <c r="T35" i="1" s="1"/>
  <c r="AJ39" i="1"/>
  <c r="AK39" i="1"/>
  <c r="AQ37" i="1"/>
  <c r="AP37" i="1"/>
  <c r="AN37" i="1"/>
  <c r="AQ19" i="1"/>
  <c r="AP19" i="1"/>
  <c r="AN19" i="1"/>
  <c r="AQ25" i="1"/>
  <c r="AP25" i="1"/>
  <c r="AN25" i="1"/>
  <c r="AQ31" i="1"/>
  <c r="AP31" i="1"/>
  <c r="AN31" i="1"/>
  <c r="W18" i="1"/>
  <c r="V18" i="1"/>
  <c r="T18" i="1" s="1"/>
  <c r="AJ17" i="1"/>
  <c r="AI17" i="1"/>
  <c r="AK17" i="1"/>
  <c r="AL17" i="1" s="1"/>
  <c r="AP20" i="1"/>
  <c r="AN20" i="1"/>
  <c r="AQ20" i="1"/>
  <c r="AP26" i="1"/>
  <c r="AN26" i="1"/>
  <c r="AQ26" i="1"/>
  <c r="AP32" i="1"/>
  <c r="AQ32" i="1"/>
  <c r="AN32" i="1"/>
  <c r="AN38" i="1"/>
  <c r="AQ38" i="1"/>
  <c r="AP38" i="1"/>
  <c r="W19" i="1"/>
  <c r="V19" i="1"/>
  <c r="T19" i="1" s="1"/>
  <c r="AN28" i="1"/>
  <c r="AQ28" i="1"/>
  <c r="AJ35" i="1"/>
  <c r="AK35" i="1"/>
  <c r="AI19" i="1"/>
  <c r="AL19" i="1"/>
  <c r="W21" i="1"/>
  <c r="V21" i="1"/>
  <c r="T21" i="1" s="1"/>
  <c r="AP21" i="1"/>
  <c r="AN21" i="1"/>
  <c r="W27" i="1"/>
  <c r="V27" i="1"/>
  <c r="T27" i="1" s="1"/>
  <c r="AP27" i="1"/>
  <c r="AN27" i="1"/>
  <c r="AQ27" i="1"/>
  <c r="AI31" i="1"/>
  <c r="AL31" i="1"/>
  <c r="W33" i="1"/>
  <c r="V33" i="1"/>
  <c r="T33" i="1" s="1"/>
  <c r="AP33" i="1"/>
  <c r="AN33" i="1"/>
  <c r="AQ33" i="1"/>
  <c r="W39" i="1"/>
  <c r="V39" i="1"/>
  <c r="T39" i="1" s="1"/>
  <c r="AP39" i="1"/>
  <c r="AN39" i="1"/>
  <c r="AQ39" i="1"/>
  <c r="AP16" i="1"/>
  <c r="AN16" i="1"/>
  <c r="AQ16" i="1"/>
  <c r="AL20" i="1"/>
  <c r="AI20" i="1"/>
  <c r="AL32" i="1"/>
  <c r="AI32" i="1"/>
  <c r="AL38" i="1"/>
  <c r="AI38" i="1"/>
  <c r="AL21" i="1"/>
  <c r="AI21" i="1"/>
  <c r="AL33" i="1"/>
  <c r="AI33" i="1"/>
  <c r="AL39" i="1"/>
  <c r="AI39" i="1"/>
  <c r="AL35" i="1"/>
  <c r="AI35" i="1"/>
  <c r="AE38" i="1" l="1"/>
  <c r="AG38" i="1"/>
  <c r="AF38" i="1"/>
  <c r="AE34" i="1"/>
  <c r="AF34" i="1"/>
  <c r="AG34" i="1"/>
  <c r="AE32" i="1"/>
  <c r="AG32" i="1"/>
  <c r="AF32" i="1"/>
  <c r="AE28" i="1"/>
  <c r="AF28" i="1"/>
  <c r="AG28" i="1"/>
  <c r="AG26" i="1"/>
  <c r="AE26" i="1"/>
  <c r="AF26" i="1"/>
  <c r="AE22" i="1"/>
  <c r="AF22" i="1"/>
  <c r="AG22" i="1"/>
  <c r="AG20" i="1"/>
  <c r="AE20" i="1"/>
  <c r="AF20" i="1"/>
  <c r="AE16" i="1"/>
  <c r="AF16" i="1"/>
  <c r="AG16" i="1"/>
  <c r="AG39" i="1"/>
  <c r="AE39" i="1"/>
  <c r="AF39" i="1"/>
  <c r="AG37" i="1"/>
  <c r="AE37" i="1"/>
  <c r="AF37" i="1"/>
  <c r="AG33" i="1"/>
  <c r="AE33" i="1"/>
  <c r="AF33" i="1"/>
  <c r="AG31" i="1"/>
  <c r="AE31" i="1"/>
  <c r="AF31" i="1"/>
  <c r="AG27" i="1"/>
  <c r="AE27" i="1"/>
  <c r="AF27" i="1"/>
  <c r="AG25" i="1"/>
  <c r="AE25" i="1"/>
  <c r="AF25" i="1"/>
  <c r="AG21" i="1"/>
  <c r="AE21" i="1"/>
  <c r="AF21" i="1"/>
  <c r="AG19" i="1"/>
  <c r="AE19" i="1"/>
  <c r="AF19" i="1"/>
  <c r="AE36" i="1"/>
  <c r="AF36" i="1"/>
  <c r="AG36" i="1"/>
  <c r="AE30" i="1"/>
  <c r="AF30" i="1"/>
  <c r="AG30" i="1"/>
  <c r="AE24" i="1"/>
  <c r="AF24" i="1"/>
  <c r="AG24" i="1"/>
  <c r="AE18" i="1"/>
  <c r="AF18" i="1"/>
  <c r="AG18" i="1"/>
  <c r="AE35" i="1"/>
  <c r="AF35" i="1"/>
  <c r="AG35" i="1"/>
  <c r="AE29" i="1"/>
  <c r="AF29" i="1"/>
  <c r="AG29" i="1"/>
  <c r="AE23" i="1"/>
  <c r="AF23" i="1"/>
  <c r="AG23" i="1"/>
  <c r="AE17" i="1"/>
  <c r="AF17" i="1"/>
  <c r="AG17" i="1"/>
  <c r="AD39" i="1"/>
  <c r="AD22" i="1"/>
  <c r="AD24" i="1"/>
  <c r="AD23" i="1"/>
  <c r="AD18" i="1"/>
  <c r="AD36" i="1"/>
  <c r="AD35" i="1"/>
  <c r="AD27" i="1"/>
  <c r="AD34" i="1"/>
  <c r="AD30" i="1"/>
  <c r="AD33" i="1"/>
  <c r="AD28" i="1"/>
  <c r="AD17" i="1"/>
  <c r="AD38" i="1"/>
  <c r="AD26" i="1"/>
  <c r="AD29" i="1"/>
  <c r="AD37" i="1"/>
  <c r="AD25" i="1"/>
  <c r="AD20" i="1"/>
  <c r="AD32" i="1"/>
  <c r="AD19" i="1"/>
  <c r="AD21" i="1"/>
  <c r="AD16" i="1"/>
  <c r="AD31" i="1"/>
  <c r="C3" i="2" l="1"/>
  <c r="D3" i="2"/>
  <c r="C4" i="2"/>
  <c r="D4" i="2"/>
  <c r="AC7" i="1"/>
  <c r="AR15" i="1"/>
  <c r="AO15" i="1" s="1"/>
  <c r="AM15" i="1"/>
  <c r="N15" i="1"/>
  <c r="AC15" i="1"/>
  <c r="AA36" i="1"/>
  <c r="AA35" i="1"/>
  <c r="AA30" i="1"/>
  <c r="AA29" i="1"/>
  <c r="AA24" i="1"/>
  <c r="AA23" i="1"/>
  <c r="AA18" i="1"/>
  <c r="AA17" i="1"/>
  <c r="AA34" i="1"/>
  <c r="AA28" i="1"/>
  <c r="AA22" i="1"/>
  <c r="AA16" i="1"/>
  <c r="AA33" i="1"/>
  <c r="AA27" i="1"/>
  <c r="AA21" i="1"/>
  <c r="AA39" i="1"/>
  <c r="AA38" i="1"/>
  <c r="AA32" i="1"/>
  <c r="AA26" i="1"/>
  <c r="AA20" i="1"/>
  <c r="AA37" i="1"/>
  <c r="AA31" i="1"/>
  <c r="AA25" i="1"/>
  <c r="AA19" i="1"/>
  <c r="Y36" i="1"/>
  <c r="AB36" i="1"/>
  <c r="Y35" i="1"/>
  <c r="AB35" i="1"/>
  <c r="Y30" i="1"/>
  <c r="AB30" i="1"/>
  <c r="AB29" i="1"/>
  <c r="Y29" i="1"/>
  <c r="Y24" i="1"/>
  <c r="AB24" i="1"/>
  <c r="Y23" i="1"/>
  <c r="AB23" i="1"/>
  <c r="Y18" i="1"/>
  <c r="AB18" i="1"/>
  <c r="Y17" i="1"/>
  <c r="AB17" i="1"/>
  <c r="Y34" i="1"/>
  <c r="AB34" i="1"/>
  <c r="AB28" i="1"/>
  <c r="Y28" i="1"/>
  <c r="Y22" i="1"/>
  <c r="AB22" i="1"/>
  <c r="Y16" i="1"/>
  <c r="AB16" i="1"/>
  <c r="AB33" i="1"/>
  <c r="Y33" i="1"/>
  <c r="AB27" i="1"/>
  <c r="Y27" i="1"/>
  <c r="AB21" i="1"/>
  <c r="Y21" i="1"/>
  <c r="AB39" i="1"/>
  <c r="Y39" i="1"/>
  <c r="AB38" i="1"/>
  <c r="Y38" i="1"/>
  <c r="AB32" i="1"/>
  <c r="Y32" i="1"/>
  <c r="AB26" i="1"/>
  <c r="Y26" i="1"/>
  <c r="AB20" i="1"/>
  <c r="Y20" i="1"/>
  <c r="Y37" i="1"/>
  <c r="AB37" i="1"/>
  <c r="Y31" i="1"/>
  <c r="AB31" i="1"/>
  <c r="Y25" i="1"/>
  <c r="AB25" i="1"/>
  <c r="Y19" i="1"/>
  <c r="AB19" i="1"/>
  <c r="D2" i="2" l="1"/>
  <c r="C2" i="2"/>
  <c r="AJ15" i="1"/>
  <c r="AK15" i="1" s="1"/>
  <c r="J7" i="1"/>
  <c r="Z15" i="1"/>
  <c r="S15" i="1"/>
  <c r="AH15" i="1"/>
  <c r="AE15" i="1" s="1" a="1"/>
  <c r="J6" i="1"/>
  <c r="J5" i="1"/>
  <c r="X15" i="1"/>
  <c r="J4" i="1"/>
  <c r="AN15" i="1"/>
  <c r="AI15" i="1"/>
  <c r="Q3" i="1"/>
  <c r="AP15" i="1"/>
  <c r="AQ15" i="1"/>
  <c r="J32" i="1"/>
  <c r="J19" i="1"/>
  <c r="J25" i="1"/>
  <c r="J36" i="1"/>
  <c r="J30" i="1"/>
  <c r="J24" i="1"/>
  <c r="J18" i="1"/>
  <c r="J20" i="1"/>
  <c r="J37" i="1"/>
  <c r="J31" i="1"/>
  <c r="J35" i="1"/>
  <c r="J29" i="1"/>
  <c r="J23" i="1"/>
  <c r="J17" i="1"/>
  <c r="J26" i="1"/>
  <c r="J34" i="1"/>
  <c r="J28" i="1"/>
  <c r="J22" i="1"/>
  <c r="J16" i="1"/>
  <c r="J38" i="1"/>
  <c r="J39" i="1"/>
  <c r="J33" i="1"/>
  <c r="J27" i="1"/>
  <c r="J21" i="1"/>
  <c r="Q35" i="1"/>
  <c r="O35" i="1" s="1"/>
  <c r="Q29" i="1"/>
  <c r="O29" i="1" s="1"/>
  <c r="Q23" i="1"/>
  <c r="O23" i="1" s="1"/>
  <c r="Q17" i="1"/>
  <c r="O17" i="1" s="1"/>
  <c r="Q34" i="1"/>
  <c r="O34" i="1" s="1"/>
  <c r="Q28" i="1"/>
  <c r="O28" i="1" s="1"/>
  <c r="Q22" i="1"/>
  <c r="O22" i="1" s="1"/>
  <c r="Q16" i="1"/>
  <c r="O16" i="1" s="1"/>
  <c r="Q33" i="1"/>
  <c r="O33" i="1" s="1"/>
  <c r="Q27" i="1"/>
  <c r="O27" i="1" s="1"/>
  <c r="Q21" i="1"/>
  <c r="O21" i="1" s="1"/>
  <c r="Q39" i="1"/>
  <c r="O39" i="1" s="1"/>
  <c r="Q38" i="1"/>
  <c r="O38" i="1" s="1"/>
  <c r="Q32" i="1"/>
  <c r="O32" i="1" s="1"/>
  <c r="Q26" i="1"/>
  <c r="O26" i="1" s="1"/>
  <c r="Q20" i="1"/>
  <c r="O20" i="1" s="1"/>
  <c r="Q37" i="1"/>
  <c r="O37" i="1" s="1"/>
  <c r="Q31" i="1"/>
  <c r="O31" i="1" s="1"/>
  <c r="Q25" i="1"/>
  <c r="O25" i="1" s="1"/>
  <c r="Q19" i="1"/>
  <c r="O19" i="1" s="1"/>
  <c r="Q36" i="1"/>
  <c r="O36" i="1" s="1"/>
  <c r="Q30" i="1"/>
  <c r="O30" i="1" s="1"/>
  <c r="Q24" i="1"/>
  <c r="O24" i="1" s="1"/>
  <c r="Q18" i="1"/>
  <c r="O18" i="1" s="1"/>
  <c r="M32" i="1"/>
  <c r="L32" i="1"/>
  <c r="K32" i="1" s="1"/>
  <c r="I32" i="1" s="1"/>
  <c r="M19" i="1"/>
  <c r="L19" i="1"/>
  <c r="K19" i="1" s="1"/>
  <c r="I19" i="1" s="1"/>
  <c r="M25" i="1"/>
  <c r="L25" i="1"/>
  <c r="K25" i="1" s="1"/>
  <c r="I25" i="1" s="1"/>
  <c r="M36" i="1"/>
  <c r="L36" i="1"/>
  <c r="K36" i="1"/>
  <c r="I36" i="1" s="1"/>
  <c r="M30" i="1"/>
  <c r="L30" i="1"/>
  <c r="K30" i="1" s="1"/>
  <c r="I30" i="1" s="1"/>
  <c r="M24" i="1"/>
  <c r="L24" i="1"/>
  <c r="K24" i="1" s="1"/>
  <c r="I24" i="1" s="1"/>
  <c r="M18" i="1"/>
  <c r="L18" i="1"/>
  <c r="K18" i="1" s="1"/>
  <c r="I18" i="1" s="1"/>
  <c r="M20" i="1"/>
  <c r="L20" i="1"/>
  <c r="K20" i="1" s="1"/>
  <c r="I20" i="1" s="1"/>
  <c r="M37" i="1"/>
  <c r="L37" i="1"/>
  <c r="K37" i="1" s="1"/>
  <c r="I37" i="1" s="1"/>
  <c r="M31" i="1"/>
  <c r="L31" i="1"/>
  <c r="K31" i="1" s="1"/>
  <c r="I31" i="1" s="1"/>
  <c r="M35" i="1"/>
  <c r="L35" i="1"/>
  <c r="K35" i="1"/>
  <c r="I35" i="1" s="1"/>
  <c r="M29" i="1"/>
  <c r="L29" i="1"/>
  <c r="K29" i="1"/>
  <c r="I29" i="1" s="1"/>
  <c r="M23" i="1"/>
  <c r="L23" i="1"/>
  <c r="K23" i="1"/>
  <c r="I23" i="1" s="1"/>
  <c r="M17" i="1"/>
  <c r="L17" i="1"/>
  <c r="K17" i="1"/>
  <c r="I17" i="1" s="1"/>
  <c r="M26" i="1"/>
  <c r="L26" i="1"/>
  <c r="K26" i="1" s="1"/>
  <c r="I26" i="1" s="1"/>
  <c r="M34" i="1"/>
  <c r="L34" i="1"/>
  <c r="K34" i="1"/>
  <c r="I34" i="1" s="1"/>
  <c r="M28" i="1"/>
  <c r="L28" i="1"/>
  <c r="K28" i="1"/>
  <c r="I28" i="1" s="1"/>
  <c r="M22" i="1"/>
  <c r="L22" i="1"/>
  <c r="K22" i="1"/>
  <c r="I22" i="1" s="1"/>
  <c r="M16" i="1"/>
  <c r="L16" i="1"/>
  <c r="K16" i="1"/>
  <c r="I16" i="1" s="1"/>
  <c r="M38" i="1"/>
  <c r="L38" i="1"/>
  <c r="K38" i="1" s="1"/>
  <c r="I38" i="1" s="1"/>
  <c r="L39" i="1"/>
  <c r="M39" i="1"/>
  <c r="K39" i="1"/>
  <c r="I39" i="1" s="1"/>
  <c r="M33" i="1"/>
  <c r="L33" i="1"/>
  <c r="K33" i="1"/>
  <c r="I33" i="1" s="1"/>
  <c r="M27" i="1"/>
  <c r="L27" i="1"/>
  <c r="K27" i="1"/>
  <c r="I27" i="1" s="1"/>
  <c r="M21" i="1"/>
  <c r="L21" i="1"/>
  <c r="K21" i="1"/>
  <c r="I21" i="1" s="1"/>
  <c r="AE15" i="1" l="1"/>
  <c r="AF15" i="1"/>
  <c r="AG15" i="1"/>
  <c r="J15" i="1"/>
  <c r="AL15" i="1"/>
  <c r="U15" i="1"/>
  <c r="P15" i="1"/>
  <c r="V15" i="1"/>
  <c r="W15" i="1"/>
  <c r="AA15" i="1"/>
  <c r="AD15" i="1"/>
  <c r="M15" i="1"/>
  <c r="L15" i="1"/>
  <c r="Q15" i="1"/>
  <c r="O15" i="1" s="1"/>
  <c r="R15" i="1"/>
  <c r="AB15" i="1"/>
  <c r="Y15" i="1"/>
  <c r="K15" i="1"/>
  <c r="I15" i="1" s="1"/>
  <c r="T15" i="1"/>
</calcChain>
</file>

<file path=xl/sharedStrings.xml><?xml version="1.0" encoding="utf-8"?>
<sst xmlns="http://schemas.openxmlformats.org/spreadsheetml/2006/main" count="1592" uniqueCount="633">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</sst>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[$-F400]h:mm:ss\ AM/PM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3">
    <xf numFmtId="0" fontId="0" fillId="0" borderId="0" xfId="0"/>
    <xf numFmtId="165" fontId="0" fillId="0" borderId="0" xfId="0" applyNumberFormat="1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AD15" activePane="bottomRight" state="frozen"/>
      <selection pane="topRight" activeCell="I1" sqref="I1"/>
      <selection pane="bottomLeft" activeCell="A15" sqref="A15"/>
      <selection pane="bottomRight" activeCell="A15" sqref="A15:G39"/>
    </sheetView>
  </sheetViews>
  <sheetFormatPr defaultRowHeight="14.4" x14ac:dyDescent="0.3"/>
  <cols>
    <col min="1" max="1" width="13.77734375" style="21" customWidth="1"/>
    <col min="2" max="2" width="10.77734375" style="22" customWidth="1"/>
    <col min="3" max="7" width="10.77734375" style="23" customWidth="1"/>
    <col min="8" max="8" width="10.77734375" style="82" customWidth="1"/>
    <col min="9" max="9" width="12.77734375" style="5" customWidth="1"/>
    <col min="10" max="11" width="8.88671875" style="36"/>
    <col min="12" max="12" width="8.88671875" style="6"/>
    <col min="13" max="13" width="8.88671875" style="5"/>
    <col min="14" max="14" width="8.88671875" style="6"/>
    <col min="15" max="15" width="8.88671875" style="8"/>
    <col min="16" max="17" width="8.88671875" style="37"/>
    <col min="18" max="19" width="8.88671875" style="9"/>
    <col min="20" max="22" width="8.88671875" style="94"/>
    <col min="23" max="24" width="8.88671875" style="96"/>
    <col min="25" max="25" width="8.88671875" style="31"/>
    <col min="26" max="27" width="8.88671875" style="38"/>
    <col min="28" max="29" width="8.88671875" style="35"/>
    <col min="30" max="30" width="8.88671875" style="108"/>
    <col min="31" max="32" width="8.88671875" style="117"/>
    <col min="33" max="34" width="8.88671875" style="111"/>
    <col min="35" max="35" width="8.88671875" style="77"/>
    <col min="36" max="37" width="8.88671875" style="91"/>
    <col min="38" max="38" width="8.88671875" style="86"/>
    <col min="39" max="39" width="8.88671875" style="77"/>
    <col min="40" max="40" width="8.88671875" style="119"/>
    <col min="41" max="42" width="8.88671875" style="130"/>
    <col min="43" max="43" width="8.88671875" style="127"/>
    <col min="44" max="44" width="8.88671875" style="119"/>
    <col min="45" max="16384" width="8.88671875" style="10"/>
  </cols>
  <sheetData>
    <row r="1" spans="1:44" ht="18" x14ac:dyDescent="0.35">
      <c r="A1" s="92" t="s">
        <v>140</v>
      </c>
      <c r="B1" s="139"/>
      <c r="C1" s="140"/>
      <c r="D1" s="3"/>
      <c r="E1" s="3"/>
      <c r="F1" s="3"/>
      <c r="G1" s="3"/>
      <c r="I1" s="4" t="s">
        <v>2</v>
      </c>
      <c r="J1" s="5"/>
      <c r="O1" s="7" t="s">
        <v>16</v>
      </c>
      <c r="P1" s="8"/>
      <c r="Q1" s="8"/>
      <c r="T1" s="95" t="s">
        <v>144</v>
      </c>
      <c r="Y1" s="33" t="s">
        <v>54</v>
      </c>
      <c r="Z1" s="31"/>
      <c r="AA1" s="31"/>
      <c r="AB1" s="31"/>
      <c r="AC1" s="31"/>
      <c r="AD1" s="107" t="s">
        <v>98</v>
      </c>
      <c r="AE1" s="108"/>
      <c r="AF1" s="108"/>
      <c r="AG1" s="108"/>
      <c r="AH1" s="108"/>
      <c r="AI1" s="76" t="s">
        <v>127</v>
      </c>
      <c r="AJ1" s="77"/>
      <c r="AK1" s="77"/>
      <c r="AL1" s="77"/>
      <c r="AN1" s="124" t="s">
        <v>156</v>
      </c>
    </row>
    <row r="2" spans="1:44" x14ac:dyDescent="0.3">
      <c r="A2" s="92" t="s">
        <v>141</v>
      </c>
      <c r="B2" s="47">
        <v>44898</v>
      </c>
      <c r="C2" s="3"/>
      <c r="D2" s="3"/>
      <c r="E2" s="3"/>
      <c r="F2" s="3"/>
      <c r="G2" s="3"/>
      <c r="I2" s="12" t="s">
        <v>60</v>
      </c>
      <c r="J2" s="24">
        <v>3</v>
      </c>
      <c r="K2" s="13" t="s">
        <v>154</v>
      </c>
      <c r="O2" s="14"/>
      <c r="P2" s="8"/>
      <c r="Q2" s="14" t="s">
        <v>22</v>
      </c>
      <c r="Z2" s="31"/>
      <c r="AA2" s="31"/>
      <c r="AB2" s="34" t="s">
        <v>56</v>
      </c>
      <c r="AC2" s="32">
        <v>0</v>
      </c>
      <c r="AD2" s="109" t="s">
        <v>126</v>
      </c>
      <c r="AE2" s="108"/>
      <c r="AF2" s="110"/>
      <c r="AH2" s="108"/>
      <c r="AJ2" s="77"/>
      <c r="AK2" s="77"/>
      <c r="AL2" s="87" t="s">
        <v>136</v>
      </c>
      <c r="AM2" s="88">
        <v>3</v>
      </c>
      <c r="AQ2" s="134" t="s">
        <v>157</v>
      </c>
      <c r="AR2" s="125">
        <v>0</v>
      </c>
    </row>
    <row r="3" spans="1:44" x14ac:dyDescent="0.3">
      <c r="A3" s="92" t="s">
        <v>142</v>
      </c>
      <c r="B3" s="48">
        <v>0.39525462962962959</v>
      </c>
      <c r="C3" s="3"/>
      <c r="D3" s="3"/>
      <c r="E3" s="3"/>
      <c r="F3" s="3"/>
      <c r="G3" s="3"/>
      <c r="I3" s="15"/>
      <c r="J3" s="16" t="s">
        <v>72</v>
      </c>
      <c r="K3" s="17" t="s">
        <v>22</v>
      </c>
      <c r="O3" s="18" t="s">
        <v>24</v>
      </c>
      <c r="P3" s="26" t="s">
        <v>19</v>
      </c>
      <c r="Q3" s="8">
        <f>state_to_load_grass(P3)</f>
        <v>4.5</v>
      </c>
      <c r="V3" s="97" t="s">
        <v>145</v>
      </c>
      <c r="W3" s="141" t="s">
        <v>148</v>
      </c>
      <c r="X3" s="142"/>
      <c r="Z3" s="31"/>
      <c r="AA3" s="31"/>
      <c r="AB3" s="34" t="s">
        <v>55</v>
      </c>
      <c r="AC3" s="32">
        <v>48</v>
      </c>
      <c r="AE3" s="108"/>
      <c r="AF3" s="110"/>
      <c r="AG3" s="110"/>
      <c r="AH3" s="108"/>
      <c r="AJ3" s="77"/>
      <c r="AK3" s="77"/>
      <c r="AL3" s="87" t="s">
        <v>137</v>
      </c>
      <c r="AM3" s="88">
        <v>1</v>
      </c>
      <c r="AQ3" s="134"/>
      <c r="AR3" s="134">
        <v>25</v>
      </c>
    </row>
    <row r="4" spans="1:44" x14ac:dyDescent="0.3">
      <c r="A4" s="92"/>
      <c r="B4" s="2"/>
      <c r="C4" s="3"/>
      <c r="D4" s="3"/>
      <c r="E4" s="3"/>
      <c r="F4" s="3"/>
      <c r="G4" s="3"/>
      <c r="I4" s="19" t="s">
        <v>9</v>
      </c>
      <c r="J4" s="20">
        <f>fl_to_fhs(I4,K4)</f>
        <v>3</v>
      </c>
      <c r="K4" s="25">
        <v>10</v>
      </c>
      <c r="O4" s="18" t="s">
        <v>21</v>
      </c>
      <c r="P4" s="26">
        <v>80</v>
      </c>
      <c r="Q4" s="8"/>
      <c r="V4" s="97" t="s">
        <v>146</v>
      </c>
      <c r="W4" s="118">
        <v>4.5</v>
      </c>
      <c r="Z4" s="31"/>
      <c r="AA4" s="31"/>
      <c r="AB4" s="34" t="s">
        <v>57</v>
      </c>
      <c r="AC4" s="32" t="b">
        <v>0</v>
      </c>
      <c r="AE4" s="108"/>
      <c r="AF4" s="110"/>
      <c r="AG4" s="110"/>
      <c r="AH4" s="108"/>
      <c r="AJ4" s="77"/>
      <c r="AK4" s="77"/>
      <c r="AL4" s="87" t="s">
        <v>138</v>
      </c>
      <c r="AM4" s="88">
        <v>18</v>
      </c>
      <c r="AQ4" s="134" t="s">
        <v>56</v>
      </c>
      <c r="AR4" s="125">
        <v>0</v>
      </c>
    </row>
    <row r="5" spans="1:44" ht="15.6" x14ac:dyDescent="0.3">
      <c r="A5" s="93" t="s">
        <v>29</v>
      </c>
      <c r="B5" s="2"/>
      <c r="C5" s="3"/>
      <c r="D5" s="3"/>
      <c r="E5" s="3"/>
      <c r="F5" s="3"/>
      <c r="G5" s="3"/>
      <c r="I5" s="19" t="s">
        <v>10</v>
      </c>
      <c r="J5" s="20">
        <f t="shared" ref="J5:J7" si="0">fl_to_fhs(I5,K5)</f>
        <v>3</v>
      </c>
      <c r="K5" s="25">
        <v>3.5</v>
      </c>
      <c r="P5" s="8"/>
      <c r="Q5" s="8"/>
      <c r="V5" s="97" t="s">
        <v>21</v>
      </c>
      <c r="W5" s="106">
        <v>80</v>
      </c>
      <c r="Z5" s="31"/>
      <c r="AA5" s="31"/>
      <c r="AB5" s="34" t="s">
        <v>61</v>
      </c>
      <c r="AC5" s="32">
        <v>2</v>
      </c>
      <c r="AE5" s="108"/>
      <c r="AF5" s="110"/>
      <c r="AG5" s="110"/>
      <c r="AH5" s="108"/>
      <c r="AJ5" s="77"/>
      <c r="AK5" s="77"/>
      <c r="AL5" s="87" t="s">
        <v>139</v>
      </c>
      <c r="AM5" s="88">
        <v>4.5</v>
      </c>
      <c r="AQ5" s="134" t="s">
        <v>55</v>
      </c>
      <c r="AR5" s="125">
        <v>48</v>
      </c>
    </row>
    <row r="6" spans="1:44" x14ac:dyDescent="0.3">
      <c r="A6" s="11" t="s">
        <v>30</v>
      </c>
      <c r="B6" s="2"/>
      <c r="C6" s="3"/>
      <c r="D6" s="3"/>
      <c r="E6" s="3"/>
      <c r="F6" s="3"/>
      <c r="G6" s="3"/>
      <c r="I6" s="19" t="s">
        <v>11</v>
      </c>
      <c r="J6" s="20">
        <f t="shared" si="0"/>
        <v>2</v>
      </c>
      <c r="K6" s="25">
        <v>2</v>
      </c>
      <c r="P6" s="8"/>
      <c r="Q6" s="8"/>
      <c r="V6" s="97" t="s">
        <v>153</v>
      </c>
      <c r="W6" s="105">
        <v>0.5</v>
      </c>
      <c r="Z6" s="31"/>
      <c r="AA6" s="31"/>
      <c r="AB6" s="34"/>
      <c r="AC6" s="34">
        <v>25</v>
      </c>
      <c r="AE6" s="108"/>
      <c r="AF6" s="110"/>
      <c r="AG6" s="110"/>
      <c r="AH6" s="108"/>
      <c r="AJ6" s="77"/>
      <c r="AK6" s="77"/>
      <c r="AL6" s="87"/>
      <c r="AM6" s="87">
        <v>20</v>
      </c>
      <c r="AQ6" s="134" t="s">
        <v>158</v>
      </c>
      <c r="AR6" s="125">
        <v>1</v>
      </c>
    </row>
    <row r="7" spans="1:44" x14ac:dyDescent="0.3">
      <c r="A7" s="28" t="s">
        <v>31</v>
      </c>
      <c r="B7" s="2"/>
      <c r="C7" s="3"/>
      <c r="D7" s="3"/>
      <c r="E7" s="3"/>
      <c r="F7" s="3"/>
      <c r="G7" s="75"/>
      <c r="H7" s="83"/>
      <c r="I7" s="19" t="s">
        <v>12</v>
      </c>
      <c r="J7" s="20">
        <f t="shared" si="0"/>
        <v>2</v>
      </c>
      <c r="K7" s="25">
        <v>2</v>
      </c>
      <c r="P7" s="8"/>
      <c r="Q7" s="8"/>
      <c r="Z7" s="31"/>
      <c r="AA7" s="31"/>
      <c r="AB7" s="34" t="s">
        <v>34</v>
      </c>
      <c r="AC7" s="38">
        <f>fuel_amount(models_tables!$C$19,tsf,models_tables!$C$22)</f>
        <v>19.633687222225316</v>
      </c>
      <c r="AE7" s="108"/>
      <c r="AF7" s="108"/>
      <c r="AG7" s="108"/>
      <c r="AH7" s="108"/>
      <c r="AJ7" s="77"/>
      <c r="AK7" s="77"/>
      <c r="AL7" s="87" t="s">
        <v>56</v>
      </c>
      <c r="AM7" s="88">
        <v>0</v>
      </c>
      <c r="AQ7" s="134" t="s">
        <v>153</v>
      </c>
      <c r="AR7" s="126">
        <v>0.5</v>
      </c>
    </row>
    <row r="8" spans="1:44" x14ac:dyDescent="0.3">
      <c r="A8" s="11" t="s">
        <v>32</v>
      </c>
      <c r="B8" s="2"/>
      <c r="C8" s="3"/>
      <c r="D8" s="3"/>
      <c r="E8" s="3"/>
      <c r="F8" s="3"/>
      <c r="G8" s="74"/>
      <c r="H8" s="84"/>
      <c r="I8" s="19" t="s">
        <v>23</v>
      </c>
      <c r="J8" s="20"/>
      <c r="K8" s="25">
        <v>4.5</v>
      </c>
      <c r="P8" s="8"/>
      <c r="Q8" s="8"/>
      <c r="Z8" s="31"/>
      <c r="AA8" s="31"/>
      <c r="AB8" s="31"/>
      <c r="AC8" s="31"/>
      <c r="AE8" s="108"/>
      <c r="AF8" s="108"/>
      <c r="AG8" s="108"/>
      <c r="AH8" s="108"/>
      <c r="AJ8" s="77"/>
      <c r="AK8" s="77"/>
      <c r="AL8" s="87" t="s">
        <v>55</v>
      </c>
      <c r="AM8" s="88">
        <v>48</v>
      </c>
      <c r="AQ8" s="134" t="s">
        <v>145</v>
      </c>
      <c r="AR8" s="125" t="s">
        <v>160</v>
      </c>
    </row>
    <row r="9" spans="1:44" x14ac:dyDescent="0.3">
      <c r="A9" s="11" t="s">
        <v>71</v>
      </c>
      <c r="B9" s="2"/>
      <c r="C9" s="3"/>
      <c r="D9" s="3"/>
      <c r="E9" s="3"/>
      <c r="F9" s="3"/>
      <c r="G9" s="3"/>
      <c r="I9" s="19"/>
      <c r="J9" s="17" t="s">
        <v>13</v>
      </c>
      <c r="K9" s="20"/>
      <c r="L9" s="138" t="s">
        <v>631</v>
      </c>
      <c r="P9" s="8"/>
      <c r="Q9" s="8"/>
      <c r="Z9" s="31"/>
      <c r="AA9" s="31"/>
      <c r="AB9" s="31"/>
      <c r="AC9" s="31"/>
      <c r="AE9" s="108"/>
      <c r="AF9" s="108"/>
      <c r="AG9" s="108"/>
      <c r="AH9" s="108"/>
      <c r="AJ9" s="77"/>
      <c r="AK9" s="77"/>
      <c r="AL9" s="77"/>
    </row>
    <row r="10" spans="1:44" x14ac:dyDescent="0.3">
      <c r="A10" s="28" t="s">
        <v>49</v>
      </c>
      <c r="B10" s="2"/>
      <c r="C10" s="3"/>
      <c r="D10" s="3"/>
      <c r="E10" s="3"/>
      <c r="F10" s="3"/>
      <c r="G10" s="3"/>
      <c r="I10" s="19" t="s">
        <v>10</v>
      </c>
      <c r="J10" s="24">
        <v>20</v>
      </c>
      <c r="K10" s="13" t="s">
        <v>14</v>
      </c>
      <c r="L10" s="16" t="s">
        <v>122</v>
      </c>
      <c r="M10" s="70" t="s">
        <v>124</v>
      </c>
      <c r="P10" s="8"/>
      <c r="Q10" s="8"/>
      <c r="Z10" s="31"/>
      <c r="AA10" s="31"/>
      <c r="AB10" s="31"/>
      <c r="AC10" s="31"/>
      <c r="AE10" s="108"/>
      <c r="AF10" s="108"/>
      <c r="AG10" s="108"/>
      <c r="AH10" s="108"/>
      <c r="AJ10" s="77"/>
      <c r="AK10" s="77"/>
      <c r="AL10" s="77"/>
    </row>
    <row r="11" spans="1:44" x14ac:dyDescent="0.3">
      <c r="A11" s="30" t="s">
        <v>50</v>
      </c>
      <c r="B11" s="2"/>
      <c r="C11" s="3"/>
      <c r="D11" s="3"/>
      <c r="E11" s="3"/>
      <c r="F11" s="3"/>
      <c r="G11" s="3"/>
      <c r="I11" s="19" t="s">
        <v>11</v>
      </c>
      <c r="J11" s="24">
        <v>2</v>
      </c>
      <c r="K11" s="13" t="s">
        <v>15</v>
      </c>
      <c r="L11" s="6" t="s">
        <v>128</v>
      </c>
      <c r="P11" s="8"/>
      <c r="Q11" s="8"/>
      <c r="Z11" s="31"/>
      <c r="AA11" s="31"/>
      <c r="AB11" s="31"/>
      <c r="AC11" s="31"/>
      <c r="AE11" s="108"/>
      <c r="AF11" s="108"/>
      <c r="AG11" s="108"/>
      <c r="AH11" s="108"/>
      <c r="AJ11" s="77"/>
      <c r="AK11" s="77"/>
      <c r="AL11" s="77"/>
    </row>
    <row r="12" spans="1:44" x14ac:dyDescent="0.3">
      <c r="A12" s="28"/>
      <c r="B12" s="2"/>
      <c r="C12" s="3"/>
      <c r="D12" s="3"/>
      <c r="E12" s="3"/>
      <c r="F12" s="137" t="s">
        <v>630</v>
      </c>
      <c r="G12" s="69">
        <v>20</v>
      </c>
      <c r="I12" s="19" t="s">
        <v>23</v>
      </c>
      <c r="J12" s="24">
        <v>20</v>
      </c>
      <c r="K12" s="13" t="s">
        <v>15</v>
      </c>
      <c r="P12" s="8"/>
      <c r="Q12" s="8"/>
      <c r="Z12" s="31"/>
      <c r="AA12" s="31"/>
      <c r="AB12" s="31"/>
      <c r="AC12" s="31"/>
      <c r="AE12" s="108"/>
      <c r="AF12" s="108"/>
      <c r="AG12" s="108"/>
      <c r="AH12" s="108"/>
      <c r="AJ12" s="77"/>
      <c r="AK12" s="77"/>
      <c r="AL12" s="77"/>
    </row>
    <row r="13" spans="1:44" s="71" customFormat="1" ht="18" x14ac:dyDescent="0.35">
      <c r="A13" s="39" t="s">
        <v>1</v>
      </c>
      <c r="B13" s="40"/>
      <c r="C13" s="41"/>
      <c r="D13" s="41"/>
      <c r="E13" s="41"/>
      <c r="F13" s="68" t="s">
        <v>99</v>
      </c>
      <c r="G13" s="69">
        <v>100</v>
      </c>
      <c r="H13" s="83"/>
      <c r="I13" s="42"/>
      <c r="J13" s="42"/>
      <c r="K13" s="42"/>
      <c r="L13" s="43"/>
      <c r="M13" s="42"/>
      <c r="N13" s="43"/>
      <c r="O13" s="44"/>
      <c r="P13" s="44"/>
      <c r="Q13" s="44"/>
      <c r="R13" s="45"/>
      <c r="S13" s="45"/>
      <c r="T13" s="98"/>
      <c r="U13" s="98"/>
      <c r="V13" s="98"/>
      <c r="W13" s="99"/>
      <c r="X13" s="99"/>
      <c r="Y13" s="46"/>
      <c r="Z13" s="46"/>
      <c r="AA13" s="46"/>
      <c r="AB13" s="46"/>
      <c r="AC13" s="46"/>
      <c r="AD13" s="112"/>
      <c r="AE13" s="112"/>
      <c r="AF13" s="112"/>
      <c r="AG13" s="112"/>
      <c r="AH13" s="112"/>
      <c r="AI13" s="78"/>
      <c r="AJ13" s="78"/>
      <c r="AK13" s="78"/>
      <c r="AL13" s="78"/>
      <c r="AM13" s="78"/>
      <c r="AN13" s="120"/>
      <c r="AO13" s="131"/>
      <c r="AP13" s="131"/>
      <c r="AQ13" s="128"/>
      <c r="AR13" s="120"/>
    </row>
    <row r="14" spans="1:44" s="73" customFormat="1" ht="60" customHeight="1" x14ac:dyDescent="0.3">
      <c r="A14" s="59" t="s">
        <v>129</v>
      </c>
      <c r="B14" s="60" t="s">
        <v>130</v>
      </c>
      <c r="C14" s="61" t="s">
        <v>131</v>
      </c>
      <c r="D14" s="61" t="s">
        <v>132</v>
      </c>
      <c r="E14" s="61" t="s">
        <v>133</v>
      </c>
      <c r="F14" s="62" t="s">
        <v>134</v>
      </c>
      <c r="G14" s="62" t="s">
        <v>0</v>
      </c>
      <c r="H14" s="85" t="s">
        <v>135</v>
      </c>
      <c r="I14" s="63" t="s">
        <v>100</v>
      </c>
      <c r="J14" s="63" t="s">
        <v>4</v>
      </c>
      <c r="K14" s="63" t="s">
        <v>5</v>
      </c>
      <c r="L14" s="64" t="s">
        <v>6</v>
      </c>
      <c r="M14" s="63" t="s">
        <v>7</v>
      </c>
      <c r="N14" s="64" t="s">
        <v>8</v>
      </c>
      <c r="O14" s="65" t="s">
        <v>100</v>
      </c>
      <c r="P14" s="65" t="s">
        <v>4</v>
      </c>
      <c r="Q14" s="65" t="s">
        <v>5</v>
      </c>
      <c r="R14" s="66" t="s">
        <v>6</v>
      </c>
      <c r="S14" s="66" t="s">
        <v>8</v>
      </c>
      <c r="T14" s="100" t="s">
        <v>100</v>
      </c>
      <c r="U14" s="100" t="s">
        <v>4</v>
      </c>
      <c r="V14" s="100" t="s">
        <v>5</v>
      </c>
      <c r="W14" s="101" t="s">
        <v>6</v>
      </c>
      <c r="X14" s="101" t="s">
        <v>8</v>
      </c>
      <c r="Y14" s="67" t="s">
        <v>100</v>
      </c>
      <c r="Z14" s="67" t="s">
        <v>4</v>
      </c>
      <c r="AA14" s="67" t="s">
        <v>5</v>
      </c>
      <c r="AB14" s="67" t="s">
        <v>6</v>
      </c>
      <c r="AC14" s="67" t="s">
        <v>8</v>
      </c>
      <c r="AD14" s="113" t="s">
        <v>100</v>
      </c>
      <c r="AE14" s="113" t="s">
        <v>4</v>
      </c>
      <c r="AF14" s="113" t="s">
        <v>5</v>
      </c>
      <c r="AG14" s="113" t="s">
        <v>6</v>
      </c>
      <c r="AH14" s="113" t="s">
        <v>8</v>
      </c>
      <c r="AI14" s="79" t="s">
        <v>100</v>
      </c>
      <c r="AJ14" s="79" t="s">
        <v>4</v>
      </c>
      <c r="AK14" s="79" t="s">
        <v>5</v>
      </c>
      <c r="AL14" s="80" t="s">
        <v>6</v>
      </c>
      <c r="AM14" s="80" t="s">
        <v>8</v>
      </c>
      <c r="AN14" s="121" t="s">
        <v>100</v>
      </c>
      <c r="AO14" s="132" t="s">
        <v>4</v>
      </c>
      <c r="AP14" s="132" t="s">
        <v>5</v>
      </c>
      <c r="AQ14" s="122" t="s">
        <v>6</v>
      </c>
      <c r="AR14" s="122" t="s">
        <v>8</v>
      </c>
    </row>
    <row r="15" spans="1:44" s="72" customFormat="1" x14ac:dyDescent="0.3">
      <c r="A15" s="47">
        <v>44898</v>
      </c>
      <c r="B15" s="48">
        <v>0.39525462962962959</v>
      </c>
      <c r="C15" s="49">
        <v>25</v>
      </c>
      <c r="D15" s="49">
        <v>30</v>
      </c>
      <c r="E15" s="49" t="s">
        <v>155</v>
      </c>
      <c r="F15" s="49">
        <v>20</v>
      </c>
      <c r="G15" s="49">
        <v>8</v>
      </c>
      <c r="H15" s="84">
        <f>backbearing(E15)</f>
        <v>180</v>
      </c>
      <c r="I15" s="50">
        <f>fbi(K15,Forest)</f>
        <v>18</v>
      </c>
      <c r="J15" s="51">
        <f>ROS_forest(F15,fhs_s,fhs_ns,h_ns_forest,N15,G15,waf_forest,kbdi,submodel_forest)</f>
        <v>408.61795303209414</v>
      </c>
      <c r="K15" s="51">
        <f>Intensity_forest(J15,G15,L15,fl_s_forest,fl_ns_forest,fl_e_forest,fl_o_forest,h_o_forest,waf_forest,kbdi,submodel_forest)</f>
        <v>2617.8790392261863</v>
      </c>
      <c r="L15" s="52">
        <f>Flame_height_forest(J15,h_e_forest)</f>
        <v>5.738792896270752</v>
      </c>
      <c r="M15" s="50">
        <f>Spotting_forest(J15,F15,fhs_s)</f>
        <v>252</v>
      </c>
      <c r="N15" s="52">
        <f>FMC_Forest(C15,D15,A15,B15,submodel_forest)</f>
        <v>7.5449999999999999</v>
      </c>
      <c r="O15" s="53">
        <f>fbi(Q15,Grass)</f>
        <v>18</v>
      </c>
      <c r="P15" s="54">
        <f>ROS_grass(F15,S15,curing_grass,state_grass)</f>
        <v>2633.49365234375</v>
      </c>
      <c r="Q15" s="54">
        <f>Intensity_grass(P15,fl_s_grass)</f>
        <v>6122.8725794984839</v>
      </c>
      <c r="R15" s="55">
        <f>Flame_height_grass(P15,state_grass)</f>
        <v>1.0213292837142944</v>
      </c>
      <c r="S15" s="55">
        <f>FMC_Grass(C15,D15)</f>
        <v>8.5950002670288086</v>
      </c>
      <c r="T15" s="102">
        <f>fbi(V15,Woodland)</f>
        <v>12</v>
      </c>
      <c r="U15" s="103">
        <f>ROS_woodland(F15,X15,curing_woodland,subtype_woodland,fl_woodland,waf_woodland)</f>
        <v>1316.746826171875</v>
      </c>
      <c r="V15" s="103">
        <f t="shared" ref="V15" si="1">Intensity_woodland(U15,fl_woodland)</f>
        <v>3061.436289749242</v>
      </c>
      <c r="W15" s="104">
        <f t="shared" ref="W15" si="2">Flame_height_woodland(U15,fl_woodland)</f>
        <v>0.83245730400085449</v>
      </c>
      <c r="X15" s="104">
        <f>FMC_woodland(C15,D15)</f>
        <v>8.5950002670288086</v>
      </c>
      <c r="Y15" s="56">
        <f>fbi(AA15,Heath)</f>
        <v>14</v>
      </c>
      <c r="Z15" s="57">
        <f>ROS_heath(F15,h_el_heath,AC15,overstorey_heath)</f>
        <v>117.61177465976716</v>
      </c>
      <c r="AA15" s="57">
        <f>intensity_heath(Z15,fl_total_max_heath,fl_heath,0.2)</f>
        <v>1191.3702750956784</v>
      </c>
      <c r="AB15" s="58">
        <f>Flame_height_heath(AA15)</f>
        <v>1.406986256164984</v>
      </c>
      <c r="AC15" s="58">
        <f>FMC_heath(C15,D15,rain_heath,tsr_heath)</f>
        <v>8.3899999999999988</v>
      </c>
      <c r="AD15" s="114">
        <f>fbi(AF15,Pine)</f>
        <v>17</v>
      </c>
      <c r="AE15" s="115">
        <f t="array" ref="AE15:AG15">fb_pine_ensemble(F15,AH15,G15,kbdi)</f>
        <v>816.03883812382151</v>
      </c>
      <c r="AF15" s="115">
        <v>2251.8909951973737</v>
      </c>
      <c r="AG15" s="116">
        <v>4.0868029594421387</v>
      </c>
      <c r="AH15" s="116">
        <f>FMC_pine(C15,D15)</f>
        <v>7.3790998458862305</v>
      </c>
      <c r="AI15" s="81">
        <f>FBI_mallee(F15,AM15,cov_o_mallee,AK15)</f>
        <v>5</v>
      </c>
      <c r="AJ15" s="90">
        <f>ROS_mallee(F15,AM15,cov_o_mallee,h_o_mallee)</f>
        <v>0</v>
      </c>
      <c r="AK15" s="90">
        <f>Intensity(AJ15,fuel_load_mallee(F15,tsf,AM15,fl_s_mallee,fl_o_mallee))</f>
        <v>0</v>
      </c>
      <c r="AL15" s="89">
        <f>flame_height_mallee(AK15)</f>
        <v>0</v>
      </c>
      <c r="AM15" s="81">
        <f>FMC_mallee(C15,D15,A15,B15,rain_mallee,tsr_mallee)</f>
        <v>9.98</v>
      </c>
      <c r="AN15" s="123">
        <f>fbi(AO15,Spinifex)</f>
        <v>22</v>
      </c>
      <c r="AO15" s="133">
        <f>ROS_spinifex(F15,tsf,AR15,waf_spinifex,productivity_spinifex)</f>
        <v>1148.6068395263198</v>
      </c>
      <c r="AP15" s="133">
        <f>intensity_spinifex(AO15,tsf,productivity_spinifex,subtype_spinifex)</f>
        <v>4272.8738546060531</v>
      </c>
      <c r="AQ15" s="129">
        <f>flame_height_spinifex(AO15,tsf,productivity_spinifex,subtype_spinifex)</f>
        <v>2.6587612628936768</v>
      </c>
      <c r="AR15" s="123">
        <f>FMC_spinifex(AWAP_uf,tsf,D15,C15,productivity_spinifex)</f>
        <v>14</v>
      </c>
    </row>
    <row r="16" spans="1:44" x14ac:dyDescent="0.3">
      <c r="A16" s="47">
        <v>43777.375</v>
      </c>
      <c r="B16" s="48">
        <v>43777.375</v>
      </c>
      <c r="C16" s="49">
        <v>22.9</v>
      </c>
      <c r="D16" s="49">
        <v>38</v>
      </c>
      <c r="E16" s="49">
        <v>0</v>
      </c>
      <c r="F16" s="49">
        <v>0</v>
      </c>
      <c r="G16" s="49">
        <v>10</v>
      </c>
      <c r="H16" s="84">
        <f t="shared" ref="H16:H39" si="3">backbearing(E16)</f>
        <v>180</v>
      </c>
      <c r="I16" s="50">
        <f>fbi(K16,Forest)</f>
        <v>6</v>
      </c>
      <c r="J16" s="51">
        <f>ROS_forest(F16,fhs_s,fhs_ns,h_ns_forest,N16,G16,waf_forest,kbdi,submodel_forest)</f>
        <v>20.643258690834045</v>
      </c>
      <c r="K16" s="51">
        <f>Intensity_forest(J16,G16,L16,fl_s_forest,fl_ns_forest,fl_e_forest,fl_o_forest,h_o_forest,waf_forest,kbdi,submodel_forest)</f>
        <v>143.9867319114646</v>
      </c>
      <c r="L16" s="52">
        <f>Flame_height_forest(J16,h_e_forest)</f>
        <v>0.66286134719848633</v>
      </c>
      <c r="M16" s="50">
        <f>Spotting_forest(J16,F16,fhs_s)</f>
        <v>50</v>
      </c>
      <c r="N16" s="52">
        <f>FMC_Forest(C16,D16,A16,B16,submodel_forest)</f>
        <v>8.9915000000000003</v>
      </c>
      <c r="O16" s="53">
        <f>fbi(Q16,Grass)</f>
        <v>2</v>
      </c>
      <c r="P16" s="54">
        <f>ROS_grass(F16,S16,curing_grass,state_grass)</f>
        <v>14.821291923522949</v>
      </c>
      <c r="Q16" s="54">
        <f>Intensity_grass(P16,fl_s_grass)</f>
        <v>34.459502809325755</v>
      </c>
      <c r="R16" s="55">
        <f>Flame_height_grass(P16,state_grass)</f>
        <v>0.22157470881938934</v>
      </c>
      <c r="S16" s="55">
        <f t="shared" ref="S16:S39" si="4">FMC_Grass(C16,D16)</f>
        <v>10.129500389099121</v>
      </c>
      <c r="T16" s="102">
        <f>fbi(V16,Woodland)</f>
        <v>1</v>
      </c>
      <c r="U16" s="103">
        <f>ROS_woodland(F16,X16,curing_woodland,subtype_woodland,fl_woodland,waf_woodland)</f>
        <v>7.4106459617614746</v>
      </c>
      <c r="V16" s="103">
        <f t="shared" ref="V16:V39" si="5">Intensity_woodland(U16,fl_woodland)</f>
        <v>17.229751404662878</v>
      </c>
      <c r="W16" s="104">
        <f t="shared" ref="W16:W39" si="6">Flame_height_woodland(U16,fl_woodland)</f>
        <v>0.1805994063615799</v>
      </c>
      <c r="X16" s="104">
        <f t="shared" ref="X16:X39" si="7">FMC_woodland(C16,D16)</f>
        <v>10.129500389099121</v>
      </c>
      <c r="Y16" s="56">
        <f>fbi(AA16,Heath)</f>
        <v>0</v>
      </c>
      <c r="Z16" s="57">
        <f>ROS_heath(F16,h_el_heath,AC16,overstorey_heath)</f>
        <v>0</v>
      </c>
      <c r="AA16" s="57">
        <f>intensity_heath(Z16,fl_total_max_heath,fl_heath,0.2)</f>
        <v>0</v>
      </c>
      <c r="AB16" s="58">
        <f t="shared" ref="AB16:AB39" si="8">Flame_height_heath(AA16)</f>
        <v>0</v>
      </c>
      <c r="AC16" s="58">
        <f>FMC_heath(C16,D16,rain_heath,tsr_heath)</f>
        <v>9.6720000000000006</v>
      </c>
      <c r="AD16" s="114">
        <f>fbi(AF16,Pine)</f>
        <v>1</v>
      </c>
      <c r="AE16" s="115">
        <f t="array" ref="AE16:AG16">fb_pine_ensemble(F16,AH16,G16,kbdi)</f>
        <v>20.123172767072877</v>
      </c>
      <c r="AF16" s="115">
        <v>23.646856646498549</v>
      </c>
      <c r="AG16" s="116">
        <v>0.32342568039894104</v>
      </c>
      <c r="AH16" s="116">
        <f t="shared" ref="AH16:AH39" si="9">FMC_pine(C16,D16)</f>
        <v>8.373809814453125</v>
      </c>
      <c r="AI16" s="81">
        <f>FBI_mallee(F16,AM16,cov_o_mallee,AK16)</f>
        <v>0</v>
      </c>
      <c r="AJ16" s="90">
        <f>ROS_mallee(F16,AM16,cov_o_mallee,h_o_mallee)</f>
        <v>0</v>
      </c>
      <c r="AK16" s="90">
        <f>Intensity(AJ16,fuel_load_mallee(F16,tsf,AM16,fl_s_mallee,fl_o_mallee))</f>
        <v>0</v>
      </c>
      <c r="AL16" s="89">
        <f t="shared" ref="AL16:AL39" si="10">flame_height_mallee(AK16)</f>
        <v>0</v>
      </c>
      <c r="AM16" s="81">
        <f>FMC_mallee(C16,D16,A16,B16,rain_mallee,tsr_mallee)</f>
        <v>11.574000000000002</v>
      </c>
      <c r="AN16" s="123">
        <f>fbi(AO16,Spinifex)</f>
        <v>0</v>
      </c>
      <c r="AO16" s="133">
        <f>ROS_spinifex(F16,tsf,AR16,waf_spinifex,productivity_spinifex)</f>
        <v>0</v>
      </c>
      <c r="AP16" s="133">
        <f>intensity_spinifex(AO16,tsf,productivity_spinifex,subtype_spinifex)</f>
        <v>0</v>
      </c>
      <c r="AQ16" s="129">
        <f>flame_height_spinifex(AO16,tsf,productivity_spinifex,subtype_spinifex)</f>
        <v>0.73440968990325928</v>
      </c>
      <c r="AR16" s="123">
        <f>FMC_spinifex(AWAP_uf,tsf,D16,C16,productivity_spinifex)</f>
        <v>14.973412400000001</v>
      </c>
    </row>
    <row r="17" spans="1:44" x14ac:dyDescent="0.3">
      <c r="A17" s="47">
        <v>43777.416666666664</v>
      </c>
      <c r="B17" s="48">
        <v>43777.416666666664</v>
      </c>
      <c r="C17" s="49">
        <v>30.2</v>
      </c>
      <c r="D17" s="49">
        <v>13</v>
      </c>
      <c r="E17" s="49">
        <v>260</v>
      </c>
      <c r="F17" s="49">
        <v>7.6</v>
      </c>
      <c r="G17" s="49">
        <v>10</v>
      </c>
      <c r="H17" s="84">
        <f t="shared" si="3"/>
        <v>80</v>
      </c>
      <c r="I17" s="50">
        <f>fbi(K17,Forest)</f>
        <v>18</v>
      </c>
      <c r="J17" s="51">
        <f>ROS_forest(F17,fhs_s,fhs_ns,h_ns_forest,N17,G17,waf_forest,kbdi,submodel_forest)</f>
        <v>325.68177777083343</v>
      </c>
      <c r="K17" s="51">
        <f>Intensity_forest(J17,G17,L17,fl_s_forest,fl_ns_forest,fl_e_forest,fl_o_forest,h_o_forest,waf_forest,kbdi,submodel_forest)</f>
        <v>2608.1681567445517</v>
      </c>
      <c r="L17" s="52">
        <f>Flame_height_forest(J17,h_e_forest)</f>
        <v>4.8706588745117188</v>
      </c>
      <c r="M17" s="50">
        <f>Spotting_forest(J17,F17,fhs_s)</f>
        <v>271</v>
      </c>
      <c r="N17" s="52">
        <f>FMC_Forest(C17,D17,A17,B17,submodel_forest)</f>
        <v>4.4380000000000006</v>
      </c>
      <c r="O17" s="53">
        <f>fbi(Q17,Grass)</f>
        <v>11</v>
      </c>
      <c r="P17" s="54">
        <f>ROS_grass(F17,S17,curing_grass,state_grass)</f>
        <v>1265.0765380859375</v>
      </c>
      <c r="Q17" s="54">
        <f>Intensity_grass(P17,fl_s_grass)</f>
        <v>2941.3028731318855</v>
      </c>
      <c r="R17" s="55">
        <f>Flame_height_grass(P17,state_grass)</f>
        <v>0.82268434762954712</v>
      </c>
      <c r="S17" s="55">
        <f t="shared" si="4"/>
        <v>5.1830000877380371</v>
      </c>
      <c r="T17" s="102">
        <f>fbi(V17,Woodland)</f>
        <v>8</v>
      </c>
      <c r="U17" s="103">
        <f>ROS_woodland(F17,X17,curing_woodland,subtype_woodland,fl_woodland,waf_woodland)</f>
        <v>632.53826904296875</v>
      </c>
      <c r="V17" s="103">
        <f t="shared" si="5"/>
        <v>1470.6514365659427</v>
      </c>
      <c r="W17" s="104">
        <f t="shared" si="6"/>
        <v>0.6705472469329834</v>
      </c>
      <c r="X17" s="104">
        <f t="shared" si="7"/>
        <v>5.1830000877380371</v>
      </c>
      <c r="Y17" s="56">
        <f>fbi(AA17,Heath)</f>
        <v>3</v>
      </c>
      <c r="Z17" s="57">
        <f>ROS_heath(F17,h_el_heath,AC17,overstorey_heath)</f>
        <v>2.6973694098314365</v>
      </c>
      <c r="AA17" s="57">
        <f>intensity_heath(Z17,fl_total_max_heath,fl_heath,0.2)</f>
        <v>27.323503493777718</v>
      </c>
      <c r="AB17" s="58">
        <f t="shared" si="8"/>
        <v>0.12896735342793869</v>
      </c>
      <c r="AC17" s="58">
        <f>FMC_heath(C17,D17,rain_heath,tsr_heath)</f>
        <v>5.5920000000000005</v>
      </c>
      <c r="AD17" s="114">
        <f>fbi(AF17,Pine)</f>
        <v>14</v>
      </c>
      <c r="AE17" s="115">
        <f t="array" ref="AE17:AG17">fb_pine_ensemble(F17,AH17,G17,kbdi)</f>
        <v>367.23011015750933</v>
      </c>
      <c r="AF17" s="115">
        <v>1395.6892868462237</v>
      </c>
      <c r="AG17" s="116">
        <v>3.7261409759521484</v>
      </c>
      <c r="AH17" s="116">
        <f t="shared" si="9"/>
        <v>5.2497801780700684</v>
      </c>
      <c r="AI17" s="81">
        <f>FBI_mallee(F17,AM17,cov_o_mallee,AK17)</f>
        <v>6</v>
      </c>
      <c r="AJ17" s="90">
        <f>ROS_mallee(F17,AM17,cov_o_mallee,h_o_mallee)</f>
        <v>227.39565334223738</v>
      </c>
      <c r="AK17" s="90">
        <f>Intensity(AJ17,fuel_load_mallee(F17,tsf,AM17,fl_s_mallee,fl_o_mallee))</f>
        <v>352.46327668609962</v>
      </c>
      <c r="AL17" s="89">
        <f t="shared" si="10"/>
        <v>0.6508416514863381</v>
      </c>
      <c r="AM17" s="81">
        <f>FMC_mallee(C17,D17,A17,B17,rain_mallee,tsr_mallee)</f>
        <v>6.5190000000000001</v>
      </c>
      <c r="AN17" s="123">
        <f>fbi(AO17,Spinifex)</f>
        <v>14</v>
      </c>
      <c r="AO17" s="133">
        <f>ROS_spinifex(F17,tsf,AR17,waf_spinifex,productivity_spinifex)</f>
        <v>296.68025914040072</v>
      </c>
      <c r="AP17" s="133">
        <f>intensity_spinifex(AO17,tsf,productivity_spinifex,subtype_spinifex)</f>
        <v>1103.6651348703015</v>
      </c>
      <c r="AQ17" s="129">
        <f>flame_height_spinifex(AO17,tsf,productivity_spinifex,subtype_spinifex)</f>
        <v>1.8183917999267578</v>
      </c>
      <c r="AR17" s="123">
        <f>FMC_spinifex(AWAP_uf,tsf,D17,C17,productivity_spinifex)</f>
        <v>14</v>
      </c>
    </row>
    <row r="18" spans="1:44" x14ac:dyDescent="0.3">
      <c r="A18" s="47">
        <v>43777.458333333336</v>
      </c>
      <c r="B18" s="48">
        <v>43777.458333333336</v>
      </c>
      <c r="C18" s="49">
        <v>32.6</v>
      </c>
      <c r="D18" s="49">
        <v>9</v>
      </c>
      <c r="E18" s="49">
        <v>340</v>
      </c>
      <c r="F18" s="49">
        <v>20.5</v>
      </c>
      <c r="G18" s="49">
        <v>10</v>
      </c>
      <c r="H18" s="84">
        <f t="shared" si="3"/>
        <v>160</v>
      </c>
      <c r="I18" s="50">
        <f>fbi(K18,Forest)</f>
        <v>59</v>
      </c>
      <c r="J18" s="51">
        <f>ROS_forest(F18,fhs_s,fhs_ns,h_ns_forest,N18,G18,waf_forest,kbdi,submodel_forest)</f>
        <v>1507.8921171646036</v>
      </c>
      <c r="K18" s="51">
        <f>Intensity_forest(J18,G18,L18,fl_s_forest,fl_ns_forest,fl_e_forest,fl_o_forest,h_o_forest,waf_forest,kbdi,submodel_forest)</f>
        <v>13828.627105417147</v>
      </c>
      <c r="L18" s="52">
        <f>Flame_height_forest(J18,h_e_forest)</f>
        <v>14.750262260437012</v>
      </c>
      <c r="M18" s="50">
        <f>Spotting_forest(J18,F18,fhs_s)</f>
        <v>2897</v>
      </c>
      <c r="N18" s="52">
        <f>FMC_Forest(C18,D18,A18,B18,submodel_forest)</f>
        <v>3.6540000000000004</v>
      </c>
      <c r="O18" s="53">
        <f>fbi(Q18,Grass)</f>
        <v>24</v>
      </c>
      <c r="P18" s="54">
        <f>ROS_grass(F18,S18,curing_grass,state_grass)</f>
        <v>3977.072265625</v>
      </c>
      <c r="Q18" s="54">
        <f>Intensity_grass(P18,fl_s_grass)</f>
        <v>9246.6927726244121</v>
      </c>
      <c r="R18" s="55">
        <f>Flame_height_grass(P18,state_grass)</f>
        <v>1.153400182723999</v>
      </c>
      <c r="S18" s="55">
        <f t="shared" si="4"/>
        <v>5</v>
      </c>
      <c r="T18" s="102">
        <f>fbi(V18,Woodland)</f>
        <v>15</v>
      </c>
      <c r="U18" s="103">
        <f>ROS_woodland(F18,X18,curing_woodland,subtype_woodland,fl_woodland,waf_woodland)</f>
        <v>1988.5361328125</v>
      </c>
      <c r="V18" s="103">
        <f t="shared" si="5"/>
        <v>4623.3463863122061</v>
      </c>
      <c r="W18" s="104">
        <f t="shared" si="6"/>
        <v>0.94010454416275024</v>
      </c>
      <c r="X18" s="104">
        <f t="shared" si="7"/>
        <v>5</v>
      </c>
      <c r="Y18" s="56">
        <f>fbi(AA18,Heath)</f>
        <v>17</v>
      </c>
      <c r="Z18" s="57">
        <f>ROS_heath(F18,h_el_heath,AC18,overstorey_heath)</f>
        <v>209.20290175442216</v>
      </c>
      <c r="AA18" s="57">
        <f>intensity_heath(Z18,fl_total_max_heath,fl_heath,0.2)</f>
        <v>2119.1595767939712</v>
      </c>
      <c r="AB18" s="58">
        <f t="shared" si="8"/>
        <v>2.0258806366008986</v>
      </c>
      <c r="AC18" s="58">
        <f>FMC_heath(C18,D18,rain_heath,tsr_heath)</f>
        <v>4.8159999999999989</v>
      </c>
      <c r="AD18" s="114">
        <f>fbi(AF18,Pine)</f>
        <v>50</v>
      </c>
      <c r="AE18" s="115">
        <f t="array" ref="AE18:AG18">fb_pine_ensemble(F18,AH18,G18,kbdi)</f>
        <v>1855.9299542354984</v>
      </c>
      <c r="AF18" s="115">
        <v>10115.725579862717</v>
      </c>
      <c r="AG18" s="116">
        <v>10.546138763427734</v>
      </c>
      <c r="AH18" s="116">
        <f t="shared" si="9"/>
        <v>4.7239398956298828</v>
      </c>
      <c r="AI18" s="81">
        <f>FBI_mallee(F18,AM18,cov_o_mallee,AK18)</f>
        <v>9</v>
      </c>
      <c r="AJ18" s="90">
        <f>ROS_mallee(F18,AM18,cov_o_mallee,h_o_mallee)</f>
        <v>1005.0135413819924</v>
      </c>
      <c r="AK18" s="90">
        <f>Intensity(AJ18,fuel_load_mallee(F18,tsf,AM18,fl_s_mallee,fl_o_mallee))</f>
        <v>1656.8838865562807</v>
      </c>
      <c r="AL18" s="89">
        <f t="shared" si="10"/>
        <v>1.7336608384298393</v>
      </c>
      <c r="AM18" s="81">
        <f>FMC_mallee(C18,D18,A18,B18,rain_mallee,tsr_mallee)</f>
        <v>5.5869999999999997</v>
      </c>
      <c r="AN18" s="123">
        <f>fbi(AO18,Spinifex)</f>
        <v>22</v>
      </c>
      <c r="AO18" s="133">
        <f>ROS_spinifex(F18,tsf,AR18,waf_spinifex,productivity_spinifex)</f>
        <v>1188.9787306436058</v>
      </c>
      <c r="AP18" s="133">
        <f>intensity_spinifex(AO18,tsf,productivity_spinifex,subtype_spinifex)</f>
        <v>4423.059272348466</v>
      </c>
      <c r="AQ18" s="129">
        <f>flame_height_spinifex(AO18,tsf,productivity_spinifex,subtype_spinifex)</f>
        <v>2.6871547698974609</v>
      </c>
      <c r="AR18" s="123">
        <f>FMC_spinifex(AWAP_uf,tsf,D18,C18,productivity_spinifex)</f>
        <v>14</v>
      </c>
    </row>
    <row r="19" spans="1:44" x14ac:dyDescent="0.3">
      <c r="A19" s="47">
        <v>43777.5</v>
      </c>
      <c r="B19" s="48">
        <v>43777.5</v>
      </c>
      <c r="C19" s="49">
        <v>34.6</v>
      </c>
      <c r="D19" s="49">
        <v>7</v>
      </c>
      <c r="E19" s="49">
        <v>300</v>
      </c>
      <c r="F19" s="49">
        <v>40.700000000000003</v>
      </c>
      <c r="G19" s="49">
        <v>10</v>
      </c>
      <c r="H19" s="84">
        <f t="shared" si="3"/>
        <v>120</v>
      </c>
      <c r="I19" s="50">
        <f>fbi(K19,Forest)</f>
        <v>94</v>
      </c>
      <c r="J19" s="51">
        <f>ROS_forest(F19,fhs_s,fhs_ns,h_ns_forest,N19,G19,waf_forest,kbdi,submodel_forest)</f>
        <v>3011.5357917207766</v>
      </c>
      <c r="K19" s="51">
        <f>Intensity_forest(J19,G19,L19,fl_s_forest,fl_ns_forest,fl_e_forest,fl_o_forest,h_o_forest,waf_forest,kbdi,submodel_forest)</f>
        <v>27618.292452269481</v>
      </c>
      <c r="L19" s="52">
        <f>Flame_height_forest(J19,h_e_forest)</f>
        <v>24.322139739990234</v>
      </c>
      <c r="M19" s="50">
        <f>Spotting_forest(J19,F19,fhs_s)</f>
        <v>4630</v>
      </c>
      <c r="N19" s="52">
        <f>FMC_Forest(C19,D19,A19,B19,submodel_forest)</f>
        <v>2.9809799999999997</v>
      </c>
      <c r="O19" s="53">
        <f>fbi(Q19,Grass)</f>
        <v>49</v>
      </c>
      <c r="P19" s="54">
        <f>ROS_grass(F19,S19,curing_grass,state_grass)</f>
        <v>7505.19189453125</v>
      </c>
      <c r="Q19" s="54">
        <f>Intensity_grass(P19,fl_s_grass)</f>
        <v>17449.570692529385</v>
      </c>
      <c r="R19" s="55">
        <f>Flame_height_grass(P19,state_grass)</f>
        <v>1.3910428285598755</v>
      </c>
      <c r="S19" s="55">
        <f t="shared" si="4"/>
        <v>5</v>
      </c>
      <c r="T19" s="102">
        <f>fbi(V19,Woodland)</f>
        <v>23</v>
      </c>
      <c r="U19" s="103">
        <f>ROS_woodland(F19,X19,curing_woodland,subtype_woodland,fl_woodland,waf_woodland)</f>
        <v>3752.595947265625</v>
      </c>
      <c r="V19" s="103">
        <f t="shared" si="5"/>
        <v>8724.7853462646926</v>
      </c>
      <c r="W19" s="104">
        <f t="shared" si="6"/>
        <v>1.1338005065917969</v>
      </c>
      <c r="X19" s="104">
        <f t="shared" si="7"/>
        <v>5</v>
      </c>
      <c r="Y19" s="56">
        <f>fbi(AA19,Heath)</f>
        <v>126</v>
      </c>
      <c r="Z19" s="57">
        <f>ROS_heath(F19,h_el_heath,AC19,overstorey_heath)</f>
        <v>5245.0221243496226</v>
      </c>
      <c r="AA19" s="57">
        <f>intensity_heath(Z19,fl_total_max_heath,fl_heath,0.2)</f>
        <v>53130.423966869334</v>
      </c>
      <c r="AB19" s="58">
        <f t="shared" si="8"/>
        <v>15.570212978148495</v>
      </c>
      <c r="AC19" s="58">
        <f>FMC_heath(C19,D19,rain_heath,tsr_heath)</f>
        <v>4.3479999999999999</v>
      </c>
      <c r="AD19" s="114">
        <f>fbi(AF19,Pine)</f>
        <v>81</v>
      </c>
      <c r="AE19" s="115">
        <f t="array" ref="AE19:AG19">fb_pine_ensemble(F19,AH19,G19,kbdi)</f>
        <v>4185.0190786129042</v>
      </c>
      <c r="AF19" s="115">
        <v>22732.789645259483</v>
      </c>
      <c r="AG19" s="116">
        <v>14.151029586791992</v>
      </c>
      <c r="AH19" s="116">
        <f t="shared" si="9"/>
        <v>4.4441399574279785</v>
      </c>
      <c r="AI19" s="81">
        <f>FBI_mallee(F19,AM19,cov_o_mallee,AK19)</f>
        <v>38</v>
      </c>
      <c r="AJ19" s="90">
        <f>ROS_mallee(F19,AM19,cov_o_mallee,h_o_mallee)</f>
        <v>5288.888967278519</v>
      </c>
      <c r="AK19" s="90">
        <f>Intensity(AJ19,fuel_load_mallee(F19,tsf,AM19,fl_s_mallee,fl_o_mallee))</f>
        <v>10930.37069525082</v>
      </c>
      <c r="AL19" s="89">
        <f t="shared" si="10"/>
        <v>5.7227943793602813</v>
      </c>
      <c r="AM19" s="81">
        <f>FMC_mallee(C19,D19,A19,B19,rain_mallee,tsr_mallee)</f>
        <v>4.8519999999999994</v>
      </c>
      <c r="AN19" s="123">
        <f>fbi(AO19,Spinifex)</f>
        <v>31</v>
      </c>
      <c r="AO19" s="133">
        <f>ROS_spinifex(F19,tsf,AR19,waf_spinifex,productivity_spinifex)</f>
        <v>3103.509024542956</v>
      </c>
      <c r="AP19" s="133">
        <f>intensity_spinifex(AO19,tsf,productivity_spinifex,subtype_spinifex)</f>
        <v>11545.205994047768</v>
      </c>
      <c r="AQ19" s="129">
        <f>flame_height_spinifex(AO19,tsf,productivity_spinifex,subtype_spinifex)</f>
        <v>3.6674458980560303</v>
      </c>
      <c r="AR19" s="123">
        <f>FMC_spinifex(AWAP_uf,tsf,D19,C19,productivity_spinifex)</f>
        <v>14</v>
      </c>
    </row>
    <row r="20" spans="1:44" x14ac:dyDescent="0.3">
      <c r="A20" s="47">
        <v>43777.541666666664</v>
      </c>
      <c r="B20" s="48">
        <v>43777.541666666664</v>
      </c>
      <c r="C20" s="49">
        <v>34.6</v>
      </c>
      <c r="D20" s="49">
        <v>7</v>
      </c>
      <c r="E20" s="49">
        <v>310</v>
      </c>
      <c r="F20" s="49">
        <v>46</v>
      </c>
      <c r="G20" s="49">
        <v>10</v>
      </c>
      <c r="H20" s="84">
        <f t="shared" si="3"/>
        <v>130</v>
      </c>
      <c r="I20" s="50">
        <f>fbi(K20,Forest)</f>
        <v>101</v>
      </c>
      <c r="J20" s="51">
        <f>ROS_forest(F20,fhs_s,fhs_ns,h_ns_forest,N20,G20,waf_forest,kbdi,submodel_forest)</f>
        <v>3382.3855300496593</v>
      </c>
      <c r="K20" s="51">
        <f>Intensity_forest(J20,G20,L20,fl_s_forest,fl_ns_forest,fl_e_forest,fl_o_forest,h_o_forest,waf_forest,kbdi,submodel_forest)</f>
        <v>31019.293548511581</v>
      </c>
      <c r="L20" s="52">
        <f>Flame_height_forest(J20,h_e_forest)</f>
        <v>26.452476501464844</v>
      </c>
      <c r="M20" s="50">
        <f>Spotting_forest(J20,F20,fhs_s)</f>
        <v>4962</v>
      </c>
      <c r="N20" s="52">
        <f>FMC_Forest(C20,D20,A20,B20,submodel_forest)</f>
        <v>2.9809799999999997</v>
      </c>
      <c r="O20" s="53">
        <f>fbi(Q20,Grass)</f>
        <v>63</v>
      </c>
      <c r="P20" s="54">
        <f>ROS_grass(F20,S20,curing_grass,state_grass)</f>
        <v>8370.1689453125</v>
      </c>
      <c r="Q20" s="54">
        <f>Intensity_grass(P20,fl_s_grass)</f>
        <v>19460.642282320587</v>
      </c>
      <c r="R20" s="55">
        <f>Flame_height_grass(P20,state_grass)</f>
        <v>1.4365322589874268</v>
      </c>
      <c r="S20" s="55">
        <f t="shared" si="4"/>
        <v>5</v>
      </c>
      <c r="T20" s="102">
        <f>fbi(V20,Woodland)</f>
        <v>26</v>
      </c>
      <c r="U20" s="103">
        <f>ROS_woodland(F20,X20,curing_woodland,subtype_woodland,fl_woodland,waf_woodland)</f>
        <v>4185.08447265625</v>
      </c>
      <c r="V20" s="103">
        <f t="shared" si="5"/>
        <v>9730.3211411602933</v>
      </c>
      <c r="W20" s="104">
        <f t="shared" si="6"/>
        <v>1.1708776950836182</v>
      </c>
      <c r="X20" s="104">
        <f t="shared" si="7"/>
        <v>5</v>
      </c>
      <c r="Y20" s="56">
        <f>fbi(AA20,Heath)</f>
        <v>143</v>
      </c>
      <c r="Z20" s="57">
        <f>ROS_heath(F20,h_el_heath,AC20,overstorey_heath)</f>
        <v>6115.5221706463781</v>
      </c>
      <c r="AA20" s="57">
        <f>intensity_heath(Z20,fl_total_max_heath,fl_heath,0.2)</f>
        <v>61948.31556511706</v>
      </c>
      <c r="AB20" s="58">
        <f t="shared" si="8"/>
        <v>17.159590941303367</v>
      </c>
      <c r="AC20" s="58">
        <f>FMC_heath(C20,D20,rain_heath,tsr_heath)</f>
        <v>4.3479999999999999</v>
      </c>
      <c r="AD20" s="114">
        <f>fbi(AF20,Pine)</f>
        <v>88</v>
      </c>
      <c r="AE20" s="115">
        <f t="array" ref="AE20:AG20">fb_pine_ensemble(F20,AH20,G20,kbdi)</f>
        <v>4713.8576769205138</v>
      </c>
      <c r="AF20" s="115">
        <v>25424.203327770341</v>
      </c>
      <c r="AG20" s="116">
        <v>14.51255989074707</v>
      </c>
      <c r="AH20" s="116">
        <f t="shared" si="9"/>
        <v>4.4441399574279785</v>
      </c>
      <c r="AI20" s="81">
        <f>FBI_mallee(F20,AM20,cov_o_mallee,AK20)</f>
        <v>40</v>
      </c>
      <c r="AJ20" s="90">
        <f>ROS_mallee(F20,AM20,cov_o_mallee,h_o_mallee)</f>
        <v>5977.6140662115931</v>
      </c>
      <c r="AK20" s="90">
        <f>Intensity(AJ20,fuel_load_mallee(F20,tsf,AM20,fl_s_mallee,fl_o_mallee))</f>
        <v>12353.7359209223</v>
      </c>
      <c r="AL20" s="89">
        <f t="shared" si="10"/>
        <v>6.183873378538248</v>
      </c>
      <c r="AM20" s="81">
        <f>FMC_mallee(C20,D20,A20,B20,rain_mallee,tsr_mallee)</f>
        <v>4.8519999999999994</v>
      </c>
      <c r="AN20" s="123">
        <f>fbi(AO20,Spinifex)</f>
        <v>33</v>
      </c>
      <c r="AO20" s="133">
        <f>ROS_spinifex(F20,tsf,AR20,waf_spinifex,productivity_spinifex)</f>
        <v>3683.2283148357615</v>
      </c>
      <c r="AP20" s="133">
        <f>intensity_spinifex(AO20,tsf,productivity_spinifex,subtype_spinifex)</f>
        <v>13701.790225710916</v>
      </c>
      <c r="AQ20" s="129">
        <f>flame_height_spinifex(AO20,tsf,productivity_spinifex,subtype_spinifex)</f>
        <v>3.8883442878723145</v>
      </c>
      <c r="AR20" s="123">
        <f>FMC_spinifex(AWAP_uf,tsf,D20,C20,productivity_spinifex)</f>
        <v>14</v>
      </c>
    </row>
    <row r="21" spans="1:44" x14ac:dyDescent="0.3">
      <c r="A21" s="47">
        <v>43777.583333333336</v>
      </c>
      <c r="B21" s="48">
        <v>43777.583333333336</v>
      </c>
      <c r="C21" s="49">
        <v>34.700000000000003</v>
      </c>
      <c r="D21" s="49">
        <v>6</v>
      </c>
      <c r="E21" s="49">
        <v>290</v>
      </c>
      <c r="F21" s="49">
        <v>31.3</v>
      </c>
      <c r="G21" s="49">
        <v>10</v>
      </c>
      <c r="H21" s="84">
        <f t="shared" si="3"/>
        <v>110</v>
      </c>
      <c r="I21" s="50">
        <f>fbi(K21,Forest)</f>
        <v>78</v>
      </c>
      <c r="J21" s="51">
        <f>ROS_forest(F21,fhs_s,fhs_ns,h_ns_forest,N21,G21,waf_forest,kbdi,submodel_forest)</f>
        <v>2333.2313944528123</v>
      </c>
      <c r="K21" s="51">
        <f>Intensity_forest(J21,G21,L21,fl_s_forest,fl_ns_forest,fl_e_forest,fl_o_forest,h_o_forest,waf_forest,kbdi,submodel_forest)</f>
        <v>21397.675959213379</v>
      </c>
      <c r="L21" s="52">
        <f>Flame_height_forest(J21,h_e_forest)</f>
        <v>20.224208831787109</v>
      </c>
      <c r="M21" s="50">
        <f>Spotting_forest(J21,F21,fhs_s)</f>
        <v>3944</v>
      </c>
      <c r="N21" s="52">
        <f>FMC_Forest(C21,D21,A21,B21,submodel_forest)</f>
        <v>2.8551099999999994</v>
      </c>
      <c r="O21" s="53">
        <f>fbi(Q21,Grass)</f>
        <v>38</v>
      </c>
      <c r="P21" s="54">
        <f>ROS_grass(F21,S21,curing_grass,state_grass)</f>
        <v>5918.43017578125</v>
      </c>
      <c r="Q21" s="54">
        <f>Intensity_grass(P21,fl_s_grass)</f>
        <v>13760.349794166614</v>
      </c>
      <c r="R21" s="55">
        <f>Flame_height_grass(P21,state_grass)</f>
        <v>1.2969095706939697</v>
      </c>
      <c r="S21" s="55">
        <f t="shared" si="4"/>
        <v>5</v>
      </c>
      <c r="T21" s="102">
        <f>fbi(V21,Woodland)</f>
        <v>19</v>
      </c>
      <c r="U21" s="103">
        <f>ROS_woodland(F21,X21,curing_woodland,subtype_woodland,fl_woodland,waf_woodland)</f>
        <v>2959.215087890625</v>
      </c>
      <c r="V21" s="103">
        <f t="shared" si="5"/>
        <v>6880.1748970833069</v>
      </c>
      <c r="W21" s="104">
        <f t="shared" si="6"/>
        <v>1.0570751428604126</v>
      </c>
      <c r="X21" s="104">
        <f t="shared" si="7"/>
        <v>5</v>
      </c>
      <c r="Y21" s="56">
        <f>fbi(AA21,Heath)</f>
        <v>65</v>
      </c>
      <c r="Z21" s="57">
        <f>ROS_heath(F21,h_el_heath,AC21,overstorey_heath)</f>
        <v>2596.0244076509725</v>
      </c>
      <c r="AA21" s="57">
        <f>intensity_heath(Z21,fl_total_max_heath,fl_heath,0.2)</f>
        <v>26296.910506157285</v>
      </c>
      <c r="AB21" s="58">
        <f t="shared" si="8"/>
        <v>9.9758968292691872</v>
      </c>
      <c r="AC21" s="58">
        <f>FMC_heath(C21,D21,rain_heath,tsr_heath)</f>
        <v>4.2039999999999997</v>
      </c>
      <c r="AD21" s="114">
        <f>fbi(AF21,Pine)</f>
        <v>64</v>
      </c>
      <c r="AE21" s="115">
        <f t="array" ref="AE21:AG21">fb_pine_ensemble(F21,AH21,G21,kbdi)</f>
        <v>2986.204979704195</v>
      </c>
      <c r="AF21" s="115">
        <v>15945.281663289245</v>
      </c>
      <c r="AG21" s="116">
        <v>11.58110237121582</v>
      </c>
      <c r="AH21" s="116">
        <f t="shared" si="9"/>
        <v>4.3232297897338867</v>
      </c>
      <c r="AI21" s="81">
        <f>FBI_mallee(F21,AM21,cov_o_mallee,AK21)</f>
        <v>35</v>
      </c>
      <c r="AJ21" s="90">
        <f>ROS_mallee(F21,AM21,cov_o_mallee,h_o_mallee)</f>
        <v>4182.8808337172522</v>
      </c>
      <c r="AK21" s="90">
        <f>Intensity(AJ21,fuel_load_mallee(F21,tsf,AM21,fl_s_mallee,fl_o_mallee))</f>
        <v>8644.6205184972023</v>
      </c>
      <c r="AL21" s="89">
        <f t="shared" si="10"/>
        <v>4.933014951630752</v>
      </c>
      <c r="AM21" s="81">
        <f>FMC_mallee(C21,D21,A21,B21,rain_mallee,tsr_mallee)</f>
        <v>4.6959999999999988</v>
      </c>
      <c r="AN21" s="123">
        <f>fbi(AO21,Spinifex)</f>
        <v>27</v>
      </c>
      <c r="AO21" s="133">
        <f>ROS_spinifex(F21,tsf,AR21,waf_spinifex,productivity_spinifex)</f>
        <v>2149.2996219973866</v>
      </c>
      <c r="AP21" s="133">
        <f>intensity_spinifex(AO21,tsf,productivity_spinifex,subtype_spinifex)</f>
        <v>7995.5001524582731</v>
      </c>
      <c r="AQ21" s="129">
        <f>flame_height_spinifex(AO21,tsf,productivity_spinifex,subtype_spinifex)</f>
        <v>3.2443630695343018</v>
      </c>
      <c r="AR21" s="123">
        <f>FMC_spinifex(AWAP_uf,tsf,D21,C21,productivity_spinifex)</f>
        <v>14</v>
      </c>
    </row>
    <row r="22" spans="1:44" x14ac:dyDescent="0.3">
      <c r="A22" s="47">
        <v>43777.625</v>
      </c>
      <c r="B22" s="48">
        <v>43777.625</v>
      </c>
      <c r="C22" s="49">
        <v>33.9</v>
      </c>
      <c r="D22" s="49">
        <v>7</v>
      </c>
      <c r="E22" s="49">
        <v>330</v>
      </c>
      <c r="F22" s="49">
        <v>20.5</v>
      </c>
      <c r="G22" s="49">
        <v>10</v>
      </c>
      <c r="H22" s="84">
        <f t="shared" si="3"/>
        <v>150</v>
      </c>
      <c r="I22" s="50">
        <f>fbi(K22,Forest)</f>
        <v>59</v>
      </c>
      <c r="J22" s="51">
        <f>ROS_forest(F22,fhs_s,fhs_ns,h_ns_forest,N22,G22,waf_forest,kbdi,submodel_forest)</f>
        <v>1507.8921171646036</v>
      </c>
      <c r="K22" s="51">
        <f>Intensity_forest(J22,G22,L22,fl_s_forest,fl_ns_forest,fl_e_forest,fl_o_forest,h_o_forest,waf_forest,kbdi,submodel_forest)</f>
        <v>13828.627105417147</v>
      </c>
      <c r="L22" s="52">
        <f>Flame_height_forest(J22,h_e_forest)</f>
        <v>14.750262260437012</v>
      </c>
      <c r="M22" s="50">
        <f>Spotting_forest(J22,F22,fhs_s)</f>
        <v>2897</v>
      </c>
      <c r="N22" s="52">
        <f>FMC_Forest(C22,D22,A22,B22,submodel_forest)</f>
        <v>2.9940699999999998</v>
      </c>
      <c r="O22" s="53">
        <f>fbi(Q22,Grass)</f>
        <v>24</v>
      </c>
      <c r="P22" s="54">
        <f>ROS_grass(F22,S22,curing_grass,state_grass)</f>
        <v>3977.072265625</v>
      </c>
      <c r="Q22" s="54">
        <f>Intensity_grass(P22,fl_s_grass)</f>
        <v>9246.6927726244121</v>
      </c>
      <c r="R22" s="55">
        <f>Flame_height_grass(P22,state_grass)</f>
        <v>1.153400182723999</v>
      </c>
      <c r="S22" s="55">
        <f t="shared" si="4"/>
        <v>5</v>
      </c>
      <c r="T22" s="102">
        <f>fbi(V22,Woodland)</f>
        <v>15</v>
      </c>
      <c r="U22" s="103">
        <f>ROS_woodland(F22,X22,curing_woodland,subtype_woodland,fl_woodland,waf_woodland)</f>
        <v>1988.5361328125</v>
      </c>
      <c r="V22" s="103">
        <f t="shared" si="5"/>
        <v>4623.3463863122061</v>
      </c>
      <c r="W22" s="104">
        <f t="shared" si="6"/>
        <v>0.94010454416275024</v>
      </c>
      <c r="X22" s="104">
        <f t="shared" si="7"/>
        <v>5</v>
      </c>
      <c r="Y22" s="56">
        <f>fbi(AA22,Heath)</f>
        <v>17</v>
      </c>
      <c r="Z22" s="57">
        <f>ROS_heath(F22,h_el_heath,AC22,overstorey_heath)</f>
        <v>217.35530195038524</v>
      </c>
      <c r="AA22" s="57">
        <f>intensity_heath(Z22,fl_total_max_heath,fl_heath,0.2)</f>
        <v>2201.7408259269891</v>
      </c>
      <c r="AB22" s="58">
        <f t="shared" si="8"/>
        <v>2.0755024848431036</v>
      </c>
      <c r="AC22" s="58">
        <f>FMC_heath(C22,D22,rain_heath,tsr_heath)</f>
        <v>4.4180000000000001</v>
      </c>
      <c r="AD22" s="114">
        <f>fbi(AF22,Pine)</f>
        <v>51</v>
      </c>
      <c r="AE22" s="115">
        <f t="array" ref="AE22:AG22">fb_pine_ensemble(F22,AH22,G22,kbdi)</f>
        <v>1932.3549266929115</v>
      </c>
      <c r="AF22" s="115">
        <v>10574.867161715516</v>
      </c>
      <c r="AG22" s="116">
        <v>10.626203536987305</v>
      </c>
      <c r="AH22" s="116">
        <f t="shared" si="9"/>
        <v>4.4589099884033203</v>
      </c>
      <c r="AI22" s="81">
        <f>FBI_mallee(F22,AM22,cov_o_mallee,AK22)</f>
        <v>29</v>
      </c>
      <c r="AJ22" s="90">
        <f>ROS_mallee(F22,AM22,cov_o_mallee,h_o_mallee)</f>
        <v>2060.9513993865639</v>
      </c>
      <c r="AK22" s="90">
        <f>Intensity(AJ22,fuel_load_mallee(F22,tsf,AM22,fl_s_mallee,fl_o_mallee))</f>
        <v>3936.2166663895582</v>
      </c>
      <c r="AL22" s="89">
        <f t="shared" si="10"/>
        <v>2.9980388775944409</v>
      </c>
      <c r="AM22" s="81">
        <f>FMC_mallee(C22,D22,A22,B22,rain_mallee,tsr_mallee)</f>
        <v>4.9219999999999997</v>
      </c>
      <c r="AN22" s="123">
        <f>fbi(AO22,Spinifex)</f>
        <v>22</v>
      </c>
      <c r="AO22" s="133">
        <f>ROS_spinifex(F22,tsf,AR22,waf_spinifex,productivity_spinifex)</f>
        <v>1188.9787306436058</v>
      </c>
      <c r="AP22" s="133">
        <f>intensity_spinifex(AO22,tsf,productivity_spinifex,subtype_spinifex)</f>
        <v>4423.059272348466</v>
      </c>
      <c r="AQ22" s="129">
        <f>flame_height_spinifex(AO22,tsf,productivity_spinifex,subtype_spinifex)</f>
        <v>2.6871547698974609</v>
      </c>
      <c r="AR22" s="123">
        <f>FMC_spinifex(AWAP_uf,tsf,D22,C22,productivity_spinifex)</f>
        <v>14</v>
      </c>
    </row>
    <row r="23" spans="1:44" x14ac:dyDescent="0.3">
      <c r="A23" s="47">
        <v>43777.666666666664</v>
      </c>
      <c r="B23" s="48">
        <v>43777.666666666664</v>
      </c>
      <c r="C23" s="49">
        <v>30.3</v>
      </c>
      <c r="D23" s="49">
        <v>20</v>
      </c>
      <c r="E23" s="49">
        <v>130</v>
      </c>
      <c r="F23" s="49">
        <v>14.8</v>
      </c>
      <c r="G23" s="49">
        <v>10</v>
      </c>
      <c r="H23" s="84">
        <f t="shared" si="3"/>
        <v>310</v>
      </c>
      <c r="I23" s="50">
        <f>fbi(K23,Forest)</f>
        <v>35</v>
      </c>
      <c r="J23" s="51">
        <f>ROS_forest(F23,fhs_s,fhs_ns,h_ns_forest,N23,G23,waf_forest,kbdi,submodel_forest)</f>
        <v>824.23411165603613</v>
      </c>
      <c r="K23" s="51">
        <f>Intensity_forest(J23,G23,L23,fl_s_forest,fl_ns_forest,fl_e_forest,fl_o_forest,h_o_forest,waf_forest,kbdi,submodel_forest)</f>
        <v>6600.741307782273</v>
      </c>
      <c r="L23" s="52">
        <f>Flame_height_forest(J23,h_e_forest)</f>
        <v>9.5310907363891602</v>
      </c>
      <c r="M23" s="50">
        <f>Spotting_forest(J23,F23,fhs_s)</f>
        <v>1577</v>
      </c>
      <c r="N23" s="52">
        <f>FMC_Forest(C23,D23,A23,B23,submodel_forest)</f>
        <v>4.6733900000000004</v>
      </c>
      <c r="O23" s="53">
        <f>fbi(Q23,Grass)</f>
        <v>17</v>
      </c>
      <c r="P23" s="54">
        <f>ROS_grass(F23,S23,curing_grass,state_grass)</f>
        <v>2540.278564453125</v>
      </c>
      <c r="Q23" s="54">
        <f>Intensity_grass(P23,fl_s_grass)</f>
        <v>5906.1475058940341</v>
      </c>
      <c r="R23" s="55">
        <f>Flame_height_grass(P23,state_grass)</f>
        <v>1.0105290412902832</v>
      </c>
      <c r="S23" s="55">
        <f t="shared" si="4"/>
        <v>6.1284999847412109</v>
      </c>
      <c r="T23" s="102">
        <f>fbi(V23,Woodland)</f>
        <v>11</v>
      </c>
      <c r="U23" s="103">
        <f>ROS_woodland(F23,X23,curing_woodland,subtype_woodland,fl_woodland,waf_woodland)</f>
        <v>1270.1392822265625</v>
      </c>
      <c r="V23" s="103">
        <f t="shared" si="5"/>
        <v>2953.0737529470171</v>
      </c>
      <c r="W23" s="104">
        <f t="shared" si="6"/>
        <v>0.82365423440933228</v>
      </c>
      <c r="X23" s="104">
        <f t="shared" si="7"/>
        <v>6.1284999847412109</v>
      </c>
      <c r="Y23" s="56">
        <f>fbi(AA23,Heath)</f>
        <v>9</v>
      </c>
      <c r="Z23" s="57">
        <f>ROS_heath(F23,h_el_heath,AC23,overstorey_heath)</f>
        <v>30.084107012511531</v>
      </c>
      <c r="AA23" s="57">
        <f>intensity_heath(Z23,fl_total_max_heath,fl_heath,0.2)</f>
        <v>304.74253918187281</v>
      </c>
      <c r="AB23" s="58">
        <f t="shared" si="8"/>
        <v>0.59358360461112136</v>
      </c>
      <c r="AC23" s="58">
        <f>FMC_heath(C23,D23,rain_heath,tsr_heath)</f>
        <v>6.52</v>
      </c>
      <c r="AD23" s="114">
        <f>fbi(AF23,Pine)</f>
        <v>17</v>
      </c>
      <c r="AE23" s="115">
        <f t="array" ref="AE23:AG23">fb_pine_ensemble(F23,AH23,G23,kbdi)</f>
        <v>679.61248778533115</v>
      </c>
      <c r="AF23" s="115">
        <v>2313.1918142970999</v>
      </c>
      <c r="AG23" s="116">
        <v>4.194211483001709</v>
      </c>
      <c r="AH23" s="116">
        <f t="shared" si="9"/>
        <v>6.0792698860168457</v>
      </c>
      <c r="AI23" s="81">
        <f>FBI_mallee(F23,AM23,cov_o_mallee,AK23)</f>
        <v>6</v>
      </c>
      <c r="AJ23" s="90">
        <f>ROS_mallee(F23,AM23,cov_o_mallee,h_o_mallee)</f>
        <v>406.79037353651961</v>
      </c>
      <c r="AK23" s="90">
        <f>Intensity(AJ23,fuel_load_mallee(F23,tsf,AM23,fl_s_mallee,fl_o_mallee))</f>
        <v>630.525104036421</v>
      </c>
      <c r="AL23" s="89">
        <f t="shared" si="10"/>
        <v>0.94051096694032121</v>
      </c>
      <c r="AM23" s="81">
        <f>FMC_mallee(C23,D23,A23,B23,rain_mallee,tsr_mallee)</f>
        <v>7.18</v>
      </c>
      <c r="AN23" s="123">
        <f>fbi(AO23,Spinifex)</f>
        <v>18</v>
      </c>
      <c r="AO23" s="133">
        <f>ROS_spinifex(F23,tsf,AR23,waf_spinifex,productivity_spinifex)</f>
        <v>753.74869618677337</v>
      </c>
      <c r="AP23" s="133">
        <f>intensity_spinifex(AO23,tsf,productivity_spinifex,subtype_spinifex)</f>
        <v>2803.9821687010462</v>
      </c>
      <c r="AQ23" s="129">
        <f>flame_height_spinifex(AO23,tsf,productivity_spinifex,subtype_spinifex)</f>
        <v>2.3440017700195313</v>
      </c>
      <c r="AR23" s="123">
        <f>FMC_spinifex(AWAP_uf,tsf,D23,C23,productivity_spinifex)</f>
        <v>14</v>
      </c>
    </row>
    <row r="24" spans="1:44" x14ac:dyDescent="0.3">
      <c r="A24" s="47">
        <v>43777.708333333336</v>
      </c>
      <c r="B24" s="48">
        <v>43777.708333333336</v>
      </c>
      <c r="C24" s="49">
        <v>28.1</v>
      </c>
      <c r="D24" s="49">
        <v>34</v>
      </c>
      <c r="E24" s="49">
        <v>140</v>
      </c>
      <c r="F24" s="49">
        <v>13</v>
      </c>
      <c r="G24" s="49">
        <v>10</v>
      </c>
      <c r="H24" s="84">
        <f t="shared" si="3"/>
        <v>320</v>
      </c>
      <c r="I24" s="50">
        <f>fbi(K24,Forest)</f>
        <v>22</v>
      </c>
      <c r="J24" s="51">
        <f>ROS_forest(F24,fhs_s,fhs_ns,h_ns_forest,N24,G24,waf_forest,kbdi,submodel_forest)</f>
        <v>433.19713149633043</v>
      </c>
      <c r="K24" s="51">
        <f>Intensity_forest(J24,G24,L24,fl_s_forest,fl_ns_forest,fl_e_forest,fl_o_forest,h_o_forest,waf_forest,kbdi,submodel_forest)</f>
        <v>3469.1869213414598</v>
      </c>
      <c r="L24" s="52">
        <f>Flame_height_forest(J24,h_e_forest)</f>
        <v>5.9863443374633789</v>
      </c>
      <c r="M24" s="50">
        <f>Spotting_forest(J24,F24,fhs_s)</f>
        <v>475</v>
      </c>
      <c r="N24" s="52">
        <f>FMC_Forest(C24,D24,A24,B24,submodel_forest)</f>
        <v>6.4505299999999997</v>
      </c>
      <c r="O24" s="53">
        <f>fbi(Q24,Grass)</f>
        <v>13</v>
      </c>
      <c r="P24" s="54">
        <f>ROS_grass(F24,S24,curing_grass,state_grass)</f>
        <v>1711.3140869140625</v>
      </c>
      <c r="Q24" s="54">
        <f>Intensity_grass(P24,fl_s_grass)</f>
        <v>3978.8051466728516</v>
      </c>
      <c r="R24" s="55">
        <f>Flame_height_grass(P24,state_grass)</f>
        <v>0.89937549829483032</v>
      </c>
      <c r="S24" s="55">
        <f t="shared" si="4"/>
        <v>8.511500358581543</v>
      </c>
      <c r="T24" s="102">
        <f>fbi(V24,Woodland)</f>
        <v>9</v>
      </c>
      <c r="U24" s="103">
        <f>ROS_woodland(F24,X24,curing_woodland,subtype_woodland,fl_woodland,waf_woodland)</f>
        <v>855.65704345703125</v>
      </c>
      <c r="V24" s="103">
        <f t="shared" si="5"/>
        <v>1989.4025733364258</v>
      </c>
      <c r="W24" s="104">
        <f t="shared" si="6"/>
        <v>0.73305606842041016</v>
      </c>
      <c r="X24" s="104">
        <f t="shared" si="7"/>
        <v>8.511500358581543</v>
      </c>
      <c r="Y24" s="56">
        <f>fbi(AA24,Heath)</f>
        <v>7</v>
      </c>
      <c r="Z24" s="57">
        <f>ROS_heath(F24,h_el_heath,AC24,overstorey_heath)</f>
        <v>12.53386903181652</v>
      </c>
      <c r="AA24" s="57">
        <f>intensity_heath(Z24,fl_total_max_heath,fl_heath,0.2)</f>
        <v>126.96414997261816</v>
      </c>
      <c r="AB24" s="58">
        <f t="shared" si="8"/>
        <v>0.34102200088142115</v>
      </c>
      <c r="AC24" s="58">
        <f>FMC_heath(C24,D24,rain_heath,tsr_heath)</f>
        <v>8.6160000000000014</v>
      </c>
      <c r="AD24" s="114">
        <f>fbi(AF24,Pine)</f>
        <v>15</v>
      </c>
      <c r="AE24" s="115">
        <f t="array" ref="AE24:AG24">fb_pine_ensemble(F24,AH24,G24,kbdi)</f>
        <v>479.57916071674629</v>
      </c>
      <c r="AF24" s="115">
        <v>1568.1564197236455</v>
      </c>
      <c r="AG24" s="116">
        <v>3.9104411602020264</v>
      </c>
      <c r="AH24" s="116">
        <f t="shared" si="9"/>
        <v>7.7888898849487305</v>
      </c>
      <c r="AI24" s="81">
        <f>FBI_mallee(F24,AM24,cov_o_mallee,AK24)</f>
        <v>3</v>
      </c>
      <c r="AJ24" s="90">
        <f>ROS_mallee(F24,AM24,cov_o_mallee,h_o_mallee)</f>
        <v>0</v>
      </c>
      <c r="AK24" s="90">
        <f>Intensity(AJ24,fuel_load_mallee(F24,tsf,AM24,fl_s_mallee,fl_o_mallee))</f>
        <v>0</v>
      </c>
      <c r="AL24" s="89">
        <f t="shared" si="10"/>
        <v>0</v>
      </c>
      <c r="AM24" s="81">
        <f>FMC_mallee(C24,D24,A24,B24,rain_mallee,tsr_mallee)</f>
        <v>9.4440000000000008</v>
      </c>
      <c r="AN24" s="123">
        <f>fbi(AO24,Spinifex)</f>
        <v>17</v>
      </c>
      <c r="AO24" s="133">
        <f>ROS_spinifex(F24,tsf,AR24,waf_spinifex,productivity_spinifex)</f>
        <v>609.62262648355227</v>
      </c>
      <c r="AP24" s="133">
        <f>intensity_spinifex(AO24,tsf,productivity_spinifex,subtype_spinifex)</f>
        <v>2267.8261109363289</v>
      </c>
      <c r="AQ24" s="129">
        <f>flame_height_spinifex(AO24,tsf,productivity_spinifex,subtype_spinifex)</f>
        <v>2.2054941654205322</v>
      </c>
      <c r="AR24" s="123">
        <f>FMC_spinifex(AWAP_uf,tsf,D24,C24,productivity_spinifex)</f>
        <v>14.2561076</v>
      </c>
    </row>
    <row r="25" spans="1:44" x14ac:dyDescent="0.3">
      <c r="A25" s="21">
        <v>43777.75</v>
      </c>
      <c r="B25" s="22">
        <v>43777.75</v>
      </c>
      <c r="C25" s="23">
        <v>26.3</v>
      </c>
      <c r="D25" s="23">
        <v>37</v>
      </c>
      <c r="E25" s="23">
        <v>210</v>
      </c>
      <c r="F25" s="23">
        <v>16.600000000000001</v>
      </c>
      <c r="G25" s="23">
        <v>10</v>
      </c>
      <c r="H25" s="84">
        <f t="shared" si="3"/>
        <v>30</v>
      </c>
      <c r="I25" s="50">
        <f>fbi(K25,Forest)</f>
        <v>20</v>
      </c>
      <c r="J25" s="51">
        <f>ROS_forest(F25,fhs_s,fhs_ns,h_ns_forest,N25,G25,waf_forest,kbdi,submodel_forest)</f>
        <v>374.74848935561346</v>
      </c>
      <c r="K25" s="51">
        <f>Intensity_forest(J25,G25,L25,fl_s_forest,fl_ns_forest,fl_e_forest,fl_o_forest,h_o_forest,waf_forest,kbdi,submodel_forest)</f>
        <v>3001.1107265976352</v>
      </c>
      <c r="L25" s="52">
        <f>Flame_height_forest(J25,h_e_forest)</f>
        <v>5.3907842636108398</v>
      </c>
      <c r="M25" s="50">
        <f>Spotting_forest(J25,F25,fhs_s)</f>
        <v>203</v>
      </c>
      <c r="N25" s="52">
        <f>FMC_Forest(C25,D25,A25,B25,submodel_forest)</f>
        <v>8.6694999999999993</v>
      </c>
      <c r="O25" s="53">
        <f>fbi(Q25,Grass)</f>
        <v>15</v>
      </c>
      <c r="P25" s="54">
        <f>ROS_grass(F25,S25,curing_grass,state_grass)</f>
        <v>2030.0810546875</v>
      </c>
      <c r="Q25" s="54">
        <f>Intensity_grass(P25,fl_s_grass)</f>
        <v>4719.9383271127681</v>
      </c>
      <c r="R25" s="55">
        <f>Flame_height_grass(P25,state_grass)</f>
        <v>0.94585645198822021</v>
      </c>
      <c r="S25" s="55">
        <f t="shared" si="4"/>
        <v>9.2945003509521484</v>
      </c>
      <c r="T25" s="102">
        <f>fbi(V25,Woodland)</f>
        <v>10</v>
      </c>
      <c r="U25" s="103">
        <f>ROS_woodland(F25,X25,curing_woodland,subtype_woodland,fl_woodland,waf_woodland)</f>
        <v>1015.04052734375</v>
      </c>
      <c r="V25" s="103">
        <f t="shared" si="5"/>
        <v>2359.969163556384</v>
      </c>
      <c r="W25" s="104">
        <f t="shared" si="6"/>
        <v>0.77094143629074097</v>
      </c>
      <c r="X25" s="104">
        <f t="shared" si="7"/>
        <v>9.2945003509521484</v>
      </c>
      <c r="Y25" s="56">
        <f>fbi(AA25,Heath)</f>
        <v>10</v>
      </c>
      <c r="Z25" s="57">
        <f>ROS_heath(F25,h_el_heath,AC25,overstorey_heath)</f>
        <v>36.527475638174117</v>
      </c>
      <c r="AA25" s="57">
        <f>intensity_heath(Z25,fl_total_max_heath,fl_heath,0.2)</f>
        <v>370.0118361915068</v>
      </c>
      <c r="AB25" s="58">
        <f t="shared" si="8"/>
        <v>0.67117031721133891</v>
      </c>
      <c r="AC25" s="58">
        <f>FMC_heath(C25,D25,rain_heath,tsr_heath)</f>
        <v>9.1979999999999986</v>
      </c>
      <c r="AD25" s="114">
        <f>fbi(AF25,Pine)</f>
        <v>16</v>
      </c>
      <c r="AE25" s="115">
        <f t="array" ref="AE25:AG25">fb_pine_ensemble(F25,AH25,G25,kbdi)</f>
        <v>599.93039450762762</v>
      </c>
      <c r="AF25" s="115">
        <v>1874.5646039841811</v>
      </c>
      <c r="AG25" s="116">
        <v>4.0898985862731934</v>
      </c>
      <c r="AH25" s="116">
        <f t="shared" si="9"/>
        <v>8.1832704544067383</v>
      </c>
      <c r="AI25" s="81">
        <f>FBI_mallee(F25,AM25,cov_o_mallee,AK25)</f>
        <v>0</v>
      </c>
      <c r="AJ25" s="90">
        <f>ROS_mallee(F25,AM25,cov_o_mallee,h_o_mallee)</f>
        <v>0</v>
      </c>
      <c r="AK25" s="90">
        <f>Intensity(AJ25,fuel_load_mallee(F25,tsf,AM25,fl_s_mallee,fl_o_mallee))</f>
        <v>0</v>
      </c>
      <c r="AL25" s="89">
        <f t="shared" si="10"/>
        <v>0</v>
      </c>
      <c r="AM25" s="81">
        <f>FMC_mallee(C25,D25,A25,B25,rain_mallee,tsr_mallee)</f>
        <v>11.060999999999998</v>
      </c>
      <c r="AN25" s="123">
        <f>fbi(AO25,Spinifex)</f>
        <v>19</v>
      </c>
      <c r="AO25" s="133">
        <f>ROS_spinifex(F25,tsf,AR25,waf_spinifex,productivity_spinifex)</f>
        <v>808.72992555543055</v>
      </c>
      <c r="AP25" s="133">
        <f>intensity_spinifex(AO25,tsf,productivity_spinifex,subtype_spinifex)</f>
        <v>3008.5150422475044</v>
      </c>
      <c r="AQ25" s="129">
        <f>flame_height_spinifex(AO25,tsf,productivity_spinifex,subtype_spinifex)</f>
        <v>2.3927757740020752</v>
      </c>
      <c r="AR25" s="123">
        <f>FMC_spinifex(AWAP_uf,tsf,D25,C25,productivity_spinifex)</f>
        <v>14.7630398</v>
      </c>
    </row>
    <row r="26" spans="1:44" x14ac:dyDescent="0.3">
      <c r="A26" s="21">
        <v>43777.791666666664</v>
      </c>
      <c r="B26" s="22">
        <v>43777.791666666664</v>
      </c>
      <c r="C26" s="23">
        <v>25.1</v>
      </c>
      <c r="D26" s="23">
        <v>40</v>
      </c>
      <c r="E26" s="23">
        <v>170</v>
      </c>
      <c r="F26" s="23">
        <v>7.6</v>
      </c>
      <c r="G26" s="23">
        <v>10</v>
      </c>
      <c r="H26" s="84">
        <f t="shared" si="3"/>
        <v>350</v>
      </c>
      <c r="I26" s="50">
        <f>fbi(K26,Forest)</f>
        <v>12</v>
      </c>
      <c r="J26" s="51">
        <f>ROS_forest(F26,fhs_s,fhs_ns,h_ns_forest,N26,G26,waf_forest,kbdi,submodel_forest)</f>
        <v>99.832720174121832</v>
      </c>
      <c r="K26" s="51">
        <f>Intensity_forest(J26,G26,L26,fl_s_forest,fl_ns_forest,fl_e_forest,fl_o_forest,h_o_forest,waf_forest,kbdi,submodel_forest)</f>
        <v>799.49367613238451</v>
      </c>
      <c r="L26" s="52">
        <f>Flame_height_forest(J26,h_e_forest)</f>
        <v>2.0716307163238525</v>
      </c>
      <c r="M26" s="50">
        <f>Spotting_forest(J26,F26,fhs_s)</f>
        <v>50</v>
      </c>
      <c r="N26" s="52">
        <f>FMC_Forest(C26,D26,A26,B26,submodel_forest)</f>
        <v>9.7876700000000003</v>
      </c>
      <c r="O26" s="53">
        <f>fbi(Q26,Grass)</f>
        <v>9</v>
      </c>
      <c r="P26" s="54">
        <f>ROS_grass(F26,S26,curing_grass,state_grass)</f>
        <v>755.640625</v>
      </c>
      <c r="Q26" s="54">
        <f>Intensity_grass(P26,fl_s_grass)</f>
        <v>1756.8644065839858</v>
      </c>
      <c r="R26" s="55">
        <f>Flame_height_grass(P26,state_grass)</f>
        <v>0.70666211843490601</v>
      </c>
      <c r="S26" s="55">
        <f t="shared" si="4"/>
        <v>9.9545001983642578</v>
      </c>
      <c r="T26" s="102">
        <f>fbi(V26,Woodland)</f>
        <v>7</v>
      </c>
      <c r="U26" s="103">
        <f>ROS_woodland(F26,X26,curing_woodland,subtype_woodland,fl_woodland,waf_woodland)</f>
        <v>377.8203125</v>
      </c>
      <c r="V26" s="103">
        <f t="shared" si="5"/>
        <v>878.43220329199289</v>
      </c>
      <c r="W26" s="104">
        <f t="shared" si="6"/>
        <v>0.57598072290420532</v>
      </c>
      <c r="X26" s="104">
        <f t="shared" si="7"/>
        <v>9.9545001983642578</v>
      </c>
      <c r="Y26" s="56">
        <f>fbi(AA26,Heath)</f>
        <v>1</v>
      </c>
      <c r="Z26" s="57">
        <f>ROS_heath(F26,h_el_heath,AC26,overstorey_heath)</f>
        <v>1.513245063265835</v>
      </c>
      <c r="AA26" s="57">
        <f>intensity_heath(Z26,fl_total_max_heath,fl_heath,0.2)</f>
        <v>15.32869640412723</v>
      </c>
      <c r="AB26" s="58">
        <f t="shared" si="8"/>
        <v>8.9449323831587421E-2</v>
      </c>
      <c r="AC26" s="58">
        <f>FMC_heath(C26,D26,rain_heath,tsr_heath)</f>
        <v>9.7200000000000006</v>
      </c>
      <c r="AD26" s="114">
        <f>fbi(AF26,Pine)</f>
        <v>6</v>
      </c>
      <c r="AE26" s="115">
        <f t="array" ref="AE26:AG26">fb_pine_ensemble(F26,AH26,G26,kbdi)</f>
        <v>159.40083531096752</v>
      </c>
      <c r="AF26" s="115">
        <v>169.4540056733162</v>
      </c>
      <c r="AG26" s="116">
        <v>0.74645483493804932</v>
      </c>
      <c r="AH26" s="116">
        <f t="shared" si="9"/>
        <v>8.5649900436401367</v>
      </c>
      <c r="AI26" s="81">
        <f>FBI_mallee(F26,AM26,cov_o_mallee,AK26)</f>
        <v>0</v>
      </c>
      <c r="AJ26" s="90">
        <f>ROS_mallee(F26,AM26,cov_o_mallee,h_o_mallee)</f>
        <v>0</v>
      </c>
      <c r="AK26" s="90">
        <f>Intensity(AJ26,fuel_load_mallee(F26,tsf,AM26,fl_s_mallee,fl_o_mallee))</f>
        <v>0</v>
      </c>
      <c r="AL26" s="89">
        <f t="shared" si="10"/>
        <v>0</v>
      </c>
      <c r="AM26" s="81">
        <f>FMC_mallee(C26,D26,A26,B26,rain_mallee,tsr_mallee)</f>
        <v>11.700000000000001</v>
      </c>
      <c r="AN26" s="123">
        <f>fbi(AO26,Spinifex)</f>
        <v>13</v>
      </c>
      <c r="AO26" s="133">
        <f>ROS_spinifex(F26,tsf,AR26,waf_spinifex,productivity_spinifex)</f>
        <v>256.24049579871331</v>
      </c>
      <c r="AP26" s="133">
        <f>intensity_spinifex(AO26,tsf,productivity_spinifex,subtype_spinifex)</f>
        <v>953.22722911970391</v>
      </c>
      <c r="AQ26" s="129">
        <f>flame_height_spinifex(AO26,tsf,productivity_spinifex,subtype_spinifex)</f>
        <v>1.7530910968780518</v>
      </c>
      <c r="AR26" s="123">
        <f>FMC_spinifex(AWAP_uf,tsf,D26,C26,productivity_spinifex)</f>
        <v>15.2611016</v>
      </c>
    </row>
    <row r="27" spans="1:44" x14ac:dyDescent="0.3">
      <c r="A27" s="21">
        <v>43777.833333333336</v>
      </c>
      <c r="B27" s="22">
        <v>43777.833333333336</v>
      </c>
      <c r="C27" s="23">
        <v>25.8</v>
      </c>
      <c r="D27" s="23">
        <v>34</v>
      </c>
      <c r="E27" s="23">
        <v>270</v>
      </c>
      <c r="F27" s="23">
        <v>7.6</v>
      </c>
      <c r="G27" s="23">
        <v>10</v>
      </c>
      <c r="H27" s="84">
        <f t="shared" si="3"/>
        <v>90</v>
      </c>
      <c r="I27" s="50">
        <f>fbi(K27,Forest)</f>
        <v>12</v>
      </c>
      <c r="J27" s="51">
        <f>ROS_forest(F27,fhs_s,fhs_ns,h_ns_forest,N27,G27,waf_forest,kbdi,submodel_forest)</f>
        <v>121.85571957890721</v>
      </c>
      <c r="K27" s="51">
        <f>Intensity_forest(J27,G27,L27,fl_s_forest,fl_ns_forest,fl_e_forest,fl_o_forest,h_o_forest,waf_forest,kbdi,submodel_forest)</f>
        <v>975.86119093999218</v>
      </c>
      <c r="L27" s="52">
        <f>Flame_height_forest(J27,h_e_forest)</f>
        <v>2.3927903175354004</v>
      </c>
      <c r="M27" s="50">
        <f>Spotting_forest(J27,F27,fhs_s)</f>
        <v>50</v>
      </c>
      <c r="N27" s="52">
        <f>FMC_Forest(C27,D27,A27,B27,submodel_forest)</f>
        <v>8.5658600000000007</v>
      </c>
      <c r="O27" s="53">
        <f>fbi(Q27,Grass)</f>
        <v>9</v>
      </c>
      <c r="P27" s="54">
        <f>ROS_grass(F27,S27,curing_grass,state_grass)</f>
        <v>839.23260498046875</v>
      </c>
      <c r="Q27" s="54">
        <f>Intensity_grass(P27,fl_s_grass)</f>
        <v>1951.2157548900234</v>
      </c>
      <c r="R27" s="55">
        <f>Flame_height_grass(P27,state_grass)</f>
        <v>0.72887670993804932</v>
      </c>
      <c r="S27" s="55">
        <f t="shared" si="4"/>
        <v>8.9829998016357422</v>
      </c>
      <c r="T27" s="102">
        <f>fbi(V27,Woodland)</f>
        <v>7</v>
      </c>
      <c r="U27" s="103">
        <f>ROS_woodland(F27,X27,curing_woodland,subtype_woodland,fl_woodland,waf_woodland)</f>
        <v>419.61630249023438</v>
      </c>
      <c r="V27" s="103">
        <f t="shared" si="5"/>
        <v>975.6078774450117</v>
      </c>
      <c r="W27" s="104">
        <f t="shared" si="6"/>
        <v>0.59408724308013916</v>
      </c>
      <c r="X27" s="104">
        <f t="shared" si="7"/>
        <v>8.9829998016357422</v>
      </c>
      <c r="Y27" s="56">
        <f>fbi(AA27,Heath)</f>
        <v>2</v>
      </c>
      <c r="Z27" s="57">
        <f>ROS_heath(F27,h_el_heath,AC27,overstorey_heath)</f>
        <v>1.7668492082478851</v>
      </c>
      <c r="AA27" s="57">
        <f>intensity_heath(Z27,fl_total_max_heath,fl_heath,0.2)</f>
        <v>17.897626605603261</v>
      </c>
      <c r="AB27" s="58">
        <f t="shared" si="8"/>
        <v>9.8666965463567971E-2</v>
      </c>
      <c r="AC27" s="58">
        <f>FMC_heath(C27,D27,rain_heath,tsr_heath)</f>
        <v>8.8460000000000019</v>
      </c>
      <c r="AD27" s="114">
        <f>fbi(AF27,Pine)</f>
        <v>6</v>
      </c>
      <c r="AE27" s="115">
        <f t="array" ref="AE27:AG27">fb_pine_ensemble(F27,AH27,G27,kbdi)</f>
        <v>168.75169105454904</v>
      </c>
      <c r="AF27" s="115">
        <v>178.92828091738886</v>
      </c>
      <c r="AG27" s="116">
        <v>0.76298046112060547</v>
      </c>
      <c r="AH27" s="116">
        <f t="shared" si="9"/>
        <v>7.8374199867248535</v>
      </c>
      <c r="AI27" s="81">
        <f>FBI_mallee(F27,AM27,cov_o_mallee,AK27)</f>
        <v>0</v>
      </c>
      <c r="AJ27" s="90">
        <f>ROS_mallee(F27,AM27,cov_o_mallee,h_o_mallee)</f>
        <v>0</v>
      </c>
      <c r="AK27" s="90">
        <f>Intensity(AJ27,fuel_load_mallee(F27,tsf,AM27,fl_s_mallee,fl_o_mallee))</f>
        <v>0</v>
      </c>
      <c r="AL27" s="89">
        <f t="shared" si="10"/>
        <v>0</v>
      </c>
      <c r="AM27" s="81">
        <f>FMC_mallee(C27,D27,A27,B27,rain_mallee,tsr_mallee)</f>
        <v>10.592000000000001</v>
      </c>
      <c r="AN27" s="123">
        <f>fbi(AO27,Spinifex)</f>
        <v>14</v>
      </c>
      <c r="AO27" s="133">
        <f>ROS_spinifex(F27,tsf,AR27,waf_spinifex,productivity_spinifex)</f>
        <v>286.51984294576766</v>
      </c>
      <c r="AP27" s="133">
        <f>intensity_spinifex(AO27,tsf,productivity_spinifex,subtype_spinifex)</f>
        <v>1065.8678876173885</v>
      </c>
      <c r="AQ27" s="129">
        <f>flame_height_spinifex(AO27,tsf,productivity_spinifex,subtype_spinifex)</f>
        <v>1.8024934530258179</v>
      </c>
      <c r="AR27" s="123">
        <f>FMC_spinifex(AWAP_uf,tsf,D27,C27,productivity_spinifex)</f>
        <v>14.290110800000001</v>
      </c>
    </row>
    <row r="28" spans="1:44" x14ac:dyDescent="0.3">
      <c r="A28" s="21">
        <v>43777.875</v>
      </c>
      <c r="B28" s="22">
        <v>43777.875</v>
      </c>
      <c r="C28" s="23">
        <v>29.6</v>
      </c>
      <c r="D28" s="23">
        <v>15</v>
      </c>
      <c r="E28" s="23">
        <v>290</v>
      </c>
      <c r="F28" s="23">
        <v>20.5</v>
      </c>
      <c r="G28" s="23">
        <v>10</v>
      </c>
      <c r="H28" s="84">
        <f t="shared" si="3"/>
        <v>110</v>
      </c>
      <c r="I28" s="50">
        <f>fbi(K28,Forest)</f>
        <v>48</v>
      </c>
      <c r="J28" s="51">
        <f>ROS_forest(F28,fhs_s,fhs_ns,h_ns_forest,N28,G28,waf_forest,kbdi,submodel_forest)</f>
        <v>1215.3732398765283</v>
      </c>
      <c r="K28" s="51">
        <f>Intensity_forest(J28,G28,L28,fl_s_forest,fl_ns_forest,fl_e_forest,fl_o_forest,h_o_forest,waf_forest,kbdi,submodel_forest)</f>
        <v>9733.11372991805</v>
      </c>
      <c r="L28" s="52">
        <f>Flame_height_forest(J28,h_e_forest)</f>
        <v>12.62069034576416</v>
      </c>
      <c r="M28" s="50">
        <f>Spotting_forest(J28,F28,fhs_s)</f>
        <v>2306</v>
      </c>
      <c r="N28" s="52">
        <f>FMC_Forest(C28,D28,A28,B28,submodel_forest)</f>
        <v>4.6203199999999995</v>
      </c>
      <c r="O28" s="53">
        <f>fbi(Q28,Grass)</f>
        <v>23</v>
      </c>
      <c r="P28" s="54">
        <f>ROS_grass(F28,S28,curing_grass,state_grass)</f>
        <v>3734.783935546875</v>
      </c>
      <c r="Q28" s="54">
        <f>Intensity_grass(P28,fl_s_grass)</f>
        <v>8683.3724201156656</v>
      </c>
      <c r="R28" s="55">
        <f>Flame_height_grass(P28,state_grass)</f>
        <v>1.1322102546691895</v>
      </c>
      <c r="S28" s="55">
        <f t="shared" si="4"/>
        <v>5.5819997787475586</v>
      </c>
      <c r="T28" s="102">
        <f>fbi(V28,Woodland)</f>
        <v>14</v>
      </c>
      <c r="U28" s="103">
        <f>ROS_woodland(F28,X28,curing_woodland,subtype_woodland,fl_woodland,waf_woodland)</f>
        <v>1867.3919677734375</v>
      </c>
      <c r="V28" s="103">
        <f t="shared" si="5"/>
        <v>4341.6862100578328</v>
      </c>
      <c r="W28" s="104">
        <f t="shared" si="6"/>
        <v>0.92283326387405396</v>
      </c>
      <c r="X28" s="104">
        <f t="shared" si="7"/>
        <v>5.5819997787475586</v>
      </c>
      <c r="Y28" s="56">
        <f>fbi(AA28,Heath)</f>
        <v>16</v>
      </c>
      <c r="Z28" s="57">
        <f>ROS_heath(F28,h_el_heath,AC28,overstorey_heath)</f>
        <v>186.77850940073324</v>
      </c>
      <c r="AA28" s="57">
        <f>intensity_heath(Z28,fl_total_max_heath,fl_heath,0.2)</f>
        <v>1892.0075372592189</v>
      </c>
      <c r="AB28" s="58">
        <f t="shared" si="8"/>
        <v>1.8855776757116918</v>
      </c>
      <c r="AC28" s="58">
        <f>FMC_heath(C28,D28,rain_heath,tsr_heath)</f>
        <v>5.92</v>
      </c>
      <c r="AD28" s="114">
        <f>fbi(AF28,Pine)</f>
        <v>45</v>
      </c>
      <c r="AE28" s="115">
        <f t="array" ref="AE28:AG28">fb_pine_ensemble(F28,AH28,G28,kbdi)</f>
        <v>1650.681974663273</v>
      </c>
      <c r="AF28" s="115">
        <v>8884.9372276636641</v>
      </c>
      <c r="AG28" s="116">
        <v>10.321828842163086</v>
      </c>
      <c r="AH28" s="116">
        <f t="shared" si="9"/>
        <v>5.5000400543212891</v>
      </c>
      <c r="AI28" s="81">
        <f>FBI_mallee(F28,AM28,cov_o_mallee,AK28)</f>
        <v>6</v>
      </c>
      <c r="AJ28" s="90">
        <f>ROS_mallee(F28,AM28,cov_o_mallee,h_o_mallee)</f>
        <v>582.21378321504221</v>
      </c>
      <c r="AK28" s="90">
        <f>Intensity(AJ28,fuel_load_mallee(F28,tsf,AM28,fl_s_mallee,fl_o_mallee))</f>
        <v>902.4313998427159</v>
      </c>
      <c r="AL28" s="89">
        <f t="shared" si="10"/>
        <v>1.1801288930943548</v>
      </c>
      <c r="AM28" s="81">
        <f>FMC_mallee(C28,D28,A28,B28,rain_mallee,tsr_mallee)</f>
        <v>6.9249999999999998</v>
      </c>
      <c r="AN28" s="123">
        <f>fbi(AO28,Spinifex)</f>
        <v>22</v>
      </c>
      <c r="AO28" s="133">
        <f>ROS_spinifex(F28,tsf,AR28,waf_spinifex,productivity_spinifex)</f>
        <v>1188.9787306436058</v>
      </c>
      <c r="AP28" s="133">
        <f>intensity_spinifex(AO28,tsf,productivity_spinifex,subtype_spinifex)</f>
        <v>4423.059272348466</v>
      </c>
      <c r="AQ28" s="129">
        <f>flame_height_spinifex(AO28,tsf,productivity_spinifex,subtype_spinifex)</f>
        <v>2.6871547698974609</v>
      </c>
      <c r="AR28" s="123">
        <f>FMC_spinifex(AWAP_uf,tsf,D28,C28,productivity_spinifex)</f>
        <v>14</v>
      </c>
    </row>
    <row r="29" spans="1:44" x14ac:dyDescent="0.3">
      <c r="A29" s="21">
        <v>43777.916666666664</v>
      </c>
      <c r="B29" s="22">
        <v>43777.916666666664</v>
      </c>
      <c r="C29" s="23">
        <v>29.6</v>
      </c>
      <c r="D29" s="23">
        <v>14</v>
      </c>
      <c r="E29" s="23">
        <v>290</v>
      </c>
      <c r="F29" s="23">
        <v>20.5</v>
      </c>
      <c r="G29" s="23">
        <v>10</v>
      </c>
      <c r="H29" s="84">
        <f t="shared" si="3"/>
        <v>110</v>
      </c>
      <c r="I29" s="50">
        <f>fbi(K29,Forest)</f>
        <v>54</v>
      </c>
      <c r="J29" s="51">
        <f>ROS_forest(F29,fhs_s,fhs_ns,h_ns_forest,N29,G29,waf_forest,kbdi,submodel_forest)</f>
        <v>1297.6195988766735</v>
      </c>
      <c r="K29" s="51">
        <f>Intensity_forest(J29,G29,L29,fl_s_forest,fl_ns_forest,fl_e_forest,fl_o_forest,h_o_forest,waf_forest,kbdi,submodel_forest)</f>
        <v>11900.25291152024</v>
      </c>
      <c r="L29" s="52">
        <f>Flame_height_forest(J29,h_e_forest)</f>
        <v>13.232551574707031</v>
      </c>
      <c r="M29" s="50">
        <f>Spotting_forest(J29,F29,fhs_s)</f>
        <v>2478</v>
      </c>
      <c r="N29" s="52">
        <f>FMC_Forest(C29,D29,A29,B29,submodel_forest)</f>
        <v>4.42232</v>
      </c>
      <c r="O29" s="53">
        <f>fbi(Q29,Grass)</f>
        <v>23</v>
      </c>
      <c r="P29" s="54">
        <f>ROS_grass(F29,S29,curing_grass,state_grass)</f>
        <v>3790.8642578125</v>
      </c>
      <c r="Q29" s="54">
        <f>Intensity_grass(P29,fl_s_grass)</f>
        <v>8813.7591659291757</v>
      </c>
      <c r="R29" s="55">
        <f>Flame_height_grass(P29,state_grass)</f>
        <v>1.1371992826461792</v>
      </c>
      <c r="S29" s="55">
        <f t="shared" si="4"/>
        <v>5.4439997673034668</v>
      </c>
      <c r="T29" s="102">
        <f>fbi(V29,Woodland)</f>
        <v>14</v>
      </c>
      <c r="U29" s="103">
        <f>ROS_woodland(F29,X29,curing_woodland,subtype_woodland,fl_woodland,waf_woodland)</f>
        <v>1895.43212890625</v>
      </c>
      <c r="V29" s="103">
        <f t="shared" si="5"/>
        <v>4406.8795829645878</v>
      </c>
      <c r="W29" s="104">
        <f t="shared" si="6"/>
        <v>0.92689967155456543</v>
      </c>
      <c r="X29" s="104">
        <f t="shared" si="7"/>
        <v>5.4439997673034668</v>
      </c>
      <c r="Y29" s="56">
        <f>fbi(AA29,Heath)</f>
        <v>16</v>
      </c>
      <c r="Z29" s="57">
        <f>ROS_heath(F29,h_el_heath,AC29,overstorey_heath)</f>
        <v>189.49415999673957</v>
      </c>
      <c r="AA29" s="57">
        <f>intensity_heath(Z29,fl_total_max_heath,fl_heath,0.2)</f>
        <v>1919.5162234174472</v>
      </c>
      <c r="AB29" s="58">
        <f t="shared" si="8"/>
        <v>1.9028855015629162</v>
      </c>
      <c r="AC29" s="58">
        <f>FMC_heath(C29,D29,rain_heath,tsr_heath)</f>
        <v>5.7860000000000005</v>
      </c>
      <c r="AD29" s="114">
        <f>fbi(AF29,Pine)</f>
        <v>45</v>
      </c>
      <c r="AE29" s="115">
        <f t="array" ref="AE29:AG29">fb_pine_ensemble(F29,AH29,G29,kbdi)</f>
        <v>1680.3978571733726</v>
      </c>
      <c r="AF29" s="115">
        <v>9062.9121104062706</v>
      </c>
      <c r="AG29" s="116">
        <v>10.355207443237305</v>
      </c>
      <c r="AH29" s="116">
        <f t="shared" si="9"/>
        <v>5.3812398910522461</v>
      </c>
      <c r="AI29" s="81">
        <f>FBI_mallee(F29,AM29,cov_o_mallee,AK29)</f>
        <v>6</v>
      </c>
      <c r="AJ29" s="90">
        <f>ROS_mallee(F29,AM29,cov_o_mallee,h_o_mallee)</f>
        <v>595.29132370651439</v>
      </c>
      <c r="AK29" s="90">
        <f>Intensity(AJ29,fuel_load_mallee(F29,tsf,AM29,fl_s_mallee,fl_o_mallee))</f>
        <v>922.70158840996282</v>
      </c>
      <c r="AL29" s="89">
        <f t="shared" si="10"/>
        <v>1.1968398437031158</v>
      </c>
      <c r="AM29" s="81">
        <f>FMC_mallee(C29,D29,A29,B29,rain_mallee,tsr_mallee)</f>
        <v>6.7519999999999998</v>
      </c>
      <c r="AN29" s="123">
        <f>fbi(AO29,Spinifex)</f>
        <v>22</v>
      </c>
      <c r="AO29" s="133">
        <f>ROS_spinifex(F29,tsf,AR29,waf_spinifex,productivity_spinifex)</f>
        <v>1188.9787306436058</v>
      </c>
      <c r="AP29" s="133">
        <f>intensity_spinifex(AO29,tsf,productivity_spinifex,subtype_spinifex)</f>
        <v>4423.059272348466</v>
      </c>
      <c r="AQ29" s="129">
        <f>flame_height_spinifex(AO29,tsf,productivity_spinifex,subtype_spinifex)</f>
        <v>2.6871547698974609</v>
      </c>
      <c r="AR29" s="123">
        <f>FMC_spinifex(AWAP_uf,tsf,D29,C29,productivity_spinifex)</f>
        <v>14</v>
      </c>
    </row>
    <row r="30" spans="1:44" x14ac:dyDescent="0.3">
      <c r="A30" s="21">
        <v>43777.958333333336</v>
      </c>
      <c r="B30" s="22">
        <v>43777.958333333336</v>
      </c>
      <c r="C30" s="23">
        <v>26.5</v>
      </c>
      <c r="D30" s="23">
        <v>20</v>
      </c>
      <c r="E30" s="23">
        <v>240</v>
      </c>
      <c r="F30" s="23">
        <v>7.6</v>
      </c>
      <c r="G30" s="23">
        <v>10</v>
      </c>
      <c r="H30" s="84">
        <f t="shared" si="3"/>
        <v>60</v>
      </c>
      <c r="I30" s="50">
        <f>fbi(K30,Forest)</f>
        <v>15</v>
      </c>
      <c r="J30" s="51">
        <f>ROS_forest(F30,fhs_s,fhs_ns,h_ns_forest,N30,G30,waf_forest,kbdi,submodel_forest)</f>
        <v>220.54704660836276</v>
      </c>
      <c r="K30" s="51">
        <f>Intensity_forest(J30,G30,L30,fl_s_forest,fl_ns_forest,fl_e_forest,fl_o_forest,h_o_forest,waf_forest,kbdi,submodel_forest)</f>
        <v>1766.2142105867078</v>
      </c>
      <c r="L30" s="52">
        <f>Flame_height_forest(J30,h_e_forest)</f>
        <v>3.6744253635406494</v>
      </c>
      <c r="M30" s="50">
        <f>Spotting_forest(J30,F30,fhs_s)</f>
        <v>126</v>
      </c>
      <c r="N30" s="52">
        <f>FMC_Forest(C30,D30,A30,B30,submodel_forest)</f>
        <v>5.7600499999999997</v>
      </c>
      <c r="O30" s="53">
        <f>fbi(Q30,Grass)</f>
        <v>10</v>
      </c>
      <c r="P30" s="54">
        <f>ROS_grass(F30,S30,curing_grass,state_grass)</f>
        <v>1050.101318359375</v>
      </c>
      <c r="Q30" s="54">
        <f>Intensity_grass(P30,fl_s_grass)</f>
        <v>2441.4855005082668</v>
      </c>
      <c r="R30" s="55">
        <f>Flame_height_grass(P30,state_grass)</f>
        <v>0.77870327234268188</v>
      </c>
      <c r="S30" s="55">
        <f t="shared" si="4"/>
        <v>6.9074997901916504</v>
      </c>
      <c r="T30" s="102">
        <f>fbi(V30,Woodland)</f>
        <v>8</v>
      </c>
      <c r="U30" s="103">
        <f>ROS_woodland(F30,X30,curing_woodland,subtype_woodland,fl_woodland,waf_woodland)</f>
        <v>525.0506591796875</v>
      </c>
      <c r="V30" s="103">
        <f t="shared" si="5"/>
        <v>1220.7427502541334</v>
      </c>
      <c r="W30" s="104">
        <f t="shared" si="6"/>
        <v>0.63469946384429932</v>
      </c>
      <c r="X30" s="104">
        <f t="shared" si="7"/>
        <v>6.9074997901916504</v>
      </c>
      <c r="Y30" s="56">
        <f>fbi(AA30,Heath)</f>
        <v>2</v>
      </c>
      <c r="Z30" s="57">
        <f>ROS_heath(F30,h_el_heath,AC30,overstorey_heath)</f>
        <v>2.3270407429661724</v>
      </c>
      <c r="AA30" s="57">
        <f>intensity_heath(Z30,fl_total_max_heath,fl_heath,0.2)</f>
        <v>23.572190608691127</v>
      </c>
      <c r="AB30" s="58">
        <f t="shared" si="8"/>
        <v>0.11745768058119629</v>
      </c>
      <c r="AC30" s="58">
        <f>FMC_heath(C30,D30,rain_heath,tsr_heath)</f>
        <v>6.8999999999999995</v>
      </c>
      <c r="AD30" s="114">
        <f>fbi(AF30,Pine)</f>
        <v>10</v>
      </c>
      <c r="AE30" s="115">
        <f t="array" ref="AE30:AG30">fb_pine_ensemble(F30,AH30,G30,kbdi)</f>
        <v>231.77956516593741</v>
      </c>
      <c r="AF30" s="115">
        <v>581.12181738694835</v>
      </c>
      <c r="AG30" s="116">
        <v>1.1447293758392334</v>
      </c>
      <c r="AH30" s="116">
        <f t="shared" si="9"/>
        <v>6.1594500541687012</v>
      </c>
      <c r="AI30" s="81">
        <f>FBI_mallee(F30,AM30,cov_o_mallee,AK30)</f>
        <v>6</v>
      </c>
      <c r="AJ30" s="90">
        <f>ROS_mallee(F30,AM30,cov_o_mallee,h_o_mallee)</f>
        <v>185.61804977079441</v>
      </c>
      <c r="AK30" s="90">
        <f>Intensity(AJ30,fuel_load_mallee(F30,tsf,AM30,fl_s_mallee,fl_o_mallee))</f>
        <v>287.70798857721917</v>
      </c>
      <c r="AL30" s="89">
        <f t="shared" si="10"/>
        <v>0.57235940274172814</v>
      </c>
      <c r="AM30" s="81">
        <f>FMC_mallee(C30,D30,A30,B30,rain_mallee,tsr_mallee)</f>
        <v>8.1</v>
      </c>
      <c r="AN30" s="123">
        <f>fbi(AO30,Spinifex)</f>
        <v>14</v>
      </c>
      <c r="AO30" s="133">
        <f>ROS_spinifex(F30,tsf,AR30,waf_spinifex,productivity_spinifex)</f>
        <v>296.68025914040072</v>
      </c>
      <c r="AP30" s="133">
        <f>intensity_spinifex(AO30,tsf,productivity_spinifex,subtype_spinifex)</f>
        <v>1103.6651348703015</v>
      </c>
      <c r="AQ30" s="129">
        <f>flame_height_spinifex(AO30,tsf,productivity_spinifex,subtype_spinifex)</f>
        <v>1.8183917999267578</v>
      </c>
      <c r="AR30" s="123">
        <f>FMC_spinifex(AWAP_uf,tsf,D30,C30,productivity_spinifex)</f>
        <v>14</v>
      </c>
    </row>
    <row r="31" spans="1:44" x14ac:dyDescent="0.3">
      <c r="A31" s="21">
        <v>43778</v>
      </c>
      <c r="B31" s="22">
        <v>43778</v>
      </c>
      <c r="C31" s="23">
        <v>22.7</v>
      </c>
      <c r="D31" s="23">
        <v>51</v>
      </c>
      <c r="E31" s="23">
        <v>150</v>
      </c>
      <c r="F31" s="23">
        <v>44.3</v>
      </c>
      <c r="G31" s="23">
        <v>10</v>
      </c>
      <c r="H31" s="84">
        <f t="shared" si="3"/>
        <v>330</v>
      </c>
      <c r="I31" s="50">
        <f>fbi(K31,Forest)</f>
        <v>28</v>
      </c>
      <c r="J31" s="51">
        <f>ROS_forest(F31,fhs_s,fhs_ns,h_ns_forest,N31,G31,waf_forest,kbdi,submodel_forest)</f>
        <v>625.21340498808411</v>
      </c>
      <c r="K31" s="51">
        <f>Intensity_forest(J31,G31,L31,fl_s_forest,fl_ns_forest,fl_e_forest,fl_o_forest,h_o_forest,waf_forest,kbdi,submodel_forest)</f>
        <v>5006.9171975816662</v>
      </c>
      <c r="L31" s="52">
        <f>Flame_height_forest(J31,h_e_forest)</f>
        <v>7.8048844337463379</v>
      </c>
      <c r="M31" s="50">
        <f>Spotting_forest(J31,F31,fhs_s)</f>
        <v>565</v>
      </c>
      <c r="N31" s="52">
        <f>FMC_Forest(C31,D31,A31,B31,submodel_forest)</f>
        <v>12.08159</v>
      </c>
      <c r="O31" s="53">
        <f>fbi(Q31,Grass)</f>
        <v>23</v>
      </c>
      <c r="P31" s="54">
        <f>ROS_grass(F31,S31,curing_grass,state_grass)</f>
        <v>3815.410400390625</v>
      </c>
      <c r="Q31" s="54">
        <f>Intensity_grass(P31,fl_s_grass)</f>
        <v>8870.8289459114822</v>
      </c>
      <c r="R31" s="55">
        <f>Flame_height_grass(P31,state_grass)</f>
        <v>1.1393665075302124</v>
      </c>
      <c r="S31" s="55">
        <f t="shared" si="4"/>
        <v>11.964500427246094</v>
      </c>
      <c r="T31" s="102">
        <f>fbi(V31,Woodland)</f>
        <v>14</v>
      </c>
      <c r="U31" s="103">
        <f>ROS_woodland(F31,X31,curing_woodland,subtype_woodland,fl_woodland,waf_woodland)</f>
        <v>1907.7052001953125</v>
      </c>
      <c r="V31" s="103">
        <f t="shared" si="5"/>
        <v>4435.4144729557411</v>
      </c>
      <c r="W31" s="104">
        <f t="shared" si="6"/>
        <v>0.92866617441177368</v>
      </c>
      <c r="X31" s="104">
        <f t="shared" si="7"/>
        <v>11.964500427246094</v>
      </c>
      <c r="Y31" s="56">
        <f>fbi(AA31,Heath)</f>
        <v>50</v>
      </c>
      <c r="Z31" s="57">
        <f>ROS_heath(F31,h_el_heath,AC31,overstorey_heath)</f>
        <v>1989.967760347824</v>
      </c>
      <c r="AA31" s="57">
        <f>intensity_heath(Z31,fl_total_max_heath,fl_heath,0.2)</f>
        <v>20157.747342351096</v>
      </c>
      <c r="AB31" s="58">
        <f t="shared" si="8"/>
        <v>8.4307078581161594</v>
      </c>
      <c r="AC31" s="58">
        <f>FMC_heath(C31,D31,rain_heath,tsr_heath)</f>
        <v>11.433999999999999</v>
      </c>
      <c r="AD31" s="114">
        <f>fbi(AF31,Pine)</f>
        <v>44</v>
      </c>
      <c r="AE31" s="115">
        <f t="array" ref="AE31:AG31">fb_pine_ensemble(F31,AH31,G31,kbdi)</f>
        <v>1930.2488357665004</v>
      </c>
      <c r="AF31" s="115">
        <v>8789.9406647942196</v>
      </c>
      <c r="AG31" s="116">
        <v>10.559774398803711</v>
      </c>
      <c r="AH31" s="116">
        <f t="shared" si="9"/>
        <v>9.9224300384521484</v>
      </c>
      <c r="AI31" s="81">
        <f>FBI_mallee(F31,AM31,cov_o_mallee,AK31)</f>
        <v>1</v>
      </c>
      <c r="AJ31" s="90">
        <f>ROS_mallee(F31,AM31,cov_o_mallee,h_o_mallee)</f>
        <v>0</v>
      </c>
      <c r="AK31" s="90">
        <f>Intensity(AJ31,fuel_load_mallee(F31,tsf,AM31,fl_s_mallee,fl_o_mallee))</f>
        <v>0</v>
      </c>
      <c r="AL31" s="89">
        <f t="shared" si="10"/>
        <v>0</v>
      </c>
      <c r="AM31" s="81">
        <f>FMC_mallee(C31,D31,A31,B31,rain_mallee,tsr_mallee)</f>
        <v>13.843</v>
      </c>
      <c r="AN31" s="123">
        <f>fbi(AO31,Spinifex)</f>
        <v>29</v>
      </c>
      <c r="AO31" s="133">
        <f>ROS_spinifex(F31,tsf,AR31,waf_spinifex,productivity_spinifex)</f>
        <v>2497.9589295960823</v>
      </c>
      <c r="AP31" s="133">
        <f>intensity_spinifex(AO31,tsf,productivity_spinifex,subtype_spinifex)</f>
        <v>9292.5299004422686</v>
      </c>
      <c r="AQ31" s="129">
        <f>flame_height_spinifex(AO31,tsf,productivity_spinifex,subtype_spinifex)</f>
        <v>3.4095582962036133</v>
      </c>
      <c r="AR31" s="123">
        <f>FMC_spinifex(AWAP_uf,tsf,D31,C31,productivity_spinifex)</f>
        <v>17.057760200000001</v>
      </c>
    </row>
    <row r="32" spans="1:44" x14ac:dyDescent="0.3">
      <c r="A32" s="21">
        <v>43778.041666666664</v>
      </c>
      <c r="B32" s="22">
        <v>43778.041666666664</v>
      </c>
      <c r="C32" s="23">
        <v>21.2</v>
      </c>
      <c r="D32" s="23">
        <v>51</v>
      </c>
      <c r="E32" s="23">
        <v>160</v>
      </c>
      <c r="F32" s="23">
        <v>22.3</v>
      </c>
      <c r="G32" s="23">
        <v>10</v>
      </c>
      <c r="H32" s="84">
        <f t="shared" si="3"/>
        <v>340</v>
      </c>
      <c r="I32" s="50">
        <f>fbi(K32,Forest)</f>
        <v>18</v>
      </c>
      <c r="J32" s="51">
        <f>ROS_forest(F32,fhs_s,fhs_ns,h_ns_forest,N32,G32,waf_forest,kbdi,submodel_forest)</f>
        <v>313.22643505078327</v>
      </c>
      <c r="K32" s="51">
        <f>Intensity_forest(J32,G32,L32,fl_s_forest,fl_ns_forest,fl_e_forest,fl_o_forest,h_o_forest,waf_forest,kbdi,submodel_forest)</f>
        <v>2508.4216235300541</v>
      </c>
      <c r="L32" s="52">
        <f>Flame_height_forest(J32,h_e_forest)</f>
        <v>4.7352581024169922</v>
      </c>
      <c r="M32" s="50">
        <f>Spotting_forest(J32,F32,fhs_s)</f>
        <v>59</v>
      </c>
      <c r="N32" s="52">
        <f>FMC_Forest(C32,D32,A32,B32,submodel_forest)</f>
        <v>12.15404</v>
      </c>
      <c r="O32" s="53">
        <f>fbi(Q32,Grass)</f>
        <v>15</v>
      </c>
      <c r="P32" s="54">
        <f>ROS_grass(F32,S32,curing_grass,state_grass)</f>
        <v>1977.318359375</v>
      </c>
      <c r="Q32" s="54">
        <f>Intensity_grass(P32,fl_s_grass)</f>
        <v>4597.2650637609377</v>
      </c>
      <c r="R32" s="55">
        <f>Flame_height_grass(P32,state_grass)</f>
        <v>0.93853694200515747</v>
      </c>
      <c r="S32" s="55">
        <f t="shared" si="4"/>
        <v>12.272000312805176</v>
      </c>
      <c r="T32" s="102">
        <f>fbi(V32,Woodland)</f>
        <v>10</v>
      </c>
      <c r="U32" s="103">
        <f>ROS_woodland(F32,X32,curing_woodland,subtype_woodland,fl_woodland,waf_woodland)</f>
        <v>988.6591796875</v>
      </c>
      <c r="V32" s="103">
        <f t="shared" si="5"/>
        <v>2298.6325318804688</v>
      </c>
      <c r="W32" s="104">
        <f t="shared" si="6"/>
        <v>0.76497548818588257</v>
      </c>
      <c r="X32" s="104">
        <f t="shared" si="7"/>
        <v>12.272000312805176</v>
      </c>
      <c r="Y32" s="56">
        <f>fbi(AA32,Heath)</f>
        <v>14</v>
      </c>
      <c r="Z32" s="57">
        <f>ROS_heath(F32,h_el_heath,AC32,overstorey_heath)</f>
        <v>119.30411838230685</v>
      </c>
      <c r="AA32" s="57">
        <f>intensity_heath(Z32,fl_total_max_heath,fl_heath,0.2)</f>
        <v>1208.5131845714609</v>
      </c>
      <c r="AB32" s="58">
        <f t="shared" si="8"/>
        <v>1.4197680136497359</v>
      </c>
      <c r="AC32" s="58">
        <f>FMC_heath(C32,D32,rain_heath,tsr_heath)</f>
        <v>11.584</v>
      </c>
      <c r="AD32" s="114">
        <f>fbi(AF32,Pine)</f>
        <v>26</v>
      </c>
      <c r="AE32" s="115">
        <f t="array" ref="AE32:AG32">fb_pine_ensemble(F32,AH32,G32,kbdi)</f>
        <v>949.95162502748326</v>
      </c>
      <c r="AF32" s="115">
        <v>4607.6203078856188</v>
      </c>
      <c r="AG32" s="116">
        <v>9.4026098251342773</v>
      </c>
      <c r="AH32" s="116">
        <f t="shared" si="9"/>
        <v>9.9540796279907227</v>
      </c>
      <c r="AI32" s="81">
        <f>FBI_mallee(F32,AM32,cov_o_mallee,AK32)</f>
        <v>0</v>
      </c>
      <c r="AJ32" s="90">
        <f>ROS_mallee(F32,AM32,cov_o_mallee,h_o_mallee)</f>
        <v>0</v>
      </c>
      <c r="AK32" s="90">
        <f>Intensity(AJ32,fuel_load_mallee(F32,tsf,AM32,fl_s_mallee,fl_o_mallee))</f>
        <v>0</v>
      </c>
      <c r="AL32" s="89">
        <f t="shared" si="10"/>
        <v>0</v>
      </c>
      <c r="AM32" s="81">
        <f>FMC_mallee(C32,D32,A32,B32,rain_mallee,tsr_mallee)</f>
        <v>13.993</v>
      </c>
      <c r="AN32" s="123">
        <f>fbi(AO32,Spinifex)</f>
        <v>20</v>
      </c>
      <c r="AO32" s="133">
        <f>ROS_spinifex(F32,tsf,AR32,waf_spinifex,productivity_spinifex)</f>
        <v>954.08340374235365</v>
      </c>
      <c r="AP32" s="133">
        <f>intensity_spinifex(AO32,tsf,productivity_spinifex,subtype_spinifex)</f>
        <v>3549.2371198533497</v>
      </c>
      <c r="AQ32" s="129">
        <f>flame_height_spinifex(AO32,tsf,productivity_spinifex,subtype_spinifex)</f>
        <v>2.5131654739379883</v>
      </c>
      <c r="AR32" s="123">
        <f>FMC_spinifex(AWAP_uf,tsf,D32,C32,productivity_spinifex)</f>
        <v>17.079936199999999</v>
      </c>
    </row>
    <row r="33" spans="1:44" x14ac:dyDescent="0.3">
      <c r="A33" s="21">
        <v>43778.083333333336</v>
      </c>
      <c r="B33" s="22">
        <v>43778.083333333336</v>
      </c>
      <c r="C33" s="23">
        <v>19.399999999999999</v>
      </c>
      <c r="D33" s="23">
        <v>53</v>
      </c>
      <c r="E33" s="23">
        <v>160</v>
      </c>
      <c r="F33" s="23">
        <v>24.1</v>
      </c>
      <c r="G33" s="23">
        <v>10</v>
      </c>
      <c r="H33" s="84">
        <f t="shared" si="3"/>
        <v>340</v>
      </c>
      <c r="I33" s="50">
        <f>fbi(K33,Forest)</f>
        <v>18</v>
      </c>
      <c r="J33" s="51">
        <f>ROS_forest(F33,fhs_s,fhs_ns,h_ns_forest,N33,G33,waf_forest,kbdi,submodel_forest)</f>
        <v>320.58113701469813</v>
      </c>
      <c r="K33" s="51">
        <f>Intensity_forest(J33,G33,L33,fl_s_forest,fl_ns_forest,fl_e_forest,fl_o_forest,h_o_forest,waf_forest,kbdi,submodel_forest)</f>
        <v>2567.3205266124583</v>
      </c>
      <c r="L33" s="52">
        <f>Flame_height_forest(J33,h_e_forest)</f>
        <v>4.8153867721557617</v>
      </c>
      <c r="M33" s="50">
        <f>Spotting_forest(J33,F33,fhs_s)</f>
        <v>56</v>
      </c>
      <c r="N33" s="52">
        <f>FMC_Forest(C33,D33,A33,B33,submodel_forest)</f>
        <v>12.636979999999999</v>
      </c>
      <c r="O33" s="53">
        <f>fbi(Q33,Grass)</f>
        <v>15</v>
      </c>
      <c r="P33" s="54">
        <f>ROS_grass(F33,S33,curing_grass,state_grass)</f>
        <v>2011.4578857421875</v>
      </c>
      <c r="Q33" s="54">
        <f>Intensity_grass(P33,fl_s_grass)</f>
        <v>4676.6394604619454</v>
      </c>
      <c r="R33" s="55">
        <f>Flame_height_grass(P33,state_grass)</f>
        <v>0.94328844547271729</v>
      </c>
      <c r="S33" s="55">
        <f t="shared" si="4"/>
        <v>12.916999816894531</v>
      </c>
      <c r="T33" s="102">
        <f>fbi(V33,Woodland)</f>
        <v>10</v>
      </c>
      <c r="U33" s="103">
        <f>ROS_woodland(F33,X33,curing_woodland,subtype_woodland,fl_woodland,waf_woodland)</f>
        <v>1005.7289428710938</v>
      </c>
      <c r="V33" s="103">
        <f t="shared" si="5"/>
        <v>2338.3197302309727</v>
      </c>
      <c r="W33" s="104">
        <f t="shared" si="6"/>
        <v>0.76884829998016357</v>
      </c>
      <c r="X33" s="104">
        <f t="shared" si="7"/>
        <v>12.916999816894531</v>
      </c>
      <c r="Y33" s="56">
        <f>fbi(AA33,Heath)</f>
        <v>16</v>
      </c>
      <c r="Z33" s="57">
        <f>ROS_heath(F33,h_el_heath,AC33,overstorey_heath)</f>
        <v>171.48273899758323</v>
      </c>
      <c r="AA33" s="57">
        <f>intensity_heath(Z33,fl_total_max_heath,fl_heath,0.2)</f>
        <v>1737.0661953254091</v>
      </c>
      <c r="AB33" s="58">
        <f t="shared" si="8"/>
        <v>1.7863066595040664</v>
      </c>
      <c r="AC33" s="58">
        <f>FMC_heath(C33,D33,rain_heath,tsr_heath)</f>
        <v>12.032</v>
      </c>
      <c r="AD33" s="114">
        <f>fbi(AF33,Pine)</f>
        <v>27</v>
      </c>
      <c r="AE33" s="115">
        <f t="array" ref="AE33:AG33">fb_pine_ensemble(F33,AH33,G33,kbdi)</f>
        <v>990.71013121566295</v>
      </c>
      <c r="AF33" s="115">
        <v>4735.9962286899754</v>
      </c>
      <c r="AG33" s="116">
        <v>9.4579753875732422</v>
      </c>
      <c r="AH33" s="116">
        <f t="shared" si="9"/>
        <v>10.229660034179688</v>
      </c>
      <c r="AI33" s="81">
        <f>FBI_mallee(F33,AM33,cov_o_mallee,AK33)</f>
        <v>0</v>
      </c>
      <c r="AJ33" s="90">
        <f>ROS_mallee(F33,AM33,cov_o_mallee,h_o_mallee)</f>
        <v>0</v>
      </c>
      <c r="AK33" s="90">
        <f>Intensity(AJ33,fuel_load_mallee(F33,tsf,AM33,fl_s_mallee,fl_o_mallee))</f>
        <v>0</v>
      </c>
      <c r="AL33" s="89">
        <f t="shared" si="10"/>
        <v>0</v>
      </c>
      <c r="AM33" s="81">
        <f>FMC_mallee(C33,D33,A33,B33,rain_mallee,tsr_mallee)</f>
        <v>14.519</v>
      </c>
      <c r="AN33" s="123">
        <f>fbi(AO33,Spinifex)</f>
        <v>21</v>
      </c>
      <c r="AO33" s="133">
        <f>ROS_spinifex(F33,tsf,AR33,waf_spinifex,productivity_spinifex)</f>
        <v>1027.819046550092</v>
      </c>
      <c r="AP33" s="133">
        <f>intensity_spinifex(AO33,tsf,productivity_spinifex,subtype_spinifex)</f>
        <v>3823.5373324793568</v>
      </c>
      <c r="AQ33" s="129">
        <f>flame_height_spinifex(AO33,tsf,productivity_spinifex,subtype_spinifex)</f>
        <v>2.5702056884765625</v>
      </c>
      <c r="AR33" s="123">
        <f>FMC_spinifex(AWAP_uf,tsf,D33,C33,productivity_spinifex)</f>
        <v>17.4267614</v>
      </c>
    </row>
    <row r="34" spans="1:44" x14ac:dyDescent="0.3">
      <c r="A34" s="21">
        <v>43778.125</v>
      </c>
      <c r="B34" s="22">
        <v>43778.125</v>
      </c>
      <c r="C34" s="23">
        <v>18.7</v>
      </c>
      <c r="D34" s="23">
        <v>52</v>
      </c>
      <c r="E34" s="23">
        <v>130</v>
      </c>
      <c r="F34" s="23">
        <v>13</v>
      </c>
      <c r="G34" s="23">
        <v>10</v>
      </c>
      <c r="H34" s="84">
        <f t="shared" si="3"/>
        <v>310</v>
      </c>
      <c r="I34" s="50">
        <f>fbi(K34,Forest)</f>
        <v>14</v>
      </c>
      <c r="J34" s="51">
        <f>ROS_forest(F34,fhs_s,fhs_ns,h_ns_forest,N34,G34,waf_forest,kbdi,submodel_forest)</f>
        <v>161.64605784636422</v>
      </c>
      <c r="K34" s="51">
        <f>Intensity_forest(J34,G34,L34,fl_s_forest,fl_ns_forest,fl_e_forest,fl_o_forest,h_o_forest,waf_forest,kbdi,submodel_forest)</f>
        <v>1294.515473428896</v>
      </c>
      <c r="L34" s="52">
        <f>Flame_height_forest(J34,h_e_forest)</f>
        <v>2.9351520538330078</v>
      </c>
      <c r="M34" s="50">
        <f>Spotting_forest(J34,F34,fhs_s)</f>
        <v>310</v>
      </c>
      <c r="N34" s="52">
        <f>FMC_Forest(C34,D34,A34,B34,submodel_forest)</f>
        <v>12.472790000000002</v>
      </c>
      <c r="O34" s="53">
        <f>fbi(Q34,Grass)</f>
        <v>11</v>
      </c>
      <c r="P34" s="54">
        <f>ROS_grass(F34,S34,curing_grass,state_grass)</f>
        <v>1082.8892822265625</v>
      </c>
      <c r="Q34" s="54">
        <f>Intensity_grass(P34,fl_s_grass)</f>
        <v>2517.717514480019</v>
      </c>
      <c r="R34" s="55">
        <f>Flame_height_grass(P34,state_grass)</f>
        <v>0.78579831123352051</v>
      </c>
      <c r="S34" s="55">
        <f t="shared" si="4"/>
        <v>12.922499656677246</v>
      </c>
      <c r="T34" s="102">
        <f>fbi(V34,Woodland)</f>
        <v>8</v>
      </c>
      <c r="U34" s="103">
        <f>ROS_woodland(F34,X34,curing_woodland,subtype_woodland,fl_woodland,waf_woodland)</f>
        <v>541.44464111328125</v>
      </c>
      <c r="V34" s="103">
        <f t="shared" si="5"/>
        <v>1258.8587572400095</v>
      </c>
      <c r="W34" s="104">
        <f t="shared" si="6"/>
        <v>0.64048242568969727</v>
      </c>
      <c r="X34" s="104">
        <f t="shared" si="7"/>
        <v>12.922499656677246</v>
      </c>
      <c r="Y34" s="56">
        <f>fbi(AA34,Heath)</f>
        <v>6</v>
      </c>
      <c r="Z34" s="57">
        <f>ROS_heath(F34,h_el_heath,AC34,overstorey_heath)</f>
        <v>6.1472998644148804</v>
      </c>
      <c r="AA34" s="57">
        <f>intensity_heath(Z34,fl_total_max_heath,fl_heath,0.2)</f>
        <v>62.270213605312499</v>
      </c>
      <c r="AB34" s="58">
        <f t="shared" si="8"/>
        <v>0.21723596174163917</v>
      </c>
      <c r="AC34" s="58">
        <f>FMC_heath(C34,D34,rain_heath,tsr_heath)</f>
        <v>11.968000000000002</v>
      </c>
      <c r="AD34" s="114">
        <f>fbi(AF34,Pine)</f>
        <v>11</v>
      </c>
      <c r="AE34" s="115">
        <f t="array" ref="AE34:AG34">fb_pine_ensemble(F34,AH34,G34,kbdi)</f>
        <v>302.28727891040319</v>
      </c>
      <c r="AF34" s="115">
        <v>654.7519005273366</v>
      </c>
      <c r="AG34" s="116">
        <v>1.2775061130523682</v>
      </c>
      <c r="AH34" s="116">
        <f t="shared" si="9"/>
        <v>10.125630378723145</v>
      </c>
      <c r="AI34" s="81">
        <f>FBI_mallee(F34,AM34,cov_o_mallee,AK34)</f>
        <v>0</v>
      </c>
      <c r="AJ34" s="90">
        <f>ROS_mallee(F34,AM34,cov_o_mallee,h_o_mallee)</f>
        <v>0</v>
      </c>
      <c r="AK34" s="90">
        <f>Intensity(AJ34,fuel_load_mallee(F34,tsf,AM34,fl_s_mallee,fl_o_mallee))</f>
        <v>0</v>
      </c>
      <c r="AL34" s="89">
        <f t="shared" si="10"/>
        <v>0</v>
      </c>
      <c r="AM34" s="81">
        <f>FMC_mallee(C34,D34,A34,B34,rain_mallee,tsr_mallee)</f>
        <v>14.415999999999999</v>
      </c>
      <c r="AN34" s="123">
        <f>fbi(AO34,Spinifex)</f>
        <v>15</v>
      </c>
      <c r="AO34" s="133">
        <f>ROS_spinifex(F34,tsf,AR34,waf_spinifex,productivity_spinifex)</f>
        <v>439.79458899075303</v>
      </c>
      <c r="AP34" s="133">
        <f>intensity_spinifex(AO34,tsf,productivity_spinifex,subtype_spinifex)</f>
        <v>1636.0574706927318</v>
      </c>
      <c r="AQ34" s="129">
        <f>flame_height_spinifex(AO34,tsf,productivity_spinifex,subtype_spinifex)</f>
        <v>2.0152933597564697</v>
      </c>
      <c r="AR34" s="123">
        <f>FMC_spinifex(AWAP_uf,tsf,D34,C34,productivity_spinifex)</f>
        <v>17.277003199999999</v>
      </c>
    </row>
    <row r="35" spans="1:44" x14ac:dyDescent="0.3">
      <c r="A35" s="21">
        <v>43778.166666666664</v>
      </c>
      <c r="B35" s="22">
        <v>43778.166666666664</v>
      </c>
      <c r="C35" s="23">
        <v>17.5</v>
      </c>
      <c r="D35" s="23">
        <v>56</v>
      </c>
      <c r="E35" s="23">
        <v>180</v>
      </c>
      <c r="F35" s="23">
        <v>20.5</v>
      </c>
      <c r="G35" s="23">
        <v>10</v>
      </c>
      <c r="H35" s="84">
        <f t="shared" si="3"/>
        <v>0</v>
      </c>
      <c r="I35" s="50">
        <f>fbi(K35,Forest)</f>
        <v>16</v>
      </c>
      <c r="J35" s="51">
        <f>ROS_forest(F35,fhs_s,fhs_ns,h_ns_forest,N35,G35,waf_forest,kbdi,submodel_forest)</f>
        <v>249.53216237160018</v>
      </c>
      <c r="K35" s="51">
        <f>Intensity_forest(J35,G35,L35,fl_s_forest,fl_ns_forest,fl_e_forest,fl_o_forest,h_o_forest,waf_forest,kbdi,submodel_forest)</f>
        <v>1998.3366721830241</v>
      </c>
      <c r="L35" s="52">
        <f>Flame_height_forest(J35,h_e_forest)</f>
        <v>4.017542839050293</v>
      </c>
      <c r="M35" s="50">
        <f>Spotting_forest(J35,F35,fhs_s)</f>
        <v>210</v>
      </c>
      <c r="N35" s="52">
        <f>FMC_Forest(C35,D35,A35,B35,submodel_forest)</f>
        <v>13.322750000000001</v>
      </c>
      <c r="O35" s="53">
        <f>fbi(Q35,Grass)</f>
        <v>13</v>
      </c>
      <c r="P35" s="54">
        <f>ROS_grass(F35,S35,curing_grass,state_grass)</f>
        <v>1598.1539306640625</v>
      </c>
      <c r="Q35" s="54">
        <f>Intensity_grass(P35,fl_s_grass)</f>
        <v>3715.7077903613012</v>
      </c>
      <c r="R35" s="55">
        <f>Flame_height_grass(P35,state_grass)</f>
        <v>0.88140654563903809</v>
      </c>
      <c r="S35" s="55">
        <f t="shared" si="4"/>
        <v>13.720499992370605</v>
      </c>
      <c r="T35" s="102">
        <f>fbi(V35,Woodland)</f>
        <v>9</v>
      </c>
      <c r="U35" s="103">
        <f>ROS_woodland(F35,X35,curing_woodland,subtype_woodland,fl_woodland,waf_woodland)</f>
        <v>799.07696533203125</v>
      </c>
      <c r="V35" s="103">
        <f t="shared" si="5"/>
        <v>1857.8538951806506</v>
      </c>
      <c r="W35" s="104">
        <f t="shared" si="6"/>
        <v>0.71841007471084595</v>
      </c>
      <c r="X35" s="104">
        <f t="shared" si="7"/>
        <v>13.720499992370605</v>
      </c>
      <c r="Y35" s="56">
        <f>fbi(AA35,Heath)</f>
        <v>12</v>
      </c>
      <c r="Z35" s="57">
        <f>ROS_heath(F35,h_el_heath,AC35,overstorey_heath)</f>
        <v>53.387542232589254</v>
      </c>
      <c r="AA35" s="57">
        <f>intensity_heath(Z35,fl_total_max_heath,fl_heath,0.2)</f>
        <v>540.7990063947218</v>
      </c>
      <c r="AB35" s="58">
        <f t="shared" si="8"/>
        <v>0.85342226923209552</v>
      </c>
      <c r="AC35" s="58">
        <f>FMC_heath(C35,D35,rain_heath,tsr_heath)</f>
        <v>12.623999999999999</v>
      </c>
      <c r="AD35" s="114">
        <f>fbi(AF35,Pine)</f>
        <v>19</v>
      </c>
      <c r="AE35" s="115">
        <f t="array" ref="AE35:AG35">fb_pine_ensemble(F35,AH35,G35,kbdi)</f>
        <v>704.09386295579907</v>
      </c>
      <c r="AF35" s="115">
        <v>2811.3448522523586</v>
      </c>
      <c r="AG35" s="116">
        <v>6.9068222045898438</v>
      </c>
      <c r="AH35" s="116">
        <f t="shared" si="9"/>
        <v>10.626150131225586</v>
      </c>
      <c r="AI35" s="81">
        <f>FBI_mallee(F35,AM35,cov_o_mallee,AK35)</f>
        <v>0</v>
      </c>
      <c r="AJ35" s="90">
        <f>ROS_mallee(F35,AM35,cov_o_mallee,h_o_mallee)</f>
        <v>0</v>
      </c>
      <c r="AK35" s="90">
        <f>Intensity(AJ35,fuel_load_mallee(F35,tsf,AM35,fl_s_mallee,fl_o_mallee))</f>
        <v>0</v>
      </c>
      <c r="AL35" s="89">
        <f t="shared" si="10"/>
        <v>0</v>
      </c>
      <c r="AM35" s="81">
        <f>FMC_mallee(C35,D35,A35,B35,rain_mallee,tsr_mallee)</f>
        <v>15.227999999999998</v>
      </c>
      <c r="AN35" s="123">
        <f>fbi(AO35,Spinifex)</f>
        <v>19</v>
      </c>
      <c r="AO35" s="133">
        <f>ROS_spinifex(F35,tsf,AR35,waf_spinifex,productivity_spinifex)</f>
        <v>780.54850407106653</v>
      </c>
      <c r="AP35" s="133">
        <f>intensity_spinifex(AO35,tsf,productivity_spinifex,subtype_spinifex)</f>
        <v>2903.6787702505248</v>
      </c>
      <c r="AQ35" s="129">
        <f>flame_height_spinifex(AO35,tsf,productivity_spinifex,subtype_spinifex)</f>
        <v>2.368023157119751</v>
      </c>
      <c r="AR35" s="123">
        <f>FMC_spinifex(AWAP_uf,tsf,D35,C35,productivity_spinifex)</f>
        <v>17.935172000000001</v>
      </c>
    </row>
    <row r="36" spans="1:44" x14ac:dyDescent="0.3">
      <c r="A36" s="21">
        <v>43778.208333333336</v>
      </c>
      <c r="B36" s="22">
        <v>43778.208333333336</v>
      </c>
      <c r="C36" s="23">
        <v>17.2</v>
      </c>
      <c r="D36" s="23">
        <v>51</v>
      </c>
      <c r="E36" s="23">
        <v>170</v>
      </c>
      <c r="F36" s="23">
        <v>14.8</v>
      </c>
      <c r="G36" s="23">
        <v>10</v>
      </c>
      <c r="H36" s="84">
        <f t="shared" si="3"/>
        <v>350</v>
      </c>
      <c r="I36" s="50">
        <f>fbi(K36,Forest)</f>
        <v>14</v>
      </c>
      <c r="J36" s="51">
        <f>ROS_forest(F36,fhs_s,fhs_ns,h_ns_forest,N36,G36,waf_forest,kbdi,submodel_forest)</f>
        <v>192.86501544802991</v>
      </c>
      <c r="K36" s="51">
        <f>Intensity_forest(J36,G36,L36,fl_s_forest,fl_ns_forest,fl_e_forest,fl_o_forest,h_o_forest,waf_forest,kbdi,submodel_forest)</f>
        <v>1544.5272845309498</v>
      </c>
      <c r="L36" s="52">
        <f>Flame_height_forest(J36,h_e_forest)</f>
        <v>3.3348498344421387</v>
      </c>
      <c r="M36" s="50">
        <f>Spotting_forest(J36,F36,fhs_s)</f>
        <v>287</v>
      </c>
      <c r="N36" s="52">
        <f>FMC_Forest(C36,D36,A36,B36,submodel_forest)</f>
        <v>12.347240000000001</v>
      </c>
      <c r="O36" s="53">
        <f>fbi(Q36,Grass)</f>
        <v>11</v>
      </c>
      <c r="P36" s="54">
        <f>ROS_grass(F36,S36,curing_grass,state_grass)</f>
        <v>1223.6632080078125</v>
      </c>
      <c r="Q36" s="54">
        <f>Intensity_grass(P36,fl_s_grass)</f>
        <v>2845.0168832509526</v>
      </c>
      <c r="R36" s="55">
        <f>Flame_height_grass(P36,state_grass)</f>
        <v>0.81464624404907227</v>
      </c>
      <c r="S36" s="55">
        <f t="shared" si="4"/>
        <v>13.092000007629395</v>
      </c>
      <c r="T36" s="102">
        <f>fbi(V36,Woodland)</f>
        <v>8</v>
      </c>
      <c r="U36" s="103">
        <f>ROS_woodland(F36,X36,curing_woodland,subtype_woodland,fl_woodland,waf_woodland)</f>
        <v>611.83160400390625</v>
      </c>
      <c r="V36" s="103">
        <f t="shared" si="5"/>
        <v>1422.5084416254763</v>
      </c>
      <c r="W36" s="104">
        <f t="shared" si="6"/>
        <v>0.66399562358856201</v>
      </c>
      <c r="X36" s="104">
        <f t="shared" si="7"/>
        <v>13.092000007629395</v>
      </c>
      <c r="Y36" s="56">
        <f>fbi(AA36,Heath)</f>
        <v>6</v>
      </c>
      <c r="Z36" s="57">
        <f>ROS_heath(F36,h_el_heath,AC36,overstorey_heath)</f>
        <v>11.062623000525841</v>
      </c>
      <c r="AA36" s="57">
        <f>intensity_heath(Z36,fl_total_max_heath,fl_heath,0.2)</f>
        <v>112.06089054895263</v>
      </c>
      <c r="AB36" s="58">
        <f t="shared" si="8"/>
        <v>0.31510600667263811</v>
      </c>
      <c r="AC36" s="58">
        <f>FMC_heath(C36,D36,rain_heath,tsr_heath)</f>
        <v>11.983999999999998</v>
      </c>
      <c r="AD36" s="114">
        <f>fbi(AF36,Pine)</f>
        <v>11</v>
      </c>
      <c r="AE36" s="115">
        <f t="array" ref="AE36:AG36">fb_pine_ensemble(F36,AH36,G36,kbdi)</f>
        <v>347.65559669652953</v>
      </c>
      <c r="AF36" s="115">
        <v>713.1012648115518</v>
      </c>
      <c r="AG36" s="116">
        <v>1.3498784303665161</v>
      </c>
      <c r="AH36" s="116">
        <f t="shared" si="9"/>
        <v>10.038479804992676</v>
      </c>
      <c r="AI36" s="81">
        <f>FBI_mallee(F36,AM36,cov_o_mallee,AK36)</f>
        <v>0</v>
      </c>
      <c r="AJ36" s="90">
        <f>ROS_mallee(F36,AM36,cov_o_mallee,h_o_mallee)</f>
        <v>0</v>
      </c>
      <c r="AK36" s="90">
        <f>Intensity(AJ36,fuel_load_mallee(F36,tsf,AM36,fl_s_mallee,fl_o_mallee))</f>
        <v>0</v>
      </c>
      <c r="AL36" s="89">
        <f t="shared" si="10"/>
        <v>0</v>
      </c>
      <c r="AM36" s="81">
        <f>FMC_mallee(C36,D36,A36,B36,rain_mallee,tsr_mallee)</f>
        <v>14.392999999999999</v>
      </c>
      <c r="AN36" s="123">
        <f>fbi(AO36,Spinifex)</f>
        <v>16</v>
      </c>
      <c r="AO36" s="133">
        <f>ROS_spinifex(F36,tsf,AR36,waf_spinifex,productivity_spinifex)</f>
        <v>534.5073354620755</v>
      </c>
      <c r="AP36" s="133">
        <f>intensity_spinifex(AO36,tsf,productivity_spinifex,subtype_spinifex)</f>
        <v>1988.3935391965031</v>
      </c>
      <c r="AQ36" s="129">
        <f>flame_height_spinifex(AO36,tsf,productivity_spinifex,subtype_spinifex)</f>
        <v>2.1257202625274658</v>
      </c>
      <c r="AR36" s="123">
        <f>FMC_spinifex(AWAP_uf,tsf,D36,C36,productivity_spinifex)</f>
        <v>17.139072200000001</v>
      </c>
    </row>
    <row r="37" spans="1:44" x14ac:dyDescent="0.3">
      <c r="A37" s="21">
        <v>43778.25</v>
      </c>
      <c r="B37" s="22">
        <v>43778.25</v>
      </c>
      <c r="C37" s="23">
        <v>16.5</v>
      </c>
      <c r="D37" s="23">
        <v>50</v>
      </c>
      <c r="E37" s="23">
        <v>180</v>
      </c>
      <c r="F37" s="23">
        <v>18.399999999999999</v>
      </c>
      <c r="G37" s="23">
        <v>10</v>
      </c>
      <c r="H37" s="84">
        <f t="shared" si="3"/>
        <v>0</v>
      </c>
      <c r="I37" s="50">
        <f>fbi(K37,Forest)</f>
        <v>16</v>
      </c>
      <c r="J37" s="51">
        <f>ROS_forest(F37,fhs_s,fhs_ns,h_ns_forest,N37,G37,waf_forest,kbdi,submodel_forest)</f>
        <v>253.28640952425494</v>
      </c>
      <c r="K37" s="51">
        <f>Intensity_forest(J37,G37,L37,fl_s_forest,fl_ns_forest,fl_e_forest,fl_o_forest,h_o_forest,waf_forest,kbdi,submodel_forest)</f>
        <v>2028.4019338722826</v>
      </c>
      <c r="L37" s="52">
        <f>Flame_height_forest(J37,h_e_forest)</f>
        <v>4.0611534118652344</v>
      </c>
      <c r="M37" s="50">
        <f>Spotting_forest(J37,F37,fhs_s)</f>
        <v>184</v>
      </c>
      <c r="N37" s="52">
        <f>FMC_Forest(C37,D37,A37,B37,submodel_forest)</f>
        <v>12.18305</v>
      </c>
      <c r="O37" s="53">
        <f>fbi(Q37,Grass)</f>
        <v>13</v>
      </c>
      <c r="P37" s="54">
        <f>ROS_grass(F37,S37,curing_grass,state_grass)</f>
        <v>1524.9908447265625</v>
      </c>
      <c r="Q37" s="54">
        <f>Intensity_grass(P37,fl_s_grass)</f>
        <v>3545.6036200628355</v>
      </c>
      <c r="R37" s="55">
        <f>Flame_height_grass(P37,state_grass)</f>
        <v>0.86930590867996216</v>
      </c>
      <c r="S37" s="55">
        <f t="shared" si="4"/>
        <v>13.097499847412109</v>
      </c>
      <c r="T37" s="102">
        <f>fbi(V37,Woodland)</f>
        <v>9</v>
      </c>
      <c r="U37" s="103">
        <f>ROS_woodland(F37,X37,curing_woodland,subtype_woodland,fl_woodland,waf_woodland)</f>
        <v>762.49542236328125</v>
      </c>
      <c r="V37" s="103">
        <f t="shared" si="5"/>
        <v>1772.8018100314177</v>
      </c>
      <c r="W37" s="104">
        <f t="shared" si="6"/>
        <v>0.70854717493057251</v>
      </c>
      <c r="X37" s="104">
        <f t="shared" si="7"/>
        <v>13.097499847412109</v>
      </c>
      <c r="Y37" s="56">
        <f>fbi(AA37,Heath)</f>
        <v>10</v>
      </c>
      <c r="Z37" s="57">
        <f>ROS_heath(F37,h_el_heath,AC37,overstorey_heath)</f>
        <v>34.916521666992622</v>
      </c>
      <c r="AA37" s="57">
        <f>intensity_heath(Z37,fl_total_max_heath,fl_heath,0.2)</f>
        <v>353.69337929069866</v>
      </c>
      <c r="AB37" s="58">
        <f t="shared" si="8"/>
        <v>0.65227855873200125</v>
      </c>
      <c r="AC37" s="58">
        <f>FMC_heath(C37,D37,rain_heath,tsr_heath)</f>
        <v>11.920000000000002</v>
      </c>
      <c r="AD37" s="114">
        <f>fbi(AF37,Pine)</f>
        <v>19</v>
      </c>
      <c r="AE37" s="115">
        <f t="array" ref="AE37:AG37">fb_pine_ensemble(F37,AH37,G37,kbdi)</f>
        <v>683.17174953342465</v>
      </c>
      <c r="AF37" s="115">
        <v>2826.5501011021465</v>
      </c>
      <c r="AG37" s="116">
        <v>6.8784804344177246</v>
      </c>
      <c r="AH37" s="116">
        <f t="shared" si="9"/>
        <v>9.9344501495361328</v>
      </c>
      <c r="AI37" s="81">
        <f>FBI_mallee(F37,AM37,cov_o_mallee,AK37)</f>
        <v>0</v>
      </c>
      <c r="AJ37" s="90">
        <f>ROS_mallee(F37,AM37,cov_o_mallee,h_o_mallee)</f>
        <v>0</v>
      </c>
      <c r="AK37" s="90">
        <f>Intensity(AJ37,fuel_load_mallee(F37,tsf,AM37,fl_s_mallee,fl_o_mallee))</f>
        <v>0</v>
      </c>
      <c r="AL37" s="89">
        <f t="shared" si="10"/>
        <v>0</v>
      </c>
      <c r="AM37" s="81">
        <f>FMC_mallee(C37,D37,A37,B37,rain_mallee,tsr_mallee)</f>
        <v>14.289999999999997</v>
      </c>
      <c r="AN37" s="123">
        <f>fbi(AO37,Spinifex)</f>
        <v>18</v>
      </c>
      <c r="AO37" s="133">
        <f>ROS_spinifex(F37,tsf,AR37,waf_spinifex,productivity_spinifex)</f>
        <v>735.72132376888612</v>
      </c>
      <c r="AP37" s="133">
        <f>intensity_spinifex(AO37,tsf,productivity_spinifex,subtype_spinifex)</f>
        <v>2736.9194579275295</v>
      </c>
      <c r="AQ37" s="129">
        <f>flame_height_spinifex(AO37,tsf,productivity_spinifex,subtype_spinifex)</f>
        <v>2.3275651931762695</v>
      </c>
      <c r="AR37" s="123">
        <f>FMC_spinifex(AWAP_uf,tsf,D37,C37,productivity_spinifex)</f>
        <v>16.989314</v>
      </c>
    </row>
    <row r="38" spans="1:44" x14ac:dyDescent="0.3">
      <c r="A38" s="21">
        <v>43778.291666666664</v>
      </c>
      <c r="B38" s="22">
        <v>43778.291666666664</v>
      </c>
      <c r="C38" s="23">
        <v>16.399999999999999</v>
      </c>
      <c r="D38" s="23">
        <v>51</v>
      </c>
      <c r="E38" s="23">
        <v>190</v>
      </c>
      <c r="F38" s="23">
        <v>13</v>
      </c>
      <c r="G38" s="23">
        <v>10</v>
      </c>
      <c r="H38" s="84">
        <f t="shared" si="3"/>
        <v>10</v>
      </c>
      <c r="I38" s="50">
        <f>fbi(K38,Forest)</f>
        <v>14</v>
      </c>
      <c r="J38" s="51">
        <f>ROS_forest(F38,fhs_s,fhs_ns,h_ns_forest,N38,G38,waf_forest,kbdi,submodel_forest)</f>
        <v>182.96206142370295</v>
      </c>
      <c r="K38" s="51">
        <f>Intensity_forest(J38,G38,L38,fl_s_forest,fl_ns_forest,fl_e_forest,fl_o_forest,h_o_forest,waf_forest,kbdi,submodel_forest)</f>
        <v>1465.2211301592147</v>
      </c>
      <c r="L38" s="52">
        <f>Flame_height_forest(J38,h_e_forest)</f>
        <v>3.2101480960845947</v>
      </c>
      <c r="M38" s="50">
        <f>Spotting_forest(J38,F38,fhs_s)</f>
        <v>292</v>
      </c>
      <c r="N38" s="52">
        <f>FMC_Forest(C38,D38,A38,B38,submodel_forest)</f>
        <v>11.481000000000002</v>
      </c>
      <c r="O38" s="53">
        <f>fbi(Q38,Grass)</f>
        <v>10</v>
      </c>
      <c r="P38" s="54">
        <f>ROS_grass(F38,S38,curing_grass,state_grass)</f>
        <v>1050.261962890625</v>
      </c>
      <c r="Q38" s="54">
        <f>Intensity_grass(P38,fl_s_grass)</f>
        <v>2441.858999033529</v>
      </c>
      <c r="R38" s="55">
        <f>Flame_height_grass(P38,state_grass)</f>
        <v>0.77873837947845459</v>
      </c>
      <c r="S38" s="55">
        <f t="shared" si="4"/>
        <v>13.255999565124512</v>
      </c>
      <c r="T38" s="102">
        <f>fbi(V38,Woodland)</f>
        <v>8</v>
      </c>
      <c r="U38" s="103">
        <f>ROS_woodland(F38,X38,curing_woodland,subtype_woodland,fl_woodland,waf_woodland)</f>
        <v>525.1309814453125</v>
      </c>
      <c r="V38" s="103">
        <f t="shared" si="5"/>
        <v>1220.9294995167645</v>
      </c>
      <c r="W38" s="104">
        <f t="shared" si="6"/>
        <v>0.63472813367843628</v>
      </c>
      <c r="X38" s="104">
        <f t="shared" si="7"/>
        <v>13.255999565124512</v>
      </c>
      <c r="Y38" s="56">
        <f>fbi(AA38,Heath)</f>
        <v>6</v>
      </c>
      <c r="Z38" s="57">
        <f>ROS_heath(F38,h_el_heath,AC38,overstorey_heath)</f>
        <v>5.986077169850061</v>
      </c>
      <c r="AA38" s="57">
        <f>intensity_heath(Z38,fl_total_max_heath,fl_heath,0.2)</f>
        <v>60.637078432146367</v>
      </c>
      <c r="AB38" s="58">
        <f t="shared" si="8"/>
        <v>0.21361196731558424</v>
      </c>
      <c r="AC38" s="58">
        <f>FMC_heath(C38,D38,rain_heath,tsr_heath)</f>
        <v>12.063999999999998</v>
      </c>
      <c r="AD38" s="114">
        <f>fbi(AF38,Pine)</f>
        <v>11</v>
      </c>
      <c r="AE38" s="115">
        <f t="array" ref="AE38:AG38">fb_pine_ensemble(F38,AH38,G38,kbdi)</f>
        <v>303.63368276851617</v>
      </c>
      <c r="AF38" s="115">
        <v>656.95422584491757</v>
      </c>
      <c r="AG38" s="116">
        <v>1.2794471979141235</v>
      </c>
      <c r="AH38" s="116">
        <f t="shared" si="9"/>
        <v>10.055359840393066</v>
      </c>
      <c r="AI38" s="81">
        <f>FBI_mallee(F38,AM38,cov_o_mallee,AK38)</f>
        <v>0</v>
      </c>
      <c r="AJ38" s="90">
        <f>ROS_mallee(F38,AM38,cov_o_mallee,h_o_mallee)</f>
        <v>0</v>
      </c>
      <c r="AK38" s="90">
        <f>Intensity(AJ38,fuel_load_mallee(F38,tsf,AM38,fl_s_mallee,fl_o_mallee))</f>
        <v>0</v>
      </c>
      <c r="AL38" s="89">
        <f t="shared" si="10"/>
        <v>0</v>
      </c>
      <c r="AM38" s="81">
        <f>FMC_mallee(C38,D38,A38,B38,rain_mallee,tsr_mallee)</f>
        <v>14.472999999999999</v>
      </c>
      <c r="AN38" s="123">
        <f>fbi(AO38,Spinifex)</f>
        <v>15</v>
      </c>
      <c r="AO38" s="133">
        <f>ROS_spinifex(F38,tsf,AR38,waf_spinifex,productivity_spinifex)</f>
        <v>445.30264447137523</v>
      </c>
      <c r="AP38" s="133">
        <f>intensity_spinifex(AO38,tsf,productivity_spinifex,subtype_spinifex)</f>
        <v>1656.5477075979693</v>
      </c>
      <c r="AQ38" s="129">
        <f>flame_height_spinifex(AO38,tsf,productivity_spinifex,subtype_spinifex)</f>
        <v>2.0220708847045898</v>
      </c>
      <c r="AR38" s="123">
        <f>FMC_spinifex(AWAP_uf,tsf,D38,C38,productivity_spinifex)</f>
        <v>17.1508994</v>
      </c>
    </row>
    <row r="39" spans="1:44" x14ac:dyDescent="0.3">
      <c r="A39" s="21">
        <v>43778.333333333336</v>
      </c>
      <c r="B39" s="22">
        <v>43778.333333333336</v>
      </c>
      <c r="C39" s="23">
        <v>17.3</v>
      </c>
      <c r="D39" s="23">
        <v>47</v>
      </c>
      <c r="E39" s="23">
        <v>190</v>
      </c>
      <c r="F39" s="23">
        <v>25.9</v>
      </c>
      <c r="G39" s="23">
        <v>10</v>
      </c>
      <c r="H39" s="84">
        <f t="shared" si="3"/>
        <v>10</v>
      </c>
      <c r="I39" s="50">
        <f>fbi(K39,Forest)</f>
        <v>22</v>
      </c>
      <c r="J39" s="51">
        <f>ROS_forest(F39,fhs_s,fhs_ns,h_ns_forest,N39,G39,waf_forest,kbdi,submodel_forest)</f>
        <v>438.88994225746399</v>
      </c>
      <c r="K39" s="51">
        <f>Intensity_forest(J39,G39,L39,fl_s_forest,fl_ns_forest,fl_e_forest,fl_o_forest,h_o_forest,waf_forest,kbdi,submodel_forest)</f>
        <v>3514.7768461176906</v>
      </c>
      <c r="L39" s="52">
        <f>Flame_height_forest(J39,h_e_forest)</f>
        <v>6.043118953704834</v>
      </c>
      <c r="M39" s="50">
        <f>Spotting_forest(J39,F39,fhs_s)</f>
        <v>261</v>
      </c>
      <c r="N39" s="52">
        <f>FMC_Forest(C39,D39,A39,B39,submodel_forest)</f>
        <v>10.764500000000002</v>
      </c>
      <c r="O39" s="53">
        <f>fbi(Q39,Grass)</f>
        <v>16</v>
      </c>
      <c r="P39" s="54">
        <f>ROS_grass(F39,S39,curing_grass,state_grass)</f>
        <v>2229.591064453125</v>
      </c>
      <c r="Q39" s="54">
        <f>Intensity_grass(P39,fl_s_grass)</f>
        <v>5183.7990875297328</v>
      </c>
      <c r="R39" s="55">
        <f>Flame_height_grass(P39,state_grass)</f>
        <v>0.9723781943321228</v>
      </c>
      <c r="S39" s="55">
        <f t="shared" si="4"/>
        <v>12.519499778747559</v>
      </c>
      <c r="T39" s="102">
        <f>fbi(V39,Woodland)</f>
        <v>11</v>
      </c>
      <c r="U39" s="103">
        <f>ROS_woodland(F39,X39,curing_woodland,subtype_woodland,fl_woodland,waf_woodland)</f>
        <v>1114.7955322265625</v>
      </c>
      <c r="V39" s="103">
        <f t="shared" si="5"/>
        <v>2591.8995437648664</v>
      </c>
      <c r="W39" s="104">
        <f t="shared" si="6"/>
        <v>0.79255855083465576</v>
      </c>
      <c r="X39" s="104">
        <f t="shared" si="7"/>
        <v>12.519499778747559</v>
      </c>
      <c r="Y39" s="56">
        <f>fbi(AA39,Heath)</f>
        <v>21</v>
      </c>
      <c r="Z39" s="57">
        <f>ROS_heath(F39,h_el_heath,AC39,overstorey_heath)</f>
        <v>313.34511664313948</v>
      </c>
      <c r="AA39" s="57">
        <f>intensity_heath(Z39,fl_total_max_heath,fl_heath,0.2)</f>
        <v>3174.0874491091836</v>
      </c>
      <c r="AB39" s="58">
        <f t="shared" si="8"/>
        <v>2.6162365697717744</v>
      </c>
      <c r="AC39" s="58">
        <f>FMC_heath(C39,D39,rain_heath,tsr_heath)</f>
        <v>11.438000000000001</v>
      </c>
      <c r="AD39" s="114">
        <f>fbi(AF39,Pine)</f>
        <v>31</v>
      </c>
      <c r="AE39" s="115">
        <f t="array" ref="AE39:AG39">fb_pine_ensemble(F39,AH39,G39,kbdi)</f>
        <v>1165.584850246734</v>
      </c>
      <c r="AF39" s="115">
        <v>5642.8205396043968</v>
      </c>
      <c r="AG39" s="116">
        <v>9.7050800323486328</v>
      </c>
      <c r="AH39" s="116">
        <f t="shared" si="9"/>
        <v>9.5611696243286133</v>
      </c>
      <c r="AI39" s="81">
        <f>FBI_mallee(F39,AM39,cov_o_mallee,AK39)</f>
        <v>0</v>
      </c>
      <c r="AJ39" s="90">
        <f>ROS_mallee(F39,AM39,cov_o_mallee,h_o_mallee)</f>
        <v>0</v>
      </c>
      <c r="AK39" s="90">
        <f>Intensity(AJ39,fuel_load_mallee(F39,tsf,AM39,fl_s_mallee,fl_o_mallee))</f>
        <v>0</v>
      </c>
      <c r="AL39" s="89">
        <f t="shared" si="10"/>
        <v>0</v>
      </c>
      <c r="AM39" s="81">
        <f>FMC_mallee(C39,D39,A39,B39,rain_mallee,tsr_mallee)</f>
        <v>13.690999999999999</v>
      </c>
      <c r="AN39" s="123">
        <f>fbi(AO39,Spinifex)</f>
        <v>23</v>
      </c>
      <c r="AO39" s="133">
        <f>ROS_spinifex(F39,tsf,AR39,waf_spinifex,productivity_spinifex)</f>
        <v>1247.7565817508021</v>
      </c>
      <c r="AP39" s="133">
        <f>intensity_spinifex(AO39,tsf,productivity_spinifex,subtype_spinifex)</f>
        <v>4641.7157652259066</v>
      </c>
      <c r="AQ39" s="129">
        <f>flame_height_spinifex(AO39,tsf,productivity_spinifex,subtype_spinifex)</f>
        <v>2.7275176048278809</v>
      </c>
      <c r="AR39" s="123">
        <f>FMC_spinifex(AWAP_uf,tsf,D39,C39,productivity_spinifex)</f>
        <v>16.497165799999998</v>
      </c>
    </row>
    <row r="40" spans="1:44" x14ac:dyDescent="0.3">
      <c r="P40" s="8"/>
      <c r="Q40" s="8"/>
      <c r="T40" s="103"/>
      <c r="U40" s="103"/>
      <c r="V40" s="103"/>
      <c r="W40" s="104"/>
      <c r="X40" s="104"/>
      <c r="Y40" s="56"/>
      <c r="Z40" s="56"/>
      <c r="AA40" s="56"/>
      <c r="AD40" s="114"/>
      <c r="AE40" s="114"/>
    </row>
    <row r="41" spans="1:44" x14ac:dyDescent="0.3">
      <c r="P41" s="8"/>
      <c r="Q41" s="8"/>
      <c r="T41" s="103"/>
      <c r="U41" s="103"/>
      <c r="V41" s="103"/>
      <c r="W41" s="104"/>
      <c r="X41" s="104"/>
      <c r="Y41" s="56"/>
      <c r="Z41" s="56"/>
      <c r="AA41" s="56"/>
      <c r="AD41" s="114"/>
      <c r="AE41" s="114"/>
    </row>
    <row r="42" spans="1:44" x14ac:dyDescent="0.3">
      <c r="P42" s="8"/>
      <c r="Q42" s="8"/>
      <c r="T42" s="103"/>
      <c r="U42" s="103"/>
      <c r="V42" s="103"/>
      <c r="W42" s="104"/>
      <c r="X42" s="104"/>
      <c r="Y42" s="56"/>
      <c r="Z42" s="56"/>
      <c r="AA42" s="56"/>
      <c r="AD42" s="114"/>
      <c r="AE42" s="114"/>
    </row>
    <row r="43" spans="1:44" x14ac:dyDescent="0.3">
      <c r="P43" s="8"/>
      <c r="Q43" s="8"/>
      <c r="T43" s="103"/>
      <c r="U43" s="103"/>
      <c r="V43" s="103"/>
      <c r="W43" s="104"/>
      <c r="X43" s="104"/>
      <c r="Y43" s="56"/>
      <c r="Z43" s="56"/>
      <c r="AA43" s="56"/>
      <c r="AD43" s="114"/>
      <c r="AE43" s="114"/>
    </row>
    <row r="44" spans="1:44" x14ac:dyDescent="0.3">
      <c r="P44" s="8"/>
      <c r="Q44" s="8"/>
      <c r="T44" s="103"/>
      <c r="U44" s="103"/>
      <c r="V44" s="103"/>
      <c r="W44" s="104"/>
      <c r="X44" s="104"/>
      <c r="Y44" s="56"/>
      <c r="Z44" s="56"/>
      <c r="AA44" s="56"/>
      <c r="AD44" s="114"/>
      <c r="AE44" s="114"/>
    </row>
    <row r="45" spans="1:44" x14ac:dyDescent="0.3">
      <c r="P45" s="8"/>
      <c r="Q45" s="8"/>
      <c r="T45" s="103"/>
      <c r="U45" s="103"/>
      <c r="V45" s="103"/>
      <c r="W45" s="104"/>
      <c r="X45" s="104"/>
      <c r="Y45" s="56"/>
      <c r="Z45" s="56"/>
      <c r="AA45" s="56"/>
      <c r="AD45" s="114"/>
      <c r="AE45" s="114"/>
    </row>
    <row r="46" spans="1:44" x14ac:dyDescent="0.3">
      <c r="P46" s="8"/>
      <c r="Q46" s="8"/>
      <c r="T46" s="103"/>
      <c r="U46" s="103"/>
      <c r="V46" s="103"/>
      <c r="W46" s="104"/>
      <c r="X46" s="104"/>
      <c r="Y46" s="56"/>
      <c r="Z46" s="56"/>
      <c r="AA46" s="56"/>
      <c r="AD46" s="114"/>
      <c r="AE46" s="114"/>
    </row>
    <row r="47" spans="1:44" x14ac:dyDescent="0.3">
      <c r="P47" s="8"/>
      <c r="Q47" s="8"/>
      <c r="T47" s="103"/>
      <c r="U47" s="103"/>
      <c r="V47" s="103"/>
      <c r="W47" s="104"/>
      <c r="X47" s="104"/>
      <c r="Y47" s="56"/>
      <c r="Z47" s="56"/>
      <c r="AA47" s="56"/>
      <c r="AD47" s="114"/>
      <c r="AE47" s="114"/>
    </row>
    <row r="48" spans="1:44" x14ac:dyDescent="0.3">
      <c r="P48" s="8"/>
      <c r="Q48" s="8"/>
      <c r="T48" s="103"/>
      <c r="U48" s="103"/>
      <c r="V48" s="103"/>
      <c r="W48" s="104"/>
      <c r="X48" s="104"/>
      <c r="Y48" s="56"/>
      <c r="Z48" s="56"/>
      <c r="AA48" s="56"/>
      <c r="AD48" s="114"/>
      <c r="AE48" s="114"/>
    </row>
    <row r="49" spans="16:31" x14ac:dyDescent="0.3">
      <c r="P49" s="8"/>
      <c r="Q49" s="8"/>
      <c r="T49" s="103"/>
      <c r="U49" s="103"/>
      <c r="V49" s="103"/>
      <c r="W49" s="104"/>
      <c r="X49" s="104"/>
      <c r="Y49" s="56"/>
      <c r="Z49" s="56"/>
      <c r="AA49" s="56"/>
      <c r="AD49" s="114"/>
      <c r="AE49" s="114"/>
    </row>
    <row r="50" spans="16:31" x14ac:dyDescent="0.3">
      <c r="P50" s="8"/>
      <c r="Q50" s="8"/>
      <c r="T50" s="103"/>
      <c r="U50" s="103"/>
      <c r="V50" s="103"/>
      <c r="W50" s="104"/>
      <c r="X50" s="104"/>
      <c r="Y50" s="56"/>
      <c r="Z50" s="56"/>
      <c r="AA50" s="56"/>
      <c r="AD50" s="114"/>
      <c r="AE50" s="114"/>
    </row>
    <row r="51" spans="16:31" x14ac:dyDescent="0.3">
      <c r="P51" s="8"/>
      <c r="Q51" s="8"/>
      <c r="T51" s="103"/>
      <c r="U51" s="103"/>
      <c r="V51" s="103"/>
      <c r="W51" s="104"/>
      <c r="X51" s="104"/>
      <c r="Y51" s="56"/>
      <c r="Z51" s="56"/>
      <c r="AA51" s="56"/>
      <c r="AD51" s="114"/>
      <c r="AE51" s="114"/>
    </row>
    <row r="52" spans="16:31" x14ac:dyDescent="0.3">
      <c r="P52" s="8"/>
      <c r="Q52" s="8"/>
      <c r="T52" s="103"/>
      <c r="U52" s="103"/>
      <c r="V52" s="103"/>
      <c r="W52" s="104"/>
      <c r="X52" s="104"/>
      <c r="Y52" s="56"/>
      <c r="Z52" s="56"/>
      <c r="AA52" s="56"/>
      <c r="AD52" s="114"/>
      <c r="AE52" s="114"/>
    </row>
    <row r="53" spans="16:31" x14ac:dyDescent="0.3">
      <c r="P53" s="8"/>
      <c r="Q53" s="8"/>
      <c r="T53" s="103"/>
      <c r="U53" s="103"/>
      <c r="V53" s="103"/>
      <c r="W53" s="104"/>
      <c r="X53" s="104"/>
      <c r="Y53" s="56"/>
      <c r="Z53" s="56"/>
      <c r="AA53" s="56"/>
      <c r="AD53" s="114"/>
      <c r="AE53" s="114"/>
    </row>
    <row r="54" spans="16:31" x14ac:dyDescent="0.3">
      <c r="P54" s="8"/>
      <c r="Q54" s="8"/>
      <c r="T54" s="103"/>
      <c r="U54" s="103"/>
      <c r="V54" s="103"/>
      <c r="W54" s="104"/>
      <c r="X54" s="104"/>
      <c r="Y54" s="56"/>
      <c r="Z54" s="56"/>
      <c r="AA54" s="56"/>
      <c r="AD54" s="114"/>
      <c r="AE54" s="114"/>
    </row>
    <row r="55" spans="16:31" x14ac:dyDescent="0.3">
      <c r="P55" s="8"/>
      <c r="Q55" s="8"/>
      <c r="T55" s="103"/>
      <c r="U55" s="103"/>
      <c r="V55" s="103"/>
      <c r="W55" s="104"/>
      <c r="X55" s="104"/>
      <c r="Y55" s="56"/>
      <c r="Z55" s="56"/>
      <c r="AA55" s="56"/>
      <c r="AD55" s="114"/>
      <c r="AE55" s="114"/>
    </row>
    <row r="56" spans="16:31" x14ac:dyDescent="0.3">
      <c r="P56" s="8"/>
      <c r="Q56" s="8"/>
      <c r="T56" s="103"/>
      <c r="U56" s="103"/>
      <c r="V56" s="103"/>
      <c r="W56" s="104"/>
      <c r="X56" s="104"/>
      <c r="Y56" s="56"/>
      <c r="Z56" s="56"/>
      <c r="AA56" s="56"/>
      <c r="AD56" s="114"/>
      <c r="AE56" s="114"/>
    </row>
    <row r="57" spans="16:31" x14ac:dyDescent="0.3">
      <c r="P57" s="8"/>
      <c r="Q57" s="8"/>
      <c r="T57" s="103"/>
      <c r="U57" s="103"/>
      <c r="V57" s="103"/>
      <c r="W57" s="104"/>
      <c r="X57" s="104"/>
      <c r="Y57" s="56"/>
      <c r="Z57" s="56"/>
      <c r="AA57" s="56"/>
    </row>
    <row r="58" spans="16:31" x14ac:dyDescent="0.3">
      <c r="P58" s="8"/>
      <c r="Q58" s="8"/>
      <c r="T58" s="103"/>
      <c r="U58" s="103"/>
      <c r="V58" s="103"/>
      <c r="W58" s="104"/>
      <c r="X58" s="104"/>
      <c r="Y58" s="56"/>
      <c r="Z58" s="56"/>
      <c r="AA58" s="56"/>
    </row>
    <row r="59" spans="16:31" x14ac:dyDescent="0.3">
      <c r="P59" s="8"/>
      <c r="Q59" s="8"/>
      <c r="T59" s="103"/>
      <c r="U59" s="103"/>
      <c r="V59" s="103"/>
      <c r="W59" s="104"/>
      <c r="X59" s="104"/>
      <c r="Y59" s="56"/>
      <c r="Z59" s="56"/>
      <c r="AA59" s="56"/>
    </row>
    <row r="60" spans="16:31" x14ac:dyDescent="0.3">
      <c r="P60" s="8"/>
      <c r="Q60" s="8"/>
    </row>
  </sheetData>
  <mergeCells count="2">
    <mergeCell ref="B1:C1"/>
    <mergeCell ref="W3:X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9">
    <cfRule type="expression" dxfId="27" priority="28">
      <formula>$Y15&gt;=12</formula>
    </cfRule>
  </conditionalFormatting>
  <conditionalFormatting sqref="Y60:Y179 Y15:Y39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9">
    <cfRule type="expression" dxfId="23" priority="24">
      <formula>$AD15&gt;=12</formula>
    </cfRule>
  </conditionalFormatting>
  <conditionalFormatting sqref="AD57:AD179 AD15:AD39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9">
    <cfRule type="expression" dxfId="19" priority="20">
      <formula>AI15&gt;=12</formula>
    </cfRule>
  </conditionalFormatting>
  <conditionalFormatting sqref="AI15:AI39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40:AA59">
    <cfRule type="expression" dxfId="15" priority="16">
      <formula>$Y40&gt;=12</formula>
    </cfRule>
  </conditionalFormatting>
  <conditionalFormatting sqref="Y40:AA59">
    <cfRule type="expression" dxfId="14" priority="13">
      <formula>$Y40&gt;=100</formula>
    </cfRule>
    <cfRule type="expression" dxfId="13" priority="14">
      <formula>$Y40&gt;=50</formula>
    </cfRule>
    <cfRule type="expression" dxfId="12" priority="15">
      <formula>$Y40&gt;=24</formula>
    </cfRule>
  </conditionalFormatting>
  <conditionalFormatting sqref="AD40:AE56">
    <cfRule type="expression" dxfId="11" priority="12">
      <formula>$AD40&gt;=12</formula>
    </cfRule>
  </conditionalFormatting>
  <conditionalFormatting sqref="AD40:AE56">
    <cfRule type="expression" dxfId="10" priority="9">
      <formula>$AD40&gt;=100</formula>
    </cfRule>
    <cfRule type="expression" dxfId="9" priority="10">
      <formula>$AD40&gt;=50</formula>
    </cfRule>
    <cfRule type="expression" dxfId="8" priority="11">
      <formula>$AD40&gt;=24</formula>
    </cfRule>
  </conditionalFormatting>
  <conditionalFormatting sqref="T15:T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3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39">
    <cfRule type="expression" dxfId="0" priority="4">
      <formula>$AD15&gt;=12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9" t="s">
        <v>51</v>
      </c>
      <c r="F1" s="29" t="s">
        <v>161</v>
      </c>
      <c r="G1" s="29" t="s">
        <v>162</v>
      </c>
      <c r="I1" t="s">
        <v>17</v>
      </c>
      <c r="K1" t="s">
        <v>58</v>
      </c>
      <c r="L1" t="s">
        <v>60</v>
      </c>
      <c r="N1" s="29" t="s">
        <v>123</v>
      </c>
      <c r="P1" s="29" t="s">
        <v>632</v>
      </c>
      <c r="R1" s="29" t="s">
        <v>147</v>
      </c>
      <c r="U1" s="29" t="s">
        <v>159</v>
      </c>
    </row>
    <row r="2" spans="1:21" x14ac:dyDescent="0.3">
      <c r="A2" s="29" t="s">
        <v>64</v>
      </c>
      <c r="B2" s="29" t="s">
        <v>62</v>
      </c>
      <c r="C2" s="29" t="s">
        <v>63</v>
      </c>
      <c r="D2" s="29" t="s">
        <v>67</v>
      </c>
      <c r="E2" s="29"/>
      <c r="F2" t="s">
        <v>169</v>
      </c>
      <c r="G2" t="s">
        <v>215</v>
      </c>
      <c r="I2" t="s">
        <v>18</v>
      </c>
      <c r="K2" t="b">
        <v>1</v>
      </c>
      <c r="L2">
        <v>0.35</v>
      </c>
      <c r="N2" t="s">
        <v>124</v>
      </c>
      <c r="R2" t="s">
        <v>148</v>
      </c>
      <c r="U2" t="s">
        <v>160</v>
      </c>
    </row>
    <row r="3" spans="1:21" x14ac:dyDescent="0.3">
      <c r="A3" t="s">
        <v>73</v>
      </c>
      <c r="B3" t="s">
        <v>46</v>
      </c>
      <c r="C3">
        <v>30</v>
      </c>
      <c r="D3" t="s">
        <v>74</v>
      </c>
      <c r="F3" t="s">
        <v>188</v>
      </c>
      <c r="G3" t="s">
        <v>234</v>
      </c>
      <c r="I3" t="s">
        <v>19</v>
      </c>
      <c r="K3" t="b">
        <v>0</v>
      </c>
      <c r="L3">
        <v>0.66700000000000004</v>
      </c>
      <c r="N3" t="s">
        <v>125</v>
      </c>
      <c r="R3" t="s">
        <v>149</v>
      </c>
      <c r="U3" t="s">
        <v>148</v>
      </c>
    </row>
    <row r="4" spans="1:21" x14ac:dyDescent="0.3">
      <c r="A4" t="s">
        <v>73</v>
      </c>
      <c r="B4" t="s">
        <v>45</v>
      </c>
      <c r="C4">
        <v>25</v>
      </c>
      <c r="D4" t="s">
        <v>75</v>
      </c>
      <c r="F4" t="s">
        <v>201</v>
      </c>
      <c r="G4" t="s">
        <v>247</v>
      </c>
      <c r="I4" t="s">
        <v>20</v>
      </c>
      <c r="R4" t="s">
        <v>150</v>
      </c>
    </row>
    <row r="5" spans="1:21" x14ac:dyDescent="0.3">
      <c r="A5" t="s">
        <v>73</v>
      </c>
      <c r="B5" t="s">
        <v>69</v>
      </c>
      <c r="C5">
        <v>25</v>
      </c>
      <c r="D5" t="s">
        <v>83</v>
      </c>
      <c r="F5" t="s">
        <v>186</v>
      </c>
      <c r="G5" t="s">
        <v>232</v>
      </c>
      <c r="R5" t="s">
        <v>151</v>
      </c>
    </row>
    <row r="6" spans="1:21" x14ac:dyDescent="0.3">
      <c r="A6" t="s">
        <v>73</v>
      </c>
      <c r="B6" t="s">
        <v>41</v>
      </c>
      <c r="C6">
        <v>20</v>
      </c>
      <c r="D6" t="s">
        <v>84</v>
      </c>
      <c r="F6" t="s">
        <v>180</v>
      </c>
      <c r="G6" t="s">
        <v>226</v>
      </c>
      <c r="R6" t="s">
        <v>152</v>
      </c>
    </row>
    <row r="7" spans="1:21" x14ac:dyDescent="0.3">
      <c r="A7" t="s">
        <v>33</v>
      </c>
      <c r="B7" t="s">
        <v>35</v>
      </c>
      <c r="C7">
        <v>8</v>
      </c>
      <c r="D7" t="s">
        <v>85</v>
      </c>
      <c r="F7" t="s">
        <v>198</v>
      </c>
      <c r="G7" t="s">
        <v>244</v>
      </c>
    </row>
    <row r="8" spans="1:21" x14ac:dyDescent="0.3">
      <c r="A8" t="s">
        <v>33</v>
      </c>
      <c r="B8" t="s">
        <v>43</v>
      </c>
      <c r="C8">
        <v>3</v>
      </c>
      <c r="D8" t="s">
        <v>76</v>
      </c>
      <c r="F8" t="s">
        <v>177</v>
      </c>
      <c r="G8" t="s">
        <v>223</v>
      </c>
    </row>
    <row r="9" spans="1:21" x14ac:dyDescent="0.3">
      <c r="A9" t="s">
        <v>33</v>
      </c>
      <c r="B9" t="s">
        <v>42</v>
      </c>
      <c r="C9">
        <v>3</v>
      </c>
      <c r="D9" t="s">
        <v>77</v>
      </c>
      <c r="F9" t="s">
        <v>175</v>
      </c>
      <c r="G9" t="s">
        <v>221</v>
      </c>
    </row>
    <row r="10" spans="1:21" x14ac:dyDescent="0.3">
      <c r="A10" t="s">
        <v>33</v>
      </c>
      <c r="B10" t="s">
        <v>38</v>
      </c>
      <c r="C10">
        <v>3</v>
      </c>
      <c r="D10" t="s">
        <v>78</v>
      </c>
      <c r="F10" t="s">
        <v>164</v>
      </c>
      <c r="G10" t="s">
        <v>210</v>
      </c>
    </row>
    <row r="11" spans="1:21" x14ac:dyDescent="0.3">
      <c r="A11" t="s">
        <v>33</v>
      </c>
      <c r="B11" t="s">
        <v>37</v>
      </c>
      <c r="C11">
        <v>3</v>
      </c>
      <c r="D11" t="s">
        <v>79</v>
      </c>
      <c r="F11" t="s">
        <v>183</v>
      </c>
      <c r="G11" t="s">
        <v>229</v>
      </c>
    </row>
    <row r="12" spans="1:21" x14ac:dyDescent="0.3">
      <c r="A12" t="s">
        <v>33</v>
      </c>
      <c r="B12" t="s">
        <v>39</v>
      </c>
      <c r="C12">
        <v>4.5</v>
      </c>
      <c r="D12" t="s">
        <v>80</v>
      </c>
      <c r="F12" t="s">
        <v>199</v>
      </c>
      <c r="G12" t="s">
        <v>245</v>
      </c>
    </row>
    <row r="13" spans="1:21" x14ac:dyDescent="0.3">
      <c r="A13" t="s">
        <v>33</v>
      </c>
      <c r="B13" t="s">
        <v>36</v>
      </c>
      <c r="C13">
        <v>10</v>
      </c>
      <c r="D13" t="s">
        <v>81</v>
      </c>
      <c r="F13" t="s">
        <v>189</v>
      </c>
      <c r="G13" t="s">
        <v>235</v>
      </c>
    </row>
    <row r="14" spans="1:21" x14ac:dyDescent="0.3">
      <c r="A14" t="s">
        <v>33</v>
      </c>
      <c r="B14" t="s">
        <v>44</v>
      </c>
      <c r="C14">
        <v>20</v>
      </c>
      <c r="D14" t="s">
        <v>82</v>
      </c>
      <c r="F14" t="s">
        <v>202</v>
      </c>
      <c r="G14" t="s">
        <v>248</v>
      </c>
    </row>
    <row r="15" spans="1:21" x14ac:dyDescent="0.3">
      <c r="A15" t="s">
        <v>33</v>
      </c>
      <c r="B15" t="s">
        <v>40</v>
      </c>
      <c r="C15">
        <v>20</v>
      </c>
      <c r="D15" t="s">
        <v>88</v>
      </c>
      <c r="F15" s="135" t="s">
        <v>163</v>
      </c>
      <c r="G15" s="135" t="s">
        <v>209</v>
      </c>
    </row>
    <row r="16" spans="1:21" x14ac:dyDescent="0.3">
      <c r="A16" t="s">
        <v>33</v>
      </c>
      <c r="B16" t="s">
        <v>3</v>
      </c>
      <c r="C16">
        <v>3</v>
      </c>
      <c r="D16" t="s">
        <v>89</v>
      </c>
      <c r="F16" t="s">
        <v>200</v>
      </c>
      <c r="G16" t="s">
        <v>246</v>
      </c>
    </row>
    <row r="17" spans="1:7" x14ac:dyDescent="0.3">
      <c r="A17" t="s">
        <v>48</v>
      </c>
      <c r="B17" t="s">
        <v>47</v>
      </c>
      <c r="C17">
        <v>100</v>
      </c>
      <c r="D17" t="s">
        <v>90</v>
      </c>
      <c r="F17" t="s">
        <v>190</v>
      </c>
      <c r="G17" t="s">
        <v>236</v>
      </c>
    </row>
    <row r="18" spans="1:7" x14ac:dyDescent="0.3">
      <c r="A18" t="s">
        <v>48</v>
      </c>
      <c r="B18" t="s">
        <v>24</v>
      </c>
      <c r="C18" t="s">
        <v>19</v>
      </c>
      <c r="D18" t="s">
        <v>91</v>
      </c>
      <c r="F18" t="s">
        <v>203</v>
      </c>
      <c r="G18" t="s">
        <v>249</v>
      </c>
    </row>
    <row r="19" spans="1:7" x14ac:dyDescent="0.3">
      <c r="A19" t="s">
        <v>65</v>
      </c>
      <c r="B19" t="s">
        <v>120</v>
      </c>
      <c r="C19">
        <v>20</v>
      </c>
      <c r="D19" t="s">
        <v>86</v>
      </c>
      <c r="F19" t="s">
        <v>187</v>
      </c>
      <c r="G19" t="s">
        <v>233</v>
      </c>
    </row>
    <row r="20" spans="1:7" x14ac:dyDescent="0.3">
      <c r="A20" t="s">
        <v>65</v>
      </c>
      <c r="B20" t="s">
        <v>66</v>
      </c>
      <c r="C20">
        <v>2</v>
      </c>
      <c r="D20" t="s">
        <v>87</v>
      </c>
      <c r="F20" t="s">
        <v>205</v>
      </c>
      <c r="G20" t="s">
        <v>251</v>
      </c>
    </row>
    <row r="21" spans="1:7" x14ac:dyDescent="0.3">
      <c r="A21" t="s">
        <v>65</v>
      </c>
      <c r="B21" t="s">
        <v>53</v>
      </c>
      <c r="C21">
        <v>48</v>
      </c>
      <c r="D21" t="s">
        <v>92</v>
      </c>
      <c r="F21" t="s">
        <v>194</v>
      </c>
      <c r="G21" t="s">
        <v>240</v>
      </c>
    </row>
    <row r="22" spans="1:7" x14ac:dyDescent="0.3">
      <c r="A22" t="s">
        <v>65</v>
      </c>
      <c r="B22" t="s">
        <v>121</v>
      </c>
      <c r="C22">
        <v>0.2</v>
      </c>
      <c r="D22" t="s">
        <v>70</v>
      </c>
      <c r="F22" t="s">
        <v>197</v>
      </c>
      <c r="G22" t="s">
        <v>243</v>
      </c>
    </row>
    <row r="23" spans="1:7" x14ac:dyDescent="0.3">
      <c r="A23" t="s">
        <v>65</v>
      </c>
      <c r="B23" t="s">
        <v>59</v>
      </c>
      <c r="C23" t="b">
        <v>0</v>
      </c>
      <c r="D23" t="s">
        <v>68</v>
      </c>
      <c r="F23" t="s">
        <v>167</v>
      </c>
      <c r="G23" t="s">
        <v>213</v>
      </c>
    </row>
    <row r="24" spans="1:7" x14ac:dyDescent="0.3">
      <c r="A24" t="s">
        <v>65</v>
      </c>
      <c r="B24" t="s">
        <v>52</v>
      </c>
      <c r="F24" t="s">
        <v>168</v>
      </c>
      <c r="G24" t="s">
        <v>214</v>
      </c>
    </row>
    <row r="25" spans="1:7" x14ac:dyDescent="0.3">
      <c r="A25" t="s">
        <v>93</v>
      </c>
      <c r="B25" t="s">
        <v>35</v>
      </c>
      <c r="C25">
        <v>8</v>
      </c>
      <c r="D25" t="s">
        <v>85</v>
      </c>
      <c r="F25" t="s">
        <v>196</v>
      </c>
      <c r="G25" t="s">
        <v>242</v>
      </c>
    </row>
    <row r="26" spans="1:7" x14ac:dyDescent="0.3">
      <c r="A26" t="s">
        <v>93</v>
      </c>
      <c r="B26" t="s">
        <v>3</v>
      </c>
      <c r="C26">
        <v>5</v>
      </c>
      <c r="D26" t="s">
        <v>94</v>
      </c>
      <c r="F26" t="s">
        <v>191</v>
      </c>
      <c r="G26" t="s">
        <v>237</v>
      </c>
    </row>
    <row r="27" spans="1:7" x14ac:dyDescent="0.3">
      <c r="A27" t="s">
        <v>93</v>
      </c>
      <c r="B27" t="s">
        <v>95</v>
      </c>
      <c r="C27">
        <v>100</v>
      </c>
      <c r="D27" t="s">
        <v>96</v>
      </c>
      <c r="F27" t="s">
        <v>207</v>
      </c>
      <c r="G27" t="s">
        <v>253</v>
      </c>
    </row>
    <row r="28" spans="1:7" x14ac:dyDescent="0.3">
      <c r="A28" t="s">
        <v>97</v>
      </c>
      <c r="B28" t="s">
        <v>36</v>
      </c>
      <c r="C28">
        <v>1.05</v>
      </c>
      <c r="D28" t="s">
        <v>81</v>
      </c>
      <c r="F28" t="s">
        <v>208</v>
      </c>
      <c r="G28" t="s">
        <v>254</v>
      </c>
    </row>
    <row r="29" spans="1:7" x14ac:dyDescent="0.3">
      <c r="F29" t="s">
        <v>184</v>
      </c>
      <c r="G29" t="s">
        <v>230</v>
      </c>
    </row>
    <row r="30" spans="1:7" x14ac:dyDescent="0.3">
      <c r="F30" t="s">
        <v>170</v>
      </c>
      <c r="G30" t="s">
        <v>216</v>
      </c>
    </row>
    <row r="31" spans="1:7" x14ac:dyDescent="0.3">
      <c r="F31" t="s">
        <v>185</v>
      </c>
      <c r="G31" t="s">
        <v>231</v>
      </c>
    </row>
    <row r="32" spans="1:7" x14ac:dyDescent="0.3">
      <c r="F32" t="s">
        <v>181</v>
      </c>
      <c r="G32" t="s">
        <v>227</v>
      </c>
    </row>
    <row r="33" spans="6:7" x14ac:dyDescent="0.3">
      <c r="F33" t="s">
        <v>179</v>
      </c>
      <c r="G33" t="s">
        <v>225</v>
      </c>
    </row>
    <row r="34" spans="6:7" x14ac:dyDescent="0.3">
      <c r="F34" t="s">
        <v>182</v>
      </c>
      <c r="G34" t="s">
        <v>228</v>
      </c>
    </row>
    <row r="35" spans="6:7" x14ac:dyDescent="0.3">
      <c r="F35" t="s">
        <v>204</v>
      </c>
      <c r="G35" t="s">
        <v>250</v>
      </c>
    </row>
    <row r="36" spans="6:7" x14ac:dyDescent="0.3">
      <c r="F36" t="s">
        <v>176</v>
      </c>
      <c r="G36" t="s">
        <v>222</v>
      </c>
    </row>
    <row r="37" spans="6:7" x14ac:dyDescent="0.3">
      <c r="F37" t="s">
        <v>173</v>
      </c>
      <c r="G37" t="s">
        <v>219</v>
      </c>
    </row>
    <row r="38" spans="6:7" x14ac:dyDescent="0.3">
      <c r="F38" t="s">
        <v>172</v>
      </c>
      <c r="G38" t="s">
        <v>218</v>
      </c>
    </row>
    <row r="39" spans="6:7" x14ac:dyDescent="0.3">
      <c r="F39" t="s">
        <v>171</v>
      </c>
      <c r="G39" t="s">
        <v>217</v>
      </c>
    </row>
    <row r="40" spans="6:7" x14ac:dyDescent="0.3">
      <c r="F40" t="s">
        <v>174</v>
      </c>
      <c r="G40" t="s">
        <v>220</v>
      </c>
    </row>
    <row r="41" spans="6:7" x14ac:dyDescent="0.3">
      <c r="F41" t="s">
        <v>193</v>
      </c>
      <c r="G41" t="s">
        <v>239</v>
      </c>
    </row>
    <row r="42" spans="6:7" x14ac:dyDescent="0.3">
      <c r="F42" t="s">
        <v>192</v>
      </c>
      <c r="G42" t="s">
        <v>238</v>
      </c>
    </row>
    <row r="43" spans="6:7" x14ac:dyDescent="0.3">
      <c r="F43" t="s">
        <v>165</v>
      </c>
      <c r="G43" t="s">
        <v>211</v>
      </c>
    </row>
    <row r="44" spans="6:7" x14ac:dyDescent="0.3">
      <c r="F44" t="s">
        <v>195</v>
      </c>
      <c r="G44" t="s">
        <v>241</v>
      </c>
    </row>
    <row r="45" spans="6:7" x14ac:dyDescent="0.3">
      <c r="F45" t="s">
        <v>178</v>
      </c>
      <c r="G45" t="s">
        <v>224</v>
      </c>
    </row>
    <row r="46" spans="6:7" x14ac:dyDescent="0.3">
      <c r="F46" t="s">
        <v>166</v>
      </c>
      <c r="G46" t="s">
        <v>212</v>
      </c>
    </row>
    <row r="47" spans="6:7" x14ac:dyDescent="0.3">
      <c r="F47" t="s">
        <v>206</v>
      </c>
      <c r="G47" t="s">
        <v>252</v>
      </c>
    </row>
  </sheetData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629</v>
      </c>
      <c r="B1" t="s">
        <v>628</v>
      </c>
      <c r="C1" t="s">
        <v>627</v>
      </c>
      <c r="D1" t="s">
        <v>626</v>
      </c>
      <c r="E1" t="s">
        <v>114</v>
      </c>
      <c r="F1" t="s">
        <v>625</v>
      </c>
      <c r="G1" t="s">
        <v>624</v>
      </c>
      <c r="H1" t="s">
        <v>623</v>
      </c>
      <c r="I1" t="s">
        <v>116</v>
      </c>
      <c r="J1" t="s">
        <v>106</v>
      </c>
      <c r="K1" t="s">
        <v>103</v>
      </c>
      <c r="L1" t="s">
        <v>110</v>
      </c>
      <c r="M1" t="s">
        <v>118</v>
      </c>
      <c r="N1" t="s">
        <v>107</v>
      </c>
      <c r="O1" t="s">
        <v>113</v>
      </c>
      <c r="P1" t="s">
        <v>112</v>
      </c>
      <c r="Q1" t="s">
        <v>119</v>
      </c>
      <c r="R1" t="s">
        <v>622</v>
      </c>
      <c r="S1" t="s">
        <v>101</v>
      </c>
      <c r="T1" t="s">
        <v>621</v>
      </c>
      <c r="U1" t="s">
        <v>620</v>
      </c>
      <c r="V1" t="s">
        <v>105</v>
      </c>
      <c r="W1" t="s">
        <v>104</v>
      </c>
      <c r="X1" t="s">
        <v>109</v>
      </c>
      <c r="Y1" t="s">
        <v>108</v>
      </c>
      <c r="Z1" t="s">
        <v>111</v>
      </c>
      <c r="AA1" t="s">
        <v>619</v>
      </c>
      <c r="AB1" t="s">
        <v>102</v>
      </c>
      <c r="AC1" t="s">
        <v>143</v>
      </c>
      <c r="AD1" t="s">
        <v>618</v>
      </c>
      <c r="AE1" t="s">
        <v>115</v>
      </c>
      <c r="AF1" t="s">
        <v>617</v>
      </c>
      <c r="AG1" t="s">
        <v>117</v>
      </c>
      <c r="AH1" t="s">
        <v>616</v>
      </c>
      <c r="AI1" t="s">
        <v>615</v>
      </c>
      <c r="AJ1" t="s">
        <v>614</v>
      </c>
      <c r="AK1" t="s">
        <v>613</v>
      </c>
    </row>
    <row r="2" spans="1:37" x14ac:dyDescent="0.3">
      <c r="A2" t="s">
        <v>612</v>
      </c>
      <c r="B2" t="s">
        <v>610</v>
      </c>
      <c r="C2" t="s">
        <v>610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611</v>
      </c>
      <c r="B3" t="s">
        <v>610</v>
      </c>
      <c r="C3" t="s">
        <v>610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609</v>
      </c>
      <c r="B4" t="s">
        <v>554</v>
      </c>
      <c r="C4" t="s">
        <v>603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608</v>
      </c>
      <c r="B5" t="s">
        <v>554</v>
      </c>
      <c r="C5" t="s">
        <v>603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603</v>
      </c>
      <c r="B6" t="s">
        <v>554</v>
      </c>
      <c r="C6" t="s">
        <v>603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607</v>
      </c>
      <c r="B7" t="s">
        <v>554</v>
      </c>
      <c r="C7" t="s">
        <v>603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606</v>
      </c>
      <c r="B8" t="s">
        <v>554</v>
      </c>
      <c r="C8" t="s">
        <v>603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605</v>
      </c>
      <c r="B9" t="s">
        <v>554</v>
      </c>
      <c r="C9" t="s">
        <v>603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604</v>
      </c>
      <c r="B10" t="s">
        <v>554</v>
      </c>
      <c r="C10" t="s">
        <v>603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602</v>
      </c>
      <c r="B11" t="s">
        <v>554</v>
      </c>
      <c r="C11" t="s">
        <v>599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601</v>
      </c>
      <c r="B12" t="s">
        <v>554</v>
      </c>
      <c r="C12" t="s">
        <v>599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599</v>
      </c>
      <c r="B13" t="s">
        <v>554</v>
      </c>
      <c r="C13" t="s">
        <v>599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600</v>
      </c>
      <c r="B14" t="s">
        <v>554</v>
      </c>
      <c r="C14" t="s">
        <v>599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599</v>
      </c>
      <c r="B15" t="s">
        <v>554</v>
      </c>
      <c r="C15" t="s">
        <v>599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599</v>
      </c>
      <c r="B16" t="s">
        <v>554</v>
      </c>
      <c r="C16" t="s">
        <v>599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599</v>
      </c>
      <c r="B17" t="s">
        <v>554</v>
      </c>
      <c r="C17" t="s">
        <v>599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599</v>
      </c>
      <c r="B18" t="s">
        <v>554</v>
      </c>
      <c r="C18" t="s">
        <v>599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599</v>
      </c>
      <c r="B19" t="s">
        <v>554</v>
      </c>
      <c r="C19" t="s">
        <v>599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598</v>
      </c>
      <c r="B20" t="s">
        <v>554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597</v>
      </c>
      <c r="B21" t="s">
        <v>554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596</v>
      </c>
      <c r="B22" t="s">
        <v>554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595</v>
      </c>
      <c r="B23" t="s">
        <v>554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594</v>
      </c>
      <c r="B24" t="s">
        <v>554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593</v>
      </c>
      <c r="B25" t="s">
        <v>554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554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592</v>
      </c>
      <c r="B27" t="s">
        <v>554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591</v>
      </c>
      <c r="B28" t="s">
        <v>554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590</v>
      </c>
      <c r="B29" t="s">
        <v>554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589</v>
      </c>
      <c r="B30" t="s">
        <v>554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588</v>
      </c>
      <c r="B31" t="s">
        <v>554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587</v>
      </c>
      <c r="B32" t="s">
        <v>554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554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586</v>
      </c>
      <c r="B34" t="s">
        <v>554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585</v>
      </c>
      <c r="B35" t="s">
        <v>554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584</v>
      </c>
      <c r="B36" t="s">
        <v>554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583</v>
      </c>
      <c r="B37" t="s">
        <v>554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582</v>
      </c>
      <c r="B38" t="s">
        <v>554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581</v>
      </c>
      <c r="B39" t="s">
        <v>554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580</v>
      </c>
      <c r="B40" t="s">
        <v>554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579</v>
      </c>
      <c r="B41" t="s">
        <v>554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578</v>
      </c>
      <c r="B42" t="s">
        <v>554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557</v>
      </c>
      <c r="B43" t="s">
        <v>554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577</v>
      </c>
      <c r="B44" t="s">
        <v>554</v>
      </c>
      <c r="C44" t="s">
        <v>559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559</v>
      </c>
      <c r="B45" t="s">
        <v>554</v>
      </c>
      <c r="C45" t="s">
        <v>559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576</v>
      </c>
      <c r="B46" t="s">
        <v>554</v>
      </c>
      <c r="C46" t="s">
        <v>559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575</v>
      </c>
      <c r="B47" t="s">
        <v>554</v>
      </c>
      <c r="C47" t="s">
        <v>559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571</v>
      </c>
      <c r="B48" t="s">
        <v>554</v>
      </c>
      <c r="C48" t="s">
        <v>559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574</v>
      </c>
      <c r="B49" t="s">
        <v>554</v>
      </c>
      <c r="C49" t="s">
        <v>559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573</v>
      </c>
      <c r="B50" t="s">
        <v>554</v>
      </c>
      <c r="C50" t="s">
        <v>559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572</v>
      </c>
      <c r="B51" t="s">
        <v>554</v>
      </c>
      <c r="C51" t="s">
        <v>559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571</v>
      </c>
      <c r="B52" t="s">
        <v>554</v>
      </c>
      <c r="C52" t="s">
        <v>559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570</v>
      </c>
      <c r="B53" t="s">
        <v>554</v>
      </c>
      <c r="C53" t="s">
        <v>559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569</v>
      </c>
      <c r="B54" t="s">
        <v>554</v>
      </c>
      <c r="C54" t="s">
        <v>559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568</v>
      </c>
      <c r="B55" t="s">
        <v>554</v>
      </c>
      <c r="C55" t="s">
        <v>559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567</v>
      </c>
      <c r="B56" t="s">
        <v>554</v>
      </c>
      <c r="C56" t="s">
        <v>559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566</v>
      </c>
      <c r="B57" t="s">
        <v>554</v>
      </c>
      <c r="C57" t="s">
        <v>559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565</v>
      </c>
      <c r="B58" t="s">
        <v>554</v>
      </c>
      <c r="C58" t="s">
        <v>559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564</v>
      </c>
      <c r="B59" t="s">
        <v>554</v>
      </c>
      <c r="C59" t="s">
        <v>559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563</v>
      </c>
      <c r="B60" t="s">
        <v>554</v>
      </c>
      <c r="C60" t="s">
        <v>559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562</v>
      </c>
      <c r="B61" t="s">
        <v>554</v>
      </c>
      <c r="C61" t="s">
        <v>559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561</v>
      </c>
      <c r="B62" t="s">
        <v>554</v>
      </c>
      <c r="C62" t="s">
        <v>559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560</v>
      </c>
      <c r="B63" t="s">
        <v>554</v>
      </c>
      <c r="C63" t="s">
        <v>559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558</v>
      </c>
      <c r="B64" t="s">
        <v>554</v>
      </c>
      <c r="C64" t="s">
        <v>553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557</v>
      </c>
      <c r="B65" t="s">
        <v>554</v>
      </c>
      <c r="C65" t="s">
        <v>553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553</v>
      </c>
      <c r="B66" t="s">
        <v>554</v>
      </c>
      <c r="C66" t="s">
        <v>553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556</v>
      </c>
      <c r="B67" t="s">
        <v>554</v>
      </c>
      <c r="C67" t="s">
        <v>553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555</v>
      </c>
      <c r="B68" t="s">
        <v>554</v>
      </c>
      <c r="C68" t="s">
        <v>553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553</v>
      </c>
      <c r="B69" t="s">
        <v>554</v>
      </c>
      <c r="C69" t="s">
        <v>553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555</v>
      </c>
      <c r="B70" t="s">
        <v>554</v>
      </c>
      <c r="C70" t="s">
        <v>553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553</v>
      </c>
      <c r="B71" t="s">
        <v>554</v>
      </c>
      <c r="C71" t="s">
        <v>553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553</v>
      </c>
      <c r="B72" t="s">
        <v>554</v>
      </c>
      <c r="C72" t="s">
        <v>553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552</v>
      </c>
      <c r="B73" t="s">
        <v>521</v>
      </c>
      <c r="C73" t="s">
        <v>54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551</v>
      </c>
      <c r="B74" t="s">
        <v>521</v>
      </c>
      <c r="C74" t="s">
        <v>54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550</v>
      </c>
      <c r="B75" t="s">
        <v>521</v>
      </c>
      <c r="C75" t="s">
        <v>54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54</v>
      </c>
      <c r="B76" t="s">
        <v>521</v>
      </c>
      <c r="C76" t="s">
        <v>54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549</v>
      </c>
      <c r="B77" t="s">
        <v>521</v>
      </c>
      <c r="C77" t="s">
        <v>54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548</v>
      </c>
      <c r="B78" t="s">
        <v>521</v>
      </c>
      <c r="C78" t="s">
        <v>54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547</v>
      </c>
      <c r="B79" t="s">
        <v>521</v>
      </c>
      <c r="C79" t="s">
        <v>54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546</v>
      </c>
      <c r="B80" t="s">
        <v>521</v>
      </c>
      <c r="C80" t="s">
        <v>54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545</v>
      </c>
      <c r="B81" t="s">
        <v>521</v>
      </c>
      <c r="C81" t="s">
        <v>54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54</v>
      </c>
      <c r="B82" t="s">
        <v>521</v>
      </c>
      <c r="C82" t="s">
        <v>54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544</v>
      </c>
      <c r="B83" t="s">
        <v>521</v>
      </c>
      <c r="C83" t="s">
        <v>54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54</v>
      </c>
      <c r="B84" t="s">
        <v>521</v>
      </c>
      <c r="C84" t="s">
        <v>54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543</v>
      </c>
      <c r="B85" t="s">
        <v>521</v>
      </c>
      <c r="C85" t="s">
        <v>54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542</v>
      </c>
      <c r="B86" t="s">
        <v>521</v>
      </c>
      <c r="C86" t="s">
        <v>54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541</v>
      </c>
      <c r="B87" t="s">
        <v>521</v>
      </c>
      <c r="C87" t="s">
        <v>54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531</v>
      </c>
      <c r="B88" t="s">
        <v>521</v>
      </c>
      <c r="C88" t="s">
        <v>54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540</v>
      </c>
      <c r="B89" t="s">
        <v>521</v>
      </c>
      <c r="C89" t="s">
        <v>54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539</v>
      </c>
      <c r="B90" t="s">
        <v>521</v>
      </c>
      <c r="C90" t="s">
        <v>54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532</v>
      </c>
      <c r="B91" t="s">
        <v>521</v>
      </c>
      <c r="C91" t="s">
        <v>54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538</v>
      </c>
      <c r="B92" t="s">
        <v>521</v>
      </c>
      <c r="C92" t="s">
        <v>54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537</v>
      </c>
      <c r="B93" t="s">
        <v>521</v>
      </c>
      <c r="C93" t="s">
        <v>54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536</v>
      </c>
      <c r="B94" t="s">
        <v>521</v>
      </c>
      <c r="C94" t="s">
        <v>54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535</v>
      </c>
      <c r="B95" t="s">
        <v>521</v>
      </c>
      <c r="C95" t="s">
        <v>54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534</v>
      </c>
      <c r="B96" t="s">
        <v>521</v>
      </c>
      <c r="C96" t="s">
        <v>54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298</v>
      </c>
      <c r="B97" t="s">
        <v>521</v>
      </c>
      <c r="C97" t="s">
        <v>54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533</v>
      </c>
      <c r="B98" t="s">
        <v>521</v>
      </c>
      <c r="C98" t="s">
        <v>54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532</v>
      </c>
      <c r="B99" t="s">
        <v>521</v>
      </c>
      <c r="C99" t="s">
        <v>54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531</v>
      </c>
      <c r="B100" t="s">
        <v>521</v>
      </c>
      <c r="C100" t="s">
        <v>54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530</v>
      </c>
      <c r="B101" t="s">
        <v>521</v>
      </c>
      <c r="C101" t="s">
        <v>54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529</v>
      </c>
      <c r="B102" t="s">
        <v>521</v>
      </c>
      <c r="C102" t="s">
        <v>54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528</v>
      </c>
      <c r="B103" t="s">
        <v>521</v>
      </c>
      <c r="C103" t="s">
        <v>54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527</v>
      </c>
      <c r="B104" t="s">
        <v>521</v>
      </c>
      <c r="C104" t="s">
        <v>520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520</v>
      </c>
      <c r="B105" t="s">
        <v>521</v>
      </c>
      <c r="C105" t="s">
        <v>520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526</v>
      </c>
      <c r="B106" t="s">
        <v>521</v>
      </c>
      <c r="C106" t="s">
        <v>520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525</v>
      </c>
      <c r="B107" t="s">
        <v>521</v>
      </c>
      <c r="C107" t="s">
        <v>520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524</v>
      </c>
      <c r="B108" t="s">
        <v>521</v>
      </c>
      <c r="C108" t="s">
        <v>520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267</v>
      </c>
      <c r="B109" t="s">
        <v>521</v>
      </c>
      <c r="C109" t="s">
        <v>520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523</v>
      </c>
      <c r="B110" t="s">
        <v>521</v>
      </c>
      <c r="C110" t="s">
        <v>520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522</v>
      </c>
      <c r="B111" t="s">
        <v>521</v>
      </c>
      <c r="C111" t="s">
        <v>520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519</v>
      </c>
      <c r="B112" t="s">
        <v>511</v>
      </c>
      <c r="C112" t="s">
        <v>127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518</v>
      </c>
      <c r="B113" t="s">
        <v>511</v>
      </c>
      <c r="C113" t="s">
        <v>127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127</v>
      </c>
      <c r="B114" t="s">
        <v>511</v>
      </c>
      <c r="C114" t="s">
        <v>127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517</v>
      </c>
      <c r="B115" t="s">
        <v>511</v>
      </c>
      <c r="C115" t="s">
        <v>127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516</v>
      </c>
      <c r="B116" t="s">
        <v>511</v>
      </c>
      <c r="C116" t="s">
        <v>127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515</v>
      </c>
      <c r="B117" t="s">
        <v>511</v>
      </c>
      <c r="C117" t="s">
        <v>127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514</v>
      </c>
      <c r="B118" t="s">
        <v>511</v>
      </c>
      <c r="C118" t="s">
        <v>127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513</v>
      </c>
      <c r="B119" t="s">
        <v>511</v>
      </c>
      <c r="C119" t="s">
        <v>127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512</v>
      </c>
      <c r="B120" t="s">
        <v>511</v>
      </c>
      <c r="C120" t="s">
        <v>127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510</v>
      </c>
      <c r="B121" t="s">
        <v>479</v>
      </c>
      <c r="C121" t="s">
        <v>504</v>
      </c>
      <c r="D121">
        <v>5015</v>
      </c>
      <c r="AH121">
        <v>950</v>
      </c>
    </row>
    <row r="122" spans="1:35" x14ac:dyDescent="0.3">
      <c r="A122" t="s">
        <v>509</v>
      </c>
      <c r="B122" t="s">
        <v>479</v>
      </c>
      <c r="C122" t="s">
        <v>504</v>
      </c>
      <c r="D122">
        <v>4061</v>
      </c>
      <c r="AH122">
        <v>950</v>
      </c>
    </row>
    <row r="123" spans="1:35" x14ac:dyDescent="0.3">
      <c r="A123" t="s">
        <v>504</v>
      </c>
      <c r="B123" t="s">
        <v>479</v>
      </c>
      <c r="C123" t="s">
        <v>504</v>
      </c>
      <c r="D123">
        <v>4950</v>
      </c>
      <c r="AH123">
        <v>950</v>
      </c>
    </row>
    <row r="124" spans="1:35" x14ac:dyDescent="0.3">
      <c r="A124" t="s">
        <v>508</v>
      </c>
      <c r="B124" t="s">
        <v>479</v>
      </c>
      <c r="C124" t="s">
        <v>504</v>
      </c>
      <c r="D124">
        <v>6950</v>
      </c>
      <c r="AH124">
        <v>950</v>
      </c>
    </row>
    <row r="125" spans="1:35" x14ac:dyDescent="0.3">
      <c r="A125" t="s">
        <v>507</v>
      </c>
      <c r="B125" t="s">
        <v>479</v>
      </c>
      <c r="C125" t="s">
        <v>504</v>
      </c>
      <c r="D125">
        <v>6951</v>
      </c>
      <c r="AH125">
        <v>950</v>
      </c>
    </row>
    <row r="126" spans="1:35" x14ac:dyDescent="0.3">
      <c r="A126" t="s">
        <v>506</v>
      </c>
      <c r="B126" t="s">
        <v>479</v>
      </c>
      <c r="C126" t="s">
        <v>504</v>
      </c>
      <c r="D126">
        <v>2950</v>
      </c>
      <c r="AH126">
        <v>950</v>
      </c>
    </row>
    <row r="127" spans="1:35" x14ac:dyDescent="0.3">
      <c r="A127" t="s">
        <v>504</v>
      </c>
      <c r="B127" t="s">
        <v>479</v>
      </c>
      <c r="C127" t="s">
        <v>504</v>
      </c>
      <c r="D127">
        <v>7950</v>
      </c>
      <c r="AH127">
        <v>950</v>
      </c>
    </row>
    <row r="128" spans="1:35" x14ac:dyDescent="0.3">
      <c r="A128" t="s">
        <v>506</v>
      </c>
      <c r="B128" t="s">
        <v>479</v>
      </c>
      <c r="C128" t="s">
        <v>504</v>
      </c>
      <c r="D128">
        <v>1950</v>
      </c>
      <c r="AH128">
        <v>950</v>
      </c>
    </row>
    <row r="129" spans="1:34" x14ac:dyDescent="0.3">
      <c r="A129" t="s">
        <v>505</v>
      </c>
      <c r="B129" t="s">
        <v>479</v>
      </c>
      <c r="C129" t="s">
        <v>504</v>
      </c>
      <c r="D129">
        <v>8950</v>
      </c>
      <c r="AH129">
        <v>950</v>
      </c>
    </row>
    <row r="130" spans="1:34" x14ac:dyDescent="0.3">
      <c r="A130" t="s">
        <v>504</v>
      </c>
      <c r="B130" t="s">
        <v>479</v>
      </c>
      <c r="C130" t="s">
        <v>504</v>
      </c>
      <c r="D130">
        <v>3950</v>
      </c>
      <c r="AH130">
        <v>950</v>
      </c>
    </row>
    <row r="131" spans="1:34" x14ac:dyDescent="0.3">
      <c r="A131" t="s">
        <v>503</v>
      </c>
      <c r="B131" t="s">
        <v>479</v>
      </c>
      <c r="C131" t="s">
        <v>500</v>
      </c>
      <c r="D131">
        <v>5010</v>
      </c>
      <c r="AH131">
        <v>830</v>
      </c>
    </row>
    <row r="132" spans="1:34" x14ac:dyDescent="0.3">
      <c r="A132" t="s">
        <v>502</v>
      </c>
      <c r="B132" t="s">
        <v>479</v>
      </c>
      <c r="C132" t="s">
        <v>500</v>
      </c>
      <c r="D132">
        <v>5060</v>
      </c>
      <c r="AH132">
        <v>830</v>
      </c>
    </row>
    <row r="133" spans="1:34" x14ac:dyDescent="0.3">
      <c r="A133" t="s">
        <v>500</v>
      </c>
      <c r="B133" t="s">
        <v>479</v>
      </c>
      <c r="C133" t="s">
        <v>500</v>
      </c>
      <c r="D133">
        <v>4830</v>
      </c>
      <c r="AH133">
        <v>830</v>
      </c>
    </row>
    <row r="134" spans="1:34" x14ac:dyDescent="0.3">
      <c r="A134" t="s">
        <v>501</v>
      </c>
      <c r="B134" t="s">
        <v>479</v>
      </c>
      <c r="C134" t="s">
        <v>500</v>
      </c>
      <c r="D134">
        <v>6830</v>
      </c>
      <c r="AH134">
        <v>830</v>
      </c>
    </row>
    <row r="135" spans="1:34" x14ac:dyDescent="0.3">
      <c r="A135" t="s">
        <v>500</v>
      </c>
      <c r="B135" t="s">
        <v>479</v>
      </c>
      <c r="C135" t="s">
        <v>500</v>
      </c>
      <c r="D135">
        <v>7830</v>
      </c>
      <c r="AH135">
        <v>830</v>
      </c>
    </row>
    <row r="136" spans="1:34" x14ac:dyDescent="0.3">
      <c r="A136" t="s">
        <v>500</v>
      </c>
      <c r="B136" t="s">
        <v>479</v>
      </c>
      <c r="C136" t="s">
        <v>500</v>
      </c>
      <c r="D136">
        <v>8830</v>
      </c>
      <c r="AH136">
        <v>830</v>
      </c>
    </row>
    <row r="137" spans="1:34" x14ac:dyDescent="0.3">
      <c r="A137" t="s">
        <v>500</v>
      </c>
      <c r="B137" t="s">
        <v>479</v>
      </c>
      <c r="C137" t="s">
        <v>500</v>
      </c>
      <c r="D137">
        <v>3830</v>
      </c>
      <c r="AH137">
        <v>830</v>
      </c>
    </row>
    <row r="138" spans="1:34" x14ac:dyDescent="0.3">
      <c r="A138" t="s">
        <v>499</v>
      </c>
      <c r="B138" t="s">
        <v>479</v>
      </c>
      <c r="C138" t="s">
        <v>479</v>
      </c>
      <c r="D138">
        <v>5000</v>
      </c>
      <c r="AH138">
        <v>900</v>
      </c>
    </row>
    <row r="139" spans="1:34" x14ac:dyDescent="0.3">
      <c r="A139" t="s">
        <v>498</v>
      </c>
      <c r="B139" t="s">
        <v>479</v>
      </c>
      <c r="C139" t="s">
        <v>479</v>
      </c>
      <c r="D139">
        <v>5002</v>
      </c>
      <c r="AH139">
        <v>900</v>
      </c>
    </row>
    <row r="140" spans="1:34" x14ac:dyDescent="0.3">
      <c r="A140" t="s">
        <v>497</v>
      </c>
      <c r="B140" t="s">
        <v>479</v>
      </c>
      <c r="C140" t="s">
        <v>479</v>
      </c>
      <c r="D140">
        <v>5004</v>
      </c>
      <c r="AH140">
        <v>900</v>
      </c>
    </row>
    <row r="141" spans="1:34" x14ac:dyDescent="0.3">
      <c r="A141" t="s">
        <v>496</v>
      </c>
      <c r="B141" t="s">
        <v>479</v>
      </c>
      <c r="C141" t="s">
        <v>479</v>
      </c>
      <c r="D141">
        <v>5006</v>
      </c>
      <c r="AH141">
        <v>900</v>
      </c>
    </row>
    <row r="142" spans="1:34" x14ac:dyDescent="0.3">
      <c r="A142" t="s">
        <v>495</v>
      </c>
      <c r="B142" t="s">
        <v>479</v>
      </c>
      <c r="C142" t="s">
        <v>479</v>
      </c>
      <c r="D142">
        <v>5007</v>
      </c>
      <c r="AH142">
        <v>900</v>
      </c>
    </row>
    <row r="143" spans="1:34" x14ac:dyDescent="0.3">
      <c r="A143" t="s">
        <v>494</v>
      </c>
      <c r="B143" t="s">
        <v>479</v>
      </c>
      <c r="C143" t="s">
        <v>479</v>
      </c>
      <c r="D143">
        <v>5016</v>
      </c>
      <c r="AH143">
        <v>900</v>
      </c>
    </row>
    <row r="144" spans="1:34" x14ac:dyDescent="0.3">
      <c r="A144" t="s">
        <v>493</v>
      </c>
      <c r="B144" t="s">
        <v>479</v>
      </c>
      <c r="C144" t="s">
        <v>479</v>
      </c>
      <c r="D144">
        <v>5017</v>
      </c>
      <c r="AH144">
        <v>900</v>
      </c>
    </row>
    <row r="145" spans="1:34" x14ac:dyDescent="0.3">
      <c r="A145" t="s">
        <v>492</v>
      </c>
      <c r="B145" t="s">
        <v>479</v>
      </c>
      <c r="C145" t="s">
        <v>479</v>
      </c>
      <c r="D145">
        <v>4055</v>
      </c>
      <c r="AH145">
        <v>900</v>
      </c>
    </row>
    <row r="146" spans="1:34" x14ac:dyDescent="0.3">
      <c r="A146" t="s">
        <v>491</v>
      </c>
      <c r="B146" t="s">
        <v>479</v>
      </c>
      <c r="C146" t="s">
        <v>479</v>
      </c>
      <c r="D146">
        <v>4063</v>
      </c>
      <c r="AH146">
        <v>900</v>
      </c>
    </row>
    <row r="147" spans="1:34" x14ac:dyDescent="0.3">
      <c r="A147" t="s">
        <v>479</v>
      </c>
      <c r="B147" t="s">
        <v>479</v>
      </c>
      <c r="C147" t="s">
        <v>479</v>
      </c>
      <c r="D147">
        <v>4900</v>
      </c>
      <c r="AH147">
        <v>900</v>
      </c>
    </row>
    <row r="148" spans="1:34" x14ac:dyDescent="0.3">
      <c r="A148" t="s">
        <v>490</v>
      </c>
      <c r="B148" t="s">
        <v>479</v>
      </c>
      <c r="C148" t="s">
        <v>479</v>
      </c>
      <c r="D148">
        <v>6900</v>
      </c>
      <c r="AH148">
        <v>900</v>
      </c>
    </row>
    <row r="149" spans="1:34" x14ac:dyDescent="0.3">
      <c r="A149" t="s">
        <v>483</v>
      </c>
      <c r="B149" t="s">
        <v>479</v>
      </c>
      <c r="C149" t="s">
        <v>479</v>
      </c>
      <c r="D149">
        <v>6901</v>
      </c>
      <c r="AH149">
        <v>900</v>
      </c>
    </row>
    <row r="150" spans="1:34" x14ac:dyDescent="0.3">
      <c r="A150" t="s">
        <v>489</v>
      </c>
      <c r="B150" t="s">
        <v>479</v>
      </c>
      <c r="C150" t="s">
        <v>479</v>
      </c>
      <c r="D150">
        <v>6902</v>
      </c>
      <c r="AH150">
        <v>900</v>
      </c>
    </row>
    <row r="151" spans="1:34" x14ac:dyDescent="0.3">
      <c r="A151" t="s">
        <v>488</v>
      </c>
      <c r="B151" t="s">
        <v>479</v>
      </c>
      <c r="C151" t="s">
        <v>479</v>
      </c>
      <c r="D151">
        <v>6903</v>
      </c>
      <c r="AH151">
        <v>900</v>
      </c>
    </row>
    <row r="152" spans="1:34" x14ac:dyDescent="0.3">
      <c r="A152" t="s">
        <v>485</v>
      </c>
      <c r="B152" t="s">
        <v>479</v>
      </c>
      <c r="C152" t="s">
        <v>479</v>
      </c>
      <c r="D152">
        <v>2900</v>
      </c>
      <c r="AH152">
        <v>900</v>
      </c>
    </row>
    <row r="153" spans="1:34" x14ac:dyDescent="0.3">
      <c r="A153" t="s">
        <v>487</v>
      </c>
      <c r="B153" t="s">
        <v>479</v>
      </c>
      <c r="C153" t="s">
        <v>479</v>
      </c>
      <c r="D153">
        <v>2901</v>
      </c>
      <c r="AH153">
        <v>900</v>
      </c>
    </row>
    <row r="154" spans="1:34" x14ac:dyDescent="0.3">
      <c r="A154" t="s">
        <v>479</v>
      </c>
      <c r="B154" t="s">
        <v>479</v>
      </c>
      <c r="C154" t="s">
        <v>479</v>
      </c>
      <c r="D154">
        <v>7900</v>
      </c>
      <c r="AH154">
        <v>900</v>
      </c>
    </row>
    <row r="155" spans="1:34" x14ac:dyDescent="0.3">
      <c r="A155" t="s">
        <v>486</v>
      </c>
      <c r="B155" t="s">
        <v>479</v>
      </c>
      <c r="C155" t="s">
        <v>479</v>
      </c>
      <c r="D155">
        <v>7901</v>
      </c>
      <c r="AH155">
        <v>900</v>
      </c>
    </row>
    <row r="156" spans="1:34" x14ac:dyDescent="0.3">
      <c r="A156" t="s">
        <v>485</v>
      </c>
      <c r="B156" t="s">
        <v>479</v>
      </c>
      <c r="C156" t="s">
        <v>479</v>
      </c>
      <c r="D156">
        <v>1900</v>
      </c>
      <c r="AH156">
        <v>900</v>
      </c>
    </row>
    <row r="157" spans="1:34" x14ac:dyDescent="0.3">
      <c r="A157" t="s">
        <v>483</v>
      </c>
      <c r="B157" t="s">
        <v>479</v>
      </c>
      <c r="C157" t="s">
        <v>479</v>
      </c>
      <c r="D157">
        <v>8900</v>
      </c>
      <c r="AH157">
        <v>900</v>
      </c>
    </row>
    <row r="158" spans="1:34" x14ac:dyDescent="0.3">
      <c r="A158" t="s">
        <v>484</v>
      </c>
      <c r="B158" t="s">
        <v>479</v>
      </c>
      <c r="C158" t="s">
        <v>479</v>
      </c>
      <c r="D158">
        <v>8901</v>
      </c>
      <c r="AH158">
        <v>900</v>
      </c>
    </row>
    <row r="159" spans="1:34" x14ac:dyDescent="0.3">
      <c r="A159" t="s">
        <v>483</v>
      </c>
      <c r="B159" t="s">
        <v>479</v>
      </c>
      <c r="C159" t="s">
        <v>479</v>
      </c>
      <c r="D159">
        <v>8903</v>
      </c>
      <c r="AH159">
        <v>900</v>
      </c>
    </row>
    <row r="160" spans="1:34" x14ac:dyDescent="0.3">
      <c r="A160" t="s">
        <v>482</v>
      </c>
      <c r="B160" t="s">
        <v>479</v>
      </c>
      <c r="C160" t="s">
        <v>479</v>
      </c>
      <c r="D160">
        <v>3000</v>
      </c>
      <c r="AH160">
        <v>900</v>
      </c>
    </row>
    <row r="161" spans="1:34" x14ac:dyDescent="0.3">
      <c r="A161" t="s">
        <v>481</v>
      </c>
      <c r="B161" t="s">
        <v>479</v>
      </c>
      <c r="C161" t="s">
        <v>479</v>
      </c>
      <c r="D161">
        <v>3038</v>
      </c>
      <c r="AH161">
        <v>900</v>
      </c>
    </row>
    <row r="162" spans="1:34" x14ac:dyDescent="0.3">
      <c r="A162" t="s">
        <v>480</v>
      </c>
      <c r="B162" t="s">
        <v>479</v>
      </c>
      <c r="C162" t="s">
        <v>479</v>
      </c>
      <c r="D162">
        <v>3047</v>
      </c>
      <c r="AH162">
        <v>900</v>
      </c>
    </row>
    <row r="163" spans="1:34" x14ac:dyDescent="0.3">
      <c r="A163" t="s">
        <v>479</v>
      </c>
      <c r="B163" t="s">
        <v>479</v>
      </c>
      <c r="C163" t="s">
        <v>479</v>
      </c>
      <c r="D163">
        <v>3900</v>
      </c>
      <c r="AH163">
        <v>900</v>
      </c>
    </row>
    <row r="164" spans="1:34" x14ac:dyDescent="0.3">
      <c r="A164" t="s">
        <v>478</v>
      </c>
      <c r="B164" t="s">
        <v>98</v>
      </c>
      <c r="C164" t="s">
        <v>98</v>
      </c>
      <c r="D164">
        <v>5048</v>
      </c>
      <c r="AH164">
        <v>200</v>
      </c>
    </row>
    <row r="165" spans="1:34" x14ac:dyDescent="0.3">
      <c r="A165" t="s">
        <v>477</v>
      </c>
      <c r="B165" t="s">
        <v>98</v>
      </c>
      <c r="C165" t="s">
        <v>98</v>
      </c>
      <c r="D165">
        <v>5049</v>
      </c>
      <c r="AH165">
        <v>200</v>
      </c>
    </row>
    <row r="166" spans="1:34" x14ac:dyDescent="0.3">
      <c r="A166" t="s">
        <v>476</v>
      </c>
      <c r="B166" t="s">
        <v>98</v>
      </c>
      <c r="C166" t="s">
        <v>98</v>
      </c>
      <c r="D166">
        <v>5050</v>
      </c>
      <c r="AH166">
        <v>200</v>
      </c>
    </row>
    <row r="167" spans="1:34" x14ac:dyDescent="0.3">
      <c r="A167" t="s">
        <v>475</v>
      </c>
      <c r="B167" t="s">
        <v>98</v>
      </c>
      <c r="C167" t="s">
        <v>98</v>
      </c>
      <c r="D167">
        <v>5051</v>
      </c>
      <c r="AH167">
        <v>200</v>
      </c>
    </row>
    <row r="168" spans="1:34" x14ac:dyDescent="0.3">
      <c r="A168" t="s">
        <v>474</v>
      </c>
      <c r="B168" t="s">
        <v>98</v>
      </c>
      <c r="C168" t="s">
        <v>98</v>
      </c>
      <c r="D168">
        <v>5052</v>
      </c>
      <c r="AH168">
        <v>200</v>
      </c>
    </row>
    <row r="169" spans="1:34" x14ac:dyDescent="0.3">
      <c r="A169" t="s">
        <v>473</v>
      </c>
      <c r="B169" t="s">
        <v>98</v>
      </c>
      <c r="C169" t="s">
        <v>98</v>
      </c>
      <c r="D169">
        <v>5012</v>
      </c>
      <c r="AH169">
        <v>200</v>
      </c>
    </row>
    <row r="170" spans="1:34" x14ac:dyDescent="0.3">
      <c r="A170" t="s">
        <v>472</v>
      </c>
      <c r="B170" t="s">
        <v>98</v>
      </c>
      <c r="C170" t="s">
        <v>98</v>
      </c>
      <c r="D170">
        <v>4057</v>
      </c>
      <c r="AH170">
        <v>200</v>
      </c>
    </row>
    <row r="171" spans="1:34" x14ac:dyDescent="0.3">
      <c r="A171" t="s">
        <v>98</v>
      </c>
      <c r="B171" t="s">
        <v>98</v>
      </c>
      <c r="C171" t="s">
        <v>98</v>
      </c>
      <c r="D171">
        <v>4200</v>
      </c>
      <c r="AH171">
        <v>200</v>
      </c>
    </row>
    <row r="172" spans="1:34" x14ac:dyDescent="0.3">
      <c r="A172" t="s">
        <v>471</v>
      </c>
      <c r="B172" t="s">
        <v>98</v>
      </c>
      <c r="C172" t="s">
        <v>98</v>
      </c>
      <c r="D172">
        <v>6201</v>
      </c>
      <c r="AH172">
        <v>200</v>
      </c>
    </row>
    <row r="173" spans="1:34" x14ac:dyDescent="0.3">
      <c r="A173" t="s">
        <v>468</v>
      </c>
      <c r="B173" t="s">
        <v>98</v>
      </c>
      <c r="C173" t="s">
        <v>98</v>
      </c>
      <c r="D173">
        <v>2200</v>
      </c>
      <c r="AH173">
        <v>200</v>
      </c>
    </row>
    <row r="174" spans="1:34" x14ac:dyDescent="0.3">
      <c r="A174" t="s">
        <v>470</v>
      </c>
      <c r="B174" t="s">
        <v>98</v>
      </c>
      <c r="C174" t="s">
        <v>98</v>
      </c>
      <c r="D174">
        <v>7200</v>
      </c>
      <c r="AH174">
        <v>200</v>
      </c>
    </row>
    <row r="175" spans="1:34" x14ac:dyDescent="0.3">
      <c r="A175" t="s">
        <v>469</v>
      </c>
      <c r="B175" t="s">
        <v>98</v>
      </c>
      <c r="C175" t="s">
        <v>98</v>
      </c>
      <c r="D175">
        <v>7202</v>
      </c>
      <c r="AH175">
        <v>200</v>
      </c>
    </row>
    <row r="176" spans="1:34" x14ac:dyDescent="0.3">
      <c r="A176" t="s">
        <v>468</v>
      </c>
      <c r="B176" t="s">
        <v>98</v>
      </c>
      <c r="C176" t="s">
        <v>98</v>
      </c>
      <c r="D176">
        <v>1200</v>
      </c>
      <c r="AH176">
        <v>200</v>
      </c>
    </row>
    <row r="177" spans="1:35" x14ac:dyDescent="0.3">
      <c r="A177" t="s">
        <v>467</v>
      </c>
      <c r="B177" t="s">
        <v>98</v>
      </c>
      <c r="C177" t="s">
        <v>98</v>
      </c>
      <c r="D177">
        <v>3098</v>
      </c>
      <c r="AH177">
        <v>200</v>
      </c>
    </row>
    <row r="178" spans="1:35" x14ac:dyDescent="0.3">
      <c r="A178" t="s">
        <v>466</v>
      </c>
      <c r="B178" t="s">
        <v>373</v>
      </c>
      <c r="C178" t="s">
        <v>444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465</v>
      </c>
      <c r="B179" t="s">
        <v>373</v>
      </c>
      <c r="C179" t="s">
        <v>444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464</v>
      </c>
      <c r="B180" t="s">
        <v>373</v>
      </c>
      <c r="C180" t="s">
        <v>444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463</v>
      </c>
      <c r="B181" t="s">
        <v>373</v>
      </c>
      <c r="C181" t="s">
        <v>444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462</v>
      </c>
      <c r="B182" t="s">
        <v>373</v>
      </c>
      <c r="C182" t="s">
        <v>444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461</v>
      </c>
      <c r="B183" t="s">
        <v>373</v>
      </c>
      <c r="C183" t="s">
        <v>444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460</v>
      </c>
      <c r="B184" t="s">
        <v>373</v>
      </c>
      <c r="C184" t="s">
        <v>444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459</v>
      </c>
      <c r="B185" t="s">
        <v>373</v>
      </c>
      <c r="C185" t="s">
        <v>444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458</v>
      </c>
      <c r="B186" t="s">
        <v>373</v>
      </c>
      <c r="C186" t="s">
        <v>444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457</v>
      </c>
      <c r="B187" t="s">
        <v>373</v>
      </c>
      <c r="C187" t="s">
        <v>444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456</v>
      </c>
      <c r="B188" t="s">
        <v>373</v>
      </c>
      <c r="C188" t="s">
        <v>444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455</v>
      </c>
      <c r="B189" t="s">
        <v>373</v>
      </c>
      <c r="C189" t="s">
        <v>444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454</v>
      </c>
      <c r="B190" t="s">
        <v>373</v>
      </c>
      <c r="C190" t="s">
        <v>444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453</v>
      </c>
      <c r="B191" t="s">
        <v>373</v>
      </c>
      <c r="C191" t="s">
        <v>444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452</v>
      </c>
      <c r="B192" t="s">
        <v>373</v>
      </c>
      <c r="C192" t="s">
        <v>444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451</v>
      </c>
      <c r="B193" t="s">
        <v>373</v>
      </c>
      <c r="C193" t="s">
        <v>444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450</v>
      </c>
      <c r="B194" t="s">
        <v>373</v>
      </c>
      <c r="C194" t="s">
        <v>444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449</v>
      </c>
      <c r="B195" t="s">
        <v>373</v>
      </c>
      <c r="C195" t="s">
        <v>444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448</v>
      </c>
      <c r="B196" t="s">
        <v>373</v>
      </c>
      <c r="C196" t="s">
        <v>444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447</v>
      </c>
      <c r="B197" t="s">
        <v>373</v>
      </c>
      <c r="C197" t="s">
        <v>444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446</v>
      </c>
      <c r="B198" t="s">
        <v>373</v>
      </c>
      <c r="C198" t="s">
        <v>444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445</v>
      </c>
      <c r="B199" t="s">
        <v>373</v>
      </c>
      <c r="C199" t="s">
        <v>444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303</v>
      </c>
      <c r="B200" t="s">
        <v>373</v>
      </c>
      <c r="C200" t="s">
        <v>444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443</v>
      </c>
      <c r="B201" t="s">
        <v>373</v>
      </c>
      <c r="C201" t="s">
        <v>440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442</v>
      </c>
      <c r="B202" t="s">
        <v>373</v>
      </c>
      <c r="C202" t="s">
        <v>440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441</v>
      </c>
      <c r="B203" t="s">
        <v>373</v>
      </c>
      <c r="C203" t="s">
        <v>440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439</v>
      </c>
      <c r="B204" t="s">
        <v>373</v>
      </c>
      <c r="C204" t="s">
        <v>435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435</v>
      </c>
      <c r="B205" t="s">
        <v>373</v>
      </c>
      <c r="C205" t="s">
        <v>435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438</v>
      </c>
      <c r="B206" t="s">
        <v>373</v>
      </c>
      <c r="C206" t="s">
        <v>435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437</v>
      </c>
      <c r="B207" t="s">
        <v>373</v>
      </c>
      <c r="C207" t="s">
        <v>435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436</v>
      </c>
      <c r="B208" t="s">
        <v>373</v>
      </c>
      <c r="C208" t="s">
        <v>435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435</v>
      </c>
      <c r="B209" t="s">
        <v>373</v>
      </c>
      <c r="C209" t="s">
        <v>435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436</v>
      </c>
      <c r="B210" t="s">
        <v>373</v>
      </c>
      <c r="C210" t="s">
        <v>435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435</v>
      </c>
      <c r="B211" t="s">
        <v>373</v>
      </c>
      <c r="C211" t="s">
        <v>435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435</v>
      </c>
      <c r="B212" t="s">
        <v>373</v>
      </c>
      <c r="C212" t="s">
        <v>435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434</v>
      </c>
      <c r="B213" t="s">
        <v>373</v>
      </c>
      <c r="C213" t="s">
        <v>427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433</v>
      </c>
      <c r="B214" t="s">
        <v>373</v>
      </c>
      <c r="C214" t="s">
        <v>427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432</v>
      </c>
      <c r="B215" t="s">
        <v>373</v>
      </c>
      <c r="C215" t="s">
        <v>427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431</v>
      </c>
      <c r="B216" t="s">
        <v>373</v>
      </c>
      <c r="C216" t="s">
        <v>427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427</v>
      </c>
      <c r="B217" t="s">
        <v>373</v>
      </c>
      <c r="C217" t="s">
        <v>427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430</v>
      </c>
      <c r="B218" t="s">
        <v>373</v>
      </c>
      <c r="C218" t="s">
        <v>427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429</v>
      </c>
      <c r="B219" t="s">
        <v>373</v>
      </c>
      <c r="C219" t="s">
        <v>427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427</v>
      </c>
      <c r="B220" t="s">
        <v>373</v>
      </c>
      <c r="C220" t="s">
        <v>427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428</v>
      </c>
      <c r="B221" t="s">
        <v>373</v>
      </c>
      <c r="C221" t="s">
        <v>427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427</v>
      </c>
      <c r="B222" t="s">
        <v>373</v>
      </c>
      <c r="C222" t="s">
        <v>427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427</v>
      </c>
      <c r="B223" t="s">
        <v>373</v>
      </c>
      <c r="C223" t="s">
        <v>427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427</v>
      </c>
      <c r="B224" t="s">
        <v>373</v>
      </c>
      <c r="C224" t="s">
        <v>427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426</v>
      </c>
      <c r="B225" t="s">
        <v>373</v>
      </c>
      <c r="C225" t="s">
        <v>144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425</v>
      </c>
      <c r="B226" t="s">
        <v>373</v>
      </c>
      <c r="C226" t="s">
        <v>144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424</v>
      </c>
      <c r="B227" t="s">
        <v>373</v>
      </c>
      <c r="C227" t="s">
        <v>144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423</v>
      </c>
      <c r="B228" t="s">
        <v>373</v>
      </c>
      <c r="C228" t="s">
        <v>144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422</v>
      </c>
      <c r="B229" t="s">
        <v>373</v>
      </c>
      <c r="C229" t="s">
        <v>144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421</v>
      </c>
      <c r="B230" t="s">
        <v>373</v>
      </c>
      <c r="C230" t="s">
        <v>144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420</v>
      </c>
      <c r="B231" t="s">
        <v>373</v>
      </c>
      <c r="C231" t="s">
        <v>144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419</v>
      </c>
      <c r="B232" t="s">
        <v>373</v>
      </c>
      <c r="C232" t="s">
        <v>144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418</v>
      </c>
      <c r="B233" t="s">
        <v>373</v>
      </c>
      <c r="C233" t="s">
        <v>144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417</v>
      </c>
      <c r="B234" t="s">
        <v>373</v>
      </c>
      <c r="C234" t="s">
        <v>144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416</v>
      </c>
      <c r="B235" t="s">
        <v>373</v>
      </c>
      <c r="C235" t="s">
        <v>144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415</v>
      </c>
      <c r="B236" t="s">
        <v>373</v>
      </c>
      <c r="C236" t="s">
        <v>144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414</v>
      </c>
      <c r="B237" t="s">
        <v>373</v>
      </c>
      <c r="C237" t="s">
        <v>144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413</v>
      </c>
      <c r="B238" t="s">
        <v>373</v>
      </c>
      <c r="C238" t="s">
        <v>144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412</v>
      </c>
      <c r="B239" t="s">
        <v>373</v>
      </c>
      <c r="C239" t="s">
        <v>144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411</v>
      </c>
      <c r="B240" t="s">
        <v>373</v>
      </c>
      <c r="C240" t="s">
        <v>144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410</v>
      </c>
      <c r="B241" t="s">
        <v>373</v>
      </c>
      <c r="C241" t="s">
        <v>144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409</v>
      </c>
      <c r="B242" t="s">
        <v>373</v>
      </c>
      <c r="C242" t="s">
        <v>144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408</v>
      </c>
      <c r="B243" t="s">
        <v>373</v>
      </c>
      <c r="C243" t="s">
        <v>144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407</v>
      </c>
      <c r="B244" t="s">
        <v>373</v>
      </c>
      <c r="C244" t="s">
        <v>144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406</v>
      </c>
      <c r="B245" t="s">
        <v>373</v>
      </c>
      <c r="C245" t="s">
        <v>144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144</v>
      </c>
      <c r="B246" t="s">
        <v>373</v>
      </c>
      <c r="C246" t="s">
        <v>144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405</v>
      </c>
      <c r="B247" t="s">
        <v>373</v>
      </c>
      <c r="C247" t="s">
        <v>144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404</v>
      </c>
      <c r="B248" t="s">
        <v>373</v>
      </c>
      <c r="C248" t="s">
        <v>144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403</v>
      </c>
      <c r="B249" t="s">
        <v>373</v>
      </c>
      <c r="C249" t="s">
        <v>144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402</v>
      </c>
      <c r="B250" t="s">
        <v>373</v>
      </c>
      <c r="C250" t="s">
        <v>144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401</v>
      </c>
      <c r="B251" t="s">
        <v>373</v>
      </c>
      <c r="C251" t="s">
        <v>144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400</v>
      </c>
      <c r="B252" t="s">
        <v>373</v>
      </c>
      <c r="C252" t="s">
        <v>144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399</v>
      </c>
      <c r="B253" t="s">
        <v>373</v>
      </c>
      <c r="C253" t="s">
        <v>144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398</v>
      </c>
      <c r="B254" t="s">
        <v>373</v>
      </c>
      <c r="C254" t="s">
        <v>144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397</v>
      </c>
      <c r="B255" t="s">
        <v>373</v>
      </c>
      <c r="C255" t="s">
        <v>144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396</v>
      </c>
      <c r="B256" t="s">
        <v>373</v>
      </c>
      <c r="C256" t="s">
        <v>144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394</v>
      </c>
      <c r="B257" t="s">
        <v>373</v>
      </c>
      <c r="C257" t="s">
        <v>144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395</v>
      </c>
      <c r="B258" t="s">
        <v>373</v>
      </c>
      <c r="C258" t="s">
        <v>144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394</v>
      </c>
      <c r="B259" t="s">
        <v>373</v>
      </c>
      <c r="C259" t="s">
        <v>144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393</v>
      </c>
      <c r="B260" t="s">
        <v>373</v>
      </c>
      <c r="C260" t="s">
        <v>144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392</v>
      </c>
      <c r="B261" t="s">
        <v>373</v>
      </c>
      <c r="C261" t="s">
        <v>144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391</v>
      </c>
      <c r="B262" t="s">
        <v>373</v>
      </c>
      <c r="C262" t="s">
        <v>144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390</v>
      </c>
      <c r="B263" t="s">
        <v>373</v>
      </c>
      <c r="C263" t="s">
        <v>144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389</v>
      </c>
      <c r="B264" t="s">
        <v>373</v>
      </c>
      <c r="C264" t="s">
        <v>144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388</v>
      </c>
      <c r="B265" t="s">
        <v>373</v>
      </c>
      <c r="C265" t="s">
        <v>144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387</v>
      </c>
      <c r="B266" t="s">
        <v>373</v>
      </c>
      <c r="C266" t="s">
        <v>144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386</v>
      </c>
      <c r="B267" t="s">
        <v>373</v>
      </c>
      <c r="C267" t="s">
        <v>144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385</v>
      </c>
      <c r="B268" t="s">
        <v>373</v>
      </c>
      <c r="C268" t="s">
        <v>144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384</v>
      </c>
      <c r="B269" t="s">
        <v>373</v>
      </c>
      <c r="C269" t="s">
        <v>144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383</v>
      </c>
      <c r="B270" t="s">
        <v>373</v>
      </c>
      <c r="C270" t="s">
        <v>144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382</v>
      </c>
      <c r="B271" t="s">
        <v>373</v>
      </c>
      <c r="C271" t="s">
        <v>144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381</v>
      </c>
      <c r="B272" t="s">
        <v>373</v>
      </c>
      <c r="C272" t="s">
        <v>144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380</v>
      </c>
      <c r="B273" t="s">
        <v>373</v>
      </c>
      <c r="C273" t="s">
        <v>144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379</v>
      </c>
      <c r="B274" t="s">
        <v>373</v>
      </c>
      <c r="C274" t="s">
        <v>372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378</v>
      </c>
      <c r="B275" t="s">
        <v>373</v>
      </c>
      <c r="C275" t="s">
        <v>372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377</v>
      </c>
      <c r="B276" t="s">
        <v>373</v>
      </c>
      <c r="C276" t="s">
        <v>372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372</v>
      </c>
      <c r="B277" t="s">
        <v>373</v>
      </c>
      <c r="C277" t="s">
        <v>372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376</v>
      </c>
      <c r="B278" t="s">
        <v>373</v>
      </c>
      <c r="C278" t="s">
        <v>372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374</v>
      </c>
      <c r="B279" t="s">
        <v>373</v>
      </c>
      <c r="C279" t="s">
        <v>372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372</v>
      </c>
      <c r="B280" t="s">
        <v>373</v>
      </c>
      <c r="C280" t="s">
        <v>372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375</v>
      </c>
      <c r="B281" t="s">
        <v>373</v>
      </c>
      <c r="C281" t="s">
        <v>372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374</v>
      </c>
      <c r="B282" t="s">
        <v>373</v>
      </c>
      <c r="C282" t="s">
        <v>372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372</v>
      </c>
      <c r="B283" t="s">
        <v>373</v>
      </c>
      <c r="C283" t="s">
        <v>372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371</v>
      </c>
      <c r="B284" t="s">
        <v>156</v>
      </c>
      <c r="C284" t="s">
        <v>156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370</v>
      </c>
      <c r="B285" t="s">
        <v>156</v>
      </c>
      <c r="C285" t="s">
        <v>156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369</v>
      </c>
      <c r="B286" t="s">
        <v>156</v>
      </c>
      <c r="C286" t="s">
        <v>156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156</v>
      </c>
      <c r="B287" t="s">
        <v>156</v>
      </c>
      <c r="C287" t="s">
        <v>156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368</v>
      </c>
      <c r="B288" t="s">
        <v>156</v>
      </c>
      <c r="C288" t="s">
        <v>156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367</v>
      </c>
      <c r="B289" t="s">
        <v>156</v>
      </c>
      <c r="C289" t="s">
        <v>156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364</v>
      </c>
      <c r="B290" t="s">
        <v>156</v>
      </c>
      <c r="C290" t="s">
        <v>156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366</v>
      </c>
      <c r="B291" t="s">
        <v>156</v>
      </c>
      <c r="C291" t="s">
        <v>156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365</v>
      </c>
      <c r="B292" t="s">
        <v>156</v>
      </c>
      <c r="C292" t="s">
        <v>156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364</v>
      </c>
      <c r="B293" t="s">
        <v>156</v>
      </c>
      <c r="C293" t="s">
        <v>156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363</v>
      </c>
      <c r="B294" t="s">
        <v>156</v>
      </c>
      <c r="C294" t="s">
        <v>156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362</v>
      </c>
      <c r="B295" t="s">
        <v>156</v>
      </c>
      <c r="C295" t="s">
        <v>343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361</v>
      </c>
      <c r="B296" t="s">
        <v>156</v>
      </c>
      <c r="C296" t="s">
        <v>343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360</v>
      </c>
      <c r="B297" t="s">
        <v>156</v>
      </c>
      <c r="C297" t="s">
        <v>343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343</v>
      </c>
      <c r="B298" t="s">
        <v>156</v>
      </c>
      <c r="C298" t="s">
        <v>343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359</v>
      </c>
      <c r="B299" t="s">
        <v>156</v>
      </c>
      <c r="C299" t="s">
        <v>343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358</v>
      </c>
      <c r="B300" t="s">
        <v>156</v>
      </c>
      <c r="C300" t="s">
        <v>343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350</v>
      </c>
      <c r="B301" t="s">
        <v>156</v>
      </c>
      <c r="C301" t="s">
        <v>343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357</v>
      </c>
      <c r="B302" t="s">
        <v>156</v>
      </c>
      <c r="C302" t="s">
        <v>343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356</v>
      </c>
      <c r="B303" t="s">
        <v>156</v>
      </c>
      <c r="C303" t="s">
        <v>343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355</v>
      </c>
      <c r="B304" t="s">
        <v>156</v>
      </c>
      <c r="C304" t="s">
        <v>343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354</v>
      </c>
      <c r="B305" t="s">
        <v>156</v>
      </c>
      <c r="C305" t="s">
        <v>343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353</v>
      </c>
      <c r="B306" t="s">
        <v>156</v>
      </c>
      <c r="C306" t="s">
        <v>343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352</v>
      </c>
      <c r="B307" t="s">
        <v>156</v>
      </c>
      <c r="C307" t="s">
        <v>343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351</v>
      </c>
      <c r="B308" t="s">
        <v>156</v>
      </c>
      <c r="C308" t="s">
        <v>343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350</v>
      </c>
      <c r="B309" t="s">
        <v>156</v>
      </c>
      <c r="C309" t="s">
        <v>343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349</v>
      </c>
      <c r="B310" t="s">
        <v>156</v>
      </c>
      <c r="C310" t="s">
        <v>343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348</v>
      </c>
      <c r="B311" t="s">
        <v>156</v>
      </c>
      <c r="C311" t="s">
        <v>343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347</v>
      </c>
      <c r="B312" t="s">
        <v>156</v>
      </c>
      <c r="C312" t="s">
        <v>343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346</v>
      </c>
      <c r="B313" t="s">
        <v>156</v>
      </c>
      <c r="C313" t="s">
        <v>343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345</v>
      </c>
      <c r="B314" t="s">
        <v>156</v>
      </c>
      <c r="C314" t="s">
        <v>343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344</v>
      </c>
      <c r="B315" t="s">
        <v>156</v>
      </c>
      <c r="C315" t="s">
        <v>343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342</v>
      </c>
      <c r="B316" t="s">
        <v>256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341</v>
      </c>
      <c r="B317" t="s">
        <v>256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340</v>
      </c>
      <c r="B318" t="s">
        <v>256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339</v>
      </c>
      <c r="B319" t="s">
        <v>256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338</v>
      </c>
      <c r="B320" t="s">
        <v>256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337</v>
      </c>
      <c r="B321" t="s">
        <v>256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336</v>
      </c>
      <c r="B322" t="s">
        <v>256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335</v>
      </c>
      <c r="B323" t="s">
        <v>256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334</v>
      </c>
      <c r="B324" t="s">
        <v>256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333</v>
      </c>
      <c r="B325" t="s">
        <v>256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332</v>
      </c>
      <c r="B326" t="s">
        <v>256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331</v>
      </c>
      <c r="B327" t="s">
        <v>256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330</v>
      </c>
      <c r="B328" t="s">
        <v>256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329</v>
      </c>
      <c r="B329" t="s">
        <v>256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328</v>
      </c>
      <c r="B330" t="s">
        <v>256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327</v>
      </c>
      <c r="B331" t="s">
        <v>256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326</v>
      </c>
      <c r="B332" t="s">
        <v>256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325</v>
      </c>
      <c r="B333" t="s">
        <v>256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324</v>
      </c>
      <c r="B334" t="s">
        <v>256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323</v>
      </c>
      <c r="B335" t="s">
        <v>256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256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322</v>
      </c>
      <c r="B337" t="s">
        <v>256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321</v>
      </c>
      <c r="B338" t="s">
        <v>256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320</v>
      </c>
      <c r="B339" t="s">
        <v>256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319</v>
      </c>
      <c r="B340" t="s">
        <v>256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318</v>
      </c>
      <c r="B341" t="s">
        <v>256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317</v>
      </c>
      <c r="B342" t="s">
        <v>256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316</v>
      </c>
      <c r="B343" t="s">
        <v>256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315</v>
      </c>
      <c r="B344" t="s">
        <v>256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314</v>
      </c>
      <c r="B345" t="s">
        <v>256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313</v>
      </c>
      <c r="B346" t="s">
        <v>256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300</v>
      </c>
      <c r="B347" t="s">
        <v>256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312</v>
      </c>
      <c r="B348" t="s">
        <v>256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311</v>
      </c>
      <c r="B349" t="s">
        <v>256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299</v>
      </c>
      <c r="B350" t="s">
        <v>256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6" customFormat="1" x14ac:dyDescent="0.3">
      <c r="A351" s="136" t="s">
        <v>310</v>
      </c>
      <c r="B351" s="136" t="s">
        <v>256</v>
      </c>
      <c r="C351" s="136" t="s">
        <v>2</v>
      </c>
      <c r="D351" s="136">
        <v>2111</v>
      </c>
      <c r="E351" s="136">
        <v>25</v>
      </c>
      <c r="F351" s="136">
        <v>0.88</v>
      </c>
      <c r="G351" s="136">
        <v>0</v>
      </c>
      <c r="H351" s="136">
        <v>1.7</v>
      </c>
      <c r="I351" s="136">
        <v>2.5</v>
      </c>
      <c r="J351" s="136">
        <v>3.5</v>
      </c>
      <c r="K351" s="136">
        <v>11</v>
      </c>
      <c r="L351" s="136">
        <v>0.1</v>
      </c>
      <c r="M351" s="136">
        <v>1</v>
      </c>
      <c r="N351" s="136">
        <v>0.17</v>
      </c>
      <c r="O351" s="136">
        <v>2.2000000000000002</v>
      </c>
      <c r="P351" s="136">
        <v>25</v>
      </c>
      <c r="S351" s="136">
        <v>3.5</v>
      </c>
      <c r="T351" s="136">
        <v>0.7</v>
      </c>
      <c r="U351" s="136">
        <v>0</v>
      </c>
      <c r="V351" s="136">
        <v>2.5</v>
      </c>
      <c r="W351" s="136">
        <v>1.9</v>
      </c>
      <c r="X351" s="136">
        <v>0.2</v>
      </c>
      <c r="Y351" s="136">
        <v>0.17</v>
      </c>
      <c r="Z351" s="136">
        <v>0.3</v>
      </c>
      <c r="AB351" s="136">
        <v>3</v>
      </c>
      <c r="AE351" s="136">
        <v>3.5</v>
      </c>
      <c r="AH351" s="136">
        <v>100</v>
      </c>
      <c r="AJ351" s="136">
        <v>0</v>
      </c>
    </row>
    <row r="352" spans="1:36" x14ac:dyDescent="0.3">
      <c r="A352" t="s">
        <v>309</v>
      </c>
      <c r="B352" t="s">
        <v>256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308</v>
      </c>
      <c r="B353" t="s">
        <v>256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307</v>
      </c>
      <c r="B354" t="s">
        <v>256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306</v>
      </c>
      <c r="B355" t="s">
        <v>256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305</v>
      </c>
      <c r="B356" t="s">
        <v>256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304</v>
      </c>
      <c r="B357" t="s">
        <v>256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295</v>
      </c>
      <c r="B358" t="s">
        <v>256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296</v>
      </c>
      <c r="B359" t="s">
        <v>256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264</v>
      </c>
      <c r="B360" t="s">
        <v>256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303</v>
      </c>
      <c r="B361" t="s">
        <v>256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294</v>
      </c>
      <c r="B362" t="s">
        <v>256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302</v>
      </c>
      <c r="B363" t="s">
        <v>256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301</v>
      </c>
      <c r="B364" t="s">
        <v>256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300</v>
      </c>
      <c r="B365" t="s">
        <v>256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299</v>
      </c>
      <c r="B366" t="s">
        <v>256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298</v>
      </c>
      <c r="B367" t="s">
        <v>256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297</v>
      </c>
      <c r="B368" t="s">
        <v>256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296</v>
      </c>
      <c r="B369" t="s">
        <v>256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295</v>
      </c>
      <c r="B370" t="s">
        <v>256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294</v>
      </c>
      <c r="B371" t="s">
        <v>256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293</v>
      </c>
      <c r="B372" t="s">
        <v>256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292</v>
      </c>
      <c r="B373" t="s">
        <v>256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291</v>
      </c>
      <c r="B374" t="s">
        <v>256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290</v>
      </c>
      <c r="B375" t="s">
        <v>256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289</v>
      </c>
      <c r="B376" t="s">
        <v>256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288</v>
      </c>
      <c r="B377" t="s">
        <v>256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287</v>
      </c>
      <c r="B378" t="s">
        <v>256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286</v>
      </c>
      <c r="B379" t="s">
        <v>256</v>
      </c>
      <c r="C379" t="s">
        <v>255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285</v>
      </c>
      <c r="B380" t="s">
        <v>256</v>
      </c>
      <c r="C380" t="s">
        <v>255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284</v>
      </c>
      <c r="B381" t="s">
        <v>256</v>
      </c>
      <c r="C381" t="s">
        <v>255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283</v>
      </c>
      <c r="B382" t="s">
        <v>256</v>
      </c>
      <c r="C382" t="s">
        <v>255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282</v>
      </c>
      <c r="B383" t="s">
        <v>256</v>
      </c>
      <c r="C383" t="s">
        <v>255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281</v>
      </c>
      <c r="B384" t="s">
        <v>256</v>
      </c>
      <c r="C384" t="s">
        <v>255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280</v>
      </c>
      <c r="B385" t="s">
        <v>256</v>
      </c>
      <c r="C385" t="s">
        <v>255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279</v>
      </c>
      <c r="B386" t="s">
        <v>256</v>
      </c>
      <c r="C386" t="s">
        <v>255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278</v>
      </c>
      <c r="B387" t="s">
        <v>256</v>
      </c>
      <c r="C387" t="s">
        <v>255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277</v>
      </c>
      <c r="B388" t="s">
        <v>256</v>
      </c>
      <c r="C388" t="s">
        <v>255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255</v>
      </c>
      <c r="B389" t="s">
        <v>256</v>
      </c>
      <c r="C389" t="s">
        <v>255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276</v>
      </c>
      <c r="B390" t="s">
        <v>256</v>
      </c>
      <c r="C390" t="s">
        <v>255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275</v>
      </c>
      <c r="B391" t="s">
        <v>256</v>
      </c>
      <c r="C391" t="s">
        <v>255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266</v>
      </c>
      <c r="B392" t="s">
        <v>256</v>
      </c>
      <c r="C392" t="s">
        <v>255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265</v>
      </c>
      <c r="B393" t="s">
        <v>256</v>
      </c>
      <c r="C393" t="s">
        <v>255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274</v>
      </c>
      <c r="B394" t="s">
        <v>256</v>
      </c>
      <c r="C394" t="s">
        <v>255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273</v>
      </c>
      <c r="B395" t="s">
        <v>256</v>
      </c>
      <c r="C395" t="s">
        <v>255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272</v>
      </c>
      <c r="B396" t="s">
        <v>256</v>
      </c>
      <c r="C396" t="s">
        <v>255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260</v>
      </c>
      <c r="B397" t="s">
        <v>256</v>
      </c>
      <c r="C397" t="s">
        <v>255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259</v>
      </c>
      <c r="B398" t="s">
        <v>256</v>
      </c>
      <c r="C398" t="s">
        <v>255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271</v>
      </c>
      <c r="B399" t="s">
        <v>256</v>
      </c>
      <c r="C399" t="s">
        <v>255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263</v>
      </c>
      <c r="B400" t="s">
        <v>256</v>
      </c>
      <c r="C400" t="s">
        <v>255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270</v>
      </c>
      <c r="B401" t="s">
        <v>256</v>
      </c>
      <c r="C401" t="s">
        <v>255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269</v>
      </c>
      <c r="B402" t="s">
        <v>256</v>
      </c>
      <c r="C402" t="s">
        <v>255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258</v>
      </c>
      <c r="B403" t="s">
        <v>256</v>
      </c>
      <c r="C403" t="s">
        <v>255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268</v>
      </c>
      <c r="B404" t="s">
        <v>256</v>
      </c>
      <c r="C404" t="s">
        <v>255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267</v>
      </c>
      <c r="B405" t="s">
        <v>256</v>
      </c>
      <c r="C405" t="s">
        <v>255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266</v>
      </c>
      <c r="B406" t="s">
        <v>256</v>
      </c>
      <c r="C406" t="s">
        <v>255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265</v>
      </c>
      <c r="B407" t="s">
        <v>256</v>
      </c>
      <c r="C407" t="s">
        <v>255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264</v>
      </c>
      <c r="B408" t="s">
        <v>256</v>
      </c>
      <c r="C408" t="s">
        <v>255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263</v>
      </c>
      <c r="B409" t="s">
        <v>256</v>
      </c>
      <c r="C409" t="s">
        <v>255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262</v>
      </c>
      <c r="B410" t="s">
        <v>256</v>
      </c>
      <c r="C410" t="s">
        <v>255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261</v>
      </c>
      <c r="B411" t="s">
        <v>256</v>
      </c>
      <c r="C411" t="s">
        <v>255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260</v>
      </c>
      <c r="B412" t="s">
        <v>256</v>
      </c>
      <c r="C412" t="s">
        <v>255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259</v>
      </c>
      <c r="B413" t="s">
        <v>256</v>
      </c>
      <c r="C413" t="s">
        <v>255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258</v>
      </c>
      <c r="B414" t="s">
        <v>256</v>
      </c>
      <c r="C414" t="s">
        <v>255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257</v>
      </c>
      <c r="B415" t="s">
        <v>256</v>
      </c>
      <c r="C415" t="s">
        <v>255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s_sandbox"/>
  <dimension ref="A1:F9"/>
  <sheetViews>
    <sheetView workbookViewId="0">
      <selection activeCell="K32" sqref="K32"/>
    </sheetView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25</v>
      </c>
      <c r="B1" t="s">
        <v>26</v>
      </c>
      <c r="C1" s="1" t="s">
        <v>27</v>
      </c>
      <c r="D1" t="s">
        <v>28</v>
      </c>
    </row>
    <row r="2" spans="1:6" x14ac:dyDescent="0.3">
      <c r="A2" s="27">
        <v>2</v>
      </c>
      <c r="B2">
        <v>4</v>
      </c>
      <c r="C2" s="27">
        <f>A2+1</f>
        <v>3</v>
      </c>
      <c r="D2">
        <f>A2*B2</f>
        <v>8</v>
      </c>
    </row>
    <row r="3" spans="1:6" x14ac:dyDescent="0.3">
      <c r="A3" s="27">
        <v>2</v>
      </c>
      <c r="B3">
        <v>8</v>
      </c>
      <c r="C3" s="27">
        <f t="shared" ref="C3:C4" si="0">A3+1</f>
        <v>3</v>
      </c>
      <c r="D3">
        <f t="shared" ref="D3:D4" si="1">A3*B3</f>
        <v>16</v>
      </c>
    </row>
    <row r="4" spans="1:6" x14ac:dyDescent="0.3">
      <c r="A4" s="27">
        <v>4</v>
      </c>
      <c r="B4">
        <v>16</v>
      </c>
      <c r="C4" s="27">
        <f t="shared" si="0"/>
        <v>5</v>
      </c>
      <c r="D4">
        <f t="shared" si="1"/>
        <v>64</v>
      </c>
    </row>
    <row r="5" spans="1:6" x14ac:dyDescent="0.3">
      <c r="A5" s="27"/>
      <c r="C5" s="27"/>
    </row>
    <row r="6" spans="1:6" x14ac:dyDescent="0.3">
      <c r="A6" s="27"/>
      <c r="C6" s="27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AFDRS</vt:lpstr>
      <vt:lpstr>models_tables</vt:lpstr>
      <vt:lpstr>models_fuel_paramss</vt:lpstr>
      <vt:lpstr>tests_sandbox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2022-12-02T22:29:26Z</dcterms:modified>
</cp:coreProperties>
</file>