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30720" windowHeight="13512"/>
  </bookViews>
  <sheets>
    <sheet name="AFDRS" sheetId="1" r:id="rId1"/>
    <sheet name="tables" sheetId="3" state="hidden" r:id="rId2"/>
  </sheets>
  <functionGroups builtInGroupCount="18"/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15" i="1" l="1"/>
  <c r="H15" i="1"/>
  <c r="AE15" i="1"/>
  <c r="AF15" i="1" s="1"/>
  <c r="AD15" i="1"/>
  <c r="AG15" i="1"/>
  <c r="X7" i="1"/>
  <c r="J7" i="1"/>
  <c r="J4" i="1"/>
  <c r="Q3" i="1"/>
  <c r="J6" i="1"/>
  <c r="J5" i="1"/>
  <c r="S15" i="1"/>
  <c r="X15" i="1"/>
  <c r="AC15" i="1"/>
  <c r="U15" i="1"/>
  <c r="P15" i="1"/>
  <c r="Q15" i="1"/>
  <c r="Z15" i="1" a="1"/>
  <c r="N15" i="1"/>
  <c r="R15" i="1"/>
  <c r="AA15" i="1" l="1"/>
  <c r="AB15" i="1"/>
  <c r="Z15" i="1"/>
  <c r="J15" i="1"/>
  <c r="V15" i="1"/>
  <c r="T15" i="1" s="1"/>
  <c r="O15" i="1"/>
  <c r="Y15" i="1"/>
  <c r="L15" i="1"/>
  <c r="M15" i="1"/>
  <c r="W15" i="1"/>
  <c r="K15" i="1"/>
  <c r="I15" i="1"/>
</calcChain>
</file>

<file path=xl/sharedStrings.xml><?xml version="1.0" encoding="utf-8"?>
<sst xmlns="http://schemas.openxmlformats.org/spreadsheetml/2006/main" count="178" uniqueCount="120">
  <si>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</si>
  <si>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</si>
  <si>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</si>
  <si>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</si>
  <si>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</si>
  <si>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</si>
  <si>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</si>
  <si>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</si>
  <si>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</si>
  <si>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Wind adjustment factor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</si>
  <si>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</si>
  <si>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</si>
  <si>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</si>
  <si>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</si>
  <si>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</si>
  <si>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</si>
  <si>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</si>
  <si>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</si>
  <si>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</si>
  <si>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</si>
  <si>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</si>
  <si>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</si>
  <si>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</si>
  <si>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</si>
  <si>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</si>
  <si>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</si>
  <si>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</si>
  <si>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</si>
  <si>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</si>
  <si>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</si>
  <si>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</si>
  <si>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</si>
  <si>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</si>
  <si>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</si>
  <si>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</si>
  <si>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</si>
  <si>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</si>
  <si>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</si>
  <si>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</si>
  <si>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</si>
  <si>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</si>
  <si>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</si>
  <si>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</si>
  <si>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</si>
  <si>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</si>
  <si>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</si>
  <si>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</si>
  <si>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</si>
  <si>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</si>
  <si>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</si>
  <si>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</si>
  <si>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</si>
  <si>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</si>
  <si>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</si>
  <si>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</si>
  <si>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</si>
  <si>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</si>
  <si>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</si>
  <si>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</si>
  <si>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</si>
  <si>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</si>
  <si>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</si>
  <si>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</si>
  <si>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</si>
  <si>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</si>
  <si>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</si>
  <si>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</si>
  <si>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</si>
  <si>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</si>
  <si>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</si>
  <si>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</si>
  <si>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</si>
  <si>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</si>
  <si>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</si>
  <si>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</si>
  <si>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</si>
  <si>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</si>
  <si>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</si>
  <si>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</si>
  <si>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</si>
  <si>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</si>
  <si>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</si>
  <si>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</si>
  <si>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</si>
  <si>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</si>
  <si>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</si>
  <si>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</si>
  <si>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</si>
  <si>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</si>
  <si>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</si>
  <si>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</si>
  <si>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</si>
  <si>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</si>
  <si>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</si>
  <si>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</si>
  <si>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</si>
  <si>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</si>
  <si>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</si>
  <si>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</si>
  <si>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</si>
  <si>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</si>
  <si>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</si>
  <si>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</si>
  <si>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</si>
  <si>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</si>
  <si>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</si>
  <si>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</si>
  <si>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</si>
  <si>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</si>
  <si>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</si>
  <si>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</si>
  <si>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</si>
  <si>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</si>
  <si>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</si>
  <si>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</si>
  <si>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N</t>
  </si>
  <si>
    <t>surface fuel load (t/ha)</t>
  </si>
  <si>
    <t>canopy fuel load (t/ha)</t>
  </si>
  <si>
    <t>canopy cover %</t>
  </si>
  <si>
    <t>canopy height 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</si>
</sst>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dd\-mm\-yyyy"/>
    <numFmt numFmtId="165" formatCode="hh:mm"/>
    <numFmt numFmtId="167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6FB56F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</fills>
  <borders count="6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5">
    <xf numFmtId="0" fontId="0" fillId="0" borderId="0" xfId="0"/>
    <xf numFmtId="164" fontId="2" fillId="2" borderId="1" xfId="0" applyNumberFormat="1" applyFont="1" applyFill="1" applyBorder="1" applyProtection="1"/>
    <xf numFmtId="165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7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7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165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7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3" xfId="0" applyNumberFormat="1" applyFont="1" applyFill="1" applyBorder="1" applyProtection="1"/>
    <xf numFmtId="165" fontId="0" fillId="2" borderId="3" xfId="0" applyNumberFormat="1" applyFill="1" applyBorder="1" applyProtection="1"/>
    <xf numFmtId="0" fontId="0" fillId="2" borderId="3" xfId="0" applyFill="1" applyBorder="1" applyProtection="1"/>
    <xf numFmtId="0" fontId="0" fillId="5" borderId="3" xfId="0" applyFill="1" applyBorder="1" applyProtection="1"/>
    <xf numFmtId="167" fontId="0" fillId="5" borderId="3" xfId="0" applyNumberFormat="1" applyFill="1" applyBorder="1" applyProtection="1"/>
    <xf numFmtId="0" fontId="0" fillId="6" borderId="3" xfId="0" applyFill="1" applyBorder="1" applyProtection="1"/>
    <xf numFmtId="167" fontId="0" fillId="6" borderId="3" xfId="0" applyNumberFormat="1" applyFill="1" applyBorder="1" applyProtection="1"/>
    <xf numFmtId="0" fontId="0" fillId="8" borderId="3" xfId="0" applyFill="1" applyBorder="1" applyProtection="1"/>
    <xf numFmtId="164" fontId="0" fillId="3" borderId="4" xfId="0" applyNumberFormat="1" applyFill="1" applyBorder="1" applyProtection="1">
      <protection locked="0"/>
    </xf>
    <xf numFmtId="165" fontId="0" fillId="3" borderId="4" xfId="0" applyNumberFormat="1" applyFill="1" applyBorder="1" applyProtection="1">
      <protection locked="0"/>
    </xf>
    <xf numFmtId="0" fontId="0" fillId="3" borderId="4" xfId="0" applyFill="1" applyBorder="1" applyProtection="1">
      <protection locked="0"/>
    </xf>
    <xf numFmtId="0" fontId="0" fillId="5" borderId="4" xfId="0" applyFill="1" applyBorder="1" applyProtection="1"/>
    <xf numFmtId="1" fontId="0" fillId="5" borderId="4" xfId="0" applyNumberFormat="1" applyFill="1" applyBorder="1" applyProtection="1"/>
    <xf numFmtId="167" fontId="0" fillId="5" borderId="4" xfId="0" applyNumberFormat="1" applyFill="1" applyBorder="1" applyProtection="1"/>
    <xf numFmtId="0" fontId="0" fillId="6" borderId="4" xfId="0" applyFill="1" applyBorder="1" applyProtection="1"/>
    <xf numFmtId="1" fontId="0" fillId="6" borderId="4" xfId="0" applyNumberFormat="1" applyFill="1" applyBorder="1" applyProtection="1"/>
    <xf numFmtId="167" fontId="0" fillId="6" borderId="4" xfId="0" applyNumberFormat="1" applyFill="1" applyBorder="1" applyProtection="1"/>
    <xf numFmtId="0" fontId="0" fillId="8" borderId="4" xfId="0" applyFill="1" applyBorder="1" applyProtection="1"/>
    <xf numFmtId="1" fontId="0" fillId="8" borderId="4" xfId="0" applyNumberFormat="1" applyFill="1" applyBorder="1" applyProtection="1"/>
    <xf numFmtId="167" fontId="0" fillId="8" borderId="4" xfId="0" applyNumberFormat="1" applyFill="1" applyBorder="1" applyProtection="1"/>
    <xf numFmtId="164" fontId="1" fillId="2" borderId="2" xfId="0" applyNumberFormat="1" applyFont="1" applyFill="1" applyBorder="1" applyAlignment="1" applyProtection="1">
      <alignment horizontal="center" wrapText="1"/>
    </xf>
    <xf numFmtId="165" fontId="1" fillId="2" borderId="2" xfId="0" applyNumberFormat="1" applyFont="1" applyFill="1" applyBorder="1" applyAlignment="1" applyProtection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1" fillId="2" borderId="2" xfId="0" applyFont="1" applyFill="1" applyBorder="1" applyAlignment="1" applyProtection="1">
      <alignment horizontal="center" wrapText="1"/>
    </xf>
    <xf numFmtId="0" fontId="1" fillId="5" borderId="2" xfId="0" applyFont="1" applyFill="1" applyBorder="1" applyAlignment="1" applyProtection="1">
      <alignment horizontal="center" wrapText="1"/>
    </xf>
    <xf numFmtId="167" fontId="1" fillId="5" borderId="2" xfId="0" applyNumberFormat="1" applyFont="1" applyFill="1" applyBorder="1" applyAlignment="1" applyProtection="1">
      <alignment horizontal="center" wrapText="1"/>
    </xf>
    <xf numFmtId="0" fontId="1" fillId="6" borderId="2" xfId="0" applyFont="1" applyFill="1" applyBorder="1" applyAlignment="1" applyProtection="1">
      <alignment horizontal="center" wrapText="1"/>
    </xf>
    <xf numFmtId="167" fontId="1" fillId="6" borderId="2" xfId="0" applyNumberFormat="1" applyFont="1" applyFill="1" applyBorder="1" applyAlignment="1" applyProtection="1">
      <alignment horizontal="center" wrapText="1"/>
    </xf>
    <xf numFmtId="0" fontId="1" fillId="8" borderId="2" xfId="0" applyFont="1" applyFill="1" applyBorder="1" applyAlignment="1" applyProtection="1">
      <alignment horizontal="center" wrapText="1"/>
    </xf>
    <xf numFmtId="0" fontId="1" fillId="2" borderId="3" xfId="0" applyFont="1" applyFill="1" applyBorder="1" applyProtection="1"/>
    <xf numFmtId="0" fontId="0" fillId="3" borderId="3" xfId="0" applyFill="1" applyBorder="1" applyProtection="1">
      <protection locked="0"/>
    </xf>
    <xf numFmtId="167" fontId="0" fillId="4" borderId="1" xfId="0" applyNumberFormat="1" applyFill="1" applyBorder="1" applyProtection="1">
      <protection locked="0"/>
    </xf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1" fillId="10" borderId="1" xfId="0" applyFont="1" applyFill="1" applyBorder="1" applyProtection="1"/>
    <xf numFmtId="0" fontId="1" fillId="10" borderId="1" xfId="0" applyFont="1" applyFill="1" applyBorder="1" applyAlignment="1" applyProtection="1">
      <alignment horizontal="right"/>
    </xf>
    <xf numFmtId="167" fontId="0" fillId="10" borderId="1" xfId="0" applyNumberFormat="1" applyFill="1" applyBorder="1" applyProtection="1"/>
    <xf numFmtId="0" fontId="0" fillId="10" borderId="3" xfId="0" applyFill="1" applyBorder="1" applyProtection="1"/>
    <xf numFmtId="0" fontId="1" fillId="10" borderId="2" xfId="0" applyFont="1" applyFill="1" applyBorder="1" applyAlignment="1" applyProtection="1">
      <alignment horizontal="center" wrapText="1"/>
    </xf>
    <xf numFmtId="0" fontId="0" fillId="10" borderId="4" xfId="0" applyFill="1" applyBorder="1" applyProtection="1"/>
    <xf numFmtId="1" fontId="0" fillId="10" borderId="4" xfId="0" applyNumberFormat="1" applyFill="1" applyBorder="1" applyProtection="1"/>
    <xf numFmtId="167" fontId="0" fillId="10" borderId="4" xfId="0" applyNumberFormat="1" applyFill="1" applyBorder="1" applyProtection="1"/>
    <xf numFmtId="1" fontId="0" fillId="10" borderId="1" xfId="0" applyNumberFormat="1" applyFill="1" applyBorder="1" applyProtection="1"/>
    <xf numFmtId="0" fontId="0" fillId="0" borderId="3" xfId="0" applyBorder="1" applyProtection="1"/>
    <xf numFmtId="0" fontId="0" fillId="0" borderId="4" xfId="0" applyBorder="1" applyProtection="1"/>
    <xf numFmtId="0" fontId="1" fillId="0" borderId="2" xfId="0" applyFont="1" applyBorder="1" applyAlignment="1" applyProtection="1">
      <alignment horizontal="center" wrapText="1"/>
    </xf>
    <xf numFmtId="0" fontId="0" fillId="2" borderId="4" xfId="0" applyFill="1" applyBorder="1" applyProtection="1"/>
    <xf numFmtId="0" fontId="0" fillId="2" borderId="5" xfId="0" applyFill="1" applyBorder="1" applyProtection="1"/>
    <xf numFmtId="0" fontId="2" fillId="11" borderId="1" xfId="0" applyFont="1" applyFill="1" applyBorder="1" applyProtection="1"/>
    <xf numFmtId="0" fontId="0" fillId="11" borderId="1" xfId="0" applyFill="1" applyBorder="1" applyProtection="1"/>
    <xf numFmtId="0" fontId="0" fillId="11" borderId="3" xfId="0" applyFill="1" applyBorder="1" applyProtection="1"/>
    <xf numFmtId="0" fontId="1" fillId="11" borderId="2" xfId="0" applyFont="1" applyFill="1" applyBorder="1" applyAlignment="1" applyProtection="1">
      <alignment horizontal="center" wrapText="1"/>
    </xf>
    <xf numFmtId="167" fontId="1" fillId="11" borderId="2" xfId="0" applyNumberFormat="1" applyFont="1" applyFill="1" applyBorder="1" applyAlignment="1" applyProtection="1">
      <alignment horizontal="center" wrapText="1"/>
    </xf>
    <xf numFmtId="0" fontId="0" fillId="11" borderId="4" xfId="0" applyFill="1" applyBorder="1" applyProtection="1"/>
    <xf numFmtId="0" fontId="0" fillId="12" borderId="1" xfId="0" applyFill="1" applyBorder="1" applyProtection="1"/>
    <xf numFmtId="0" fontId="0" fillId="12" borderId="3" xfId="0" applyFill="1" applyBorder="1" applyProtection="1"/>
    <xf numFmtId="0" fontId="0" fillId="12" borderId="4" xfId="0" applyFill="1" applyBorder="1" applyProtection="1"/>
    <xf numFmtId="0" fontId="0" fillId="12" borderId="3" xfId="0" applyFill="1" applyBorder="1" applyProtection="1">
      <protection locked="0"/>
    </xf>
    <xf numFmtId="0" fontId="1" fillId="12" borderId="2" xfId="0" applyFont="1" applyFill="1" applyBorder="1" applyAlignment="1" applyProtection="1">
      <alignment horizontal="center" wrapText="1"/>
    </xf>
    <xf numFmtId="0" fontId="0" fillId="12" borderId="4" xfId="0" applyFill="1" applyBorder="1" applyProtection="1">
      <protection locked="0"/>
    </xf>
    <xf numFmtId="0" fontId="0" fillId="12" borderId="1" xfId="0" applyFill="1" applyBorder="1" applyProtection="1">
      <protection locked="0"/>
    </xf>
    <xf numFmtId="167" fontId="0" fillId="11" borderId="1" xfId="0" applyNumberFormat="1" applyFill="1" applyBorder="1" applyProtection="1"/>
    <xf numFmtId="0" fontId="1" fillId="11" borderId="1" xfId="0" applyFont="1" applyFill="1" applyBorder="1" applyAlignment="1" applyProtection="1">
      <alignment horizontal="right"/>
    </xf>
    <xf numFmtId="0" fontId="0" fillId="13" borderId="1" xfId="0" applyFill="1" applyBorder="1" applyProtection="1">
      <protection locked="0"/>
    </xf>
    <xf numFmtId="167" fontId="0" fillId="11" borderId="4" xfId="0" applyNumberFormat="1" applyFill="1" applyBorder="1" applyProtection="1"/>
    <xf numFmtId="1" fontId="0" fillId="11" borderId="4" xfId="0" applyNumberFormat="1" applyFill="1" applyBorder="1" applyProtection="1"/>
    <xf numFmtId="1" fontId="0" fillId="11" borderId="1" xfId="0" applyNumberFormat="1" applyFill="1" applyBorder="1" applyProtection="1"/>
  </cellXfs>
  <cellStyles count="2">
    <cellStyle name="Hyperlink" xfId="1" builtinId="8"/>
    <cellStyle name="Normal" xfId="0" builtinId="0"/>
  </cellStyles>
  <dxfs count="20"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3C3C3"/>
      <color rgb="FFF1E3E3"/>
      <color rgb="FFF4E8E8"/>
      <color rgb="FFDAAFAF"/>
      <color rgb="FFEFAFAF"/>
      <color rgb="FFE78B8B"/>
      <color rgb="FFFF8B8B"/>
      <color rgb="FF6FB56F"/>
      <color rgb="FF55A555"/>
      <color rgb="FF64A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F1:F4" totalsRowShown="0">
  <autoFilter ref="F1:F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H1:I3" totalsRowShown="0">
  <autoFilter ref="H1:I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H24"/>
  <sheetViews>
    <sheetView tabSelected="1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AD27" sqref="AD27"/>
    </sheetView>
  </sheetViews>
  <sheetFormatPr defaultRowHeight="14.4" x14ac:dyDescent="0.3"/>
  <cols>
    <col min="1" max="1" width="13.77734375" style="21" customWidth="1"/>
    <col min="2" max="2" width="10.77734375" style="22" customWidth="1"/>
    <col min="3" max="7" width="10.77734375" style="23" customWidth="1"/>
    <col min="8" max="8" width="10.77734375" style="98" customWidth="1"/>
    <col min="9" max="9" width="12.77734375" style="5" customWidth="1"/>
    <col min="10" max="11" width="8.88671875" style="35"/>
    <col min="12" max="12" width="8.88671875" style="6"/>
    <col min="13" max="13" width="8.88671875" style="5"/>
    <col min="14" max="14" width="8.88671875" style="6"/>
    <col min="15" max="15" width="8.88671875" style="8"/>
    <col min="16" max="17" width="8.88671875" style="36"/>
    <col min="18" max="19" width="8.88671875" style="9"/>
    <col min="20" max="20" width="8.88671875" style="30"/>
    <col min="21" max="22" width="8.88671875" style="37"/>
    <col min="23" max="24" width="8.88671875" style="34"/>
    <col min="25" max="25" width="8.88671875" style="71"/>
    <col min="26" max="27" width="8.88671875" style="80"/>
    <col min="28" max="29" width="8.88671875" style="74"/>
    <col min="30" max="30" width="8.88671875" style="87"/>
    <col min="31" max="32" width="8.88671875" style="104"/>
    <col min="33" max="33" width="8.88671875" style="99"/>
    <col min="34" max="34" width="8.88671875" style="87"/>
    <col min="35" max="16384" width="8.88671875" style="10"/>
  </cols>
  <sheetData>
    <row r="1" spans="1:34" ht="18" x14ac:dyDescent="0.35">
      <c r="A1" s="1" t="s">
        <v>26</v>
      </c>
      <c r="B1" s="2"/>
      <c r="C1" s="3"/>
      <c r="D1" s="3"/>
      <c r="E1" s="3"/>
      <c r="F1" s="3"/>
      <c r="G1" s="3"/>
      <c r="H1" s="92"/>
      <c r="I1" s="4" t="s">
        <v>2</v>
      </c>
      <c r="J1" s="5"/>
      <c r="O1" s="7" t="s">
        <v>17</v>
      </c>
      <c r="P1" s="8"/>
      <c r="Q1" s="8"/>
      <c r="T1" s="32" t="s">
        <v>51</v>
      </c>
      <c r="U1" s="30"/>
      <c r="V1" s="30"/>
      <c r="W1" s="30"/>
      <c r="X1" s="30"/>
      <c r="Y1" s="70" t="s">
        <v>96</v>
      </c>
      <c r="Z1" s="71"/>
      <c r="AA1" s="71"/>
      <c r="AB1" s="71"/>
      <c r="AC1" s="71"/>
      <c r="AD1" s="86" t="s">
        <v>106</v>
      </c>
      <c r="AE1" s="87"/>
      <c r="AF1" s="87"/>
      <c r="AG1" s="87"/>
    </row>
    <row r="2" spans="1:34" x14ac:dyDescent="0.3">
      <c r="A2" s="11" t="s">
        <v>27</v>
      </c>
      <c r="B2" s="2"/>
      <c r="C2" s="3"/>
      <c r="D2" s="3"/>
      <c r="E2" s="3"/>
      <c r="F2" s="3"/>
      <c r="G2" s="3"/>
      <c r="H2" s="92"/>
      <c r="I2" s="12" t="s">
        <v>3</v>
      </c>
      <c r="J2" s="24">
        <v>3</v>
      </c>
      <c r="K2" s="13" t="s">
        <v>9</v>
      </c>
      <c r="O2" s="14"/>
      <c r="P2" s="8"/>
      <c r="Q2" s="14" t="s">
        <v>23</v>
      </c>
      <c r="U2" s="30"/>
      <c r="V2" s="30"/>
      <c r="W2" s="33" t="s">
        <v>53</v>
      </c>
      <c r="X2" s="31">
        <v>0</v>
      </c>
      <c r="Y2" s="72" t="s">
        <v>105</v>
      </c>
      <c r="Z2" s="71"/>
      <c r="AA2" s="73"/>
      <c r="AC2" s="71"/>
      <c r="AE2" s="87"/>
      <c r="AF2" s="87"/>
      <c r="AG2" s="100" t="s">
        <v>116</v>
      </c>
      <c r="AH2" s="101">
        <v>3</v>
      </c>
    </row>
    <row r="3" spans="1:34" x14ac:dyDescent="0.3">
      <c r="A3" s="11" t="s">
        <v>28</v>
      </c>
      <c r="B3" s="2"/>
      <c r="C3" s="3"/>
      <c r="D3" s="3"/>
      <c r="E3" s="3"/>
      <c r="F3" s="3"/>
      <c r="G3" s="3"/>
      <c r="H3" s="92"/>
      <c r="I3" s="15"/>
      <c r="J3" s="16" t="s">
        <v>70</v>
      </c>
      <c r="K3" s="17" t="s">
        <v>23</v>
      </c>
      <c r="O3" s="18" t="s">
        <v>25</v>
      </c>
      <c r="P3" s="26" t="s">
        <v>20</v>
      </c>
      <c r="Q3" s="8">
        <f>state_to_load_grass(P3)</f>
        <v>4.5</v>
      </c>
      <c r="U3" s="30"/>
      <c r="V3" s="30"/>
      <c r="W3" s="33" t="s">
        <v>52</v>
      </c>
      <c r="X3" s="31">
        <v>48</v>
      </c>
      <c r="Z3" s="71"/>
      <c r="AA3" s="73"/>
      <c r="AB3" s="73"/>
      <c r="AC3" s="71"/>
      <c r="AE3" s="87"/>
      <c r="AF3" s="87"/>
      <c r="AG3" s="100" t="s">
        <v>117</v>
      </c>
      <c r="AH3" s="101">
        <v>1</v>
      </c>
    </row>
    <row r="4" spans="1:34" x14ac:dyDescent="0.3">
      <c r="A4" s="11" t="s">
        <v>29</v>
      </c>
      <c r="B4" s="2"/>
      <c r="C4" s="3"/>
      <c r="D4" s="3"/>
      <c r="E4" s="3"/>
      <c r="F4" s="3"/>
      <c r="G4" s="3"/>
      <c r="H4" s="92"/>
      <c r="I4" s="19" t="s">
        <v>10</v>
      </c>
      <c r="J4" s="20">
        <f>fl_to_fhs(I4,K4)</f>
        <v>3</v>
      </c>
      <c r="K4" s="25">
        <v>10</v>
      </c>
      <c r="O4" s="18" t="s">
        <v>22</v>
      </c>
      <c r="P4" s="26">
        <v>80</v>
      </c>
      <c r="Q4" s="8"/>
      <c r="U4" s="30"/>
      <c r="V4" s="30"/>
      <c r="W4" s="33" t="s">
        <v>54</v>
      </c>
      <c r="X4" s="31" t="b">
        <v>0</v>
      </c>
      <c r="Z4" s="71"/>
      <c r="AA4" s="73"/>
      <c r="AB4" s="73"/>
      <c r="AC4" s="71"/>
      <c r="AE4" s="87"/>
      <c r="AF4" s="87"/>
      <c r="AG4" s="100" t="s">
        <v>118</v>
      </c>
      <c r="AH4" s="101">
        <v>18</v>
      </c>
    </row>
    <row r="5" spans="1:34" x14ac:dyDescent="0.3">
      <c r="A5" s="11"/>
      <c r="B5" s="2"/>
      <c r="C5" s="3"/>
      <c r="D5" s="3"/>
      <c r="E5" s="3"/>
      <c r="F5" s="3"/>
      <c r="G5" s="3"/>
      <c r="H5" s="92"/>
      <c r="I5" s="19" t="s">
        <v>11</v>
      </c>
      <c r="J5" s="20">
        <f t="shared" ref="J5:J7" si="0">fl_to_fhs(I5,K5)</f>
        <v>3</v>
      </c>
      <c r="K5" s="25">
        <v>3.5</v>
      </c>
      <c r="P5" s="8"/>
      <c r="Q5" s="8"/>
      <c r="U5" s="30"/>
      <c r="V5" s="30"/>
      <c r="W5" s="33" t="s">
        <v>58</v>
      </c>
      <c r="X5" s="31">
        <v>2</v>
      </c>
      <c r="Z5" s="71"/>
      <c r="AA5" s="73"/>
      <c r="AB5" s="73"/>
      <c r="AC5" s="71"/>
      <c r="AE5" s="87"/>
      <c r="AF5" s="87"/>
      <c r="AG5" s="100" t="s">
        <v>119</v>
      </c>
      <c r="AH5" s="101">
        <v>4.5</v>
      </c>
    </row>
    <row r="6" spans="1:34" x14ac:dyDescent="0.3">
      <c r="A6" s="27"/>
      <c r="B6" s="2"/>
      <c r="C6" s="3"/>
      <c r="D6" s="3"/>
      <c r="E6" s="3"/>
      <c r="F6" s="3"/>
      <c r="G6" s="3"/>
      <c r="H6" s="92"/>
      <c r="I6" s="19" t="s">
        <v>12</v>
      </c>
      <c r="J6" s="20">
        <f t="shared" si="0"/>
        <v>2</v>
      </c>
      <c r="K6" s="25">
        <v>2</v>
      </c>
      <c r="P6" s="8"/>
      <c r="Q6" s="8"/>
      <c r="U6" s="30"/>
      <c r="V6" s="30"/>
      <c r="W6" s="33" t="s">
        <v>66</v>
      </c>
      <c r="X6" s="31">
        <v>25</v>
      </c>
      <c r="Z6" s="71"/>
      <c r="AA6" s="73"/>
      <c r="AB6" s="73"/>
      <c r="AC6" s="71"/>
      <c r="AE6" s="87"/>
      <c r="AF6" s="87"/>
      <c r="AG6" s="100" t="s">
        <v>66</v>
      </c>
      <c r="AH6" s="101">
        <v>20</v>
      </c>
    </row>
    <row r="7" spans="1:34" x14ac:dyDescent="0.3">
      <c r="A7" s="11" t="s">
        <v>69</v>
      </c>
      <c r="B7" s="2"/>
      <c r="C7" s="3"/>
      <c r="D7" s="3"/>
      <c r="E7" s="3"/>
      <c r="F7" s="3"/>
      <c r="G7" s="85"/>
      <c r="H7" s="93"/>
      <c r="I7" s="19" t="s">
        <v>13</v>
      </c>
      <c r="J7" s="20">
        <f t="shared" si="0"/>
        <v>2</v>
      </c>
      <c r="K7" s="25">
        <v>2</v>
      </c>
      <c r="P7" s="8"/>
      <c r="Q7" s="8"/>
      <c r="U7" s="30"/>
      <c r="V7" s="30"/>
      <c r="W7" s="33" t="s">
        <v>31</v>
      </c>
      <c r="X7" s="34">
        <f>fuel_amount(tables!$C$19,AFDRS!$X$6,tables!$C$22)</f>
        <v>19.865241060018292</v>
      </c>
      <c r="Z7" s="71"/>
      <c r="AA7" s="71"/>
      <c r="AB7" s="71"/>
      <c r="AC7" s="71"/>
      <c r="AE7" s="87"/>
      <c r="AF7" s="87"/>
      <c r="AG7" s="100" t="s">
        <v>53</v>
      </c>
      <c r="AH7" s="101">
        <v>0</v>
      </c>
    </row>
    <row r="8" spans="1:34" x14ac:dyDescent="0.3">
      <c r="A8" s="11"/>
      <c r="B8" s="2"/>
      <c r="C8" s="3"/>
      <c r="D8" s="3"/>
      <c r="E8" s="3"/>
      <c r="F8" s="3"/>
      <c r="G8" s="84"/>
      <c r="H8" s="94"/>
      <c r="I8" s="19" t="s">
        <v>24</v>
      </c>
      <c r="J8" s="20"/>
      <c r="K8" s="25">
        <v>4.5</v>
      </c>
      <c r="P8" s="8"/>
      <c r="Q8" s="8"/>
      <c r="U8" s="30"/>
      <c r="V8" s="30"/>
      <c r="W8" s="30"/>
      <c r="X8" s="30"/>
      <c r="Z8" s="71"/>
      <c r="AA8" s="71"/>
      <c r="AB8" s="71"/>
      <c r="AC8" s="71"/>
      <c r="AE8" s="87"/>
      <c r="AF8" s="87"/>
      <c r="AG8" s="100" t="s">
        <v>52</v>
      </c>
      <c r="AH8" s="101">
        <v>48</v>
      </c>
    </row>
    <row r="9" spans="1:34" x14ac:dyDescent="0.3">
      <c r="A9" s="27" t="s">
        <v>46</v>
      </c>
      <c r="B9" s="2"/>
      <c r="C9" s="3"/>
      <c r="D9" s="3"/>
      <c r="E9" s="3"/>
      <c r="F9" s="3"/>
      <c r="G9" s="3"/>
      <c r="H9" s="92"/>
      <c r="I9" s="19"/>
      <c r="J9" s="17" t="s">
        <v>14</v>
      </c>
      <c r="K9" s="20"/>
      <c r="P9" s="8"/>
      <c r="Q9" s="8"/>
      <c r="U9" s="30"/>
      <c r="V9" s="30"/>
      <c r="W9" s="30"/>
      <c r="X9" s="30"/>
      <c r="Z9" s="71"/>
      <c r="AA9" s="71"/>
      <c r="AB9" s="71"/>
      <c r="AC9" s="71"/>
      <c r="AE9" s="87"/>
      <c r="AF9" s="87"/>
      <c r="AG9" s="87"/>
    </row>
    <row r="10" spans="1:34" x14ac:dyDescent="0.3">
      <c r="A10" s="29" t="s">
        <v>47</v>
      </c>
      <c r="B10" s="2"/>
      <c r="C10" s="3"/>
      <c r="D10" s="3"/>
      <c r="E10" s="3"/>
      <c r="F10" s="3"/>
      <c r="G10" s="3"/>
      <c r="H10" s="92"/>
      <c r="I10" s="19" t="s">
        <v>11</v>
      </c>
      <c r="J10" s="24">
        <v>20</v>
      </c>
      <c r="K10" s="13" t="s">
        <v>15</v>
      </c>
      <c r="L10" s="16" t="s">
        <v>101</v>
      </c>
      <c r="M10" s="69" t="s">
        <v>103</v>
      </c>
      <c r="P10" s="8"/>
      <c r="Q10" s="8"/>
      <c r="U10" s="30"/>
      <c r="V10" s="30"/>
      <c r="W10" s="30"/>
      <c r="X10" s="30"/>
      <c r="Z10" s="71"/>
      <c r="AA10" s="71"/>
      <c r="AB10" s="71"/>
      <c r="AC10" s="71"/>
      <c r="AE10" s="87"/>
      <c r="AF10" s="87"/>
      <c r="AG10" s="87"/>
    </row>
    <row r="11" spans="1:34" x14ac:dyDescent="0.3">
      <c r="A11" s="11"/>
      <c r="B11" s="2"/>
      <c r="C11" s="3"/>
      <c r="D11" s="3"/>
      <c r="E11" s="3"/>
      <c r="F11" s="3"/>
      <c r="G11" s="3"/>
      <c r="H11" s="92"/>
      <c r="I11" s="19" t="s">
        <v>12</v>
      </c>
      <c r="J11" s="24">
        <v>2</v>
      </c>
      <c r="K11" s="13" t="s">
        <v>16</v>
      </c>
      <c r="L11" s="6" t="s">
        <v>107</v>
      </c>
      <c r="P11" s="8"/>
      <c r="Q11" s="8"/>
      <c r="U11" s="30"/>
      <c r="V11" s="30"/>
      <c r="W11" s="30"/>
      <c r="X11" s="30"/>
      <c r="Z11" s="71"/>
      <c r="AA11" s="71"/>
      <c r="AB11" s="71"/>
      <c r="AC11" s="71"/>
      <c r="AE11" s="87"/>
      <c r="AF11" s="87"/>
      <c r="AG11" s="87"/>
    </row>
    <row r="12" spans="1:34" x14ac:dyDescent="0.3">
      <c r="A12" s="27"/>
      <c r="B12" s="2"/>
      <c r="C12" s="3"/>
      <c r="D12" s="3"/>
      <c r="E12" s="3"/>
      <c r="F12" s="3"/>
      <c r="G12" s="3"/>
      <c r="H12" s="92"/>
      <c r="I12" s="19" t="s">
        <v>24</v>
      </c>
      <c r="J12" s="24">
        <v>20</v>
      </c>
      <c r="K12" s="13" t="s">
        <v>16</v>
      </c>
      <c r="P12" s="8"/>
      <c r="Q12" s="8"/>
      <c r="U12" s="30"/>
      <c r="V12" s="30"/>
      <c r="W12" s="30"/>
      <c r="X12" s="30"/>
      <c r="Z12" s="71"/>
      <c r="AA12" s="71"/>
      <c r="AB12" s="71"/>
      <c r="AC12" s="71"/>
      <c r="AE12" s="87"/>
      <c r="AF12" s="87"/>
      <c r="AG12" s="87"/>
    </row>
    <row r="13" spans="1:34" s="81" customFormat="1" ht="18" x14ac:dyDescent="0.35">
      <c r="A13" s="38" t="s">
        <v>1</v>
      </c>
      <c r="B13" s="39"/>
      <c r="C13" s="40"/>
      <c r="D13" s="40"/>
      <c r="E13" s="40"/>
      <c r="F13" s="67" t="s">
        <v>97</v>
      </c>
      <c r="G13" s="68">
        <v>100</v>
      </c>
      <c r="H13" s="95"/>
      <c r="I13" s="41"/>
      <c r="J13" s="41"/>
      <c r="K13" s="41"/>
      <c r="L13" s="42"/>
      <c r="M13" s="41"/>
      <c r="N13" s="42"/>
      <c r="O13" s="43"/>
      <c r="P13" s="43"/>
      <c r="Q13" s="43"/>
      <c r="R13" s="44"/>
      <c r="S13" s="44"/>
      <c r="T13" s="45"/>
      <c r="U13" s="45"/>
      <c r="V13" s="45"/>
      <c r="W13" s="45"/>
      <c r="X13" s="45"/>
      <c r="Y13" s="75"/>
      <c r="Z13" s="75"/>
      <c r="AA13" s="75"/>
      <c r="AB13" s="75"/>
      <c r="AC13" s="75"/>
      <c r="AD13" s="88"/>
      <c r="AE13" s="88"/>
      <c r="AF13" s="88"/>
      <c r="AG13" s="88"/>
      <c r="AH13" s="88"/>
    </row>
    <row r="14" spans="1:34" s="83" customFormat="1" ht="60" customHeight="1" x14ac:dyDescent="0.3">
      <c r="A14" s="58" t="s">
        <v>108</v>
      </c>
      <c r="B14" s="59" t="s">
        <v>109</v>
      </c>
      <c r="C14" s="60" t="s">
        <v>110</v>
      </c>
      <c r="D14" s="60" t="s">
        <v>111</v>
      </c>
      <c r="E14" s="60" t="s">
        <v>112</v>
      </c>
      <c r="F14" s="61" t="s">
        <v>113</v>
      </c>
      <c r="G14" s="61" t="s">
        <v>0</v>
      </c>
      <c r="H14" s="96" t="s">
        <v>114</v>
      </c>
      <c r="I14" s="62" t="s">
        <v>98</v>
      </c>
      <c r="J14" s="62" t="s">
        <v>4</v>
      </c>
      <c r="K14" s="62" t="s">
        <v>5</v>
      </c>
      <c r="L14" s="63" t="s">
        <v>6</v>
      </c>
      <c r="M14" s="62" t="s">
        <v>7</v>
      </c>
      <c r="N14" s="63" t="s">
        <v>8</v>
      </c>
      <c r="O14" s="64" t="s">
        <v>98</v>
      </c>
      <c r="P14" s="64" t="s">
        <v>4</v>
      </c>
      <c r="Q14" s="64" t="s">
        <v>5</v>
      </c>
      <c r="R14" s="65" t="s">
        <v>6</v>
      </c>
      <c r="S14" s="65" t="s">
        <v>8</v>
      </c>
      <c r="T14" s="66" t="s">
        <v>98</v>
      </c>
      <c r="U14" s="66" t="s">
        <v>4</v>
      </c>
      <c r="V14" s="66" t="s">
        <v>5</v>
      </c>
      <c r="W14" s="66" t="s">
        <v>6</v>
      </c>
      <c r="X14" s="66" t="s">
        <v>8</v>
      </c>
      <c r="Y14" s="76" t="s">
        <v>98</v>
      </c>
      <c r="Z14" s="76" t="s">
        <v>4</v>
      </c>
      <c r="AA14" s="76" t="s">
        <v>5</v>
      </c>
      <c r="AB14" s="76" t="s">
        <v>6</v>
      </c>
      <c r="AC14" s="76" t="s">
        <v>8</v>
      </c>
      <c r="AD14" s="89" t="s">
        <v>98</v>
      </c>
      <c r="AE14" s="89" t="s">
        <v>4</v>
      </c>
      <c r="AF14" s="89" t="s">
        <v>5</v>
      </c>
      <c r="AG14" s="90" t="s">
        <v>6</v>
      </c>
      <c r="AH14" s="90" t="s">
        <v>8</v>
      </c>
    </row>
    <row r="15" spans="1:34" s="82" customFormat="1" x14ac:dyDescent="0.3">
      <c r="A15" s="46">
        <v>44827</v>
      </c>
      <c r="B15" s="47">
        <v>3.8865740740740742E-2</v>
      </c>
      <c r="C15" s="48">
        <v>25</v>
      </c>
      <c r="D15" s="48">
        <v>30</v>
      </c>
      <c r="E15" s="48" t="s">
        <v>115</v>
      </c>
      <c r="F15" s="48">
        <v>20</v>
      </c>
      <c r="G15" s="48">
        <v>8</v>
      </c>
      <c r="H15" s="97">
        <f>backbearing(E15)</f>
        <v>180</v>
      </c>
      <c r="I15" s="49">
        <f t="shared" ref="I15" si="1">fbi(K15,$I$1)</f>
        <v>18</v>
      </c>
      <c r="J15" s="50">
        <f>ROS_forest(F15,$J$4,$J$5,$J$10,N15,G15,$J$2,$G$13,$M$10)</f>
        <v>387.87957763263398</v>
      </c>
      <c r="K15" s="50">
        <f>Intensity_forest(J15,G15,L15,$K$4,$K$5,$K$6,$K$8,$J$12,$J$2,$G$13,$M$10)</f>
        <v>2485.015179811799</v>
      </c>
      <c r="L15" s="51">
        <f>Flame_height_forest(J15,$J$11)</f>
        <v>5.5267000198364258</v>
      </c>
      <c r="M15" s="49">
        <f>Spotting_forest(J15,F15,$J$4)</f>
        <v>189</v>
      </c>
      <c r="N15" s="51">
        <f>FMC_Forest(C15,D15,A15,B15)</f>
        <v>7.8125</v>
      </c>
      <c r="O15" s="52">
        <f>fbi(Q15,$O$1)</f>
        <v>18</v>
      </c>
      <c r="P15" s="53">
        <f>ROS_grass(F15,S15,$P$4,$P$3)</f>
        <v>2633.49365234375</v>
      </c>
      <c r="Q15" s="53">
        <f>Intensity(P15,$Q$3)</f>
        <v>6122.8725794984839</v>
      </c>
      <c r="R15" s="54">
        <f>Flame_height_grass(P15,$P$3)</f>
        <v>1.0213292837142944</v>
      </c>
      <c r="S15" s="54">
        <f>FMC_Grass(C15,D15)</f>
        <v>8.5950002670288086</v>
      </c>
      <c r="T15" s="55">
        <f>fbi(V15,$T$1)</f>
        <v>14</v>
      </c>
      <c r="U15" s="56">
        <f>ROS_heath(F15,$X$5,X15,$X$4)</f>
        <v>117.61177465976716</v>
      </c>
      <c r="V15" s="56">
        <f>intensity_heath(U15,tables!$C$19,$X$7,0.2)</f>
        <v>1192.4541904556968</v>
      </c>
      <c r="W15" s="57">
        <f>Flame_height_heath(V15)</f>
        <v>1.4077964141083166</v>
      </c>
      <c r="X15" s="57">
        <f>FMC_heath(C15,D15,$X$2,$X$3)</f>
        <v>8.3899999999999988</v>
      </c>
      <c r="Y15" s="77">
        <f>fbi(AA15,$Y$1)</f>
        <v>17</v>
      </c>
      <c r="Z15" s="78">
        <f t="array" ref="Z15:AB15">fb_pine_ensemble(F15,AC15,G15,$G$13)</f>
        <v>816.03883812382151</v>
      </c>
      <c r="AA15" s="78">
        <v>2251.8909951973737</v>
      </c>
      <c r="AB15" s="79">
        <v>4.0868029594421387</v>
      </c>
      <c r="AC15" s="79">
        <f>FMC_pine(C15,D15)</f>
        <v>7.3790998458862305</v>
      </c>
      <c r="AD15" s="91">
        <f>FBI_mallee(F15,AH15,$AH$4,AF15)</f>
        <v>5</v>
      </c>
      <c r="AE15" s="103">
        <f>ROS_mallee(F15,AH15,$AH$4,$AH$5)</f>
        <v>0</v>
      </c>
      <c r="AF15" s="103">
        <f>Intensity(AE15,fuel_load_mallee(F15,$AH$6,AH15,$AH$2,$AH$3))</f>
        <v>0</v>
      </c>
      <c r="AG15" s="102">
        <f>flame_height_mallee(AF15)</f>
        <v>0</v>
      </c>
      <c r="AH15" s="91">
        <f>FMC_mallee(C15,D15,A15,B15,$AH$7,$AH$8)</f>
        <v>9.98</v>
      </c>
    </row>
    <row r="16" spans="1:34" x14ac:dyDescent="0.3">
      <c r="A16" s="46"/>
      <c r="B16" s="47"/>
      <c r="C16" s="48"/>
      <c r="D16" s="48"/>
      <c r="E16" s="48"/>
      <c r="F16" s="48"/>
      <c r="G16" s="48"/>
      <c r="H16" s="97"/>
      <c r="I16" s="49"/>
      <c r="J16" s="50"/>
      <c r="K16" s="50"/>
      <c r="L16" s="51"/>
      <c r="M16" s="49"/>
      <c r="N16" s="51"/>
      <c r="O16" s="52"/>
      <c r="P16" s="53"/>
      <c r="Q16" s="53"/>
      <c r="R16" s="54"/>
      <c r="S16" s="54"/>
      <c r="T16" s="55"/>
      <c r="U16" s="56"/>
      <c r="V16" s="56"/>
      <c r="W16" s="57"/>
      <c r="X16" s="57"/>
      <c r="Y16" s="77"/>
      <c r="Z16" s="78"/>
      <c r="AA16" s="78"/>
      <c r="AB16" s="79"/>
      <c r="AC16" s="79"/>
      <c r="AD16" s="91"/>
      <c r="AE16" s="103"/>
      <c r="AF16" s="103"/>
      <c r="AG16" s="102"/>
      <c r="AH16" s="91"/>
    </row>
    <row r="17" spans="1:34" x14ac:dyDescent="0.3">
      <c r="A17" s="46"/>
      <c r="B17" s="47"/>
      <c r="C17" s="48"/>
      <c r="D17" s="48"/>
      <c r="E17" s="48"/>
      <c r="F17" s="48"/>
      <c r="G17" s="48"/>
      <c r="H17" s="97"/>
      <c r="I17" s="49"/>
      <c r="J17" s="50"/>
      <c r="K17" s="50"/>
      <c r="L17" s="51"/>
      <c r="M17" s="49"/>
      <c r="N17" s="51"/>
      <c r="O17" s="52"/>
      <c r="P17" s="53"/>
      <c r="Q17" s="53"/>
      <c r="R17" s="54"/>
      <c r="S17" s="54"/>
      <c r="T17" s="55"/>
      <c r="U17" s="56"/>
      <c r="V17" s="56"/>
      <c r="W17" s="57"/>
      <c r="X17" s="57"/>
      <c r="Y17" s="77"/>
      <c r="Z17" s="78"/>
      <c r="AA17" s="78"/>
      <c r="AB17" s="79"/>
      <c r="AC17" s="79"/>
      <c r="AD17" s="91"/>
      <c r="AE17" s="103"/>
      <c r="AF17" s="103"/>
      <c r="AG17" s="102"/>
      <c r="AH17" s="91"/>
    </row>
    <row r="18" spans="1:34" x14ac:dyDescent="0.3">
      <c r="A18" s="46"/>
      <c r="B18" s="47"/>
      <c r="C18" s="48"/>
      <c r="D18" s="48"/>
      <c r="E18" s="48"/>
      <c r="F18" s="48"/>
      <c r="G18" s="48"/>
      <c r="H18" s="97"/>
      <c r="I18" s="49"/>
      <c r="J18" s="50"/>
      <c r="K18" s="50"/>
      <c r="L18" s="51"/>
      <c r="M18" s="49"/>
      <c r="N18" s="51"/>
      <c r="O18" s="52"/>
      <c r="P18" s="53"/>
      <c r="Q18" s="53"/>
      <c r="R18" s="54"/>
      <c r="S18" s="54"/>
      <c r="T18" s="55"/>
      <c r="U18" s="56"/>
      <c r="V18" s="56"/>
      <c r="W18" s="57"/>
      <c r="X18" s="57"/>
      <c r="Y18" s="77"/>
      <c r="Z18" s="78"/>
      <c r="AA18" s="78"/>
      <c r="AB18" s="79"/>
      <c r="AC18" s="79"/>
      <c r="AD18" s="91"/>
      <c r="AE18" s="103"/>
      <c r="AF18" s="103"/>
      <c r="AG18" s="102"/>
      <c r="AH18" s="91"/>
    </row>
    <row r="19" spans="1:34" x14ac:dyDescent="0.3">
      <c r="A19" s="46"/>
      <c r="B19" s="47"/>
      <c r="C19" s="48"/>
      <c r="D19" s="48"/>
      <c r="E19" s="48"/>
      <c r="F19" s="48"/>
      <c r="G19" s="48"/>
      <c r="H19" s="97"/>
      <c r="I19" s="49"/>
      <c r="J19" s="50"/>
      <c r="K19" s="50"/>
      <c r="L19" s="51"/>
      <c r="M19" s="49"/>
      <c r="N19" s="51"/>
      <c r="O19" s="52"/>
      <c r="P19" s="53"/>
      <c r="Q19" s="53"/>
      <c r="R19" s="54"/>
      <c r="S19" s="54"/>
      <c r="T19" s="55"/>
      <c r="U19" s="56"/>
      <c r="V19" s="56"/>
      <c r="W19" s="57"/>
      <c r="X19" s="57"/>
      <c r="Y19" s="77"/>
      <c r="Z19" s="78"/>
      <c r="AA19" s="78"/>
      <c r="AB19" s="79"/>
      <c r="AC19" s="79"/>
      <c r="AD19" s="91"/>
      <c r="AE19" s="103"/>
      <c r="AF19" s="103"/>
      <c r="AG19" s="102"/>
      <c r="AH19" s="91"/>
    </row>
    <row r="20" spans="1:34" x14ac:dyDescent="0.3">
      <c r="A20" s="46"/>
      <c r="B20" s="47"/>
      <c r="C20" s="48"/>
      <c r="D20" s="48"/>
      <c r="E20" s="48"/>
      <c r="F20" s="48"/>
      <c r="G20" s="48"/>
      <c r="H20" s="97"/>
      <c r="I20" s="49"/>
      <c r="J20" s="50"/>
      <c r="K20" s="50"/>
      <c r="L20" s="51"/>
      <c r="M20" s="49"/>
      <c r="N20" s="51"/>
      <c r="O20" s="52"/>
      <c r="P20" s="53"/>
      <c r="Q20" s="53"/>
      <c r="R20" s="54"/>
      <c r="S20" s="54"/>
      <c r="T20" s="55"/>
      <c r="U20" s="56"/>
      <c r="V20" s="56"/>
      <c r="W20" s="57"/>
      <c r="X20" s="57"/>
      <c r="Y20" s="77"/>
      <c r="Z20" s="78"/>
      <c r="AA20" s="78"/>
      <c r="AB20" s="79"/>
      <c r="AC20" s="79"/>
      <c r="AD20" s="91"/>
      <c r="AE20" s="103"/>
      <c r="AF20" s="103"/>
      <c r="AG20" s="102"/>
      <c r="AH20" s="91"/>
    </row>
    <row r="21" spans="1:34" x14ac:dyDescent="0.3">
      <c r="A21" s="46"/>
      <c r="B21" s="47"/>
      <c r="C21" s="48"/>
      <c r="D21" s="48"/>
      <c r="E21" s="48"/>
      <c r="F21" s="48"/>
      <c r="G21" s="48"/>
      <c r="H21" s="97"/>
      <c r="I21" s="49"/>
      <c r="J21" s="50"/>
      <c r="K21" s="50"/>
      <c r="L21" s="51"/>
      <c r="M21" s="49"/>
      <c r="N21" s="51"/>
      <c r="O21" s="52"/>
      <c r="P21" s="53"/>
      <c r="Q21" s="53"/>
      <c r="R21" s="54"/>
      <c r="S21" s="54"/>
      <c r="T21" s="55"/>
      <c r="U21" s="56"/>
      <c r="V21" s="56"/>
      <c r="W21" s="57"/>
      <c r="X21" s="57"/>
      <c r="Y21" s="77"/>
      <c r="Z21" s="78"/>
      <c r="AA21" s="78"/>
      <c r="AB21" s="79"/>
      <c r="AC21" s="79"/>
      <c r="AD21" s="91"/>
      <c r="AE21" s="103"/>
      <c r="AF21" s="103"/>
      <c r="AG21" s="102"/>
      <c r="AH21" s="91"/>
    </row>
    <row r="22" spans="1:34" x14ac:dyDescent="0.3">
      <c r="A22" s="46"/>
      <c r="B22" s="47"/>
      <c r="C22" s="48"/>
      <c r="D22" s="48"/>
      <c r="E22" s="48"/>
      <c r="F22" s="48"/>
      <c r="G22" s="48"/>
      <c r="H22" s="97"/>
      <c r="I22" s="49"/>
      <c r="J22" s="50"/>
      <c r="K22" s="50"/>
      <c r="L22" s="51"/>
      <c r="M22" s="49"/>
      <c r="N22" s="51"/>
      <c r="O22" s="52"/>
      <c r="P22" s="53"/>
      <c r="Q22" s="53"/>
      <c r="R22" s="54"/>
      <c r="S22" s="54"/>
      <c r="T22" s="55"/>
      <c r="U22" s="56"/>
      <c r="V22" s="56"/>
      <c r="W22" s="57"/>
      <c r="X22" s="57"/>
      <c r="Y22" s="77"/>
      <c r="Z22" s="78"/>
      <c r="AA22" s="78"/>
      <c r="AB22" s="79"/>
      <c r="AC22" s="79"/>
      <c r="AD22" s="91"/>
      <c r="AE22" s="103"/>
      <c r="AF22" s="103"/>
      <c r="AG22" s="102"/>
      <c r="AH22" s="91"/>
    </row>
    <row r="23" spans="1:34" x14ac:dyDescent="0.3">
      <c r="A23" s="46"/>
      <c r="B23" s="47"/>
      <c r="C23" s="48"/>
      <c r="D23" s="48"/>
      <c r="E23" s="48"/>
      <c r="F23" s="48"/>
      <c r="G23" s="48"/>
      <c r="H23" s="97"/>
      <c r="I23" s="49"/>
      <c r="J23" s="50"/>
      <c r="K23" s="50"/>
      <c r="L23" s="51"/>
      <c r="M23" s="49"/>
      <c r="N23" s="51"/>
      <c r="O23" s="52"/>
      <c r="P23" s="53"/>
      <c r="Q23" s="53"/>
      <c r="R23" s="54"/>
      <c r="S23" s="54"/>
      <c r="T23" s="55"/>
      <c r="U23" s="56"/>
      <c r="V23" s="56"/>
      <c r="W23" s="57"/>
      <c r="X23" s="57"/>
      <c r="Y23" s="77"/>
      <c r="Z23" s="78"/>
      <c r="AA23" s="78"/>
      <c r="AB23" s="79"/>
      <c r="AC23" s="79"/>
      <c r="AD23" s="91"/>
      <c r="AE23" s="103"/>
      <c r="AF23" s="103"/>
      <c r="AG23" s="102"/>
      <c r="AH23" s="91"/>
    </row>
    <row r="24" spans="1:34" x14ac:dyDescent="0.3">
      <c r="A24" s="46"/>
      <c r="B24" s="47"/>
      <c r="C24" s="48"/>
      <c r="D24" s="48"/>
      <c r="E24" s="48"/>
      <c r="F24" s="48"/>
      <c r="G24" s="48"/>
      <c r="H24" s="97"/>
      <c r="I24" s="49"/>
      <c r="J24" s="50"/>
      <c r="K24" s="50"/>
      <c r="L24" s="51"/>
      <c r="M24" s="49"/>
      <c r="N24" s="51"/>
      <c r="O24" s="52"/>
      <c r="P24" s="53"/>
      <c r="Q24" s="53"/>
      <c r="R24" s="54"/>
      <c r="S24" s="54"/>
      <c r="T24" s="55"/>
      <c r="U24" s="56"/>
      <c r="V24" s="56"/>
      <c r="W24" s="57"/>
      <c r="X24" s="57"/>
      <c r="Y24" s="77"/>
      <c r="Z24" s="78"/>
      <c r="AA24" s="78"/>
      <c r="AB24" s="79"/>
      <c r="AC24" s="79"/>
      <c r="AD24" s="91"/>
      <c r="AE24" s="103"/>
      <c r="AF24" s="103"/>
      <c r="AG24" s="102"/>
      <c r="AH24" s="91"/>
    </row>
  </sheetData>
  <sheetProtection sheet="1" objects="1" scenarios="1"/>
  <conditionalFormatting sqref="O15:O1048576">
    <cfRule type="expression" dxfId="19" priority="13">
      <formula>$O15&gt;=100</formula>
    </cfRule>
    <cfRule type="expression" dxfId="18" priority="14">
      <formula>$O15&gt;=50</formula>
    </cfRule>
    <cfRule type="expression" dxfId="17" priority="15">
      <formula>$O15&gt;=24</formula>
    </cfRule>
    <cfRule type="expression" dxfId="16" priority="16">
      <formula>$O15&gt;=12</formula>
    </cfRule>
  </conditionalFormatting>
  <conditionalFormatting sqref="I15:I1048576">
    <cfRule type="expression" dxfId="15" priority="17">
      <formula>$I15&gt;=100</formula>
    </cfRule>
    <cfRule type="expression" dxfId="14" priority="18">
      <formula>$I15&gt;50</formula>
    </cfRule>
    <cfRule type="expression" dxfId="13" priority="19">
      <formula>$I15&gt;=24</formula>
    </cfRule>
    <cfRule type="expression" dxfId="12" priority="20">
      <formula>$I15&gt;=12</formula>
    </cfRule>
  </conditionalFormatting>
  <conditionalFormatting sqref="T15:T179">
    <cfRule type="expression" dxfId="11" priority="12">
      <formula>$T15&gt;=12</formula>
    </cfRule>
  </conditionalFormatting>
  <conditionalFormatting sqref="T15:T179">
    <cfRule type="expression" dxfId="10" priority="9">
      <formula>$T15&gt;=100</formula>
    </cfRule>
    <cfRule type="expression" dxfId="9" priority="10">
      <formula>$T15&gt;=50</formula>
    </cfRule>
    <cfRule type="expression" dxfId="8" priority="11">
      <formula>$T15&gt;=24</formula>
    </cfRule>
  </conditionalFormatting>
  <conditionalFormatting sqref="Y15:Y179">
    <cfRule type="expression" dxfId="7" priority="8">
      <formula>$Y15&gt;=12</formula>
    </cfRule>
  </conditionalFormatting>
  <conditionalFormatting sqref="Y15:Y179">
    <cfRule type="expression" dxfId="6" priority="5">
      <formula>$Y15&gt;=100</formula>
    </cfRule>
    <cfRule type="expression" dxfId="5" priority="6">
      <formula>$Y15&gt;=50</formula>
    </cfRule>
    <cfRule type="expression" dxfId="4" priority="7">
      <formula>$Y15&gt;=24</formula>
    </cfRule>
  </conditionalFormatting>
  <conditionalFormatting sqref="AD15">
    <cfRule type="expression" dxfId="2" priority="4">
      <formula>AD15&gt;=12</formula>
    </cfRule>
  </conditionalFormatting>
  <conditionalFormatting sqref="AD15">
    <cfRule type="expression" dxfId="1" priority="1">
      <formula>AD15&gt;=100</formula>
    </cfRule>
    <cfRule type="expression" dxfId="0" priority="2">
      <formula>AD15&gt;=50</formula>
    </cfRule>
    <cfRule type="expression" dxfId="3" priority="3">
      <formula>AD15&gt;=24</formula>
    </cfRule>
  </conditionalFormatting>
  <dataValidations count="21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allowBlank="1" showInputMessage="1" showErrorMessage="1" errorTitle="Invalid WAF" error="Enter a number between 1 and 6" promptTitle="WAF" prompt="Entera number between 1 and 6. Dry-open eucalypt forest typically has values 3.0 to 3.5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X2 AH7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X3 AH8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X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X6 AH6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H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H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H5">
      <formula1>0</formula1>
      <formula2>10</formula2>
    </dataValidation>
  </dataValidations>
  <hyperlinks>
    <hyperlink ref="A10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tables!$F$2:$F$4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tables!$H$2:$H$3</xm:f>
          </x14:formula1>
          <xm:sqref>X4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tables!$K$2:$K$3</xm:f>
          </x14:formula1>
          <xm:sqref>M10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K28"/>
  <sheetViews>
    <sheetView workbookViewId="0">
      <selection activeCell="K2" sqref="K2"/>
    </sheetView>
  </sheetViews>
  <sheetFormatPr defaultRowHeight="14.4" x14ac:dyDescent="0.3"/>
  <cols>
    <col min="2" max="2" width="9.77734375" bestFit="1" customWidth="1"/>
    <col min="4" max="4" width="28.77734375" bestFit="1" customWidth="1"/>
    <col min="6" max="6" width="12.109375" customWidth="1"/>
    <col min="8" max="8" width="17.33203125" customWidth="1"/>
  </cols>
  <sheetData>
    <row r="1" spans="1:11" x14ac:dyDescent="0.3">
      <c r="A1" s="28" t="s">
        <v>48</v>
      </c>
      <c r="F1" t="s">
        <v>18</v>
      </c>
      <c r="H1" t="s">
        <v>55</v>
      </c>
      <c r="I1" t="s">
        <v>57</v>
      </c>
      <c r="K1" s="28" t="s">
        <v>102</v>
      </c>
    </row>
    <row r="2" spans="1:11" x14ac:dyDescent="0.3">
      <c r="A2" s="28" t="s">
        <v>61</v>
      </c>
      <c r="B2" s="28" t="s">
        <v>59</v>
      </c>
      <c r="C2" s="28" t="s">
        <v>60</v>
      </c>
      <c r="D2" s="28" t="s">
        <v>64</v>
      </c>
      <c r="F2" t="s">
        <v>19</v>
      </c>
      <c r="H2" t="b">
        <v>1</v>
      </c>
      <c r="I2">
        <v>0.35</v>
      </c>
      <c r="K2" t="s">
        <v>103</v>
      </c>
    </row>
    <row r="3" spans="1:11" x14ac:dyDescent="0.3">
      <c r="A3" t="s">
        <v>71</v>
      </c>
      <c r="B3" t="s">
        <v>43</v>
      </c>
      <c r="C3">
        <v>30</v>
      </c>
      <c r="D3" t="s">
        <v>72</v>
      </c>
      <c r="F3" t="s">
        <v>20</v>
      </c>
      <c r="H3" t="b">
        <v>0</v>
      </c>
      <c r="I3">
        <v>0.66700000000000004</v>
      </c>
      <c r="K3" t="s">
        <v>104</v>
      </c>
    </row>
    <row r="4" spans="1:11" x14ac:dyDescent="0.3">
      <c r="A4" t="s">
        <v>71</v>
      </c>
      <c r="B4" t="s">
        <v>42</v>
      </c>
      <c r="C4">
        <v>25</v>
      </c>
      <c r="D4" t="s">
        <v>73</v>
      </c>
      <c r="F4" t="s">
        <v>21</v>
      </c>
    </row>
    <row r="5" spans="1:11" x14ac:dyDescent="0.3">
      <c r="A5" t="s">
        <v>71</v>
      </c>
      <c r="B5" t="s">
        <v>67</v>
      </c>
      <c r="C5">
        <v>25</v>
      </c>
      <c r="D5" t="s">
        <v>81</v>
      </c>
    </row>
    <row r="6" spans="1:11" x14ac:dyDescent="0.3">
      <c r="A6" t="s">
        <v>71</v>
      </c>
      <c r="B6" t="s">
        <v>38</v>
      </c>
      <c r="C6">
        <v>20</v>
      </c>
      <c r="D6" t="s">
        <v>82</v>
      </c>
    </row>
    <row r="7" spans="1:11" x14ac:dyDescent="0.3">
      <c r="A7" t="s">
        <v>30</v>
      </c>
      <c r="B7" t="s">
        <v>32</v>
      </c>
      <c r="C7">
        <v>8</v>
      </c>
      <c r="D7" t="s">
        <v>83</v>
      </c>
    </row>
    <row r="8" spans="1:11" x14ac:dyDescent="0.3">
      <c r="A8" t="s">
        <v>30</v>
      </c>
      <c r="B8" t="s">
        <v>40</v>
      </c>
      <c r="C8">
        <v>3</v>
      </c>
      <c r="D8" t="s">
        <v>74</v>
      </c>
    </row>
    <row r="9" spans="1:11" x14ac:dyDescent="0.3">
      <c r="A9" t="s">
        <v>30</v>
      </c>
      <c r="B9" t="s">
        <v>39</v>
      </c>
      <c r="C9">
        <v>3</v>
      </c>
      <c r="D9" t="s">
        <v>75</v>
      </c>
    </row>
    <row r="10" spans="1:11" x14ac:dyDescent="0.3">
      <c r="A10" t="s">
        <v>30</v>
      </c>
      <c r="B10" t="s">
        <v>35</v>
      </c>
      <c r="C10">
        <v>3</v>
      </c>
      <c r="D10" t="s">
        <v>76</v>
      </c>
    </row>
    <row r="11" spans="1:11" x14ac:dyDescent="0.3">
      <c r="A11" t="s">
        <v>30</v>
      </c>
      <c r="B11" t="s">
        <v>34</v>
      </c>
      <c r="C11">
        <v>3</v>
      </c>
      <c r="D11" t="s">
        <v>77</v>
      </c>
    </row>
    <row r="12" spans="1:11" x14ac:dyDescent="0.3">
      <c r="A12" t="s">
        <v>30</v>
      </c>
      <c r="B12" t="s">
        <v>36</v>
      </c>
      <c r="C12">
        <v>4.5</v>
      </c>
      <c r="D12" t="s">
        <v>78</v>
      </c>
    </row>
    <row r="13" spans="1:11" x14ac:dyDescent="0.3">
      <c r="A13" t="s">
        <v>30</v>
      </c>
      <c r="B13" t="s">
        <v>33</v>
      </c>
      <c r="C13">
        <v>10</v>
      </c>
      <c r="D13" t="s">
        <v>79</v>
      </c>
    </row>
    <row r="14" spans="1:11" x14ac:dyDescent="0.3">
      <c r="A14" t="s">
        <v>30</v>
      </c>
      <c r="B14" t="s">
        <v>41</v>
      </c>
      <c r="C14">
        <v>20</v>
      </c>
      <c r="D14" t="s">
        <v>80</v>
      </c>
    </row>
    <row r="15" spans="1:11" x14ac:dyDescent="0.3">
      <c r="A15" t="s">
        <v>30</v>
      </c>
      <c r="B15" t="s">
        <v>37</v>
      </c>
      <c r="C15">
        <v>20</v>
      </c>
      <c r="D15" t="s">
        <v>86</v>
      </c>
    </row>
    <row r="16" spans="1:11" x14ac:dyDescent="0.3">
      <c r="A16" t="s">
        <v>30</v>
      </c>
      <c r="B16" t="s">
        <v>3</v>
      </c>
      <c r="C16">
        <v>3</v>
      </c>
      <c r="D16" t="s">
        <v>87</v>
      </c>
    </row>
    <row r="17" spans="1:4" x14ac:dyDescent="0.3">
      <c r="A17" t="s">
        <v>45</v>
      </c>
      <c r="B17" t="s">
        <v>44</v>
      </c>
      <c r="C17">
        <v>100</v>
      </c>
      <c r="D17" t="s">
        <v>88</v>
      </c>
    </row>
    <row r="18" spans="1:4" x14ac:dyDescent="0.3">
      <c r="A18" t="s">
        <v>45</v>
      </c>
      <c r="B18" t="s">
        <v>25</v>
      </c>
      <c r="C18" t="s">
        <v>20</v>
      </c>
      <c r="D18" t="s">
        <v>89</v>
      </c>
    </row>
    <row r="19" spans="1:4" x14ac:dyDescent="0.3">
      <c r="A19" t="s">
        <v>62</v>
      </c>
      <c r="B19" t="s">
        <v>99</v>
      </c>
      <c r="C19">
        <v>20</v>
      </c>
      <c r="D19" t="s">
        <v>84</v>
      </c>
    </row>
    <row r="20" spans="1:4" x14ac:dyDescent="0.3">
      <c r="A20" t="s">
        <v>62</v>
      </c>
      <c r="B20" t="s">
        <v>63</v>
      </c>
      <c r="C20">
        <v>2</v>
      </c>
      <c r="D20" t="s">
        <v>85</v>
      </c>
    </row>
    <row r="21" spans="1:4" x14ac:dyDescent="0.3">
      <c r="A21" t="s">
        <v>62</v>
      </c>
      <c r="B21" t="s">
        <v>50</v>
      </c>
      <c r="C21">
        <v>48</v>
      </c>
      <c r="D21" t="s">
        <v>90</v>
      </c>
    </row>
    <row r="22" spans="1:4" x14ac:dyDescent="0.3">
      <c r="A22" t="s">
        <v>62</v>
      </c>
      <c r="B22" t="s">
        <v>100</v>
      </c>
      <c r="C22">
        <v>0.2</v>
      </c>
      <c r="D22" t="s">
        <v>68</v>
      </c>
    </row>
    <row r="23" spans="1:4" x14ac:dyDescent="0.3">
      <c r="A23" t="s">
        <v>62</v>
      </c>
      <c r="B23" t="s">
        <v>56</v>
      </c>
      <c r="C23" t="b">
        <v>0</v>
      </c>
      <c r="D23" t="s">
        <v>65</v>
      </c>
    </row>
    <row r="24" spans="1:4" x14ac:dyDescent="0.3">
      <c r="A24" t="s">
        <v>62</v>
      </c>
      <c r="B24" t="s">
        <v>49</v>
      </c>
    </row>
    <row r="25" spans="1:4" x14ac:dyDescent="0.3">
      <c r="A25" t="s">
        <v>91</v>
      </c>
      <c r="B25" t="s">
        <v>32</v>
      </c>
      <c r="C25">
        <v>8</v>
      </c>
      <c r="D25" t="s">
        <v>83</v>
      </c>
    </row>
    <row r="26" spans="1:4" x14ac:dyDescent="0.3">
      <c r="A26" t="s">
        <v>91</v>
      </c>
      <c r="B26" t="s">
        <v>3</v>
      </c>
      <c r="C26">
        <v>5</v>
      </c>
      <c r="D26" t="s">
        <v>92</v>
      </c>
    </row>
    <row r="27" spans="1:4" x14ac:dyDescent="0.3">
      <c r="A27" t="s">
        <v>91</v>
      </c>
      <c r="B27" t="s">
        <v>93</v>
      </c>
      <c r="C27">
        <v>100</v>
      </c>
      <c r="D27" t="s">
        <v>94</v>
      </c>
    </row>
    <row r="28" spans="1:4" x14ac:dyDescent="0.3">
      <c r="A28" t="s">
        <v>95</v>
      </c>
      <c r="B28" t="s">
        <v>33</v>
      </c>
      <c r="C28">
        <v>1.05</v>
      </c>
      <c r="D28" t="s">
        <v>79</v>
      </c>
    </row>
  </sheetData>
  <sheetProtection sheet="1" objects="1" scenarios="1"/>
  <sortState ref="A3:D24">
    <sortCondition ref="A3:A24"/>
    <sortCondition ref="B3:B24"/>
  </sortState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AFDRS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2022-09-22T14:56:13Z</dcterms:modified>
</cp:coreProperties>
</file>