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filterPrivacy="1" codeName="ThisWorkbook"/>
  <xr:revisionPtr revIDLastSave="0" documentId="13_ncr:1_{5D9F913F-5734-4017-A3C8-F56834D9258A}" xr6:coauthVersionLast="47" xr6:coauthVersionMax="47" xr10:uidLastSave="{00000000-0000-0000-0000-000000000000}"/>
  <bookViews>
    <workbookView xWindow="-108" yWindow="-108" windowWidth="30936" windowHeight="16896" xr2:uid="{B7C7CBCF-53DC-479F-9405-DA22A9D1C5BB}"/>
  </bookViews>
  <sheets>
    <sheet name="SpreadModels" sheetId="1" r:id="rId1"/>
    <sheet name="Changelog" sheetId="24" r:id="rId2"/>
    <sheet name="AFDRS Fuel LUT" sheetId="25" r:id="rId3"/>
    <sheet name="models_tables" sheetId="3" r:id="rId4"/>
  </sheets>
  <functionGroups builtInGroupCount="19"/>
  <definedNames>
    <definedName name="AFDRS_Fuel_Name">AFDRS_LUT[Fuel_Name]</definedName>
    <definedName name="AWAP_uf">SpreadModels!$AZ$2</definedName>
    <definedName name="ClassButtongrass">SpreadModels!$BD$1</definedName>
    <definedName name="Classes_Buttongrass">models_tables!$AB$2:$AB$500</definedName>
    <definedName name="Classes_Forest">models_tables!$V$2:$V$500</definedName>
    <definedName name="Classes_Grass">models_tables!$X$2:$X$500</definedName>
    <definedName name="Classes_Heath">models_tables!$AD$2:$AD$500</definedName>
    <definedName name="Classes_Mallee">models_tables!$AF$2:$AF$500</definedName>
    <definedName name="Classes_Pine">models_tables!$AH$2:$AH$500</definedName>
    <definedName name="Classes_Spinifex">models_tables!$AJ$2:$AJ$500</definedName>
    <definedName name="Classes_Woodland">models_tables!$Z$2:$Z$500</definedName>
    <definedName name="ClassForest">SpreadModels!$K$1</definedName>
    <definedName name="ClassGrass">SpreadModels!$S$1</definedName>
    <definedName name="ClassHeath">SpreadModels!$AG$1</definedName>
    <definedName name="ClassMallee">SpreadModels!$AR$1</definedName>
    <definedName name="ClassPine">SpreadModels!$AM$1</definedName>
    <definedName name="ClassSpinifex">SpreadModels!$AX$1</definedName>
    <definedName name="ClassWoodland">SpreadModels!$AA$1</definedName>
    <definedName name="cov_o_mallee">SpreadModels!$AS$7</definedName>
    <definedName name="curing_grass">SpreadModels!$Q$4</definedName>
    <definedName name="curing_woodland">SpreadModels!$AA$5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SpreadModels!$J$7</definedName>
    <definedName name="fhs_e">SpreadModels!$J$6</definedName>
    <definedName name="fhs_ns">SpreadModels!$J$5</definedName>
    <definedName name="fhs_s">SpreadModels!$J$4</definedName>
    <definedName name="fk_heath">SpreadModels!$AH$10</definedName>
    <definedName name="fk_mallee">SpreadModels!$AS$11</definedName>
    <definedName name="fl_b_forest">SpreadModels!$K$7</definedName>
    <definedName name="fl_e_forest">SpreadModels!$K$6</definedName>
    <definedName name="fl_heath">SpreadModels!$AH$9</definedName>
    <definedName name="fl_ns_forest">SpreadModels!$K$5</definedName>
    <definedName name="fl_o_forest">SpreadModels!$K$8</definedName>
    <definedName name="fl_o_mallee">SpreadModels!$AS$6</definedName>
    <definedName name="fl_o_ss_mallee">SpreadModels!$AS$10</definedName>
    <definedName name="fl_s_forest">SpreadModels!$K$4</definedName>
    <definedName name="fl_s_grass">SpreadModels!$R$3</definedName>
    <definedName name="fl_s_mallee">SpreadModels!$AS$5</definedName>
    <definedName name="fl_s_ss_mallee">SpreadModels!$AS$9</definedName>
    <definedName name="fl_ss_heath" comment="maximum steady state fuel load (t/ha)">SpreadModels!$AH$8</definedName>
    <definedName name="fl_total_max_heath">models_tables!$C$19</definedName>
    <definedName name="fl_woodland">SpreadModels!$AA$4</definedName>
    <definedName name="Forest">SpreadModels!$I$1</definedName>
    <definedName name="ForestLUT">models_tables!$V$2:$W$500</definedName>
    <definedName name="FTno_Buttongrass">models_tables!$AC$2:$AC$500</definedName>
    <definedName name="FTno_forest">models_tables!$W$2:$W$500</definedName>
    <definedName name="FTno_Grass">models_tables!$Y$2:$Y$500</definedName>
    <definedName name="FTno_Heath">models_tables!$AE$2:$AE$500</definedName>
    <definedName name="FTno_Mallee">models_tables!$AG$2:$AG$500</definedName>
    <definedName name="FTno_Pine">models_tables!$AI$2:$AI$500</definedName>
    <definedName name="FTno_Spinifex">models_tables!$AK$2:$AK$500</definedName>
    <definedName name="FTno_Woodland">models_tables!$AA$2:$AA$500</definedName>
    <definedName name="fuel_cov_spinifex">SpreadModels!#REF!</definedName>
    <definedName name="Fuel_load__buttongrass">SpreadModels!$BC$3</definedName>
    <definedName name="Grass">SpreadModels!$P$1</definedName>
    <definedName name="h_e_forest">SpreadModels!$J$11</definedName>
    <definedName name="h_el_heath">SpreadModels!$AH$7</definedName>
    <definedName name="h_ns_forest">SpreadModels!$J$10</definedName>
    <definedName name="h_o_forest">SpreadModels!$J$12</definedName>
    <definedName name="h_o_mallee">SpreadModels!$AS$8</definedName>
    <definedName name="Heath">SpreadModels!$AD$1</definedName>
    <definedName name="kbdi">SpreadModels!$G$13</definedName>
    <definedName name="Mallee">SpreadModels!$AO$1</definedName>
    <definedName name="outputs_r1">SpreadModels!$H$15:$BY$15</definedName>
    <definedName name="overstorey_heath">SpreadModels!$AH$6</definedName>
    <definedName name="Pine">SpreadModels!$AJ$1</definedName>
    <definedName name="productivity_buttongrass">SpreadModels!$BC$2</definedName>
    <definedName name="productivity_spinifex">SpreadModels!$AZ$5</definedName>
    <definedName name="rain">SpreadModels!$G$10</definedName>
    <definedName name="rh_row1">SpreadModels!$D$15</definedName>
    <definedName name="Spinifex">SpreadModels!$AV$1</definedName>
    <definedName name="State">SpreadModels!$G$5</definedName>
    <definedName name="state_grass">SpreadModels!$Q$3</definedName>
    <definedName name="submodel_forest">SpreadModels!$M$10</definedName>
    <definedName name="subtype_spinifex">SpreadModels!$AZ$7</definedName>
    <definedName name="subtype_woodland">SpreadModels!$AA$3</definedName>
    <definedName name="temp_row1">SpreadModels!$C$15</definedName>
    <definedName name="time_row1">SpreadModels!$B$15</definedName>
    <definedName name="tsf" comment="time since fire">SpreadModels!$G$12</definedName>
    <definedName name="tsr">SpreadModels!$G$11</definedName>
    <definedName name="waf_forest">SpreadModels!$J$2</definedName>
    <definedName name="waf_spinifex">SpreadModels!$AZ$6</definedName>
    <definedName name="waf_woodland">SpreadModels!$AA$6</definedName>
    <definedName name="wind_dir_row1">SpreadModels!$E$15</definedName>
    <definedName name="wind_mag_row1">SpreadModels!$F$15</definedName>
    <definedName name="Woodland">SpreadModels!$X$1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BG15" i="1"/>
  <c r="BE15" i="1"/>
  <c r="BK15" i="1"/>
  <c r="H15" i="1"/>
  <c r="AN15" i="1"/>
  <c r="J4" i="1"/>
  <c r="AB15" i="1"/>
  <c r="J5" i="1"/>
  <c r="J7" i="1"/>
  <c r="J6" i="1"/>
  <c r="AS6" i="1"/>
  <c r="AS5" i="1"/>
  <c r="AH9" i="1"/>
  <c r="AB4" i="1"/>
  <c r="R3" i="1"/>
  <c r="AH15" i="1"/>
  <c r="AZ15" i="1"/>
  <c r="BR15" i="1"/>
  <c r="N15" i="1"/>
  <c r="V15" i="1"/>
  <c r="BX15" i="1"/>
  <c r="U15" i="1"/>
  <c r="AI15" i="1"/>
  <c r="BV15" i="1"/>
  <c r="T15" i="1"/>
  <c r="Q15" i="1" s="1"/>
  <c r="AS15" i="1"/>
  <c r="AW15" i="1"/>
  <c r="BC3" i="1"/>
  <c r="AO15" i="1"/>
  <c r="BS15" i="1"/>
  <c r="BH15" i="1"/>
  <c r="AU15" i="1"/>
  <c r="AT15" i="1"/>
  <c r="AY15" i="1"/>
  <c r="R15" i="1"/>
  <c r="S15" i="1"/>
  <c r="AX15" i="1"/>
  <c r="AV15" i="1"/>
  <c r="W15" i="1" a="1"/>
  <c r="P15" i="1"/>
  <c r="W15" i="1" l="1"/>
  <c r="AP15" i="1"/>
  <c r="BU15" i="1"/>
  <c r="BF15" i="1"/>
  <c r="BT15" i="1"/>
  <c r="Y15" i="1"/>
  <c r="J15" i="1"/>
  <c r="AE15" i="1"/>
  <c r="AK15" i="1" a="1"/>
  <c r="BI15" i="1"/>
  <c r="Z15" i="1"/>
  <c r="AA15" i="1"/>
  <c r="M15" i="1"/>
  <c r="X15" i="1"/>
  <c r="AC15" i="1" a="1"/>
  <c r="AC15" i="1" l="1"/>
  <c r="AK15" i="1"/>
  <c r="AM15" i="1"/>
  <c r="AL15" i="1"/>
  <c r="L15" i="1"/>
  <c r="AJ15" i="1"/>
  <c r="K15" i="1"/>
  <c r="I15" i="1"/>
  <c r="BB15" i="1"/>
  <c r="BL15" i="1" a="1"/>
  <c r="AQ15" i="1"/>
  <c r="BW15" i="1"/>
  <c r="O15" i="1" a="1"/>
  <c r="AF15" i="1"/>
  <c r="AG15" i="1"/>
  <c r="AD15" i="1"/>
  <c r="O15" i="1" l="1"/>
  <c r="BL15" i="1"/>
  <c r="AR15" i="1"/>
  <c r="BC15" i="1"/>
  <c r="BN15" i="1"/>
  <c r="BQ15" i="1" s="1"/>
  <c r="BP15" i="1"/>
  <c r="BD15" i="1"/>
  <c r="BA15" i="1"/>
  <c r="BO15" i="1"/>
  <c r="BM15" i="1"/>
  <c r="BY15" i="1" a="1"/>
  <c r="BY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AA4" authorId="0" shapeId="0" xr:uid="{6B1502AB-EBAF-4289-8929-1B375964FBDD}">
      <text>
        <r>
          <rPr>
            <sz val="9"/>
            <color indexed="81"/>
            <rFont val="Tahoma"/>
            <family val="2"/>
          </rPr>
          <t xml:space="preserve">fuel load is always used in the calculation of intensity, but only used in the calculation of ROS for generic woodland type
</t>
        </r>
      </text>
    </comment>
    <comment ref="AS5" authorId="0" shapeId="0" xr:uid="{0DA86A9C-3931-4F6B-AA17-66B1135D4080}">
      <text>
        <r>
          <rPr>
            <sz val="9"/>
            <color indexed="81"/>
            <rFont val="Tahoma"/>
            <family val="2"/>
          </rPr>
          <t>to calculate from TSF enter the formula =@fuel_amount(fl_s_ss_mallee,tsf,fk_mallee)</t>
        </r>
      </text>
    </comment>
    <comment ref="AS6" authorId="0" shapeId="0" xr:uid="{A797BD83-65BF-4F81-934C-368079C6A0A8}">
      <text>
        <r>
          <rPr>
            <sz val="9"/>
            <color indexed="81"/>
            <rFont val="Tahoma"/>
            <family val="2"/>
          </rPr>
          <t>to calculate from TSF enter the formula =@fuel_amount(fl_o_ss_mallee,tsf,fk_mallee)</t>
        </r>
      </text>
    </comment>
    <comment ref="AH9" authorId="0" shapeId="0" xr:uid="{CD632EC4-1559-4ABF-9B6C-F53B3F50352D}">
      <text>
        <r>
          <rPr>
            <sz val="9"/>
            <color indexed="81"/>
            <rFont val="Tahoma"/>
            <family val="2"/>
          </rPr>
          <t>to calculate from TSF use formula =@fuel_amount(fl_ss_heath,tsf,fk_heath)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<sst xmlns="http://schemas.openxmlformats.org/spreadsheetml/2006/main" count="2283" uniqueCount="759">
  <si>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</si>
  <si>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</si>
  <si>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</si>
  <si>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</si>
  <si>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</si>
  <si>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</si>
  <si>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</si>
  <si>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</si>
  <si>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</si>
  <si>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</si>
  <si>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</si>
  <si>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</si>
  <si>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</si>
  <si>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</si>
  <si>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</si>
  <si>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</si>
  <si>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</si>
  <si>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</si>
  <si>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</si>
  <si>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</si>
  <si>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</si>
  <si>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</si>
  <si>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</si>
  <si>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</si>
  <si>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</si>
  <si>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</si>
  <si>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</si>
  <si>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</si>
  <si>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</si>
  <si>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</si>
  <si>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</si>
  <si>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</si>
  <si>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</si>
  <si>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</si>
  <si>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</si>
  <si>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</si>
  <si>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</si>
  <si>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</si>
  <si>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</si>
  <si>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</si>
  <si>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</si>
  <si>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</si>
  <si>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</si>
  <si>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</si>
  <si>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</si>
  <si>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</si>
  <si>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</si>
  <si>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</si>
  <si>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</si>
  <si>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</si>
  <si>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</si>
  <si>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</si>
  <si>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</si>
  <si>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</si>
  <si>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</si>
  <si>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</si>
  <si>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</si>
  <si>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</si>
  <si>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</si>
  <si>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</si>
  <si>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</si>
  <si>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</si>
  <si>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</si>
  <si>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</si>
  <si>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</si>
  <si>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</si>
  <si>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</si>
  <si>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</si>
  <si>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</si>
  <si>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</si>
  <si>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</si>
  <si>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</si>
  <si>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</si>
  <si>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</si>
  <si>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</si>
  <si>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</si>
  <si>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</si>
  <si>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</si>
  <si>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</si>
  <si>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</si>
  <si>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</si>
  <si>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</si>
  <si>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</si>
  <si>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</si>
  <si>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</si>
  <si>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</si>
  <si>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</si>
  <si>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</si>
  <si>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</si>
  <si>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</si>
  <si>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</si>
  <si>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</si>
  <si>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</si>
  <si>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</si>
  <si>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</si>
  <si>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</si>
  <si>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</si>
  <si>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</si>
  <si>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</si>
  <si>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</si>
  <si>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</si>
  <si>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</si>
  <si>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</si>
  <si>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</si>
  <si>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</si>
  <si>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</si>
  <si>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</si>
  <si>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</si>
  <si>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</si>
  <si>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</si>
  <si>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</si>
  <si>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</si>
  <si>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</si>
  <si>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</si>
  <si>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</si>
  <si>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</si>
  <si>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</si>
  <si>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</si>
  <si>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</si>
  <si>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</si>
  <si>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</si>
  <si>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</si>
  <si>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</si>
  <si>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</si>
  <si>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</si>
  <si>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</si>
  <si>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</si>
  <si>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</si>
  <si>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</si>
  <si>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</si>
  <si>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</si>
  <si>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</si>
  <si>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</si>
  <si>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</si>
  <si>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</si>
  <si>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</si>
  <si>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</si>
  <si>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</si>
  <si>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</si>
  <si>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</si>
  <si>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</si>
  <si>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</si>
  <si>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</si>
  <si>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</si>
  <si>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</si>
  <si>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</si>
  <si>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</si>
  <si>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</si>
  <si>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</si>
  <si>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</si>
  <si>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</si>
  <si>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</si>
  <si>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</si>
  <si>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</si>
  <si>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</si>
  <si>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</si>
  <si>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</si>
  <si>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</si>
  <si>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</si>
  <si>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</si>
  <si>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</si>
  <si>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</si>
  <si>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</si>
  <si>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</si>
  <si>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</si>
  <si>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</si>
  <si>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</si>
  <si>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</si>
  <si>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</si>
  <si>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</si>
  <si>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</si>
  <si>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</si>
  <si>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</si>
  <si>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</si>
  <si>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</si>
  <si>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</si>
  <si>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</si>
  <si>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</si>
  <si>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</si>
  <si>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</si>
  <si>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</si>
  <si>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</si>
  <si>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</si>
  <si>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</si>
  <si>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</si>
  <si>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</si>
  <si>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</si>
  <si>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</si>
  <si>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</si>
  <si>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</si>
  <si>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</si>
  <si>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</si>
  <si>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</si>
  <si>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</si>
  <si>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</si>
  <si>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</si>
  <si>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</si>
  <si>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</si>
  <si>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</si>
  <si>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</si>
  <si>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</si>
  <si>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</si>
  <si>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</si>
  <si>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</si>
  <si>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</si>
  <si>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</si>
  <si>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</si>
  <si>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</si>
  <si>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</si>
  <si>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</si>
  <si>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</si>
  <si>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</si>
  <si>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</si>
  <si>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</si>
  <si>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</si>
  <si>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</si>
  <si>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</si>
  <si>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</si>
  <si>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</si>
  <si>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</si>
  <si>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</si>
  <si>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</si>
  <si>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</si>
  <si>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</si>
  <si>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</si>
  <si>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</si>
  <si>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</si>
  <si>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</si>
  <si>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</si>
  <si>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</si>
  <si>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</si>
  <si>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</si>
  <si>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</si>
  <si>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</si>
  <si>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</si>
  <si>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</si>
  <si>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</si>
  <si>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</si>
  <si>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</si>
  <si>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</si>
  <si>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</si>
  <si>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</si>
  <si>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</si>
  <si>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</si>
  <si>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</si>
  <si>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</si>
  <si>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</si>
  <si>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</si>
  <si>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</si>
  <si>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</si>
  <si>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</si>
  <si>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</si>
  <si>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</si>
  <si>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</si>
  <si>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</si>
  <si>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</si>
  <si>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</si>
  <si>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Includes probability of breach of firebreak using the formula from Wilson, A. A. G. (2011). Width of firebreak that is necessary to stop grass fires: Some field experiments. Canadian Journal of Forest Research. https://doi.org/10.1139/x88-104</t>
  </si>
  <si>
    <t>State</t>
  </si>
  <si>
    <t>fuel load (t/ha)</t>
  </si>
  <si>
    <t>and time since precipitation (h)</t>
  </si>
  <si>
    <t>steady state surface fuel load</t>
  </si>
  <si>
    <t>steady state canopy fuel load</t>
  </si>
  <si>
    <t>Spread Prob</t>
  </si>
  <si>
    <t>Crown Prob</t>
  </si>
  <si>
    <t>Added notes to several fields; exposed spread probabilities for mallee and spinifex, exposed some growth curve parameters</t>
  </si>
  <si>
    <t>Parameters required from forest Model (Vesta)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</si>
  <si>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</si>
  <si>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</si>
  <si>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</si>
  <si>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</si>
  <si>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</si>
  <si>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</si>
  <si>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</si>
  <si>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</si>
  <si>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</si>
  <si>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</si>
  <si>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</si>
  <si>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</si>
  <si>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</si>
  <si>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</si>
  <si>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</si>
  <si>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</si>
  <si>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</si>
  <si>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</si>
  <si>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</si>
  <si>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</si>
  <si>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</si>
  <si>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</si>
  <si>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</si>
  <si>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</si>
  <si>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</si>
  <si>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</si>
  <si>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</si>
  <si>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</si>
  <si>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</si>
  <si>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</si>
  <si>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</si>
  <si>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</si>
  <si>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</si>
  <si>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</si>
  <si>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</si>
  <si>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</si>
  <si>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</si>
  <si>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</si>
  <si>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</si>
  <si>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</si>
  <si>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</si>
  <si>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</si>
  <si>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</si>
  <si>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</si>
  <si>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</si>
  <si>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</si>
  <si>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</si>
  <si>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</si>
  <si>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</si>
  <si>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</si>
  <si>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</si>
  <si>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</si>
  <si>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</si>
  <si>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</si>
  <si>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</si>
  <si>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</si>
  <si>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</si>
  <si>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</si>
  <si>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</si>
  <si>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</si>
  <si>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</si>
  <si>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</si>
  <si>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</si>
  <si>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</si>
  <si>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</si>
  <si>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</si>
  <si>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</si>
  <si>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</si>
  <si>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</si>
  <si>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</si>
  <si>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</si>
  <si>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</si>
  <si>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</si>
  <si>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</si>
  <si>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</si>
  <si>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</si>
  <si>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</si>
  <si>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</si>
  <si>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</si>
  <si>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</si>
  <si>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</si>
  <si>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</si>
  <si>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</si>
  <si>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</si>
  <si>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</si>
  <si>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</si>
  <si>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</si>
  <si>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</si>
  <si>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</si>
  <si>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</si>
  <si>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</si>
  <si>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</si>
  <si>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</si>
  <si>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</si>
  <si>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</si>
  <si>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</si>
  <si>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</si>
  <si>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</si>
  <si>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</si>
  <si>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</si>
  <si>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</si>
  <si>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</si>
  <si>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</si>
  <si>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</si>
  <si>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</si>
  <si>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</si>
  <si>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</si>
  <si>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</si>
  <si>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</si>
  <si>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</si>
  <si>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</si>
  <si>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</si>
  <si>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</si>
  <si>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</si>
  <si>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</si>
  <si>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</si>
  <si>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</si>
  <si>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</si>
  <si>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</si>
  <si>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</si>
  <si>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</si>
  <si>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</si>
  <si>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</si>
  <si>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</si>
  <si>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</si>
  <si>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</si>
  <si>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</si>
  <si>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</si>
  <si>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</si>
  <si>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</si>
  <si>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</si>
  <si>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</si>
  <si>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</si>
  <si>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</si>
  <si>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</si>
  <si>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</si>
  <si>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</si>
  <si>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</si>
  <si>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</si>
  <si>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</si>
  <si>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</si>
  <si>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</si>
  <si>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</si>
  <si>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</si>
  <si>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</si>
  <si>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</si>
  <si>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</si>
  <si>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</si>
  <si>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</si>
  <si>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</si>
  <si>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</si>
  <si>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</si>
  <si>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</si>
  <si>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</si>
  <si>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</si>
  <si>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</si>
  <si>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</si>
  <si>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</si>
  <si>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</si>
  <si>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</si>
  <si>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</si>
  <si>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</si>
  <si>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</si>
  <si>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</si>
  <si>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</si>
  <si>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</si>
  <si>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</si>
  <si>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</si>
  <si>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</si>
  <si>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</si>
  <si>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</si>
  <si>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</si>
  <si>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</si>
  <si>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</si>
  <si>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</si>
  <si>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</si>
  <si>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</si>
  <si>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</si>
  <si>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</si>
  <si>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</si>
  <si>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</si>
  <si>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</si>
  <si>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</si>
  <si>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</si>
  <si>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</si>
  <si>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</si>
  <si>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</si>
  <si>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</si>
  <si>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</si>
  <si>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</si>
  <si>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</si>
  <si>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</si>
  <si>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</si>
  <si>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</si>
  <si>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</si>
  <si>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</si>
  <si>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</si>
  <si>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</si>
  <si>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</si>
  <si>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</si>
  <si>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</si>
  <si>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</si>
  <si>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</si>
  <si>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</si>
  <si>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</si>
  <si>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</si>
  <si>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</si>
  <si>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</si>
  <si>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</si>
  <si>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</si>
  <si>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</si>
  <si>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</si>
  <si>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</si>
  <si>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</si>
  <si>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</si>
  <si>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</si>
  <si>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</si>
  <si>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</si>
  <si>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</si>
  <si>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</si>
  <si>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</si>
  <si>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</si>
  <si>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</si>
  <si>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</si>
  <si>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</si>
  <si>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</si>
  <si>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</si>
  <si>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</si>
  <si>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</si>
  <si>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</si>
  <si>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</si>
  <si>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</si>
  <si>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</si>
  <si>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</si>
  <si>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</si>
  <si>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</si>
  <si>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</si>
  <si>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</si>
  <si>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</si>
  <si>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</si>
  <si>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</si>
  <si>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</si>
  <si>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</si>
  <si>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</si>
  <si>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</si>
  <si>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</si>
  <si>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</si>
  <si>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</si>
  <si>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</si>
  <si>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</si>
  <si>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</si>
  <si>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</si>
  <si>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</si>
  <si>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</si>
  <si>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</si>
  <si>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</si>
  <si>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</si>
  <si>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</si>
  <si>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</si>
  <si>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</si>
  <si>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</si>
  <si>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</si>
  <si>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</si>
  <si>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</si>
  <si>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</si>
  <si>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</si>
  <si>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</si>
  <si>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</si>
  <si>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</si>
  <si>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</si>
  <si>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</si>
  <si>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</si>
  <si>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</si>
  <si>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</si>
  <si>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</si>
  <si>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</si>
  <si>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</si>
  <si>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</si>
  <si>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</si>
  <si>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</si>
  <si>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</si>
  <si>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</si>
  <si>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</si>
  <si>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</si>
  <si>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</si>
  <si>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</si>
  <si>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</si>
  <si>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</si>
  <si>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</si>
  <si>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</si>
  <si>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</si>
  <si>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</si>
  <si>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</si>
  <si>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</si>
  <si>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</si>
  <si>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</si>
  <si>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</si>
  <si>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</si>
  <si>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</si>
  <si>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</si>
  <si>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</si>
  <si>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</si>
  <si>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</si>
  <si>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</si>
  <si>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</si>
  <si>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</si>
  <si>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</si>
  <si>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</si>
  <si>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</si>
  <si>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</si>
  <si>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</si>
  <si>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</si>
  <si>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</si>
  <si>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</si>
  <si>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</si>
  <si>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</si>
  <si>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</si>
  <si>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</si>
  <si>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</si>
  <si>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</si>
  <si>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</si>
  <si>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</si>
  <si>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</si>
  <si>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</si>
  <si>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</si>
  <si>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</si>
  <si>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</si>
  <si>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</si>
  <si>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</si>
  <si>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</si>
  <si>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</si>
  <si>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</si>
  <si>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</si>
  <si>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</si>
  <si>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</si>
  <si>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</si>
  <si>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</si>
  <si>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</si>
  <si>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</si>
  <si>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</si>
  <si>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</si>
  <si>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</si>
  <si>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</si>
  <si>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</si>
  <si>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</si>
  <si>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</si>
  <si>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</si>
  <si>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</si>
  <si>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</si>
  <si>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</si>
  <si>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</si>
  <si>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</si>
  <si>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</si>
  <si>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</si>
  <si>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</si>
  <si>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</si>
  <si>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</si>
  <si>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</si>
  <si>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</si>
  <si>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</si>
  <si>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</si>
  <si>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</si>
  <si>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</si>
  <si>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</si>
  <si>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</si>
  <si>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</si>
  <si>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</si>
  <si>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</si>
  <si>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</si>
  <si>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</si>
  <si>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</si>
  <si>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</si>
  <si>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</si>
  <si>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</si>
  <si>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</si>
  <si>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</si>
  <si>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</si>
  <si>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</si>
  <si>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</si>
  <si>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</si>
  <si>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</si>
  <si>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</si>
  <si>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</si>
  <si>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</si>
  <si>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</si>
  <si>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</si>
  <si>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</si>
  <si>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</si>
  <si>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</si>
  <si>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</si>
  <si>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</si>
  <si>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</si>
  <si>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</si>
  <si>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</si>
  <si>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</si>
  <si>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</si>
  <si>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</si>
  <si>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</si>
  <si>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</si>
  <si>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</si>
  <si>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</si>
  <si>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</si>
  <si>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</si>
  <si>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</si>
  <si>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</si>
  <si>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</si>
  <si>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</si>
  <si>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</si>
  <si>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</si>
  <si>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</si>
  <si>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</si>
  <si>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</si>
  <si>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</si>
  <si>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</si>
  <si>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</si>
  <si>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</si>
  <si>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</si>
  <si>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</si>
  <si>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</si>
  <si>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</si>
  <si>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</si>
  <si>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</si>
  <si>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</si>
  <si>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</si>
  <si>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</si>
  <si>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</si>
  <si>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</si>
  <si>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</si>
  <si>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</si>
  <si>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</si>
  <si>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</si>
  <si>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</si>
  <si>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</si>
  <si>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</si>
  <si>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</si>
  <si>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</si>
  <si>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</si>
  <si>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</si>
  <si>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</si>
  <si>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</si>
  <si>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</si>
  <si>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</si>
  <si>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</si>
  <si>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</si>
  <si>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</si>
  <si>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</si>
  <si>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</si>
  <si>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</si>
  <si>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</si>
  <si>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</si>
  <si>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</si>
  <si>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</si>
  <si>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</si>
  <si>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</si>
  <si>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</si>
  <si>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</si>
  <si>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</si>
  <si>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</si>
  <si>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</si>
  <si>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</si>
  <si>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</si>
  <si>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</si>
  <si>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</si>
  <si>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</si>
  <si>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</si>
  <si>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</si>
  <si>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</si>
  <si>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</si>
  <si>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</si>
  <si>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</si>
  <si>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</si>
  <si>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</si>
  <si>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Class</t>
  </si>
  <si>
    <t>Classes_Forest</t>
  </si>
  <si>
    <t>FTno_forest</t>
  </si>
  <si>
    <t>Added AFDRS LUT. Values for forest models are noww automatically populate by selecting a state and fforest fuel type. These values can be overwwritten but we reploulate from the AFDRS LUT if the fuel model or time sincefire are changed.</t>
  </si>
  <si>
    <t xml:space="preserve">SA </t>
  </si>
  <si>
    <t>Classes_Grass</t>
  </si>
  <si>
    <t>Classes_Woodland</t>
  </si>
  <si>
    <t>FTno_Grass</t>
  </si>
  <si>
    <t>FTno_Woodland</t>
  </si>
  <si>
    <t>default</t>
  </si>
  <si>
    <t>Classes_Buttongrass</t>
  </si>
  <si>
    <t>Classes_Heath</t>
  </si>
  <si>
    <t>FTno_Buttongrass</t>
  </si>
  <si>
    <t>FTno_Heath</t>
  </si>
  <si>
    <t>Classes_Mallee</t>
  </si>
  <si>
    <t>FTno_Mallee</t>
  </si>
  <si>
    <t>Classes_Pine</t>
  </si>
  <si>
    <t>FTno_Pine</t>
  </si>
  <si>
    <t>Classes_Spinifex</t>
  </si>
  <si>
    <t>FTno_Spinifex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</si>
</sst>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  <fill>
      <patternFill patternType="solid">
        <fgColor rgb="FFD1E7D1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4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1" fillId="2" borderId="4" xfId="0" applyFont="1" applyFill="1" applyBorder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14" fontId="0" fillId="0" borderId="0" xfId="0" applyNumberFormat="1"/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0" fillId="14" borderId="7" xfId="0" applyNumberFormat="1" applyFill="1" applyBorder="1" applyProtection="1">
      <protection locked="0"/>
    </xf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1" fontId="1" fillId="5" borderId="1" xfId="0" applyNumberFormat="1" applyFont="1" applyFill="1" applyBorder="1"/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  <xf numFmtId="1" fontId="1" fillId="13" borderId="1" xfId="0" applyNumberFormat="1" applyFont="1" applyFill="1" applyBorder="1"/>
    <xf numFmtId="0" fontId="0" fillId="14" borderId="7" xfId="0" applyFill="1" applyBorder="1" applyProtection="1">
      <protection locked="0"/>
    </xf>
    <xf numFmtId="0" fontId="0" fillId="14" borderId="8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7" borderId="2" xfId="0" applyFill="1" applyBorder="1" applyProtection="1">
      <protection locked="0"/>
    </xf>
    <xf numFmtId="165" fontId="11" fillId="5" borderId="1" xfId="0" applyNumberFormat="1" applyFont="1" applyFill="1" applyBorder="1"/>
    <xf numFmtId="1" fontId="1" fillId="16" borderId="1" xfId="0" applyNumberFormat="1" applyFont="1" applyFill="1" applyBorder="1"/>
    <xf numFmtId="0" fontId="1" fillId="8" borderId="1" xfId="0" applyFont="1" applyFill="1" applyBorder="1"/>
    <xf numFmtId="0" fontId="0" fillId="9" borderId="7" xfId="0" applyFill="1" applyBorder="1" applyAlignment="1" applyProtection="1">
      <alignment horizontal="left"/>
      <protection locked="0"/>
    </xf>
    <xf numFmtId="0" fontId="0" fillId="9" borderId="8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  <xf numFmtId="0" fontId="0" fillId="18" borderId="7" xfId="0" applyFill="1" applyBorder="1" applyAlignment="1">
      <alignment horizontal="left"/>
    </xf>
    <xf numFmtId="0" fontId="0" fillId="18" borderId="2" xfId="0" applyFill="1" applyBorder="1" applyAlignment="1">
      <alignment horizontal="left"/>
    </xf>
    <xf numFmtId="165" fontId="0" fillId="12" borderId="7" xfId="0" applyNumberFormat="1" applyFill="1" applyBorder="1" applyAlignment="1" applyProtection="1">
      <alignment horizontal="left"/>
      <protection locked="0"/>
    </xf>
    <xf numFmtId="165" fontId="0" fillId="12" borderId="8" xfId="0" applyNumberFormat="1" applyFill="1" applyBorder="1" applyAlignment="1" applyProtection="1">
      <alignment horizontal="left"/>
      <protection locked="0"/>
    </xf>
    <xf numFmtId="165" fontId="0" fillId="12" borderId="2" xfId="0" applyNumberFormat="1" applyFill="1" applyBorder="1" applyAlignment="1" applyProtection="1">
      <alignment horizontal="left"/>
      <protection locked="0"/>
    </xf>
    <xf numFmtId="0" fontId="0" fillId="4" borderId="7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17" borderId="7" xfId="0" applyFill="1" applyBorder="1" applyAlignment="1" applyProtection="1">
      <alignment horizontal="left"/>
      <protection locked="0"/>
    </xf>
    <xf numFmtId="0" fontId="0" fillId="17" borderId="8" xfId="0" applyFill="1" applyBorder="1" applyAlignment="1" applyProtection="1">
      <alignment horizontal="left"/>
      <protection locked="0"/>
    </xf>
    <xf numFmtId="0" fontId="0" fillId="17" borderId="2" xfId="0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43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D1E7D1"/>
      <color rgb="FFACD4AC"/>
      <color rgb="FFFFE8C6"/>
      <color rgb="FFFFF5E7"/>
      <color rgb="FFEBEFE5"/>
      <color rgb="FFC6D2B4"/>
      <color rgb="FF93C793"/>
      <color rgb="FFE3C3C3"/>
      <color rgb="FFF1E3E3"/>
      <color rgb="FFF4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1" totalsRowShown="0" headerRowDxfId="42">
  <autoFilter ref="A1:AK471" xr:uid="{A8767755-3749-424E-B249-87E4DEF6D8F7}">
    <filterColumn colId="1">
      <filters>
        <filter val="Spinifex"/>
      </filters>
    </filterColumn>
  </autoFilter>
  <sortState xmlns:xlrd2="http://schemas.microsoft.com/office/spreadsheetml/2017/richdata2" ref="A2:AK470">
    <sortCondition ref="C1:C471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I1:I4" totalsRowShown="0" headerRowDxfId="41">
  <autoFilter ref="I1:I4" xr:uid="{00000000-0009-0000-0100-000001000000}"/>
  <tableColumns count="1">
    <tableColumn id="1" xr3:uid="{00000000-0010-0000-0000-000001000000}" name="Grass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K1:L3" totalsRowShown="0" headerRowDxfId="40">
  <autoFilter ref="K1:L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6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BY178"/>
  <sheetViews>
    <sheetView tabSelected="1" workbookViewId="0">
      <pane xSplit="8" ySplit="1" topLeftCell="AJ2" activePane="bottomRight" state="frozen"/>
      <selection pane="topRight" activeCell="I1" sqref="I1"/>
      <selection pane="bottomLeft" activeCell="A2" sqref="A2"/>
      <selection pane="bottomRight" activeCell="AX1" sqref="AX1:AZ1"/>
    </sheetView>
  </sheetViews>
  <sheetFormatPr defaultColWidth="8.88671875" defaultRowHeight="14.4" x14ac:dyDescent="0.3"/>
  <cols>
    <col min="1" max="1" width="13.6640625" style="19" customWidth="1"/>
    <col min="2" max="2" width="10.6640625" style="20" customWidth="1"/>
    <col min="3" max="7" width="10.6640625" style="21" customWidth="1"/>
    <col min="8" max="8" width="10.6640625" style="78" customWidth="1"/>
    <col min="9" max="9" width="12.6640625" style="4" customWidth="1"/>
    <col min="10" max="11" width="8.88671875" style="33"/>
    <col min="12" max="12" width="8.88671875" style="5"/>
    <col min="13" max="13" width="8.88671875" style="4"/>
    <col min="14" max="15" width="8.88671875" style="5"/>
    <col min="16" max="16" width="8.88671875" style="7"/>
    <col min="17" max="18" width="8.88671875" style="34"/>
    <col min="19" max="20" width="8.88671875" style="8"/>
    <col min="21" max="21" width="8.88671875" style="34"/>
    <col min="22" max="23" width="8.88671875" style="8"/>
    <col min="24" max="26" width="8.88671875" style="90"/>
    <col min="27" max="29" width="8.88671875" style="92"/>
    <col min="30" max="30" width="8.88671875" style="28"/>
    <col min="31" max="32" width="8.88671875" style="35"/>
    <col min="33" max="35" width="8.88671875" style="32"/>
    <col min="36" max="36" width="8.88671875" style="104"/>
    <col min="37" max="38" width="8.88671875" style="113"/>
    <col min="39" max="40" width="8.88671875" style="107"/>
    <col min="41" max="41" width="8.88671875" style="73"/>
    <col min="42" max="43" width="8.88671875" style="87"/>
    <col min="44" max="44" width="8.88671875" style="82"/>
    <col min="45" max="47" width="8.88671875" style="73"/>
    <col min="48" max="48" width="8.88671875" style="115"/>
    <col min="49" max="50" width="8.88671875" style="126"/>
    <col min="51" max="51" width="8.88671875" style="123"/>
    <col min="52" max="52" width="8.88671875" style="115"/>
    <col min="53" max="53" width="12.6640625" style="4" customWidth="1"/>
    <col min="54" max="55" width="8.88671875" style="33"/>
    <col min="56" max="58" width="8.88671875" style="5"/>
    <col min="59" max="61" width="8.88671875" style="126"/>
    <col min="62" max="62" width="8.88671875" style="123"/>
    <col min="63" max="64" width="8.88671875" style="115"/>
    <col min="65" max="65" width="8.88671875" style="73"/>
    <col min="66" max="67" width="8.88671875" style="87"/>
    <col min="68" max="69" width="8.88671875" style="82"/>
    <col min="70" max="75" width="8.88671875" style="73"/>
    <col min="76" max="77" width="10.5546875" style="73" customWidth="1"/>
    <col min="78" max="16384" width="8.88671875" style="9"/>
  </cols>
  <sheetData>
    <row r="1" spans="1:77" ht="18" x14ac:dyDescent="0.35">
      <c r="A1" s="88" t="s">
        <v>113</v>
      </c>
      <c r="B1" s="155"/>
      <c r="C1" s="156"/>
      <c r="D1" s="2"/>
      <c r="E1" s="2"/>
      <c r="F1" s="142" t="s">
        <v>254</v>
      </c>
      <c r="G1" s="2"/>
      <c r="I1" s="3" t="s">
        <v>2</v>
      </c>
      <c r="J1" s="154" t="s">
        <v>739</v>
      </c>
      <c r="K1" s="157" t="s">
        <v>748</v>
      </c>
      <c r="L1" s="158"/>
      <c r="M1" s="158"/>
      <c r="N1" s="158"/>
      <c r="O1" s="159"/>
      <c r="P1" s="6" t="s">
        <v>16</v>
      </c>
      <c r="R1" s="13" t="s">
        <v>739</v>
      </c>
      <c r="S1" s="164" t="s">
        <v>748</v>
      </c>
      <c r="T1" s="165"/>
      <c r="U1" s="166"/>
      <c r="X1" s="91" t="s">
        <v>116</v>
      </c>
      <c r="Z1" s="160" t="s">
        <v>739</v>
      </c>
      <c r="AA1" s="161" t="s">
        <v>748</v>
      </c>
      <c r="AB1" s="162"/>
      <c r="AC1" s="163"/>
      <c r="AD1" s="30" t="s">
        <v>47</v>
      </c>
      <c r="AE1" s="28"/>
      <c r="AF1" s="169" t="s">
        <v>739</v>
      </c>
      <c r="AG1" s="170" t="s">
        <v>748</v>
      </c>
      <c r="AH1" s="171"/>
      <c r="AI1" s="172"/>
      <c r="AJ1" s="103" t="s">
        <v>91</v>
      </c>
      <c r="AK1" s="104"/>
      <c r="AL1" s="105" t="s">
        <v>739</v>
      </c>
      <c r="AM1" s="173" t="s">
        <v>748</v>
      </c>
      <c r="AN1" s="174"/>
      <c r="AO1" s="72" t="s">
        <v>101</v>
      </c>
      <c r="AP1" s="73"/>
      <c r="AQ1" s="134" t="s">
        <v>739</v>
      </c>
      <c r="AR1" s="175" t="s">
        <v>748</v>
      </c>
      <c r="AS1" s="176"/>
      <c r="AT1" s="177"/>
      <c r="AV1" s="120" t="s">
        <v>126</v>
      </c>
      <c r="AW1" s="168" t="s">
        <v>739</v>
      </c>
      <c r="AX1" s="181" t="s">
        <v>748</v>
      </c>
      <c r="AY1" s="182"/>
      <c r="AZ1" s="183"/>
      <c r="BA1" s="3" t="s">
        <v>224</v>
      </c>
      <c r="BB1" s="4"/>
      <c r="BC1" s="154" t="s">
        <v>739</v>
      </c>
      <c r="BD1" s="178" t="s">
        <v>748</v>
      </c>
      <c r="BE1" s="179"/>
      <c r="BF1" s="180"/>
      <c r="BG1" s="136" t="s">
        <v>232</v>
      </c>
      <c r="BM1" s="72" t="s">
        <v>231</v>
      </c>
      <c r="BN1" s="73"/>
      <c r="BO1" s="134"/>
      <c r="BP1" s="134"/>
    </row>
    <row r="2" spans="1:77" x14ac:dyDescent="0.3">
      <c r="A2" s="88" t="s">
        <v>114</v>
      </c>
      <c r="B2" s="44">
        <v>45362</v>
      </c>
      <c r="C2" s="2"/>
      <c r="D2" s="2"/>
      <c r="E2" s="2"/>
      <c r="F2" s="2" t="s">
        <v>252</v>
      </c>
      <c r="G2" s="46">
        <v>2</v>
      </c>
      <c r="I2" s="11" t="s">
        <v>53</v>
      </c>
      <c r="J2" s="22">
        <v>3</v>
      </c>
      <c r="K2" s="12" t="s">
        <v>125</v>
      </c>
      <c r="P2" s="13"/>
      <c r="Q2" s="7"/>
      <c r="R2" s="13" t="s">
        <v>22</v>
      </c>
      <c r="AE2" s="28"/>
      <c r="AF2" s="28"/>
      <c r="AH2" s="31" t="s">
        <v>243</v>
      </c>
      <c r="AI2" s="31"/>
      <c r="AJ2" s="105" t="s">
        <v>100</v>
      </c>
      <c r="AK2" s="104"/>
      <c r="AL2" s="106"/>
      <c r="AN2" s="104"/>
      <c r="AP2" s="73"/>
      <c r="AQ2" s="73"/>
      <c r="AS2" s="83" t="s">
        <v>243</v>
      </c>
      <c r="AT2" s="83"/>
      <c r="AU2" s="83"/>
      <c r="AY2" s="130" t="s">
        <v>127</v>
      </c>
      <c r="AZ2" s="121">
        <v>0</v>
      </c>
      <c r="BB2" s="11" t="s">
        <v>227</v>
      </c>
      <c r="BC2" s="22">
        <v>1</v>
      </c>
      <c r="BJ2" s="130" t="s">
        <v>239</v>
      </c>
      <c r="BK2" s="121">
        <f>SUM(fl_s_forest,fl_ns_forest,fl_e_forest)</f>
        <v>21</v>
      </c>
      <c r="BL2" s="130"/>
      <c r="BM2" s="73" t="s">
        <v>266</v>
      </c>
      <c r="BN2" s="73"/>
      <c r="BO2" s="83"/>
      <c r="BP2" s="134"/>
    </row>
    <row r="3" spans="1:77" x14ac:dyDescent="0.3">
      <c r="A3" s="88" t="s">
        <v>115</v>
      </c>
      <c r="B3" s="45">
        <v>0.92645833333333327</v>
      </c>
      <c r="C3" s="2"/>
      <c r="D3" s="2"/>
      <c r="E3" s="2"/>
      <c r="F3" s="2" t="s">
        <v>253</v>
      </c>
      <c r="G3" s="46" t="b">
        <v>1</v>
      </c>
      <c r="I3" s="14"/>
      <c r="J3" s="15" t="s">
        <v>65</v>
      </c>
      <c r="K3" s="12" t="s">
        <v>22</v>
      </c>
      <c r="P3" s="16" t="s">
        <v>24</v>
      </c>
      <c r="Q3" s="24" t="s">
        <v>19</v>
      </c>
      <c r="R3" s="24">
        <f>state_to_load_grass(state_grass)</f>
        <v>4.5</v>
      </c>
      <c r="Z3" s="93" t="s">
        <v>117</v>
      </c>
      <c r="AA3" s="143" t="s">
        <v>119</v>
      </c>
      <c r="AB3" s="150" t="s">
        <v>258</v>
      </c>
      <c r="AE3" s="28"/>
      <c r="AF3" s="28"/>
      <c r="AH3" s="31" t="s">
        <v>260</v>
      </c>
      <c r="AI3" s="31"/>
      <c r="AK3" s="104"/>
      <c r="AL3" s="106"/>
      <c r="AM3" s="106"/>
      <c r="AN3" s="104"/>
      <c r="AP3" s="73"/>
      <c r="AQ3" s="73"/>
      <c r="AS3" s="83" t="s">
        <v>244</v>
      </c>
      <c r="AT3" s="83"/>
      <c r="AU3" s="83"/>
      <c r="AY3" s="130"/>
      <c r="AZ3" s="130"/>
      <c r="BB3" s="11" t="s">
        <v>228</v>
      </c>
      <c r="BC3" s="133">
        <f>fuel_load_buttongrass(tsf,productivity_buttongrass)</f>
        <v>10.901261329650879</v>
      </c>
      <c r="BJ3" s="130"/>
      <c r="BK3" s="130"/>
      <c r="BL3" s="130"/>
      <c r="BN3" s="73" t="s">
        <v>267</v>
      </c>
      <c r="BO3" s="83"/>
      <c r="BP3" s="83"/>
    </row>
    <row r="4" spans="1:77" x14ac:dyDescent="0.3">
      <c r="A4" s="88"/>
      <c r="B4" s="1"/>
      <c r="C4" s="2"/>
      <c r="D4" s="2"/>
      <c r="E4" s="2"/>
      <c r="F4" s="2"/>
      <c r="G4" s="2"/>
      <c r="I4" s="17" t="s">
        <v>9</v>
      </c>
      <c r="J4" s="18">
        <f>fl_to_fhs(I4,K4)</f>
        <v>3.5</v>
      </c>
      <c r="K4" s="23">
        <v>14</v>
      </c>
      <c r="P4" s="16" t="s">
        <v>21</v>
      </c>
      <c r="Q4" s="24">
        <v>80</v>
      </c>
      <c r="R4" s="7"/>
      <c r="S4" s="149"/>
      <c r="Z4" s="93" t="s">
        <v>259</v>
      </c>
      <c r="AA4" s="114">
        <v>4.5</v>
      </c>
      <c r="AB4" s="92" t="str">
        <f>load_to_state_grass(fl_woodland)</f>
        <v>grazed</v>
      </c>
      <c r="AE4" s="28"/>
      <c r="AF4" s="28"/>
      <c r="AH4" s="31"/>
      <c r="AI4" s="31"/>
      <c r="AK4" s="104"/>
      <c r="AL4" s="106"/>
      <c r="AM4" s="106"/>
      <c r="AN4" s="104"/>
      <c r="AP4" s="73"/>
      <c r="AQ4" s="73"/>
      <c r="AY4" s="130"/>
      <c r="AZ4" s="130"/>
      <c r="BA4" s="14"/>
      <c r="BB4" s="14"/>
      <c r="BC4" s="14"/>
      <c r="BD4" s="14"/>
      <c r="BE4" s="14"/>
      <c r="BF4" s="14"/>
      <c r="BJ4" s="130"/>
      <c r="BK4" s="130"/>
      <c r="BL4" s="130"/>
      <c r="BN4" s="73" t="s">
        <v>268</v>
      </c>
      <c r="BO4" s="134"/>
      <c r="BP4" s="134"/>
    </row>
    <row r="5" spans="1:77" ht="15.6" x14ac:dyDescent="0.3">
      <c r="A5" s="89" t="s">
        <v>25</v>
      </c>
      <c r="B5" s="1"/>
      <c r="C5" s="2"/>
      <c r="D5" s="2"/>
      <c r="E5" s="2"/>
      <c r="F5" s="142" t="s">
        <v>258</v>
      </c>
      <c r="G5" s="46" t="s">
        <v>743</v>
      </c>
      <c r="I5" s="17" t="s">
        <v>10</v>
      </c>
      <c r="J5" s="18">
        <f>fl_to_fhs(I5,K5)</f>
        <v>3</v>
      </c>
      <c r="K5" s="23">
        <v>3.5</v>
      </c>
      <c r="Q5" s="7"/>
      <c r="R5" s="7"/>
      <c r="Z5" s="93" t="s">
        <v>21</v>
      </c>
      <c r="AA5" s="102">
        <v>80</v>
      </c>
      <c r="AE5" s="28"/>
      <c r="AF5" s="28"/>
      <c r="AK5" s="104"/>
      <c r="AL5" s="106"/>
      <c r="AM5" s="106"/>
      <c r="AN5" s="104"/>
      <c r="AP5" s="73"/>
      <c r="AQ5" s="73"/>
      <c r="AR5" s="83" t="s">
        <v>109</v>
      </c>
      <c r="AS5" s="153">
        <f>fuel_amount(fl_s_ss_mallee,tsf,fk_mallee)</f>
        <v>3.8</v>
      </c>
      <c r="AT5" s="83"/>
      <c r="AU5" s="83"/>
      <c r="AY5" s="130"/>
      <c r="AZ5" s="130"/>
      <c r="BA5" s="14"/>
      <c r="BB5" s="14"/>
      <c r="BC5" s="14"/>
      <c r="BD5" s="14"/>
      <c r="BE5" s="14"/>
      <c r="BF5" s="14"/>
      <c r="BJ5" s="130"/>
      <c r="BK5" s="130"/>
      <c r="BL5" s="130"/>
      <c r="BN5" s="73" t="s">
        <v>53</v>
      </c>
      <c r="BO5" s="134"/>
      <c r="BP5" s="134"/>
    </row>
    <row r="6" spans="1:77" x14ac:dyDescent="0.3">
      <c r="A6" s="10" t="s">
        <v>230</v>
      </c>
      <c r="B6" s="1"/>
      <c r="C6" s="2"/>
      <c r="D6" s="2"/>
      <c r="E6" s="2"/>
      <c r="F6" s="2"/>
      <c r="G6" s="2"/>
      <c r="I6" s="17" t="s">
        <v>11</v>
      </c>
      <c r="J6" s="18">
        <f>fl_to_fhs(I6,K6)</f>
        <v>3.5</v>
      </c>
      <c r="K6" s="23">
        <v>3.5</v>
      </c>
      <c r="Q6" s="7"/>
      <c r="R6" s="7"/>
      <c r="Z6" s="93" t="s">
        <v>124</v>
      </c>
      <c r="AA6" s="101">
        <v>0.5</v>
      </c>
      <c r="AE6" s="28"/>
      <c r="AF6" s="28"/>
      <c r="AG6" s="31" t="s">
        <v>50</v>
      </c>
      <c r="AH6" s="29" t="b">
        <v>0</v>
      </c>
      <c r="AI6" s="31"/>
      <c r="AK6" s="104"/>
      <c r="AL6" s="106"/>
      <c r="AM6" s="106"/>
      <c r="AN6" s="104"/>
      <c r="AP6" s="73"/>
      <c r="AQ6" s="73"/>
      <c r="AR6" s="83" t="s">
        <v>110</v>
      </c>
      <c r="AS6" s="153">
        <f>fuel_amount(fl_o_ss_mallee,tsf,fk_mallee)</f>
        <v>0.8</v>
      </c>
      <c r="AT6" s="83"/>
      <c r="AU6" s="83"/>
      <c r="AY6" s="130" t="s">
        <v>124</v>
      </c>
      <c r="AZ6" s="122">
        <v>0.7</v>
      </c>
      <c r="BA6" s="14"/>
      <c r="BB6" s="14"/>
      <c r="BC6" s="14"/>
      <c r="BD6" s="14"/>
      <c r="BE6" s="14"/>
      <c r="BF6" s="14"/>
      <c r="BJ6" s="130"/>
      <c r="BK6" s="130"/>
      <c r="BL6" s="130"/>
      <c r="BN6" s="73" t="s">
        <v>96</v>
      </c>
      <c r="BO6" s="73"/>
      <c r="BP6" s="83"/>
      <c r="BQ6" s="83"/>
    </row>
    <row r="7" spans="1:77" x14ac:dyDescent="0.3">
      <c r="A7" s="25"/>
      <c r="B7" s="1"/>
      <c r="C7" s="2"/>
      <c r="D7" s="2"/>
      <c r="E7" s="2"/>
      <c r="F7" s="2"/>
      <c r="G7" s="71"/>
      <c r="H7" s="79"/>
      <c r="I7" s="17" t="s">
        <v>12</v>
      </c>
      <c r="J7" s="18">
        <f>fl_to_fhs(I7,K7)</f>
        <v>3</v>
      </c>
      <c r="K7" s="23">
        <v>2.2000000000000002</v>
      </c>
      <c r="N7" s="167"/>
      <c r="Q7" s="7"/>
      <c r="R7" s="7"/>
      <c r="AE7" s="28"/>
      <c r="AF7" s="28"/>
      <c r="AG7" s="31" t="s">
        <v>54</v>
      </c>
      <c r="AH7" s="29">
        <v>1.3</v>
      </c>
      <c r="AI7" s="31"/>
      <c r="AK7" s="104"/>
      <c r="AL7" s="104"/>
      <c r="AM7" s="104"/>
      <c r="AN7" s="104"/>
      <c r="AP7" s="73"/>
      <c r="AQ7" s="73"/>
      <c r="AR7" s="83" t="s">
        <v>111</v>
      </c>
      <c r="AS7" s="84">
        <v>18</v>
      </c>
      <c r="AT7" s="83"/>
      <c r="AU7" s="83"/>
      <c r="AY7" s="130" t="s">
        <v>117</v>
      </c>
      <c r="AZ7" s="121" t="s">
        <v>129</v>
      </c>
      <c r="BA7" s="14"/>
      <c r="BB7" s="14"/>
      <c r="BC7" s="14"/>
      <c r="BD7" s="14"/>
      <c r="BE7" s="14"/>
      <c r="BF7" s="14"/>
      <c r="BJ7" s="130"/>
      <c r="BK7" s="130"/>
      <c r="BL7" s="130"/>
      <c r="BN7" s="73"/>
      <c r="BO7" s="73"/>
      <c r="BP7" s="135"/>
      <c r="BQ7" s="135"/>
    </row>
    <row r="8" spans="1:77" x14ac:dyDescent="0.3">
      <c r="A8" s="10" t="s">
        <v>26</v>
      </c>
      <c r="B8" s="1"/>
      <c r="C8" s="2"/>
      <c r="D8" s="2"/>
      <c r="E8" s="2"/>
      <c r="F8" s="2"/>
      <c r="G8" s="70"/>
      <c r="H8" s="80"/>
      <c r="I8" s="17" t="s">
        <v>23</v>
      </c>
      <c r="J8" s="18"/>
      <c r="K8" s="23">
        <v>4.5</v>
      </c>
      <c r="Q8" s="7"/>
      <c r="R8" s="7"/>
      <c r="AE8" s="28"/>
      <c r="AF8" s="28"/>
      <c r="AG8" s="31" t="s">
        <v>79</v>
      </c>
      <c r="AH8" s="29">
        <v>12</v>
      </c>
      <c r="AI8" s="31"/>
      <c r="AK8" s="104"/>
      <c r="AL8" s="104"/>
      <c r="AM8" s="104"/>
      <c r="AN8" s="104"/>
      <c r="AP8" s="73"/>
      <c r="AQ8" s="73"/>
      <c r="AR8" s="83" t="s">
        <v>112</v>
      </c>
      <c r="AS8" s="84">
        <v>4.5</v>
      </c>
      <c r="AT8" s="83"/>
      <c r="AU8" s="83"/>
      <c r="BA8" s="14"/>
      <c r="BB8" s="14"/>
      <c r="BC8" s="14"/>
      <c r="BD8" s="14"/>
      <c r="BE8" s="14"/>
      <c r="BF8" s="14"/>
      <c r="BJ8" s="130"/>
      <c r="BK8" s="130"/>
      <c r="BL8" s="130"/>
      <c r="BN8" s="73"/>
      <c r="BO8" s="73"/>
      <c r="BP8" s="135"/>
      <c r="BQ8" s="135"/>
    </row>
    <row r="9" spans="1:77" x14ac:dyDescent="0.3">
      <c r="A9" s="10" t="s">
        <v>64</v>
      </c>
      <c r="B9" s="1"/>
      <c r="C9" s="2"/>
      <c r="D9" s="2"/>
      <c r="E9" s="2"/>
      <c r="F9" s="2"/>
      <c r="G9" s="2"/>
      <c r="I9" s="17"/>
      <c r="J9" s="12" t="s">
        <v>13</v>
      </c>
      <c r="K9" s="18"/>
      <c r="L9" s="132" t="s">
        <v>225</v>
      </c>
      <c r="Q9" s="7"/>
      <c r="R9" s="7"/>
      <c r="AE9" s="28"/>
      <c r="AF9" s="28"/>
      <c r="AG9" s="31" t="s">
        <v>28</v>
      </c>
      <c r="AH9" s="152">
        <f>fuel_amount(fl_ss_heath,tsf,fk_heath)</f>
        <v>11.9</v>
      </c>
      <c r="AI9" s="31"/>
      <c r="AK9" s="104"/>
      <c r="AL9" s="104"/>
      <c r="AM9" s="104"/>
      <c r="AN9" s="104"/>
      <c r="AP9" s="73"/>
      <c r="AQ9" s="73"/>
      <c r="AR9" s="83" t="s">
        <v>261</v>
      </c>
      <c r="AS9" s="73">
        <v>3.8</v>
      </c>
      <c r="BA9" s="14"/>
      <c r="BB9" s="14"/>
      <c r="BC9" s="14"/>
      <c r="BD9" s="14"/>
      <c r="BE9" s="14"/>
      <c r="BF9" s="14"/>
      <c r="BN9" s="73"/>
      <c r="BO9" s="73"/>
      <c r="BP9" s="73"/>
      <c r="BQ9" s="73"/>
    </row>
    <row r="10" spans="1:77" x14ac:dyDescent="0.3">
      <c r="A10" s="25"/>
      <c r="B10" s="1"/>
      <c r="C10" s="2"/>
      <c r="D10" s="2"/>
      <c r="E10" s="2"/>
      <c r="F10" s="131" t="s">
        <v>49</v>
      </c>
      <c r="G10" s="46">
        <v>0</v>
      </c>
      <c r="I10" s="17" t="s">
        <v>10</v>
      </c>
      <c r="J10" s="22">
        <v>25</v>
      </c>
      <c r="K10" s="12" t="s">
        <v>14</v>
      </c>
      <c r="L10" s="15" t="s">
        <v>96</v>
      </c>
      <c r="M10" s="66" t="s">
        <v>98</v>
      </c>
      <c r="Q10" s="7"/>
      <c r="R10" s="7"/>
      <c r="AE10" s="28"/>
      <c r="AF10" s="28"/>
      <c r="AG10" s="31" t="s">
        <v>63</v>
      </c>
      <c r="AH10" s="28">
        <v>0.2</v>
      </c>
      <c r="AI10" s="28"/>
      <c r="AK10" s="104"/>
      <c r="AL10" s="104"/>
      <c r="AM10" s="104"/>
      <c r="AN10" s="104"/>
      <c r="AP10" s="73"/>
      <c r="AQ10" s="73"/>
      <c r="AR10" s="83" t="s">
        <v>262</v>
      </c>
      <c r="AS10" s="73">
        <v>0.8</v>
      </c>
      <c r="BA10" s="14"/>
      <c r="BB10" s="14"/>
      <c r="BC10" s="14"/>
      <c r="BD10" s="14"/>
      <c r="BE10" s="14"/>
      <c r="BF10" s="14"/>
      <c r="BN10" s="73"/>
      <c r="BO10" s="73"/>
      <c r="BP10" s="73"/>
      <c r="BQ10" s="73"/>
    </row>
    <row r="11" spans="1:77" x14ac:dyDescent="0.3">
      <c r="A11" s="27" t="s">
        <v>43</v>
      </c>
      <c r="B11" s="1"/>
      <c r="C11" s="2"/>
      <c r="D11" s="2"/>
      <c r="E11" s="2"/>
      <c r="F11" s="131" t="s">
        <v>48</v>
      </c>
      <c r="G11" s="46">
        <v>48</v>
      </c>
      <c r="I11" s="17" t="s">
        <v>11</v>
      </c>
      <c r="J11" s="22">
        <v>1.5</v>
      </c>
      <c r="K11" s="12" t="s">
        <v>15</v>
      </c>
      <c r="L11" s="144" t="s">
        <v>256</v>
      </c>
      <c r="Q11" s="7"/>
      <c r="R11" s="7"/>
      <c r="AE11" s="28"/>
      <c r="AF11" s="28"/>
      <c r="AG11" s="28"/>
      <c r="AH11" s="28"/>
      <c r="AI11" s="28"/>
      <c r="AK11" s="104"/>
      <c r="AL11" s="104"/>
      <c r="AM11" s="104"/>
      <c r="AN11" s="104"/>
      <c r="AP11" s="73"/>
      <c r="AQ11" s="73"/>
      <c r="AR11" s="83" t="s">
        <v>63</v>
      </c>
      <c r="AS11" s="73">
        <v>0.3</v>
      </c>
      <c r="BA11" s="14"/>
      <c r="BB11" s="14"/>
      <c r="BC11" s="14"/>
      <c r="BD11" s="14"/>
      <c r="BE11" s="14"/>
      <c r="BF11" s="14"/>
      <c r="BN11" s="73"/>
      <c r="BO11" s="73"/>
      <c r="BP11" s="73"/>
      <c r="BQ11" s="73"/>
    </row>
    <row r="12" spans="1:77" x14ac:dyDescent="0.3">
      <c r="A12" s="25"/>
      <c r="B12" s="1"/>
      <c r="C12" s="2"/>
      <c r="D12" s="2"/>
      <c r="E12" s="2"/>
      <c r="F12" s="131" t="s">
        <v>249</v>
      </c>
      <c r="G12" s="65">
        <v>25</v>
      </c>
      <c r="I12" s="17" t="s">
        <v>23</v>
      </c>
      <c r="J12" s="22">
        <v>20</v>
      </c>
      <c r="K12" s="12" t="s">
        <v>15</v>
      </c>
      <c r="Q12" s="7"/>
      <c r="R12" s="7"/>
      <c r="AE12" s="28"/>
      <c r="AF12" s="28"/>
      <c r="AG12" s="28"/>
      <c r="AH12" s="28"/>
      <c r="AI12" s="28"/>
      <c r="AK12" s="104"/>
      <c r="AL12" s="104"/>
      <c r="AM12" s="104"/>
      <c r="AN12" s="104"/>
      <c r="AP12" s="73"/>
      <c r="AQ12" s="73"/>
      <c r="AR12" s="73"/>
      <c r="BA12" s="14"/>
      <c r="BB12" s="14"/>
      <c r="BC12" s="14"/>
      <c r="BD12" s="14"/>
      <c r="BE12" s="14"/>
      <c r="BF12" s="14"/>
      <c r="BN12" s="73"/>
      <c r="BO12" s="73"/>
      <c r="BP12" s="73"/>
      <c r="BQ12" s="73"/>
    </row>
    <row r="13" spans="1:77" s="67" customFormat="1" ht="18" x14ac:dyDescent="0.35">
      <c r="A13" s="36" t="s">
        <v>1</v>
      </c>
      <c r="B13" s="37"/>
      <c r="C13" s="38"/>
      <c r="D13" s="38"/>
      <c r="E13" s="38"/>
      <c r="F13" s="64" t="s">
        <v>92</v>
      </c>
      <c r="G13" s="65">
        <v>100</v>
      </c>
      <c r="H13" s="79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7"/>
      <c r="V13" s="42"/>
      <c r="W13" s="42"/>
      <c r="X13" s="94"/>
      <c r="Y13" s="94"/>
      <c r="Z13" s="94"/>
      <c r="AA13" s="95"/>
      <c r="AB13" s="95"/>
      <c r="AC13" s="95"/>
      <c r="AD13" s="43"/>
      <c r="AE13" s="43"/>
      <c r="AF13" s="43"/>
      <c r="AG13" s="43"/>
      <c r="AH13" s="43"/>
      <c r="AI13" s="43"/>
      <c r="AJ13" s="108"/>
      <c r="AK13" s="108"/>
      <c r="AL13" s="108"/>
      <c r="AM13" s="108"/>
      <c r="AN13" s="108"/>
      <c r="AO13" s="74"/>
      <c r="AP13" s="74"/>
      <c r="AQ13" s="74"/>
      <c r="AR13" s="74"/>
      <c r="AS13" s="74"/>
      <c r="AT13" s="74"/>
      <c r="AU13" s="74"/>
      <c r="AV13" s="116"/>
      <c r="AW13" s="127"/>
      <c r="AX13" s="127"/>
      <c r="AY13" s="124"/>
      <c r="AZ13" s="116"/>
      <c r="BA13" s="14"/>
      <c r="BB13" s="14"/>
      <c r="BC13" s="14"/>
      <c r="BD13" s="14"/>
      <c r="BE13" s="14"/>
      <c r="BF13" s="14"/>
      <c r="BG13" s="127"/>
      <c r="BH13" s="127"/>
      <c r="BI13" s="127"/>
      <c r="BJ13" s="124"/>
      <c r="BK13" s="116"/>
      <c r="BL13" s="116"/>
      <c r="BM13" s="73"/>
      <c r="BN13" s="73"/>
      <c r="BO13" s="73"/>
      <c r="BP13" s="74"/>
      <c r="BQ13" s="74"/>
      <c r="BR13" s="74"/>
      <c r="BS13" s="73"/>
      <c r="BT13" s="73"/>
      <c r="BU13" s="73"/>
      <c r="BV13" s="73"/>
      <c r="BW13" s="73"/>
      <c r="BX13" s="73"/>
      <c r="BY13" s="74"/>
    </row>
    <row r="14" spans="1:77" s="69" customFormat="1" ht="60" customHeight="1" x14ac:dyDescent="0.3">
      <c r="A14" s="56" t="s">
        <v>102</v>
      </c>
      <c r="B14" s="57" t="s">
        <v>103</v>
      </c>
      <c r="C14" s="58" t="s">
        <v>104</v>
      </c>
      <c r="D14" s="58" t="s">
        <v>105</v>
      </c>
      <c r="E14" s="58" t="s">
        <v>106</v>
      </c>
      <c r="F14" s="58" t="s">
        <v>107</v>
      </c>
      <c r="G14" s="58" t="s">
        <v>0</v>
      </c>
      <c r="H14" s="81" t="s">
        <v>108</v>
      </c>
      <c r="I14" s="59" t="s">
        <v>93</v>
      </c>
      <c r="J14" s="59" t="s">
        <v>4</v>
      </c>
      <c r="K14" s="59" t="s">
        <v>5</v>
      </c>
      <c r="L14" s="60" t="s">
        <v>6</v>
      </c>
      <c r="M14" s="59" t="s">
        <v>7</v>
      </c>
      <c r="N14" s="60" t="s">
        <v>8</v>
      </c>
      <c r="O14" s="145" t="s">
        <v>255</v>
      </c>
      <c r="P14" s="61" t="s">
        <v>93</v>
      </c>
      <c r="Q14" s="61" t="s">
        <v>4</v>
      </c>
      <c r="R14" s="61" t="s">
        <v>5</v>
      </c>
      <c r="S14" s="62" t="s">
        <v>6</v>
      </c>
      <c r="T14" s="62" t="s">
        <v>8</v>
      </c>
      <c r="U14" s="138" t="s">
        <v>241</v>
      </c>
      <c r="V14" s="62" t="s">
        <v>242</v>
      </c>
      <c r="W14" s="146" t="s">
        <v>255</v>
      </c>
      <c r="X14" s="96" t="s">
        <v>93</v>
      </c>
      <c r="Y14" s="96" t="s">
        <v>4</v>
      </c>
      <c r="Z14" s="96" t="s">
        <v>5</v>
      </c>
      <c r="AA14" s="97" t="s">
        <v>6</v>
      </c>
      <c r="AB14" s="97" t="s">
        <v>8</v>
      </c>
      <c r="AC14" s="97" t="s">
        <v>255</v>
      </c>
      <c r="AD14" s="63" t="s">
        <v>93</v>
      </c>
      <c r="AE14" s="63" t="s">
        <v>4</v>
      </c>
      <c r="AF14" s="63" t="s">
        <v>5</v>
      </c>
      <c r="AG14" s="63" t="s">
        <v>6</v>
      </c>
      <c r="AH14" s="63" t="s">
        <v>8</v>
      </c>
      <c r="AI14" s="63" t="s">
        <v>269</v>
      </c>
      <c r="AJ14" s="109" t="s">
        <v>93</v>
      </c>
      <c r="AK14" s="109" t="s">
        <v>4</v>
      </c>
      <c r="AL14" s="109" t="s">
        <v>5</v>
      </c>
      <c r="AM14" s="109" t="s">
        <v>6</v>
      </c>
      <c r="AN14" s="109" t="s">
        <v>8</v>
      </c>
      <c r="AO14" s="75" t="s">
        <v>93</v>
      </c>
      <c r="AP14" s="75" t="s">
        <v>4</v>
      </c>
      <c r="AQ14" s="75" t="s">
        <v>5</v>
      </c>
      <c r="AR14" s="76" t="s">
        <v>6</v>
      </c>
      <c r="AS14" s="76" t="s">
        <v>8</v>
      </c>
      <c r="AT14" s="76" t="s">
        <v>263</v>
      </c>
      <c r="AU14" s="76" t="s">
        <v>264</v>
      </c>
      <c r="AV14" s="117" t="s">
        <v>93</v>
      </c>
      <c r="AW14" s="128" t="s">
        <v>4</v>
      </c>
      <c r="AX14" s="128" t="s">
        <v>5</v>
      </c>
      <c r="AY14" s="118" t="s">
        <v>6</v>
      </c>
      <c r="AZ14" s="118" t="s">
        <v>8</v>
      </c>
      <c r="BA14" s="59" t="s">
        <v>93</v>
      </c>
      <c r="BB14" s="59" t="s">
        <v>4</v>
      </c>
      <c r="BC14" s="59" t="s">
        <v>5</v>
      </c>
      <c r="BD14" s="60" t="s">
        <v>6</v>
      </c>
      <c r="BE14" s="60" t="s">
        <v>226</v>
      </c>
      <c r="BF14" s="60" t="s">
        <v>8</v>
      </c>
      <c r="BG14" s="128" t="s">
        <v>240</v>
      </c>
      <c r="BH14" s="128" t="s">
        <v>4</v>
      </c>
      <c r="BI14" s="128" t="s">
        <v>5</v>
      </c>
      <c r="BJ14" s="118" t="s">
        <v>6</v>
      </c>
      <c r="BK14" s="118" t="s">
        <v>8</v>
      </c>
      <c r="BL14" s="147" t="s">
        <v>255</v>
      </c>
      <c r="BM14" s="75" t="s">
        <v>93</v>
      </c>
      <c r="BN14" s="75" t="s">
        <v>4</v>
      </c>
      <c r="BO14" s="75" t="s">
        <v>5</v>
      </c>
      <c r="BP14" s="76" t="s">
        <v>6</v>
      </c>
      <c r="BQ14" s="76" t="s">
        <v>7</v>
      </c>
      <c r="BR14" s="76" t="s">
        <v>8</v>
      </c>
      <c r="BS14" s="76" t="s">
        <v>233</v>
      </c>
      <c r="BT14" s="76" t="s">
        <v>234</v>
      </c>
      <c r="BU14" s="76" t="s">
        <v>235</v>
      </c>
      <c r="BV14" s="76" t="s">
        <v>237</v>
      </c>
      <c r="BW14" s="76" t="s">
        <v>236</v>
      </c>
      <c r="BX14" s="76" t="s">
        <v>238</v>
      </c>
      <c r="BY14" s="148" t="s">
        <v>255</v>
      </c>
    </row>
    <row r="15" spans="1:77" s="68" customFormat="1" x14ac:dyDescent="0.3">
      <c r="A15" s="44">
        <v>45362</v>
      </c>
      <c r="B15" s="45">
        <v>0.92645833333333327</v>
      </c>
      <c r="C15" s="46">
        <v>25</v>
      </c>
      <c r="D15" s="46">
        <v>30</v>
      </c>
      <c r="E15" s="46" t="s">
        <v>229</v>
      </c>
      <c r="F15" s="46">
        <v>20</v>
      </c>
      <c r="G15" s="46">
        <v>8</v>
      </c>
      <c r="H15" s="80">
        <f>backbearing(E15)</f>
        <v>180</v>
      </c>
      <c r="I15" s="47">
        <f>fbi(K15,Forest)</f>
        <v>22</v>
      </c>
      <c r="J15" s="48">
        <f>ROS_forest(F15,fhs_s,fhs_ns,h_ns_forest,N15,G15,waf_forest,kbdi,submodel_forest)</f>
        <v>443.74971870008682</v>
      </c>
      <c r="K15" s="48">
        <f>Intensity_forest(J15,G15,L15,fl_s_forest,fl_ns_forest,fl_e_forest,fl_o_forest,h_o_forest,waf_forest,kbdi,submodel_forest)</f>
        <v>3576.622874844918</v>
      </c>
      <c r="L15" s="49">
        <f>Flame_height_forest(J15,h_e_forest)</f>
        <v>4.4232821464538574</v>
      </c>
      <c r="M15" s="47">
        <f>Spotting_forest(J15,$F15,fhs_s)</f>
        <v>446</v>
      </c>
      <c r="N15" s="49">
        <f>FMC_Forest(C15,D15,A15,B15,submodel_forest)</f>
        <v>7.8125</v>
      </c>
      <c r="O15" s="49" cm="1">
        <f t="array" ref="O15">breach_probability(K15,fb_width,fb_trees)</f>
        <v>86.847984313964844</v>
      </c>
      <c r="P15" s="50">
        <f>fbi(R15,Grass)</f>
        <v>18</v>
      </c>
      <c r="Q15" s="51">
        <f>ROS_grass(F15,T15,curing_grass,state_grass)</f>
        <v>2633.49365234375</v>
      </c>
      <c r="R15" s="51">
        <f>Intensity_grass(Q15,fl_s_grass)</f>
        <v>6122.8725794984839</v>
      </c>
      <c r="S15" s="52">
        <f>Flame_height_grass(Q15,state_grass)</f>
        <v>1.0213292837142944</v>
      </c>
      <c r="T15" s="52">
        <f>FMC_Grass(C15,D15)</f>
        <v>8.5950002670288086</v>
      </c>
      <c r="U15" s="51">
        <f>GFDI(F15,fl_s_grass,V15)</f>
        <v>9.3384008407592773</v>
      </c>
      <c r="V15" s="52">
        <f>FMC_grass_Mk5(C15, D15,curing_grass)</f>
        <v>14.324444770812988</v>
      </c>
      <c r="W15" s="52" cm="1">
        <f t="array" ref="W15">breach_probability(R15,fb_width,fb_trees)</f>
        <v>94.290420532226563</v>
      </c>
      <c r="X15" s="98">
        <f>fbi(Z15,Woodland)</f>
        <v>12</v>
      </c>
      <c r="Y15" s="99">
        <f>ROS_woodland(F15,AB15,curing_woodland,subtype_woodland,fl_woodland,waf_woodland)</f>
        <v>1316.746826171875</v>
      </c>
      <c r="Z15" s="99">
        <f>Intensity_woodland(Y15,fl_woodland)</f>
        <v>3061.436289749242</v>
      </c>
      <c r="AA15" s="100">
        <f>Flame_height_woodland(Y15,fl_woodland)</f>
        <v>0.83245730400085449</v>
      </c>
      <c r="AB15" s="100">
        <f>FMC_woodland(C15,D15)</f>
        <v>8.5950002670288086</v>
      </c>
      <c r="AC15" s="100" cm="1">
        <f t="array" ref="AC15">breach_probability(Z15,fb_width,fb_trees)</f>
        <v>84.581100463867188</v>
      </c>
      <c r="AD15" s="53">
        <f>fbi(AF15,Heath)</f>
        <v>35</v>
      </c>
      <c r="AE15" s="54">
        <f>ROS_heath(F15,h_el_heath,AH15,AI15,overstorey_heath)</f>
        <v>1778.055101891714</v>
      </c>
      <c r="AF15" s="54">
        <f>intensity_heath(AE15,fl_heath)</f>
        <v>10932.075451464221</v>
      </c>
      <c r="AG15" s="55">
        <f>Flame_height_heath(AF15)</f>
        <v>5.7233593512167236</v>
      </c>
      <c r="AH15" s="55">
        <f>FMC_heath(C15,D15,rain,tsr)</f>
        <v>8.3899999999999988</v>
      </c>
      <c r="AI15" s="55">
        <f>+SI_heath(F15,h_el_heath,AH15,overstorey_heath)</f>
        <v>0.99240677354064466</v>
      </c>
      <c r="AJ15" s="110">
        <f>fbi(AL15,Pine)</f>
        <v>17</v>
      </c>
      <c r="AK15" s="111">
        <f t="array" ref="AK15:AM15">fb_pine_ensemble(F15,AN15,G15,kbdi)</f>
        <v>816.03883812382151</v>
      </c>
      <c r="AL15" s="111">
        <v>2251.8909951973737</v>
      </c>
      <c r="AM15" s="112">
        <v>4.0868029594421387</v>
      </c>
      <c r="AN15" s="112">
        <f>FMC_pine(C15,D15)</f>
        <v>7.3790998458862305</v>
      </c>
      <c r="AO15" s="77">
        <f>FBI_mallee(F15,AS15,cov_o_mallee,AQ15)</f>
        <v>6</v>
      </c>
      <c r="AP15" s="86">
        <f>ROS_mallee(F15,AS15,cov_o_mallee,h_o_mallee,AT15,AU15)</f>
        <v>496.05315722422392</v>
      </c>
      <c r="AQ15" s="86">
        <f>Intensity(AP15,fuel_load_mallee(fl_s_mallee,fl_o_mallee,AU15))</f>
        <v>973.91768646250307</v>
      </c>
      <c r="AR15" s="85">
        <f>flame_height_mallee(AQ15)</f>
        <v>1.2384738526299985</v>
      </c>
      <c r="AS15" s="85">
        <f>FMC_mallee(C15,D15,A15,B15,rain,tsr)</f>
        <v>7.98</v>
      </c>
      <c r="AT15" s="85">
        <f>spread_prob_mallee(F15,AS15,cov_o_mallee)</f>
        <v>0.96339511774525211</v>
      </c>
      <c r="AU15" s="85">
        <f>crown_prob_mallee(F15,AS15)</f>
        <v>3.2469853933008415E-5</v>
      </c>
      <c r="AV15" s="119">
        <f>fbi(AW15,Spinifex)</f>
        <v>27</v>
      </c>
      <c r="AW15" s="129">
        <f>ROS_spinifex(F15,tsf,AZ15,waf_spinifex,subtype_spinifex)</f>
        <v>2064.7956687817068</v>
      </c>
      <c r="AX15" s="129">
        <f>intensity_spinifex(AW15,tsf,subtype_spinifex)</f>
        <v>1066.8111114339392</v>
      </c>
      <c r="AY15" s="125">
        <f>flame_height_spinifex(AW15,tsf,subtype_spinifex)</f>
        <v>2.5696275234222412</v>
      </c>
      <c r="AZ15" s="125">
        <f>FMC_spinifex(AWAP_uf,tsf,D15,C15,subtype_spinifex)</f>
        <v>14.072411010602265</v>
      </c>
      <c r="BA15" s="47">
        <f>fbi(BC15,Forest)</f>
        <v>37</v>
      </c>
      <c r="BB15" s="48">
        <f>ROS_buttongrass($F15, $BF15, tsf, productivity_buttongrass)</f>
        <v>1258.7247314453125</v>
      </c>
      <c r="BC15" s="48">
        <f>Intensity(BB15,Fuel_load__buttongrass)</f>
        <v>7089.5385621697224</v>
      </c>
      <c r="BD15" s="49">
        <f>Flame_height_buttongrass(BC15)</f>
        <v>5.2730364799499512</v>
      </c>
      <c r="BE15" s="49">
        <f>dewpoint($C15,$D15)</f>
        <v>6.2268691062927246</v>
      </c>
      <c r="BF15" s="49">
        <f>FMC_buttongrass($C15,$D15,$BE15,tsr,rain)</f>
        <v>8.3325986862182617</v>
      </c>
      <c r="BG15" s="129">
        <f>FFDI(C15,D15,G15,F15)</f>
        <v>13.112368583679199</v>
      </c>
      <c r="BH15" s="129">
        <f>ROS_Mk5(BG15,$BK$2)</f>
        <v>330.43170166015625</v>
      </c>
      <c r="BI15" s="129">
        <f>Intensity(BH15,$BK$2*G15/10)</f>
        <v>2868.1470808623549</v>
      </c>
      <c r="BJ15" s="125"/>
      <c r="BK15" s="125">
        <f>FMC_Mk5(C15,D15)</f>
        <v>7.3936080932617188</v>
      </c>
      <c r="BL15" s="125" cm="1">
        <f t="array" ref="BL15">breach_probability(BI15,fb_width,fb_trees)</f>
        <v>83.651634216308594</v>
      </c>
      <c r="BM15" s="47">
        <f>fbi(BO15,Forest)</f>
        <v>41</v>
      </c>
      <c r="BN15" s="86">
        <f>ros_Vesta2(BS15,BT15,BU15,BV15,BW15)</f>
        <v>1003.21875</v>
      </c>
      <c r="BO15" s="86">
        <f>Intensity_forest(BN15,G15,BP15,fl_s_forest,fl_ns_forest,fl_e_forest,fl_o_forest,h_o_forest,waf_forest,kbdi,submodel_forest)</f>
        <v>8085.9434463065118</v>
      </c>
      <c r="BP15" s="85">
        <f>Flame_height_forest(BN15,h_e_forest)</f>
        <v>7.9776105880737305</v>
      </c>
      <c r="BQ15" s="85">
        <f>Spotting_forest(BN15,$F15,fhs_s)</f>
        <v>2010</v>
      </c>
      <c r="BR15" s="85">
        <f>FMC_Vesta2(C15,D15,A15,B15,submodel_forest)</f>
        <v>7.8125</v>
      </c>
      <c r="BS15" s="87">
        <f>ros1_Vesta2(F15,waf_forest,fl_s_forest+fl_ns_forest,BR15,BX15)</f>
        <v>284.07785034179688</v>
      </c>
      <c r="BT15" s="87">
        <f>ros2_Vesta2(F15,waf_forest,fl_s_forest+fl_ns_forest,h_e_forest,BR15,BX15)</f>
        <v>1003.1612548828125</v>
      </c>
      <c r="BU15" s="87">
        <f>ros3_Vesta2(F15,BR15,BX15)</f>
        <v>1250.569580078125</v>
      </c>
      <c r="BV15" s="141">
        <f>prob_phase2(F15,waf_forest,fl_s_forest+fl_ns_forest,BR15,BX15)</f>
        <v>0.99999511241912842</v>
      </c>
      <c r="BW15" s="141">
        <f>prob_phase3(F15,BT15,BR15,BX15)</f>
        <v>2.4654358276166022E-4</v>
      </c>
      <c r="BX15" s="82">
        <f>fuel_availability_Vesta2(G15,kbdi,waf_forest,$BN$12)</f>
        <v>0.94976853617656709</v>
      </c>
      <c r="BY15" s="85" cm="1">
        <f t="array" ref="BY15">breach_probability(BO15,fb_width,fb_trees)</f>
        <v>97.099746704101563</v>
      </c>
    </row>
    <row r="16" spans="1:77" x14ac:dyDescent="0.3">
      <c r="A16" s="44"/>
      <c r="B16" s="45"/>
      <c r="C16" s="46"/>
      <c r="D16" s="46"/>
      <c r="E16" s="46"/>
      <c r="F16" s="46"/>
      <c r="G16" s="46"/>
      <c r="H16" s="80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8"/>
      <c r="Y16" s="99"/>
      <c r="Z16" s="99"/>
      <c r="AA16" s="100"/>
      <c r="AB16" s="100"/>
      <c r="AC16" s="100"/>
      <c r="AD16" s="53"/>
      <c r="AE16" s="54"/>
      <c r="AF16" s="54"/>
      <c r="AG16" s="55"/>
      <c r="AH16" s="55"/>
      <c r="AI16" s="55"/>
      <c r="AJ16" s="110"/>
      <c r="AK16" s="111"/>
      <c r="AL16" s="111"/>
      <c r="AM16" s="112"/>
      <c r="AN16" s="112"/>
      <c r="AO16" s="77"/>
      <c r="AP16" s="86"/>
      <c r="AQ16" s="86"/>
      <c r="AR16" s="85"/>
      <c r="AS16" s="77"/>
      <c r="AT16" s="77"/>
      <c r="AU16" s="77"/>
      <c r="AV16" s="119"/>
      <c r="AW16" s="129"/>
      <c r="AX16" s="129"/>
      <c r="AY16" s="125"/>
      <c r="AZ16" s="119"/>
      <c r="BA16" s="47"/>
      <c r="BB16" s="48"/>
      <c r="BC16" s="48"/>
      <c r="BD16" s="49"/>
      <c r="BE16" s="49"/>
      <c r="BF16" s="49"/>
      <c r="BG16" s="129"/>
      <c r="BH16" s="129"/>
      <c r="BI16" s="129"/>
      <c r="BJ16" s="125"/>
      <c r="BK16" s="119"/>
      <c r="BL16" s="119"/>
      <c r="BM16" s="77"/>
      <c r="BN16" s="86"/>
      <c r="BO16" s="86"/>
      <c r="BP16" s="85"/>
      <c r="BQ16" s="85"/>
      <c r="BR16" s="77"/>
    </row>
    <row r="17" spans="1:70" x14ac:dyDescent="0.3">
      <c r="A17" s="44"/>
      <c r="B17" s="45"/>
      <c r="C17" s="46"/>
      <c r="D17" s="46"/>
      <c r="E17" s="46"/>
      <c r="F17" s="46"/>
      <c r="G17" s="46"/>
      <c r="H17" s="80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8"/>
      <c r="Y17" s="99"/>
      <c r="Z17" s="99"/>
      <c r="AA17" s="100"/>
      <c r="AB17" s="100"/>
      <c r="AC17" s="100"/>
      <c r="AD17" s="53"/>
      <c r="AE17" s="54"/>
      <c r="AF17" s="54"/>
      <c r="AG17" s="55"/>
      <c r="AH17" s="55"/>
      <c r="AI17" s="55"/>
      <c r="AJ17" s="110"/>
      <c r="AK17" s="111"/>
      <c r="AL17" s="111"/>
      <c r="AM17" s="112"/>
      <c r="AN17" s="112"/>
      <c r="AO17" s="77"/>
      <c r="AP17" s="86"/>
      <c r="AQ17" s="86"/>
      <c r="AR17" s="85"/>
      <c r="AS17" s="77"/>
      <c r="AT17" s="77"/>
      <c r="AU17" s="77"/>
      <c r="AV17" s="119"/>
      <c r="AW17" s="129"/>
      <c r="AX17" s="129"/>
      <c r="AY17" s="125"/>
      <c r="AZ17" s="119"/>
      <c r="BA17" s="47"/>
      <c r="BB17" s="48"/>
      <c r="BC17" s="48"/>
      <c r="BD17" s="49"/>
      <c r="BE17" s="49"/>
      <c r="BF17" s="49"/>
      <c r="BG17" s="129"/>
      <c r="BH17" s="129"/>
      <c r="BI17" s="129"/>
      <c r="BJ17" s="125"/>
      <c r="BK17" s="119"/>
      <c r="BL17" s="119"/>
      <c r="BM17" s="77"/>
      <c r="BN17" s="86"/>
      <c r="BO17" s="86"/>
      <c r="BP17" s="85"/>
      <c r="BQ17" s="85"/>
      <c r="BR17" s="77"/>
    </row>
    <row r="18" spans="1:70" x14ac:dyDescent="0.3">
      <c r="A18" s="44"/>
      <c r="B18" s="45"/>
      <c r="C18" s="46"/>
      <c r="D18" s="46"/>
      <c r="E18" s="46"/>
      <c r="F18" s="46"/>
      <c r="G18" s="46"/>
      <c r="H18" s="80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8"/>
      <c r="Y18" s="99"/>
      <c r="Z18" s="99"/>
      <c r="AA18" s="100"/>
      <c r="AB18" s="100"/>
      <c r="AC18" s="100"/>
      <c r="AD18" s="53"/>
      <c r="AE18" s="54"/>
      <c r="AF18" s="54"/>
      <c r="AG18" s="55"/>
      <c r="AH18" s="55"/>
      <c r="AI18" s="55"/>
      <c r="AJ18" s="110"/>
      <c r="AK18" s="111"/>
      <c r="AL18" s="111"/>
      <c r="AM18" s="112"/>
      <c r="AN18" s="112"/>
      <c r="AO18" s="77"/>
      <c r="AP18" s="86"/>
      <c r="AQ18" s="86"/>
      <c r="AR18" s="85"/>
      <c r="AS18" s="77"/>
      <c r="AT18" s="77"/>
      <c r="AU18" s="77"/>
      <c r="AV18" s="119"/>
      <c r="AW18" s="129"/>
      <c r="AX18" s="129"/>
      <c r="AY18" s="125"/>
      <c r="AZ18" s="119"/>
      <c r="BA18" s="47"/>
      <c r="BB18" s="48"/>
      <c r="BC18" s="48"/>
      <c r="BD18" s="49"/>
      <c r="BE18" s="49"/>
      <c r="BF18" s="49"/>
      <c r="BG18" s="129"/>
      <c r="BH18" s="129"/>
      <c r="BI18" s="129"/>
      <c r="BJ18" s="125"/>
      <c r="BK18" s="119"/>
      <c r="BL18" s="119"/>
      <c r="BM18" s="77"/>
      <c r="BN18" s="86"/>
      <c r="BO18" s="86"/>
      <c r="BP18" s="85"/>
      <c r="BQ18" s="85"/>
      <c r="BR18" s="77"/>
    </row>
    <row r="19" spans="1:70" x14ac:dyDescent="0.3">
      <c r="A19" s="44"/>
      <c r="B19" s="45"/>
      <c r="C19" s="46"/>
      <c r="D19" s="46"/>
      <c r="E19" s="46"/>
      <c r="F19" s="46"/>
      <c r="G19" s="46"/>
      <c r="H19" s="80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8"/>
      <c r="Y19" s="99"/>
      <c r="Z19" s="99"/>
      <c r="AA19" s="100"/>
      <c r="AB19" s="100"/>
      <c r="AC19" s="100"/>
      <c r="AD19" s="53"/>
      <c r="AE19" s="54"/>
      <c r="AF19" s="54"/>
      <c r="AG19" s="55"/>
      <c r="AH19" s="55"/>
      <c r="AI19" s="55"/>
      <c r="AJ19" s="110"/>
      <c r="AK19" s="111"/>
      <c r="AL19" s="111"/>
      <c r="AM19" s="112"/>
      <c r="AN19" s="112"/>
      <c r="AO19" s="77"/>
      <c r="AP19" s="86"/>
      <c r="AQ19" s="86"/>
      <c r="AR19" s="85"/>
      <c r="AS19" s="77"/>
      <c r="AT19" s="77"/>
      <c r="AU19" s="77"/>
      <c r="AV19" s="119"/>
      <c r="AW19" s="129"/>
      <c r="AX19" s="129"/>
      <c r="AY19" s="125"/>
      <c r="AZ19" s="119"/>
      <c r="BA19" s="47"/>
      <c r="BB19" s="48"/>
      <c r="BC19" s="48"/>
      <c r="BD19" s="49"/>
      <c r="BE19" s="49"/>
      <c r="BF19" s="49"/>
      <c r="BG19" s="129"/>
      <c r="BH19" s="129"/>
      <c r="BI19" s="129"/>
      <c r="BJ19" s="125"/>
      <c r="BK19" s="119"/>
      <c r="BL19" s="119"/>
      <c r="BM19" s="77"/>
      <c r="BN19" s="86"/>
      <c r="BO19" s="86"/>
      <c r="BP19" s="85"/>
      <c r="BQ19" s="85"/>
      <c r="BR19" s="77"/>
    </row>
    <row r="20" spans="1:70" x14ac:dyDescent="0.3">
      <c r="A20" s="44"/>
      <c r="B20" s="45"/>
      <c r="C20" s="46"/>
      <c r="D20" s="46"/>
      <c r="E20" s="46"/>
      <c r="F20" s="46"/>
      <c r="G20" s="46"/>
      <c r="H20" s="80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8"/>
      <c r="Y20" s="99"/>
      <c r="Z20" s="99"/>
      <c r="AA20" s="100"/>
      <c r="AB20" s="100"/>
      <c r="AC20" s="100"/>
      <c r="AD20" s="53"/>
      <c r="AE20" s="54"/>
      <c r="AF20" s="54"/>
      <c r="AG20" s="55"/>
      <c r="AH20" s="55"/>
      <c r="AI20" s="55"/>
      <c r="AJ20" s="110"/>
      <c r="AK20" s="111"/>
      <c r="AL20" s="111"/>
      <c r="AM20" s="112"/>
      <c r="AN20" s="112"/>
      <c r="AO20" s="77"/>
      <c r="AP20" s="86"/>
      <c r="AQ20" s="86"/>
      <c r="AR20" s="85"/>
      <c r="AS20" s="77"/>
      <c r="AT20" s="77"/>
      <c r="AU20" s="77"/>
      <c r="AV20" s="119"/>
      <c r="AW20" s="129"/>
      <c r="AX20" s="129"/>
      <c r="AY20" s="125"/>
      <c r="AZ20" s="119"/>
      <c r="BA20" s="47"/>
      <c r="BB20" s="48"/>
      <c r="BC20" s="48"/>
      <c r="BD20" s="49"/>
      <c r="BE20" s="49"/>
      <c r="BF20" s="49"/>
      <c r="BG20" s="129"/>
      <c r="BH20" s="129"/>
      <c r="BI20" s="129"/>
      <c r="BJ20" s="125"/>
      <c r="BK20" s="119"/>
      <c r="BL20" s="119"/>
      <c r="BM20" s="77"/>
      <c r="BN20" s="86"/>
      <c r="BO20" s="86"/>
      <c r="BP20" s="85"/>
      <c r="BQ20" s="85"/>
      <c r="BR20" s="77"/>
    </row>
    <row r="21" spans="1:70" x14ac:dyDescent="0.3">
      <c r="A21" s="44"/>
      <c r="B21" s="45"/>
      <c r="C21" s="46"/>
      <c r="D21" s="46"/>
      <c r="E21" s="46"/>
      <c r="F21" s="46"/>
      <c r="G21" s="46"/>
      <c r="H21" s="80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8"/>
      <c r="Y21" s="99"/>
      <c r="Z21" s="99"/>
      <c r="AA21" s="100"/>
      <c r="AB21" s="100"/>
      <c r="AC21" s="100"/>
      <c r="AD21" s="53"/>
      <c r="AE21" s="54"/>
      <c r="AF21" s="54"/>
      <c r="AG21" s="55"/>
      <c r="AH21" s="55"/>
      <c r="AI21" s="55"/>
      <c r="AJ21" s="110"/>
      <c r="AK21" s="111"/>
      <c r="AL21" s="111"/>
      <c r="AM21" s="112"/>
      <c r="AN21" s="112"/>
      <c r="AO21" s="77"/>
      <c r="AP21" s="86"/>
      <c r="AQ21" s="86"/>
      <c r="AR21" s="85"/>
      <c r="AS21" s="77"/>
      <c r="AT21" s="77"/>
      <c r="AU21" s="77"/>
      <c r="AV21" s="119"/>
      <c r="AW21" s="129"/>
      <c r="AX21" s="129"/>
      <c r="AY21" s="125"/>
      <c r="AZ21" s="119"/>
      <c r="BA21" s="47"/>
      <c r="BB21" s="48"/>
      <c r="BC21" s="48"/>
      <c r="BD21" s="49"/>
      <c r="BE21" s="49"/>
      <c r="BF21" s="49"/>
      <c r="BG21" s="129"/>
      <c r="BH21" s="129"/>
      <c r="BI21" s="129"/>
      <c r="BJ21" s="125"/>
      <c r="BK21" s="119"/>
      <c r="BL21" s="119"/>
      <c r="BM21" s="77"/>
      <c r="BN21" s="86"/>
      <c r="BO21" s="86"/>
      <c r="BP21" s="85"/>
      <c r="BQ21" s="85"/>
      <c r="BR21" s="77"/>
    </row>
    <row r="22" spans="1:70" x14ac:dyDescent="0.3">
      <c r="A22" s="44"/>
      <c r="B22" s="45"/>
      <c r="C22" s="46"/>
      <c r="D22" s="46"/>
      <c r="E22" s="46"/>
      <c r="F22" s="46"/>
      <c r="G22" s="46"/>
      <c r="H22" s="80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8"/>
      <c r="Y22" s="99"/>
      <c r="Z22" s="99"/>
      <c r="AA22" s="100"/>
      <c r="AB22" s="100"/>
      <c r="AC22" s="100"/>
      <c r="AD22" s="53"/>
      <c r="AE22" s="54"/>
      <c r="AF22" s="54"/>
      <c r="AG22" s="55"/>
      <c r="AH22" s="55"/>
      <c r="AI22" s="55"/>
      <c r="AJ22" s="110"/>
      <c r="AK22" s="111"/>
      <c r="AL22" s="111"/>
      <c r="AM22" s="112"/>
      <c r="AN22" s="112"/>
      <c r="AO22" s="77"/>
      <c r="AP22" s="86"/>
      <c r="AQ22" s="86"/>
      <c r="AR22" s="85"/>
      <c r="AS22" s="77"/>
      <c r="AT22" s="77"/>
      <c r="AU22" s="77"/>
      <c r="AV22" s="119"/>
      <c r="AW22" s="129"/>
      <c r="AX22" s="129"/>
      <c r="AY22" s="125"/>
      <c r="AZ22" s="119"/>
      <c r="BA22" s="47"/>
      <c r="BB22" s="48"/>
      <c r="BC22" s="48"/>
      <c r="BD22" s="49"/>
      <c r="BE22" s="49"/>
      <c r="BF22" s="49"/>
      <c r="BG22" s="129"/>
      <c r="BH22" s="129"/>
      <c r="BI22" s="129"/>
      <c r="BJ22" s="125"/>
      <c r="BK22" s="119"/>
      <c r="BL22" s="119"/>
      <c r="BM22" s="77"/>
      <c r="BN22" s="86"/>
      <c r="BO22" s="86"/>
      <c r="BP22" s="85"/>
      <c r="BQ22" s="85"/>
      <c r="BR22" s="77"/>
    </row>
    <row r="23" spans="1:70" x14ac:dyDescent="0.3">
      <c r="A23" s="44"/>
      <c r="B23" s="45"/>
      <c r="C23" s="46"/>
      <c r="D23" s="46"/>
      <c r="E23" s="46"/>
      <c r="F23" s="46"/>
      <c r="G23" s="46"/>
      <c r="H23" s="80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8"/>
      <c r="Y23" s="99"/>
      <c r="Z23" s="99"/>
      <c r="AA23" s="100"/>
      <c r="AB23" s="100"/>
      <c r="AC23" s="100"/>
      <c r="AD23" s="53"/>
      <c r="AE23" s="54"/>
      <c r="AF23" s="54"/>
      <c r="AG23" s="55"/>
      <c r="AH23" s="55"/>
      <c r="AI23" s="55"/>
      <c r="AJ23" s="110"/>
      <c r="AK23" s="111"/>
      <c r="AL23" s="111"/>
      <c r="AM23" s="112"/>
      <c r="AN23" s="112"/>
      <c r="AO23" s="77"/>
      <c r="AP23" s="86"/>
      <c r="AQ23" s="86"/>
      <c r="AR23" s="85"/>
      <c r="AS23" s="77"/>
      <c r="AT23" s="77"/>
      <c r="AU23" s="77"/>
      <c r="AV23" s="119"/>
      <c r="AW23" s="129"/>
      <c r="AX23" s="129"/>
      <c r="AY23" s="125"/>
      <c r="AZ23" s="119"/>
      <c r="BA23" s="47"/>
      <c r="BB23" s="48"/>
      <c r="BC23" s="48"/>
      <c r="BD23" s="49"/>
      <c r="BE23" s="49"/>
      <c r="BF23" s="49"/>
      <c r="BG23" s="129"/>
      <c r="BH23" s="129"/>
      <c r="BI23" s="129"/>
      <c r="BJ23" s="125"/>
      <c r="BK23" s="119"/>
      <c r="BL23" s="119"/>
      <c r="BM23" s="77"/>
      <c r="BN23" s="86"/>
      <c r="BO23" s="86"/>
      <c r="BP23" s="85"/>
      <c r="BQ23" s="85"/>
      <c r="BR23" s="77"/>
    </row>
    <row r="24" spans="1:70" x14ac:dyDescent="0.3">
      <c r="A24" s="44"/>
      <c r="B24" s="45"/>
      <c r="C24" s="46"/>
      <c r="D24" s="46"/>
      <c r="E24" s="46"/>
      <c r="F24" s="46"/>
      <c r="G24" s="46"/>
      <c r="H24" s="80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8"/>
      <c r="Y24" s="99"/>
      <c r="Z24" s="99"/>
      <c r="AA24" s="100"/>
      <c r="AB24" s="100"/>
      <c r="AC24" s="100"/>
      <c r="AD24" s="53"/>
      <c r="AE24" s="54"/>
      <c r="AF24" s="54"/>
      <c r="AG24" s="55"/>
      <c r="AH24" s="55"/>
      <c r="AI24" s="55"/>
      <c r="AJ24" s="110"/>
      <c r="AK24" s="111"/>
      <c r="AL24" s="111"/>
      <c r="AM24" s="112"/>
      <c r="AN24" s="112"/>
      <c r="AO24" s="77"/>
      <c r="AP24" s="86"/>
      <c r="AQ24" s="86"/>
      <c r="AR24" s="85"/>
      <c r="AS24" s="77"/>
      <c r="AT24" s="77"/>
      <c r="AU24" s="77"/>
      <c r="AV24" s="119"/>
      <c r="AW24" s="129"/>
      <c r="AX24" s="129"/>
      <c r="AY24" s="125"/>
      <c r="AZ24" s="119"/>
      <c r="BA24" s="47"/>
      <c r="BB24" s="48"/>
      <c r="BC24" s="48"/>
      <c r="BD24" s="49"/>
      <c r="BE24" s="49"/>
      <c r="BF24" s="49"/>
      <c r="BG24" s="129"/>
      <c r="BH24" s="129"/>
      <c r="BI24" s="129"/>
      <c r="BJ24" s="125"/>
      <c r="BK24" s="119"/>
      <c r="BL24" s="119"/>
      <c r="BM24" s="77"/>
      <c r="BN24" s="86"/>
      <c r="BO24" s="86"/>
      <c r="BP24" s="85"/>
      <c r="BQ24" s="85"/>
      <c r="BR24" s="77"/>
    </row>
    <row r="25" spans="1:70" x14ac:dyDescent="0.3">
      <c r="H25" s="80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8"/>
      <c r="Y25" s="99"/>
      <c r="Z25" s="99"/>
      <c r="AA25" s="100"/>
      <c r="AB25" s="100"/>
      <c r="AC25" s="100"/>
      <c r="AD25" s="53"/>
      <c r="AE25" s="54"/>
      <c r="AF25" s="54"/>
      <c r="AG25" s="55"/>
      <c r="AH25" s="55"/>
      <c r="AI25" s="55"/>
      <c r="AJ25" s="110"/>
      <c r="AK25" s="111"/>
      <c r="AL25" s="111"/>
      <c r="AM25" s="112"/>
      <c r="AN25" s="112"/>
      <c r="AO25" s="77"/>
      <c r="AP25" s="86"/>
      <c r="AQ25" s="86"/>
      <c r="AR25" s="85"/>
      <c r="AS25" s="77"/>
      <c r="AT25" s="77"/>
      <c r="AU25" s="77"/>
      <c r="AV25" s="119"/>
      <c r="AW25" s="129"/>
      <c r="AX25" s="129"/>
      <c r="AY25" s="125"/>
      <c r="AZ25" s="119"/>
      <c r="BA25" s="47"/>
      <c r="BB25" s="48"/>
      <c r="BC25" s="48"/>
      <c r="BD25" s="49"/>
      <c r="BE25" s="49"/>
      <c r="BF25" s="49"/>
      <c r="BG25" s="129"/>
      <c r="BH25" s="129"/>
      <c r="BI25" s="129"/>
      <c r="BJ25" s="125"/>
      <c r="BK25" s="119"/>
      <c r="BL25" s="119"/>
      <c r="BM25" s="77"/>
      <c r="BN25" s="86"/>
      <c r="BO25" s="86"/>
      <c r="BP25" s="85"/>
      <c r="BQ25" s="85"/>
      <c r="BR25" s="77"/>
    </row>
    <row r="26" spans="1:70" x14ac:dyDescent="0.3">
      <c r="H26" s="80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8"/>
      <c r="Y26" s="99"/>
      <c r="Z26" s="99"/>
      <c r="AA26" s="100"/>
      <c r="AB26" s="100"/>
      <c r="AC26" s="100"/>
      <c r="AD26" s="53"/>
      <c r="AE26" s="54"/>
      <c r="AF26" s="54"/>
      <c r="AG26" s="55"/>
      <c r="AH26" s="55"/>
      <c r="AI26" s="55"/>
      <c r="AJ26" s="110"/>
      <c r="AK26" s="111"/>
      <c r="AL26" s="111"/>
      <c r="AM26" s="112"/>
      <c r="AN26" s="112"/>
      <c r="AO26" s="77"/>
      <c r="AP26" s="86"/>
      <c r="AQ26" s="86"/>
      <c r="AR26" s="85"/>
      <c r="AS26" s="77"/>
      <c r="AT26" s="77"/>
      <c r="AU26" s="77"/>
      <c r="AV26" s="119"/>
      <c r="AW26" s="129"/>
      <c r="AX26" s="129"/>
      <c r="AY26" s="125"/>
      <c r="AZ26" s="119"/>
      <c r="BA26" s="47"/>
      <c r="BB26" s="48"/>
      <c r="BC26" s="48"/>
      <c r="BD26" s="49"/>
      <c r="BE26" s="49"/>
      <c r="BF26" s="49"/>
      <c r="BG26" s="129"/>
      <c r="BH26" s="129"/>
      <c r="BI26" s="129"/>
      <c r="BJ26" s="125"/>
      <c r="BK26" s="119"/>
      <c r="BL26" s="119"/>
      <c r="BM26" s="77"/>
      <c r="BN26" s="86"/>
      <c r="BO26" s="86"/>
      <c r="BP26" s="85"/>
      <c r="BQ26" s="85"/>
      <c r="BR26" s="77"/>
    </row>
    <row r="27" spans="1:70" x14ac:dyDescent="0.3">
      <c r="H27" s="80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8"/>
      <c r="Y27" s="99"/>
      <c r="Z27" s="99"/>
      <c r="AA27" s="100"/>
      <c r="AB27" s="100"/>
      <c r="AC27" s="100"/>
      <c r="AD27" s="53"/>
      <c r="AE27" s="54"/>
      <c r="AF27" s="54"/>
      <c r="AG27" s="55"/>
      <c r="AH27" s="55"/>
      <c r="AI27" s="55"/>
      <c r="AJ27" s="110"/>
      <c r="AK27" s="111"/>
      <c r="AL27" s="111"/>
      <c r="AM27" s="112"/>
      <c r="AN27" s="112"/>
      <c r="AO27" s="77"/>
      <c r="AP27" s="86"/>
      <c r="AQ27" s="86"/>
      <c r="AR27" s="85"/>
      <c r="AS27" s="77"/>
      <c r="AT27" s="77"/>
      <c r="AU27" s="77"/>
      <c r="AV27" s="119"/>
      <c r="AW27" s="129"/>
      <c r="AX27" s="129"/>
      <c r="AY27" s="125"/>
      <c r="AZ27" s="119"/>
      <c r="BA27" s="47"/>
      <c r="BB27" s="48"/>
      <c r="BC27" s="48"/>
      <c r="BD27" s="49"/>
      <c r="BE27" s="49"/>
      <c r="BF27" s="49"/>
      <c r="BG27" s="129"/>
      <c r="BH27" s="129"/>
      <c r="BI27" s="129"/>
      <c r="BJ27" s="125"/>
      <c r="BK27" s="119"/>
      <c r="BL27" s="119"/>
      <c r="BM27" s="77"/>
      <c r="BN27" s="86"/>
      <c r="BO27" s="86"/>
      <c r="BP27" s="85"/>
      <c r="BQ27" s="85"/>
      <c r="BR27" s="77"/>
    </row>
    <row r="28" spans="1:70" x14ac:dyDescent="0.3">
      <c r="H28" s="80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8"/>
      <c r="Y28" s="99"/>
      <c r="Z28" s="99"/>
      <c r="AA28" s="100"/>
      <c r="AB28" s="100"/>
      <c r="AC28" s="100"/>
      <c r="AD28" s="53"/>
      <c r="AE28" s="54"/>
      <c r="AF28" s="54"/>
      <c r="AG28" s="55"/>
      <c r="AH28" s="55"/>
      <c r="AI28" s="55"/>
      <c r="AJ28" s="110"/>
      <c r="AK28" s="111"/>
      <c r="AL28" s="111"/>
      <c r="AM28" s="112"/>
      <c r="AN28" s="112"/>
      <c r="AO28" s="77"/>
      <c r="AP28" s="86"/>
      <c r="AQ28" s="86"/>
      <c r="AR28" s="85"/>
      <c r="AS28" s="77"/>
      <c r="AT28" s="77"/>
      <c r="AU28" s="77"/>
      <c r="AV28" s="119"/>
      <c r="AW28" s="129"/>
      <c r="AX28" s="129"/>
      <c r="AY28" s="125"/>
      <c r="AZ28" s="119"/>
      <c r="BA28" s="47"/>
      <c r="BB28" s="48"/>
      <c r="BC28" s="48"/>
      <c r="BD28" s="49"/>
      <c r="BE28" s="49"/>
      <c r="BF28" s="49"/>
      <c r="BG28" s="129"/>
      <c r="BH28" s="129"/>
      <c r="BI28" s="129"/>
      <c r="BJ28" s="125"/>
      <c r="BK28" s="119"/>
      <c r="BL28" s="119"/>
      <c r="BM28" s="77"/>
      <c r="BN28" s="86"/>
      <c r="BO28" s="86"/>
      <c r="BP28" s="85"/>
      <c r="BQ28" s="85"/>
      <c r="BR28" s="77"/>
    </row>
    <row r="29" spans="1:70" x14ac:dyDescent="0.3">
      <c r="H29" s="80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8"/>
      <c r="Y29" s="99"/>
      <c r="Z29" s="99"/>
      <c r="AA29" s="100"/>
      <c r="AB29" s="100"/>
      <c r="AC29" s="100"/>
      <c r="AD29" s="53"/>
      <c r="AE29" s="54"/>
      <c r="AF29" s="54"/>
      <c r="AG29" s="55"/>
      <c r="AH29" s="55"/>
      <c r="AI29" s="55"/>
      <c r="AJ29" s="110"/>
      <c r="AK29" s="111"/>
      <c r="AL29" s="111"/>
      <c r="AM29" s="112"/>
      <c r="AN29" s="112"/>
      <c r="AO29" s="77"/>
      <c r="AP29" s="86"/>
      <c r="AQ29" s="86"/>
      <c r="AR29" s="85"/>
      <c r="AS29" s="77"/>
      <c r="AT29" s="77"/>
      <c r="AU29" s="77"/>
      <c r="AV29" s="119"/>
      <c r="AW29" s="129"/>
      <c r="AX29" s="129"/>
      <c r="AY29" s="125"/>
      <c r="AZ29" s="119"/>
      <c r="BA29" s="47"/>
      <c r="BB29" s="48"/>
      <c r="BC29" s="48"/>
      <c r="BD29" s="49"/>
      <c r="BE29" s="49"/>
      <c r="BF29" s="49"/>
      <c r="BG29" s="129"/>
      <c r="BH29" s="129"/>
      <c r="BI29" s="129"/>
      <c r="BJ29" s="125"/>
      <c r="BK29" s="119"/>
      <c r="BL29" s="119"/>
      <c r="BM29" s="77"/>
      <c r="BN29" s="86"/>
      <c r="BO29" s="86"/>
      <c r="BP29" s="85"/>
      <c r="BQ29" s="85"/>
      <c r="BR29" s="77"/>
    </row>
    <row r="30" spans="1:70" x14ac:dyDescent="0.3">
      <c r="H30" s="80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8"/>
      <c r="Y30" s="99"/>
      <c r="Z30" s="99"/>
      <c r="AA30" s="100"/>
      <c r="AB30" s="100"/>
      <c r="AC30" s="100"/>
      <c r="AD30" s="53"/>
      <c r="AE30" s="54"/>
      <c r="AF30" s="54"/>
      <c r="AG30" s="55"/>
      <c r="AH30" s="55"/>
      <c r="AI30" s="55"/>
      <c r="AJ30" s="110"/>
      <c r="AK30" s="111"/>
      <c r="AL30" s="111"/>
      <c r="AM30" s="112"/>
      <c r="AN30" s="112"/>
      <c r="AO30" s="77"/>
      <c r="AP30" s="86"/>
      <c r="AQ30" s="86"/>
      <c r="AR30" s="85"/>
      <c r="AS30" s="77"/>
      <c r="AT30" s="77"/>
      <c r="AU30" s="77"/>
      <c r="AV30" s="119"/>
      <c r="AW30" s="129"/>
      <c r="AX30" s="129"/>
      <c r="AY30" s="125"/>
      <c r="AZ30" s="119"/>
      <c r="BA30" s="47"/>
      <c r="BB30" s="48"/>
      <c r="BC30" s="48"/>
      <c r="BD30" s="49"/>
      <c r="BE30" s="49"/>
      <c r="BF30" s="49"/>
      <c r="BG30" s="129"/>
      <c r="BH30" s="129"/>
      <c r="BI30" s="129"/>
      <c r="BJ30" s="125"/>
      <c r="BK30" s="119"/>
      <c r="BL30" s="119"/>
      <c r="BM30" s="77"/>
      <c r="BN30" s="86"/>
      <c r="BO30" s="86"/>
      <c r="BP30" s="85"/>
      <c r="BQ30" s="85"/>
      <c r="BR30" s="77"/>
    </row>
    <row r="31" spans="1:70" x14ac:dyDescent="0.3">
      <c r="H31" s="80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8"/>
      <c r="Y31" s="99"/>
      <c r="Z31" s="99"/>
      <c r="AA31" s="100"/>
      <c r="AB31" s="100"/>
      <c r="AC31" s="100"/>
      <c r="AD31" s="53"/>
      <c r="AE31" s="54"/>
      <c r="AF31" s="54"/>
      <c r="AG31" s="55"/>
      <c r="AH31" s="55"/>
      <c r="AI31" s="55"/>
      <c r="AJ31" s="110"/>
      <c r="AK31" s="111"/>
      <c r="AL31" s="111"/>
      <c r="AM31" s="112"/>
      <c r="AN31" s="112"/>
      <c r="AO31" s="77"/>
      <c r="AP31" s="86"/>
      <c r="AQ31" s="86"/>
      <c r="AR31" s="85"/>
      <c r="AS31" s="77"/>
      <c r="AT31" s="77"/>
      <c r="AU31" s="77"/>
      <c r="AV31" s="119"/>
      <c r="AW31" s="129"/>
      <c r="AX31" s="129"/>
      <c r="AY31" s="125"/>
      <c r="AZ31" s="119"/>
      <c r="BA31" s="47"/>
      <c r="BB31" s="48"/>
      <c r="BC31" s="48"/>
      <c r="BD31" s="49"/>
      <c r="BE31" s="49"/>
      <c r="BF31" s="49"/>
      <c r="BG31" s="129"/>
      <c r="BH31" s="129"/>
      <c r="BI31" s="129"/>
      <c r="BJ31" s="125"/>
      <c r="BK31" s="119"/>
      <c r="BL31" s="119"/>
      <c r="BM31" s="77"/>
      <c r="BN31" s="86"/>
      <c r="BO31" s="86"/>
      <c r="BP31" s="85"/>
      <c r="BQ31" s="85"/>
      <c r="BR31" s="77"/>
    </row>
    <row r="32" spans="1:70" x14ac:dyDescent="0.3">
      <c r="H32" s="80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8"/>
      <c r="Y32" s="99"/>
      <c r="Z32" s="99"/>
      <c r="AA32" s="100"/>
      <c r="AB32" s="100"/>
      <c r="AC32" s="100"/>
      <c r="AD32" s="53"/>
      <c r="AE32" s="54"/>
      <c r="AF32" s="54"/>
      <c r="AG32" s="55"/>
      <c r="AH32" s="55"/>
      <c r="AI32" s="55"/>
      <c r="AJ32" s="110"/>
      <c r="AK32" s="111"/>
      <c r="AL32" s="111"/>
      <c r="AM32" s="112"/>
      <c r="AN32" s="112"/>
      <c r="AO32" s="77"/>
      <c r="AP32" s="86"/>
      <c r="AQ32" s="86"/>
      <c r="AR32" s="85"/>
      <c r="AS32" s="77"/>
      <c r="AT32" s="77"/>
      <c r="AU32" s="77"/>
      <c r="AV32" s="119"/>
      <c r="AW32" s="129"/>
      <c r="AX32" s="129"/>
      <c r="AY32" s="125"/>
      <c r="AZ32" s="119"/>
      <c r="BA32" s="47"/>
      <c r="BB32" s="48"/>
      <c r="BC32" s="48"/>
      <c r="BD32" s="49"/>
      <c r="BE32" s="49"/>
      <c r="BF32" s="49"/>
      <c r="BG32" s="129"/>
      <c r="BH32" s="129"/>
      <c r="BI32" s="129"/>
      <c r="BJ32" s="125"/>
      <c r="BK32" s="119"/>
      <c r="BL32" s="119"/>
      <c r="BM32" s="77"/>
      <c r="BN32" s="86"/>
      <c r="BO32" s="86"/>
      <c r="BP32" s="85"/>
      <c r="BQ32" s="85"/>
      <c r="BR32" s="77"/>
    </row>
    <row r="33" spans="8:70" x14ac:dyDescent="0.3">
      <c r="H33" s="80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8"/>
      <c r="Y33" s="99"/>
      <c r="Z33" s="99"/>
      <c r="AA33" s="100"/>
      <c r="AB33" s="100"/>
      <c r="AC33" s="100"/>
      <c r="AD33" s="53"/>
      <c r="AE33" s="54"/>
      <c r="AF33" s="54"/>
      <c r="AG33" s="55"/>
      <c r="AH33" s="55"/>
      <c r="AI33" s="55"/>
      <c r="AJ33" s="110"/>
      <c r="AK33" s="111"/>
      <c r="AL33" s="111"/>
      <c r="AM33" s="112"/>
      <c r="AN33" s="112"/>
      <c r="AO33" s="77"/>
      <c r="AP33" s="86"/>
      <c r="AQ33" s="86"/>
      <c r="AR33" s="85"/>
      <c r="AS33" s="77"/>
      <c r="AT33" s="77"/>
      <c r="AU33" s="77"/>
      <c r="AV33" s="119"/>
      <c r="AW33" s="129"/>
      <c r="AX33" s="129"/>
      <c r="AY33" s="125"/>
      <c r="AZ33" s="119"/>
      <c r="BA33" s="47"/>
      <c r="BB33" s="48"/>
      <c r="BC33" s="48"/>
      <c r="BD33" s="49"/>
      <c r="BE33" s="49"/>
      <c r="BF33" s="49"/>
      <c r="BG33" s="129"/>
      <c r="BH33" s="129"/>
      <c r="BI33" s="129"/>
      <c r="BJ33" s="125"/>
      <c r="BK33" s="119"/>
      <c r="BL33" s="119"/>
      <c r="BM33" s="77"/>
      <c r="BN33" s="86"/>
      <c r="BO33" s="86"/>
      <c r="BP33" s="85"/>
      <c r="BQ33" s="85"/>
      <c r="BR33" s="77"/>
    </row>
    <row r="34" spans="8:70" x14ac:dyDescent="0.3">
      <c r="H34" s="80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8"/>
      <c r="Y34" s="99"/>
      <c r="Z34" s="99"/>
      <c r="AA34" s="100"/>
      <c r="AB34" s="100"/>
      <c r="AC34" s="100"/>
      <c r="AD34" s="53"/>
      <c r="AE34" s="54"/>
      <c r="AF34" s="54"/>
      <c r="AG34" s="55"/>
      <c r="AH34" s="55"/>
      <c r="AI34" s="55"/>
      <c r="AJ34" s="110"/>
      <c r="AK34" s="111"/>
      <c r="AL34" s="111"/>
      <c r="AM34" s="112"/>
      <c r="AN34" s="112"/>
      <c r="AO34" s="77"/>
      <c r="AP34" s="86"/>
      <c r="AQ34" s="86"/>
      <c r="AR34" s="85"/>
      <c r="AS34" s="77"/>
      <c r="AT34" s="77"/>
      <c r="AU34" s="77"/>
      <c r="AV34" s="119"/>
      <c r="AW34" s="129"/>
      <c r="AX34" s="129"/>
      <c r="AY34" s="125"/>
      <c r="AZ34" s="119"/>
      <c r="BA34" s="47"/>
      <c r="BB34" s="48"/>
      <c r="BC34" s="48"/>
      <c r="BD34" s="49"/>
      <c r="BE34" s="49"/>
      <c r="BF34" s="49"/>
      <c r="BG34" s="129"/>
      <c r="BH34" s="129"/>
      <c r="BI34" s="129"/>
      <c r="BJ34" s="125"/>
      <c r="BK34" s="119"/>
      <c r="BL34" s="119"/>
      <c r="BM34" s="77"/>
      <c r="BN34" s="86"/>
      <c r="BO34" s="86"/>
      <c r="BP34" s="85"/>
      <c r="BQ34" s="85"/>
      <c r="BR34" s="77"/>
    </row>
    <row r="35" spans="8:70" x14ac:dyDescent="0.3">
      <c r="H35" s="80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8"/>
      <c r="Y35" s="99"/>
      <c r="Z35" s="99"/>
      <c r="AA35" s="100"/>
      <c r="AB35" s="100"/>
      <c r="AC35" s="100"/>
      <c r="AD35" s="53"/>
      <c r="AE35" s="54"/>
      <c r="AF35" s="54"/>
      <c r="AG35" s="55"/>
      <c r="AH35" s="55"/>
      <c r="AI35" s="55"/>
      <c r="AJ35" s="110"/>
      <c r="AK35" s="111"/>
      <c r="AL35" s="111"/>
      <c r="AM35" s="112"/>
      <c r="AN35" s="112"/>
      <c r="AO35" s="77"/>
      <c r="AP35" s="86"/>
      <c r="AQ35" s="86"/>
      <c r="AR35" s="85"/>
      <c r="AS35" s="77"/>
      <c r="AT35" s="77"/>
      <c r="AU35" s="77"/>
      <c r="AV35" s="119"/>
      <c r="AW35" s="129"/>
      <c r="AX35" s="129"/>
      <c r="AY35" s="125"/>
      <c r="AZ35" s="119"/>
      <c r="BA35" s="47"/>
      <c r="BB35" s="48"/>
      <c r="BC35" s="48"/>
      <c r="BD35" s="49"/>
      <c r="BE35" s="49"/>
      <c r="BF35" s="49"/>
      <c r="BG35" s="129"/>
      <c r="BH35" s="129"/>
      <c r="BI35" s="129"/>
      <c r="BJ35" s="125"/>
      <c r="BK35" s="119"/>
      <c r="BL35" s="119"/>
      <c r="BM35" s="77"/>
      <c r="BN35" s="86"/>
      <c r="BO35" s="86"/>
      <c r="BP35" s="85"/>
      <c r="BQ35" s="85"/>
      <c r="BR35" s="77"/>
    </row>
    <row r="36" spans="8:70" x14ac:dyDescent="0.3">
      <c r="H36" s="80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8"/>
      <c r="Y36" s="99"/>
      <c r="Z36" s="99"/>
      <c r="AA36" s="100"/>
      <c r="AB36" s="100"/>
      <c r="AC36" s="100"/>
      <c r="AD36" s="53"/>
      <c r="AE36" s="54"/>
      <c r="AF36" s="54"/>
      <c r="AG36" s="55"/>
      <c r="AH36" s="55"/>
      <c r="AI36" s="55"/>
      <c r="AJ36" s="110"/>
      <c r="AK36" s="111"/>
      <c r="AL36" s="111"/>
      <c r="AM36" s="112"/>
      <c r="AN36" s="112"/>
      <c r="AO36" s="77"/>
      <c r="AP36" s="86"/>
      <c r="AQ36" s="86"/>
      <c r="AR36" s="85"/>
      <c r="AS36" s="77"/>
      <c r="AT36" s="77"/>
      <c r="AU36" s="77"/>
      <c r="AV36" s="119"/>
      <c r="AW36" s="129"/>
      <c r="AX36" s="129"/>
      <c r="AY36" s="125"/>
      <c r="AZ36" s="119"/>
      <c r="BA36" s="47"/>
      <c r="BB36" s="48"/>
      <c r="BC36" s="48"/>
      <c r="BD36" s="49"/>
      <c r="BE36" s="49"/>
      <c r="BF36" s="49"/>
      <c r="BG36" s="129"/>
      <c r="BH36" s="129"/>
      <c r="BI36" s="129"/>
      <c r="BJ36" s="125"/>
      <c r="BK36" s="119"/>
      <c r="BL36" s="119"/>
      <c r="BM36" s="77"/>
      <c r="BN36" s="86"/>
      <c r="BO36" s="86"/>
      <c r="BP36" s="85"/>
      <c r="BQ36" s="85"/>
      <c r="BR36" s="77"/>
    </row>
    <row r="37" spans="8:70" x14ac:dyDescent="0.3">
      <c r="H37" s="80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8"/>
      <c r="Y37" s="99"/>
      <c r="Z37" s="99"/>
      <c r="AA37" s="100"/>
      <c r="AB37" s="100"/>
      <c r="AC37" s="100"/>
      <c r="AD37" s="53"/>
      <c r="AE37" s="54"/>
      <c r="AF37" s="54"/>
      <c r="AG37" s="55"/>
      <c r="AH37" s="55"/>
      <c r="AI37" s="55"/>
      <c r="AJ37" s="110"/>
      <c r="AK37" s="111"/>
      <c r="AL37" s="111"/>
      <c r="AM37" s="112"/>
      <c r="AN37" s="112"/>
      <c r="AO37" s="77"/>
      <c r="AP37" s="86"/>
      <c r="AQ37" s="86"/>
      <c r="AR37" s="85"/>
      <c r="AS37" s="77"/>
      <c r="AT37" s="77"/>
      <c r="AU37" s="77"/>
      <c r="AV37" s="119"/>
      <c r="AW37" s="129"/>
      <c r="AX37" s="129"/>
      <c r="AY37" s="125"/>
      <c r="AZ37" s="119"/>
      <c r="BA37" s="47"/>
      <c r="BB37" s="48"/>
      <c r="BC37" s="48"/>
      <c r="BD37" s="49"/>
      <c r="BE37" s="49"/>
      <c r="BF37" s="49"/>
      <c r="BG37" s="129"/>
      <c r="BH37" s="129"/>
      <c r="BI37" s="129"/>
      <c r="BJ37" s="125"/>
      <c r="BK37" s="119"/>
      <c r="BL37" s="119"/>
      <c r="BM37" s="77"/>
      <c r="BN37" s="86"/>
      <c r="BO37" s="86"/>
      <c r="BP37" s="85"/>
      <c r="BQ37" s="85"/>
      <c r="BR37" s="77"/>
    </row>
    <row r="38" spans="8:70" x14ac:dyDescent="0.3">
      <c r="H38" s="80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8"/>
      <c r="Y38" s="99"/>
      <c r="Z38" s="99"/>
      <c r="AA38" s="100"/>
      <c r="AB38" s="100"/>
      <c r="AC38" s="100"/>
      <c r="AD38" s="53"/>
      <c r="AE38" s="54"/>
      <c r="AF38" s="54"/>
      <c r="AG38" s="55"/>
      <c r="AH38" s="55"/>
      <c r="AI38" s="55"/>
      <c r="AJ38" s="110"/>
      <c r="AK38" s="111"/>
      <c r="AL38" s="111"/>
      <c r="AM38" s="112"/>
      <c r="AN38" s="112"/>
      <c r="AO38" s="77"/>
      <c r="AP38" s="86"/>
      <c r="AQ38" s="86"/>
      <c r="AR38" s="85"/>
      <c r="AS38" s="77"/>
      <c r="AT38" s="77"/>
      <c r="AU38" s="77"/>
      <c r="AV38" s="119"/>
      <c r="AW38" s="129"/>
      <c r="AX38" s="129"/>
      <c r="AY38" s="125"/>
      <c r="AZ38" s="119"/>
      <c r="BA38" s="47"/>
      <c r="BB38" s="48"/>
      <c r="BC38" s="48"/>
      <c r="BD38" s="49"/>
      <c r="BE38" s="49"/>
      <c r="BF38" s="49"/>
      <c r="BG38" s="129"/>
      <c r="BH38" s="129"/>
      <c r="BI38" s="129"/>
      <c r="BJ38" s="125"/>
      <c r="BK38" s="119"/>
      <c r="BL38" s="119"/>
      <c r="BM38" s="77"/>
      <c r="BN38" s="86"/>
      <c r="BO38" s="86"/>
      <c r="BP38" s="85"/>
      <c r="BQ38" s="85"/>
      <c r="BR38" s="77"/>
    </row>
    <row r="39" spans="8:70" x14ac:dyDescent="0.3">
      <c r="H39" s="80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8"/>
      <c r="Y39" s="99"/>
      <c r="Z39" s="99"/>
      <c r="AA39" s="100"/>
      <c r="AB39" s="100"/>
      <c r="AC39" s="100"/>
      <c r="AD39" s="53"/>
      <c r="AE39" s="54"/>
      <c r="AF39" s="54"/>
      <c r="AG39" s="55"/>
      <c r="AH39" s="55"/>
      <c r="AI39" s="55"/>
      <c r="AJ39" s="110"/>
      <c r="AK39" s="111"/>
      <c r="AL39" s="111"/>
      <c r="AM39" s="112"/>
      <c r="AN39" s="112"/>
      <c r="AO39" s="77"/>
      <c r="AP39" s="86"/>
      <c r="AQ39" s="86"/>
      <c r="AR39" s="85"/>
      <c r="AS39" s="77"/>
      <c r="AT39" s="77"/>
      <c r="AU39" s="77"/>
      <c r="AV39" s="119"/>
      <c r="AW39" s="129"/>
      <c r="AX39" s="129"/>
      <c r="AY39" s="125"/>
      <c r="AZ39" s="119"/>
      <c r="BA39" s="47"/>
      <c r="BB39" s="48"/>
      <c r="BC39" s="48"/>
      <c r="BD39" s="49"/>
      <c r="BE39" s="49"/>
      <c r="BF39" s="49"/>
      <c r="BG39" s="129"/>
      <c r="BH39" s="129"/>
      <c r="BI39" s="129"/>
      <c r="BJ39" s="125"/>
      <c r="BK39" s="119"/>
      <c r="BL39" s="119"/>
      <c r="BM39" s="77"/>
      <c r="BN39" s="86"/>
      <c r="BO39" s="86"/>
      <c r="BP39" s="85"/>
      <c r="BQ39" s="85"/>
      <c r="BR39" s="77"/>
    </row>
    <row r="40" spans="8:70" x14ac:dyDescent="0.3">
      <c r="H40" s="80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8"/>
      <c r="Y40" s="99"/>
      <c r="Z40" s="99"/>
      <c r="AA40" s="100"/>
      <c r="AB40" s="100"/>
      <c r="AC40" s="100"/>
      <c r="AD40" s="53"/>
      <c r="AE40" s="54"/>
      <c r="AF40" s="54"/>
      <c r="AG40" s="55"/>
      <c r="AH40" s="55"/>
      <c r="AI40" s="55"/>
      <c r="AJ40" s="110"/>
      <c r="AK40" s="111"/>
      <c r="AL40" s="111"/>
      <c r="AM40" s="112"/>
      <c r="AN40" s="112"/>
      <c r="AO40" s="77"/>
      <c r="AP40" s="86"/>
      <c r="AQ40" s="86"/>
      <c r="AR40" s="85"/>
      <c r="AS40" s="77"/>
      <c r="AT40" s="77"/>
      <c r="AU40" s="77"/>
      <c r="AV40" s="119"/>
      <c r="AW40" s="129"/>
      <c r="AX40" s="129"/>
      <c r="AY40" s="125"/>
      <c r="AZ40" s="119"/>
      <c r="BA40" s="47"/>
      <c r="BB40" s="48"/>
      <c r="BC40" s="48"/>
      <c r="BD40" s="49"/>
      <c r="BE40" s="49"/>
      <c r="BF40" s="49"/>
      <c r="BG40" s="129"/>
      <c r="BH40" s="129"/>
      <c r="BI40" s="129"/>
      <c r="BJ40" s="125"/>
      <c r="BK40" s="119"/>
      <c r="BL40" s="119"/>
      <c r="BM40" s="77"/>
      <c r="BN40" s="86"/>
      <c r="BO40" s="86"/>
      <c r="BP40" s="85"/>
      <c r="BQ40" s="85"/>
      <c r="BR40" s="77"/>
    </row>
    <row r="41" spans="8:70" x14ac:dyDescent="0.3">
      <c r="H41" s="80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8"/>
      <c r="Y41" s="99"/>
      <c r="Z41" s="99"/>
      <c r="AA41" s="100"/>
      <c r="AB41" s="100"/>
      <c r="AC41" s="100"/>
      <c r="AD41" s="53"/>
      <c r="AE41" s="54"/>
      <c r="AF41" s="54"/>
      <c r="AG41" s="55"/>
      <c r="AH41" s="55"/>
      <c r="AI41" s="55"/>
      <c r="AJ41" s="110"/>
      <c r="AK41" s="111"/>
      <c r="AL41" s="111"/>
      <c r="AM41" s="112"/>
      <c r="AN41" s="112"/>
      <c r="AO41" s="77"/>
      <c r="AP41" s="86"/>
      <c r="AQ41" s="86"/>
      <c r="AR41" s="85"/>
      <c r="AS41" s="77"/>
      <c r="AT41" s="77"/>
      <c r="AU41" s="77"/>
      <c r="AV41" s="119"/>
      <c r="AW41" s="129"/>
      <c r="AX41" s="129"/>
      <c r="AY41" s="125"/>
      <c r="AZ41" s="119"/>
      <c r="BA41" s="47"/>
      <c r="BB41" s="48"/>
      <c r="BC41" s="48"/>
      <c r="BD41" s="49"/>
      <c r="BE41" s="49"/>
      <c r="BF41" s="49"/>
      <c r="BG41" s="129"/>
      <c r="BH41" s="129"/>
      <c r="BI41" s="129"/>
      <c r="BJ41" s="125"/>
      <c r="BK41" s="119"/>
      <c r="BL41" s="119"/>
      <c r="BM41" s="77"/>
      <c r="BN41" s="86"/>
      <c r="BO41" s="86"/>
      <c r="BP41" s="85"/>
      <c r="BQ41" s="85"/>
      <c r="BR41" s="77"/>
    </row>
    <row r="42" spans="8:70" x14ac:dyDescent="0.3">
      <c r="H42" s="80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8"/>
      <c r="Y42" s="99"/>
      <c r="Z42" s="99"/>
      <c r="AA42" s="100"/>
      <c r="AB42" s="100"/>
      <c r="AC42" s="100"/>
      <c r="AD42" s="53"/>
      <c r="AE42" s="54"/>
      <c r="AF42" s="54"/>
      <c r="AG42" s="55"/>
      <c r="AH42" s="55"/>
      <c r="AI42" s="55"/>
      <c r="AJ42" s="110"/>
      <c r="AK42" s="111"/>
      <c r="AL42" s="111"/>
      <c r="AM42" s="112"/>
      <c r="AN42" s="112"/>
      <c r="AO42" s="77"/>
      <c r="AP42" s="86"/>
      <c r="AQ42" s="86"/>
      <c r="AR42" s="85"/>
      <c r="AS42" s="77"/>
      <c r="AT42" s="77"/>
      <c r="AU42" s="77"/>
      <c r="AV42" s="119"/>
      <c r="AW42" s="129"/>
      <c r="AX42" s="129"/>
      <c r="AY42" s="125"/>
      <c r="AZ42" s="119"/>
      <c r="BA42" s="47"/>
      <c r="BB42" s="48"/>
      <c r="BC42" s="48"/>
      <c r="BD42" s="49"/>
      <c r="BE42" s="49"/>
      <c r="BF42" s="49"/>
      <c r="BG42" s="129"/>
      <c r="BH42" s="129"/>
      <c r="BI42" s="129"/>
      <c r="BJ42" s="125"/>
      <c r="BK42" s="119"/>
      <c r="BL42" s="119"/>
      <c r="BM42" s="77"/>
      <c r="BN42" s="86"/>
      <c r="BO42" s="86"/>
      <c r="BP42" s="85"/>
      <c r="BQ42" s="85"/>
      <c r="BR42" s="77"/>
    </row>
    <row r="43" spans="8:70" x14ac:dyDescent="0.3">
      <c r="H43" s="80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8"/>
      <c r="Y43" s="99"/>
      <c r="Z43" s="99"/>
      <c r="AA43" s="100"/>
      <c r="AB43" s="100"/>
      <c r="AC43" s="100"/>
      <c r="AD43" s="53"/>
      <c r="AE43" s="54"/>
      <c r="AF43" s="54"/>
      <c r="AG43" s="55"/>
      <c r="AH43" s="55"/>
      <c r="AI43" s="55"/>
      <c r="AJ43" s="110"/>
      <c r="AK43" s="111"/>
      <c r="AL43" s="111"/>
      <c r="AM43" s="112"/>
      <c r="AN43" s="112"/>
      <c r="AO43" s="77"/>
      <c r="AP43" s="86"/>
      <c r="AQ43" s="86"/>
      <c r="AR43" s="85"/>
      <c r="AS43" s="77"/>
      <c r="AT43" s="77"/>
      <c r="AU43" s="77"/>
      <c r="AV43" s="119"/>
      <c r="AW43" s="129"/>
      <c r="AX43" s="129"/>
      <c r="AY43" s="125"/>
      <c r="AZ43" s="119"/>
      <c r="BA43" s="47"/>
      <c r="BB43" s="48"/>
      <c r="BC43" s="48"/>
      <c r="BD43" s="49"/>
      <c r="BE43" s="49"/>
      <c r="BF43" s="49"/>
      <c r="BG43" s="129"/>
      <c r="BH43" s="129"/>
      <c r="BI43" s="129"/>
      <c r="BJ43" s="125"/>
      <c r="BK43" s="119"/>
      <c r="BL43" s="119"/>
      <c r="BM43" s="77"/>
      <c r="BN43" s="86"/>
      <c r="BO43" s="86"/>
      <c r="BP43" s="85"/>
      <c r="BQ43" s="85"/>
      <c r="BR43" s="77"/>
    </row>
    <row r="44" spans="8:70" x14ac:dyDescent="0.3">
      <c r="H44" s="80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8"/>
      <c r="Y44" s="99"/>
      <c r="Z44" s="99"/>
      <c r="AA44" s="100"/>
      <c r="AB44" s="100"/>
      <c r="AC44" s="100"/>
      <c r="AD44" s="53"/>
      <c r="AE44" s="54"/>
      <c r="AF44" s="54"/>
      <c r="AG44" s="55"/>
      <c r="AH44" s="55"/>
      <c r="AI44" s="55"/>
      <c r="AJ44" s="110"/>
      <c r="AK44" s="111"/>
      <c r="AL44" s="111"/>
      <c r="AM44" s="112"/>
      <c r="AN44" s="112"/>
      <c r="AO44" s="77"/>
      <c r="AP44" s="86"/>
      <c r="AQ44" s="86"/>
      <c r="AR44" s="85"/>
      <c r="AS44" s="77"/>
      <c r="AT44" s="77"/>
      <c r="AU44" s="77"/>
      <c r="AV44" s="119"/>
      <c r="AW44" s="129"/>
      <c r="AX44" s="129"/>
      <c r="AY44" s="125"/>
      <c r="AZ44" s="119"/>
      <c r="BA44" s="47"/>
      <c r="BB44" s="48"/>
      <c r="BC44" s="48"/>
      <c r="BD44" s="49"/>
      <c r="BE44" s="49"/>
      <c r="BF44" s="49"/>
      <c r="BG44" s="129"/>
      <c r="BH44" s="129"/>
      <c r="BI44" s="129"/>
      <c r="BJ44" s="125"/>
      <c r="BK44" s="119"/>
      <c r="BL44" s="119"/>
      <c r="BM44" s="77"/>
      <c r="BN44" s="86"/>
      <c r="BO44" s="86"/>
      <c r="BP44" s="85"/>
      <c r="BQ44" s="85"/>
      <c r="BR44" s="77"/>
    </row>
    <row r="45" spans="8:70" x14ac:dyDescent="0.3">
      <c r="H45" s="80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8"/>
      <c r="Y45" s="99"/>
      <c r="Z45" s="99"/>
      <c r="AA45" s="100"/>
      <c r="AB45" s="100"/>
      <c r="AC45" s="100"/>
      <c r="AD45" s="53"/>
      <c r="AE45" s="54"/>
      <c r="AF45" s="54"/>
      <c r="AG45" s="55"/>
      <c r="AH45" s="55"/>
      <c r="AI45" s="55"/>
      <c r="AJ45" s="110"/>
      <c r="AK45" s="111"/>
      <c r="AL45" s="111"/>
      <c r="AM45" s="112"/>
      <c r="AN45" s="112"/>
      <c r="AO45" s="77"/>
      <c r="AP45" s="86"/>
      <c r="AQ45" s="86"/>
      <c r="AR45" s="85"/>
      <c r="AS45" s="77"/>
      <c r="AT45" s="77"/>
      <c r="AU45" s="77"/>
      <c r="AV45" s="119"/>
      <c r="AW45" s="129"/>
      <c r="AX45" s="129"/>
      <c r="AY45" s="125"/>
      <c r="AZ45" s="119"/>
      <c r="BA45" s="47"/>
      <c r="BB45" s="48"/>
      <c r="BC45" s="48"/>
      <c r="BD45" s="49"/>
      <c r="BE45" s="49"/>
      <c r="BF45" s="49"/>
      <c r="BG45" s="129"/>
      <c r="BH45" s="129"/>
      <c r="BI45" s="129"/>
      <c r="BJ45" s="125"/>
      <c r="BK45" s="119"/>
      <c r="BL45" s="119"/>
      <c r="BM45" s="77"/>
      <c r="BN45" s="86"/>
      <c r="BO45" s="86"/>
      <c r="BP45" s="85"/>
      <c r="BQ45" s="85"/>
      <c r="BR45" s="77"/>
    </row>
    <row r="46" spans="8:70" x14ac:dyDescent="0.3">
      <c r="H46" s="80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8"/>
      <c r="Y46" s="99"/>
      <c r="Z46" s="99"/>
      <c r="AA46" s="100"/>
      <c r="AB46" s="100"/>
      <c r="AC46" s="100"/>
      <c r="AD46" s="53"/>
      <c r="AE46" s="54"/>
      <c r="AF46" s="54"/>
      <c r="AG46" s="55"/>
      <c r="AH46" s="55"/>
      <c r="AI46" s="55"/>
      <c r="AJ46" s="110"/>
      <c r="AK46" s="111"/>
      <c r="AL46" s="111"/>
      <c r="AM46" s="112"/>
      <c r="AN46" s="112"/>
      <c r="AO46" s="77"/>
      <c r="AP46" s="86"/>
      <c r="AQ46" s="86"/>
      <c r="AR46" s="85"/>
      <c r="AS46" s="77"/>
      <c r="AT46" s="77"/>
      <c r="AU46" s="77"/>
      <c r="AV46" s="119"/>
      <c r="AW46" s="129"/>
      <c r="AX46" s="129"/>
      <c r="AY46" s="125"/>
      <c r="AZ46" s="119"/>
      <c r="BA46" s="47"/>
      <c r="BB46" s="48"/>
      <c r="BC46" s="48"/>
      <c r="BD46" s="49"/>
      <c r="BE46" s="49"/>
      <c r="BF46" s="49"/>
      <c r="BG46" s="129"/>
      <c r="BH46" s="129"/>
      <c r="BI46" s="129"/>
      <c r="BJ46" s="125"/>
      <c r="BK46" s="119"/>
      <c r="BL46" s="119"/>
      <c r="BM46" s="77"/>
      <c r="BN46" s="86"/>
      <c r="BO46" s="86"/>
      <c r="BP46" s="85"/>
      <c r="BQ46" s="85"/>
      <c r="BR46" s="77"/>
    </row>
    <row r="47" spans="8:70" x14ac:dyDescent="0.3">
      <c r="H47" s="80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8"/>
      <c r="Y47" s="99"/>
      <c r="Z47" s="99"/>
      <c r="AA47" s="100"/>
      <c r="AB47" s="100"/>
      <c r="AC47" s="100"/>
      <c r="AD47" s="53"/>
      <c r="AE47" s="54"/>
      <c r="AF47" s="54"/>
      <c r="AG47" s="55"/>
      <c r="AH47" s="55"/>
      <c r="AI47" s="55"/>
      <c r="AJ47" s="110"/>
      <c r="AK47" s="111"/>
      <c r="AL47" s="111"/>
      <c r="AM47" s="112"/>
      <c r="AN47" s="112"/>
      <c r="AO47" s="77"/>
      <c r="AP47" s="86"/>
      <c r="AQ47" s="86"/>
      <c r="AR47" s="85"/>
      <c r="AS47" s="77"/>
      <c r="AT47" s="77"/>
      <c r="AU47" s="77"/>
      <c r="AV47" s="119"/>
      <c r="AW47" s="129"/>
      <c r="AX47" s="129"/>
      <c r="AY47" s="125"/>
      <c r="AZ47" s="119"/>
      <c r="BA47" s="47"/>
      <c r="BB47" s="48"/>
      <c r="BC47" s="48"/>
      <c r="BD47" s="49"/>
      <c r="BE47" s="49"/>
      <c r="BF47" s="49"/>
      <c r="BG47" s="129"/>
      <c r="BH47" s="129"/>
      <c r="BI47" s="129"/>
      <c r="BJ47" s="125"/>
      <c r="BK47" s="119"/>
      <c r="BL47" s="119"/>
      <c r="BM47" s="77"/>
      <c r="BN47" s="86"/>
      <c r="BO47" s="86"/>
      <c r="BP47" s="85"/>
      <c r="BQ47" s="85"/>
      <c r="BR47" s="77"/>
    </row>
    <row r="48" spans="8:70" x14ac:dyDescent="0.3">
      <c r="H48" s="80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8"/>
      <c r="Y48" s="99"/>
      <c r="Z48" s="99"/>
      <c r="AA48" s="100"/>
      <c r="AB48" s="100"/>
      <c r="AC48" s="100"/>
      <c r="AD48" s="53"/>
      <c r="AE48" s="54"/>
      <c r="AF48" s="54"/>
      <c r="AG48" s="55"/>
      <c r="AH48" s="55"/>
      <c r="AI48" s="55"/>
      <c r="AJ48" s="110"/>
      <c r="AK48" s="111"/>
      <c r="AL48" s="111"/>
      <c r="AM48" s="112"/>
      <c r="AN48" s="112"/>
      <c r="AO48" s="77"/>
      <c r="AP48" s="86"/>
      <c r="AQ48" s="86"/>
      <c r="AR48" s="85"/>
      <c r="AS48" s="77"/>
      <c r="AT48" s="77"/>
      <c r="AU48" s="77"/>
      <c r="AV48" s="119"/>
      <c r="AW48" s="129"/>
      <c r="AX48" s="129"/>
      <c r="AY48" s="125"/>
      <c r="AZ48" s="119"/>
      <c r="BA48" s="47"/>
      <c r="BB48" s="48"/>
      <c r="BC48" s="48"/>
      <c r="BD48" s="49"/>
      <c r="BE48" s="49"/>
      <c r="BF48" s="49"/>
      <c r="BG48" s="129"/>
      <c r="BH48" s="129"/>
      <c r="BI48" s="129"/>
      <c r="BJ48" s="125"/>
      <c r="BK48" s="119"/>
      <c r="BL48" s="119"/>
      <c r="BM48" s="77"/>
      <c r="BN48" s="86"/>
      <c r="BO48" s="86"/>
      <c r="BP48" s="85"/>
      <c r="BQ48" s="85"/>
      <c r="BR48" s="77"/>
    </row>
    <row r="49" spans="8:70" x14ac:dyDescent="0.3">
      <c r="H49" s="80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8"/>
      <c r="Y49" s="99"/>
      <c r="Z49" s="99"/>
      <c r="AA49" s="100"/>
      <c r="AB49" s="100"/>
      <c r="AC49" s="100"/>
      <c r="AD49" s="53"/>
      <c r="AE49" s="54"/>
      <c r="AF49" s="54"/>
      <c r="AG49" s="55"/>
      <c r="AH49" s="55"/>
      <c r="AI49" s="55"/>
      <c r="AJ49" s="110"/>
      <c r="AK49" s="111"/>
      <c r="AL49" s="111"/>
      <c r="AM49" s="112"/>
      <c r="AN49" s="112"/>
      <c r="AO49" s="77"/>
      <c r="AP49" s="86"/>
      <c r="AQ49" s="86"/>
      <c r="AR49" s="85"/>
      <c r="AS49" s="77"/>
      <c r="AT49" s="77"/>
      <c r="AU49" s="77"/>
      <c r="AV49" s="119"/>
      <c r="AW49" s="129"/>
      <c r="AX49" s="129"/>
      <c r="AY49" s="125"/>
      <c r="AZ49" s="119"/>
      <c r="BA49" s="47"/>
      <c r="BB49" s="48"/>
      <c r="BC49" s="48"/>
      <c r="BD49" s="49"/>
      <c r="BE49" s="49"/>
      <c r="BF49" s="49"/>
      <c r="BG49" s="129"/>
      <c r="BH49" s="129"/>
      <c r="BI49" s="129"/>
      <c r="BJ49" s="125"/>
      <c r="BK49" s="119"/>
      <c r="BL49" s="119"/>
      <c r="BM49" s="77"/>
      <c r="BN49" s="86"/>
      <c r="BO49" s="86"/>
      <c r="BP49" s="85"/>
      <c r="BQ49" s="85"/>
      <c r="BR49" s="77"/>
    </row>
    <row r="50" spans="8:70" x14ac:dyDescent="0.3">
      <c r="H50" s="80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8"/>
      <c r="Y50" s="99"/>
      <c r="Z50" s="99"/>
      <c r="AA50" s="100"/>
      <c r="AB50" s="100"/>
      <c r="AC50" s="100"/>
      <c r="AD50" s="53"/>
      <c r="AE50" s="54"/>
      <c r="AF50" s="54"/>
      <c r="AG50" s="55"/>
      <c r="AH50" s="55"/>
      <c r="AI50" s="55"/>
      <c r="AJ50" s="110"/>
      <c r="AK50" s="111"/>
      <c r="AL50" s="111"/>
      <c r="AM50" s="112"/>
      <c r="AN50" s="112"/>
      <c r="AO50" s="77"/>
      <c r="AP50" s="86"/>
      <c r="AQ50" s="86"/>
      <c r="AR50" s="85"/>
      <c r="AS50" s="77"/>
      <c r="AT50" s="77"/>
      <c r="AU50" s="77"/>
      <c r="AV50" s="119"/>
      <c r="AW50" s="129"/>
      <c r="AX50" s="129"/>
      <c r="AY50" s="125"/>
      <c r="AZ50" s="119"/>
      <c r="BA50" s="47"/>
      <c r="BB50" s="48"/>
      <c r="BC50" s="48"/>
      <c r="BD50" s="49"/>
      <c r="BE50" s="49"/>
      <c r="BF50" s="49"/>
      <c r="BG50" s="129"/>
      <c r="BH50" s="129"/>
      <c r="BI50" s="129"/>
      <c r="BJ50" s="125"/>
      <c r="BK50" s="119"/>
      <c r="BL50" s="119"/>
      <c r="BM50" s="77"/>
      <c r="BN50" s="86"/>
      <c r="BO50" s="86"/>
      <c r="BP50" s="85"/>
      <c r="BQ50" s="85"/>
      <c r="BR50" s="77"/>
    </row>
    <row r="51" spans="8:70" x14ac:dyDescent="0.3">
      <c r="H51" s="80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8"/>
      <c r="Y51" s="99"/>
      <c r="Z51" s="99"/>
      <c r="AA51" s="100"/>
      <c r="AB51" s="100"/>
      <c r="AC51" s="100"/>
      <c r="AD51" s="53"/>
      <c r="AE51" s="54"/>
      <c r="AF51" s="54"/>
      <c r="AG51" s="55"/>
      <c r="AH51" s="55"/>
      <c r="AI51" s="55"/>
      <c r="AJ51" s="110"/>
      <c r="AK51" s="111"/>
      <c r="AL51" s="111"/>
      <c r="AM51" s="112"/>
      <c r="AN51" s="112"/>
      <c r="AO51" s="77"/>
      <c r="AP51" s="86"/>
      <c r="AQ51" s="86"/>
      <c r="AR51" s="85"/>
      <c r="AS51" s="77"/>
      <c r="AT51" s="77"/>
      <c r="AU51" s="77"/>
      <c r="AV51" s="119"/>
      <c r="AW51" s="129"/>
      <c r="AX51" s="129"/>
      <c r="AY51" s="125"/>
      <c r="AZ51" s="119"/>
      <c r="BA51" s="47"/>
      <c r="BB51" s="48"/>
      <c r="BC51" s="48"/>
      <c r="BD51" s="49"/>
      <c r="BE51" s="49"/>
      <c r="BF51" s="49"/>
      <c r="BG51" s="129"/>
      <c r="BH51" s="129"/>
      <c r="BI51" s="129"/>
      <c r="BJ51" s="125"/>
      <c r="BK51" s="119"/>
      <c r="BL51" s="119"/>
      <c r="BM51" s="77"/>
      <c r="BN51" s="86"/>
      <c r="BO51" s="86"/>
      <c r="BP51" s="85"/>
      <c r="BQ51" s="85"/>
      <c r="BR51" s="77"/>
    </row>
    <row r="52" spans="8:70" x14ac:dyDescent="0.3">
      <c r="H52" s="80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8"/>
      <c r="Y52" s="99"/>
      <c r="Z52" s="99"/>
      <c r="AA52" s="100"/>
      <c r="AB52" s="100"/>
      <c r="AC52" s="100"/>
      <c r="AD52" s="53"/>
      <c r="AE52" s="54"/>
      <c r="AF52" s="54"/>
      <c r="AG52" s="55"/>
      <c r="AH52" s="55"/>
      <c r="AI52" s="55"/>
      <c r="AJ52" s="110"/>
      <c r="AK52" s="111"/>
      <c r="AL52" s="111"/>
      <c r="AM52" s="112"/>
      <c r="AN52" s="112"/>
      <c r="AO52" s="77"/>
      <c r="AP52" s="86"/>
      <c r="AQ52" s="86"/>
      <c r="AR52" s="85"/>
      <c r="AS52" s="77"/>
      <c r="AT52" s="77"/>
      <c r="AU52" s="77"/>
      <c r="AV52" s="119"/>
      <c r="AW52" s="129"/>
      <c r="AX52" s="129"/>
      <c r="AY52" s="125"/>
      <c r="AZ52" s="119"/>
      <c r="BA52" s="47"/>
      <c r="BB52" s="48"/>
      <c r="BC52" s="48"/>
      <c r="BD52" s="49"/>
      <c r="BE52" s="49"/>
      <c r="BF52" s="49"/>
      <c r="BG52" s="129"/>
      <c r="BH52" s="129"/>
      <c r="BI52" s="129"/>
      <c r="BJ52" s="125"/>
      <c r="BK52" s="119"/>
      <c r="BL52" s="119"/>
      <c r="BM52" s="77"/>
      <c r="BN52" s="86"/>
      <c r="BO52" s="86"/>
      <c r="BP52" s="85"/>
      <c r="BQ52" s="85"/>
      <c r="BR52" s="77"/>
    </row>
    <row r="53" spans="8:70" x14ac:dyDescent="0.3">
      <c r="H53" s="80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8"/>
      <c r="Y53" s="99"/>
      <c r="Z53" s="99"/>
      <c r="AA53" s="100"/>
      <c r="AB53" s="100"/>
      <c r="AC53" s="100"/>
      <c r="AD53" s="53"/>
      <c r="AE53" s="54"/>
      <c r="AF53" s="54"/>
      <c r="AG53" s="55"/>
      <c r="AH53" s="55"/>
      <c r="AI53" s="55"/>
      <c r="AJ53" s="110"/>
      <c r="AK53" s="111"/>
      <c r="AL53" s="111"/>
      <c r="AM53" s="112"/>
      <c r="AN53" s="112"/>
      <c r="AO53" s="77"/>
      <c r="AP53" s="86"/>
      <c r="AQ53" s="86"/>
      <c r="AR53" s="85"/>
      <c r="AS53" s="77"/>
      <c r="AT53" s="77"/>
      <c r="AU53" s="77"/>
      <c r="AV53" s="119"/>
      <c r="AW53" s="129"/>
      <c r="AX53" s="129"/>
      <c r="AY53" s="125"/>
      <c r="AZ53" s="119"/>
      <c r="BA53" s="47"/>
      <c r="BB53" s="48"/>
      <c r="BC53" s="48"/>
      <c r="BD53" s="49"/>
      <c r="BE53" s="49"/>
      <c r="BF53" s="49"/>
      <c r="BG53" s="129"/>
      <c r="BH53" s="129"/>
      <c r="BI53" s="129"/>
      <c r="BJ53" s="125"/>
      <c r="BK53" s="119"/>
      <c r="BL53" s="119"/>
      <c r="BM53" s="77"/>
      <c r="BN53" s="86"/>
      <c r="BO53" s="86"/>
      <c r="BP53" s="85"/>
      <c r="BQ53" s="85"/>
      <c r="BR53" s="77"/>
    </row>
    <row r="54" spans="8:70" x14ac:dyDescent="0.3">
      <c r="H54" s="80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8"/>
      <c r="Y54" s="99"/>
      <c r="Z54" s="99"/>
      <c r="AA54" s="100"/>
      <c r="AB54" s="100"/>
      <c r="AC54" s="100"/>
      <c r="AD54" s="53"/>
      <c r="AE54" s="54"/>
      <c r="AF54" s="54"/>
      <c r="AG54" s="55"/>
      <c r="AH54" s="55"/>
      <c r="AI54" s="55"/>
      <c r="AJ54" s="110"/>
      <c r="AK54" s="111"/>
      <c r="AL54" s="111"/>
      <c r="AM54" s="112"/>
      <c r="AN54" s="112"/>
      <c r="AO54" s="77"/>
      <c r="AP54" s="86"/>
      <c r="AQ54" s="86"/>
      <c r="AR54" s="85"/>
      <c r="AS54" s="77"/>
      <c r="AT54" s="77"/>
      <c r="AU54" s="77"/>
      <c r="AV54" s="119"/>
      <c r="AW54" s="129"/>
      <c r="AX54" s="129"/>
      <c r="AY54" s="125"/>
      <c r="AZ54" s="119"/>
      <c r="BA54" s="47"/>
      <c r="BB54" s="48"/>
      <c r="BC54" s="48"/>
      <c r="BD54" s="49"/>
      <c r="BE54" s="49"/>
      <c r="BF54" s="49"/>
      <c r="BG54" s="129"/>
      <c r="BH54" s="129"/>
      <c r="BI54" s="129"/>
      <c r="BJ54" s="125"/>
      <c r="BK54" s="119"/>
      <c r="BL54" s="119"/>
      <c r="BM54" s="77"/>
      <c r="BN54" s="86"/>
      <c r="BO54" s="86"/>
      <c r="BP54" s="85"/>
      <c r="BQ54" s="85"/>
      <c r="BR54" s="77"/>
    </row>
    <row r="55" spans="8:70" x14ac:dyDescent="0.3">
      <c r="H55" s="80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8"/>
      <c r="Y55" s="99"/>
      <c r="Z55" s="99"/>
      <c r="AA55" s="100"/>
      <c r="AB55" s="100"/>
      <c r="AC55" s="100"/>
      <c r="AD55" s="53"/>
      <c r="AE55" s="54"/>
      <c r="AF55" s="54"/>
      <c r="AG55" s="55"/>
      <c r="AH55" s="55"/>
      <c r="AI55" s="55"/>
      <c r="AJ55" s="110"/>
      <c r="AK55" s="111"/>
      <c r="AL55" s="111"/>
      <c r="AM55" s="112"/>
      <c r="AN55" s="112"/>
      <c r="AO55" s="77"/>
      <c r="AP55" s="86"/>
      <c r="AQ55" s="86"/>
      <c r="AR55" s="85"/>
      <c r="AS55" s="77"/>
      <c r="AT55" s="77"/>
      <c r="AU55" s="77"/>
      <c r="AV55" s="119"/>
      <c r="AW55" s="129"/>
      <c r="AX55" s="129"/>
      <c r="AY55" s="125"/>
      <c r="AZ55" s="119"/>
      <c r="BA55" s="47"/>
      <c r="BB55" s="48"/>
      <c r="BC55" s="48"/>
      <c r="BD55" s="49"/>
      <c r="BE55" s="49"/>
      <c r="BF55" s="49"/>
      <c r="BG55" s="129"/>
      <c r="BH55" s="129"/>
      <c r="BI55" s="129"/>
      <c r="BJ55" s="125"/>
      <c r="BK55" s="119"/>
      <c r="BL55" s="119"/>
      <c r="BM55" s="77"/>
      <c r="BN55" s="86"/>
      <c r="BO55" s="86"/>
      <c r="BP55" s="85"/>
      <c r="BQ55" s="85"/>
      <c r="BR55" s="77"/>
    </row>
    <row r="56" spans="8:70" x14ac:dyDescent="0.3">
      <c r="H56" s="80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8"/>
      <c r="Y56" s="99"/>
      <c r="Z56" s="99"/>
      <c r="AA56" s="100"/>
      <c r="AB56" s="100"/>
      <c r="AC56" s="100"/>
      <c r="AD56" s="53"/>
      <c r="AE56" s="54"/>
      <c r="AF56" s="54"/>
      <c r="AG56" s="55"/>
      <c r="AH56" s="55"/>
      <c r="AI56" s="55"/>
      <c r="AJ56" s="110"/>
      <c r="AK56" s="111"/>
      <c r="AL56" s="111"/>
      <c r="AM56" s="112"/>
      <c r="AN56" s="112"/>
      <c r="AO56" s="77"/>
      <c r="AP56" s="86"/>
      <c r="AQ56" s="86"/>
      <c r="AR56" s="85"/>
      <c r="AS56" s="77"/>
      <c r="AT56" s="77"/>
      <c r="AU56" s="77"/>
      <c r="AV56" s="119"/>
      <c r="AW56" s="129"/>
      <c r="AX56" s="129"/>
      <c r="AY56" s="125"/>
      <c r="AZ56" s="119"/>
      <c r="BA56" s="47"/>
      <c r="BB56" s="48"/>
      <c r="BC56" s="48"/>
      <c r="BD56" s="49"/>
      <c r="BE56" s="49"/>
      <c r="BF56" s="49"/>
      <c r="BG56" s="129"/>
      <c r="BH56" s="129"/>
      <c r="BI56" s="129"/>
      <c r="BJ56" s="125"/>
      <c r="BK56" s="119"/>
      <c r="BL56" s="119"/>
      <c r="BM56" s="77"/>
      <c r="BN56" s="86"/>
      <c r="BO56" s="86"/>
      <c r="BP56" s="85"/>
      <c r="BQ56" s="85"/>
      <c r="BR56" s="77"/>
    </row>
    <row r="57" spans="8:70" x14ac:dyDescent="0.3">
      <c r="H57" s="80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8"/>
      <c r="Y57" s="99"/>
      <c r="Z57" s="99"/>
      <c r="AA57" s="100"/>
      <c r="AB57" s="100"/>
      <c r="AC57" s="100"/>
      <c r="AD57" s="53"/>
      <c r="AE57" s="54"/>
      <c r="AF57" s="54"/>
      <c r="AG57" s="55"/>
      <c r="AH57" s="55"/>
      <c r="AI57" s="55"/>
      <c r="AJ57" s="110"/>
      <c r="AK57" s="111"/>
      <c r="AL57" s="111"/>
      <c r="AM57" s="112"/>
      <c r="AN57" s="112"/>
      <c r="AO57" s="77"/>
      <c r="AP57" s="86"/>
      <c r="AQ57" s="86"/>
      <c r="AR57" s="85"/>
      <c r="AS57" s="77"/>
      <c r="AT57" s="77"/>
      <c r="AU57" s="77"/>
      <c r="AV57" s="119"/>
      <c r="AW57" s="129"/>
      <c r="AX57" s="129"/>
      <c r="AY57" s="125"/>
      <c r="AZ57" s="119"/>
      <c r="BA57" s="47"/>
      <c r="BB57" s="48"/>
      <c r="BC57" s="48"/>
      <c r="BD57" s="49"/>
      <c r="BE57" s="49"/>
      <c r="BF57" s="49"/>
      <c r="BG57" s="129"/>
      <c r="BH57" s="129"/>
      <c r="BI57" s="129"/>
      <c r="BJ57" s="125"/>
      <c r="BK57" s="119"/>
      <c r="BL57" s="119"/>
      <c r="BM57" s="77"/>
      <c r="BN57" s="86"/>
      <c r="BO57" s="86"/>
      <c r="BP57" s="85"/>
      <c r="BQ57" s="85"/>
      <c r="BR57" s="77"/>
    </row>
    <row r="58" spans="8:70" x14ac:dyDescent="0.3">
      <c r="H58" s="80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8"/>
      <c r="Y58" s="99"/>
      <c r="Z58" s="99"/>
      <c r="AA58" s="100"/>
      <c r="AB58" s="100"/>
      <c r="AC58" s="100"/>
      <c r="AD58" s="53"/>
      <c r="AE58" s="54"/>
      <c r="AF58" s="54"/>
      <c r="AG58" s="55"/>
      <c r="AH58" s="55"/>
      <c r="AI58" s="55"/>
      <c r="AJ58" s="110"/>
      <c r="AK58" s="111"/>
      <c r="AL58" s="111"/>
      <c r="AM58" s="112"/>
      <c r="AN58" s="112"/>
      <c r="AO58" s="77"/>
      <c r="AP58" s="86"/>
      <c r="AQ58" s="86"/>
      <c r="AR58" s="85"/>
      <c r="AS58" s="77"/>
      <c r="AT58" s="77"/>
      <c r="AU58" s="77"/>
      <c r="AV58" s="119"/>
      <c r="AW58" s="129"/>
      <c r="AX58" s="129"/>
      <c r="AY58" s="125"/>
      <c r="AZ58" s="119"/>
      <c r="BA58" s="47"/>
      <c r="BB58" s="48"/>
      <c r="BC58" s="48"/>
      <c r="BD58" s="49"/>
      <c r="BE58" s="49"/>
      <c r="BF58" s="49"/>
      <c r="BG58" s="129"/>
      <c r="BH58" s="129"/>
      <c r="BI58" s="129"/>
      <c r="BJ58" s="125"/>
      <c r="BK58" s="119"/>
      <c r="BL58" s="119"/>
      <c r="BM58" s="77"/>
      <c r="BN58" s="86"/>
      <c r="BO58" s="86"/>
      <c r="BP58" s="85"/>
      <c r="BQ58" s="85"/>
      <c r="BR58" s="77"/>
    </row>
    <row r="59" spans="8:70" x14ac:dyDescent="0.3">
      <c r="H59" s="80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8"/>
      <c r="Y59" s="99"/>
      <c r="Z59" s="99"/>
      <c r="AA59" s="100"/>
      <c r="AB59" s="100"/>
      <c r="AC59" s="100"/>
      <c r="AD59" s="53"/>
      <c r="AE59" s="54"/>
      <c r="AF59" s="54"/>
      <c r="AG59" s="55"/>
      <c r="AH59" s="55"/>
      <c r="AI59" s="55"/>
      <c r="AJ59" s="110"/>
      <c r="AK59" s="111"/>
      <c r="AL59" s="111"/>
      <c r="AM59" s="112"/>
      <c r="AN59" s="112"/>
      <c r="AO59" s="77"/>
      <c r="AP59" s="86"/>
      <c r="AQ59" s="86"/>
      <c r="AR59" s="85"/>
      <c r="AS59" s="77"/>
      <c r="AT59" s="77"/>
      <c r="AU59" s="77"/>
      <c r="AV59" s="119"/>
      <c r="AW59" s="129"/>
      <c r="AX59" s="129"/>
      <c r="AY59" s="125"/>
      <c r="AZ59" s="119"/>
      <c r="BA59" s="47"/>
      <c r="BB59" s="48"/>
      <c r="BC59" s="48"/>
      <c r="BD59" s="49"/>
      <c r="BE59" s="49"/>
      <c r="BF59" s="49"/>
      <c r="BG59" s="129"/>
      <c r="BH59" s="129"/>
      <c r="BI59" s="129"/>
      <c r="BJ59" s="125"/>
      <c r="BK59" s="119"/>
      <c r="BL59" s="119"/>
      <c r="BM59" s="77"/>
      <c r="BN59" s="86"/>
      <c r="BO59" s="86"/>
      <c r="BP59" s="85"/>
      <c r="BQ59" s="85"/>
      <c r="BR59" s="77"/>
    </row>
    <row r="60" spans="8:70" x14ac:dyDescent="0.3">
      <c r="H60" s="80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8"/>
      <c r="Y60" s="99"/>
      <c r="Z60" s="99"/>
      <c r="AA60" s="100"/>
      <c r="AB60" s="100"/>
      <c r="AC60" s="100"/>
      <c r="AD60" s="53"/>
      <c r="AE60" s="54"/>
      <c r="AF60" s="54"/>
      <c r="AG60" s="55"/>
      <c r="AH60" s="55"/>
      <c r="AI60" s="55"/>
      <c r="AJ60" s="110"/>
      <c r="AK60" s="111"/>
      <c r="AL60" s="111"/>
      <c r="AM60" s="112"/>
      <c r="AN60" s="112"/>
      <c r="AO60" s="77"/>
      <c r="AP60" s="86"/>
      <c r="AQ60" s="86"/>
      <c r="AR60" s="85"/>
      <c r="AS60" s="77"/>
      <c r="AT60" s="77"/>
      <c r="AU60" s="77"/>
      <c r="AV60" s="119"/>
      <c r="AW60" s="129"/>
      <c r="AX60" s="129"/>
      <c r="AY60" s="125"/>
      <c r="AZ60" s="119"/>
      <c r="BA60" s="47"/>
      <c r="BB60" s="48"/>
      <c r="BC60" s="48"/>
      <c r="BD60" s="49"/>
      <c r="BE60" s="49"/>
      <c r="BF60" s="49"/>
      <c r="BG60" s="129"/>
      <c r="BH60" s="129"/>
      <c r="BI60" s="129"/>
      <c r="BJ60" s="125"/>
      <c r="BK60" s="119"/>
      <c r="BL60" s="119"/>
      <c r="BM60" s="77"/>
      <c r="BN60" s="86"/>
      <c r="BO60" s="86"/>
      <c r="BP60" s="85"/>
      <c r="BQ60" s="85"/>
      <c r="BR60" s="77"/>
    </row>
    <row r="61" spans="8:70" x14ac:dyDescent="0.3">
      <c r="H61" s="80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8"/>
      <c r="Y61" s="99"/>
      <c r="Z61" s="99"/>
      <c r="AA61" s="100"/>
      <c r="AB61" s="100"/>
      <c r="AC61" s="100"/>
      <c r="AD61" s="53"/>
      <c r="AE61" s="54"/>
      <c r="AF61" s="54"/>
      <c r="AG61" s="55"/>
      <c r="AH61" s="55"/>
      <c r="AI61" s="55"/>
      <c r="AJ61" s="110"/>
      <c r="AK61" s="111"/>
      <c r="AL61" s="111"/>
      <c r="AM61" s="112"/>
      <c r="AN61" s="112"/>
      <c r="AO61" s="77"/>
      <c r="AP61" s="86"/>
      <c r="AQ61" s="86"/>
      <c r="AR61" s="85"/>
      <c r="AS61" s="77"/>
      <c r="AT61" s="77"/>
      <c r="AU61" s="77"/>
      <c r="AV61" s="119"/>
      <c r="AW61" s="129"/>
      <c r="AX61" s="129"/>
      <c r="AY61" s="125"/>
      <c r="AZ61" s="119"/>
      <c r="BA61" s="47"/>
      <c r="BB61" s="48"/>
      <c r="BC61" s="48"/>
      <c r="BD61" s="49"/>
      <c r="BE61" s="49"/>
      <c r="BF61" s="49"/>
      <c r="BG61" s="129"/>
      <c r="BH61" s="129"/>
      <c r="BI61" s="129"/>
      <c r="BJ61" s="125"/>
      <c r="BK61" s="119"/>
      <c r="BL61" s="119"/>
      <c r="BM61" s="77"/>
      <c r="BN61" s="86"/>
      <c r="BO61" s="86"/>
      <c r="BP61" s="85"/>
      <c r="BQ61" s="85"/>
      <c r="BR61" s="77"/>
    </row>
    <row r="62" spans="8:70" x14ac:dyDescent="0.3">
      <c r="H62" s="80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8"/>
      <c r="Y62" s="99"/>
      <c r="Z62" s="99"/>
      <c r="AA62" s="100"/>
      <c r="AB62" s="100"/>
      <c r="AC62" s="100"/>
      <c r="AD62" s="53"/>
      <c r="AE62" s="54"/>
      <c r="AF62" s="54"/>
      <c r="AG62" s="55"/>
      <c r="AH62" s="55"/>
      <c r="AI62" s="55"/>
      <c r="AJ62" s="110"/>
      <c r="AK62" s="111"/>
      <c r="AL62" s="111"/>
      <c r="AM62" s="112"/>
      <c r="AN62" s="112"/>
      <c r="AO62" s="77"/>
      <c r="AP62" s="86"/>
      <c r="AQ62" s="86"/>
      <c r="AR62" s="85"/>
      <c r="AS62" s="77"/>
      <c r="AT62" s="77"/>
      <c r="AU62" s="77"/>
      <c r="AV62" s="119"/>
      <c r="AW62" s="129"/>
      <c r="AX62" s="129"/>
      <c r="AY62" s="125"/>
      <c r="AZ62" s="119"/>
      <c r="BA62" s="47"/>
      <c r="BB62" s="48"/>
      <c r="BC62" s="48"/>
      <c r="BD62" s="49"/>
      <c r="BE62" s="49"/>
      <c r="BF62" s="49"/>
      <c r="BG62" s="129"/>
      <c r="BH62" s="129"/>
      <c r="BI62" s="129"/>
      <c r="BJ62" s="125"/>
      <c r="BK62" s="119"/>
      <c r="BL62" s="119"/>
      <c r="BM62" s="77"/>
      <c r="BN62" s="86"/>
      <c r="BO62" s="86"/>
      <c r="BP62" s="85"/>
      <c r="BQ62" s="85"/>
      <c r="BR62" s="77"/>
    </row>
    <row r="63" spans="8:70" x14ac:dyDescent="0.3">
      <c r="H63" s="80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8"/>
      <c r="Y63" s="99"/>
      <c r="Z63" s="99"/>
      <c r="AA63" s="100"/>
      <c r="AB63" s="100"/>
      <c r="AC63" s="100"/>
      <c r="AD63" s="53"/>
      <c r="AE63" s="54"/>
      <c r="AF63" s="54"/>
      <c r="AG63" s="55"/>
      <c r="AH63" s="55"/>
      <c r="AI63" s="55"/>
      <c r="AJ63" s="110"/>
      <c r="AK63" s="111"/>
      <c r="AL63" s="111"/>
      <c r="AM63" s="112"/>
      <c r="AN63" s="112"/>
      <c r="AO63" s="77"/>
      <c r="AP63" s="86"/>
      <c r="AQ63" s="86"/>
      <c r="AR63" s="85"/>
      <c r="AS63" s="77"/>
      <c r="AT63" s="77"/>
      <c r="AU63" s="77"/>
      <c r="AV63" s="119"/>
      <c r="AW63" s="129"/>
      <c r="AX63" s="129"/>
      <c r="AY63" s="125"/>
      <c r="AZ63" s="119"/>
      <c r="BA63" s="47"/>
      <c r="BB63" s="48"/>
      <c r="BC63" s="48"/>
      <c r="BD63" s="49"/>
      <c r="BE63" s="49"/>
      <c r="BF63" s="49"/>
      <c r="BG63" s="129"/>
      <c r="BH63" s="129"/>
      <c r="BI63" s="129"/>
      <c r="BJ63" s="125"/>
      <c r="BK63" s="119"/>
      <c r="BL63" s="119"/>
      <c r="BM63" s="77"/>
      <c r="BN63" s="86"/>
      <c r="BO63" s="86"/>
      <c r="BP63" s="85"/>
      <c r="BQ63" s="85"/>
      <c r="BR63" s="77"/>
    </row>
    <row r="64" spans="8:70" x14ac:dyDescent="0.3">
      <c r="H64" s="80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8"/>
      <c r="Y64" s="99"/>
      <c r="Z64" s="99"/>
      <c r="AA64" s="100"/>
      <c r="AB64" s="100"/>
      <c r="AC64" s="100"/>
      <c r="AD64" s="53"/>
      <c r="AE64" s="54"/>
      <c r="AF64" s="54"/>
      <c r="AG64" s="55"/>
      <c r="AH64" s="55"/>
      <c r="AI64" s="55"/>
      <c r="AJ64" s="110"/>
      <c r="AK64" s="111"/>
      <c r="AL64" s="111"/>
      <c r="AM64" s="112"/>
      <c r="AN64" s="112"/>
      <c r="AO64" s="77"/>
      <c r="AP64" s="86"/>
      <c r="AQ64" s="86"/>
      <c r="AR64" s="85"/>
      <c r="AS64" s="77"/>
      <c r="AT64" s="77"/>
      <c r="AU64" s="77"/>
      <c r="AV64" s="119"/>
      <c r="AW64" s="129"/>
      <c r="AX64" s="129"/>
      <c r="AY64" s="125"/>
      <c r="AZ64" s="119"/>
      <c r="BA64" s="47"/>
      <c r="BB64" s="48"/>
      <c r="BC64" s="48"/>
      <c r="BD64" s="49"/>
      <c r="BE64" s="49"/>
      <c r="BF64" s="49"/>
      <c r="BG64" s="129"/>
      <c r="BH64" s="129"/>
      <c r="BI64" s="129"/>
      <c r="BJ64" s="125"/>
      <c r="BK64" s="119"/>
      <c r="BL64" s="119"/>
      <c r="BM64" s="77"/>
      <c r="BN64" s="86"/>
      <c r="BO64" s="86"/>
      <c r="BP64" s="85"/>
      <c r="BQ64" s="85"/>
      <c r="BR64" s="77"/>
    </row>
    <row r="65" spans="8:70" x14ac:dyDescent="0.3">
      <c r="H65" s="80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8"/>
      <c r="Y65" s="99"/>
      <c r="Z65" s="99"/>
      <c r="AA65" s="100"/>
      <c r="AB65" s="100"/>
      <c r="AC65" s="100"/>
      <c r="AD65" s="53"/>
      <c r="AE65" s="54"/>
      <c r="AF65" s="54"/>
      <c r="AG65" s="55"/>
      <c r="AH65" s="55"/>
      <c r="AI65" s="55"/>
      <c r="AJ65" s="110"/>
      <c r="AK65" s="111"/>
      <c r="AL65" s="111"/>
      <c r="AM65" s="112"/>
      <c r="AN65" s="112"/>
      <c r="AO65" s="77"/>
      <c r="AP65" s="86"/>
      <c r="AQ65" s="86"/>
      <c r="AR65" s="85"/>
      <c r="AS65" s="77"/>
      <c r="AT65" s="77"/>
      <c r="AU65" s="77"/>
      <c r="AV65" s="119"/>
      <c r="AW65" s="129"/>
      <c r="AX65" s="129"/>
      <c r="AY65" s="125"/>
      <c r="AZ65" s="119"/>
      <c r="BA65" s="47"/>
      <c r="BB65" s="48"/>
      <c r="BC65" s="48"/>
      <c r="BD65" s="49"/>
      <c r="BE65" s="49"/>
      <c r="BF65" s="49"/>
      <c r="BG65" s="129"/>
      <c r="BH65" s="129"/>
      <c r="BI65" s="129"/>
      <c r="BJ65" s="125"/>
      <c r="BK65" s="119"/>
      <c r="BL65" s="119"/>
      <c r="BM65" s="77"/>
      <c r="BN65" s="86"/>
      <c r="BO65" s="86"/>
      <c r="BP65" s="85"/>
      <c r="BQ65" s="85"/>
      <c r="BR65" s="77"/>
    </row>
    <row r="66" spans="8:70" x14ac:dyDescent="0.3">
      <c r="H66" s="80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8"/>
      <c r="Y66" s="99"/>
      <c r="Z66" s="99"/>
      <c r="AA66" s="100"/>
      <c r="AB66" s="100"/>
      <c r="AC66" s="100"/>
      <c r="AD66" s="53"/>
      <c r="AE66" s="54"/>
      <c r="AF66" s="54"/>
      <c r="AG66" s="55"/>
      <c r="AH66" s="55"/>
      <c r="AI66" s="55"/>
      <c r="AJ66" s="110"/>
      <c r="AK66" s="111"/>
      <c r="AL66" s="111"/>
      <c r="AM66" s="112"/>
      <c r="AN66" s="112"/>
      <c r="AO66" s="77"/>
      <c r="AP66" s="86"/>
      <c r="AQ66" s="86"/>
      <c r="AR66" s="85"/>
      <c r="AS66" s="77"/>
      <c r="AT66" s="77"/>
      <c r="AU66" s="77"/>
      <c r="AV66" s="119"/>
      <c r="AW66" s="129"/>
      <c r="AX66" s="129"/>
      <c r="AY66" s="125"/>
      <c r="AZ66" s="119"/>
      <c r="BA66" s="47"/>
      <c r="BB66" s="48"/>
      <c r="BC66" s="48"/>
      <c r="BD66" s="49"/>
      <c r="BE66" s="49"/>
      <c r="BF66" s="49"/>
      <c r="BG66" s="129"/>
      <c r="BH66" s="129"/>
      <c r="BI66" s="129"/>
      <c r="BJ66" s="125"/>
      <c r="BK66" s="119"/>
      <c r="BL66" s="119"/>
      <c r="BM66" s="77"/>
      <c r="BN66" s="86"/>
      <c r="BO66" s="86"/>
      <c r="BP66" s="85"/>
      <c r="BQ66" s="85"/>
      <c r="BR66" s="77"/>
    </row>
    <row r="67" spans="8:70" x14ac:dyDescent="0.3">
      <c r="H67" s="80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8"/>
      <c r="Y67" s="99"/>
      <c r="Z67" s="99"/>
      <c r="AA67" s="100"/>
      <c r="AB67" s="100"/>
      <c r="AC67" s="100"/>
      <c r="AD67" s="53"/>
      <c r="AE67" s="54"/>
      <c r="AF67" s="54"/>
      <c r="AG67" s="55"/>
      <c r="AH67" s="55"/>
      <c r="AI67" s="55"/>
      <c r="AJ67" s="110"/>
      <c r="AK67" s="111"/>
      <c r="AL67" s="111"/>
      <c r="AM67" s="112"/>
      <c r="AN67" s="112"/>
      <c r="AO67" s="77"/>
      <c r="AP67" s="86"/>
      <c r="AQ67" s="86"/>
      <c r="AR67" s="85"/>
      <c r="AS67" s="77"/>
      <c r="AT67" s="77"/>
      <c r="AU67" s="77"/>
      <c r="AV67" s="119"/>
      <c r="AW67" s="129"/>
      <c r="AX67" s="129"/>
      <c r="AY67" s="125"/>
      <c r="AZ67" s="119"/>
      <c r="BA67" s="47"/>
      <c r="BB67" s="48"/>
      <c r="BC67" s="48"/>
      <c r="BD67" s="49"/>
      <c r="BE67" s="49"/>
      <c r="BF67" s="49"/>
      <c r="BG67" s="129"/>
      <c r="BH67" s="129"/>
      <c r="BI67" s="129"/>
      <c r="BJ67" s="125"/>
      <c r="BK67" s="119"/>
      <c r="BL67" s="119"/>
      <c r="BM67" s="77"/>
      <c r="BN67" s="86"/>
      <c r="BO67" s="86"/>
      <c r="BP67" s="85"/>
      <c r="BQ67" s="85"/>
      <c r="BR67" s="77"/>
    </row>
    <row r="68" spans="8:70" x14ac:dyDescent="0.3">
      <c r="H68" s="80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8"/>
      <c r="Y68" s="99"/>
      <c r="Z68" s="99"/>
      <c r="AA68" s="100"/>
      <c r="AB68" s="100"/>
      <c r="AC68" s="100"/>
      <c r="AD68" s="53"/>
      <c r="AE68" s="54"/>
      <c r="AF68" s="54"/>
      <c r="AG68" s="55"/>
      <c r="AH68" s="55"/>
      <c r="AI68" s="55"/>
      <c r="AJ68" s="110"/>
      <c r="AK68" s="111"/>
      <c r="AL68" s="111"/>
      <c r="AM68" s="112"/>
      <c r="AN68" s="112"/>
      <c r="AO68" s="77"/>
      <c r="AP68" s="86"/>
      <c r="AQ68" s="86"/>
      <c r="AR68" s="85"/>
      <c r="AS68" s="77"/>
      <c r="AT68" s="77"/>
      <c r="AU68" s="77"/>
      <c r="AV68" s="119"/>
      <c r="AW68" s="129"/>
      <c r="AX68" s="129"/>
      <c r="AY68" s="125"/>
      <c r="AZ68" s="119"/>
      <c r="BA68" s="47"/>
      <c r="BB68" s="48"/>
      <c r="BC68" s="48"/>
      <c r="BD68" s="49"/>
      <c r="BE68" s="49"/>
      <c r="BF68" s="49"/>
      <c r="BG68" s="129"/>
      <c r="BH68" s="129"/>
      <c r="BI68" s="129"/>
      <c r="BJ68" s="125"/>
      <c r="BK68" s="119"/>
      <c r="BL68" s="119"/>
      <c r="BM68" s="77"/>
      <c r="BN68" s="86"/>
      <c r="BO68" s="86"/>
      <c r="BP68" s="85"/>
      <c r="BQ68" s="85"/>
      <c r="BR68" s="77"/>
    </row>
    <row r="69" spans="8:70" x14ac:dyDescent="0.3">
      <c r="H69" s="80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8"/>
      <c r="Y69" s="99"/>
      <c r="Z69" s="99"/>
      <c r="AA69" s="100"/>
      <c r="AB69" s="100"/>
      <c r="AC69" s="100"/>
      <c r="AD69" s="53"/>
      <c r="AE69" s="54"/>
      <c r="AF69" s="54"/>
      <c r="AG69" s="55"/>
      <c r="AH69" s="55"/>
      <c r="AI69" s="55"/>
      <c r="AJ69" s="110"/>
      <c r="AK69" s="111"/>
      <c r="AL69" s="111"/>
      <c r="AM69" s="112"/>
      <c r="AN69" s="112"/>
      <c r="AO69" s="77"/>
      <c r="AP69" s="86"/>
      <c r="AQ69" s="86"/>
      <c r="AR69" s="85"/>
      <c r="AS69" s="77"/>
      <c r="AT69" s="77"/>
      <c r="AU69" s="77"/>
      <c r="AV69" s="119"/>
      <c r="AW69" s="129"/>
      <c r="AX69" s="129"/>
      <c r="AY69" s="125"/>
      <c r="AZ69" s="119"/>
      <c r="BA69" s="47"/>
      <c r="BB69" s="48"/>
      <c r="BC69" s="48"/>
      <c r="BD69" s="49"/>
      <c r="BE69" s="49"/>
      <c r="BF69" s="49"/>
      <c r="BG69" s="129"/>
      <c r="BH69" s="129"/>
      <c r="BI69" s="129"/>
      <c r="BJ69" s="125"/>
      <c r="BK69" s="119"/>
      <c r="BL69" s="119"/>
      <c r="BM69" s="77"/>
      <c r="BN69" s="86"/>
      <c r="BO69" s="86"/>
      <c r="BP69" s="85"/>
      <c r="BQ69" s="85"/>
      <c r="BR69" s="77"/>
    </row>
    <row r="70" spans="8:70" x14ac:dyDescent="0.3">
      <c r="H70" s="80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8"/>
      <c r="Y70" s="99"/>
      <c r="Z70" s="99"/>
      <c r="AA70" s="100"/>
      <c r="AB70" s="100"/>
      <c r="AC70" s="100"/>
      <c r="AD70" s="53"/>
      <c r="AE70" s="54"/>
      <c r="AF70" s="54"/>
      <c r="AG70" s="55"/>
      <c r="AH70" s="55"/>
      <c r="AI70" s="55"/>
      <c r="AJ70" s="110"/>
      <c r="AK70" s="111"/>
      <c r="AL70" s="111"/>
      <c r="AM70" s="112"/>
      <c r="AN70" s="112"/>
      <c r="AO70" s="77"/>
      <c r="AP70" s="86"/>
      <c r="AQ70" s="86"/>
      <c r="AR70" s="85"/>
      <c r="AS70" s="77"/>
      <c r="AT70" s="77"/>
      <c r="AU70" s="77"/>
      <c r="AV70" s="119"/>
      <c r="AW70" s="129"/>
      <c r="AX70" s="129"/>
      <c r="AY70" s="125"/>
      <c r="AZ70" s="119"/>
      <c r="BA70" s="47"/>
      <c r="BB70" s="48"/>
      <c r="BC70" s="48"/>
      <c r="BD70" s="49"/>
      <c r="BE70" s="49"/>
      <c r="BF70" s="49"/>
      <c r="BG70" s="129"/>
      <c r="BH70" s="129"/>
      <c r="BI70" s="129"/>
      <c r="BJ70" s="125"/>
      <c r="BK70" s="119"/>
      <c r="BL70" s="119"/>
      <c r="BM70" s="77"/>
      <c r="BN70" s="86"/>
      <c r="BO70" s="86"/>
      <c r="BP70" s="85"/>
      <c r="BQ70" s="85"/>
      <c r="BR70" s="77"/>
    </row>
    <row r="71" spans="8:70" x14ac:dyDescent="0.3">
      <c r="H71" s="80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8"/>
      <c r="Y71" s="99"/>
      <c r="Z71" s="99"/>
      <c r="AA71" s="100"/>
      <c r="AB71" s="100"/>
      <c r="AC71" s="100"/>
      <c r="AD71" s="53"/>
      <c r="AE71" s="54"/>
      <c r="AF71" s="54"/>
      <c r="AG71" s="55"/>
      <c r="AH71" s="55"/>
      <c r="AI71" s="55"/>
      <c r="AJ71" s="110"/>
      <c r="AK71" s="111"/>
      <c r="AL71" s="111"/>
      <c r="AM71" s="112"/>
      <c r="AN71" s="112"/>
      <c r="AO71" s="77"/>
      <c r="AP71" s="86"/>
      <c r="AQ71" s="86"/>
      <c r="AR71" s="85"/>
      <c r="AS71" s="77"/>
      <c r="AT71" s="77"/>
      <c r="AU71" s="77"/>
      <c r="AV71" s="119"/>
      <c r="AW71" s="129"/>
      <c r="AX71" s="129"/>
      <c r="AY71" s="125"/>
      <c r="AZ71" s="119"/>
      <c r="BA71" s="47"/>
      <c r="BB71" s="48"/>
      <c r="BC71" s="48"/>
      <c r="BD71" s="49"/>
      <c r="BE71" s="49"/>
      <c r="BF71" s="49"/>
      <c r="BG71" s="129"/>
      <c r="BH71" s="129"/>
      <c r="BI71" s="129"/>
      <c r="BJ71" s="125"/>
      <c r="BK71" s="119"/>
      <c r="BL71" s="119"/>
      <c r="BM71" s="77"/>
      <c r="BN71" s="86"/>
      <c r="BO71" s="86"/>
      <c r="BP71" s="85"/>
      <c r="BQ71" s="85"/>
      <c r="BR71" s="77"/>
    </row>
    <row r="72" spans="8:70" x14ac:dyDescent="0.3">
      <c r="H72" s="80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8"/>
      <c r="Y72" s="99"/>
      <c r="Z72" s="99"/>
      <c r="AA72" s="100"/>
      <c r="AB72" s="100"/>
      <c r="AC72" s="100"/>
      <c r="AD72" s="53"/>
      <c r="AE72" s="54"/>
      <c r="AF72" s="54"/>
      <c r="AG72" s="55"/>
      <c r="AH72" s="55"/>
      <c r="AI72" s="55"/>
      <c r="AJ72" s="110"/>
      <c r="AK72" s="111"/>
      <c r="AL72" s="111"/>
      <c r="AM72" s="112"/>
      <c r="AN72" s="112"/>
      <c r="AO72" s="77"/>
      <c r="AP72" s="86"/>
      <c r="AQ72" s="86"/>
      <c r="AR72" s="85"/>
      <c r="AS72" s="77"/>
      <c r="AT72" s="77"/>
      <c r="AU72" s="77"/>
      <c r="AV72" s="119"/>
      <c r="AW72" s="129"/>
      <c r="AX72" s="129"/>
      <c r="AY72" s="125"/>
      <c r="AZ72" s="119"/>
      <c r="BA72" s="47"/>
      <c r="BB72" s="48"/>
      <c r="BC72" s="48"/>
      <c r="BD72" s="49"/>
      <c r="BE72" s="49"/>
      <c r="BF72" s="49"/>
      <c r="BG72" s="129"/>
      <c r="BH72" s="129"/>
      <c r="BI72" s="129"/>
      <c r="BJ72" s="125"/>
      <c r="BK72" s="119"/>
      <c r="BL72" s="119"/>
      <c r="BM72" s="77"/>
      <c r="BN72" s="86"/>
      <c r="BO72" s="86"/>
      <c r="BP72" s="85"/>
      <c r="BQ72" s="85"/>
      <c r="BR72" s="77"/>
    </row>
    <row r="73" spans="8:70" x14ac:dyDescent="0.3">
      <c r="H73" s="80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8"/>
      <c r="Y73" s="99"/>
      <c r="Z73" s="99"/>
      <c r="AA73" s="100"/>
      <c r="AB73" s="100"/>
      <c r="AC73" s="100"/>
      <c r="AD73" s="53"/>
      <c r="AE73" s="54"/>
      <c r="AF73" s="54"/>
      <c r="AG73" s="55"/>
      <c r="AH73" s="55"/>
      <c r="AI73" s="55"/>
      <c r="AJ73" s="110"/>
      <c r="AK73" s="111"/>
      <c r="AL73" s="111"/>
      <c r="AM73" s="112"/>
      <c r="AN73" s="112"/>
      <c r="AO73" s="77"/>
      <c r="AP73" s="86"/>
      <c r="AQ73" s="86"/>
      <c r="AR73" s="85"/>
      <c r="AS73" s="77"/>
      <c r="AT73" s="77"/>
      <c r="AU73" s="77"/>
      <c r="AV73" s="119"/>
      <c r="AW73" s="129"/>
      <c r="AX73" s="129"/>
      <c r="AY73" s="125"/>
      <c r="AZ73" s="119"/>
      <c r="BA73" s="47"/>
      <c r="BB73" s="48"/>
      <c r="BC73" s="48"/>
      <c r="BD73" s="49"/>
      <c r="BE73" s="49"/>
      <c r="BF73" s="49"/>
      <c r="BG73" s="129"/>
      <c r="BH73" s="129"/>
      <c r="BI73" s="129"/>
      <c r="BJ73" s="125"/>
      <c r="BK73" s="119"/>
      <c r="BL73" s="119"/>
      <c r="BM73" s="77"/>
      <c r="BN73" s="86"/>
      <c r="BO73" s="86"/>
      <c r="BP73" s="85"/>
      <c r="BQ73" s="85"/>
      <c r="BR73" s="77"/>
    </row>
    <row r="74" spans="8:70" x14ac:dyDescent="0.3">
      <c r="H74" s="80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8"/>
      <c r="Y74" s="99"/>
      <c r="Z74" s="99"/>
      <c r="AA74" s="100"/>
      <c r="AB74" s="100"/>
      <c r="AC74" s="100"/>
      <c r="AD74" s="53"/>
      <c r="AE74" s="54"/>
      <c r="AF74" s="54"/>
      <c r="AG74" s="55"/>
      <c r="AH74" s="55"/>
      <c r="AI74" s="55"/>
      <c r="AJ74" s="110"/>
      <c r="AK74" s="111"/>
      <c r="AL74" s="111"/>
      <c r="AM74" s="112"/>
      <c r="AN74" s="112"/>
      <c r="AO74" s="77"/>
      <c r="AP74" s="86"/>
      <c r="AQ74" s="86"/>
      <c r="AR74" s="85"/>
      <c r="AS74" s="77"/>
      <c r="AT74" s="77"/>
      <c r="AU74" s="77"/>
      <c r="AV74" s="119"/>
      <c r="AW74" s="129"/>
      <c r="AX74" s="129"/>
      <c r="AY74" s="125"/>
      <c r="AZ74" s="119"/>
      <c r="BA74" s="47"/>
      <c r="BB74" s="48"/>
      <c r="BC74" s="48"/>
      <c r="BD74" s="49"/>
      <c r="BE74" s="49"/>
      <c r="BF74" s="49"/>
      <c r="BG74" s="129"/>
      <c r="BH74" s="129"/>
      <c r="BI74" s="129"/>
      <c r="BJ74" s="125"/>
      <c r="BK74" s="119"/>
      <c r="BL74" s="119"/>
      <c r="BM74" s="77"/>
      <c r="BN74" s="86"/>
      <c r="BO74" s="86"/>
      <c r="BP74" s="85"/>
      <c r="BQ74" s="85"/>
      <c r="BR74" s="77"/>
    </row>
    <row r="75" spans="8:70" x14ac:dyDescent="0.3">
      <c r="H75" s="80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8"/>
      <c r="Y75" s="99"/>
      <c r="Z75" s="99"/>
      <c r="AA75" s="100"/>
      <c r="AB75" s="100"/>
      <c r="AC75" s="100"/>
      <c r="AD75" s="53"/>
      <c r="AE75" s="54"/>
      <c r="AF75" s="54"/>
      <c r="AG75" s="55"/>
      <c r="AH75" s="55"/>
      <c r="AI75" s="55"/>
      <c r="AJ75" s="110"/>
      <c r="AK75" s="111"/>
      <c r="AL75" s="111"/>
      <c r="AM75" s="112"/>
      <c r="AN75" s="112"/>
      <c r="AO75" s="77"/>
      <c r="AP75" s="86"/>
      <c r="AQ75" s="86"/>
      <c r="AR75" s="85"/>
      <c r="AS75" s="77"/>
      <c r="AT75" s="77"/>
      <c r="AU75" s="77"/>
      <c r="AV75" s="119"/>
      <c r="AW75" s="129"/>
      <c r="AX75" s="129"/>
      <c r="AY75" s="125"/>
      <c r="AZ75" s="119"/>
      <c r="BA75" s="47"/>
      <c r="BB75" s="48"/>
      <c r="BC75" s="48"/>
      <c r="BD75" s="49"/>
      <c r="BE75" s="49"/>
      <c r="BF75" s="49"/>
      <c r="BG75" s="129"/>
      <c r="BH75" s="129"/>
      <c r="BI75" s="129"/>
      <c r="BJ75" s="125"/>
      <c r="BK75" s="119"/>
      <c r="BL75" s="119"/>
      <c r="BM75" s="77"/>
      <c r="BN75" s="86"/>
      <c r="BO75" s="86"/>
      <c r="BP75" s="85"/>
      <c r="BQ75" s="85"/>
      <c r="BR75" s="77"/>
    </row>
    <row r="76" spans="8:70" x14ac:dyDescent="0.3">
      <c r="H76" s="80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8"/>
      <c r="Y76" s="99"/>
      <c r="Z76" s="99"/>
      <c r="AA76" s="100"/>
      <c r="AB76" s="100"/>
      <c r="AC76" s="100"/>
      <c r="AD76" s="53"/>
      <c r="AE76" s="54"/>
      <c r="AF76" s="54"/>
      <c r="AG76" s="55"/>
      <c r="AH76" s="55"/>
      <c r="AI76" s="55"/>
      <c r="AJ76" s="110"/>
      <c r="AK76" s="111"/>
      <c r="AL76" s="111"/>
      <c r="AM76" s="112"/>
      <c r="AN76" s="112"/>
      <c r="AO76" s="77"/>
      <c r="AP76" s="86"/>
      <c r="AQ76" s="86"/>
      <c r="AR76" s="85"/>
      <c r="AS76" s="77"/>
      <c r="AT76" s="77"/>
      <c r="AU76" s="77"/>
      <c r="AV76" s="119"/>
      <c r="AW76" s="129"/>
      <c r="AX76" s="129"/>
      <c r="AY76" s="125"/>
      <c r="AZ76" s="119"/>
      <c r="BA76" s="47"/>
      <c r="BB76" s="48"/>
      <c r="BC76" s="48"/>
      <c r="BD76" s="49"/>
      <c r="BE76" s="49"/>
      <c r="BF76" s="49"/>
      <c r="BG76" s="129"/>
      <c r="BH76" s="129"/>
      <c r="BI76" s="129"/>
      <c r="BJ76" s="125"/>
      <c r="BK76" s="119"/>
      <c r="BL76" s="119"/>
      <c r="BM76" s="77"/>
      <c r="BN76" s="86"/>
      <c r="BO76" s="86"/>
      <c r="BP76" s="85"/>
      <c r="BQ76" s="85"/>
      <c r="BR76" s="77"/>
    </row>
    <row r="77" spans="8:70" x14ac:dyDescent="0.3">
      <c r="H77" s="80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8"/>
      <c r="Y77" s="99"/>
      <c r="Z77" s="99"/>
      <c r="AA77" s="100"/>
      <c r="AB77" s="100"/>
      <c r="AC77" s="100"/>
      <c r="AD77" s="53"/>
      <c r="AE77" s="54"/>
      <c r="AF77" s="54"/>
      <c r="AG77" s="55"/>
      <c r="AH77" s="55"/>
      <c r="AI77" s="55"/>
      <c r="AJ77" s="110"/>
      <c r="AK77" s="111"/>
      <c r="AL77" s="111"/>
      <c r="AM77" s="112"/>
      <c r="AN77" s="112"/>
      <c r="AO77" s="77"/>
      <c r="AP77" s="86"/>
      <c r="AQ77" s="86"/>
      <c r="AR77" s="85"/>
      <c r="AS77" s="77"/>
      <c r="AT77" s="77"/>
      <c r="AU77" s="77"/>
      <c r="AV77" s="119"/>
      <c r="AW77" s="129"/>
      <c r="AX77" s="129"/>
      <c r="AY77" s="125"/>
      <c r="AZ77" s="119"/>
      <c r="BA77" s="47"/>
      <c r="BB77" s="48"/>
      <c r="BC77" s="48"/>
      <c r="BD77" s="49"/>
      <c r="BE77" s="49"/>
      <c r="BF77" s="49"/>
      <c r="BG77" s="129"/>
      <c r="BH77" s="129"/>
      <c r="BI77" s="129"/>
      <c r="BJ77" s="125"/>
      <c r="BK77" s="119"/>
      <c r="BL77" s="119"/>
      <c r="BM77" s="77"/>
      <c r="BN77" s="86"/>
      <c r="BO77" s="86"/>
      <c r="BP77" s="85"/>
      <c r="BQ77" s="85"/>
      <c r="BR77" s="77"/>
    </row>
    <row r="78" spans="8:70" x14ac:dyDescent="0.3">
      <c r="H78" s="80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8"/>
      <c r="Y78" s="99"/>
      <c r="Z78" s="99"/>
      <c r="AA78" s="100"/>
      <c r="AB78" s="100"/>
      <c r="AC78" s="100"/>
      <c r="AD78" s="53"/>
      <c r="AE78" s="54"/>
      <c r="AF78" s="54"/>
      <c r="AG78" s="55"/>
      <c r="AH78" s="55"/>
      <c r="AI78" s="55"/>
      <c r="AJ78" s="110"/>
      <c r="AK78" s="111"/>
      <c r="AL78" s="111"/>
      <c r="AM78" s="112"/>
      <c r="AN78" s="112"/>
      <c r="AO78" s="77"/>
      <c r="AP78" s="86"/>
      <c r="AQ78" s="86"/>
      <c r="AR78" s="85"/>
      <c r="AS78" s="77"/>
      <c r="AT78" s="77"/>
      <c r="AU78" s="77"/>
      <c r="AV78" s="119"/>
      <c r="AW78" s="129"/>
      <c r="AX78" s="129"/>
      <c r="AY78" s="125"/>
      <c r="AZ78" s="119"/>
      <c r="BA78" s="47"/>
      <c r="BB78" s="48"/>
      <c r="BC78" s="48"/>
      <c r="BD78" s="49"/>
      <c r="BE78" s="49"/>
      <c r="BF78" s="49"/>
      <c r="BG78" s="129"/>
      <c r="BH78" s="129"/>
      <c r="BI78" s="129"/>
      <c r="BJ78" s="125"/>
      <c r="BK78" s="119"/>
      <c r="BL78" s="119"/>
      <c r="BM78" s="77"/>
      <c r="BN78" s="86"/>
      <c r="BO78" s="86"/>
      <c r="BP78" s="85"/>
      <c r="BQ78" s="85"/>
      <c r="BR78" s="77"/>
    </row>
    <row r="79" spans="8:70" x14ac:dyDescent="0.3">
      <c r="H79" s="80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8"/>
      <c r="Y79" s="99"/>
      <c r="Z79" s="99"/>
      <c r="AA79" s="100"/>
      <c r="AB79" s="100"/>
      <c r="AC79" s="100"/>
      <c r="AD79" s="53"/>
      <c r="AE79" s="54"/>
      <c r="AF79" s="54"/>
      <c r="AG79" s="55"/>
      <c r="AH79" s="55"/>
      <c r="AI79" s="55"/>
      <c r="AJ79" s="110"/>
      <c r="AK79" s="111"/>
      <c r="AL79" s="111"/>
      <c r="AM79" s="112"/>
      <c r="AN79" s="112"/>
      <c r="AO79" s="77"/>
      <c r="AP79" s="86"/>
      <c r="AQ79" s="86"/>
      <c r="AR79" s="85"/>
      <c r="AS79" s="77"/>
      <c r="AT79" s="77"/>
      <c r="AU79" s="77"/>
      <c r="AV79" s="119"/>
      <c r="AW79" s="129"/>
      <c r="AX79" s="129"/>
      <c r="AY79" s="125"/>
      <c r="AZ79" s="119"/>
      <c r="BA79" s="47"/>
      <c r="BB79" s="48"/>
      <c r="BC79" s="48"/>
      <c r="BD79" s="49"/>
      <c r="BE79" s="49"/>
      <c r="BF79" s="49"/>
      <c r="BG79" s="129"/>
      <c r="BH79" s="129"/>
      <c r="BI79" s="129"/>
      <c r="BJ79" s="125"/>
      <c r="BK79" s="119"/>
      <c r="BL79" s="119"/>
      <c r="BM79" s="77"/>
      <c r="BN79" s="86"/>
      <c r="BO79" s="86"/>
      <c r="BP79" s="85"/>
      <c r="BQ79" s="85"/>
      <c r="BR79" s="77"/>
    </row>
    <row r="80" spans="8:70" x14ac:dyDescent="0.3">
      <c r="H80" s="80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8"/>
      <c r="Y80" s="99"/>
      <c r="Z80" s="99"/>
      <c r="AA80" s="100"/>
      <c r="AB80" s="100"/>
      <c r="AC80" s="100"/>
      <c r="AD80" s="53"/>
      <c r="AE80" s="54"/>
      <c r="AF80" s="54"/>
      <c r="AG80" s="55"/>
      <c r="AH80" s="55"/>
      <c r="AI80" s="55"/>
      <c r="AJ80" s="110"/>
      <c r="AK80" s="111"/>
      <c r="AL80" s="111"/>
      <c r="AM80" s="112"/>
      <c r="AN80" s="112"/>
      <c r="AO80" s="77"/>
      <c r="AP80" s="86"/>
      <c r="AQ80" s="86"/>
      <c r="AR80" s="85"/>
      <c r="AS80" s="77"/>
      <c r="AT80" s="77"/>
      <c r="AU80" s="77"/>
      <c r="AV80" s="119"/>
      <c r="AW80" s="129"/>
      <c r="AX80" s="129"/>
      <c r="AY80" s="125"/>
      <c r="AZ80" s="119"/>
      <c r="BA80" s="47"/>
      <c r="BB80" s="48"/>
      <c r="BC80" s="48"/>
      <c r="BD80" s="49"/>
      <c r="BE80" s="49"/>
      <c r="BF80" s="49"/>
      <c r="BG80" s="129"/>
      <c r="BH80" s="129"/>
      <c r="BI80" s="129"/>
      <c r="BJ80" s="125"/>
      <c r="BK80" s="119"/>
      <c r="BL80" s="119"/>
      <c r="BM80" s="77"/>
      <c r="BN80" s="86"/>
      <c r="BO80" s="86"/>
      <c r="BP80" s="85"/>
      <c r="BQ80" s="85"/>
      <c r="BR80" s="77"/>
    </row>
    <row r="81" spans="8:70" x14ac:dyDescent="0.3">
      <c r="H81" s="80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8"/>
      <c r="Y81" s="99"/>
      <c r="Z81" s="99"/>
      <c r="AA81" s="100"/>
      <c r="AB81" s="100"/>
      <c r="AC81" s="100"/>
      <c r="AD81" s="53"/>
      <c r="AE81" s="54"/>
      <c r="AF81" s="54"/>
      <c r="AG81" s="55"/>
      <c r="AH81" s="55"/>
      <c r="AI81" s="55"/>
      <c r="AJ81" s="110"/>
      <c r="AK81" s="111"/>
      <c r="AL81" s="111"/>
      <c r="AM81" s="112"/>
      <c r="AN81" s="112"/>
      <c r="AO81" s="77"/>
      <c r="AP81" s="86"/>
      <c r="AQ81" s="86"/>
      <c r="AR81" s="85"/>
      <c r="AS81" s="77"/>
      <c r="AT81" s="77"/>
      <c r="AU81" s="77"/>
      <c r="AV81" s="119"/>
      <c r="AW81" s="129"/>
      <c r="AX81" s="129"/>
      <c r="AY81" s="125"/>
      <c r="AZ81" s="119"/>
      <c r="BA81" s="47"/>
      <c r="BB81" s="48"/>
      <c r="BC81" s="48"/>
      <c r="BD81" s="49"/>
      <c r="BE81" s="49"/>
      <c r="BF81" s="49"/>
      <c r="BG81" s="129"/>
      <c r="BH81" s="129"/>
      <c r="BI81" s="129"/>
      <c r="BJ81" s="125"/>
      <c r="BK81" s="119"/>
      <c r="BL81" s="119"/>
      <c r="BM81" s="77"/>
      <c r="BN81" s="86"/>
      <c r="BO81" s="86"/>
      <c r="BP81" s="85"/>
      <c r="BQ81" s="85"/>
      <c r="BR81" s="77"/>
    </row>
    <row r="82" spans="8:70" x14ac:dyDescent="0.3">
      <c r="H82" s="80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8"/>
      <c r="Y82" s="99"/>
      <c r="Z82" s="99"/>
      <c r="AA82" s="100"/>
      <c r="AB82" s="100"/>
      <c r="AC82" s="100"/>
      <c r="AD82" s="53"/>
      <c r="AE82" s="54"/>
      <c r="AF82" s="54"/>
      <c r="AG82" s="55"/>
      <c r="AH82" s="55"/>
      <c r="AI82" s="55"/>
      <c r="AJ82" s="110"/>
      <c r="AK82" s="111"/>
      <c r="AL82" s="111"/>
      <c r="AM82" s="112"/>
      <c r="AN82" s="112"/>
      <c r="AO82" s="77"/>
      <c r="AP82" s="86"/>
      <c r="AQ82" s="86"/>
      <c r="AR82" s="85"/>
      <c r="AS82" s="77"/>
      <c r="AT82" s="77"/>
      <c r="AU82" s="77"/>
      <c r="AV82" s="119"/>
      <c r="AW82" s="129"/>
      <c r="AX82" s="129"/>
      <c r="AY82" s="125"/>
      <c r="AZ82" s="119"/>
      <c r="BA82" s="47"/>
      <c r="BB82" s="48"/>
      <c r="BC82" s="48"/>
      <c r="BD82" s="49"/>
      <c r="BE82" s="49"/>
      <c r="BF82" s="49"/>
      <c r="BG82" s="129"/>
      <c r="BH82" s="129"/>
      <c r="BI82" s="129"/>
      <c r="BJ82" s="125"/>
      <c r="BK82" s="119"/>
      <c r="BL82" s="119"/>
      <c r="BM82" s="77"/>
      <c r="BN82" s="86"/>
      <c r="BO82" s="86"/>
      <c r="BP82" s="85"/>
      <c r="BQ82" s="85"/>
      <c r="BR82" s="77"/>
    </row>
    <row r="83" spans="8:70" x14ac:dyDescent="0.3">
      <c r="H83" s="80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8"/>
      <c r="Y83" s="99"/>
      <c r="Z83" s="99"/>
      <c r="AA83" s="100"/>
      <c r="AB83" s="100"/>
      <c r="AC83" s="100"/>
      <c r="AD83" s="53"/>
      <c r="AE83" s="54"/>
      <c r="AF83" s="54"/>
      <c r="AG83" s="55"/>
      <c r="AH83" s="55"/>
      <c r="AI83" s="55"/>
      <c r="AJ83" s="110"/>
      <c r="AK83" s="111"/>
      <c r="AL83" s="111"/>
      <c r="AM83" s="112"/>
      <c r="AN83" s="112"/>
      <c r="AO83" s="77"/>
      <c r="AP83" s="86"/>
      <c r="AQ83" s="86"/>
      <c r="AR83" s="85"/>
      <c r="AS83" s="77"/>
      <c r="AT83" s="77"/>
      <c r="AU83" s="77"/>
      <c r="AV83" s="119"/>
      <c r="AW83" s="129"/>
      <c r="AX83" s="129"/>
      <c r="AY83" s="125"/>
      <c r="AZ83" s="119"/>
      <c r="BA83" s="47"/>
      <c r="BB83" s="48"/>
      <c r="BC83" s="48"/>
      <c r="BD83" s="49"/>
      <c r="BE83" s="49"/>
      <c r="BF83" s="49"/>
      <c r="BG83" s="129"/>
      <c r="BH83" s="129"/>
      <c r="BI83" s="129"/>
      <c r="BJ83" s="125"/>
      <c r="BK83" s="119"/>
      <c r="BL83" s="119"/>
      <c r="BM83" s="77"/>
      <c r="BN83" s="86"/>
      <c r="BO83" s="86"/>
      <c r="BP83" s="85"/>
      <c r="BQ83" s="85"/>
      <c r="BR83" s="77"/>
    </row>
    <row r="84" spans="8:70" x14ac:dyDescent="0.3">
      <c r="H84" s="80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8"/>
      <c r="Y84" s="99"/>
      <c r="Z84" s="99"/>
      <c r="AA84" s="100"/>
      <c r="AB84" s="100"/>
      <c r="AC84" s="100"/>
      <c r="AD84" s="53"/>
      <c r="AE84" s="54"/>
      <c r="AF84" s="54"/>
      <c r="AG84" s="55"/>
      <c r="AH84" s="55"/>
      <c r="AI84" s="55"/>
      <c r="AJ84" s="110"/>
      <c r="AK84" s="111"/>
      <c r="AL84" s="111"/>
      <c r="AM84" s="112"/>
      <c r="AN84" s="112"/>
      <c r="AO84" s="77"/>
      <c r="AP84" s="86"/>
      <c r="AQ84" s="86"/>
      <c r="AR84" s="85"/>
      <c r="AS84" s="77"/>
      <c r="AT84" s="77"/>
      <c r="AU84" s="77"/>
      <c r="AV84" s="119"/>
      <c r="AW84" s="129"/>
      <c r="AX84" s="129"/>
      <c r="AY84" s="125"/>
      <c r="AZ84" s="119"/>
      <c r="BA84" s="47"/>
      <c r="BB84" s="48"/>
      <c r="BC84" s="48"/>
      <c r="BD84" s="49"/>
      <c r="BE84" s="49"/>
      <c r="BF84" s="49"/>
      <c r="BG84" s="129"/>
      <c r="BH84" s="129"/>
      <c r="BI84" s="129"/>
      <c r="BJ84" s="125"/>
      <c r="BK84" s="119"/>
      <c r="BL84" s="119"/>
      <c r="BM84" s="77"/>
      <c r="BN84" s="86"/>
      <c r="BO84" s="86"/>
      <c r="BP84" s="85"/>
      <c r="BQ84" s="85"/>
      <c r="BR84" s="77"/>
    </row>
    <row r="85" spans="8:70" x14ac:dyDescent="0.3">
      <c r="H85" s="80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8"/>
      <c r="Y85" s="99"/>
      <c r="Z85" s="99"/>
      <c r="AA85" s="100"/>
      <c r="AB85" s="100"/>
      <c r="AC85" s="100"/>
      <c r="AD85" s="53"/>
      <c r="AE85" s="54"/>
      <c r="AF85" s="54"/>
      <c r="AG85" s="55"/>
      <c r="AH85" s="55"/>
      <c r="AI85" s="55"/>
      <c r="AJ85" s="110"/>
      <c r="AK85" s="111"/>
      <c r="AL85" s="111"/>
      <c r="AM85" s="112"/>
      <c r="AN85" s="112"/>
      <c r="AO85" s="77"/>
      <c r="AP85" s="86"/>
      <c r="AQ85" s="86"/>
      <c r="AR85" s="85"/>
      <c r="AS85" s="77"/>
      <c r="AT85" s="77"/>
      <c r="AU85" s="77"/>
      <c r="AV85" s="119"/>
      <c r="AW85" s="129"/>
      <c r="AX85" s="129"/>
      <c r="AY85" s="125"/>
      <c r="AZ85" s="119"/>
      <c r="BA85" s="47"/>
      <c r="BB85" s="48"/>
      <c r="BC85" s="48"/>
      <c r="BD85" s="49"/>
      <c r="BE85" s="49"/>
      <c r="BF85" s="49"/>
      <c r="BG85" s="129"/>
      <c r="BH85" s="129"/>
      <c r="BI85" s="129"/>
      <c r="BJ85" s="125"/>
      <c r="BK85" s="119"/>
      <c r="BL85" s="119"/>
      <c r="BM85" s="77"/>
      <c r="BN85" s="86"/>
      <c r="BO85" s="86"/>
      <c r="BP85" s="85"/>
      <c r="BQ85" s="85"/>
      <c r="BR85" s="77"/>
    </row>
    <row r="86" spans="8:70" x14ac:dyDescent="0.3">
      <c r="H86" s="80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8"/>
      <c r="Y86" s="99"/>
      <c r="Z86" s="99"/>
      <c r="AA86" s="100"/>
      <c r="AB86" s="100"/>
      <c r="AC86" s="100"/>
      <c r="AD86" s="53"/>
      <c r="AE86" s="54"/>
      <c r="AF86" s="54"/>
      <c r="AG86" s="55"/>
      <c r="AH86" s="55"/>
      <c r="AI86" s="55"/>
      <c r="AJ86" s="110"/>
      <c r="AK86" s="111"/>
      <c r="AL86" s="111"/>
      <c r="AM86" s="112"/>
      <c r="AN86" s="112"/>
      <c r="AO86" s="77"/>
      <c r="AP86" s="86"/>
      <c r="AQ86" s="86"/>
      <c r="AR86" s="85"/>
      <c r="AS86" s="77"/>
      <c r="AT86" s="77"/>
      <c r="AU86" s="77"/>
      <c r="AV86" s="119"/>
      <c r="AW86" s="129"/>
      <c r="AX86" s="129"/>
      <c r="AY86" s="125"/>
      <c r="AZ86" s="119"/>
      <c r="BA86" s="47"/>
      <c r="BB86" s="48"/>
      <c r="BC86" s="48"/>
      <c r="BD86" s="49"/>
      <c r="BE86" s="49"/>
      <c r="BF86" s="49"/>
      <c r="BG86" s="129"/>
      <c r="BH86" s="129"/>
      <c r="BI86" s="129"/>
      <c r="BJ86" s="125"/>
      <c r="BK86" s="119"/>
      <c r="BL86" s="119"/>
      <c r="BM86" s="77"/>
      <c r="BN86" s="86"/>
      <c r="BO86" s="86"/>
      <c r="BP86" s="85"/>
      <c r="BQ86" s="85"/>
      <c r="BR86" s="77"/>
    </row>
    <row r="87" spans="8:70" x14ac:dyDescent="0.3">
      <c r="H87" s="80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8"/>
      <c r="Y87" s="99"/>
      <c r="Z87" s="99"/>
      <c r="AA87" s="100"/>
      <c r="AB87" s="100"/>
      <c r="AC87" s="100"/>
      <c r="AD87" s="53"/>
      <c r="AE87" s="54"/>
      <c r="AF87" s="54"/>
      <c r="AG87" s="55"/>
      <c r="AH87" s="55"/>
      <c r="AI87" s="55"/>
      <c r="AJ87" s="110"/>
      <c r="AK87" s="111"/>
      <c r="AL87" s="111"/>
      <c r="AM87" s="112"/>
      <c r="AN87" s="112"/>
      <c r="AO87" s="77"/>
      <c r="AP87" s="86"/>
      <c r="AQ87" s="86"/>
      <c r="AR87" s="85"/>
      <c r="AS87" s="77"/>
      <c r="AT87" s="77"/>
      <c r="AU87" s="77"/>
      <c r="AV87" s="119"/>
      <c r="AW87" s="129"/>
      <c r="AX87" s="129"/>
      <c r="AY87" s="125"/>
      <c r="AZ87" s="119"/>
      <c r="BA87" s="47"/>
      <c r="BB87" s="48"/>
      <c r="BC87" s="48"/>
      <c r="BD87" s="49"/>
      <c r="BE87" s="49"/>
      <c r="BF87" s="49"/>
      <c r="BG87" s="129"/>
      <c r="BH87" s="129"/>
      <c r="BI87" s="129"/>
      <c r="BJ87" s="125"/>
      <c r="BK87" s="119"/>
      <c r="BL87" s="119"/>
      <c r="BM87" s="77"/>
      <c r="BN87" s="86"/>
      <c r="BO87" s="86"/>
      <c r="BP87" s="85"/>
      <c r="BQ87" s="85"/>
      <c r="BR87" s="77"/>
    </row>
    <row r="88" spans="8:70" x14ac:dyDescent="0.3">
      <c r="H88" s="80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8"/>
      <c r="Y88" s="99"/>
      <c r="Z88" s="99"/>
      <c r="AA88" s="100"/>
      <c r="AB88" s="100"/>
      <c r="AC88" s="100"/>
      <c r="AD88" s="53"/>
      <c r="AE88" s="54"/>
      <c r="AF88" s="54"/>
      <c r="AG88" s="55"/>
      <c r="AH88" s="55"/>
      <c r="AI88" s="55"/>
      <c r="AJ88" s="110"/>
      <c r="AK88" s="111"/>
      <c r="AL88" s="111"/>
      <c r="AM88" s="112"/>
      <c r="AN88" s="112"/>
      <c r="AO88" s="77"/>
      <c r="AP88" s="86"/>
      <c r="AQ88" s="86"/>
      <c r="AR88" s="85"/>
      <c r="AS88" s="77"/>
      <c r="AT88" s="77"/>
      <c r="AU88" s="77"/>
      <c r="AV88" s="119"/>
      <c r="AW88" s="129"/>
      <c r="AX88" s="129"/>
      <c r="AY88" s="125"/>
      <c r="AZ88" s="119"/>
      <c r="BA88" s="47"/>
      <c r="BB88" s="48"/>
      <c r="BC88" s="48"/>
      <c r="BD88" s="49"/>
      <c r="BE88" s="49"/>
      <c r="BF88" s="49"/>
      <c r="BG88" s="129"/>
      <c r="BH88" s="129"/>
      <c r="BI88" s="129"/>
      <c r="BJ88" s="125"/>
      <c r="BK88" s="119"/>
      <c r="BL88" s="119"/>
      <c r="BM88" s="77"/>
      <c r="BN88" s="86"/>
      <c r="BO88" s="86"/>
      <c r="BP88" s="85"/>
      <c r="BQ88" s="85"/>
      <c r="BR88" s="77"/>
    </row>
    <row r="89" spans="8:70" x14ac:dyDescent="0.3">
      <c r="H89" s="80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8"/>
      <c r="Y89" s="99"/>
      <c r="Z89" s="99"/>
      <c r="AA89" s="100"/>
      <c r="AB89" s="100"/>
      <c r="AC89" s="100"/>
      <c r="AD89" s="53"/>
      <c r="AE89" s="54"/>
      <c r="AF89" s="54"/>
      <c r="AG89" s="55"/>
      <c r="AH89" s="55"/>
      <c r="AI89" s="55"/>
      <c r="AJ89" s="110"/>
      <c r="AK89" s="111"/>
      <c r="AL89" s="111"/>
      <c r="AM89" s="112"/>
      <c r="AN89" s="112"/>
      <c r="AO89" s="77"/>
      <c r="AP89" s="86"/>
      <c r="AQ89" s="86"/>
      <c r="AR89" s="85"/>
      <c r="AS89" s="77"/>
      <c r="AT89" s="77"/>
      <c r="AU89" s="77"/>
      <c r="AV89" s="119"/>
      <c r="AW89" s="129"/>
      <c r="AX89" s="129"/>
      <c r="AY89" s="125"/>
      <c r="AZ89" s="119"/>
      <c r="BA89" s="47"/>
      <c r="BB89" s="48"/>
      <c r="BC89" s="48"/>
      <c r="BD89" s="49"/>
      <c r="BE89" s="49"/>
      <c r="BF89" s="49"/>
      <c r="BG89" s="129"/>
      <c r="BH89" s="129"/>
      <c r="BI89" s="129"/>
      <c r="BJ89" s="125"/>
      <c r="BK89" s="119"/>
      <c r="BL89" s="119"/>
      <c r="BM89" s="77"/>
      <c r="BN89" s="86"/>
      <c r="BO89" s="86"/>
      <c r="BP89" s="85"/>
      <c r="BQ89" s="85"/>
      <c r="BR89" s="77"/>
    </row>
    <row r="90" spans="8:70" x14ac:dyDescent="0.3">
      <c r="H90" s="80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8"/>
      <c r="Y90" s="99"/>
      <c r="Z90" s="99"/>
      <c r="AA90" s="100"/>
      <c r="AB90" s="100"/>
      <c r="AC90" s="100"/>
      <c r="AD90" s="53"/>
      <c r="AE90" s="54"/>
      <c r="AF90" s="54"/>
      <c r="AG90" s="55"/>
      <c r="AH90" s="55"/>
      <c r="AI90" s="55"/>
      <c r="AJ90" s="110"/>
      <c r="AK90" s="111"/>
      <c r="AL90" s="111"/>
      <c r="AM90" s="112"/>
      <c r="AN90" s="112"/>
      <c r="AO90" s="77"/>
      <c r="AP90" s="86"/>
      <c r="AQ90" s="86"/>
      <c r="AR90" s="85"/>
      <c r="AS90" s="77"/>
      <c r="AT90" s="77"/>
      <c r="AU90" s="77"/>
      <c r="AV90" s="119"/>
      <c r="AW90" s="129"/>
      <c r="AX90" s="129"/>
      <c r="AY90" s="125"/>
      <c r="AZ90" s="119"/>
      <c r="BA90" s="47"/>
      <c r="BB90" s="48"/>
      <c r="BC90" s="48"/>
      <c r="BD90" s="49"/>
      <c r="BE90" s="49"/>
      <c r="BF90" s="49"/>
      <c r="BG90" s="129"/>
      <c r="BH90" s="129"/>
      <c r="BI90" s="129"/>
      <c r="BJ90" s="125"/>
      <c r="BK90" s="119"/>
      <c r="BL90" s="119"/>
      <c r="BM90" s="77"/>
      <c r="BN90" s="86"/>
      <c r="BO90" s="86"/>
      <c r="BP90" s="85"/>
      <c r="BQ90" s="85"/>
      <c r="BR90" s="77"/>
    </row>
    <row r="91" spans="8:70" x14ac:dyDescent="0.3">
      <c r="H91" s="80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8"/>
      <c r="Y91" s="99"/>
      <c r="Z91" s="99"/>
      <c r="AA91" s="100"/>
      <c r="AB91" s="100"/>
      <c r="AC91" s="100"/>
      <c r="AD91" s="53"/>
      <c r="AE91" s="54"/>
      <c r="AF91" s="54"/>
      <c r="AG91" s="55"/>
      <c r="AH91" s="55"/>
      <c r="AI91" s="55"/>
      <c r="AJ91" s="110"/>
      <c r="AK91" s="111"/>
      <c r="AL91" s="111"/>
      <c r="AM91" s="112"/>
      <c r="AN91" s="112"/>
      <c r="AO91" s="77"/>
      <c r="AP91" s="86"/>
      <c r="AQ91" s="86"/>
      <c r="AR91" s="85"/>
      <c r="AS91" s="77"/>
      <c r="AT91" s="77"/>
      <c r="AU91" s="77"/>
      <c r="AV91" s="119"/>
      <c r="AW91" s="129"/>
      <c r="AX91" s="129"/>
      <c r="AY91" s="125"/>
      <c r="AZ91" s="119"/>
      <c r="BA91" s="47"/>
      <c r="BB91" s="48"/>
      <c r="BC91" s="48"/>
      <c r="BD91" s="49"/>
      <c r="BE91" s="49"/>
      <c r="BF91" s="49"/>
      <c r="BG91" s="129"/>
      <c r="BH91" s="129"/>
      <c r="BI91" s="129"/>
      <c r="BJ91" s="125"/>
      <c r="BK91" s="119"/>
      <c r="BL91" s="119"/>
      <c r="BM91" s="77"/>
      <c r="BN91" s="86"/>
      <c r="BO91" s="86"/>
      <c r="BP91" s="85"/>
      <c r="BQ91" s="85"/>
      <c r="BR91" s="77"/>
    </row>
    <row r="92" spans="8:70" x14ac:dyDescent="0.3">
      <c r="H92" s="80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8"/>
      <c r="Y92" s="99"/>
      <c r="Z92" s="99"/>
      <c r="AA92" s="100"/>
      <c r="AB92" s="100"/>
      <c r="AC92" s="100"/>
      <c r="AD92" s="53"/>
      <c r="AE92" s="54"/>
      <c r="AF92" s="54"/>
      <c r="AG92" s="55"/>
      <c r="AH92" s="55"/>
      <c r="AI92" s="55"/>
      <c r="AJ92" s="110"/>
      <c r="AK92" s="111"/>
      <c r="AL92" s="111"/>
      <c r="AM92" s="112"/>
      <c r="AN92" s="112"/>
      <c r="AO92" s="77"/>
      <c r="AP92" s="86"/>
      <c r="AQ92" s="86"/>
      <c r="AR92" s="85"/>
      <c r="AS92" s="77"/>
      <c r="AT92" s="77"/>
      <c r="AU92" s="77"/>
      <c r="AV92" s="119"/>
      <c r="AW92" s="129"/>
      <c r="AX92" s="129"/>
      <c r="AY92" s="125"/>
      <c r="AZ92" s="119"/>
      <c r="BA92" s="47"/>
      <c r="BB92" s="48"/>
      <c r="BC92" s="48"/>
      <c r="BD92" s="49"/>
      <c r="BE92" s="49"/>
      <c r="BF92" s="49"/>
      <c r="BG92" s="129"/>
      <c r="BH92" s="129"/>
      <c r="BI92" s="129"/>
      <c r="BJ92" s="125"/>
      <c r="BK92" s="119"/>
      <c r="BL92" s="119"/>
      <c r="BM92" s="77"/>
      <c r="BN92" s="86"/>
      <c r="BO92" s="86"/>
      <c r="BP92" s="85"/>
      <c r="BQ92" s="85"/>
      <c r="BR92" s="77"/>
    </row>
    <row r="93" spans="8:70" x14ac:dyDescent="0.3">
      <c r="H93" s="80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8"/>
      <c r="Y93" s="99"/>
      <c r="Z93" s="99"/>
      <c r="AA93" s="100"/>
      <c r="AB93" s="100"/>
      <c r="AC93" s="100"/>
      <c r="AD93" s="53"/>
      <c r="AE93" s="54"/>
      <c r="AF93" s="54"/>
      <c r="AG93" s="55"/>
      <c r="AH93" s="55"/>
      <c r="AI93" s="55"/>
      <c r="AJ93" s="110"/>
      <c r="AK93" s="111"/>
      <c r="AL93" s="111"/>
      <c r="AM93" s="112"/>
      <c r="AN93" s="112"/>
      <c r="AO93" s="77"/>
      <c r="AP93" s="86"/>
      <c r="AQ93" s="86"/>
      <c r="AR93" s="85"/>
      <c r="AS93" s="77"/>
      <c r="AT93" s="77"/>
      <c r="AU93" s="77"/>
      <c r="AV93" s="119"/>
      <c r="AW93" s="129"/>
      <c r="AX93" s="129"/>
      <c r="AY93" s="125"/>
      <c r="AZ93" s="119"/>
      <c r="BA93" s="47"/>
      <c r="BB93" s="48"/>
      <c r="BC93" s="48"/>
      <c r="BD93" s="49"/>
      <c r="BE93" s="49"/>
      <c r="BF93" s="49"/>
      <c r="BG93" s="129"/>
      <c r="BH93" s="129"/>
      <c r="BI93" s="129"/>
      <c r="BJ93" s="125"/>
      <c r="BK93" s="119"/>
      <c r="BL93" s="119"/>
      <c r="BM93" s="77"/>
      <c r="BN93" s="86"/>
      <c r="BO93" s="86"/>
      <c r="BP93" s="85"/>
      <c r="BQ93" s="85"/>
      <c r="BR93" s="77"/>
    </row>
    <row r="94" spans="8:70" x14ac:dyDescent="0.3">
      <c r="H94" s="80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8"/>
      <c r="Y94" s="99"/>
      <c r="Z94" s="99"/>
      <c r="AA94" s="100"/>
      <c r="AB94" s="100"/>
      <c r="AC94" s="100"/>
      <c r="AD94" s="53"/>
      <c r="AE94" s="54"/>
      <c r="AF94" s="54"/>
      <c r="AG94" s="55"/>
      <c r="AH94" s="55"/>
      <c r="AI94" s="55"/>
      <c r="AJ94" s="110"/>
      <c r="AK94" s="111"/>
      <c r="AL94" s="111"/>
      <c r="AM94" s="112"/>
      <c r="AN94" s="112"/>
      <c r="AO94" s="77"/>
      <c r="AP94" s="86"/>
      <c r="AQ94" s="86"/>
      <c r="AR94" s="85"/>
      <c r="AS94" s="77"/>
      <c r="AT94" s="77"/>
      <c r="AU94" s="77"/>
      <c r="AV94" s="119"/>
      <c r="AW94" s="129"/>
      <c r="AX94" s="129"/>
      <c r="AY94" s="125"/>
      <c r="AZ94" s="119"/>
      <c r="BA94" s="47"/>
      <c r="BB94" s="48"/>
      <c r="BC94" s="48"/>
      <c r="BD94" s="49"/>
      <c r="BE94" s="49"/>
      <c r="BF94" s="49"/>
      <c r="BG94" s="129"/>
      <c r="BH94" s="129"/>
      <c r="BI94" s="129"/>
      <c r="BJ94" s="125"/>
      <c r="BK94" s="119"/>
      <c r="BL94" s="119"/>
      <c r="BM94" s="77"/>
      <c r="BN94" s="86"/>
      <c r="BO94" s="86"/>
      <c r="BP94" s="85"/>
      <c r="BQ94" s="85"/>
      <c r="BR94" s="77"/>
    </row>
    <row r="95" spans="8:70" x14ac:dyDescent="0.3">
      <c r="H95" s="80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8"/>
      <c r="Y95" s="99"/>
      <c r="Z95" s="99"/>
      <c r="AA95" s="100"/>
      <c r="AB95" s="100"/>
      <c r="AC95" s="100"/>
      <c r="AD95" s="53"/>
      <c r="AE95" s="54"/>
      <c r="AF95" s="54"/>
      <c r="AG95" s="55"/>
      <c r="AH95" s="55"/>
      <c r="AI95" s="55"/>
      <c r="AJ95" s="110"/>
      <c r="AK95" s="111"/>
      <c r="AL95" s="111"/>
      <c r="AM95" s="112"/>
      <c r="AN95" s="112"/>
      <c r="AO95" s="77"/>
      <c r="AP95" s="86"/>
      <c r="AQ95" s="86"/>
      <c r="AR95" s="85"/>
      <c r="AS95" s="77"/>
      <c r="AT95" s="77"/>
      <c r="AU95" s="77"/>
      <c r="AV95" s="119"/>
      <c r="AW95" s="129"/>
      <c r="AX95" s="129"/>
      <c r="AY95" s="125"/>
      <c r="AZ95" s="119"/>
      <c r="BA95" s="47"/>
      <c r="BB95" s="48"/>
      <c r="BC95" s="48"/>
      <c r="BD95" s="49"/>
      <c r="BE95" s="49"/>
      <c r="BF95" s="49"/>
      <c r="BG95" s="129"/>
      <c r="BH95" s="129"/>
      <c r="BI95" s="129"/>
      <c r="BJ95" s="125"/>
      <c r="BK95" s="119"/>
      <c r="BL95" s="119"/>
      <c r="BM95" s="77"/>
      <c r="BN95" s="86"/>
      <c r="BO95" s="86"/>
      <c r="BP95" s="85"/>
      <c r="BQ95" s="85"/>
      <c r="BR95" s="77"/>
    </row>
    <row r="96" spans="8:70" x14ac:dyDescent="0.3">
      <c r="H96" s="80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8"/>
      <c r="Y96" s="99"/>
      <c r="Z96" s="99"/>
      <c r="AA96" s="100"/>
      <c r="AB96" s="100"/>
      <c r="AC96" s="100"/>
      <c r="AD96" s="53"/>
      <c r="AE96" s="54"/>
      <c r="AF96" s="54"/>
      <c r="AG96" s="55"/>
      <c r="AH96" s="55"/>
      <c r="AI96" s="55"/>
      <c r="AJ96" s="110"/>
      <c r="AK96" s="111"/>
      <c r="AL96" s="111"/>
      <c r="AM96" s="112"/>
      <c r="AN96" s="112"/>
      <c r="AO96" s="77"/>
      <c r="AP96" s="86"/>
      <c r="AQ96" s="86"/>
      <c r="AR96" s="85"/>
      <c r="AS96" s="77"/>
      <c r="AT96" s="77"/>
      <c r="AU96" s="77"/>
      <c r="AV96" s="119"/>
      <c r="AW96" s="129"/>
      <c r="AX96" s="129"/>
      <c r="AY96" s="125"/>
      <c r="AZ96" s="119"/>
      <c r="BA96" s="47"/>
      <c r="BB96" s="48"/>
      <c r="BC96" s="48"/>
      <c r="BD96" s="49"/>
      <c r="BE96" s="49"/>
      <c r="BF96" s="49"/>
      <c r="BG96" s="129"/>
      <c r="BH96" s="129"/>
      <c r="BI96" s="129"/>
      <c r="BJ96" s="125"/>
      <c r="BK96" s="119"/>
      <c r="BL96" s="119"/>
      <c r="BM96" s="77"/>
      <c r="BN96" s="86"/>
      <c r="BO96" s="86"/>
      <c r="BP96" s="85"/>
      <c r="BQ96" s="85"/>
      <c r="BR96" s="77"/>
    </row>
    <row r="97" spans="8:70" x14ac:dyDescent="0.3">
      <c r="H97" s="80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8"/>
      <c r="Y97" s="99"/>
      <c r="Z97" s="99"/>
      <c r="AA97" s="100"/>
      <c r="AB97" s="100"/>
      <c r="AC97" s="100"/>
      <c r="AD97" s="53"/>
      <c r="AE97" s="54"/>
      <c r="AF97" s="54"/>
      <c r="AG97" s="55"/>
      <c r="AH97" s="55"/>
      <c r="AI97" s="55"/>
      <c r="AJ97" s="110"/>
      <c r="AK97" s="111"/>
      <c r="AL97" s="111"/>
      <c r="AM97" s="112"/>
      <c r="AN97" s="112"/>
      <c r="AO97" s="77"/>
      <c r="AP97" s="86"/>
      <c r="AQ97" s="86"/>
      <c r="AR97" s="85"/>
      <c r="AS97" s="77"/>
      <c r="AT97" s="77"/>
      <c r="AU97" s="77"/>
      <c r="AV97" s="119"/>
      <c r="AW97" s="129"/>
      <c r="AX97" s="129"/>
      <c r="AY97" s="125"/>
      <c r="AZ97" s="119"/>
      <c r="BA97" s="47"/>
      <c r="BB97" s="48"/>
      <c r="BC97" s="48"/>
      <c r="BD97" s="49"/>
      <c r="BE97" s="49"/>
      <c r="BF97" s="49"/>
      <c r="BG97" s="129"/>
      <c r="BH97" s="129"/>
      <c r="BI97" s="129"/>
      <c r="BJ97" s="125"/>
      <c r="BK97" s="119"/>
      <c r="BL97" s="119"/>
      <c r="BM97" s="77"/>
      <c r="BN97" s="86"/>
      <c r="BO97" s="86"/>
      <c r="BP97" s="85"/>
      <c r="BQ97" s="85"/>
      <c r="BR97" s="77"/>
    </row>
    <row r="98" spans="8:70" x14ac:dyDescent="0.3">
      <c r="H98" s="80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8"/>
      <c r="Y98" s="99"/>
      <c r="Z98" s="99"/>
      <c r="AA98" s="100"/>
      <c r="AB98" s="100"/>
      <c r="AC98" s="100"/>
      <c r="AD98" s="53"/>
      <c r="AE98" s="54"/>
      <c r="AF98" s="54"/>
      <c r="AG98" s="55"/>
      <c r="AH98" s="55"/>
      <c r="AI98" s="55"/>
      <c r="AJ98" s="110"/>
      <c r="AK98" s="111"/>
      <c r="AL98" s="111"/>
      <c r="AM98" s="112"/>
      <c r="AN98" s="112"/>
      <c r="AO98" s="77"/>
      <c r="AP98" s="86"/>
      <c r="AQ98" s="86"/>
      <c r="AR98" s="85"/>
      <c r="AS98" s="77"/>
      <c r="AT98" s="77"/>
      <c r="AU98" s="77"/>
      <c r="AV98" s="119"/>
      <c r="AW98" s="129"/>
      <c r="AX98" s="129"/>
      <c r="AY98" s="125"/>
      <c r="AZ98" s="119"/>
      <c r="BA98" s="47"/>
      <c r="BB98" s="48"/>
      <c r="BC98" s="48"/>
      <c r="BD98" s="49"/>
      <c r="BE98" s="49"/>
      <c r="BF98" s="49"/>
      <c r="BG98" s="129"/>
      <c r="BH98" s="129"/>
      <c r="BI98" s="129"/>
      <c r="BJ98" s="125"/>
      <c r="BK98" s="119"/>
      <c r="BL98" s="119"/>
      <c r="BM98" s="77"/>
      <c r="BN98" s="86"/>
      <c r="BO98" s="86"/>
      <c r="BP98" s="85"/>
      <c r="BQ98" s="85"/>
      <c r="BR98" s="77"/>
    </row>
    <row r="99" spans="8:70" x14ac:dyDescent="0.3">
      <c r="H99" s="80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8"/>
      <c r="Y99" s="99"/>
      <c r="Z99" s="99"/>
      <c r="AA99" s="100"/>
      <c r="AB99" s="100"/>
      <c r="AC99" s="100"/>
      <c r="AD99" s="53"/>
      <c r="AE99" s="54"/>
      <c r="AF99" s="54"/>
      <c r="AG99" s="55"/>
      <c r="AH99" s="55"/>
      <c r="AI99" s="55"/>
      <c r="AJ99" s="110"/>
      <c r="AK99" s="111"/>
      <c r="AL99" s="111"/>
      <c r="AM99" s="112"/>
      <c r="AN99" s="112"/>
      <c r="AO99" s="77"/>
      <c r="AP99" s="86"/>
      <c r="AQ99" s="86"/>
      <c r="AR99" s="85"/>
      <c r="AS99" s="77"/>
      <c r="AT99" s="77"/>
      <c r="AU99" s="77"/>
      <c r="AV99" s="119"/>
      <c r="AW99" s="129"/>
      <c r="AX99" s="129"/>
      <c r="AY99" s="125"/>
      <c r="AZ99" s="119"/>
      <c r="BA99" s="47"/>
      <c r="BB99" s="48"/>
      <c r="BC99" s="48"/>
      <c r="BD99" s="49"/>
      <c r="BE99" s="49"/>
      <c r="BF99" s="49"/>
      <c r="BG99" s="129"/>
      <c r="BH99" s="129"/>
      <c r="BI99" s="129"/>
      <c r="BJ99" s="125"/>
      <c r="BK99" s="119"/>
      <c r="BL99" s="119"/>
      <c r="BM99" s="77"/>
      <c r="BN99" s="86"/>
      <c r="BO99" s="86"/>
      <c r="BP99" s="85"/>
      <c r="BQ99" s="85"/>
      <c r="BR99" s="77"/>
    </row>
    <row r="100" spans="8:70" x14ac:dyDescent="0.3">
      <c r="H100" s="80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8"/>
      <c r="Y100" s="99"/>
      <c r="Z100" s="99"/>
      <c r="AA100" s="100"/>
      <c r="AB100" s="100"/>
      <c r="AC100" s="100"/>
      <c r="AD100" s="53"/>
      <c r="AE100" s="54"/>
      <c r="AF100" s="54"/>
      <c r="AG100" s="55"/>
      <c r="AH100" s="55"/>
      <c r="AI100" s="55"/>
      <c r="AJ100" s="110"/>
      <c r="AK100" s="111"/>
      <c r="AL100" s="111"/>
      <c r="AM100" s="112"/>
      <c r="AN100" s="112"/>
      <c r="AO100" s="77"/>
      <c r="AP100" s="86"/>
      <c r="AQ100" s="86"/>
      <c r="AR100" s="85"/>
      <c r="AS100" s="77"/>
      <c r="AT100" s="77"/>
      <c r="AU100" s="77"/>
      <c r="AV100" s="119"/>
      <c r="AW100" s="129"/>
      <c r="AX100" s="129"/>
      <c r="AY100" s="125"/>
      <c r="AZ100" s="119"/>
      <c r="BA100" s="47"/>
      <c r="BB100" s="48"/>
      <c r="BC100" s="48"/>
      <c r="BD100" s="49"/>
      <c r="BE100" s="49"/>
      <c r="BF100" s="49"/>
      <c r="BG100" s="129"/>
      <c r="BH100" s="129"/>
      <c r="BI100" s="129"/>
      <c r="BJ100" s="125"/>
      <c r="BK100" s="119"/>
      <c r="BL100" s="119"/>
      <c r="BM100" s="77"/>
      <c r="BN100" s="86"/>
      <c r="BO100" s="86"/>
      <c r="BP100" s="85"/>
      <c r="BQ100" s="85"/>
      <c r="BR100" s="77"/>
    </row>
    <row r="101" spans="8:70" x14ac:dyDescent="0.3">
      <c r="H101" s="80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8"/>
      <c r="Y101" s="99"/>
      <c r="Z101" s="99"/>
      <c r="AA101" s="100"/>
      <c r="AB101" s="100"/>
      <c r="AC101" s="100"/>
      <c r="AD101" s="53"/>
      <c r="AE101" s="54"/>
      <c r="AF101" s="54"/>
      <c r="AG101" s="55"/>
      <c r="AH101" s="55"/>
      <c r="AI101" s="55"/>
      <c r="AJ101" s="110"/>
      <c r="AK101" s="111"/>
      <c r="AL101" s="111"/>
      <c r="AM101" s="112"/>
      <c r="AN101" s="112"/>
      <c r="AO101" s="77"/>
      <c r="AP101" s="86"/>
      <c r="AQ101" s="86"/>
      <c r="AR101" s="85"/>
      <c r="AS101" s="77"/>
      <c r="AT101" s="77"/>
      <c r="AU101" s="77"/>
      <c r="AV101" s="119"/>
      <c r="AW101" s="129"/>
      <c r="AX101" s="129"/>
      <c r="AY101" s="125"/>
      <c r="AZ101" s="119"/>
      <c r="BA101" s="47"/>
      <c r="BB101" s="48"/>
      <c r="BC101" s="48"/>
      <c r="BD101" s="49"/>
      <c r="BE101" s="49"/>
      <c r="BF101" s="49"/>
      <c r="BG101" s="129"/>
      <c r="BH101" s="129"/>
      <c r="BI101" s="129"/>
      <c r="BJ101" s="125"/>
      <c r="BK101" s="119"/>
      <c r="BL101" s="119"/>
      <c r="BM101" s="77"/>
      <c r="BN101" s="86"/>
      <c r="BO101" s="86"/>
      <c r="BP101" s="85"/>
      <c r="BQ101" s="85"/>
      <c r="BR101" s="77"/>
    </row>
    <row r="102" spans="8:70" x14ac:dyDescent="0.3">
      <c r="H102" s="80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8"/>
      <c r="Y102" s="99"/>
      <c r="Z102" s="99"/>
      <c r="AA102" s="100"/>
      <c r="AB102" s="100"/>
      <c r="AC102" s="100"/>
      <c r="AD102" s="53"/>
      <c r="AE102" s="54"/>
      <c r="AF102" s="54"/>
      <c r="AG102" s="55"/>
      <c r="AH102" s="55"/>
      <c r="AI102" s="55"/>
      <c r="AJ102" s="110"/>
      <c r="AK102" s="111"/>
      <c r="AL102" s="111"/>
      <c r="AM102" s="112"/>
      <c r="AN102" s="112"/>
      <c r="AO102" s="77"/>
      <c r="AP102" s="86"/>
      <c r="AQ102" s="86"/>
      <c r="AR102" s="85"/>
      <c r="AS102" s="77"/>
      <c r="AT102" s="77"/>
      <c r="AU102" s="77"/>
      <c r="AV102" s="119"/>
      <c r="AW102" s="129"/>
      <c r="AX102" s="129"/>
      <c r="AY102" s="125"/>
      <c r="AZ102" s="119"/>
      <c r="BA102" s="47"/>
      <c r="BB102" s="48"/>
      <c r="BC102" s="48"/>
      <c r="BD102" s="49"/>
      <c r="BE102" s="49"/>
      <c r="BF102" s="49"/>
      <c r="BG102" s="129"/>
      <c r="BH102" s="129"/>
      <c r="BI102" s="129"/>
      <c r="BJ102" s="125"/>
      <c r="BK102" s="119"/>
      <c r="BL102" s="119"/>
      <c r="BM102" s="77"/>
      <c r="BN102" s="86"/>
      <c r="BO102" s="86"/>
      <c r="BP102" s="85"/>
      <c r="BQ102" s="85"/>
      <c r="BR102" s="77"/>
    </row>
    <row r="103" spans="8:70" x14ac:dyDescent="0.3">
      <c r="H103" s="80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8"/>
      <c r="Y103" s="99"/>
      <c r="Z103" s="99"/>
      <c r="AA103" s="100"/>
      <c r="AB103" s="100"/>
      <c r="AC103" s="100"/>
      <c r="AD103" s="53"/>
      <c r="AE103" s="54"/>
      <c r="AF103" s="54"/>
      <c r="AG103" s="55"/>
      <c r="AH103" s="55"/>
      <c r="AI103" s="55"/>
      <c r="AJ103" s="110"/>
      <c r="AK103" s="111"/>
      <c r="AL103" s="111"/>
      <c r="AM103" s="112"/>
      <c r="AN103" s="112"/>
      <c r="AO103" s="77"/>
      <c r="AP103" s="86"/>
      <c r="AQ103" s="86"/>
      <c r="AR103" s="85"/>
      <c r="AS103" s="77"/>
      <c r="AT103" s="77"/>
      <c r="AU103" s="77"/>
      <c r="AV103" s="119"/>
      <c r="AW103" s="129"/>
      <c r="AX103" s="129"/>
      <c r="AY103" s="125"/>
      <c r="AZ103" s="119"/>
      <c r="BA103" s="47"/>
      <c r="BB103" s="48"/>
      <c r="BC103" s="48"/>
      <c r="BD103" s="49"/>
      <c r="BE103" s="49"/>
      <c r="BF103" s="49"/>
      <c r="BG103" s="129"/>
      <c r="BH103" s="129"/>
      <c r="BI103" s="129"/>
      <c r="BJ103" s="125"/>
      <c r="BK103" s="119"/>
      <c r="BL103" s="119"/>
      <c r="BM103" s="77"/>
      <c r="BN103" s="86"/>
      <c r="BO103" s="86"/>
      <c r="BP103" s="85"/>
      <c r="BQ103" s="85"/>
      <c r="BR103" s="77"/>
    </row>
    <row r="104" spans="8:70" x14ac:dyDescent="0.3">
      <c r="H104" s="80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8"/>
      <c r="Y104" s="99"/>
      <c r="Z104" s="99"/>
      <c r="AA104" s="100"/>
      <c r="AB104" s="100"/>
      <c r="AC104" s="100"/>
      <c r="AD104" s="53"/>
      <c r="AE104" s="54"/>
      <c r="AF104" s="54"/>
      <c r="AG104" s="55"/>
      <c r="AH104" s="55"/>
      <c r="AI104" s="55"/>
      <c r="AJ104" s="110"/>
      <c r="AK104" s="111"/>
      <c r="AL104" s="111"/>
      <c r="AM104" s="112"/>
      <c r="AN104" s="112"/>
      <c r="AO104" s="77"/>
      <c r="AP104" s="86"/>
      <c r="AQ104" s="86"/>
      <c r="AR104" s="85"/>
      <c r="AS104" s="77"/>
      <c r="AT104" s="77"/>
      <c r="AU104" s="77"/>
      <c r="AV104" s="119"/>
      <c r="AW104" s="129"/>
      <c r="AX104" s="129"/>
      <c r="AY104" s="125"/>
      <c r="AZ104" s="119"/>
      <c r="BA104" s="47"/>
      <c r="BB104" s="48"/>
      <c r="BC104" s="48"/>
      <c r="BD104" s="49"/>
      <c r="BE104" s="49"/>
      <c r="BF104" s="49"/>
      <c r="BG104" s="129"/>
      <c r="BH104" s="129"/>
      <c r="BI104" s="129"/>
      <c r="BJ104" s="125"/>
      <c r="BK104" s="119"/>
      <c r="BL104" s="119"/>
      <c r="BM104" s="77"/>
      <c r="BN104" s="86"/>
      <c r="BO104" s="86"/>
      <c r="BP104" s="85"/>
      <c r="BQ104" s="85"/>
      <c r="BR104" s="77"/>
    </row>
    <row r="105" spans="8:70" x14ac:dyDescent="0.3">
      <c r="H105" s="80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8"/>
      <c r="Y105" s="99"/>
      <c r="Z105" s="99"/>
      <c r="AA105" s="100"/>
      <c r="AB105" s="100"/>
      <c r="AC105" s="100"/>
      <c r="AD105" s="53"/>
      <c r="AE105" s="54"/>
      <c r="AF105" s="54"/>
      <c r="AG105" s="55"/>
      <c r="AH105" s="55"/>
      <c r="AI105" s="55"/>
      <c r="AJ105" s="110"/>
      <c r="AK105" s="111"/>
      <c r="AL105" s="111"/>
      <c r="AM105" s="112"/>
      <c r="AN105" s="112"/>
      <c r="AO105" s="77"/>
      <c r="AP105" s="86"/>
      <c r="AQ105" s="86"/>
      <c r="AR105" s="85"/>
      <c r="AS105" s="77"/>
      <c r="AT105" s="77"/>
      <c r="AU105" s="77"/>
      <c r="AV105" s="119"/>
      <c r="AW105" s="129"/>
      <c r="AX105" s="129"/>
      <c r="AY105" s="125"/>
      <c r="AZ105" s="119"/>
      <c r="BA105" s="47"/>
      <c r="BB105" s="48"/>
      <c r="BC105" s="48"/>
      <c r="BD105" s="49"/>
      <c r="BE105" s="49"/>
      <c r="BF105" s="49"/>
      <c r="BG105" s="129"/>
      <c r="BH105" s="129"/>
      <c r="BI105" s="129"/>
      <c r="BJ105" s="125"/>
      <c r="BK105" s="119"/>
      <c r="BL105" s="119"/>
      <c r="BM105" s="77"/>
      <c r="BN105" s="86"/>
      <c r="BO105" s="86"/>
      <c r="BP105" s="85"/>
      <c r="BQ105" s="85"/>
      <c r="BR105" s="77"/>
    </row>
    <row r="106" spans="8:70" x14ac:dyDescent="0.3">
      <c r="H106" s="80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8"/>
      <c r="Y106" s="99"/>
      <c r="Z106" s="99"/>
      <c r="AA106" s="100"/>
      <c r="AB106" s="100"/>
      <c r="AC106" s="100"/>
      <c r="AD106" s="53"/>
      <c r="AE106" s="54"/>
      <c r="AF106" s="54"/>
      <c r="AG106" s="55"/>
      <c r="AH106" s="55"/>
      <c r="AI106" s="55"/>
      <c r="AJ106" s="110"/>
      <c r="AK106" s="111"/>
      <c r="AL106" s="111"/>
      <c r="AM106" s="112"/>
      <c r="AN106" s="112"/>
      <c r="AO106" s="77"/>
      <c r="AP106" s="86"/>
      <c r="AQ106" s="86"/>
      <c r="AR106" s="85"/>
      <c r="AS106" s="77"/>
      <c r="AT106" s="77"/>
      <c r="AU106" s="77"/>
      <c r="AV106" s="119"/>
      <c r="AW106" s="129"/>
      <c r="AX106" s="129"/>
      <c r="AY106" s="125"/>
      <c r="AZ106" s="119"/>
      <c r="BA106" s="47"/>
      <c r="BB106" s="48"/>
      <c r="BC106" s="48"/>
      <c r="BD106" s="49"/>
      <c r="BE106" s="49"/>
      <c r="BF106" s="49"/>
      <c r="BG106" s="129"/>
      <c r="BH106" s="129"/>
      <c r="BI106" s="129"/>
      <c r="BJ106" s="125"/>
      <c r="BK106" s="119"/>
      <c r="BL106" s="119"/>
      <c r="BM106" s="77"/>
      <c r="BN106" s="86"/>
      <c r="BO106" s="86"/>
      <c r="BP106" s="85"/>
      <c r="BQ106" s="85"/>
      <c r="BR106" s="77"/>
    </row>
    <row r="107" spans="8:70" x14ac:dyDescent="0.3">
      <c r="H107" s="80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8"/>
      <c r="Y107" s="99"/>
      <c r="Z107" s="99"/>
      <c r="AA107" s="100"/>
      <c r="AB107" s="100"/>
      <c r="AC107" s="100"/>
      <c r="AD107" s="53"/>
      <c r="AE107" s="54"/>
      <c r="AF107" s="54"/>
      <c r="AG107" s="55"/>
      <c r="AH107" s="55"/>
      <c r="AI107" s="55"/>
      <c r="AJ107" s="110"/>
      <c r="AK107" s="111"/>
      <c r="AL107" s="111"/>
      <c r="AM107" s="112"/>
      <c r="AN107" s="112"/>
      <c r="AO107" s="77"/>
      <c r="AP107" s="86"/>
      <c r="AQ107" s="86"/>
      <c r="AR107" s="85"/>
      <c r="AS107" s="77"/>
      <c r="AT107" s="77"/>
      <c r="AU107" s="77"/>
      <c r="AV107" s="119"/>
      <c r="AW107" s="129"/>
      <c r="AX107" s="129"/>
      <c r="AY107" s="125"/>
      <c r="AZ107" s="119"/>
      <c r="BA107" s="47"/>
      <c r="BB107" s="48"/>
      <c r="BC107" s="48"/>
      <c r="BD107" s="49"/>
      <c r="BE107" s="49"/>
      <c r="BF107" s="49"/>
      <c r="BG107" s="129"/>
      <c r="BH107" s="129"/>
      <c r="BI107" s="129"/>
      <c r="BJ107" s="125"/>
      <c r="BK107" s="119"/>
      <c r="BL107" s="119"/>
      <c r="BM107" s="77"/>
      <c r="BN107" s="86"/>
      <c r="BO107" s="86"/>
      <c r="BP107" s="85"/>
      <c r="BQ107" s="85"/>
      <c r="BR107" s="77"/>
    </row>
    <row r="108" spans="8:70" x14ac:dyDescent="0.3">
      <c r="H108" s="80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8"/>
      <c r="Y108" s="99"/>
      <c r="Z108" s="99"/>
      <c r="AA108" s="100"/>
      <c r="AB108" s="100"/>
      <c r="AC108" s="100"/>
      <c r="AD108" s="53"/>
      <c r="AE108" s="54"/>
      <c r="AF108" s="54"/>
      <c r="AG108" s="55"/>
      <c r="AH108" s="55"/>
      <c r="AI108" s="55"/>
      <c r="AJ108" s="110"/>
      <c r="AK108" s="111"/>
      <c r="AL108" s="111"/>
      <c r="AM108" s="112"/>
      <c r="AN108" s="112"/>
      <c r="AO108" s="77"/>
      <c r="AP108" s="86"/>
      <c r="AQ108" s="86"/>
      <c r="AR108" s="85"/>
      <c r="AS108" s="77"/>
      <c r="AT108" s="77"/>
      <c r="AU108" s="77"/>
      <c r="AV108" s="119"/>
      <c r="AW108" s="129"/>
      <c r="AX108" s="129"/>
      <c r="AY108" s="125"/>
      <c r="AZ108" s="119"/>
      <c r="BA108" s="47"/>
      <c r="BB108" s="48"/>
      <c r="BC108" s="48"/>
      <c r="BD108" s="49"/>
      <c r="BE108" s="49"/>
      <c r="BF108" s="49"/>
      <c r="BG108" s="129"/>
      <c r="BH108" s="129"/>
      <c r="BI108" s="129"/>
      <c r="BJ108" s="125"/>
      <c r="BK108" s="119"/>
      <c r="BL108" s="119"/>
      <c r="BM108" s="77"/>
      <c r="BN108" s="86"/>
      <c r="BO108" s="86"/>
      <c r="BP108" s="85"/>
      <c r="BQ108" s="85"/>
      <c r="BR108" s="77"/>
    </row>
    <row r="109" spans="8:70" x14ac:dyDescent="0.3">
      <c r="H109" s="80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8"/>
      <c r="Y109" s="99"/>
      <c r="Z109" s="99"/>
      <c r="AA109" s="100"/>
      <c r="AB109" s="100"/>
      <c r="AC109" s="100"/>
      <c r="AD109" s="53"/>
      <c r="AE109" s="54"/>
      <c r="AF109" s="54"/>
      <c r="AG109" s="55"/>
      <c r="AH109" s="55"/>
      <c r="AI109" s="55"/>
      <c r="AJ109" s="110"/>
      <c r="AK109" s="111"/>
      <c r="AL109" s="111"/>
      <c r="AM109" s="112"/>
      <c r="AN109" s="112"/>
      <c r="AO109" s="77"/>
      <c r="AP109" s="86"/>
      <c r="AQ109" s="86"/>
      <c r="AR109" s="85"/>
      <c r="AS109" s="77"/>
      <c r="AT109" s="77"/>
      <c r="AU109" s="77"/>
      <c r="AV109" s="119"/>
      <c r="AW109" s="129"/>
      <c r="AX109" s="129"/>
      <c r="AY109" s="125"/>
      <c r="AZ109" s="119"/>
      <c r="BA109" s="47"/>
      <c r="BB109" s="48"/>
      <c r="BC109" s="48"/>
      <c r="BD109" s="49"/>
      <c r="BE109" s="49"/>
      <c r="BF109" s="49"/>
      <c r="BG109" s="129"/>
      <c r="BH109" s="129"/>
      <c r="BI109" s="129"/>
      <c r="BJ109" s="125"/>
      <c r="BK109" s="119"/>
      <c r="BL109" s="119"/>
      <c r="BM109" s="77"/>
      <c r="BN109" s="86"/>
      <c r="BO109" s="86"/>
      <c r="BP109" s="85"/>
      <c r="BQ109" s="85"/>
      <c r="BR109" s="77"/>
    </row>
    <row r="110" spans="8:70" x14ac:dyDescent="0.3">
      <c r="H110" s="80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8"/>
      <c r="Y110" s="99"/>
      <c r="Z110" s="99"/>
      <c r="AA110" s="100"/>
      <c r="AB110" s="100"/>
      <c r="AC110" s="100"/>
      <c r="AD110" s="53"/>
      <c r="AE110" s="54"/>
      <c r="AF110" s="54"/>
      <c r="AG110" s="55"/>
      <c r="AH110" s="55"/>
      <c r="AI110" s="55"/>
      <c r="AJ110" s="110"/>
      <c r="AK110" s="111"/>
      <c r="AL110" s="111"/>
      <c r="AM110" s="112"/>
      <c r="AN110" s="112"/>
      <c r="AO110" s="77"/>
      <c r="AP110" s="86"/>
      <c r="AQ110" s="86"/>
      <c r="AR110" s="85"/>
      <c r="AS110" s="77"/>
      <c r="AT110" s="77"/>
      <c r="AU110" s="77"/>
      <c r="AV110" s="119"/>
      <c r="AW110" s="129"/>
      <c r="AX110" s="129"/>
      <c r="AY110" s="125"/>
      <c r="AZ110" s="119"/>
      <c r="BA110" s="47"/>
      <c r="BB110" s="48"/>
      <c r="BC110" s="48"/>
      <c r="BD110" s="49"/>
      <c r="BE110" s="49"/>
      <c r="BF110" s="49"/>
      <c r="BG110" s="129"/>
      <c r="BH110" s="129"/>
      <c r="BI110" s="129"/>
      <c r="BJ110" s="125"/>
      <c r="BK110" s="119"/>
      <c r="BL110" s="119"/>
      <c r="BM110" s="77"/>
      <c r="BN110" s="86"/>
      <c r="BO110" s="86"/>
      <c r="BP110" s="85"/>
      <c r="BQ110" s="85"/>
      <c r="BR110" s="77"/>
    </row>
    <row r="111" spans="8:70" x14ac:dyDescent="0.3">
      <c r="H111" s="80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8"/>
      <c r="Y111" s="99"/>
      <c r="Z111" s="99"/>
      <c r="AA111" s="100"/>
      <c r="AB111" s="100"/>
      <c r="AC111" s="100"/>
      <c r="AD111" s="53"/>
      <c r="AE111" s="54"/>
      <c r="AF111" s="54"/>
      <c r="AG111" s="55"/>
      <c r="AH111" s="55"/>
      <c r="AI111" s="55"/>
      <c r="AJ111" s="110"/>
      <c r="AK111" s="111"/>
      <c r="AL111" s="111"/>
      <c r="AM111" s="112"/>
      <c r="AN111" s="112"/>
      <c r="AO111" s="77"/>
      <c r="AP111" s="86"/>
      <c r="AQ111" s="86"/>
      <c r="AR111" s="85"/>
      <c r="AS111" s="77"/>
      <c r="AT111" s="77"/>
      <c r="AU111" s="77"/>
      <c r="AV111" s="119"/>
      <c r="AW111" s="129"/>
      <c r="AX111" s="129"/>
      <c r="AY111" s="125"/>
      <c r="AZ111" s="119"/>
      <c r="BA111" s="47"/>
      <c r="BB111" s="48"/>
      <c r="BC111" s="48"/>
      <c r="BD111" s="49"/>
      <c r="BE111" s="49"/>
      <c r="BF111" s="49"/>
      <c r="BG111" s="129"/>
      <c r="BH111" s="129"/>
      <c r="BI111" s="129"/>
      <c r="BJ111" s="125"/>
      <c r="BK111" s="119"/>
      <c r="BL111" s="119"/>
      <c r="BM111" s="77"/>
      <c r="BN111" s="86"/>
      <c r="BO111" s="86"/>
      <c r="BP111" s="85"/>
      <c r="BQ111" s="85"/>
      <c r="BR111" s="77"/>
    </row>
    <row r="112" spans="8:70" x14ac:dyDescent="0.3">
      <c r="H112" s="80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8"/>
      <c r="Y112" s="99"/>
      <c r="Z112" s="99"/>
      <c r="AA112" s="100"/>
      <c r="AB112" s="100"/>
      <c r="AC112" s="100"/>
      <c r="AD112" s="53"/>
      <c r="AE112" s="54"/>
      <c r="AF112" s="54"/>
      <c r="AG112" s="55"/>
      <c r="AH112" s="55"/>
      <c r="AI112" s="55"/>
      <c r="AJ112" s="110"/>
      <c r="AK112" s="111"/>
      <c r="AL112" s="111"/>
      <c r="AM112" s="112"/>
      <c r="AN112" s="112"/>
      <c r="AO112" s="77"/>
      <c r="AP112" s="86"/>
      <c r="AQ112" s="86"/>
      <c r="AR112" s="85"/>
      <c r="AS112" s="77"/>
      <c r="AT112" s="77"/>
      <c r="AU112" s="77"/>
      <c r="AV112" s="119"/>
      <c r="AW112" s="129"/>
      <c r="AX112" s="129"/>
      <c r="AY112" s="125"/>
      <c r="AZ112" s="119"/>
      <c r="BA112" s="47"/>
      <c r="BB112" s="48"/>
      <c r="BC112" s="48"/>
      <c r="BD112" s="49"/>
      <c r="BE112" s="49"/>
      <c r="BF112" s="49"/>
      <c r="BG112" s="129"/>
      <c r="BH112" s="129"/>
      <c r="BI112" s="129"/>
      <c r="BJ112" s="125"/>
      <c r="BK112" s="119"/>
      <c r="BL112" s="119"/>
      <c r="BM112" s="77"/>
      <c r="BN112" s="86"/>
      <c r="BO112" s="86"/>
      <c r="BP112" s="85"/>
      <c r="BQ112" s="85"/>
      <c r="BR112" s="77"/>
    </row>
    <row r="113" spans="8:70" x14ac:dyDescent="0.3">
      <c r="H113" s="80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8"/>
      <c r="Y113" s="99"/>
      <c r="Z113" s="99"/>
      <c r="AA113" s="100"/>
      <c r="AB113" s="100"/>
      <c r="AC113" s="100"/>
      <c r="AD113" s="53"/>
      <c r="AE113" s="54"/>
      <c r="AF113" s="54"/>
      <c r="AG113" s="55"/>
      <c r="AH113" s="55"/>
      <c r="AI113" s="55"/>
      <c r="AJ113" s="110"/>
      <c r="AK113" s="111"/>
      <c r="AL113" s="111"/>
      <c r="AM113" s="112"/>
      <c r="AN113" s="112"/>
      <c r="AO113" s="77"/>
      <c r="AP113" s="86"/>
      <c r="AQ113" s="86"/>
      <c r="AR113" s="85"/>
      <c r="AS113" s="77"/>
      <c r="AT113" s="77"/>
      <c r="AU113" s="77"/>
      <c r="AV113" s="119"/>
      <c r="AW113" s="129"/>
      <c r="AX113" s="129"/>
      <c r="AY113" s="125"/>
      <c r="AZ113" s="119"/>
      <c r="BA113" s="47"/>
      <c r="BB113" s="48"/>
      <c r="BC113" s="48"/>
      <c r="BD113" s="49"/>
      <c r="BE113" s="49"/>
      <c r="BF113" s="49"/>
      <c r="BG113" s="129"/>
      <c r="BH113" s="129"/>
      <c r="BI113" s="129"/>
      <c r="BJ113" s="125"/>
      <c r="BK113" s="119"/>
      <c r="BL113" s="119"/>
      <c r="BM113" s="77"/>
      <c r="BN113" s="86"/>
      <c r="BO113" s="86"/>
      <c r="BP113" s="85"/>
      <c r="BQ113" s="85"/>
      <c r="BR113" s="77"/>
    </row>
    <row r="114" spans="8:70" x14ac:dyDescent="0.3">
      <c r="H114" s="80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8"/>
      <c r="Y114" s="99"/>
      <c r="Z114" s="99"/>
      <c r="AA114" s="100"/>
      <c r="AB114" s="100"/>
      <c r="AC114" s="100"/>
      <c r="AD114" s="53"/>
      <c r="AE114" s="54"/>
      <c r="AF114" s="54"/>
      <c r="AG114" s="55"/>
      <c r="AH114" s="55"/>
      <c r="AI114" s="55"/>
      <c r="AJ114" s="110"/>
      <c r="AK114" s="111"/>
      <c r="AL114" s="111"/>
      <c r="AM114" s="112"/>
      <c r="AN114" s="112"/>
      <c r="AO114" s="77"/>
      <c r="AP114" s="86"/>
      <c r="AQ114" s="86"/>
      <c r="AR114" s="85"/>
      <c r="AS114" s="77"/>
      <c r="AT114" s="77"/>
      <c r="AU114" s="77"/>
      <c r="AV114" s="119"/>
      <c r="AW114" s="129"/>
      <c r="AX114" s="129"/>
      <c r="AY114" s="125"/>
      <c r="AZ114" s="119"/>
      <c r="BA114" s="47"/>
      <c r="BB114" s="48"/>
      <c r="BC114" s="48"/>
      <c r="BD114" s="49"/>
      <c r="BE114" s="49"/>
      <c r="BF114" s="49"/>
      <c r="BG114" s="129"/>
      <c r="BH114" s="129"/>
      <c r="BI114" s="129"/>
      <c r="BJ114" s="125"/>
      <c r="BK114" s="119"/>
      <c r="BL114" s="119"/>
      <c r="BM114" s="77"/>
      <c r="BN114" s="86"/>
      <c r="BO114" s="86"/>
      <c r="BP114" s="85"/>
      <c r="BQ114" s="85"/>
      <c r="BR114" s="77"/>
    </row>
    <row r="115" spans="8:70" x14ac:dyDescent="0.3">
      <c r="H115" s="80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8"/>
      <c r="Y115" s="99"/>
      <c r="Z115" s="99"/>
      <c r="AA115" s="100"/>
      <c r="AB115" s="100"/>
      <c r="AC115" s="100"/>
      <c r="AD115" s="53"/>
      <c r="AE115" s="54"/>
      <c r="AF115" s="54"/>
      <c r="AG115" s="55"/>
      <c r="AH115" s="55"/>
      <c r="AI115" s="55"/>
      <c r="AJ115" s="110"/>
      <c r="AK115" s="111"/>
      <c r="AL115" s="111"/>
      <c r="AM115" s="112"/>
      <c r="AN115" s="112"/>
      <c r="AO115" s="77"/>
      <c r="AP115" s="86"/>
      <c r="AQ115" s="86"/>
      <c r="AR115" s="85"/>
      <c r="AS115" s="77"/>
      <c r="AT115" s="77"/>
      <c r="AU115" s="77"/>
      <c r="AV115" s="119"/>
      <c r="AW115" s="129"/>
      <c r="AX115" s="129"/>
      <c r="AY115" s="125"/>
      <c r="AZ115" s="119"/>
      <c r="BA115" s="47"/>
      <c r="BB115" s="48"/>
      <c r="BC115" s="48"/>
      <c r="BD115" s="49"/>
      <c r="BE115" s="49"/>
      <c r="BF115" s="49"/>
      <c r="BG115" s="129"/>
      <c r="BH115" s="129"/>
      <c r="BI115" s="129"/>
      <c r="BJ115" s="125"/>
      <c r="BK115" s="119"/>
      <c r="BL115" s="119"/>
      <c r="BM115" s="77"/>
      <c r="BN115" s="86"/>
      <c r="BO115" s="86"/>
      <c r="BP115" s="85"/>
      <c r="BQ115" s="85"/>
      <c r="BR115" s="77"/>
    </row>
    <row r="116" spans="8:70" x14ac:dyDescent="0.3">
      <c r="H116" s="80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8"/>
      <c r="Y116" s="99"/>
      <c r="Z116" s="99"/>
      <c r="AA116" s="100"/>
      <c r="AB116" s="100"/>
      <c r="AC116" s="100"/>
      <c r="AD116" s="53"/>
      <c r="AE116" s="54"/>
      <c r="AF116" s="54"/>
      <c r="AG116" s="55"/>
      <c r="AH116" s="55"/>
      <c r="AI116" s="55"/>
      <c r="AJ116" s="110"/>
      <c r="AK116" s="111"/>
      <c r="AL116" s="111"/>
      <c r="AM116" s="112"/>
      <c r="AN116" s="112"/>
      <c r="AO116" s="77"/>
      <c r="AP116" s="86"/>
      <c r="AQ116" s="86"/>
      <c r="AR116" s="85"/>
      <c r="AS116" s="77"/>
      <c r="AT116" s="77"/>
      <c r="AU116" s="77"/>
      <c r="AV116" s="119"/>
      <c r="AW116" s="129"/>
      <c r="AX116" s="129"/>
      <c r="AY116" s="125"/>
      <c r="AZ116" s="119"/>
      <c r="BA116" s="47"/>
      <c r="BB116" s="48"/>
      <c r="BC116" s="48"/>
      <c r="BD116" s="49"/>
      <c r="BE116" s="49"/>
      <c r="BF116" s="49"/>
      <c r="BG116" s="129"/>
      <c r="BH116" s="129"/>
      <c r="BI116" s="129"/>
      <c r="BJ116" s="125"/>
      <c r="BK116" s="119"/>
      <c r="BL116" s="119"/>
      <c r="BM116" s="77"/>
      <c r="BN116" s="86"/>
      <c r="BO116" s="86"/>
      <c r="BP116" s="85"/>
      <c r="BQ116" s="85"/>
      <c r="BR116" s="77"/>
    </row>
    <row r="117" spans="8:70" x14ac:dyDescent="0.3">
      <c r="H117" s="80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8"/>
      <c r="Y117" s="99"/>
      <c r="Z117" s="99"/>
      <c r="AA117" s="100"/>
      <c r="AB117" s="100"/>
      <c r="AC117" s="100"/>
      <c r="AD117" s="53"/>
      <c r="AE117" s="54"/>
      <c r="AF117" s="54"/>
      <c r="AG117" s="55"/>
      <c r="AH117" s="55"/>
      <c r="AI117" s="55"/>
      <c r="AJ117" s="110"/>
      <c r="AK117" s="111"/>
      <c r="AL117" s="111"/>
      <c r="AM117" s="112"/>
      <c r="AN117" s="112"/>
      <c r="AO117" s="77"/>
      <c r="AP117" s="86"/>
      <c r="AQ117" s="86"/>
      <c r="AR117" s="85"/>
      <c r="AS117" s="77"/>
      <c r="AT117" s="77"/>
      <c r="AU117" s="77"/>
      <c r="AV117" s="119"/>
      <c r="AW117" s="129"/>
      <c r="AX117" s="129"/>
      <c r="AY117" s="125"/>
      <c r="AZ117" s="119"/>
      <c r="BA117" s="47"/>
      <c r="BB117" s="48"/>
      <c r="BC117" s="48"/>
      <c r="BD117" s="49"/>
      <c r="BE117" s="49"/>
      <c r="BF117" s="49"/>
      <c r="BG117" s="129"/>
      <c r="BH117" s="129"/>
      <c r="BI117" s="129"/>
      <c r="BJ117" s="125"/>
      <c r="BK117" s="119"/>
      <c r="BL117" s="119"/>
      <c r="BM117" s="77"/>
      <c r="BN117" s="86"/>
      <c r="BO117" s="86"/>
      <c r="BP117" s="85"/>
      <c r="BQ117" s="85"/>
      <c r="BR117" s="77"/>
    </row>
    <row r="118" spans="8:70" x14ac:dyDescent="0.3">
      <c r="H118" s="80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8"/>
      <c r="Y118" s="99"/>
      <c r="Z118" s="99"/>
      <c r="AA118" s="100"/>
      <c r="AB118" s="100"/>
      <c r="AC118" s="100"/>
      <c r="AD118" s="53"/>
      <c r="AE118" s="54"/>
      <c r="AF118" s="54"/>
      <c r="AG118" s="55"/>
      <c r="AH118" s="55"/>
      <c r="AI118" s="55"/>
      <c r="AJ118" s="110"/>
      <c r="AK118" s="111"/>
      <c r="AL118" s="111"/>
      <c r="AM118" s="112"/>
      <c r="AN118" s="112"/>
      <c r="AO118" s="77"/>
      <c r="AP118" s="86"/>
      <c r="AQ118" s="86"/>
      <c r="AR118" s="85"/>
      <c r="AS118" s="77"/>
      <c r="AT118" s="77"/>
      <c r="AU118" s="77"/>
      <c r="AV118" s="119"/>
      <c r="AW118" s="129"/>
      <c r="AX118" s="129"/>
      <c r="AY118" s="125"/>
      <c r="AZ118" s="119"/>
      <c r="BA118" s="47"/>
      <c r="BB118" s="48"/>
      <c r="BC118" s="48"/>
      <c r="BD118" s="49"/>
      <c r="BE118" s="49"/>
      <c r="BF118" s="49"/>
      <c r="BG118" s="129"/>
      <c r="BH118" s="129"/>
      <c r="BI118" s="129"/>
      <c r="BJ118" s="125"/>
      <c r="BK118" s="119"/>
      <c r="BL118" s="119"/>
      <c r="BM118" s="77"/>
      <c r="BN118" s="86"/>
      <c r="BO118" s="86"/>
      <c r="BP118" s="85"/>
      <c r="BQ118" s="85"/>
      <c r="BR118" s="77"/>
    </row>
    <row r="119" spans="8:70" x14ac:dyDescent="0.3">
      <c r="H119" s="80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8"/>
      <c r="Y119" s="99"/>
      <c r="Z119" s="99"/>
      <c r="AA119" s="100"/>
      <c r="AB119" s="100"/>
      <c r="AC119" s="100"/>
      <c r="AD119" s="53"/>
      <c r="AE119" s="54"/>
      <c r="AF119" s="54"/>
      <c r="AG119" s="55"/>
      <c r="AH119" s="55"/>
      <c r="AI119" s="55"/>
      <c r="AJ119" s="110"/>
      <c r="AK119" s="111"/>
      <c r="AL119" s="111"/>
      <c r="AM119" s="112"/>
      <c r="AN119" s="112"/>
      <c r="AO119" s="77"/>
      <c r="AP119" s="86"/>
      <c r="AQ119" s="86"/>
      <c r="AR119" s="85"/>
      <c r="AS119" s="77"/>
      <c r="AT119" s="77"/>
      <c r="AU119" s="77"/>
      <c r="AV119" s="119"/>
      <c r="AW119" s="129"/>
      <c r="AX119" s="129"/>
      <c r="AY119" s="125"/>
      <c r="AZ119" s="119"/>
      <c r="BA119" s="47"/>
      <c r="BB119" s="48"/>
      <c r="BC119" s="48"/>
      <c r="BD119" s="49"/>
      <c r="BE119" s="49"/>
      <c r="BF119" s="49"/>
      <c r="BG119" s="129"/>
      <c r="BH119" s="129"/>
      <c r="BI119" s="129"/>
      <c r="BJ119" s="125"/>
      <c r="BK119" s="119"/>
      <c r="BL119" s="119"/>
      <c r="BM119" s="77"/>
      <c r="BN119" s="86"/>
      <c r="BO119" s="86"/>
      <c r="BP119" s="85"/>
      <c r="BQ119" s="85"/>
      <c r="BR119" s="77"/>
    </row>
    <row r="120" spans="8:70" x14ac:dyDescent="0.3">
      <c r="H120" s="80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8"/>
      <c r="Y120" s="99"/>
      <c r="Z120" s="99"/>
      <c r="AA120" s="100"/>
      <c r="AB120" s="100"/>
      <c r="AC120" s="100"/>
      <c r="AD120" s="53"/>
      <c r="AE120" s="54"/>
      <c r="AF120" s="54"/>
      <c r="AG120" s="55"/>
      <c r="AH120" s="55"/>
      <c r="AI120" s="55"/>
      <c r="AJ120" s="110"/>
      <c r="AK120" s="111"/>
      <c r="AL120" s="111"/>
      <c r="AM120" s="112"/>
      <c r="AN120" s="112"/>
      <c r="AO120" s="77"/>
      <c r="AP120" s="86"/>
      <c r="AQ120" s="86"/>
      <c r="AR120" s="85"/>
      <c r="AS120" s="77"/>
      <c r="AT120" s="77"/>
      <c r="AU120" s="77"/>
      <c r="AV120" s="119"/>
      <c r="AW120" s="129"/>
      <c r="AX120" s="129"/>
      <c r="AY120" s="125"/>
      <c r="AZ120" s="119"/>
      <c r="BA120" s="47"/>
      <c r="BB120" s="48"/>
      <c r="BC120" s="48"/>
      <c r="BD120" s="49"/>
      <c r="BE120" s="49"/>
      <c r="BF120" s="49"/>
      <c r="BG120" s="129"/>
      <c r="BH120" s="129"/>
      <c r="BI120" s="129"/>
      <c r="BJ120" s="125"/>
      <c r="BK120" s="119"/>
      <c r="BL120" s="119"/>
      <c r="BM120" s="77"/>
      <c r="BN120" s="86"/>
      <c r="BO120" s="86"/>
      <c r="BP120" s="85"/>
      <c r="BQ120" s="85"/>
      <c r="BR120" s="77"/>
    </row>
    <row r="121" spans="8:70" x14ac:dyDescent="0.3">
      <c r="H121" s="80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8"/>
      <c r="Y121" s="99"/>
      <c r="Z121" s="99"/>
      <c r="AA121" s="100"/>
      <c r="AB121" s="100"/>
      <c r="AC121" s="100"/>
      <c r="AD121" s="53"/>
      <c r="AE121" s="54"/>
      <c r="AF121" s="54"/>
      <c r="AG121" s="55"/>
      <c r="AH121" s="55"/>
      <c r="AI121" s="55"/>
      <c r="AJ121" s="110"/>
      <c r="AK121" s="111"/>
      <c r="AL121" s="111"/>
      <c r="AM121" s="112"/>
      <c r="AN121" s="112"/>
      <c r="AO121" s="77"/>
      <c r="AP121" s="86"/>
      <c r="AQ121" s="86"/>
      <c r="AR121" s="85"/>
      <c r="AS121" s="77"/>
      <c r="AT121" s="77"/>
      <c r="AU121" s="77"/>
      <c r="AV121" s="119"/>
      <c r="AW121" s="129"/>
      <c r="AX121" s="129"/>
      <c r="AY121" s="125"/>
      <c r="AZ121" s="119"/>
      <c r="BA121" s="47"/>
      <c r="BB121" s="48"/>
      <c r="BC121" s="48"/>
      <c r="BD121" s="49"/>
      <c r="BE121" s="49"/>
      <c r="BF121" s="49"/>
      <c r="BG121" s="129"/>
      <c r="BH121" s="129"/>
      <c r="BI121" s="129"/>
      <c r="BJ121" s="125"/>
      <c r="BK121" s="119"/>
      <c r="BL121" s="119"/>
      <c r="BM121" s="77"/>
      <c r="BN121" s="86"/>
      <c r="BO121" s="86"/>
      <c r="BP121" s="85"/>
      <c r="BQ121" s="85"/>
      <c r="BR121" s="77"/>
    </row>
    <row r="122" spans="8:70" x14ac:dyDescent="0.3">
      <c r="H122" s="80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8"/>
      <c r="Y122" s="99"/>
      <c r="Z122" s="99"/>
      <c r="AA122" s="100"/>
      <c r="AB122" s="100"/>
      <c r="AC122" s="100"/>
      <c r="AD122" s="53"/>
      <c r="AE122" s="54"/>
      <c r="AF122" s="54"/>
      <c r="AG122" s="55"/>
      <c r="AH122" s="55"/>
      <c r="AI122" s="55"/>
      <c r="AJ122" s="110"/>
      <c r="AK122" s="111"/>
      <c r="AL122" s="111"/>
      <c r="AM122" s="112"/>
      <c r="AN122" s="112"/>
      <c r="AO122" s="77"/>
      <c r="AP122" s="86"/>
      <c r="AQ122" s="86"/>
      <c r="AR122" s="85"/>
      <c r="AS122" s="77"/>
      <c r="AT122" s="77"/>
      <c r="AU122" s="77"/>
      <c r="AV122" s="119"/>
      <c r="AW122" s="129"/>
      <c r="AX122" s="129"/>
      <c r="AY122" s="125"/>
      <c r="AZ122" s="119"/>
      <c r="BA122" s="47"/>
      <c r="BB122" s="48"/>
      <c r="BC122" s="48"/>
      <c r="BD122" s="49"/>
      <c r="BE122" s="49"/>
      <c r="BF122" s="49"/>
      <c r="BG122" s="129"/>
      <c r="BH122" s="129"/>
      <c r="BI122" s="129"/>
      <c r="BJ122" s="125"/>
      <c r="BK122" s="119"/>
      <c r="BL122" s="119"/>
      <c r="BM122" s="77"/>
      <c r="BN122" s="86"/>
      <c r="BO122" s="86"/>
      <c r="BP122" s="85"/>
      <c r="BQ122" s="85"/>
      <c r="BR122" s="77"/>
    </row>
    <row r="123" spans="8:70" x14ac:dyDescent="0.3">
      <c r="H123" s="80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8"/>
      <c r="Y123" s="99"/>
      <c r="Z123" s="99"/>
      <c r="AA123" s="100"/>
      <c r="AB123" s="100"/>
      <c r="AC123" s="100"/>
      <c r="AD123" s="53"/>
      <c r="AE123" s="54"/>
      <c r="AF123" s="54"/>
      <c r="AG123" s="55"/>
      <c r="AH123" s="55"/>
      <c r="AI123" s="55"/>
      <c r="AJ123" s="110"/>
      <c r="AK123" s="111"/>
      <c r="AL123" s="111"/>
      <c r="AM123" s="112"/>
      <c r="AN123" s="112"/>
      <c r="AO123" s="77"/>
      <c r="AP123" s="86"/>
      <c r="AQ123" s="86"/>
      <c r="AR123" s="85"/>
      <c r="AS123" s="77"/>
      <c r="AT123" s="77"/>
      <c r="AU123" s="77"/>
      <c r="AV123" s="119"/>
      <c r="AW123" s="129"/>
      <c r="AX123" s="129"/>
      <c r="AY123" s="125"/>
      <c r="AZ123" s="119"/>
      <c r="BA123" s="47"/>
      <c r="BB123" s="48"/>
      <c r="BC123" s="48"/>
      <c r="BD123" s="49"/>
      <c r="BE123" s="49"/>
      <c r="BF123" s="49"/>
      <c r="BG123" s="129"/>
      <c r="BH123" s="129"/>
      <c r="BI123" s="129"/>
      <c r="BJ123" s="125"/>
      <c r="BK123" s="119"/>
      <c r="BL123" s="119"/>
      <c r="BM123" s="77"/>
      <c r="BN123" s="86"/>
      <c r="BO123" s="86"/>
      <c r="BP123" s="85"/>
      <c r="BQ123" s="85"/>
      <c r="BR123" s="77"/>
    </row>
    <row r="124" spans="8:70" x14ac:dyDescent="0.3">
      <c r="H124" s="80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8"/>
      <c r="Y124" s="99"/>
      <c r="Z124" s="99"/>
      <c r="AA124" s="100"/>
      <c r="AB124" s="100"/>
      <c r="AC124" s="100"/>
      <c r="AD124" s="53"/>
      <c r="AE124" s="54"/>
      <c r="AF124" s="54"/>
      <c r="AG124" s="55"/>
      <c r="AH124" s="55"/>
      <c r="AI124" s="55"/>
      <c r="AJ124" s="110"/>
      <c r="AK124" s="111"/>
      <c r="AL124" s="111"/>
      <c r="AM124" s="112"/>
      <c r="AN124" s="112"/>
      <c r="AO124" s="77"/>
      <c r="AP124" s="86"/>
      <c r="AQ124" s="86"/>
      <c r="AR124" s="85"/>
      <c r="AS124" s="77"/>
      <c r="AT124" s="77"/>
      <c r="AU124" s="77"/>
      <c r="AV124" s="119"/>
      <c r="AW124" s="129"/>
      <c r="AX124" s="129"/>
      <c r="AY124" s="125"/>
      <c r="AZ124" s="119"/>
      <c r="BA124" s="47"/>
      <c r="BB124" s="48"/>
      <c r="BC124" s="48"/>
      <c r="BD124" s="49"/>
      <c r="BE124" s="49"/>
      <c r="BF124" s="49"/>
      <c r="BG124" s="129"/>
      <c r="BH124" s="129"/>
      <c r="BI124" s="129"/>
      <c r="BJ124" s="125"/>
      <c r="BK124" s="119"/>
      <c r="BL124" s="119"/>
      <c r="BM124" s="77"/>
      <c r="BN124" s="86"/>
      <c r="BO124" s="86"/>
      <c r="BP124" s="85"/>
      <c r="BQ124" s="85"/>
      <c r="BR124" s="77"/>
    </row>
    <row r="125" spans="8:70" x14ac:dyDescent="0.3">
      <c r="H125" s="80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8"/>
      <c r="Y125" s="99"/>
      <c r="Z125" s="99"/>
      <c r="AA125" s="100"/>
      <c r="AB125" s="100"/>
      <c r="AC125" s="100"/>
      <c r="AD125" s="53"/>
      <c r="AE125" s="54"/>
      <c r="AF125" s="54"/>
      <c r="AG125" s="55"/>
      <c r="AH125" s="55"/>
      <c r="AI125" s="55"/>
      <c r="AJ125" s="110"/>
      <c r="AK125" s="111"/>
      <c r="AL125" s="111"/>
      <c r="AM125" s="112"/>
      <c r="AN125" s="112"/>
      <c r="AO125" s="77"/>
      <c r="AP125" s="86"/>
      <c r="AQ125" s="86"/>
      <c r="AR125" s="85"/>
      <c r="AS125" s="77"/>
      <c r="AT125" s="77"/>
      <c r="AU125" s="77"/>
      <c r="AV125" s="119"/>
      <c r="AW125" s="129"/>
      <c r="AX125" s="129"/>
      <c r="AY125" s="125"/>
      <c r="AZ125" s="119"/>
      <c r="BA125" s="47"/>
      <c r="BB125" s="48"/>
      <c r="BC125" s="48"/>
      <c r="BD125" s="49"/>
      <c r="BE125" s="49"/>
      <c r="BF125" s="49"/>
      <c r="BG125" s="129"/>
      <c r="BH125" s="129"/>
      <c r="BI125" s="129"/>
      <c r="BJ125" s="125"/>
      <c r="BK125" s="119"/>
      <c r="BL125" s="119"/>
      <c r="BM125" s="77"/>
      <c r="BN125" s="86"/>
      <c r="BO125" s="86"/>
      <c r="BP125" s="85"/>
      <c r="BQ125" s="85"/>
      <c r="BR125" s="77"/>
    </row>
    <row r="126" spans="8:70" x14ac:dyDescent="0.3">
      <c r="H126" s="80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8"/>
      <c r="Y126" s="99"/>
      <c r="Z126" s="99"/>
      <c r="AA126" s="100"/>
      <c r="AB126" s="100"/>
      <c r="AC126" s="100"/>
      <c r="AD126" s="53"/>
      <c r="AE126" s="54"/>
      <c r="AF126" s="54"/>
      <c r="AG126" s="55"/>
      <c r="AH126" s="55"/>
      <c r="AI126" s="55"/>
      <c r="AJ126" s="110"/>
      <c r="AK126" s="111"/>
      <c r="AL126" s="111"/>
      <c r="AM126" s="112"/>
      <c r="AN126" s="112"/>
      <c r="AO126" s="77"/>
      <c r="AP126" s="86"/>
      <c r="AQ126" s="86"/>
      <c r="AR126" s="85"/>
      <c r="AS126" s="77"/>
      <c r="AT126" s="77"/>
      <c r="AU126" s="77"/>
      <c r="AV126" s="119"/>
      <c r="AW126" s="129"/>
      <c r="AX126" s="129"/>
      <c r="AY126" s="125"/>
      <c r="AZ126" s="119"/>
      <c r="BA126" s="47"/>
      <c r="BB126" s="48"/>
      <c r="BC126" s="48"/>
      <c r="BD126" s="49"/>
      <c r="BE126" s="49"/>
      <c r="BF126" s="49"/>
      <c r="BG126" s="129"/>
      <c r="BH126" s="129"/>
      <c r="BI126" s="129"/>
      <c r="BJ126" s="125"/>
      <c r="BK126" s="119"/>
      <c r="BL126" s="119"/>
      <c r="BM126" s="77"/>
      <c r="BN126" s="86"/>
      <c r="BO126" s="86"/>
      <c r="BP126" s="85"/>
      <c r="BQ126" s="85"/>
      <c r="BR126" s="77"/>
    </row>
    <row r="127" spans="8:70" x14ac:dyDescent="0.3">
      <c r="H127" s="80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8"/>
      <c r="Y127" s="99"/>
      <c r="Z127" s="99"/>
      <c r="AA127" s="100"/>
      <c r="AB127" s="100"/>
      <c r="AC127" s="100"/>
      <c r="AD127" s="53"/>
      <c r="AE127" s="54"/>
      <c r="AF127" s="54"/>
      <c r="AG127" s="55"/>
      <c r="AH127" s="55"/>
      <c r="AI127" s="55"/>
      <c r="AJ127" s="110"/>
      <c r="AK127" s="111"/>
      <c r="AL127" s="111"/>
      <c r="AM127" s="112"/>
      <c r="AN127" s="112"/>
      <c r="AO127" s="77"/>
      <c r="AP127" s="86"/>
      <c r="AQ127" s="86"/>
      <c r="AR127" s="85"/>
      <c r="AS127" s="77"/>
      <c r="AT127" s="77"/>
      <c r="AU127" s="77"/>
      <c r="AV127" s="119"/>
      <c r="AW127" s="129"/>
      <c r="AX127" s="129"/>
      <c r="AY127" s="125"/>
      <c r="AZ127" s="119"/>
      <c r="BA127" s="47"/>
      <c r="BB127" s="48"/>
      <c r="BC127" s="48"/>
      <c r="BD127" s="49"/>
      <c r="BE127" s="49"/>
      <c r="BF127" s="49"/>
      <c r="BG127" s="129"/>
      <c r="BH127" s="129"/>
      <c r="BI127" s="129"/>
      <c r="BJ127" s="125"/>
      <c r="BK127" s="119"/>
      <c r="BL127" s="119"/>
      <c r="BM127" s="77"/>
      <c r="BN127" s="86"/>
      <c r="BO127" s="86"/>
      <c r="BP127" s="85"/>
      <c r="BQ127" s="85"/>
      <c r="BR127" s="77"/>
    </row>
    <row r="128" spans="8:70" x14ac:dyDescent="0.3">
      <c r="H128" s="80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8"/>
      <c r="Y128" s="99"/>
      <c r="Z128" s="99"/>
      <c r="AA128" s="100"/>
      <c r="AB128" s="100"/>
      <c r="AC128" s="100"/>
      <c r="AD128" s="53"/>
      <c r="AE128" s="54"/>
      <c r="AF128" s="54"/>
      <c r="AG128" s="55"/>
      <c r="AH128" s="55"/>
      <c r="AI128" s="55"/>
      <c r="AJ128" s="110"/>
      <c r="AK128" s="111"/>
      <c r="AL128" s="111"/>
      <c r="AM128" s="112"/>
      <c r="AN128" s="112"/>
      <c r="AO128" s="77"/>
      <c r="AP128" s="86"/>
      <c r="AQ128" s="86"/>
      <c r="AR128" s="85"/>
      <c r="AS128" s="77"/>
      <c r="AT128" s="77"/>
      <c r="AU128" s="77"/>
      <c r="AV128" s="119"/>
      <c r="AW128" s="129"/>
      <c r="AX128" s="129"/>
      <c r="AY128" s="125"/>
      <c r="AZ128" s="119"/>
      <c r="BA128" s="47"/>
      <c r="BB128" s="48"/>
      <c r="BC128" s="48"/>
      <c r="BD128" s="49"/>
      <c r="BE128" s="49"/>
      <c r="BF128" s="49"/>
      <c r="BG128" s="129"/>
      <c r="BH128" s="129"/>
      <c r="BI128" s="129"/>
      <c r="BJ128" s="125"/>
      <c r="BK128" s="119"/>
      <c r="BL128" s="119"/>
      <c r="BM128" s="77"/>
      <c r="BN128" s="86"/>
      <c r="BO128" s="86"/>
      <c r="BP128" s="85"/>
      <c r="BQ128" s="85"/>
      <c r="BR128" s="77"/>
    </row>
    <row r="129" spans="8:70" x14ac:dyDescent="0.3">
      <c r="H129" s="80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8"/>
      <c r="Y129" s="99"/>
      <c r="Z129" s="99"/>
      <c r="AA129" s="100"/>
      <c r="AB129" s="100"/>
      <c r="AC129" s="100"/>
      <c r="AD129" s="53"/>
      <c r="AE129" s="54"/>
      <c r="AF129" s="54"/>
      <c r="AG129" s="55"/>
      <c r="AH129" s="55"/>
      <c r="AI129" s="55"/>
      <c r="AJ129" s="110"/>
      <c r="AK129" s="111"/>
      <c r="AL129" s="111"/>
      <c r="AM129" s="112"/>
      <c r="AN129" s="112"/>
      <c r="AO129" s="77"/>
      <c r="AP129" s="86"/>
      <c r="AQ129" s="86"/>
      <c r="AR129" s="85"/>
      <c r="AS129" s="77"/>
      <c r="AT129" s="77"/>
      <c r="AU129" s="77"/>
      <c r="AV129" s="119"/>
      <c r="AW129" s="129"/>
      <c r="AX129" s="129"/>
      <c r="AY129" s="125"/>
      <c r="AZ129" s="119"/>
      <c r="BA129" s="47"/>
      <c r="BB129" s="48"/>
      <c r="BC129" s="48"/>
      <c r="BD129" s="49"/>
      <c r="BE129" s="49"/>
      <c r="BF129" s="49"/>
      <c r="BG129" s="129"/>
      <c r="BH129" s="129"/>
      <c r="BI129" s="129"/>
      <c r="BJ129" s="125"/>
      <c r="BK129" s="119"/>
      <c r="BL129" s="119"/>
      <c r="BM129" s="77"/>
      <c r="BN129" s="86"/>
      <c r="BO129" s="86"/>
      <c r="BP129" s="85"/>
      <c r="BQ129" s="85"/>
      <c r="BR129" s="77"/>
    </row>
    <row r="130" spans="8:70" x14ac:dyDescent="0.3">
      <c r="H130" s="80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8"/>
      <c r="Y130" s="99"/>
      <c r="Z130" s="99"/>
      <c r="AA130" s="100"/>
      <c r="AB130" s="100"/>
      <c r="AC130" s="100"/>
      <c r="AD130" s="53"/>
      <c r="AE130" s="54"/>
      <c r="AF130" s="54"/>
      <c r="AG130" s="55"/>
      <c r="AH130" s="55"/>
      <c r="AI130" s="55"/>
      <c r="AJ130" s="110"/>
      <c r="AK130" s="111"/>
      <c r="AL130" s="111"/>
      <c r="AM130" s="112"/>
      <c r="AN130" s="112"/>
      <c r="AO130" s="77"/>
      <c r="AP130" s="86"/>
      <c r="AQ130" s="86"/>
      <c r="AR130" s="85"/>
      <c r="AS130" s="77"/>
      <c r="AT130" s="77"/>
      <c r="AU130" s="77"/>
      <c r="AV130" s="119"/>
      <c r="AW130" s="129"/>
      <c r="AX130" s="129"/>
      <c r="AY130" s="125"/>
      <c r="AZ130" s="119"/>
      <c r="BA130" s="47"/>
      <c r="BB130" s="48"/>
      <c r="BC130" s="48"/>
      <c r="BD130" s="49"/>
      <c r="BE130" s="49"/>
      <c r="BF130" s="49"/>
      <c r="BG130" s="129"/>
      <c r="BH130" s="129"/>
      <c r="BI130" s="129"/>
      <c r="BJ130" s="125"/>
      <c r="BK130" s="119"/>
      <c r="BL130" s="119"/>
      <c r="BM130" s="77"/>
      <c r="BN130" s="86"/>
      <c r="BO130" s="86"/>
      <c r="BP130" s="85"/>
      <c r="BQ130" s="85"/>
      <c r="BR130" s="77"/>
    </row>
    <row r="131" spans="8:70" x14ac:dyDescent="0.3">
      <c r="H131" s="80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8"/>
      <c r="Y131" s="99"/>
      <c r="Z131" s="99"/>
      <c r="AA131" s="100"/>
      <c r="AB131" s="100"/>
      <c r="AC131" s="100"/>
      <c r="AD131" s="53"/>
      <c r="AE131" s="54"/>
      <c r="AF131" s="54"/>
      <c r="AG131" s="55"/>
      <c r="AH131" s="55"/>
      <c r="AI131" s="55"/>
      <c r="AJ131" s="110"/>
      <c r="AK131" s="111"/>
      <c r="AL131" s="111"/>
      <c r="AM131" s="112"/>
      <c r="AN131" s="112"/>
      <c r="AO131" s="77"/>
      <c r="AP131" s="86"/>
      <c r="AQ131" s="86"/>
      <c r="AR131" s="85"/>
      <c r="AS131" s="77"/>
      <c r="AT131" s="77"/>
      <c r="AU131" s="77"/>
      <c r="AV131" s="119"/>
      <c r="AW131" s="129"/>
      <c r="AX131" s="129"/>
      <c r="AY131" s="125"/>
      <c r="AZ131" s="119"/>
      <c r="BA131" s="47"/>
      <c r="BB131" s="48"/>
      <c r="BC131" s="48"/>
      <c r="BD131" s="49"/>
      <c r="BE131" s="49"/>
      <c r="BF131" s="49"/>
      <c r="BG131" s="129"/>
      <c r="BH131" s="129"/>
      <c r="BI131" s="129"/>
      <c r="BJ131" s="125"/>
      <c r="BK131" s="119"/>
      <c r="BL131" s="119"/>
      <c r="BM131" s="77"/>
      <c r="BN131" s="86"/>
      <c r="BO131" s="86"/>
      <c r="BP131" s="85"/>
      <c r="BQ131" s="85"/>
      <c r="BR131" s="77"/>
    </row>
    <row r="132" spans="8:70" x14ac:dyDescent="0.3">
      <c r="H132" s="80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8"/>
      <c r="Y132" s="99"/>
      <c r="Z132" s="99"/>
      <c r="AA132" s="100"/>
      <c r="AB132" s="100"/>
      <c r="AC132" s="100"/>
      <c r="AD132" s="53"/>
      <c r="AE132" s="54"/>
      <c r="AF132" s="54"/>
      <c r="AG132" s="55"/>
      <c r="AH132" s="55"/>
      <c r="AI132" s="55"/>
      <c r="AJ132" s="110"/>
      <c r="AK132" s="111"/>
      <c r="AL132" s="111"/>
      <c r="AM132" s="112"/>
      <c r="AN132" s="112"/>
      <c r="AO132" s="77"/>
      <c r="AP132" s="86"/>
      <c r="AQ132" s="86"/>
      <c r="AR132" s="85"/>
      <c r="AS132" s="77"/>
      <c r="AT132" s="77"/>
      <c r="AU132" s="77"/>
      <c r="AV132" s="119"/>
      <c r="AW132" s="129"/>
      <c r="AX132" s="129"/>
      <c r="AY132" s="125"/>
      <c r="AZ132" s="119"/>
      <c r="BA132" s="47"/>
      <c r="BB132" s="48"/>
      <c r="BC132" s="48"/>
      <c r="BD132" s="49"/>
      <c r="BE132" s="49"/>
      <c r="BF132" s="49"/>
      <c r="BG132" s="129"/>
      <c r="BH132" s="129"/>
      <c r="BI132" s="129"/>
      <c r="BJ132" s="125"/>
      <c r="BK132" s="119"/>
      <c r="BL132" s="119"/>
      <c r="BM132" s="77"/>
      <c r="BN132" s="86"/>
      <c r="BO132" s="86"/>
      <c r="BP132" s="85"/>
      <c r="BQ132" s="85"/>
      <c r="BR132" s="77"/>
    </row>
    <row r="133" spans="8:70" x14ac:dyDescent="0.3">
      <c r="H133" s="80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8"/>
      <c r="Y133" s="99"/>
      <c r="Z133" s="99"/>
      <c r="AA133" s="100"/>
      <c r="AB133" s="100"/>
      <c r="AC133" s="100"/>
      <c r="AD133" s="53"/>
      <c r="AE133" s="54"/>
      <c r="AF133" s="54"/>
      <c r="AG133" s="55"/>
      <c r="AH133" s="55"/>
      <c r="AI133" s="55"/>
      <c r="AJ133" s="110"/>
      <c r="AK133" s="111"/>
      <c r="AL133" s="111"/>
      <c r="AM133" s="112"/>
      <c r="AN133" s="112"/>
      <c r="AO133" s="77"/>
      <c r="AP133" s="86"/>
      <c r="AQ133" s="86"/>
      <c r="AR133" s="85"/>
      <c r="AS133" s="77"/>
      <c r="AT133" s="77"/>
      <c r="AU133" s="77"/>
      <c r="AV133" s="119"/>
      <c r="AW133" s="129"/>
      <c r="AX133" s="129"/>
      <c r="AY133" s="125"/>
      <c r="AZ133" s="119"/>
      <c r="BA133" s="47"/>
      <c r="BB133" s="48"/>
      <c r="BC133" s="48"/>
      <c r="BD133" s="49"/>
      <c r="BE133" s="49"/>
      <c r="BF133" s="49"/>
      <c r="BG133" s="129"/>
      <c r="BH133" s="129"/>
      <c r="BI133" s="129"/>
      <c r="BJ133" s="125"/>
      <c r="BK133" s="119"/>
      <c r="BL133" s="119"/>
      <c r="BM133" s="77"/>
      <c r="BN133" s="86"/>
      <c r="BO133" s="86"/>
      <c r="BP133" s="85"/>
      <c r="BQ133" s="85"/>
      <c r="BR133" s="77"/>
    </row>
    <row r="134" spans="8:70" x14ac:dyDescent="0.3">
      <c r="H134" s="80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8"/>
      <c r="Y134" s="99"/>
      <c r="Z134" s="99"/>
      <c r="AA134" s="100"/>
      <c r="AB134" s="100"/>
      <c r="AC134" s="100"/>
      <c r="AD134" s="53"/>
      <c r="AE134" s="54"/>
      <c r="AF134" s="54"/>
      <c r="AG134" s="55"/>
      <c r="AH134" s="55"/>
      <c r="AI134" s="55"/>
      <c r="AJ134" s="110"/>
      <c r="AK134" s="111"/>
      <c r="AL134" s="111"/>
      <c r="AM134" s="112"/>
      <c r="AN134" s="112"/>
      <c r="AO134" s="77"/>
      <c r="AP134" s="86"/>
      <c r="AQ134" s="86"/>
      <c r="AR134" s="85"/>
      <c r="AS134" s="77"/>
      <c r="AT134" s="77"/>
      <c r="AU134" s="77"/>
      <c r="AV134" s="119"/>
      <c r="AW134" s="129"/>
      <c r="AX134" s="129"/>
      <c r="AY134" s="125"/>
      <c r="AZ134" s="119"/>
      <c r="BA134" s="47"/>
      <c r="BB134" s="48"/>
      <c r="BC134" s="48"/>
      <c r="BD134" s="49"/>
      <c r="BE134" s="49"/>
      <c r="BF134" s="49"/>
      <c r="BG134" s="129"/>
      <c r="BH134" s="129"/>
      <c r="BI134" s="129"/>
      <c r="BJ134" s="125"/>
      <c r="BK134" s="119"/>
      <c r="BL134" s="119"/>
      <c r="BM134" s="77"/>
      <c r="BN134" s="86"/>
      <c r="BO134" s="86"/>
      <c r="BP134" s="85"/>
      <c r="BQ134" s="85"/>
      <c r="BR134" s="77"/>
    </row>
    <row r="135" spans="8:70" x14ac:dyDescent="0.3">
      <c r="H135" s="80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8"/>
      <c r="Y135" s="99"/>
      <c r="Z135" s="99"/>
      <c r="AA135" s="100"/>
      <c r="AB135" s="100"/>
      <c r="AC135" s="100"/>
      <c r="AD135" s="53"/>
      <c r="AE135" s="54"/>
      <c r="AF135" s="54"/>
      <c r="AG135" s="55"/>
      <c r="AH135" s="55"/>
      <c r="AI135" s="55"/>
      <c r="AJ135" s="110"/>
      <c r="AK135" s="111"/>
      <c r="AL135" s="111"/>
      <c r="AM135" s="112"/>
      <c r="AN135" s="112"/>
      <c r="AO135" s="77"/>
      <c r="AP135" s="86"/>
      <c r="AQ135" s="86"/>
      <c r="AR135" s="85"/>
      <c r="AS135" s="77"/>
      <c r="AT135" s="77"/>
      <c r="AU135" s="77"/>
      <c r="AV135" s="119"/>
      <c r="AW135" s="129"/>
      <c r="AX135" s="129"/>
      <c r="AY135" s="125"/>
      <c r="AZ135" s="119"/>
      <c r="BA135" s="47"/>
      <c r="BB135" s="48"/>
      <c r="BC135" s="48"/>
      <c r="BD135" s="49"/>
      <c r="BE135" s="49"/>
      <c r="BF135" s="49"/>
      <c r="BG135" s="129"/>
      <c r="BH135" s="129"/>
      <c r="BI135" s="129"/>
      <c r="BJ135" s="125"/>
      <c r="BK135" s="119"/>
      <c r="BL135" s="119"/>
      <c r="BM135" s="77"/>
      <c r="BN135" s="86"/>
      <c r="BO135" s="86"/>
      <c r="BP135" s="85"/>
      <c r="BQ135" s="85"/>
      <c r="BR135" s="77"/>
    </row>
    <row r="136" spans="8:70" x14ac:dyDescent="0.3">
      <c r="H136" s="80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8"/>
      <c r="Y136" s="99"/>
      <c r="Z136" s="99"/>
      <c r="AA136" s="100"/>
      <c r="AB136" s="100"/>
      <c r="AC136" s="100"/>
      <c r="AD136" s="53"/>
      <c r="AE136" s="54"/>
      <c r="AF136" s="54"/>
      <c r="AG136" s="55"/>
      <c r="AH136" s="55"/>
      <c r="AI136" s="55"/>
      <c r="AJ136" s="110"/>
      <c r="AK136" s="111"/>
      <c r="AL136" s="111"/>
      <c r="AM136" s="112"/>
      <c r="AN136" s="112"/>
      <c r="AO136" s="77"/>
      <c r="AP136" s="86"/>
      <c r="AQ136" s="86"/>
      <c r="AR136" s="85"/>
      <c r="AS136" s="77"/>
      <c r="AT136" s="77"/>
      <c r="AU136" s="77"/>
      <c r="AV136" s="119"/>
      <c r="AW136" s="129"/>
      <c r="AX136" s="129"/>
      <c r="AY136" s="125"/>
      <c r="AZ136" s="119"/>
      <c r="BA136" s="47"/>
      <c r="BB136" s="48"/>
      <c r="BC136" s="48"/>
      <c r="BD136" s="49"/>
      <c r="BE136" s="49"/>
      <c r="BF136" s="49"/>
      <c r="BG136" s="129"/>
      <c r="BH136" s="129"/>
      <c r="BI136" s="129"/>
      <c r="BJ136" s="125"/>
      <c r="BK136" s="119"/>
      <c r="BL136" s="119"/>
      <c r="BM136" s="77"/>
      <c r="BN136" s="86"/>
      <c r="BO136" s="86"/>
      <c r="BP136" s="85"/>
      <c r="BQ136" s="85"/>
      <c r="BR136" s="77"/>
    </row>
    <row r="137" spans="8:70" x14ac:dyDescent="0.3">
      <c r="H137" s="80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8"/>
      <c r="Y137" s="99"/>
      <c r="Z137" s="99"/>
      <c r="AA137" s="100"/>
      <c r="AB137" s="100"/>
      <c r="AC137" s="100"/>
      <c r="AD137" s="53"/>
      <c r="AE137" s="54"/>
      <c r="AF137" s="54"/>
      <c r="AG137" s="55"/>
      <c r="AH137" s="55"/>
      <c r="AI137" s="55"/>
      <c r="AJ137" s="110"/>
      <c r="AK137" s="111"/>
      <c r="AL137" s="111"/>
      <c r="AM137" s="112"/>
      <c r="AN137" s="112"/>
      <c r="AO137" s="77"/>
      <c r="AP137" s="86"/>
      <c r="AQ137" s="86"/>
      <c r="AR137" s="85"/>
      <c r="AS137" s="77"/>
      <c r="AT137" s="77"/>
      <c r="AU137" s="77"/>
      <c r="AV137" s="119"/>
      <c r="AW137" s="129"/>
      <c r="AX137" s="129"/>
      <c r="AY137" s="125"/>
      <c r="AZ137" s="119"/>
      <c r="BA137" s="47"/>
      <c r="BB137" s="48"/>
      <c r="BC137" s="48"/>
      <c r="BD137" s="49"/>
      <c r="BE137" s="49"/>
      <c r="BF137" s="49"/>
      <c r="BG137" s="129"/>
      <c r="BH137" s="129"/>
      <c r="BI137" s="129"/>
      <c r="BJ137" s="125"/>
      <c r="BK137" s="119"/>
      <c r="BL137" s="119"/>
      <c r="BM137" s="77"/>
      <c r="BN137" s="86"/>
      <c r="BO137" s="86"/>
      <c r="BP137" s="85"/>
      <c r="BQ137" s="85"/>
      <c r="BR137" s="77"/>
    </row>
    <row r="138" spans="8:70" x14ac:dyDescent="0.3">
      <c r="H138" s="80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8"/>
      <c r="Y138" s="99"/>
      <c r="Z138" s="99"/>
      <c r="AA138" s="100"/>
      <c r="AB138" s="100"/>
      <c r="AC138" s="100"/>
      <c r="AD138" s="53"/>
      <c r="AE138" s="54"/>
      <c r="AF138" s="54"/>
      <c r="AG138" s="55"/>
      <c r="AH138" s="55"/>
      <c r="AI138" s="55"/>
      <c r="AJ138" s="110"/>
      <c r="AK138" s="111"/>
      <c r="AL138" s="111"/>
      <c r="AM138" s="112"/>
      <c r="AN138" s="112"/>
      <c r="AO138" s="77"/>
      <c r="AP138" s="86"/>
      <c r="AQ138" s="86"/>
      <c r="AR138" s="85"/>
      <c r="AS138" s="77"/>
      <c r="AT138" s="77"/>
      <c r="AU138" s="77"/>
      <c r="AV138" s="119"/>
      <c r="AW138" s="129"/>
      <c r="AX138" s="129"/>
      <c r="AY138" s="125"/>
      <c r="AZ138" s="119"/>
      <c r="BA138" s="47"/>
      <c r="BB138" s="48"/>
      <c r="BC138" s="48"/>
      <c r="BD138" s="49"/>
      <c r="BE138" s="49"/>
      <c r="BF138" s="49"/>
      <c r="BG138" s="129"/>
      <c r="BH138" s="129"/>
      <c r="BI138" s="129"/>
      <c r="BJ138" s="125"/>
      <c r="BK138" s="119"/>
      <c r="BL138" s="119"/>
      <c r="BM138" s="77"/>
      <c r="BN138" s="86"/>
      <c r="BO138" s="86"/>
      <c r="BP138" s="85"/>
      <c r="BQ138" s="85"/>
      <c r="BR138" s="77"/>
    </row>
    <row r="139" spans="8:70" x14ac:dyDescent="0.3">
      <c r="H139" s="80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8"/>
      <c r="Y139" s="99"/>
      <c r="Z139" s="99"/>
      <c r="AA139" s="100"/>
      <c r="AB139" s="100"/>
      <c r="AC139" s="100"/>
      <c r="AD139" s="53"/>
      <c r="AE139" s="54"/>
      <c r="AF139" s="54"/>
      <c r="AG139" s="55"/>
      <c r="AH139" s="55"/>
      <c r="AI139" s="55"/>
      <c r="AJ139" s="110"/>
      <c r="AK139" s="111"/>
      <c r="AL139" s="111"/>
      <c r="AM139" s="112"/>
      <c r="AN139" s="112"/>
      <c r="AO139" s="77"/>
      <c r="AP139" s="86"/>
      <c r="AQ139" s="86"/>
      <c r="AR139" s="85"/>
      <c r="AS139" s="77"/>
      <c r="AT139" s="77"/>
      <c r="AU139" s="77"/>
      <c r="AV139" s="119"/>
      <c r="AW139" s="129"/>
      <c r="AX139" s="129"/>
      <c r="AY139" s="125"/>
      <c r="AZ139" s="119"/>
      <c r="BA139" s="47"/>
      <c r="BB139" s="48"/>
      <c r="BC139" s="48"/>
      <c r="BD139" s="49"/>
      <c r="BE139" s="49"/>
      <c r="BF139" s="49"/>
      <c r="BG139" s="129"/>
      <c r="BH139" s="129"/>
      <c r="BI139" s="129"/>
      <c r="BJ139" s="125"/>
      <c r="BK139" s="119"/>
      <c r="BL139" s="119"/>
      <c r="BM139" s="77"/>
      <c r="BN139" s="86"/>
      <c r="BO139" s="86"/>
      <c r="BP139" s="85"/>
      <c r="BQ139" s="85"/>
      <c r="BR139" s="77"/>
    </row>
    <row r="140" spans="8:70" x14ac:dyDescent="0.3">
      <c r="H140" s="80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8"/>
      <c r="Y140" s="99"/>
      <c r="Z140" s="99"/>
      <c r="AA140" s="100"/>
      <c r="AB140" s="100"/>
      <c r="AC140" s="100"/>
      <c r="AD140" s="53"/>
      <c r="AE140" s="54"/>
      <c r="AF140" s="54"/>
      <c r="AG140" s="55"/>
      <c r="AH140" s="55"/>
      <c r="AI140" s="55"/>
      <c r="AJ140" s="110"/>
      <c r="AK140" s="111"/>
      <c r="AL140" s="111"/>
      <c r="AM140" s="112"/>
      <c r="AN140" s="112"/>
      <c r="AO140" s="77"/>
      <c r="AP140" s="86"/>
      <c r="AQ140" s="86"/>
      <c r="AR140" s="85"/>
      <c r="AS140" s="77"/>
      <c r="AT140" s="77"/>
      <c r="AU140" s="77"/>
      <c r="AV140" s="119"/>
      <c r="AW140" s="129"/>
      <c r="AX140" s="129"/>
      <c r="AY140" s="125"/>
      <c r="AZ140" s="119"/>
      <c r="BA140" s="47"/>
      <c r="BB140" s="48"/>
      <c r="BC140" s="48"/>
      <c r="BD140" s="49"/>
      <c r="BE140" s="49"/>
      <c r="BF140" s="49"/>
      <c r="BG140" s="129"/>
      <c r="BH140" s="129"/>
      <c r="BI140" s="129"/>
      <c r="BJ140" s="125"/>
      <c r="BK140" s="119"/>
      <c r="BL140" s="119"/>
      <c r="BM140" s="77"/>
      <c r="BN140" s="86"/>
      <c r="BO140" s="86"/>
      <c r="BP140" s="85"/>
      <c r="BQ140" s="85"/>
      <c r="BR140" s="77"/>
    </row>
    <row r="141" spans="8:70" x14ac:dyDescent="0.3">
      <c r="H141" s="80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8"/>
      <c r="Y141" s="99"/>
      <c r="Z141" s="99"/>
      <c r="AA141" s="100"/>
      <c r="AB141" s="100"/>
      <c r="AC141" s="100"/>
      <c r="AD141" s="53"/>
      <c r="AE141" s="54"/>
      <c r="AF141" s="54"/>
      <c r="AG141" s="55"/>
      <c r="AH141" s="55"/>
      <c r="AI141" s="55"/>
      <c r="AJ141" s="110"/>
      <c r="AK141" s="111"/>
      <c r="AL141" s="111"/>
      <c r="AM141" s="112"/>
      <c r="AN141" s="112"/>
      <c r="AO141" s="77"/>
      <c r="AP141" s="86"/>
      <c r="AQ141" s="86"/>
      <c r="AR141" s="85"/>
      <c r="AS141" s="77"/>
      <c r="AT141" s="77"/>
      <c r="AU141" s="77"/>
      <c r="AV141" s="119"/>
      <c r="AW141" s="129"/>
      <c r="AX141" s="129"/>
      <c r="AY141" s="125"/>
      <c r="AZ141" s="119"/>
      <c r="BA141" s="47"/>
      <c r="BB141" s="48"/>
      <c r="BC141" s="48"/>
      <c r="BD141" s="49"/>
      <c r="BE141" s="49"/>
      <c r="BF141" s="49"/>
      <c r="BG141" s="129"/>
      <c r="BH141" s="129"/>
      <c r="BI141" s="129"/>
      <c r="BJ141" s="125"/>
      <c r="BK141" s="119"/>
      <c r="BL141" s="119"/>
      <c r="BM141" s="77"/>
      <c r="BN141" s="86"/>
      <c r="BO141" s="86"/>
      <c r="BP141" s="85"/>
      <c r="BQ141" s="85"/>
      <c r="BR141" s="77"/>
    </row>
    <row r="142" spans="8:70" x14ac:dyDescent="0.3">
      <c r="H142" s="80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8"/>
      <c r="Y142" s="99"/>
      <c r="Z142" s="99"/>
      <c r="AA142" s="100"/>
      <c r="AB142" s="100"/>
      <c r="AC142" s="100"/>
      <c r="AD142" s="53"/>
      <c r="AE142" s="54"/>
      <c r="AF142" s="54"/>
      <c r="AG142" s="55"/>
      <c r="AH142" s="55"/>
      <c r="AI142" s="55"/>
      <c r="AJ142" s="110"/>
      <c r="AK142" s="111"/>
      <c r="AL142" s="111"/>
      <c r="AM142" s="112"/>
      <c r="AN142" s="112"/>
      <c r="AO142" s="77"/>
      <c r="AP142" s="86"/>
      <c r="AQ142" s="86"/>
      <c r="AR142" s="85"/>
      <c r="AS142" s="77"/>
      <c r="AT142" s="77"/>
      <c r="AU142" s="77"/>
      <c r="AV142" s="119"/>
      <c r="AW142" s="129"/>
      <c r="AX142" s="129"/>
      <c r="AY142" s="125"/>
      <c r="AZ142" s="119"/>
      <c r="BA142" s="47"/>
      <c r="BB142" s="48"/>
      <c r="BC142" s="48"/>
      <c r="BD142" s="49"/>
      <c r="BE142" s="49"/>
      <c r="BF142" s="49"/>
      <c r="BG142" s="129"/>
      <c r="BH142" s="129"/>
      <c r="BI142" s="129"/>
      <c r="BJ142" s="125"/>
      <c r="BK142" s="119"/>
      <c r="BL142" s="119"/>
      <c r="BM142" s="77"/>
      <c r="BN142" s="86"/>
      <c r="BO142" s="86"/>
      <c r="BP142" s="85"/>
      <c r="BQ142" s="85"/>
      <c r="BR142" s="77"/>
    </row>
    <row r="143" spans="8:70" x14ac:dyDescent="0.3">
      <c r="H143" s="80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8"/>
      <c r="Y143" s="99"/>
      <c r="Z143" s="99"/>
      <c r="AA143" s="100"/>
      <c r="AB143" s="100"/>
      <c r="AC143" s="100"/>
      <c r="AD143" s="53"/>
      <c r="AE143" s="54"/>
      <c r="AF143" s="54"/>
      <c r="AG143" s="55"/>
      <c r="AH143" s="55"/>
      <c r="AI143" s="55"/>
      <c r="AJ143" s="110"/>
      <c r="AK143" s="111"/>
      <c r="AL143" s="111"/>
      <c r="AM143" s="112"/>
      <c r="AN143" s="112"/>
      <c r="AO143" s="77"/>
      <c r="AP143" s="86"/>
      <c r="AQ143" s="86"/>
      <c r="AR143" s="85"/>
      <c r="AS143" s="77"/>
      <c r="AT143" s="77"/>
      <c r="AU143" s="77"/>
      <c r="AV143" s="119"/>
      <c r="AW143" s="129"/>
      <c r="AX143" s="129"/>
      <c r="AY143" s="125"/>
      <c r="AZ143" s="119"/>
      <c r="BA143" s="47"/>
      <c r="BB143" s="48"/>
      <c r="BC143" s="48"/>
      <c r="BD143" s="49"/>
      <c r="BE143" s="49"/>
      <c r="BF143" s="49"/>
      <c r="BG143" s="129"/>
      <c r="BH143" s="129"/>
      <c r="BI143" s="129"/>
      <c r="BJ143" s="125"/>
      <c r="BK143" s="119"/>
      <c r="BL143" s="119"/>
      <c r="BM143" s="77"/>
      <c r="BN143" s="86"/>
      <c r="BO143" s="86"/>
      <c r="BP143" s="85"/>
      <c r="BQ143" s="85"/>
      <c r="BR143" s="77"/>
    </row>
    <row r="144" spans="8:70" x14ac:dyDescent="0.3">
      <c r="H144" s="80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8"/>
      <c r="Y144" s="99"/>
      <c r="Z144" s="99"/>
      <c r="AA144" s="100"/>
      <c r="AB144" s="100"/>
      <c r="AC144" s="100"/>
      <c r="AD144" s="53"/>
      <c r="AE144" s="54"/>
      <c r="AF144" s="54"/>
      <c r="AG144" s="55"/>
      <c r="AH144" s="55"/>
      <c r="AI144" s="55"/>
      <c r="AJ144" s="110"/>
      <c r="AK144" s="111"/>
      <c r="AL144" s="111"/>
      <c r="AM144" s="112"/>
      <c r="AN144" s="112"/>
      <c r="AO144" s="77"/>
      <c r="AP144" s="86"/>
      <c r="AQ144" s="86"/>
      <c r="AR144" s="85"/>
      <c r="AS144" s="77"/>
      <c r="AT144" s="77"/>
      <c r="AU144" s="77"/>
      <c r="AV144" s="119"/>
      <c r="AW144" s="129"/>
      <c r="AX144" s="129"/>
      <c r="AY144" s="125"/>
      <c r="AZ144" s="119"/>
      <c r="BA144" s="47"/>
      <c r="BB144" s="48"/>
      <c r="BC144" s="48"/>
      <c r="BD144" s="49"/>
      <c r="BE144" s="49"/>
      <c r="BF144" s="49"/>
      <c r="BG144" s="129"/>
      <c r="BH144" s="129"/>
      <c r="BI144" s="129"/>
      <c r="BJ144" s="125"/>
      <c r="BK144" s="119"/>
      <c r="BL144" s="119"/>
      <c r="BM144" s="77"/>
      <c r="BN144" s="86"/>
      <c r="BO144" s="86"/>
      <c r="BP144" s="85"/>
      <c r="BQ144" s="85"/>
      <c r="BR144" s="77"/>
    </row>
    <row r="145" spans="8:70" x14ac:dyDescent="0.3">
      <c r="H145" s="80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8"/>
      <c r="Y145" s="99"/>
      <c r="Z145" s="99"/>
      <c r="AA145" s="100"/>
      <c r="AB145" s="100"/>
      <c r="AC145" s="100"/>
      <c r="AD145" s="53"/>
      <c r="AE145" s="54"/>
      <c r="AF145" s="54"/>
      <c r="AG145" s="55"/>
      <c r="AH145" s="55"/>
      <c r="AI145" s="55"/>
      <c r="AJ145" s="110"/>
      <c r="AK145" s="111"/>
      <c r="AL145" s="111"/>
      <c r="AM145" s="112"/>
      <c r="AN145" s="112"/>
      <c r="AO145" s="77"/>
      <c r="AP145" s="86"/>
      <c r="AQ145" s="86"/>
      <c r="AR145" s="85"/>
      <c r="AS145" s="77"/>
      <c r="AT145" s="77"/>
      <c r="AU145" s="77"/>
      <c r="AV145" s="119"/>
      <c r="AW145" s="129"/>
      <c r="AX145" s="129"/>
      <c r="AY145" s="125"/>
      <c r="AZ145" s="119"/>
      <c r="BA145" s="47"/>
      <c r="BB145" s="48"/>
      <c r="BC145" s="48"/>
      <c r="BD145" s="49"/>
      <c r="BE145" s="49"/>
      <c r="BF145" s="49"/>
      <c r="BG145" s="129"/>
      <c r="BH145" s="129"/>
      <c r="BI145" s="129"/>
      <c r="BJ145" s="125"/>
      <c r="BK145" s="119"/>
      <c r="BL145" s="119"/>
      <c r="BM145" s="77"/>
      <c r="BN145" s="86"/>
      <c r="BO145" s="86"/>
      <c r="BP145" s="85"/>
      <c r="BQ145" s="85"/>
      <c r="BR145" s="77"/>
    </row>
    <row r="146" spans="8:70" x14ac:dyDescent="0.3">
      <c r="H146" s="80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8"/>
      <c r="Y146" s="99"/>
      <c r="Z146" s="99"/>
      <c r="AA146" s="100"/>
      <c r="AB146" s="100"/>
      <c r="AC146" s="100"/>
      <c r="AD146" s="53"/>
      <c r="AE146" s="54"/>
      <c r="AF146" s="54"/>
      <c r="AG146" s="55"/>
      <c r="AH146" s="55"/>
      <c r="AI146" s="55"/>
      <c r="AJ146" s="110"/>
      <c r="AK146" s="111"/>
      <c r="AL146" s="111"/>
      <c r="AM146" s="112"/>
      <c r="AN146" s="112"/>
      <c r="AO146" s="77"/>
      <c r="AP146" s="86"/>
      <c r="AQ146" s="86"/>
      <c r="AR146" s="85"/>
      <c r="AS146" s="77"/>
      <c r="AT146" s="77"/>
      <c r="AU146" s="77"/>
      <c r="AV146" s="119"/>
      <c r="AW146" s="129"/>
      <c r="AX146" s="129"/>
      <c r="AY146" s="125"/>
      <c r="AZ146" s="119"/>
      <c r="BA146" s="47"/>
      <c r="BB146" s="48"/>
      <c r="BC146" s="48"/>
      <c r="BD146" s="49"/>
      <c r="BE146" s="49"/>
      <c r="BF146" s="49"/>
      <c r="BG146" s="129"/>
      <c r="BH146" s="129"/>
      <c r="BI146" s="129"/>
      <c r="BJ146" s="125"/>
      <c r="BK146" s="119"/>
      <c r="BL146" s="119"/>
      <c r="BM146" s="77"/>
      <c r="BN146" s="86"/>
      <c r="BO146" s="86"/>
      <c r="BP146" s="85"/>
      <c r="BQ146" s="85"/>
      <c r="BR146" s="77"/>
    </row>
    <row r="147" spans="8:70" x14ac:dyDescent="0.3">
      <c r="H147" s="80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8"/>
      <c r="Y147" s="99"/>
      <c r="Z147" s="99"/>
      <c r="AA147" s="100"/>
      <c r="AB147" s="100"/>
      <c r="AC147" s="100"/>
      <c r="AD147" s="53"/>
      <c r="AE147" s="54"/>
      <c r="AF147" s="54"/>
      <c r="AG147" s="55"/>
      <c r="AH147" s="55"/>
      <c r="AI147" s="55"/>
      <c r="AJ147" s="110"/>
      <c r="AK147" s="111"/>
      <c r="AL147" s="111"/>
      <c r="AM147" s="112"/>
      <c r="AN147" s="112"/>
      <c r="AO147" s="77"/>
      <c r="AP147" s="86"/>
      <c r="AQ147" s="86"/>
      <c r="AR147" s="85"/>
      <c r="AS147" s="77"/>
      <c r="AT147" s="77"/>
      <c r="AU147" s="77"/>
      <c r="AV147" s="119"/>
      <c r="AW147" s="129"/>
      <c r="AX147" s="129"/>
      <c r="AY147" s="125"/>
      <c r="AZ147" s="119"/>
      <c r="BA147" s="47"/>
      <c r="BB147" s="48"/>
      <c r="BC147" s="48"/>
      <c r="BD147" s="49"/>
      <c r="BE147" s="49"/>
      <c r="BF147" s="49"/>
      <c r="BG147" s="129"/>
      <c r="BH147" s="129"/>
      <c r="BI147" s="129"/>
      <c r="BJ147" s="125"/>
      <c r="BK147" s="119"/>
      <c r="BL147" s="119"/>
      <c r="BM147" s="77"/>
      <c r="BN147" s="86"/>
      <c r="BO147" s="86"/>
      <c r="BP147" s="85"/>
      <c r="BQ147" s="85"/>
      <c r="BR147" s="77"/>
    </row>
    <row r="148" spans="8:70" x14ac:dyDescent="0.3">
      <c r="H148" s="80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8"/>
      <c r="Y148" s="99"/>
      <c r="Z148" s="99"/>
      <c r="AA148" s="100"/>
      <c r="AB148" s="100"/>
      <c r="AC148" s="100"/>
      <c r="AD148" s="53"/>
      <c r="AE148" s="54"/>
      <c r="AF148" s="54"/>
      <c r="AG148" s="55"/>
      <c r="AH148" s="55"/>
      <c r="AI148" s="55"/>
      <c r="AJ148" s="110"/>
      <c r="AK148" s="111"/>
      <c r="AL148" s="111"/>
      <c r="AM148" s="112"/>
      <c r="AN148" s="112"/>
      <c r="AO148" s="77"/>
      <c r="AP148" s="86"/>
      <c r="AQ148" s="86"/>
      <c r="AR148" s="85"/>
      <c r="AS148" s="77"/>
      <c r="AT148" s="77"/>
      <c r="AU148" s="77"/>
      <c r="AV148" s="119"/>
      <c r="AW148" s="129"/>
      <c r="AX148" s="129"/>
      <c r="AY148" s="125"/>
      <c r="AZ148" s="119"/>
      <c r="BA148" s="47"/>
      <c r="BB148" s="48"/>
      <c r="BC148" s="48"/>
      <c r="BD148" s="49"/>
      <c r="BE148" s="49"/>
      <c r="BF148" s="49"/>
      <c r="BG148" s="129"/>
      <c r="BH148" s="129"/>
      <c r="BI148" s="129"/>
      <c r="BJ148" s="125"/>
      <c r="BK148" s="119"/>
      <c r="BL148" s="119"/>
      <c r="BM148" s="77"/>
      <c r="BN148" s="86"/>
      <c r="BO148" s="86"/>
      <c r="BP148" s="85"/>
      <c r="BQ148" s="85"/>
      <c r="BR148" s="77"/>
    </row>
    <row r="149" spans="8:70" x14ac:dyDescent="0.3">
      <c r="H149" s="80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8"/>
      <c r="Y149" s="99"/>
      <c r="Z149" s="99"/>
      <c r="AA149" s="100"/>
      <c r="AB149" s="100"/>
      <c r="AC149" s="100"/>
      <c r="AD149" s="53"/>
      <c r="AE149" s="54"/>
      <c r="AF149" s="54"/>
      <c r="AG149" s="55"/>
      <c r="AH149" s="55"/>
      <c r="AI149" s="55"/>
      <c r="AJ149" s="110"/>
      <c r="AK149" s="111"/>
      <c r="AL149" s="111"/>
      <c r="AM149" s="112"/>
      <c r="AN149" s="112"/>
      <c r="AO149" s="77"/>
      <c r="AP149" s="86"/>
      <c r="AQ149" s="86"/>
      <c r="AR149" s="85"/>
      <c r="AS149" s="77"/>
      <c r="AT149" s="77"/>
      <c r="AU149" s="77"/>
      <c r="AV149" s="119"/>
      <c r="AW149" s="129"/>
      <c r="AX149" s="129"/>
      <c r="AY149" s="125"/>
      <c r="AZ149" s="119"/>
      <c r="BA149" s="47"/>
      <c r="BB149" s="48"/>
      <c r="BC149" s="48"/>
      <c r="BD149" s="49"/>
      <c r="BE149" s="49"/>
      <c r="BF149" s="49"/>
      <c r="BG149" s="129"/>
      <c r="BH149" s="129"/>
      <c r="BI149" s="129"/>
      <c r="BJ149" s="125"/>
      <c r="BK149" s="119"/>
      <c r="BL149" s="119"/>
      <c r="BM149" s="77"/>
      <c r="BN149" s="86"/>
      <c r="BO149" s="86"/>
      <c r="BP149" s="85"/>
      <c r="BQ149" s="85"/>
      <c r="BR149" s="77"/>
    </row>
    <row r="150" spans="8:70" x14ac:dyDescent="0.3">
      <c r="H150" s="80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8"/>
      <c r="Y150" s="99"/>
      <c r="Z150" s="99"/>
      <c r="AA150" s="100"/>
      <c r="AB150" s="100"/>
      <c r="AC150" s="100"/>
      <c r="AD150" s="53"/>
      <c r="AE150" s="54"/>
      <c r="AF150" s="54"/>
      <c r="AG150" s="55"/>
      <c r="AH150" s="55"/>
      <c r="AI150" s="55"/>
      <c r="AJ150" s="110"/>
      <c r="AK150" s="111"/>
      <c r="AL150" s="111"/>
      <c r="AM150" s="112"/>
      <c r="AN150" s="112"/>
      <c r="AO150" s="77"/>
      <c r="AP150" s="86"/>
      <c r="AQ150" s="86"/>
      <c r="AR150" s="85"/>
      <c r="AS150" s="77"/>
      <c r="AT150" s="77"/>
      <c r="AU150" s="77"/>
      <c r="AV150" s="119"/>
      <c r="AW150" s="129"/>
      <c r="AX150" s="129"/>
      <c r="AY150" s="125"/>
      <c r="AZ150" s="119"/>
      <c r="BA150" s="47"/>
      <c r="BB150" s="48"/>
      <c r="BC150" s="48"/>
      <c r="BD150" s="49"/>
      <c r="BE150" s="49"/>
      <c r="BF150" s="49"/>
      <c r="BG150" s="129"/>
      <c r="BH150" s="129"/>
      <c r="BI150" s="129"/>
      <c r="BJ150" s="125"/>
      <c r="BK150" s="119"/>
      <c r="BL150" s="119"/>
      <c r="BM150" s="77"/>
      <c r="BN150" s="86"/>
      <c r="BO150" s="86"/>
      <c r="BP150" s="85"/>
      <c r="BQ150" s="85"/>
      <c r="BR150" s="77"/>
    </row>
    <row r="151" spans="8:70" x14ac:dyDescent="0.3">
      <c r="H151" s="80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8"/>
      <c r="Y151" s="99"/>
      <c r="Z151" s="99"/>
      <c r="AA151" s="100"/>
      <c r="AB151" s="100"/>
      <c r="AC151" s="100"/>
      <c r="AD151" s="53"/>
      <c r="AE151" s="54"/>
      <c r="AF151" s="54"/>
      <c r="AG151" s="55"/>
      <c r="AH151" s="55"/>
      <c r="AI151" s="55"/>
      <c r="AJ151" s="110"/>
      <c r="AK151" s="111"/>
      <c r="AL151" s="111"/>
      <c r="AM151" s="112"/>
      <c r="AN151" s="112"/>
      <c r="AO151" s="77"/>
      <c r="AP151" s="86"/>
      <c r="AQ151" s="86"/>
      <c r="AR151" s="85"/>
      <c r="AS151" s="77"/>
      <c r="AT151" s="77"/>
      <c r="AU151" s="77"/>
      <c r="AV151" s="119"/>
      <c r="AW151" s="129"/>
      <c r="AX151" s="129"/>
      <c r="AY151" s="125"/>
      <c r="AZ151" s="119"/>
      <c r="BA151" s="47"/>
      <c r="BB151" s="48"/>
      <c r="BC151" s="48"/>
      <c r="BD151" s="49"/>
      <c r="BE151" s="49"/>
      <c r="BF151" s="49"/>
      <c r="BG151" s="129"/>
      <c r="BH151" s="129"/>
      <c r="BI151" s="129"/>
      <c r="BJ151" s="125"/>
      <c r="BK151" s="119"/>
      <c r="BL151" s="119"/>
      <c r="BM151" s="77"/>
      <c r="BN151" s="86"/>
      <c r="BO151" s="86"/>
      <c r="BP151" s="85"/>
      <c r="BQ151" s="85"/>
      <c r="BR151" s="77"/>
    </row>
    <row r="152" spans="8:70" x14ac:dyDescent="0.3">
      <c r="H152" s="80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8"/>
      <c r="Y152" s="99"/>
      <c r="Z152" s="99"/>
      <c r="AA152" s="100"/>
      <c r="AB152" s="100"/>
      <c r="AC152" s="100"/>
      <c r="AD152" s="53"/>
      <c r="AE152" s="54"/>
      <c r="AF152" s="54"/>
      <c r="AG152" s="55"/>
      <c r="AH152" s="55"/>
      <c r="AI152" s="55"/>
      <c r="AJ152" s="110"/>
      <c r="AK152" s="111"/>
      <c r="AL152" s="111"/>
      <c r="AM152" s="112"/>
      <c r="AN152" s="112"/>
      <c r="AO152" s="77"/>
      <c r="AP152" s="86"/>
      <c r="AQ152" s="86"/>
      <c r="AR152" s="85"/>
      <c r="AS152" s="77"/>
      <c r="AT152" s="77"/>
      <c r="AU152" s="77"/>
      <c r="AV152" s="119"/>
      <c r="AW152" s="129"/>
      <c r="AX152" s="129"/>
      <c r="AY152" s="125"/>
      <c r="AZ152" s="119"/>
      <c r="BA152" s="47"/>
      <c r="BB152" s="48"/>
      <c r="BC152" s="48"/>
      <c r="BD152" s="49"/>
      <c r="BE152" s="49"/>
      <c r="BF152" s="49"/>
      <c r="BG152" s="129"/>
      <c r="BH152" s="129"/>
      <c r="BI152" s="129"/>
      <c r="BJ152" s="125"/>
      <c r="BK152" s="119"/>
      <c r="BL152" s="119"/>
      <c r="BM152" s="77"/>
      <c r="BN152" s="86"/>
      <c r="BO152" s="86"/>
      <c r="BP152" s="85"/>
      <c r="BQ152" s="85"/>
      <c r="BR152" s="77"/>
    </row>
    <row r="153" spans="8:70" x14ac:dyDescent="0.3">
      <c r="H153" s="80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8"/>
      <c r="Y153" s="99"/>
      <c r="Z153" s="99"/>
      <c r="AA153" s="100"/>
      <c r="AB153" s="100"/>
      <c r="AC153" s="100"/>
      <c r="AD153" s="53"/>
      <c r="AE153" s="54"/>
      <c r="AF153" s="54"/>
      <c r="AG153" s="55"/>
      <c r="AH153" s="55"/>
      <c r="AI153" s="55"/>
      <c r="AJ153" s="110"/>
      <c r="AK153" s="111"/>
      <c r="AL153" s="111"/>
      <c r="AM153" s="112"/>
      <c r="AN153" s="112"/>
      <c r="AO153" s="77"/>
      <c r="AP153" s="86"/>
      <c r="AQ153" s="86"/>
      <c r="AR153" s="85"/>
      <c r="AS153" s="77"/>
      <c r="AT153" s="77"/>
      <c r="AU153" s="77"/>
      <c r="AV153" s="119"/>
      <c r="AW153" s="129"/>
      <c r="AX153" s="129"/>
      <c r="AY153" s="125"/>
      <c r="AZ153" s="119"/>
      <c r="BA153" s="47"/>
      <c r="BB153" s="48"/>
      <c r="BC153" s="48"/>
      <c r="BD153" s="49"/>
      <c r="BE153" s="49"/>
      <c r="BF153" s="49"/>
      <c r="BG153" s="129"/>
      <c r="BH153" s="129"/>
      <c r="BI153" s="129"/>
      <c r="BJ153" s="125"/>
      <c r="BK153" s="119"/>
      <c r="BL153" s="119"/>
      <c r="BM153" s="77"/>
      <c r="BN153" s="86"/>
      <c r="BO153" s="86"/>
      <c r="BP153" s="85"/>
      <c r="BQ153" s="85"/>
      <c r="BR153" s="77"/>
    </row>
    <row r="154" spans="8:70" x14ac:dyDescent="0.3">
      <c r="H154" s="80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8"/>
      <c r="Y154" s="99"/>
      <c r="Z154" s="99"/>
      <c r="AA154" s="100"/>
      <c r="AB154" s="100"/>
      <c r="AC154" s="100"/>
      <c r="AD154" s="53"/>
      <c r="AE154" s="54"/>
      <c r="AF154" s="54"/>
      <c r="AG154" s="55"/>
      <c r="AH154" s="55"/>
      <c r="AI154" s="55"/>
      <c r="AJ154" s="110"/>
      <c r="AK154" s="111"/>
      <c r="AL154" s="111"/>
      <c r="AM154" s="112"/>
      <c r="AN154" s="112"/>
      <c r="AO154" s="77"/>
      <c r="AP154" s="86"/>
      <c r="AQ154" s="86"/>
      <c r="AR154" s="85"/>
      <c r="AS154" s="77"/>
      <c r="AT154" s="77"/>
      <c r="AU154" s="77"/>
      <c r="AV154" s="119"/>
      <c r="AW154" s="129"/>
      <c r="AX154" s="129"/>
      <c r="AY154" s="125"/>
      <c r="AZ154" s="119"/>
      <c r="BA154" s="47"/>
      <c r="BB154" s="48"/>
      <c r="BC154" s="48"/>
      <c r="BD154" s="49"/>
      <c r="BE154" s="49"/>
      <c r="BF154" s="49"/>
      <c r="BG154" s="129"/>
      <c r="BH154" s="129"/>
      <c r="BI154" s="129"/>
      <c r="BJ154" s="125"/>
      <c r="BK154" s="119"/>
      <c r="BL154" s="119"/>
      <c r="BM154" s="77"/>
      <c r="BN154" s="86"/>
      <c r="BO154" s="86"/>
      <c r="BP154" s="85"/>
      <c r="BQ154" s="85"/>
      <c r="BR154" s="77"/>
    </row>
    <row r="155" spans="8:70" x14ac:dyDescent="0.3">
      <c r="H155" s="80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8"/>
      <c r="Y155" s="99"/>
      <c r="Z155" s="99"/>
      <c r="AA155" s="100"/>
      <c r="AB155" s="100"/>
      <c r="AC155" s="100"/>
      <c r="AD155" s="53"/>
      <c r="AE155" s="54"/>
      <c r="AF155" s="54"/>
      <c r="AG155" s="55"/>
      <c r="AH155" s="55"/>
      <c r="AI155" s="55"/>
      <c r="AJ155" s="110"/>
      <c r="AK155" s="111"/>
      <c r="AL155" s="111"/>
      <c r="AM155" s="112"/>
      <c r="AN155" s="112"/>
      <c r="AO155" s="77"/>
      <c r="AP155" s="86"/>
      <c r="AQ155" s="86"/>
      <c r="AR155" s="85"/>
      <c r="AS155" s="77"/>
      <c r="AT155" s="77"/>
      <c r="AU155" s="77"/>
      <c r="AV155" s="119"/>
      <c r="AW155" s="129"/>
      <c r="AX155" s="129"/>
      <c r="AY155" s="125"/>
      <c r="AZ155" s="119"/>
      <c r="BA155" s="47"/>
      <c r="BB155" s="48"/>
      <c r="BC155" s="48"/>
      <c r="BD155" s="49"/>
      <c r="BE155" s="49"/>
      <c r="BF155" s="49"/>
      <c r="BG155" s="129"/>
      <c r="BH155" s="129"/>
      <c r="BI155" s="129"/>
      <c r="BJ155" s="125"/>
      <c r="BK155" s="119"/>
      <c r="BL155" s="119"/>
      <c r="BM155" s="77"/>
      <c r="BN155" s="86"/>
      <c r="BO155" s="86"/>
      <c r="BP155" s="85"/>
      <c r="BQ155" s="85"/>
      <c r="BR155" s="77"/>
    </row>
    <row r="156" spans="8:70" x14ac:dyDescent="0.3">
      <c r="H156" s="80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8"/>
      <c r="Y156" s="99"/>
      <c r="Z156" s="99"/>
      <c r="AA156" s="100"/>
      <c r="AB156" s="100"/>
      <c r="AC156" s="100"/>
      <c r="AD156" s="53"/>
      <c r="AE156" s="54"/>
      <c r="AF156" s="54"/>
      <c r="AG156" s="55"/>
      <c r="AH156" s="55"/>
      <c r="AI156" s="55"/>
      <c r="AJ156" s="110"/>
      <c r="AK156" s="111"/>
      <c r="AL156" s="111"/>
      <c r="AM156" s="112"/>
      <c r="AN156" s="112"/>
      <c r="AO156" s="77"/>
      <c r="AP156" s="86"/>
      <c r="AQ156" s="86"/>
      <c r="AR156" s="85"/>
      <c r="AS156" s="77"/>
      <c r="AT156" s="77"/>
      <c r="AU156" s="77"/>
      <c r="AV156" s="119"/>
      <c r="AW156" s="129"/>
      <c r="AX156" s="129"/>
      <c r="AY156" s="125"/>
      <c r="AZ156" s="119"/>
      <c r="BA156" s="47"/>
      <c r="BB156" s="48"/>
      <c r="BC156" s="48"/>
      <c r="BD156" s="49"/>
      <c r="BE156" s="49"/>
      <c r="BF156" s="49"/>
      <c r="BG156" s="129"/>
      <c r="BH156" s="129"/>
      <c r="BI156" s="129"/>
      <c r="BJ156" s="125"/>
      <c r="BK156" s="119"/>
      <c r="BL156" s="119"/>
      <c r="BM156" s="77"/>
      <c r="BN156" s="86"/>
      <c r="BO156" s="86"/>
      <c r="BP156" s="85"/>
      <c r="BQ156" s="85"/>
      <c r="BR156" s="77"/>
    </row>
    <row r="157" spans="8:70" x14ac:dyDescent="0.3">
      <c r="H157" s="80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8"/>
      <c r="Y157" s="99"/>
      <c r="Z157" s="99"/>
      <c r="AA157" s="100"/>
      <c r="AB157" s="100"/>
      <c r="AC157" s="100"/>
      <c r="AD157" s="53"/>
      <c r="AE157" s="54"/>
      <c r="AF157" s="54"/>
      <c r="AG157" s="55"/>
      <c r="AH157" s="55"/>
      <c r="AI157" s="55"/>
      <c r="AJ157" s="110"/>
      <c r="AK157" s="111"/>
      <c r="AL157" s="111"/>
      <c r="AM157" s="112"/>
      <c r="AN157" s="112"/>
      <c r="AO157" s="77"/>
      <c r="AP157" s="86"/>
      <c r="AQ157" s="86"/>
      <c r="AR157" s="85"/>
      <c r="AS157" s="77"/>
      <c r="AT157" s="77"/>
      <c r="AU157" s="77"/>
      <c r="AV157" s="119"/>
      <c r="AW157" s="129"/>
      <c r="AX157" s="129"/>
      <c r="AY157" s="125"/>
      <c r="AZ157" s="119"/>
      <c r="BA157" s="47"/>
      <c r="BB157" s="48"/>
      <c r="BC157" s="48"/>
      <c r="BD157" s="49"/>
      <c r="BE157" s="49"/>
      <c r="BF157" s="49"/>
      <c r="BG157" s="129"/>
      <c r="BH157" s="129"/>
      <c r="BI157" s="129"/>
      <c r="BJ157" s="125"/>
      <c r="BK157" s="119"/>
      <c r="BL157" s="119"/>
      <c r="BM157" s="77"/>
      <c r="BN157" s="86"/>
      <c r="BO157" s="86"/>
      <c r="BP157" s="85"/>
      <c r="BQ157" s="85"/>
      <c r="BR157" s="77"/>
    </row>
    <row r="158" spans="8:70" x14ac:dyDescent="0.3">
      <c r="H158" s="80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8"/>
      <c r="Y158" s="99"/>
      <c r="Z158" s="99"/>
      <c r="AA158" s="100"/>
      <c r="AB158" s="100"/>
      <c r="AC158" s="100"/>
      <c r="AD158" s="53"/>
      <c r="AE158" s="54"/>
      <c r="AF158" s="54"/>
      <c r="AG158" s="55"/>
      <c r="AH158" s="55"/>
      <c r="AI158" s="55"/>
      <c r="AJ158" s="110"/>
      <c r="AK158" s="111"/>
      <c r="AL158" s="111"/>
      <c r="AM158" s="112"/>
      <c r="AN158" s="112"/>
      <c r="AO158" s="77"/>
      <c r="AP158" s="86"/>
      <c r="AQ158" s="86"/>
      <c r="AR158" s="85"/>
      <c r="AS158" s="77"/>
      <c r="AT158" s="77"/>
      <c r="AU158" s="77"/>
      <c r="AV158" s="119"/>
      <c r="AW158" s="129"/>
      <c r="AX158" s="129"/>
      <c r="AY158" s="125"/>
      <c r="AZ158" s="119"/>
      <c r="BA158" s="47"/>
      <c r="BB158" s="48"/>
      <c r="BC158" s="48"/>
      <c r="BD158" s="49"/>
      <c r="BE158" s="49"/>
      <c r="BF158" s="49"/>
      <c r="BG158" s="129"/>
      <c r="BH158" s="129"/>
      <c r="BI158" s="129"/>
      <c r="BJ158" s="125"/>
      <c r="BK158" s="119"/>
      <c r="BL158" s="119"/>
      <c r="BM158" s="77"/>
      <c r="BN158" s="86"/>
      <c r="BO158" s="86"/>
      <c r="BP158" s="85"/>
      <c r="BQ158" s="85"/>
      <c r="BR158" s="77"/>
    </row>
    <row r="159" spans="8:70" x14ac:dyDescent="0.3">
      <c r="H159" s="80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8"/>
      <c r="Y159" s="99"/>
      <c r="Z159" s="99"/>
      <c r="AA159" s="100"/>
      <c r="AB159" s="100"/>
      <c r="AC159" s="100"/>
      <c r="AD159" s="53"/>
      <c r="AE159" s="54"/>
      <c r="AF159" s="54"/>
      <c r="AG159" s="55"/>
      <c r="AH159" s="55"/>
      <c r="AI159" s="55"/>
      <c r="AJ159" s="110"/>
      <c r="AK159" s="111"/>
      <c r="AL159" s="111"/>
      <c r="AM159" s="112"/>
      <c r="AN159" s="112"/>
      <c r="AO159" s="77"/>
      <c r="AP159" s="86"/>
      <c r="AQ159" s="86"/>
      <c r="AR159" s="85"/>
      <c r="AS159" s="77"/>
      <c r="AT159" s="77"/>
      <c r="AU159" s="77"/>
      <c r="AV159" s="119"/>
      <c r="AW159" s="129"/>
      <c r="AX159" s="129"/>
      <c r="AY159" s="125"/>
      <c r="AZ159" s="119"/>
      <c r="BA159" s="47"/>
      <c r="BB159" s="48"/>
      <c r="BC159" s="48"/>
      <c r="BD159" s="49"/>
      <c r="BE159" s="49"/>
      <c r="BF159" s="49"/>
      <c r="BG159" s="129"/>
      <c r="BH159" s="129"/>
      <c r="BI159" s="129"/>
      <c r="BJ159" s="125"/>
      <c r="BK159" s="119"/>
      <c r="BL159" s="119"/>
      <c r="BM159" s="77"/>
      <c r="BN159" s="86"/>
      <c r="BO159" s="86"/>
      <c r="BP159" s="85"/>
      <c r="BQ159" s="85"/>
      <c r="BR159" s="77"/>
    </row>
    <row r="160" spans="8:70" x14ac:dyDescent="0.3">
      <c r="H160" s="80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8"/>
      <c r="Y160" s="99"/>
      <c r="Z160" s="99"/>
      <c r="AA160" s="100"/>
      <c r="AB160" s="100"/>
      <c r="AC160" s="100"/>
      <c r="AD160" s="53"/>
      <c r="AE160" s="54"/>
      <c r="AF160" s="54"/>
      <c r="AG160" s="55"/>
      <c r="AH160" s="55"/>
      <c r="AI160" s="55"/>
      <c r="AJ160" s="110"/>
      <c r="AK160" s="111"/>
      <c r="AL160" s="111"/>
      <c r="AM160" s="112"/>
      <c r="AN160" s="112"/>
      <c r="AO160" s="77"/>
      <c r="AP160" s="86"/>
      <c r="AQ160" s="86"/>
      <c r="AR160" s="85"/>
      <c r="AS160" s="77"/>
      <c r="AT160" s="77"/>
      <c r="AU160" s="77"/>
      <c r="AV160" s="119"/>
      <c r="AW160" s="129"/>
      <c r="AX160" s="129"/>
      <c r="AY160" s="125"/>
      <c r="AZ160" s="119"/>
      <c r="BA160" s="47"/>
      <c r="BB160" s="48"/>
      <c r="BC160" s="48"/>
      <c r="BD160" s="49"/>
      <c r="BE160" s="49"/>
      <c r="BF160" s="49"/>
      <c r="BG160" s="129"/>
      <c r="BH160" s="129"/>
      <c r="BI160" s="129"/>
      <c r="BJ160" s="125"/>
      <c r="BK160" s="119"/>
      <c r="BL160" s="119"/>
      <c r="BM160" s="77"/>
      <c r="BN160" s="86"/>
      <c r="BO160" s="86"/>
      <c r="BP160" s="85"/>
      <c r="BQ160" s="85"/>
      <c r="BR160" s="77"/>
    </row>
    <row r="161" spans="8:70" x14ac:dyDescent="0.3">
      <c r="H161" s="80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8"/>
      <c r="Y161" s="99"/>
      <c r="Z161" s="99"/>
      <c r="AA161" s="100"/>
      <c r="AB161" s="100"/>
      <c r="AC161" s="100"/>
      <c r="AD161" s="53"/>
      <c r="AE161" s="54"/>
      <c r="AF161" s="54"/>
      <c r="AG161" s="55"/>
      <c r="AH161" s="55"/>
      <c r="AI161" s="55"/>
      <c r="AJ161" s="110"/>
      <c r="AK161" s="111"/>
      <c r="AL161" s="111"/>
      <c r="AM161" s="112"/>
      <c r="AN161" s="112"/>
      <c r="AO161" s="77"/>
      <c r="AP161" s="86"/>
      <c r="AQ161" s="86"/>
      <c r="AR161" s="85"/>
      <c r="AS161" s="77"/>
      <c r="AT161" s="77"/>
      <c r="AU161" s="77"/>
      <c r="AV161" s="119"/>
      <c r="AW161" s="129"/>
      <c r="AX161" s="129"/>
      <c r="AY161" s="125"/>
      <c r="AZ161" s="119"/>
      <c r="BA161" s="47"/>
      <c r="BB161" s="48"/>
      <c r="BC161" s="48"/>
      <c r="BD161" s="49"/>
      <c r="BE161" s="49"/>
      <c r="BF161" s="49"/>
      <c r="BG161" s="129"/>
      <c r="BH161" s="129"/>
      <c r="BI161" s="129"/>
      <c r="BJ161" s="125"/>
      <c r="BK161" s="119"/>
      <c r="BL161" s="119"/>
      <c r="BM161" s="77"/>
      <c r="BN161" s="86"/>
      <c r="BO161" s="86"/>
      <c r="BP161" s="85"/>
      <c r="BQ161" s="85"/>
      <c r="BR161" s="77"/>
    </row>
    <row r="162" spans="8:70" x14ac:dyDescent="0.3">
      <c r="H162" s="80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8"/>
      <c r="Y162" s="99"/>
      <c r="Z162" s="99"/>
      <c r="AA162" s="100"/>
      <c r="AB162" s="100"/>
      <c r="AC162" s="100"/>
      <c r="AD162" s="53"/>
      <c r="AE162" s="54"/>
      <c r="AF162" s="54"/>
      <c r="AG162" s="55"/>
      <c r="AH162" s="55"/>
      <c r="AI162" s="55"/>
      <c r="AJ162" s="110"/>
      <c r="AK162" s="111"/>
      <c r="AL162" s="111"/>
      <c r="AM162" s="112"/>
      <c r="AN162" s="112"/>
      <c r="AO162" s="77"/>
      <c r="AP162" s="86"/>
      <c r="AQ162" s="86"/>
      <c r="AR162" s="85"/>
      <c r="AS162" s="77"/>
      <c r="AT162" s="77"/>
      <c r="AU162" s="77"/>
      <c r="AV162" s="119"/>
      <c r="AW162" s="129"/>
      <c r="AX162" s="129"/>
      <c r="AY162" s="125"/>
      <c r="AZ162" s="119"/>
      <c r="BA162" s="47"/>
      <c r="BB162" s="48"/>
      <c r="BC162" s="48"/>
      <c r="BD162" s="49"/>
      <c r="BE162" s="49"/>
      <c r="BF162" s="49"/>
      <c r="BG162" s="129"/>
      <c r="BH162" s="129"/>
      <c r="BI162" s="129"/>
      <c r="BJ162" s="125"/>
      <c r="BK162" s="119"/>
      <c r="BL162" s="119"/>
      <c r="BM162" s="77"/>
      <c r="BN162" s="86"/>
      <c r="BO162" s="86"/>
      <c r="BP162" s="85"/>
      <c r="BQ162" s="85"/>
      <c r="BR162" s="77"/>
    </row>
    <row r="163" spans="8:70" x14ac:dyDescent="0.3">
      <c r="H163" s="80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8"/>
      <c r="Y163" s="99"/>
      <c r="Z163" s="99"/>
      <c r="AA163" s="100"/>
      <c r="AB163" s="100"/>
      <c r="AC163" s="100"/>
      <c r="AD163" s="53"/>
      <c r="AE163" s="54"/>
      <c r="AF163" s="54"/>
      <c r="AG163" s="55"/>
      <c r="AH163" s="55"/>
      <c r="AI163" s="55"/>
      <c r="AJ163" s="110"/>
      <c r="AK163" s="111"/>
      <c r="AL163" s="111"/>
      <c r="AM163" s="112"/>
      <c r="AN163" s="112"/>
      <c r="AO163" s="77"/>
      <c r="AP163" s="86"/>
      <c r="AQ163" s="86"/>
      <c r="AR163" s="85"/>
      <c r="AS163" s="77"/>
      <c r="AT163" s="77"/>
      <c r="AU163" s="77"/>
      <c r="AV163" s="119"/>
      <c r="AW163" s="129"/>
      <c r="AX163" s="129"/>
      <c r="AY163" s="125"/>
      <c r="AZ163" s="119"/>
      <c r="BA163" s="47"/>
      <c r="BB163" s="48"/>
      <c r="BC163" s="48"/>
      <c r="BD163" s="49"/>
      <c r="BE163" s="49"/>
      <c r="BF163" s="49"/>
      <c r="BG163" s="129"/>
      <c r="BH163" s="129"/>
      <c r="BI163" s="129"/>
      <c r="BJ163" s="125"/>
      <c r="BK163" s="119"/>
      <c r="BL163" s="119"/>
      <c r="BM163" s="77"/>
      <c r="BN163" s="86"/>
      <c r="BO163" s="86"/>
      <c r="BP163" s="85"/>
      <c r="BQ163" s="85"/>
      <c r="BR163" s="77"/>
    </row>
    <row r="164" spans="8:70" x14ac:dyDescent="0.3">
      <c r="H164" s="80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8"/>
      <c r="Y164" s="99"/>
      <c r="Z164" s="99"/>
      <c r="AA164" s="100"/>
      <c r="AB164" s="100"/>
      <c r="AC164" s="100"/>
      <c r="AD164" s="53"/>
      <c r="AE164" s="54"/>
      <c r="AF164" s="54"/>
      <c r="AG164" s="55"/>
      <c r="AH164" s="55"/>
      <c r="AI164" s="55"/>
      <c r="AJ164" s="110"/>
      <c r="AK164" s="111"/>
      <c r="AL164" s="111"/>
      <c r="AM164" s="112"/>
      <c r="AN164" s="112"/>
      <c r="AO164" s="77"/>
      <c r="AP164" s="86"/>
      <c r="AQ164" s="86"/>
      <c r="AR164" s="85"/>
      <c r="AS164" s="77"/>
      <c r="AT164" s="77"/>
      <c r="AU164" s="77"/>
      <c r="AV164" s="119"/>
      <c r="AW164" s="129"/>
      <c r="AX164" s="129"/>
      <c r="AY164" s="125"/>
      <c r="AZ164" s="119"/>
      <c r="BA164" s="47"/>
      <c r="BB164" s="48"/>
      <c r="BC164" s="48"/>
      <c r="BD164" s="49"/>
      <c r="BE164" s="49"/>
      <c r="BF164" s="49"/>
      <c r="BG164" s="129"/>
      <c r="BH164" s="129"/>
      <c r="BI164" s="129"/>
      <c r="BJ164" s="125"/>
      <c r="BK164" s="119"/>
      <c r="BL164" s="119"/>
      <c r="BM164" s="77"/>
      <c r="BN164" s="86"/>
      <c r="BO164" s="86"/>
      <c r="BP164" s="85"/>
      <c r="BQ164" s="85"/>
      <c r="BR164" s="77"/>
    </row>
    <row r="165" spans="8:70" x14ac:dyDescent="0.3">
      <c r="H165" s="80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8"/>
      <c r="Y165" s="99"/>
      <c r="Z165" s="99"/>
      <c r="AA165" s="100"/>
      <c r="AB165" s="100"/>
      <c r="AC165" s="100"/>
      <c r="AD165" s="53"/>
      <c r="AE165" s="54"/>
      <c r="AF165" s="54"/>
      <c r="AG165" s="55"/>
      <c r="AH165" s="55"/>
      <c r="AI165" s="55"/>
      <c r="AJ165" s="110"/>
      <c r="AK165" s="111"/>
      <c r="AL165" s="111"/>
      <c r="AM165" s="112"/>
      <c r="AN165" s="112"/>
      <c r="AO165" s="77"/>
      <c r="AP165" s="86"/>
      <c r="AQ165" s="86"/>
      <c r="AR165" s="85"/>
      <c r="AS165" s="77"/>
      <c r="AT165" s="77"/>
      <c r="AU165" s="77"/>
      <c r="AV165" s="119"/>
      <c r="AW165" s="129"/>
      <c r="AX165" s="129"/>
      <c r="AY165" s="125"/>
      <c r="AZ165" s="119"/>
      <c r="BA165" s="47"/>
      <c r="BB165" s="48"/>
      <c r="BC165" s="48"/>
      <c r="BD165" s="49"/>
      <c r="BE165" s="49"/>
      <c r="BF165" s="49"/>
      <c r="BG165" s="129"/>
      <c r="BH165" s="129"/>
      <c r="BI165" s="129"/>
      <c r="BJ165" s="125"/>
      <c r="BK165" s="119"/>
      <c r="BL165" s="119"/>
      <c r="BM165" s="77"/>
      <c r="BN165" s="86"/>
      <c r="BO165" s="86"/>
      <c r="BP165" s="85"/>
      <c r="BQ165" s="85"/>
      <c r="BR165" s="77"/>
    </row>
    <row r="166" spans="8:70" x14ac:dyDescent="0.3">
      <c r="H166" s="80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8"/>
      <c r="Y166" s="99"/>
      <c r="Z166" s="99"/>
      <c r="AA166" s="100"/>
      <c r="AB166" s="100"/>
      <c r="AC166" s="100"/>
      <c r="AD166" s="53"/>
      <c r="AE166" s="54"/>
      <c r="AF166" s="54"/>
      <c r="AG166" s="55"/>
      <c r="AH166" s="55"/>
      <c r="AI166" s="55"/>
      <c r="AJ166" s="110"/>
      <c r="AK166" s="111"/>
      <c r="AL166" s="111"/>
      <c r="AM166" s="112"/>
      <c r="AN166" s="112"/>
      <c r="AO166" s="77"/>
      <c r="AP166" s="86"/>
      <c r="AQ166" s="86"/>
      <c r="AR166" s="85"/>
      <c r="AS166" s="77"/>
      <c r="AT166" s="77"/>
      <c r="AU166" s="77"/>
      <c r="AV166" s="119"/>
      <c r="AW166" s="129"/>
      <c r="AX166" s="129"/>
      <c r="AY166" s="125"/>
      <c r="AZ166" s="119"/>
      <c r="BA166" s="47"/>
      <c r="BB166" s="48"/>
      <c r="BC166" s="48"/>
      <c r="BD166" s="49"/>
      <c r="BE166" s="49"/>
      <c r="BF166" s="49"/>
      <c r="BG166" s="129"/>
      <c r="BH166" s="129"/>
      <c r="BI166" s="129"/>
      <c r="BJ166" s="125"/>
      <c r="BK166" s="119"/>
      <c r="BL166" s="119"/>
      <c r="BM166" s="77"/>
      <c r="BN166" s="86"/>
      <c r="BO166" s="86"/>
      <c r="BP166" s="85"/>
      <c r="BQ166" s="85"/>
      <c r="BR166" s="77"/>
    </row>
    <row r="167" spans="8:70" x14ac:dyDescent="0.3">
      <c r="H167" s="80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8"/>
      <c r="Y167" s="99"/>
      <c r="Z167" s="99"/>
      <c r="AA167" s="100"/>
      <c r="AB167" s="100"/>
      <c r="AC167" s="100"/>
      <c r="AD167" s="53"/>
      <c r="AE167" s="54"/>
      <c r="AF167" s="54"/>
      <c r="AG167" s="55"/>
      <c r="AH167" s="55"/>
      <c r="AI167" s="55"/>
      <c r="AJ167" s="110"/>
      <c r="AK167" s="111"/>
      <c r="AL167" s="111"/>
      <c r="AM167" s="112"/>
      <c r="AN167" s="112"/>
      <c r="AO167" s="77"/>
      <c r="AP167" s="86"/>
      <c r="AQ167" s="86"/>
      <c r="AR167" s="85"/>
      <c r="AS167" s="77"/>
      <c r="AT167" s="77"/>
      <c r="AU167" s="77"/>
      <c r="AV167" s="119"/>
      <c r="AW167" s="129"/>
      <c r="AX167" s="129"/>
      <c r="AY167" s="125"/>
      <c r="AZ167" s="119"/>
      <c r="BA167" s="47"/>
      <c r="BB167" s="48"/>
      <c r="BC167" s="48"/>
      <c r="BD167" s="49"/>
      <c r="BE167" s="49"/>
      <c r="BF167" s="49"/>
      <c r="BG167" s="129"/>
      <c r="BH167" s="129"/>
      <c r="BI167" s="129"/>
      <c r="BJ167" s="125"/>
      <c r="BK167" s="119"/>
      <c r="BL167" s="119"/>
      <c r="BM167" s="77"/>
      <c r="BN167" s="86"/>
      <c r="BO167" s="86"/>
      <c r="BP167" s="85"/>
      <c r="BQ167" s="85"/>
      <c r="BR167" s="77"/>
    </row>
    <row r="168" spans="8:70" x14ac:dyDescent="0.3">
      <c r="H168" s="80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8"/>
      <c r="Y168" s="99"/>
      <c r="Z168" s="99"/>
      <c r="AA168" s="100"/>
      <c r="AB168" s="100"/>
      <c r="AC168" s="100"/>
      <c r="AD168" s="53"/>
      <c r="AE168" s="54"/>
      <c r="AF168" s="54"/>
      <c r="AG168" s="55"/>
      <c r="AH168" s="55"/>
      <c r="AI168" s="55"/>
      <c r="AJ168" s="110"/>
      <c r="AK168" s="111"/>
      <c r="AL168" s="111"/>
      <c r="AM168" s="112"/>
      <c r="AN168" s="112"/>
      <c r="AO168" s="77"/>
      <c r="AP168" s="86"/>
      <c r="AQ168" s="86"/>
      <c r="AR168" s="85"/>
      <c r="AS168" s="77"/>
      <c r="AT168" s="77"/>
      <c r="AU168" s="77"/>
      <c r="AV168" s="119"/>
      <c r="AW168" s="129"/>
      <c r="AX168" s="129"/>
      <c r="AY168" s="125"/>
      <c r="AZ168" s="119"/>
      <c r="BA168" s="47"/>
      <c r="BB168" s="48"/>
      <c r="BC168" s="48"/>
      <c r="BD168" s="49"/>
      <c r="BE168" s="49"/>
      <c r="BF168" s="49"/>
      <c r="BG168" s="129"/>
      <c r="BH168" s="129"/>
      <c r="BI168" s="129"/>
      <c r="BJ168" s="125"/>
      <c r="BK168" s="119"/>
      <c r="BL168" s="119"/>
      <c r="BM168" s="77"/>
      <c r="BN168" s="86"/>
      <c r="BO168" s="86"/>
      <c r="BP168" s="85"/>
      <c r="BQ168" s="85"/>
      <c r="BR168" s="77"/>
    </row>
    <row r="169" spans="8:70" x14ac:dyDescent="0.3">
      <c r="H169" s="80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8"/>
      <c r="Y169" s="99"/>
      <c r="Z169" s="99"/>
      <c r="AA169" s="100"/>
      <c r="AB169" s="100"/>
      <c r="AC169" s="100"/>
      <c r="AD169" s="53"/>
      <c r="AE169" s="54"/>
      <c r="AF169" s="54"/>
      <c r="AG169" s="55"/>
      <c r="AH169" s="55"/>
      <c r="AI169" s="55"/>
      <c r="AJ169" s="110"/>
      <c r="AK169" s="111"/>
      <c r="AL169" s="111"/>
      <c r="AM169" s="112"/>
      <c r="AN169" s="112"/>
      <c r="AO169" s="77"/>
      <c r="AP169" s="86"/>
      <c r="AQ169" s="86"/>
      <c r="AR169" s="85"/>
      <c r="AS169" s="77"/>
      <c r="AT169" s="77"/>
      <c r="AU169" s="77"/>
      <c r="AV169" s="119"/>
      <c r="AW169" s="129"/>
      <c r="AX169" s="129"/>
      <c r="AY169" s="125"/>
      <c r="AZ169" s="119"/>
      <c r="BA169" s="47"/>
      <c r="BB169" s="48"/>
      <c r="BC169" s="48"/>
      <c r="BD169" s="49"/>
      <c r="BE169" s="49"/>
      <c r="BF169" s="49"/>
      <c r="BG169" s="129"/>
      <c r="BH169" s="129"/>
      <c r="BI169" s="129"/>
      <c r="BJ169" s="125"/>
      <c r="BK169" s="119"/>
      <c r="BL169" s="119"/>
      <c r="BM169" s="77"/>
      <c r="BN169" s="86"/>
      <c r="BO169" s="86"/>
      <c r="BP169" s="85"/>
      <c r="BQ169" s="85"/>
      <c r="BR169" s="77"/>
    </row>
    <row r="170" spans="8:70" x14ac:dyDescent="0.3">
      <c r="H170" s="80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8"/>
      <c r="Y170" s="99"/>
      <c r="Z170" s="99"/>
      <c r="AA170" s="100"/>
      <c r="AB170" s="100"/>
      <c r="AC170" s="100"/>
      <c r="AD170" s="53"/>
      <c r="AE170" s="54"/>
      <c r="AF170" s="54"/>
      <c r="AG170" s="55"/>
      <c r="AH170" s="55"/>
      <c r="AI170" s="55"/>
      <c r="AJ170" s="110"/>
      <c r="AK170" s="111"/>
      <c r="AL170" s="111"/>
      <c r="AM170" s="112"/>
      <c r="AN170" s="112"/>
      <c r="AO170" s="77"/>
      <c r="AP170" s="86"/>
      <c r="AQ170" s="86"/>
      <c r="AR170" s="85"/>
      <c r="AS170" s="77"/>
      <c r="AT170" s="77"/>
      <c r="AU170" s="77"/>
      <c r="AV170" s="119"/>
      <c r="AW170" s="129"/>
      <c r="AX170" s="129"/>
      <c r="AY170" s="125"/>
      <c r="AZ170" s="119"/>
      <c r="BA170" s="47"/>
      <c r="BB170" s="48"/>
      <c r="BC170" s="48"/>
      <c r="BD170" s="49"/>
      <c r="BE170" s="49"/>
      <c r="BF170" s="49"/>
      <c r="BG170" s="129"/>
      <c r="BH170" s="129"/>
      <c r="BI170" s="129"/>
      <c r="BJ170" s="125"/>
      <c r="BK170" s="119"/>
      <c r="BL170" s="119"/>
      <c r="BM170" s="77"/>
      <c r="BN170" s="86"/>
      <c r="BO170" s="86"/>
      <c r="BP170" s="85"/>
      <c r="BQ170" s="85"/>
      <c r="BR170" s="77"/>
    </row>
    <row r="171" spans="8:70" x14ac:dyDescent="0.3">
      <c r="H171" s="80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8"/>
      <c r="Y171" s="99"/>
      <c r="Z171" s="99"/>
      <c r="AA171" s="100"/>
      <c r="AB171" s="100"/>
      <c r="AC171" s="100"/>
      <c r="AD171" s="53"/>
      <c r="AE171" s="54"/>
      <c r="AF171" s="54"/>
      <c r="AG171" s="55"/>
      <c r="AH171" s="55"/>
      <c r="AI171" s="55"/>
      <c r="AJ171" s="110"/>
      <c r="AK171" s="111"/>
      <c r="AL171" s="111"/>
      <c r="AM171" s="112"/>
      <c r="AN171" s="112"/>
      <c r="AO171" s="77"/>
      <c r="AP171" s="86"/>
      <c r="AQ171" s="86"/>
      <c r="AR171" s="85"/>
      <c r="AS171" s="77"/>
      <c r="AT171" s="77"/>
      <c r="AU171" s="77"/>
      <c r="AV171" s="119"/>
      <c r="AW171" s="129"/>
      <c r="AX171" s="129"/>
      <c r="AY171" s="125"/>
      <c r="AZ171" s="119"/>
      <c r="BA171" s="47"/>
      <c r="BB171" s="48"/>
      <c r="BC171" s="48"/>
      <c r="BD171" s="49"/>
      <c r="BE171" s="49"/>
      <c r="BF171" s="49"/>
      <c r="BG171" s="129"/>
      <c r="BH171" s="129"/>
      <c r="BI171" s="129"/>
      <c r="BJ171" s="125"/>
      <c r="BK171" s="119"/>
      <c r="BL171" s="119"/>
      <c r="BM171" s="77"/>
      <c r="BN171" s="86"/>
      <c r="BO171" s="86"/>
      <c r="BP171" s="85"/>
      <c r="BQ171" s="85"/>
      <c r="BR171" s="77"/>
    </row>
    <row r="172" spans="8:70" x14ac:dyDescent="0.3">
      <c r="H172" s="80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8"/>
      <c r="Y172" s="99"/>
      <c r="Z172" s="99"/>
      <c r="AA172" s="100"/>
      <c r="AB172" s="100"/>
      <c r="AC172" s="100"/>
      <c r="AD172" s="53"/>
      <c r="AE172" s="54"/>
      <c r="AF172" s="54"/>
      <c r="AG172" s="55"/>
      <c r="AH172" s="55"/>
      <c r="AI172" s="55"/>
      <c r="AJ172" s="110"/>
      <c r="AK172" s="111"/>
      <c r="AL172" s="111"/>
      <c r="AM172" s="112"/>
      <c r="AN172" s="112"/>
      <c r="AO172" s="77"/>
      <c r="AP172" s="86"/>
      <c r="AQ172" s="86"/>
      <c r="AR172" s="85"/>
      <c r="AS172" s="77"/>
      <c r="AT172" s="77"/>
      <c r="AU172" s="77"/>
      <c r="AV172" s="119"/>
      <c r="AW172" s="129"/>
      <c r="AX172" s="129"/>
      <c r="AY172" s="125"/>
      <c r="AZ172" s="119"/>
      <c r="BA172" s="47"/>
      <c r="BB172" s="48"/>
      <c r="BC172" s="48"/>
      <c r="BD172" s="49"/>
      <c r="BE172" s="49"/>
      <c r="BF172" s="49"/>
      <c r="BG172" s="129"/>
      <c r="BH172" s="129"/>
      <c r="BI172" s="129"/>
      <c r="BJ172" s="125"/>
      <c r="BK172" s="119"/>
      <c r="BL172" s="119"/>
      <c r="BM172" s="77"/>
      <c r="BN172" s="86"/>
      <c r="BO172" s="86"/>
      <c r="BP172" s="85"/>
      <c r="BQ172" s="85"/>
      <c r="BR172" s="77"/>
    </row>
    <row r="173" spans="8:70" x14ac:dyDescent="0.3">
      <c r="H173" s="80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8"/>
      <c r="Y173" s="99"/>
      <c r="Z173" s="99"/>
      <c r="AA173" s="100"/>
      <c r="AB173" s="100"/>
      <c r="AC173" s="100"/>
      <c r="AD173" s="53"/>
      <c r="AE173" s="54"/>
      <c r="AF173" s="54"/>
      <c r="AG173" s="55"/>
      <c r="AH173" s="55"/>
      <c r="AI173" s="55"/>
      <c r="AJ173" s="110"/>
      <c r="AK173" s="111"/>
      <c r="AL173" s="111"/>
      <c r="AM173" s="112"/>
      <c r="AN173" s="112"/>
      <c r="AO173" s="77"/>
      <c r="AP173" s="86"/>
      <c r="AQ173" s="86"/>
      <c r="AR173" s="85"/>
      <c r="AS173" s="77"/>
      <c r="AT173" s="77"/>
      <c r="AU173" s="77"/>
      <c r="AV173" s="119"/>
      <c r="AW173" s="129"/>
      <c r="AX173" s="129"/>
      <c r="AY173" s="125"/>
      <c r="AZ173" s="119"/>
      <c r="BA173" s="47"/>
      <c r="BB173" s="48"/>
      <c r="BC173" s="48"/>
      <c r="BD173" s="49"/>
      <c r="BE173" s="49"/>
      <c r="BF173" s="49"/>
      <c r="BG173" s="129"/>
      <c r="BH173" s="129"/>
      <c r="BI173" s="129"/>
      <c r="BJ173" s="125"/>
      <c r="BK173" s="119"/>
      <c r="BL173" s="119"/>
      <c r="BM173" s="77"/>
      <c r="BN173" s="86"/>
      <c r="BO173" s="86"/>
      <c r="BP173" s="85"/>
      <c r="BQ173" s="85"/>
      <c r="BR173" s="77"/>
    </row>
    <row r="174" spans="8:70" x14ac:dyDescent="0.3">
      <c r="H174" s="80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8"/>
      <c r="Y174" s="99"/>
      <c r="Z174" s="99"/>
      <c r="AA174" s="100"/>
      <c r="AB174" s="100"/>
      <c r="AC174" s="100"/>
      <c r="AD174" s="53"/>
      <c r="AE174" s="54"/>
      <c r="AF174" s="54"/>
      <c r="AG174" s="55"/>
      <c r="AH174" s="55"/>
      <c r="AI174" s="55"/>
      <c r="AJ174" s="110"/>
      <c r="AK174" s="111"/>
      <c r="AL174" s="111"/>
      <c r="AM174" s="112"/>
      <c r="AN174" s="112"/>
      <c r="AO174" s="77"/>
      <c r="AP174" s="86"/>
      <c r="AQ174" s="86"/>
      <c r="AR174" s="85"/>
      <c r="AS174" s="77"/>
      <c r="AT174" s="77"/>
      <c r="AU174" s="77"/>
      <c r="AV174" s="119"/>
      <c r="AW174" s="129"/>
      <c r="AX174" s="129"/>
      <c r="AY174" s="125"/>
      <c r="AZ174" s="119"/>
      <c r="BA174" s="47"/>
      <c r="BB174" s="48"/>
      <c r="BC174" s="48"/>
      <c r="BD174" s="49"/>
      <c r="BE174" s="49"/>
      <c r="BF174" s="49"/>
      <c r="BG174" s="129"/>
      <c r="BH174" s="129"/>
      <c r="BI174" s="129"/>
      <c r="BJ174" s="125"/>
      <c r="BK174" s="119"/>
      <c r="BL174" s="119"/>
      <c r="BM174" s="77"/>
      <c r="BN174" s="86"/>
      <c r="BO174" s="86"/>
      <c r="BP174" s="85"/>
      <c r="BQ174" s="85"/>
      <c r="BR174" s="77"/>
    </row>
    <row r="175" spans="8:70" x14ac:dyDescent="0.3">
      <c r="H175" s="80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8"/>
      <c r="Y175" s="99"/>
      <c r="Z175" s="99"/>
      <c r="AA175" s="100"/>
      <c r="AB175" s="100"/>
      <c r="AC175" s="100"/>
      <c r="AD175" s="53"/>
      <c r="AE175" s="54"/>
      <c r="AF175" s="54"/>
      <c r="AG175" s="55"/>
      <c r="AH175" s="55"/>
      <c r="AI175" s="55"/>
      <c r="AJ175" s="110"/>
      <c r="AK175" s="111"/>
      <c r="AL175" s="111"/>
      <c r="AM175" s="112"/>
      <c r="AN175" s="112"/>
      <c r="AO175" s="77"/>
      <c r="AP175" s="86"/>
      <c r="AQ175" s="86"/>
      <c r="AR175" s="85"/>
      <c r="AS175" s="77"/>
      <c r="AT175" s="77"/>
      <c r="AU175" s="77"/>
      <c r="AV175" s="119"/>
      <c r="AW175" s="129"/>
      <c r="AX175" s="129"/>
      <c r="AY175" s="125"/>
      <c r="AZ175" s="119"/>
      <c r="BA175" s="47"/>
      <c r="BB175" s="48"/>
      <c r="BC175" s="48"/>
      <c r="BD175" s="49"/>
      <c r="BE175" s="49"/>
      <c r="BF175" s="49"/>
      <c r="BG175" s="129"/>
      <c r="BH175" s="129"/>
      <c r="BI175" s="129"/>
      <c r="BJ175" s="125"/>
      <c r="BK175" s="119"/>
      <c r="BL175" s="119"/>
      <c r="BM175" s="77"/>
      <c r="BN175" s="86"/>
      <c r="BO175" s="86"/>
      <c r="BP175" s="85"/>
      <c r="BQ175" s="85"/>
      <c r="BR175" s="77"/>
    </row>
    <row r="176" spans="8:70" x14ac:dyDescent="0.3">
      <c r="H176" s="80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8"/>
      <c r="Y176" s="99"/>
      <c r="Z176" s="99"/>
      <c r="AA176" s="100"/>
      <c r="AB176" s="100"/>
      <c r="AC176" s="100"/>
      <c r="AD176" s="53"/>
      <c r="AE176" s="54"/>
      <c r="AF176" s="54"/>
      <c r="AG176" s="55"/>
      <c r="AH176" s="55"/>
      <c r="AI176" s="55"/>
      <c r="AJ176" s="110"/>
      <c r="AK176" s="111"/>
      <c r="AL176" s="111"/>
      <c r="AM176" s="112"/>
      <c r="AN176" s="112"/>
      <c r="AO176" s="77"/>
      <c r="AP176" s="86"/>
      <c r="AQ176" s="86"/>
      <c r="AR176" s="85"/>
      <c r="AS176" s="77"/>
      <c r="AT176" s="77"/>
      <c r="AU176" s="77"/>
      <c r="AV176" s="119"/>
      <c r="AW176" s="129"/>
      <c r="AX176" s="129"/>
      <c r="AY176" s="125"/>
      <c r="AZ176" s="119"/>
      <c r="BA176" s="47"/>
      <c r="BB176" s="48"/>
      <c r="BC176" s="48"/>
      <c r="BD176" s="49"/>
      <c r="BE176" s="49"/>
      <c r="BF176" s="49"/>
      <c r="BG176" s="129"/>
      <c r="BH176" s="129"/>
      <c r="BI176" s="129"/>
      <c r="BJ176" s="125"/>
      <c r="BK176" s="119"/>
      <c r="BL176" s="119"/>
      <c r="BM176" s="77"/>
      <c r="BN176" s="86"/>
      <c r="BO176" s="86"/>
      <c r="BP176" s="85"/>
      <c r="BQ176" s="85"/>
      <c r="BR176" s="77"/>
    </row>
    <row r="177" spans="8:70" x14ac:dyDescent="0.3">
      <c r="H177" s="80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8"/>
      <c r="Y177" s="99"/>
      <c r="Z177" s="99"/>
      <c r="AA177" s="100"/>
      <c r="AB177" s="100"/>
      <c r="AC177" s="100"/>
      <c r="AD177" s="53"/>
      <c r="AE177" s="54"/>
      <c r="AF177" s="54"/>
      <c r="AG177" s="55"/>
      <c r="AH177" s="55"/>
      <c r="AI177" s="55"/>
      <c r="AJ177" s="110"/>
      <c r="AK177" s="111"/>
      <c r="AL177" s="111"/>
      <c r="AM177" s="112"/>
      <c r="AN177" s="112"/>
      <c r="AO177" s="77"/>
      <c r="AP177" s="86"/>
      <c r="AQ177" s="86"/>
      <c r="AR177" s="85"/>
      <c r="AS177" s="77"/>
      <c r="AT177" s="77"/>
      <c r="AU177" s="77"/>
      <c r="AV177" s="119"/>
      <c r="AW177" s="129"/>
      <c r="AX177" s="129"/>
      <c r="AY177" s="125"/>
      <c r="AZ177" s="119"/>
      <c r="BA177" s="47"/>
      <c r="BB177" s="48"/>
      <c r="BC177" s="48"/>
      <c r="BD177" s="49"/>
      <c r="BE177" s="49"/>
      <c r="BF177" s="49"/>
      <c r="BG177" s="129"/>
      <c r="BH177" s="129"/>
      <c r="BI177" s="129"/>
      <c r="BJ177" s="125"/>
      <c r="BK177" s="119"/>
      <c r="BL177" s="119"/>
      <c r="BM177" s="77"/>
      <c r="BN177" s="86"/>
      <c r="BO177" s="86"/>
      <c r="BP177" s="85"/>
      <c r="BQ177" s="85"/>
      <c r="BR177" s="77"/>
    </row>
    <row r="178" spans="8:70" x14ac:dyDescent="0.3">
      <c r="H178" s="80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8"/>
      <c r="Y178" s="99"/>
      <c r="Z178" s="99"/>
      <c r="AA178" s="100"/>
      <c r="AB178" s="100"/>
      <c r="AC178" s="100"/>
      <c r="AD178" s="53"/>
      <c r="AE178" s="54"/>
      <c r="AF178" s="54"/>
      <c r="AG178" s="55"/>
      <c r="AH178" s="55"/>
      <c r="AI178" s="55"/>
      <c r="AJ178" s="110"/>
      <c r="AK178" s="111"/>
      <c r="AL178" s="111"/>
      <c r="AM178" s="112"/>
      <c r="AN178" s="112"/>
      <c r="AO178" s="77"/>
      <c r="AP178" s="86"/>
      <c r="AQ178" s="86"/>
      <c r="AR178" s="85"/>
      <c r="AS178" s="77"/>
      <c r="AT178" s="77"/>
      <c r="AU178" s="77"/>
      <c r="AV178" s="119"/>
      <c r="AW178" s="129"/>
      <c r="AX178" s="129"/>
      <c r="AY178" s="125"/>
      <c r="AZ178" s="119"/>
      <c r="BG178" s="129"/>
      <c r="BH178" s="129"/>
      <c r="BI178" s="129"/>
      <c r="BJ178" s="125"/>
      <c r="BK178" s="119"/>
      <c r="BL178" s="119"/>
      <c r="BM178" s="77"/>
      <c r="BN178" s="86"/>
      <c r="BO178" s="86"/>
      <c r="BP178" s="85"/>
      <c r="BQ178" s="85"/>
      <c r="BR178" s="77"/>
    </row>
  </sheetData>
  <mergeCells count="9">
    <mergeCell ref="AM1:AN1"/>
    <mergeCell ref="AR1:AT1"/>
    <mergeCell ref="BD1:BF1"/>
    <mergeCell ref="AX1:AZ1"/>
    <mergeCell ref="B1:C1"/>
    <mergeCell ref="K1:O1"/>
    <mergeCell ref="AA1:AC1"/>
    <mergeCell ref="S1:U1"/>
    <mergeCell ref="AG1:AI1"/>
  </mergeCells>
  <conditionalFormatting sqref="P15:P1048576">
    <cfRule type="expression" dxfId="39" priority="45">
      <formula>$P15&gt;=100</formula>
    </cfRule>
    <cfRule type="expression" dxfId="38" priority="46">
      <formula>$P15&gt;=50</formula>
    </cfRule>
    <cfRule type="expression" dxfId="37" priority="47">
      <formula>$P15&gt;=24</formula>
    </cfRule>
    <cfRule type="expression" dxfId="36" priority="48">
      <formula>$P15&gt;=12</formula>
    </cfRule>
  </conditionalFormatting>
  <conditionalFormatting sqref="I15:I1048576 BA15:BA1048576">
    <cfRule type="expression" dxfId="35" priority="49">
      <formula>$I15&gt;=100</formula>
    </cfRule>
    <cfRule type="expression" dxfId="34" priority="50">
      <formula>$I15&gt;50</formula>
    </cfRule>
    <cfRule type="expression" dxfId="33" priority="51">
      <formula>$I15&gt;=24</formula>
    </cfRule>
    <cfRule type="expression" dxfId="32" priority="52">
      <formula>$I15&gt;=12</formula>
    </cfRule>
  </conditionalFormatting>
  <conditionalFormatting sqref="AD15:AD179">
    <cfRule type="expression" dxfId="31" priority="44">
      <formula>$AD15&gt;=12</formula>
    </cfRule>
  </conditionalFormatting>
  <conditionalFormatting sqref="AD15:AD179">
    <cfRule type="expression" dxfId="30" priority="41">
      <formula>$AD15&gt;=100</formula>
    </cfRule>
    <cfRule type="expression" dxfId="29" priority="42">
      <formula>$AD15&gt;=50</formula>
    </cfRule>
    <cfRule type="expression" dxfId="28" priority="43">
      <formula>$AD15&gt;=24</formula>
    </cfRule>
  </conditionalFormatting>
  <conditionalFormatting sqref="AJ15:AJ179">
    <cfRule type="expression" dxfId="27" priority="40">
      <formula>$AJ15&gt;=12</formula>
    </cfRule>
  </conditionalFormatting>
  <conditionalFormatting sqref="AJ15:AJ179">
    <cfRule type="expression" dxfId="26" priority="37">
      <formula>$AJ15&gt;=100</formula>
    </cfRule>
    <cfRule type="expression" dxfId="25" priority="38">
      <formula>$AJ15&gt;=50</formula>
    </cfRule>
    <cfRule type="expression" dxfId="24" priority="39">
      <formula>$AJ15&gt;=24</formula>
    </cfRule>
  </conditionalFormatting>
  <conditionalFormatting sqref="AO15:AO178">
    <cfRule type="expression" dxfId="23" priority="36">
      <formula>AO15&gt;=12</formula>
    </cfRule>
  </conditionalFormatting>
  <conditionalFormatting sqref="AO15:AO178">
    <cfRule type="expression" dxfId="22" priority="33">
      <formula>AO15&gt;=100</formula>
    </cfRule>
    <cfRule type="expression" dxfId="21" priority="34">
      <formula>AO15&gt;=50</formula>
    </cfRule>
    <cfRule type="expression" dxfId="20" priority="35">
      <formula>AO15&gt;=24</formula>
    </cfRule>
  </conditionalFormatting>
  <conditionalFormatting sqref="X15:X178">
    <cfRule type="expression" dxfId="19" priority="21">
      <formula>$P15&gt;=100</formula>
    </cfRule>
    <cfRule type="expression" dxfId="18" priority="22">
      <formula>$P15&gt;=50</formula>
    </cfRule>
    <cfRule type="expression" dxfId="17" priority="23">
      <formula>$P15&gt;=24</formula>
    </cfRule>
    <cfRule type="expression" dxfId="16" priority="24">
      <formula>$P15&gt;=12</formula>
    </cfRule>
  </conditionalFormatting>
  <conditionalFormatting sqref="AV15:AV178">
    <cfRule type="expression" dxfId="15" priority="17">
      <formula>$AJ15&gt;=100</formula>
    </cfRule>
    <cfRule type="expression" dxfId="14" priority="18">
      <formula>$AJ15&gt;=50</formula>
    </cfRule>
    <cfRule type="expression" dxfId="13" priority="19">
      <formula>$AJ15&gt;=24</formula>
    </cfRule>
  </conditionalFormatting>
  <conditionalFormatting sqref="AV15:AV178">
    <cfRule type="expression" dxfId="12" priority="20">
      <formula>$AJ15&gt;=12</formula>
    </cfRule>
  </conditionalFormatting>
  <conditionalFormatting sqref="BM16:BM178">
    <cfRule type="expression" dxfId="11" priority="12">
      <formula>BM16&gt;=12</formula>
    </cfRule>
  </conditionalFormatting>
  <conditionalFormatting sqref="BM16:BM178">
    <cfRule type="expression" dxfId="10" priority="9">
      <formula>BM16&gt;=100</formula>
    </cfRule>
    <cfRule type="expression" dxfId="9" priority="10">
      <formula>BM16&gt;=50</formula>
    </cfRule>
    <cfRule type="expression" dxfId="8" priority="11">
      <formula>BM16&gt;=24</formula>
    </cfRule>
  </conditionalFormatting>
  <conditionalFormatting sqref="BG15:BG178">
    <cfRule type="expression" dxfId="7" priority="5">
      <formula>$AJ15&gt;=100</formula>
    </cfRule>
    <cfRule type="expression" dxfId="6" priority="6">
      <formula>$AJ15&gt;=50</formula>
    </cfRule>
    <cfRule type="expression" dxfId="5" priority="7">
      <formula>$AJ15&gt;=24</formula>
    </cfRule>
  </conditionalFormatting>
  <conditionalFormatting sqref="BG15:BG178">
    <cfRule type="expression" dxfId="4" priority="8">
      <formula>$AJ15&gt;=12</formula>
    </cfRule>
  </conditionalFormatting>
  <conditionalFormatting sqref="BM15">
    <cfRule type="expression" dxfId="3" priority="1">
      <formula>$I15&gt;=100</formula>
    </cfRule>
    <cfRule type="expression" dxfId="2" priority="2">
      <formula>$I15&gt;50</formula>
    </cfRule>
    <cfRule type="expression" dxfId="1" priority="3">
      <formula>$I15&gt;=24</formula>
    </cfRule>
    <cfRule type="expression" dxfId="0" priority="4">
      <formula>$I15&gt;=12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 xr:uid="{00000000-0002-0000-0000-00000D000000}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Z2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NT, QLD,SA ,TAS, VIC, WA"</formula1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models_tables!$I$2:$I$4</xm:f>
          </x14:formula1>
          <xm:sqref>Q3</xm:sqref>
        </x14:dataValidation>
        <x14:dataValidation type="list" showInputMessage="1" showErrorMessage="1" promptTitle="Presence of overstorey" prompt="Choose TRUE if there is a woodland overstorey and FALSE if the overstorey is absent" xr:uid="{00000000-0002-0000-0000-00001B000000}">
          <x14:formula1>
            <xm:f>models_tables!$K$2:$K$3</xm:f>
          </x14:formula1>
          <xm:sqref>AH6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models_tables!$N$2:$N$3</xm:f>
          </x14:formula1>
          <xm:sqref>M10 BE10</xm:sqref>
        </x14:dataValidation>
        <x14:dataValidation type="list" showInputMessage="1" showErrorMessage="1" errorTitle="Invalid " error="Choose a woodland subtype from the list" promptTitle="Woodland subtype" prompt="Choose a woodland subtype" xr:uid="{00000000-0002-0000-0000-00001D000000}">
          <x14:formula1>
            <xm:f>models_tables!$P$2:$P$6</xm:f>
          </x14:formula1>
          <xm:sqref>AA3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models_tables!$S$2:$S$3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models_tables!$K$2:$K$3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models_tables!$V$2:$V$500</xm:f>
          </x14:formula1>
          <xm:sqref>K1</xm:sqref>
        </x14:dataValidation>
        <x14:dataValidation type="list" allowBlank="1" showInputMessage="1" showErrorMessage="1" xr:uid="{5E6FDF13-DF2D-4EB1-BE7F-90AF52E76880}">
          <x14:formula1>
            <xm:f>models_tables!$X$2:$X$500</xm:f>
          </x14:formula1>
          <xm:sqref>S1</xm:sqref>
        </x14:dataValidation>
        <x14:dataValidation type="list" allowBlank="1" showInputMessage="1" showErrorMessage="1" xr:uid="{EC03C52F-3646-4204-A0B0-904BEE6D9ACF}">
          <x14:formula1>
            <xm:f>models_tables!$Z$2:$Z$500</xm:f>
          </x14:formula1>
          <xm:sqref>AA1</xm:sqref>
        </x14:dataValidation>
        <x14:dataValidation type="list" allowBlank="1" showInputMessage="1" showErrorMessage="1" xr:uid="{02CA88C3-DA8C-469A-81EB-A6DE2C08A216}">
          <x14:formula1>
            <xm:f>models_tables!$AB$2:$AB$500</xm:f>
          </x14:formula1>
          <xm:sqref>BD1</xm:sqref>
        </x14:dataValidation>
        <x14:dataValidation type="list" allowBlank="1" showInputMessage="1" showErrorMessage="1" xr:uid="{9485D01F-F8FE-4093-8A27-550AF76F8058}">
          <x14:formula1>
            <xm:f>models_tables!$AD$2:$AD$500</xm:f>
          </x14:formula1>
          <xm:sqref>AG1</xm:sqref>
        </x14:dataValidation>
        <x14:dataValidation type="list" allowBlank="1" showInputMessage="1" showErrorMessage="1" xr:uid="{5C3958BE-D084-448B-B3F9-DFBB3DEB417B}">
          <x14:formula1>
            <xm:f>models_tables!$AF$2:$AF$500</xm:f>
          </x14:formula1>
          <xm:sqref>AR1</xm:sqref>
        </x14:dataValidation>
        <x14:dataValidation type="list" allowBlank="1" showInputMessage="1" showErrorMessage="1" xr:uid="{CE7B3076-6EE1-480A-9643-CC1D6890B532}">
          <x14:formula1>
            <xm:f>models_tables!$AH$2:$AH$500</xm:f>
          </x14:formula1>
          <xm:sqref>AM1</xm:sqref>
        </x14:dataValidation>
        <x14:dataValidation type="list" allowBlank="1" showInputMessage="1" showErrorMessage="1" xr:uid="{4A7C2EBD-463E-4CD7-BAF9-6F6B825ECB57}">
          <x14:formula1>
            <xm:f>models_tables!$AJ$2:$AJ$500</xm:f>
          </x14:formula1>
          <xm:sqref>AX1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7"/>
  <sheetViews>
    <sheetView workbookViewId="0"/>
  </sheetViews>
  <sheetFormatPr defaultRowHeight="14.4" x14ac:dyDescent="0.3"/>
  <cols>
    <col min="1" max="1" width="10.6640625" bestFit="1" customWidth="1"/>
    <col min="2" max="2" width="28.5546875" bestFit="1" customWidth="1"/>
    <col min="3" max="3" width="100.6640625" style="151" customWidth="1"/>
  </cols>
  <sheetData>
    <row r="1" spans="1:3" x14ac:dyDescent="0.3">
      <c r="A1" t="s">
        <v>114</v>
      </c>
      <c r="B1" t="s">
        <v>245</v>
      </c>
      <c r="C1" s="151" t="s">
        <v>246</v>
      </c>
    </row>
    <row r="2" spans="1:3" ht="43.2" x14ac:dyDescent="0.3">
      <c r="A2" s="139">
        <v>45517</v>
      </c>
      <c r="B2" s="140" t="s">
        <v>247</v>
      </c>
      <c r="C2" s="151" t="s">
        <v>742</v>
      </c>
    </row>
    <row r="3" spans="1:3" ht="28.8" x14ac:dyDescent="0.3">
      <c r="A3" s="139">
        <v>45362</v>
      </c>
      <c r="B3" s="140" t="s">
        <v>247</v>
      </c>
      <c r="C3" s="151" t="s">
        <v>265</v>
      </c>
    </row>
    <row r="4" spans="1:3" ht="43.2" x14ac:dyDescent="0.3">
      <c r="A4" s="139">
        <v>45350</v>
      </c>
      <c r="B4" s="140" t="s">
        <v>247</v>
      </c>
      <c r="C4" s="151" t="s">
        <v>257</v>
      </c>
    </row>
    <row r="5" spans="1:3" x14ac:dyDescent="0.3">
      <c r="A5" s="139">
        <v>45337</v>
      </c>
      <c r="B5" s="140" t="s">
        <v>247</v>
      </c>
      <c r="C5" s="151" t="s">
        <v>248</v>
      </c>
    </row>
    <row r="6" spans="1:3" x14ac:dyDescent="0.3">
      <c r="A6" s="139">
        <v>45337</v>
      </c>
      <c r="B6" s="140" t="s">
        <v>247</v>
      </c>
      <c r="C6" s="151" t="s">
        <v>250</v>
      </c>
    </row>
    <row r="7" spans="1:3" x14ac:dyDescent="0.3">
      <c r="A7" s="139">
        <v>45337</v>
      </c>
      <c r="B7" s="140" t="s">
        <v>247</v>
      </c>
      <c r="C7" s="151" t="s">
        <v>251</v>
      </c>
    </row>
  </sheetData>
  <hyperlinks>
    <hyperlink ref="B5" r:id="rId1" xr:uid="{9C519682-40A3-4376-BBAD-C3A15B12AFA3}"/>
    <hyperlink ref="B6" r:id="rId2" xr:uid="{B1588E9A-788F-4281-B98F-E8F54F0FF0F2}"/>
    <hyperlink ref="B7" r:id="rId3" xr:uid="{AB6E1068-558F-437B-8A54-14E7C534CCD3}"/>
    <hyperlink ref="B4" r:id="rId4" xr:uid="{62C32CD0-8A71-4E82-9007-654A953FEE96}"/>
    <hyperlink ref="B3" r:id="rId5" xr:uid="{23857086-BAB7-4882-96D8-8AF6EF25DC51}"/>
    <hyperlink ref="B2" r:id="rId6" xr:uid="{A7BD4FF4-3F48-44F2-8B44-69944C05649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1"/>
  <sheetViews>
    <sheetView workbookViewId="0">
      <selection activeCell="C2" sqref="C2"/>
    </sheetView>
  </sheetViews>
  <sheetFormatPr defaultRowHeight="14.4" x14ac:dyDescent="0.3"/>
  <cols>
    <col min="1" max="1" width="82.88671875" bestFit="1" customWidth="1"/>
    <col min="2" max="2" width="16.6640625" bestFit="1" customWidth="1"/>
    <col min="3" max="3" width="19" customWidth="1"/>
    <col min="4" max="4" width="13" customWidth="1"/>
    <col min="5" max="27" width="8.88671875" customWidth="1"/>
    <col min="28" max="28" width="9.44140625" customWidth="1"/>
    <col min="29" max="29" width="10.109375" customWidth="1"/>
    <col min="30" max="30" width="10.88671875" customWidth="1"/>
    <col min="31" max="31" width="11.109375" customWidth="1"/>
    <col min="32" max="32" width="9.88671875" customWidth="1"/>
    <col min="33" max="33" width="10.109375" customWidth="1"/>
    <col min="34" max="34" width="11.88671875" customWidth="1"/>
    <col min="35" max="35" width="10.33203125" customWidth="1"/>
    <col min="36" max="36" width="10.5546875" customWidth="1"/>
    <col min="37" max="37" width="12.44140625" customWidth="1"/>
  </cols>
  <sheetData>
    <row r="1" spans="1:37" s="26" customFormat="1" x14ac:dyDescent="0.3">
      <c r="A1" s="26" t="s">
        <v>738</v>
      </c>
      <c r="B1" s="26" t="s">
        <v>737</v>
      </c>
      <c r="C1" s="26" t="s">
        <v>736</v>
      </c>
      <c r="D1" s="26" t="s">
        <v>735</v>
      </c>
      <c r="E1" s="26" t="s">
        <v>734</v>
      </c>
      <c r="F1" s="26" t="s">
        <v>733</v>
      </c>
      <c r="G1" s="26" t="s">
        <v>732</v>
      </c>
      <c r="H1" s="26" t="s">
        <v>731</v>
      </c>
      <c r="I1" s="26" t="s">
        <v>730</v>
      </c>
      <c r="J1" s="26" t="s">
        <v>729</v>
      </c>
      <c r="K1" s="26" t="s">
        <v>728</v>
      </c>
      <c r="L1" s="26" t="s">
        <v>727</v>
      </c>
      <c r="M1" s="26" t="s">
        <v>726</v>
      </c>
      <c r="N1" s="26" t="s">
        <v>725</v>
      </c>
      <c r="O1" s="26" t="s">
        <v>724</v>
      </c>
      <c r="P1" s="26" t="s">
        <v>723</v>
      </c>
      <c r="Q1" s="26" t="s">
        <v>722</v>
      </c>
      <c r="R1" s="26" t="s">
        <v>721</v>
      </c>
      <c r="S1" s="26" t="s">
        <v>720</v>
      </c>
      <c r="T1" s="26" t="s">
        <v>719</v>
      </c>
      <c r="U1" s="26" t="s">
        <v>718</v>
      </c>
      <c r="V1" s="26" t="s">
        <v>717</v>
      </c>
      <c r="W1" s="26" t="s">
        <v>716</v>
      </c>
      <c r="X1" s="26" t="s">
        <v>715</v>
      </c>
      <c r="Y1" s="26" t="s">
        <v>714</v>
      </c>
      <c r="Z1" s="26" t="s">
        <v>713</v>
      </c>
      <c r="AA1" s="26" t="s">
        <v>712</v>
      </c>
      <c r="AB1" s="26" t="s">
        <v>711</v>
      </c>
      <c r="AC1" s="26" t="s">
        <v>710</v>
      </c>
      <c r="AD1" s="26" t="s">
        <v>709</v>
      </c>
      <c r="AE1" s="26" t="s">
        <v>708</v>
      </c>
      <c r="AF1" s="26" t="s">
        <v>707</v>
      </c>
      <c r="AG1" s="26" t="s">
        <v>706</v>
      </c>
      <c r="AH1" s="26" t="s">
        <v>705</v>
      </c>
      <c r="AI1" s="26" t="s">
        <v>704</v>
      </c>
      <c r="AJ1" s="26" t="s">
        <v>703</v>
      </c>
      <c r="AK1" s="26" t="s">
        <v>702</v>
      </c>
    </row>
    <row r="2" spans="1:37" hidden="1" x14ac:dyDescent="0.3">
      <c r="A2" t="s">
        <v>556</v>
      </c>
      <c r="B2" t="s">
        <v>300</v>
      </c>
      <c r="C2" t="s">
        <v>312</v>
      </c>
      <c r="D2">
        <v>4152</v>
      </c>
      <c r="AC2">
        <v>0.5</v>
      </c>
      <c r="AF2">
        <v>1</v>
      </c>
      <c r="AG2">
        <v>4.5</v>
      </c>
      <c r="AH2">
        <v>310</v>
      </c>
      <c r="AI2">
        <v>0.67</v>
      </c>
    </row>
    <row r="3" spans="1:37" hidden="1" x14ac:dyDescent="0.3">
      <c r="A3" t="s">
        <v>555</v>
      </c>
      <c r="B3" t="s">
        <v>300</v>
      </c>
      <c r="C3" t="s">
        <v>312</v>
      </c>
      <c r="D3">
        <v>4153</v>
      </c>
      <c r="AC3">
        <v>0.5</v>
      </c>
      <c r="AF3">
        <v>1</v>
      </c>
      <c r="AG3">
        <v>4.5</v>
      </c>
      <c r="AH3">
        <v>310</v>
      </c>
      <c r="AI3">
        <v>0.67</v>
      </c>
    </row>
    <row r="4" spans="1:37" hidden="1" x14ac:dyDescent="0.3">
      <c r="A4" t="s">
        <v>541</v>
      </c>
      <c r="B4" t="s">
        <v>300</v>
      </c>
      <c r="C4" t="s">
        <v>312</v>
      </c>
      <c r="D4">
        <v>4167</v>
      </c>
      <c r="AB4">
        <v>2.2799999999999998</v>
      </c>
      <c r="AC4">
        <v>0.5</v>
      </c>
      <c r="AF4">
        <v>1</v>
      </c>
      <c r="AG4">
        <v>4.5</v>
      </c>
      <c r="AH4">
        <v>310</v>
      </c>
      <c r="AI4">
        <v>0.67</v>
      </c>
    </row>
    <row r="5" spans="1:37" hidden="1" x14ac:dyDescent="0.3">
      <c r="A5" t="s">
        <v>535</v>
      </c>
      <c r="B5" t="s">
        <v>300</v>
      </c>
      <c r="C5" t="s">
        <v>312</v>
      </c>
      <c r="D5">
        <v>4173</v>
      </c>
      <c r="AC5">
        <v>0.5</v>
      </c>
      <c r="AF5">
        <v>1</v>
      </c>
      <c r="AG5">
        <v>4.5</v>
      </c>
      <c r="AH5">
        <v>310</v>
      </c>
      <c r="AI5">
        <v>0.67</v>
      </c>
    </row>
    <row r="6" spans="1:37" hidden="1" x14ac:dyDescent="0.3">
      <c r="A6" t="s">
        <v>314</v>
      </c>
      <c r="B6" t="s">
        <v>300</v>
      </c>
      <c r="C6" t="s">
        <v>312</v>
      </c>
      <c r="D6">
        <v>8313</v>
      </c>
      <c r="AC6">
        <v>0.6</v>
      </c>
      <c r="AF6">
        <v>0</v>
      </c>
      <c r="AG6">
        <v>2</v>
      </c>
      <c r="AH6">
        <v>310</v>
      </c>
      <c r="AI6">
        <v>1</v>
      </c>
    </row>
    <row r="7" spans="1:37" hidden="1" x14ac:dyDescent="0.3">
      <c r="A7" t="s">
        <v>313</v>
      </c>
      <c r="B7" t="s">
        <v>300</v>
      </c>
      <c r="C7" t="s">
        <v>312</v>
      </c>
      <c r="D7">
        <v>8314</v>
      </c>
      <c r="AC7">
        <v>0.7</v>
      </c>
      <c r="AF7">
        <v>0</v>
      </c>
      <c r="AG7">
        <v>2</v>
      </c>
      <c r="AH7">
        <v>310</v>
      </c>
      <c r="AI7">
        <v>1</v>
      </c>
    </row>
    <row r="8" spans="1:37" hidden="1" x14ac:dyDescent="0.3">
      <c r="A8" t="s">
        <v>452</v>
      </c>
      <c r="B8" t="s">
        <v>300</v>
      </c>
      <c r="C8" t="s">
        <v>312</v>
      </c>
      <c r="D8">
        <v>5037</v>
      </c>
      <c r="AC8">
        <v>0.5</v>
      </c>
      <c r="AF8">
        <v>1.2</v>
      </c>
      <c r="AG8">
        <v>8.8000000000000007</v>
      </c>
      <c r="AH8">
        <v>310</v>
      </c>
      <c r="AI8">
        <v>0.19</v>
      </c>
    </row>
    <row r="9" spans="1:37" hidden="1" x14ac:dyDescent="0.3">
      <c r="A9" t="s">
        <v>446</v>
      </c>
      <c r="B9" t="s">
        <v>300</v>
      </c>
      <c r="C9" t="s">
        <v>312</v>
      </c>
      <c r="D9">
        <v>5044</v>
      </c>
      <c r="AC9">
        <v>0.5</v>
      </c>
      <c r="AF9">
        <v>0.2</v>
      </c>
      <c r="AG9">
        <v>8.8000000000000007</v>
      </c>
      <c r="AH9">
        <v>310</v>
      </c>
      <c r="AI9">
        <v>0.05</v>
      </c>
    </row>
    <row r="10" spans="1:37" hidden="1" x14ac:dyDescent="0.3">
      <c r="A10" t="s">
        <v>315</v>
      </c>
      <c r="B10" t="s">
        <v>300</v>
      </c>
      <c r="C10" t="s">
        <v>312</v>
      </c>
      <c r="D10">
        <v>8311</v>
      </c>
      <c r="AC10">
        <v>0.5</v>
      </c>
      <c r="AF10">
        <v>0</v>
      </c>
      <c r="AG10">
        <v>2</v>
      </c>
      <c r="AH10">
        <v>310</v>
      </c>
      <c r="AI10">
        <v>1</v>
      </c>
    </row>
    <row r="11" spans="1:37" hidden="1" x14ac:dyDescent="0.3">
      <c r="A11" t="s">
        <v>455</v>
      </c>
      <c r="B11" t="s">
        <v>300</v>
      </c>
      <c r="C11" t="s">
        <v>312</v>
      </c>
      <c r="D11">
        <v>5034</v>
      </c>
      <c r="AC11">
        <v>0.5</v>
      </c>
      <c r="AF11">
        <v>1</v>
      </c>
      <c r="AG11">
        <v>10.8</v>
      </c>
      <c r="AH11">
        <v>310</v>
      </c>
      <c r="AI11">
        <v>0.1</v>
      </c>
    </row>
    <row r="12" spans="1:37" hidden="1" x14ac:dyDescent="0.3">
      <c r="A12" t="s">
        <v>444</v>
      </c>
      <c r="B12" t="s">
        <v>300</v>
      </c>
      <c r="C12" t="s">
        <v>312</v>
      </c>
      <c r="D12">
        <v>5046</v>
      </c>
      <c r="AC12">
        <v>0.5</v>
      </c>
      <c r="AF12">
        <v>0.2</v>
      </c>
      <c r="AG12">
        <v>6.3</v>
      </c>
      <c r="AH12">
        <v>310</v>
      </c>
      <c r="AI12">
        <v>0.15</v>
      </c>
    </row>
    <row r="13" spans="1:37" hidden="1" x14ac:dyDescent="0.3">
      <c r="A13" t="s">
        <v>445</v>
      </c>
      <c r="B13" t="s">
        <v>300</v>
      </c>
      <c r="C13" t="s">
        <v>312</v>
      </c>
      <c r="D13">
        <v>5045</v>
      </c>
      <c r="AC13">
        <v>0.5</v>
      </c>
      <c r="AF13">
        <v>0.5</v>
      </c>
      <c r="AG13">
        <v>6.6</v>
      </c>
      <c r="AH13">
        <v>310</v>
      </c>
      <c r="AI13">
        <v>0.25</v>
      </c>
    </row>
    <row r="14" spans="1:37" hidden="1" x14ac:dyDescent="0.3">
      <c r="A14" t="s">
        <v>585</v>
      </c>
      <c r="B14" t="s">
        <v>270</v>
      </c>
      <c r="C14" t="s">
        <v>326</v>
      </c>
      <c r="D14">
        <v>8950</v>
      </c>
      <c r="AH14">
        <v>950</v>
      </c>
    </row>
    <row r="15" spans="1:37" hidden="1" x14ac:dyDescent="0.3">
      <c r="A15" t="s">
        <v>370</v>
      </c>
      <c r="B15" t="s">
        <v>270</v>
      </c>
      <c r="C15" t="s">
        <v>326</v>
      </c>
      <c r="D15">
        <v>6950</v>
      </c>
      <c r="AH15">
        <v>950</v>
      </c>
    </row>
    <row r="16" spans="1:37" hidden="1" x14ac:dyDescent="0.3">
      <c r="A16" t="s">
        <v>326</v>
      </c>
      <c r="B16" t="s">
        <v>270</v>
      </c>
      <c r="C16" t="s">
        <v>326</v>
      </c>
      <c r="D16">
        <v>7950</v>
      </c>
      <c r="AH16">
        <v>950</v>
      </c>
    </row>
    <row r="17" spans="1:37" hidden="1" x14ac:dyDescent="0.3">
      <c r="A17" t="s">
        <v>506</v>
      </c>
      <c r="B17" t="s">
        <v>270</v>
      </c>
      <c r="C17" t="s">
        <v>326</v>
      </c>
      <c r="D17">
        <v>4209</v>
      </c>
      <c r="AH17">
        <v>950</v>
      </c>
    </row>
    <row r="18" spans="1:37" hidden="1" x14ac:dyDescent="0.3">
      <c r="A18" t="s">
        <v>474</v>
      </c>
      <c r="B18" t="s">
        <v>270</v>
      </c>
      <c r="C18" t="s">
        <v>326</v>
      </c>
      <c r="D18">
        <v>5015</v>
      </c>
      <c r="AH18">
        <v>950</v>
      </c>
    </row>
    <row r="19" spans="1:37" hidden="1" x14ac:dyDescent="0.3">
      <c r="A19" t="s">
        <v>369</v>
      </c>
      <c r="B19" t="s">
        <v>270</v>
      </c>
      <c r="C19" t="s">
        <v>326</v>
      </c>
      <c r="D19">
        <v>6951</v>
      </c>
      <c r="AH19">
        <v>950</v>
      </c>
    </row>
    <row r="20" spans="1:37" hidden="1" x14ac:dyDescent="0.3">
      <c r="A20" t="s">
        <v>659</v>
      </c>
      <c r="B20" t="s">
        <v>270</v>
      </c>
      <c r="C20" t="s">
        <v>326</v>
      </c>
      <c r="D20">
        <v>1950</v>
      </c>
      <c r="AH20">
        <v>950</v>
      </c>
    </row>
    <row r="21" spans="1:37" hidden="1" x14ac:dyDescent="0.3">
      <c r="A21" t="s">
        <v>659</v>
      </c>
      <c r="B21" t="s">
        <v>270</v>
      </c>
      <c r="C21" t="s">
        <v>326</v>
      </c>
      <c r="D21">
        <v>2950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Q21">
        <v>20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AC21">
        <v>0.28000000000000003</v>
      </c>
      <c r="AE21">
        <v>2.5</v>
      </c>
      <c r="AF21">
        <v>0</v>
      </c>
      <c r="AG21">
        <v>0</v>
      </c>
      <c r="AH21">
        <v>950</v>
      </c>
      <c r="AI21">
        <v>1</v>
      </c>
    </row>
    <row r="22" spans="1:37" hidden="1" x14ac:dyDescent="0.3">
      <c r="A22" t="s">
        <v>335</v>
      </c>
      <c r="B22" t="s">
        <v>224</v>
      </c>
      <c r="C22" t="s">
        <v>224</v>
      </c>
      <c r="D22">
        <v>7701</v>
      </c>
      <c r="AD22">
        <v>1</v>
      </c>
      <c r="AF22">
        <v>0</v>
      </c>
      <c r="AG22">
        <v>11.7</v>
      </c>
      <c r="AH22">
        <v>700</v>
      </c>
      <c r="AI22">
        <v>0.106</v>
      </c>
    </row>
    <row r="23" spans="1:37" hidden="1" x14ac:dyDescent="0.3">
      <c r="A23" t="s">
        <v>334</v>
      </c>
      <c r="B23" t="s">
        <v>224</v>
      </c>
      <c r="C23" t="s">
        <v>224</v>
      </c>
      <c r="D23">
        <v>7702</v>
      </c>
      <c r="AD23">
        <v>2</v>
      </c>
      <c r="AF23">
        <v>0</v>
      </c>
      <c r="AG23">
        <v>44.6</v>
      </c>
      <c r="AH23">
        <v>700</v>
      </c>
      <c r="AI23">
        <v>4.1000000000000002E-2</v>
      </c>
    </row>
    <row r="24" spans="1:37" hidden="1" x14ac:dyDescent="0.3">
      <c r="A24" t="s">
        <v>451</v>
      </c>
      <c r="B24" t="s">
        <v>275</v>
      </c>
      <c r="C24" t="s">
        <v>284</v>
      </c>
      <c r="D24">
        <v>5038</v>
      </c>
      <c r="AF24">
        <v>0</v>
      </c>
      <c r="AG24">
        <v>4.5</v>
      </c>
      <c r="AH24">
        <v>550</v>
      </c>
      <c r="AI24">
        <v>1</v>
      </c>
    </row>
    <row r="25" spans="1:37" hidden="1" x14ac:dyDescent="0.3">
      <c r="A25" t="s">
        <v>285</v>
      </c>
      <c r="B25" t="s">
        <v>275</v>
      </c>
      <c r="C25" t="s">
        <v>284</v>
      </c>
      <c r="D25">
        <v>8551</v>
      </c>
      <c r="AF25">
        <v>0</v>
      </c>
      <c r="AG25">
        <v>4.5</v>
      </c>
      <c r="AH25">
        <v>550</v>
      </c>
      <c r="AI25">
        <v>1</v>
      </c>
    </row>
    <row r="26" spans="1:37" hidden="1" x14ac:dyDescent="0.3">
      <c r="A26" t="s">
        <v>669</v>
      </c>
      <c r="B26" t="s">
        <v>275</v>
      </c>
      <c r="C26" t="s">
        <v>284</v>
      </c>
      <c r="D26">
        <v>2551</v>
      </c>
      <c r="F26">
        <v>0</v>
      </c>
      <c r="G26">
        <v>0</v>
      </c>
      <c r="H26">
        <v>0.5</v>
      </c>
      <c r="I26">
        <v>0</v>
      </c>
      <c r="J26">
        <v>0</v>
      </c>
      <c r="K26">
        <v>3.2</v>
      </c>
      <c r="L26">
        <v>0</v>
      </c>
      <c r="M26">
        <v>1</v>
      </c>
      <c r="N26">
        <v>0.2</v>
      </c>
      <c r="T26">
        <v>0</v>
      </c>
      <c r="U26">
        <v>0</v>
      </c>
      <c r="V26">
        <v>0</v>
      </c>
      <c r="W26">
        <v>0</v>
      </c>
      <c r="X26">
        <v>0</v>
      </c>
      <c r="Y26">
        <v>0.2</v>
      </c>
      <c r="AE26">
        <v>1.2</v>
      </c>
      <c r="AF26">
        <v>0.5</v>
      </c>
      <c r="AG26">
        <v>3.2</v>
      </c>
      <c r="AH26">
        <v>550</v>
      </c>
      <c r="AI26">
        <v>0.2</v>
      </c>
    </row>
    <row r="27" spans="1:37" hidden="1" x14ac:dyDescent="0.3">
      <c r="A27" t="s">
        <v>656</v>
      </c>
      <c r="B27" t="s">
        <v>275</v>
      </c>
      <c r="C27" t="s">
        <v>284</v>
      </c>
      <c r="D27">
        <v>3003</v>
      </c>
      <c r="E27">
        <v>0</v>
      </c>
      <c r="I27">
        <v>7.9218150000000005E-3</v>
      </c>
      <c r="K27">
        <v>3.1652587749999999</v>
      </c>
      <c r="L27">
        <v>0</v>
      </c>
      <c r="M27">
        <v>0</v>
      </c>
      <c r="N27">
        <v>0.2</v>
      </c>
      <c r="O27">
        <v>0</v>
      </c>
      <c r="P27">
        <v>0</v>
      </c>
      <c r="Q27">
        <v>0</v>
      </c>
      <c r="R27">
        <v>0</v>
      </c>
      <c r="S27">
        <v>1.2</v>
      </c>
      <c r="V27">
        <v>1.0362554E-2</v>
      </c>
      <c r="W27">
        <v>0</v>
      </c>
      <c r="X27">
        <v>0</v>
      </c>
      <c r="Y27">
        <v>0.2</v>
      </c>
      <c r="Z27">
        <v>0</v>
      </c>
      <c r="AA27">
        <v>0</v>
      </c>
      <c r="AB27">
        <v>0</v>
      </c>
      <c r="AC27">
        <v>0.83333333300000001</v>
      </c>
      <c r="AE27">
        <v>1.2</v>
      </c>
      <c r="AF27">
        <v>0</v>
      </c>
      <c r="AG27">
        <v>3.1835431440000002</v>
      </c>
      <c r="AH27">
        <v>550</v>
      </c>
      <c r="AI27">
        <v>0.2</v>
      </c>
      <c r="AJ27">
        <v>0</v>
      </c>
      <c r="AK27">
        <v>0.83333333300000001</v>
      </c>
    </row>
    <row r="28" spans="1:37" hidden="1" x14ac:dyDescent="0.3">
      <c r="A28" t="s">
        <v>660</v>
      </c>
      <c r="B28" t="s">
        <v>275</v>
      </c>
      <c r="C28" t="s">
        <v>284</v>
      </c>
      <c r="D28">
        <v>2901</v>
      </c>
      <c r="F28">
        <v>0</v>
      </c>
      <c r="G28">
        <v>0</v>
      </c>
      <c r="H28">
        <v>0.5</v>
      </c>
      <c r="I28">
        <v>0</v>
      </c>
      <c r="J28">
        <v>0</v>
      </c>
      <c r="K28">
        <v>3.2</v>
      </c>
      <c r="L28">
        <v>0</v>
      </c>
      <c r="M28">
        <v>1</v>
      </c>
      <c r="N28">
        <v>0.2</v>
      </c>
      <c r="T28">
        <v>0</v>
      </c>
      <c r="U28">
        <v>0</v>
      </c>
      <c r="V28">
        <v>0</v>
      </c>
      <c r="W28">
        <v>0</v>
      </c>
      <c r="X28">
        <v>0</v>
      </c>
      <c r="Y28">
        <v>0.2</v>
      </c>
      <c r="AE28">
        <v>1.2</v>
      </c>
      <c r="AF28">
        <v>0.5</v>
      </c>
      <c r="AG28">
        <v>3.2</v>
      </c>
      <c r="AH28">
        <v>550</v>
      </c>
      <c r="AI28">
        <v>0.2</v>
      </c>
    </row>
    <row r="29" spans="1:37" hidden="1" x14ac:dyDescent="0.3">
      <c r="A29" t="s">
        <v>424</v>
      </c>
      <c r="B29" t="s">
        <v>275</v>
      </c>
      <c r="C29" t="s">
        <v>274</v>
      </c>
      <c r="D29">
        <v>5066</v>
      </c>
      <c r="AF29">
        <v>0</v>
      </c>
      <c r="AG29">
        <v>3</v>
      </c>
      <c r="AH29">
        <v>820</v>
      </c>
      <c r="AI29">
        <v>1</v>
      </c>
    </row>
    <row r="30" spans="1:37" hidden="1" x14ac:dyDescent="0.3">
      <c r="A30" t="s">
        <v>425</v>
      </c>
      <c r="B30" t="s">
        <v>275</v>
      </c>
      <c r="C30" t="s">
        <v>274</v>
      </c>
      <c r="D30">
        <v>5065</v>
      </c>
      <c r="AF30">
        <v>0</v>
      </c>
      <c r="AG30">
        <v>4.5</v>
      </c>
      <c r="AH30">
        <v>820</v>
      </c>
      <c r="AI30">
        <v>1</v>
      </c>
    </row>
    <row r="31" spans="1:37" hidden="1" x14ac:dyDescent="0.3">
      <c r="A31" t="s">
        <v>503</v>
      </c>
      <c r="B31" t="s">
        <v>275</v>
      </c>
      <c r="C31" t="s">
        <v>274</v>
      </c>
      <c r="D31">
        <v>4213</v>
      </c>
      <c r="AF31">
        <v>0</v>
      </c>
      <c r="AG31">
        <v>3.5</v>
      </c>
      <c r="AH31">
        <v>820</v>
      </c>
      <c r="AI31">
        <v>0.5</v>
      </c>
    </row>
    <row r="32" spans="1:37" hidden="1" x14ac:dyDescent="0.3">
      <c r="A32" t="s">
        <v>274</v>
      </c>
      <c r="B32" t="s">
        <v>275</v>
      </c>
      <c r="C32" t="s">
        <v>274</v>
      </c>
      <c r="D32">
        <v>2820</v>
      </c>
      <c r="F32">
        <v>0</v>
      </c>
      <c r="G32">
        <v>0</v>
      </c>
      <c r="H32">
        <v>0</v>
      </c>
      <c r="I32">
        <v>0</v>
      </c>
      <c r="J32">
        <v>0</v>
      </c>
      <c r="K32">
        <v>5</v>
      </c>
      <c r="L32">
        <v>0</v>
      </c>
      <c r="M32">
        <v>1</v>
      </c>
      <c r="N32">
        <v>1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AE32">
        <v>1.2</v>
      </c>
      <c r="AF32">
        <v>0</v>
      </c>
      <c r="AG32">
        <v>5</v>
      </c>
      <c r="AH32">
        <v>820</v>
      </c>
      <c r="AI32">
        <v>1</v>
      </c>
    </row>
    <row r="33" spans="1:37" hidden="1" x14ac:dyDescent="0.3">
      <c r="A33" t="s">
        <v>274</v>
      </c>
      <c r="B33" t="s">
        <v>275</v>
      </c>
      <c r="C33" t="s">
        <v>274</v>
      </c>
      <c r="D33">
        <v>7820</v>
      </c>
      <c r="AF33">
        <v>0</v>
      </c>
      <c r="AG33">
        <v>4.5</v>
      </c>
      <c r="AH33">
        <v>820</v>
      </c>
      <c r="AI33">
        <v>1</v>
      </c>
    </row>
    <row r="34" spans="1:37" hidden="1" x14ac:dyDescent="0.3">
      <c r="A34" t="s">
        <v>274</v>
      </c>
      <c r="B34" t="s">
        <v>275</v>
      </c>
      <c r="C34" t="s">
        <v>274</v>
      </c>
      <c r="D34">
        <v>8820</v>
      </c>
      <c r="AF34">
        <v>0</v>
      </c>
      <c r="AG34">
        <v>4.5</v>
      </c>
      <c r="AH34">
        <v>820</v>
      </c>
      <c r="AI34">
        <v>1</v>
      </c>
    </row>
    <row r="35" spans="1:37" hidden="1" x14ac:dyDescent="0.3">
      <c r="A35" t="s">
        <v>375</v>
      </c>
      <c r="B35" t="s">
        <v>275</v>
      </c>
      <c r="C35" t="s">
        <v>274</v>
      </c>
      <c r="D35">
        <v>6820</v>
      </c>
      <c r="AF35">
        <v>0</v>
      </c>
      <c r="AG35">
        <v>4.5</v>
      </c>
      <c r="AH35">
        <v>820</v>
      </c>
      <c r="AI35">
        <v>1</v>
      </c>
    </row>
    <row r="36" spans="1:37" hidden="1" x14ac:dyDescent="0.3">
      <c r="A36" t="s">
        <v>497</v>
      </c>
      <c r="B36" t="s">
        <v>275</v>
      </c>
      <c r="C36" t="s">
        <v>274</v>
      </c>
      <c r="D36">
        <v>3046</v>
      </c>
      <c r="E36">
        <v>0</v>
      </c>
      <c r="I36">
        <v>7.9218150000000005E-3</v>
      </c>
      <c r="J36">
        <v>0</v>
      </c>
      <c r="K36">
        <v>0</v>
      </c>
      <c r="L36">
        <v>0</v>
      </c>
      <c r="M36">
        <v>0</v>
      </c>
      <c r="N36">
        <v>1</v>
      </c>
      <c r="O36">
        <v>0</v>
      </c>
      <c r="P36">
        <v>0</v>
      </c>
      <c r="Q36">
        <v>0</v>
      </c>
      <c r="R36">
        <v>0</v>
      </c>
      <c r="S36">
        <v>0</v>
      </c>
      <c r="V36">
        <v>1.0362554E-2</v>
      </c>
      <c r="W36">
        <v>0</v>
      </c>
      <c r="X36">
        <v>0</v>
      </c>
      <c r="Y36">
        <v>1</v>
      </c>
      <c r="Z36">
        <v>0</v>
      </c>
      <c r="AA36">
        <v>0</v>
      </c>
      <c r="AB36">
        <v>0</v>
      </c>
      <c r="AC36">
        <v>1</v>
      </c>
      <c r="AE36">
        <v>1</v>
      </c>
      <c r="AF36">
        <v>0</v>
      </c>
      <c r="AG36">
        <v>1.8284369000000002E-2</v>
      </c>
      <c r="AH36">
        <v>820</v>
      </c>
      <c r="AI36">
        <v>1</v>
      </c>
      <c r="AJ36">
        <v>0</v>
      </c>
      <c r="AK36">
        <v>1</v>
      </c>
    </row>
    <row r="37" spans="1:37" hidden="1" x14ac:dyDescent="0.3">
      <c r="A37" t="s">
        <v>497</v>
      </c>
      <c r="B37" t="s">
        <v>275</v>
      </c>
      <c r="C37" t="s">
        <v>274</v>
      </c>
      <c r="D37">
        <v>4227</v>
      </c>
      <c r="AF37">
        <v>0</v>
      </c>
      <c r="AG37">
        <v>3.5</v>
      </c>
      <c r="AH37">
        <v>820</v>
      </c>
      <c r="AI37">
        <v>0.5</v>
      </c>
    </row>
    <row r="38" spans="1:37" hidden="1" x14ac:dyDescent="0.3">
      <c r="A38" t="s">
        <v>481</v>
      </c>
      <c r="B38" t="s">
        <v>275</v>
      </c>
      <c r="C38" t="s">
        <v>274</v>
      </c>
      <c r="D38">
        <v>5008</v>
      </c>
      <c r="AF38">
        <v>0</v>
      </c>
      <c r="AG38">
        <v>4.5</v>
      </c>
      <c r="AH38">
        <v>820</v>
      </c>
      <c r="AI38">
        <v>1</v>
      </c>
    </row>
    <row r="39" spans="1:37" hidden="1" x14ac:dyDescent="0.3">
      <c r="A39" t="s">
        <v>423</v>
      </c>
      <c r="B39" t="s">
        <v>275</v>
      </c>
      <c r="C39" t="s">
        <v>274</v>
      </c>
      <c r="D39">
        <v>5067</v>
      </c>
      <c r="AF39">
        <v>0</v>
      </c>
      <c r="AG39">
        <v>1.5</v>
      </c>
      <c r="AH39">
        <v>820</v>
      </c>
      <c r="AI39">
        <v>1</v>
      </c>
    </row>
    <row r="40" spans="1:37" hidden="1" x14ac:dyDescent="0.3">
      <c r="A40" t="s">
        <v>499</v>
      </c>
      <c r="B40" t="s">
        <v>275</v>
      </c>
      <c r="C40" t="s">
        <v>274</v>
      </c>
      <c r="D40">
        <v>4222</v>
      </c>
      <c r="AF40">
        <v>0</v>
      </c>
      <c r="AG40">
        <v>3.5</v>
      </c>
      <c r="AH40">
        <v>820</v>
      </c>
      <c r="AI40">
        <v>0.5</v>
      </c>
    </row>
    <row r="41" spans="1:37" hidden="1" x14ac:dyDescent="0.3">
      <c r="A41" t="s">
        <v>578</v>
      </c>
      <c r="B41" t="s">
        <v>349</v>
      </c>
      <c r="C41" t="s">
        <v>2</v>
      </c>
      <c r="D41">
        <v>4130</v>
      </c>
      <c r="E41">
        <v>20</v>
      </c>
      <c r="F41">
        <v>0.2</v>
      </c>
      <c r="G41">
        <v>0</v>
      </c>
      <c r="H41">
        <v>2.78</v>
      </c>
      <c r="I41">
        <v>1</v>
      </c>
      <c r="J41">
        <v>7</v>
      </c>
      <c r="K41">
        <v>9</v>
      </c>
      <c r="L41">
        <v>0.1</v>
      </c>
      <c r="M41">
        <v>0.3</v>
      </c>
      <c r="N41">
        <v>0.25</v>
      </c>
      <c r="O41">
        <v>1.5</v>
      </c>
      <c r="P41">
        <v>25</v>
      </c>
      <c r="R41">
        <v>0</v>
      </c>
      <c r="S41">
        <v>2.5</v>
      </c>
      <c r="T41">
        <v>0.22</v>
      </c>
      <c r="U41">
        <v>1.06</v>
      </c>
      <c r="V41">
        <v>1.8</v>
      </c>
      <c r="W41">
        <v>2.5</v>
      </c>
      <c r="X41">
        <v>0.25</v>
      </c>
      <c r="Y41">
        <v>0.25</v>
      </c>
      <c r="Z41">
        <v>0.3</v>
      </c>
      <c r="AA41">
        <v>0</v>
      </c>
      <c r="AB41">
        <v>2.88</v>
      </c>
      <c r="AE41">
        <v>3</v>
      </c>
      <c r="AH41">
        <v>100</v>
      </c>
      <c r="AJ41">
        <v>0</v>
      </c>
    </row>
    <row r="42" spans="1:37" hidden="1" x14ac:dyDescent="0.3">
      <c r="A42" t="s">
        <v>566</v>
      </c>
      <c r="B42" t="s">
        <v>349</v>
      </c>
      <c r="C42" t="s">
        <v>2</v>
      </c>
      <c r="D42">
        <v>4142</v>
      </c>
      <c r="E42">
        <v>20</v>
      </c>
      <c r="F42">
        <v>0.2</v>
      </c>
      <c r="G42">
        <v>0</v>
      </c>
      <c r="H42">
        <v>2.78</v>
      </c>
      <c r="I42">
        <v>1</v>
      </c>
      <c r="J42">
        <v>7</v>
      </c>
      <c r="K42">
        <v>9</v>
      </c>
      <c r="L42">
        <v>0.1</v>
      </c>
      <c r="M42">
        <v>0.3</v>
      </c>
      <c r="N42">
        <v>0.6</v>
      </c>
      <c r="O42">
        <v>1.5</v>
      </c>
      <c r="P42">
        <v>25</v>
      </c>
      <c r="R42">
        <v>0</v>
      </c>
      <c r="S42">
        <v>3</v>
      </c>
      <c r="T42">
        <v>0.22</v>
      </c>
      <c r="U42">
        <v>1.06</v>
      </c>
      <c r="V42">
        <v>1.8</v>
      </c>
      <c r="W42">
        <v>2.5</v>
      </c>
      <c r="X42">
        <v>0.2</v>
      </c>
      <c r="Y42">
        <v>0.6</v>
      </c>
      <c r="Z42">
        <v>0.3</v>
      </c>
      <c r="AA42">
        <v>0</v>
      </c>
      <c r="AB42">
        <v>2.88</v>
      </c>
      <c r="AE42">
        <v>3</v>
      </c>
      <c r="AH42">
        <v>100</v>
      </c>
      <c r="AJ42">
        <v>0</v>
      </c>
    </row>
    <row r="43" spans="1:37" hidden="1" x14ac:dyDescent="0.3">
      <c r="A43" t="s">
        <v>564</v>
      </c>
      <c r="B43" t="s">
        <v>349</v>
      </c>
      <c r="C43" t="s">
        <v>2</v>
      </c>
      <c r="D43">
        <v>4144</v>
      </c>
      <c r="E43">
        <v>25</v>
      </c>
      <c r="F43">
        <v>0.2</v>
      </c>
      <c r="G43">
        <v>0</v>
      </c>
      <c r="H43">
        <v>2.78</v>
      </c>
      <c r="I43">
        <v>1</v>
      </c>
      <c r="J43">
        <v>7</v>
      </c>
      <c r="K43">
        <v>6</v>
      </c>
      <c r="L43">
        <v>0.1</v>
      </c>
      <c r="M43">
        <v>0.3</v>
      </c>
      <c r="N43">
        <v>0.67</v>
      </c>
      <c r="O43">
        <v>1.5</v>
      </c>
      <c r="P43">
        <v>25</v>
      </c>
      <c r="R43">
        <v>0</v>
      </c>
      <c r="S43">
        <v>3</v>
      </c>
      <c r="T43">
        <v>0.22</v>
      </c>
      <c r="U43">
        <v>1.06</v>
      </c>
      <c r="V43">
        <v>1.8</v>
      </c>
      <c r="W43">
        <v>2.5</v>
      </c>
      <c r="X43">
        <v>0.25</v>
      </c>
      <c r="Y43">
        <v>0.67</v>
      </c>
      <c r="Z43">
        <v>0.3</v>
      </c>
      <c r="AA43">
        <v>0</v>
      </c>
      <c r="AB43">
        <v>2.88</v>
      </c>
      <c r="AE43">
        <v>3</v>
      </c>
      <c r="AH43">
        <v>100</v>
      </c>
      <c r="AJ43">
        <v>0</v>
      </c>
    </row>
    <row r="44" spans="1:37" hidden="1" x14ac:dyDescent="0.3">
      <c r="A44" t="s">
        <v>563</v>
      </c>
      <c r="B44" t="s">
        <v>349</v>
      </c>
      <c r="C44" t="s">
        <v>2</v>
      </c>
      <c r="D44">
        <v>4145</v>
      </c>
      <c r="E44">
        <v>20</v>
      </c>
      <c r="F44">
        <v>0.2</v>
      </c>
      <c r="G44">
        <v>0</v>
      </c>
      <c r="H44">
        <v>2.78</v>
      </c>
      <c r="I44">
        <v>1</v>
      </c>
      <c r="J44">
        <v>7</v>
      </c>
      <c r="K44">
        <v>9</v>
      </c>
      <c r="L44">
        <v>0.1</v>
      </c>
      <c r="M44">
        <v>0.3</v>
      </c>
      <c r="N44">
        <v>0.4</v>
      </c>
      <c r="O44">
        <v>1.5</v>
      </c>
      <c r="P44">
        <v>25</v>
      </c>
      <c r="R44">
        <v>0</v>
      </c>
      <c r="S44">
        <v>3</v>
      </c>
      <c r="T44">
        <v>0.22</v>
      </c>
      <c r="U44">
        <v>1.06</v>
      </c>
      <c r="V44">
        <v>1.8</v>
      </c>
      <c r="W44">
        <v>2.5</v>
      </c>
      <c r="X44">
        <v>0.35</v>
      </c>
      <c r="Y44">
        <v>0.4</v>
      </c>
      <c r="Z44">
        <v>0.3</v>
      </c>
      <c r="AA44">
        <v>0</v>
      </c>
      <c r="AB44">
        <v>2.88</v>
      </c>
      <c r="AE44">
        <v>2.5</v>
      </c>
      <c r="AH44">
        <v>100</v>
      </c>
      <c r="AJ44">
        <v>0</v>
      </c>
    </row>
    <row r="45" spans="1:37" hidden="1" x14ac:dyDescent="0.3">
      <c r="A45" t="s">
        <v>559</v>
      </c>
      <c r="B45" t="s">
        <v>349</v>
      </c>
      <c r="C45" t="s">
        <v>2</v>
      </c>
      <c r="D45">
        <v>4149</v>
      </c>
      <c r="E45">
        <v>20</v>
      </c>
      <c r="F45">
        <v>0.2</v>
      </c>
      <c r="G45">
        <v>0</v>
      </c>
      <c r="H45">
        <v>2.78</v>
      </c>
      <c r="I45">
        <v>1</v>
      </c>
      <c r="J45">
        <v>7</v>
      </c>
      <c r="K45">
        <v>4</v>
      </c>
      <c r="L45">
        <v>0.1</v>
      </c>
      <c r="M45">
        <v>0.3</v>
      </c>
      <c r="N45">
        <v>0.4</v>
      </c>
      <c r="O45">
        <v>1.5</v>
      </c>
      <c r="P45">
        <v>25</v>
      </c>
      <c r="R45">
        <v>0</v>
      </c>
      <c r="S45">
        <v>3</v>
      </c>
      <c r="T45">
        <v>0.22</v>
      </c>
      <c r="U45">
        <v>1.06</v>
      </c>
      <c r="V45">
        <v>1.8</v>
      </c>
      <c r="W45">
        <v>2.5</v>
      </c>
      <c r="X45">
        <v>0.35</v>
      </c>
      <c r="Y45">
        <v>0.4</v>
      </c>
      <c r="Z45">
        <v>0.3</v>
      </c>
      <c r="AA45">
        <v>0</v>
      </c>
      <c r="AB45">
        <v>2.88</v>
      </c>
      <c r="AE45">
        <v>1</v>
      </c>
      <c r="AH45">
        <v>100</v>
      </c>
      <c r="AJ45">
        <v>0</v>
      </c>
    </row>
    <row r="46" spans="1:37" hidden="1" x14ac:dyDescent="0.3">
      <c r="A46" t="s">
        <v>700</v>
      </c>
      <c r="B46" t="s">
        <v>349</v>
      </c>
      <c r="C46" t="s">
        <v>2</v>
      </c>
      <c r="D46">
        <v>1110</v>
      </c>
      <c r="E46">
        <v>15</v>
      </c>
      <c r="F46">
        <v>0.5</v>
      </c>
      <c r="G46">
        <v>0</v>
      </c>
      <c r="H46">
        <v>2</v>
      </c>
      <c r="I46">
        <v>1</v>
      </c>
      <c r="J46">
        <v>4.5</v>
      </c>
      <c r="K46">
        <v>9</v>
      </c>
      <c r="L46">
        <v>0.02</v>
      </c>
      <c r="M46">
        <v>0.02</v>
      </c>
      <c r="N46">
        <v>0.2</v>
      </c>
      <c r="O46">
        <v>1.3</v>
      </c>
      <c r="P46">
        <v>25</v>
      </c>
      <c r="S46">
        <v>2.6</v>
      </c>
      <c r="T46">
        <v>0.1</v>
      </c>
      <c r="U46">
        <v>0</v>
      </c>
      <c r="V46">
        <v>3</v>
      </c>
      <c r="W46">
        <v>4</v>
      </c>
      <c r="X46">
        <v>0.5</v>
      </c>
      <c r="Y46">
        <v>0.5</v>
      </c>
      <c r="Z46">
        <v>0.3</v>
      </c>
      <c r="AB46">
        <v>2.8</v>
      </c>
      <c r="AE46">
        <v>1.5</v>
      </c>
      <c r="AH46">
        <v>100</v>
      </c>
      <c r="AJ46">
        <v>1</v>
      </c>
    </row>
    <row r="47" spans="1:37" hidden="1" x14ac:dyDescent="0.3">
      <c r="A47" t="s">
        <v>701</v>
      </c>
      <c r="B47" t="s">
        <v>349</v>
      </c>
      <c r="C47" t="s">
        <v>2</v>
      </c>
      <c r="D47">
        <v>1106</v>
      </c>
      <c r="E47">
        <v>20</v>
      </c>
      <c r="F47">
        <v>1</v>
      </c>
      <c r="G47">
        <v>0</v>
      </c>
      <c r="H47">
        <v>1</v>
      </c>
      <c r="I47">
        <v>2.5499999999999998</v>
      </c>
      <c r="J47">
        <v>5.8</v>
      </c>
      <c r="K47">
        <v>11</v>
      </c>
      <c r="L47">
        <v>0.02</v>
      </c>
      <c r="M47">
        <v>0.02</v>
      </c>
      <c r="N47">
        <v>0.1</v>
      </c>
      <c r="O47">
        <v>0.9</v>
      </c>
      <c r="P47">
        <v>18</v>
      </c>
      <c r="S47">
        <v>2.8</v>
      </c>
      <c r="T47">
        <v>0.3</v>
      </c>
      <c r="U47">
        <v>0</v>
      </c>
      <c r="V47">
        <v>5</v>
      </c>
      <c r="W47">
        <v>4</v>
      </c>
      <c r="X47">
        <v>0.4</v>
      </c>
      <c r="Y47">
        <v>0.5</v>
      </c>
      <c r="Z47">
        <v>0.3</v>
      </c>
      <c r="AB47">
        <v>2.8</v>
      </c>
      <c r="AE47">
        <v>2</v>
      </c>
      <c r="AH47">
        <v>100</v>
      </c>
      <c r="AJ47">
        <v>1</v>
      </c>
    </row>
    <row r="48" spans="1:37" hidden="1" x14ac:dyDescent="0.3">
      <c r="A48" t="s">
        <v>547</v>
      </c>
      <c r="B48" t="s">
        <v>349</v>
      </c>
      <c r="C48" t="s">
        <v>2</v>
      </c>
      <c r="D48">
        <v>4161</v>
      </c>
      <c r="E48">
        <v>20</v>
      </c>
      <c r="F48">
        <v>0.2</v>
      </c>
      <c r="G48">
        <v>0</v>
      </c>
      <c r="H48">
        <v>2.78</v>
      </c>
      <c r="I48">
        <v>1</v>
      </c>
      <c r="J48">
        <v>7</v>
      </c>
      <c r="K48">
        <v>5</v>
      </c>
      <c r="L48">
        <v>0.1</v>
      </c>
      <c r="M48">
        <v>0.3</v>
      </c>
      <c r="N48">
        <v>0.6</v>
      </c>
      <c r="O48">
        <v>1.5</v>
      </c>
      <c r="P48">
        <v>25</v>
      </c>
      <c r="R48">
        <v>0</v>
      </c>
      <c r="S48">
        <v>3</v>
      </c>
      <c r="T48">
        <v>0.22</v>
      </c>
      <c r="U48">
        <v>1.06</v>
      </c>
      <c r="V48">
        <v>1.8</v>
      </c>
      <c r="W48">
        <v>2.5</v>
      </c>
      <c r="X48">
        <v>0.25</v>
      </c>
      <c r="Y48">
        <v>0.6</v>
      </c>
      <c r="Z48">
        <v>0.3</v>
      </c>
      <c r="AA48">
        <v>0</v>
      </c>
      <c r="AB48">
        <v>2.88</v>
      </c>
      <c r="AE48">
        <v>2.5</v>
      </c>
      <c r="AH48">
        <v>100</v>
      </c>
      <c r="AJ48">
        <v>0</v>
      </c>
    </row>
    <row r="49" spans="1:37" hidden="1" x14ac:dyDescent="0.3">
      <c r="A49" t="s">
        <v>537</v>
      </c>
      <c r="B49" t="s">
        <v>349</v>
      </c>
      <c r="C49" t="s">
        <v>2</v>
      </c>
      <c r="D49">
        <v>4171</v>
      </c>
      <c r="E49">
        <v>20</v>
      </c>
      <c r="F49">
        <v>0.2</v>
      </c>
      <c r="G49">
        <v>0</v>
      </c>
      <c r="H49">
        <v>2.78</v>
      </c>
      <c r="I49">
        <v>1</v>
      </c>
      <c r="J49">
        <v>7</v>
      </c>
      <c r="K49">
        <v>5</v>
      </c>
      <c r="L49">
        <v>0.1</v>
      </c>
      <c r="M49">
        <v>0.3</v>
      </c>
      <c r="N49">
        <v>0.25</v>
      </c>
      <c r="O49">
        <v>1.5</v>
      </c>
      <c r="P49">
        <v>25</v>
      </c>
      <c r="R49">
        <v>0</v>
      </c>
      <c r="S49">
        <v>3</v>
      </c>
      <c r="T49">
        <v>0.22</v>
      </c>
      <c r="U49">
        <v>1.06</v>
      </c>
      <c r="V49">
        <v>1.8</v>
      </c>
      <c r="W49">
        <v>2.5</v>
      </c>
      <c r="X49">
        <v>0.27</v>
      </c>
      <c r="Y49">
        <v>0.25</v>
      </c>
      <c r="Z49">
        <v>0.3</v>
      </c>
      <c r="AA49">
        <v>0</v>
      </c>
      <c r="AB49">
        <v>2.88</v>
      </c>
      <c r="AE49">
        <v>3</v>
      </c>
      <c r="AH49">
        <v>100</v>
      </c>
      <c r="AJ49">
        <v>0</v>
      </c>
    </row>
    <row r="50" spans="1:37" hidden="1" x14ac:dyDescent="0.3">
      <c r="A50" t="s">
        <v>528</v>
      </c>
      <c r="B50" t="s">
        <v>349</v>
      </c>
      <c r="C50" t="s">
        <v>2</v>
      </c>
      <c r="D50">
        <v>4180</v>
      </c>
      <c r="E50">
        <v>20</v>
      </c>
      <c r="F50">
        <v>0.2</v>
      </c>
      <c r="G50">
        <v>0</v>
      </c>
      <c r="H50">
        <v>2.78</v>
      </c>
      <c r="I50">
        <v>1</v>
      </c>
      <c r="J50">
        <v>7</v>
      </c>
      <c r="K50">
        <v>10</v>
      </c>
      <c r="L50">
        <v>0.1</v>
      </c>
      <c r="M50">
        <v>0.3</v>
      </c>
      <c r="N50">
        <v>0.25</v>
      </c>
      <c r="O50">
        <v>1.5</v>
      </c>
      <c r="P50">
        <v>25</v>
      </c>
      <c r="R50">
        <v>0</v>
      </c>
      <c r="S50">
        <v>3</v>
      </c>
      <c r="T50">
        <v>0.22</v>
      </c>
      <c r="U50">
        <v>1.06</v>
      </c>
      <c r="V50">
        <v>1.8</v>
      </c>
      <c r="W50">
        <v>2.5</v>
      </c>
      <c r="X50">
        <v>0.17</v>
      </c>
      <c r="Y50">
        <v>0.25</v>
      </c>
      <c r="Z50">
        <v>0.3</v>
      </c>
      <c r="AA50">
        <v>0</v>
      </c>
      <c r="AB50">
        <v>2.88</v>
      </c>
      <c r="AE50">
        <v>3</v>
      </c>
      <c r="AH50">
        <v>100</v>
      </c>
      <c r="AJ50">
        <v>0</v>
      </c>
    </row>
    <row r="51" spans="1:37" hidden="1" x14ac:dyDescent="0.3">
      <c r="A51" t="s">
        <v>588</v>
      </c>
      <c r="B51" t="s">
        <v>349</v>
      </c>
      <c r="C51" t="s">
        <v>2</v>
      </c>
      <c r="D51">
        <v>4121</v>
      </c>
      <c r="E51">
        <v>20</v>
      </c>
      <c r="F51">
        <v>0.2</v>
      </c>
      <c r="G51">
        <v>0</v>
      </c>
      <c r="H51">
        <v>2.78</v>
      </c>
      <c r="I51">
        <v>1</v>
      </c>
      <c r="J51">
        <v>7</v>
      </c>
      <c r="K51">
        <v>9</v>
      </c>
      <c r="L51">
        <v>0.1</v>
      </c>
      <c r="M51">
        <v>0.3</v>
      </c>
      <c r="N51">
        <v>0.4</v>
      </c>
      <c r="O51">
        <v>1.5</v>
      </c>
      <c r="P51">
        <v>25</v>
      </c>
      <c r="R51">
        <v>0</v>
      </c>
      <c r="S51">
        <v>2.5</v>
      </c>
      <c r="T51">
        <v>0.22</v>
      </c>
      <c r="U51">
        <v>1.06</v>
      </c>
      <c r="V51">
        <v>1.8</v>
      </c>
      <c r="W51">
        <v>2.5</v>
      </c>
      <c r="X51">
        <v>0.35</v>
      </c>
      <c r="Y51">
        <v>0.4</v>
      </c>
      <c r="Z51">
        <v>0.3</v>
      </c>
      <c r="AA51">
        <v>0</v>
      </c>
      <c r="AB51">
        <v>2.88</v>
      </c>
      <c r="AE51">
        <v>3.5</v>
      </c>
      <c r="AH51">
        <v>100</v>
      </c>
      <c r="AJ51">
        <v>0</v>
      </c>
    </row>
    <row r="52" spans="1:37" hidden="1" x14ac:dyDescent="0.3">
      <c r="A52" t="s">
        <v>586</v>
      </c>
      <c r="B52" t="s">
        <v>349</v>
      </c>
      <c r="C52" t="s">
        <v>2</v>
      </c>
      <c r="D52">
        <v>4123</v>
      </c>
      <c r="E52">
        <v>20</v>
      </c>
      <c r="F52">
        <v>0.2</v>
      </c>
      <c r="G52">
        <v>0</v>
      </c>
      <c r="H52">
        <v>2.78</v>
      </c>
      <c r="I52">
        <v>1</v>
      </c>
      <c r="J52">
        <v>7</v>
      </c>
      <c r="K52">
        <v>9</v>
      </c>
      <c r="L52">
        <v>0.1</v>
      </c>
      <c r="M52">
        <v>0.3</v>
      </c>
      <c r="N52">
        <v>0.25</v>
      </c>
      <c r="O52">
        <v>1.5</v>
      </c>
      <c r="P52">
        <v>25</v>
      </c>
      <c r="R52">
        <v>0</v>
      </c>
      <c r="S52">
        <v>2.5</v>
      </c>
      <c r="T52">
        <v>0.22</v>
      </c>
      <c r="U52">
        <v>1.06</v>
      </c>
      <c r="V52">
        <v>1.8</v>
      </c>
      <c r="W52">
        <v>2.5</v>
      </c>
      <c r="X52">
        <v>0.25</v>
      </c>
      <c r="Y52">
        <v>0.25</v>
      </c>
      <c r="Z52">
        <v>0.3</v>
      </c>
      <c r="AA52">
        <v>0</v>
      </c>
      <c r="AB52">
        <v>2.88</v>
      </c>
      <c r="AE52">
        <v>3.5</v>
      </c>
      <c r="AH52">
        <v>100</v>
      </c>
      <c r="AJ52">
        <v>0</v>
      </c>
    </row>
    <row r="53" spans="1:37" hidden="1" x14ac:dyDescent="0.3">
      <c r="A53" t="s">
        <v>584</v>
      </c>
      <c r="B53" t="s">
        <v>349</v>
      </c>
      <c r="C53" t="s">
        <v>2</v>
      </c>
      <c r="D53">
        <v>4124</v>
      </c>
      <c r="E53">
        <v>20</v>
      </c>
      <c r="F53">
        <v>7.0000000000000007E-2</v>
      </c>
      <c r="G53">
        <v>0</v>
      </c>
      <c r="H53">
        <v>2.5299999999999998</v>
      </c>
      <c r="I53">
        <v>1</v>
      </c>
      <c r="J53">
        <v>7</v>
      </c>
      <c r="K53">
        <v>9</v>
      </c>
      <c r="L53">
        <v>0.1</v>
      </c>
      <c r="M53">
        <v>0.3</v>
      </c>
      <c r="N53">
        <v>0.67</v>
      </c>
      <c r="O53">
        <v>1.5</v>
      </c>
      <c r="P53">
        <v>25</v>
      </c>
      <c r="R53">
        <v>0</v>
      </c>
      <c r="S53">
        <v>2.5</v>
      </c>
      <c r="T53">
        <v>0.1</v>
      </c>
      <c r="U53">
        <v>0.49</v>
      </c>
      <c r="V53">
        <v>1.8</v>
      </c>
      <c r="W53">
        <v>2.5</v>
      </c>
      <c r="X53">
        <v>0.25</v>
      </c>
      <c r="Y53">
        <v>0.67</v>
      </c>
      <c r="Z53">
        <v>0.3</v>
      </c>
      <c r="AA53">
        <v>0</v>
      </c>
      <c r="AB53">
        <v>2.88</v>
      </c>
      <c r="AE53">
        <v>3.5</v>
      </c>
      <c r="AH53">
        <v>100</v>
      </c>
      <c r="AJ53">
        <v>0</v>
      </c>
    </row>
    <row r="54" spans="1:37" hidden="1" x14ac:dyDescent="0.3">
      <c r="A54" t="s">
        <v>582</v>
      </c>
      <c r="B54" t="s">
        <v>349</v>
      </c>
      <c r="C54" t="s">
        <v>2</v>
      </c>
      <c r="D54">
        <v>4126</v>
      </c>
      <c r="E54">
        <v>20</v>
      </c>
      <c r="F54">
        <v>0.4</v>
      </c>
      <c r="G54">
        <v>0</v>
      </c>
      <c r="H54">
        <v>3.11</v>
      </c>
      <c r="I54">
        <v>1</v>
      </c>
      <c r="J54">
        <v>7</v>
      </c>
      <c r="K54">
        <v>9</v>
      </c>
      <c r="L54">
        <v>0.1</v>
      </c>
      <c r="M54">
        <v>0.3</v>
      </c>
      <c r="N54">
        <v>0.67</v>
      </c>
      <c r="O54">
        <v>1.5</v>
      </c>
      <c r="P54">
        <v>25</v>
      </c>
      <c r="R54">
        <v>0</v>
      </c>
      <c r="S54">
        <v>2.5</v>
      </c>
      <c r="T54">
        <v>0.6</v>
      </c>
      <c r="U54">
        <v>1.61</v>
      </c>
      <c r="V54">
        <v>1.8</v>
      </c>
      <c r="W54">
        <v>2.5</v>
      </c>
      <c r="X54">
        <v>0.25</v>
      </c>
      <c r="Y54">
        <v>0.67</v>
      </c>
      <c r="Z54">
        <v>0.3</v>
      </c>
      <c r="AA54">
        <v>0</v>
      </c>
      <c r="AB54">
        <v>2.2799999999999998</v>
      </c>
      <c r="AE54">
        <v>1.5</v>
      </c>
      <c r="AH54">
        <v>100</v>
      </c>
      <c r="AJ54">
        <v>0</v>
      </c>
    </row>
    <row r="55" spans="1:37" hidden="1" x14ac:dyDescent="0.3">
      <c r="A55" t="s">
        <v>447</v>
      </c>
      <c r="B55" t="s">
        <v>349</v>
      </c>
      <c r="C55" t="s">
        <v>2</v>
      </c>
      <c r="D55">
        <v>5043</v>
      </c>
      <c r="E55">
        <v>20</v>
      </c>
      <c r="F55">
        <v>0</v>
      </c>
      <c r="G55">
        <v>0</v>
      </c>
      <c r="H55">
        <v>0.7</v>
      </c>
      <c r="I55">
        <v>1.8</v>
      </c>
      <c r="J55">
        <v>4.5</v>
      </c>
      <c r="K55">
        <v>11</v>
      </c>
      <c r="L55">
        <v>0.15</v>
      </c>
      <c r="M55">
        <v>0.3</v>
      </c>
      <c r="N55">
        <v>7.0000000000000007E-2</v>
      </c>
      <c r="O55">
        <v>1.5</v>
      </c>
      <c r="P55">
        <v>25</v>
      </c>
      <c r="S55">
        <v>3.07</v>
      </c>
      <c r="T55">
        <v>0</v>
      </c>
      <c r="U55">
        <v>0</v>
      </c>
      <c r="V55">
        <v>4.5</v>
      </c>
      <c r="W55">
        <v>0</v>
      </c>
      <c r="X55">
        <v>0.2</v>
      </c>
      <c r="Y55">
        <v>7.0000000000000007E-2</v>
      </c>
      <c r="Z55">
        <v>0.3</v>
      </c>
      <c r="AB55">
        <v>2.63</v>
      </c>
      <c r="AE55">
        <v>3</v>
      </c>
      <c r="AH55">
        <v>100</v>
      </c>
      <c r="AJ55">
        <v>0</v>
      </c>
    </row>
    <row r="56" spans="1:37" hidden="1" x14ac:dyDescent="0.3">
      <c r="A56" t="s">
        <v>691</v>
      </c>
      <c r="B56" t="s">
        <v>349</v>
      </c>
      <c r="C56" t="s">
        <v>2</v>
      </c>
      <c r="D56">
        <v>2112</v>
      </c>
      <c r="E56">
        <v>35</v>
      </c>
      <c r="F56">
        <v>0.8</v>
      </c>
      <c r="G56">
        <v>0</v>
      </c>
      <c r="H56">
        <v>1</v>
      </c>
      <c r="I56">
        <v>2.2000000000000002</v>
      </c>
      <c r="J56">
        <v>8.4</v>
      </c>
      <c r="K56">
        <v>17</v>
      </c>
      <c r="L56">
        <v>0.1</v>
      </c>
      <c r="M56">
        <v>1</v>
      </c>
      <c r="N56">
        <v>0.32</v>
      </c>
      <c r="O56">
        <v>1.3</v>
      </c>
      <c r="P56">
        <v>25</v>
      </c>
      <c r="Q56">
        <v>64</v>
      </c>
      <c r="R56">
        <v>3</v>
      </c>
      <c r="S56">
        <v>3.6</v>
      </c>
      <c r="T56">
        <v>0.5</v>
      </c>
      <c r="U56">
        <v>0</v>
      </c>
      <c r="V56">
        <v>2.5</v>
      </c>
      <c r="W56">
        <v>1</v>
      </c>
      <c r="X56">
        <v>0.25</v>
      </c>
      <c r="Y56">
        <v>0.32</v>
      </c>
      <c r="Z56">
        <v>0.3</v>
      </c>
      <c r="AA56">
        <v>3</v>
      </c>
      <c r="AB56">
        <v>3</v>
      </c>
      <c r="AE56">
        <v>3.5</v>
      </c>
      <c r="AF56">
        <v>2.2999999999999998</v>
      </c>
      <c r="AG56">
        <v>31.1</v>
      </c>
      <c r="AH56">
        <v>100</v>
      </c>
      <c r="AI56">
        <v>0.32</v>
      </c>
      <c r="AJ56">
        <v>1</v>
      </c>
    </row>
    <row r="57" spans="1:37" hidden="1" x14ac:dyDescent="0.3">
      <c r="A57" t="s">
        <v>692</v>
      </c>
      <c r="B57" t="s">
        <v>349</v>
      </c>
      <c r="C57" t="s">
        <v>2</v>
      </c>
      <c r="D57">
        <v>2111</v>
      </c>
      <c r="E57">
        <v>25</v>
      </c>
      <c r="F57">
        <v>0.88</v>
      </c>
      <c r="G57">
        <v>0</v>
      </c>
      <c r="H57">
        <v>1.7</v>
      </c>
      <c r="I57">
        <v>2.5</v>
      </c>
      <c r="J57">
        <v>3.5</v>
      </c>
      <c r="K57">
        <v>14.5</v>
      </c>
      <c r="L57">
        <v>0.1</v>
      </c>
      <c r="M57">
        <v>1</v>
      </c>
      <c r="N57">
        <v>0.17</v>
      </c>
      <c r="O57">
        <v>2.2000000000000002</v>
      </c>
      <c r="P57">
        <v>32</v>
      </c>
      <c r="Q57">
        <v>63</v>
      </c>
      <c r="R57">
        <v>2.1</v>
      </c>
      <c r="S57">
        <v>3.5</v>
      </c>
      <c r="T57">
        <v>0.7</v>
      </c>
      <c r="U57">
        <v>0</v>
      </c>
      <c r="V57">
        <v>4.9000000000000004</v>
      </c>
      <c r="W57">
        <v>1.9</v>
      </c>
      <c r="X57">
        <v>0.2</v>
      </c>
      <c r="Y57">
        <v>0.17</v>
      </c>
      <c r="Z57">
        <v>0.3</v>
      </c>
      <c r="AA57">
        <v>3.5</v>
      </c>
      <c r="AB57">
        <v>3.3</v>
      </c>
      <c r="AE57">
        <v>3.5</v>
      </c>
      <c r="AF57">
        <v>3.28</v>
      </c>
      <c r="AG57">
        <v>27.3</v>
      </c>
      <c r="AH57">
        <v>100</v>
      </c>
      <c r="AI57">
        <v>0.17</v>
      </c>
      <c r="AJ57">
        <v>0</v>
      </c>
    </row>
    <row r="58" spans="1:37" hidden="1" x14ac:dyDescent="0.3">
      <c r="A58" t="s">
        <v>694</v>
      </c>
      <c r="B58" t="s">
        <v>349</v>
      </c>
      <c r="C58" t="s">
        <v>2</v>
      </c>
      <c r="D58">
        <v>2108</v>
      </c>
      <c r="E58">
        <v>35</v>
      </c>
      <c r="F58">
        <v>0.56000000000000005</v>
      </c>
      <c r="G58">
        <v>0</v>
      </c>
      <c r="H58">
        <v>1</v>
      </c>
      <c r="I58">
        <v>1.67</v>
      </c>
      <c r="J58">
        <v>4.5</v>
      </c>
      <c r="K58">
        <v>6.5</v>
      </c>
      <c r="L58">
        <v>0.1</v>
      </c>
      <c r="M58">
        <v>1</v>
      </c>
      <c r="N58">
        <v>0.45</v>
      </c>
      <c r="O58">
        <v>1.8</v>
      </c>
      <c r="P58">
        <v>16</v>
      </c>
      <c r="Q58">
        <v>49</v>
      </c>
      <c r="R58">
        <v>2.2999999999999998</v>
      </c>
      <c r="S58">
        <v>3</v>
      </c>
      <c r="T58">
        <v>0.1</v>
      </c>
      <c r="U58">
        <v>0</v>
      </c>
      <c r="V58">
        <v>2</v>
      </c>
      <c r="W58">
        <v>1.5</v>
      </c>
      <c r="X58">
        <v>0.3</v>
      </c>
      <c r="Y58">
        <v>0.45</v>
      </c>
      <c r="Z58">
        <v>0.3</v>
      </c>
      <c r="AA58">
        <v>3.2</v>
      </c>
      <c r="AB58">
        <v>3.2</v>
      </c>
      <c r="AE58">
        <v>3</v>
      </c>
      <c r="AF58">
        <v>1.66</v>
      </c>
      <c r="AG58">
        <v>16.170000000000002</v>
      </c>
      <c r="AH58">
        <v>100</v>
      </c>
      <c r="AI58">
        <v>0.45</v>
      </c>
      <c r="AJ58">
        <v>0</v>
      </c>
    </row>
    <row r="59" spans="1:37" hidden="1" x14ac:dyDescent="0.3">
      <c r="A59" t="s">
        <v>616</v>
      </c>
      <c r="B59" t="s">
        <v>349</v>
      </c>
      <c r="C59" t="s">
        <v>2</v>
      </c>
      <c r="D59">
        <v>3066</v>
      </c>
      <c r="E59">
        <v>6</v>
      </c>
      <c r="F59">
        <v>0</v>
      </c>
      <c r="G59">
        <v>0</v>
      </c>
      <c r="H59">
        <v>0</v>
      </c>
      <c r="I59">
        <v>5.0937305000000004</v>
      </c>
      <c r="J59">
        <v>4.5</v>
      </c>
      <c r="K59">
        <v>5.8303747530000001</v>
      </c>
      <c r="L59">
        <v>0.3</v>
      </c>
      <c r="M59">
        <v>1</v>
      </c>
      <c r="N59">
        <v>0.25</v>
      </c>
      <c r="O59">
        <v>0.9</v>
      </c>
      <c r="P59">
        <v>25</v>
      </c>
      <c r="Q59">
        <v>25</v>
      </c>
      <c r="R59">
        <v>3.5</v>
      </c>
      <c r="S59">
        <v>2</v>
      </c>
      <c r="T59">
        <v>0</v>
      </c>
      <c r="U59">
        <v>0</v>
      </c>
      <c r="V59">
        <v>5.5493683789999997</v>
      </c>
      <c r="W59">
        <v>3.5</v>
      </c>
      <c r="X59">
        <v>0.8</v>
      </c>
      <c r="Y59">
        <v>0.25</v>
      </c>
      <c r="Z59">
        <v>0.3</v>
      </c>
      <c r="AA59">
        <v>3.45</v>
      </c>
      <c r="AB59">
        <v>3.5</v>
      </c>
      <c r="AC59">
        <v>0.66666666699999999</v>
      </c>
      <c r="AE59">
        <v>1.5</v>
      </c>
      <c r="AG59">
        <v>24.473473630000001</v>
      </c>
      <c r="AH59">
        <v>100</v>
      </c>
      <c r="AI59">
        <v>0.25</v>
      </c>
      <c r="AJ59">
        <v>1</v>
      </c>
      <c r="AK59">
        <v>0.66666666699999999</v>
      </c>
    </row>
    <row r="60" spans="1:37" hidden="1" x14ac:dyDescent="0.3">
      <c r="A60" t="s">
        <v>626</v>
      </c>
      <c r="B60" t="s">
        <v>349</v>
      </c>
      <c r="C60" t="s">
        <v>2</v>
      </c>
      <c r="D60">
        <v>3045</v>
      </c>
      <c r="E60">
        <v>20</v>
      </c>
      <c r="F60">
        <v>0</v>
      </c>
      <c r="G60">
        <v>0</v>
      </c>
      <c r="H60">
        <v>0</v>
      </c>
      <c r="I60">
        <v>5.0937305000000004</v>
      </c>
      <c r="J60">
        <v>3.5</v>
      </c>
      <c r="K60">
        <v>15.8</v>
      </c>
      <c r="L60">
        <v>0.15</v>
      </c>
      <c r="M60">
        <v>1</v>
      </c>
      <c r="N60">
        <v>0.15</v>
      </c>
      <c r="O60">
        <v>1.5</v>
      </c>
      <c r="P60">
        <v>25</v>
      </c>
      <c r="Q60">
        <v>0</v>
      </c>
      <c r="R60">
        <v>3.5</v>
      </c>
      <c r="S60">
        <v>3.4950000000000001</v>
      </c>
      <c r="T60">
        <v>0</v>
      </c>
      <c r="U60">
        <v>0</v>
      </c>
      <c r="V60">
        <v>1.820092614</v>
      </c>
      <c r="W60">
        <v>0</v>
      </c>
      <c r="X60">
        <v>0.1</v>
      </c>
      <c r="Y60">
        <v>0.15</v>
      </c>
      <c r="Z60">
        <v>0.3</v>
      </c>
      <c r="AA60">
        <v>3</v>
      </c>
      <c r="AB60">
        <v>0</v>
      </c>
      <c r="AC60">
        <v>0.28571428599999998</v>
      </c>
      <c r="AE60">
        <v>3.5</v>
      </c>
      <c r="AG60">
        <v>26.21382311</v>
      </c>
      <c r="AH60">
        <v>100</v>
      </c>
      <c r="AI60">
        <v>0.15</v>
      </c>
      <c r="AJ60">
        <v>1</v>
      </c>
      <c r="AK60">
        <v>0.28571428599999998</v>
      </c>
    </row>
    <row r="61" spans="1:37" hidden="1" x14ac:dyDescent="0.3">
      <c r="A61" t="s">
        <v>368</v>
      </c>
      <c r="B61" t="s">
        <v>349</v>
      </c>
      <c r="C61" t="s">
        <v>2</v>
      </c>
      <c r="D61">
        <v>7101</v>
      </c>
      <c r="E61">
        <v>20</v>
      </c>
      <c r="F61">
        <v>1.3</v>
      </c>
      <c r="G61">
        <v>0</v>
      </c>
      <c r="H61">
        <v>1.5</v>
      </c>
      <c r="I61">
        <v>2.9</v>
      </c>
      <c r="J61">
        <v>4.5</v>
      </c>
      <c r="K61">
        <v>13.8</v>
      </c>
      <c r="L61">
        <v>0.1</v>
      </c>
      <c r="M61">
        <v>0</v>
      </c>
      <c r="N61">
        <v>0.15</v>
      </c>
      <c r="O61">
        <v>1.3</v>
      </c>
      <c r="P61">
        <v>25</v>
      </c>
      <c r="R61">
        <v>1.9</v>
      </c>
      <c r="S61">
        <v>3.4</v>
      </c>
      <c r="T61">
        <v>0.5</v>
      </c>
      <c r="U61">
        <v>0</v>
      </c>
      <c r="V61">
        <v>1.2</v>
      </c>
      <c r="W61">
        <v>0</v>
      </c>
      <c r="X61">
        <v>0.25</v>
      </c>
      <c r="Y61">
        <v>0.25</v>
      </c>
      <c r="Z61">
        <v>0.3</v>
      </c>
      <c r="AA61">
        <v>1.9</v>
      </c>
      <c r="AB61">
        <v>3.1</v>
      </c>
      <c r="AE61">
        <v>3.5</v>
      </c>
      <c r="AH61">
        <v>100</v>
      </c>
      <c r="AJ61">
        <v>1</v>
      </c>
    </row>
    <row r="62" spans="1:37" hidden="1" x14ac:dyDescent="0.3">
      <c r="A62" t="s">
        <v>367</v>
      </c>
      <c r="B62" t="s">
        <v>349</v>
      </c>
      <c r="C62" t="s">
        <v>2</v>
      </c>
      <c r="D62">
        <v>7102</v>
      </c>
      <c r="E62">
        <v>20</v>
      </c>
      <c r="F62">
        <v>0</v>
      </c>
      <c r="G62">
        <v>0</v>
      </c>
      <c r="H62">
        <v>0</v>
      </c>
      <c r="I62">
        <v>1.8</v>
      </c>
      <c r="J62">
        <v>4.5</v>
      </c>
      <c r="K62">
        <v>10.1</v>
      </c>
      <c r="L62">
        <v>0.25</v>
      </c>
      <c r="M62">
        <v>0</v>
      </c>
      <c r="N62">
        <v>0.2</v>
      </c>
      <c r="O62">
        <v>1.5</v>
      </c>
      <c r="P62">
        <v>25</v>
      </c>
      <c r="S62">
        <v>3</v>
      </c>
      <c r="T62">
        <v>0</v>
      </c>
      <c r="U62">
        <v>0</v>
      </c>
      <c r="V62">
        <v>3.6</v>
      </c>
      <c r="W62">
        <v>0</v>
      </c>
      <c r="X62">
        <v>0.15</v>
      </c>
      <c r="Y62">
        <v>0.2</v>
      </c>
      <c r="Z62">
        <v>0.3</v>
      </c>
      <c r="AB62">
        <v>2.6</v>
      </c>
      <c r="AE62">
        <v>2.5</v>
      </c>
      <c r="AH62">
        <v>100</v>
      </c>
      <c r="AJ62">
        <v>0</v>
      </c>
    </row>
    <row r="63" spans="1:37" hidden="1" x14ac:dyDescent="0.3">
      <c r="A63" t="s">
        <v>366</v>
      </c>
      <c r="B63" t="s">
        <v>349</v>
      </c>
      <c r="C63" t="s">
        <v>2</v>
      </c>
      <c r="D63">
        <v>3008</v>
      </c>
      <c r="E63">
        <v>20</v>
      </c>
      <c r="F63">
        <v>0</v>
      </c>
      <c r="G63">
        <v>0</v>
      </c>
      <c r="H63">
        <v>0</v>
      </c>
      <c r="I63">
        <v>1.8178351880000001</v>
      </c>
      <c r="J63">
        <v>4.5</v>
      </c>
      <c r="K63">
        <v>6.7</v>
      </c>
      <c r="L63">
        <v>0.35</v>
      </c>
      <c r="M63">
        <v>1</v>
      </c>
      <c r="N63">
        <v>0.4</v>
      </c>
      <c r="O63">
        <v>1.5</v>
      </c>
      <c r="P63">
        <v>25</v>
      </c>
      <c r="Q63">
        <v>0</v>
      </c>
      <c r="R63">
        <v>3</v>
      </c>
      <c r="S63">
        <v>2.2200000000000002</v>
      </c>
      <c r="T63">
        <v>0</v>
      </c>
      <c r="U63">
        <v>0</v>
      </c>
      <c r="V63">
        <v>1.820092614</v>
      </c>
      <c r="W63">
        <v>2</v>
      </c>
      <c r="X63">
        <v>0.35</v>
      </c>
      <c r="Y63">
        <v>0.4</v>
      </c>
      <c r="Z63">
        <v>0.3</v>
      </c>
      <c r="AA63">
        <v>3</v>
      </c>
      <c r="AB63">
        <v>2</v>
      </c>
      <c r="AC63">
        <v>0.33333333300000001</v>
      </c>
      <c r="AE63">
        <v>3</v>
      </c>
      <c r="AG63">
        <v>16.837927799999999</v>
      </c>
      <c r="AH63">
        <v>100</v>
      </c>
      <c r="AI63">
        <v>0.4</v>
      </c>
      <c r="AJ63">
        <v>0</v>
      </c>
      <c r="AK63">
        <v>0.33333333300000001</v>
      </c>
    </row>
    <row r="64" spans="1:37" hidden="1" x14ac:dyDescent="0.3">
      <c r="A64" t="s">
        <v>366</v>
      </c>
      <c r="B64" t="s">
        <v>349</v>
      </c>
      <c r="C64" t="s">
        <v>2</v>
      </c>
      <c r="D64">
        <v>7103</v>
      </c>
      <c r="E64">
        <v>20</v>
      </c>
      <c r="F64">
        <v>0</v>
      </c>
      <c r="G64">
        <v>0</v>
      </c>
      <c r="H64">
        <v>0</v>
      </c>
      <c r="I64">
        <v>1.8</v>
      </c>
      <c r="J64">
        <v>4.5</v>
      </c>
      <c r="K64">
        <v>8.5</v>
      </c>
      <c r="L64">
        <v>0.35</v>
      </c>
      <c r="M64">
        <v>0</v>
      </c>
      <c r="N64">
        <v>0.4</v>
      </c>
      <c r="O64">
        <v>1.1100000000000001</v>
      </c>
      <c r="P64">
        <v>25</v>
      </c>
      <c r="S64">
        <v>2.7</v>
      </c>
      <c r="T64">
        <v>0</v>
      </c>
      <c r="U64">
        <v>0</v>
      </c>
      <c r="V64">
        <v>0.6</v>
      </c>
      <c r="W64">
        <v>0</v>
      </c>
      <c r="X64">
        <v>0.35</v>
      </c>
      <c r="Y64">
        <v>0.2</v>
      </c>
      <c r="Z64">
        <v>0.3</v>
      </c>
      <c r="AB64">
        <v>2.2999999999999998</v>
      </c>
      <c r="AE64">
        <v>3</v>
      </c>
      <c r="AH64">
        <v>100</v>
      </c>
      <c r="AJ64">
        <v>0</v>
      </c>
    </row>
    <row r="65" spans="1:37" hidden="1" x14ac:dyDescent="0.3">
      <c r="A65" t="s">
        <v>614</v>
      </c>
      <c r="B65" t="s">
        <v>349</v>
      </c>
      <c r="C65" t="s">
        <v>2</v>
      </c>
      <c r="D65">
        <v>3090</v>
      </c>
      <c r="E65">
        <v>20</v>
      </c>
      <c r="F65">
        <v>0</v>
      </c>
      <c r="G65">
        <v>0</v>
      </c>
      <c r="H65">
        <v>0</v>
      </c>
      <c r="I65">
        <v>0.34160808199999998</v>
      </c>
      <c r="J65">
        <v>3.24</v>
      </c>
      <c r="K65">
        <v>4.9000000000000004</v>
      </c>
      <c r="L65">
        <v>1</v>
      </c>
      <c r="M65">
        <v>1</v>
      </c>
      <c r="N65">
        <v>1</v>
      </c>
      <c r="O65">
        <v>1.5</v>
      </c>
      <c r="P65">
        <v>25</v>
      </c>
      <c r="Q65">
        <v>0</v>
      </c>
      <c r="R65">
        <v>2</v>
      </c>
      <c r="S65">
        <v>1.73</v>
      </c>
      <c r="T65">
        <v>0</v>
      </c>
      <c r="U65">
        <v>0</v>
      </c>
      <c r="V65">
        <v>0.179319899</v>
      </c>
      <c r="W65">
        <v>2.5</v>
      </c>
      <c r="X65">
        <v>1</v>
      </c>
      <c r="Y65">
        <v>1</v>
      </c>
      <c r="Z65">
        <v>0.3</v>
      </c>
      <c r="AA65">
        <v>1.61</v>
      </c>
      <c r="AB65">
        <v>2.5</v>
      </c>
      <c r="AC65">
        <v>0.45454545499999999</v>
      </c>
      <c r="AE65">
        <v>2.2000000000000002</v>
      </c>
      <c r="AG65">
        <v>11.16092798</v>
      </c>
      <c r="AH65">
        <v>100</v>
      </c>
      <c r="AI65">
        <v>0</v>
      </c>
      <c r="AJ65">
        <v>0</v>
      </c>
      <c r="AK65">
        <v>0.45454545499999999</v>
      </c>
    </row>
    <row r="66" spans="1:37" hidden="1" x14ac:dyDescent="0.3">
      <c r="A66" t="s">
        <v>613</v>
      </c>
      <c r="B66" t="s">
        <v>349</v>
      </c>
      <c r="C66" t="s">
        <v>2</v>
      </c>
      <c r="D66">
        <v>3091</v>
      </c>
      <c r="E66">
        <v>20</v>
      </c>
      <c r="F66">
        <v>0</v>
      </c>
      <c r="G66">
        <v>0</v>
      </c>
      <c r="H66">
        <v>0</v>
      </c>
      <c r="I66">
        <v>5.2907577999999997E-2</v>
      </c>
      <c r="J66">
        <v>3.24</v>
      </c>
      <c r="K66">
        <v>5</v>
      </c>
      <c r="L66">
        <v>1</v>
      </c>
      <c r="M66">
        <v>1</v>
      </c>
      <c r="N66">
        <v>1</v>
      </c>
      <c r="O66">
        <v>1.5</v>
      </c>
      <c r="P66">
        <v>25</v>
      </c>
      <c r="Q66">
        <v>0</v>
      </c>
      <c r="R66">
        <v>1</v>
      </c>
      <c r="S66">
        <v>1.76</v>
      </c>
      <c r="T66">
        <v>0</v>
      </c>
      <c r="U66">
        <v>0</v>
      </c>
      <c r="V66">
        <v>6.1176460000000002E-2</v>
      </c>
      <c r="W66">
        <v>2</v>
      </c>
      <c r="X66">
        <v>1</v>
      </c>
      <c r="Y66">
        <v>1</v>
      </c>
      <c r="Z66">
        <v>0.3</v>
      </c>
      <c r="AA66">
        <v>1</v>
      </c>
      <c r="AB66">
        <v>2</v>
      </c>
      <c r="AC66">
        <v>0.4</v>
      </c>
      <c r="AE66">
        <v>2.5</v>
      </c>
      <c r="AG66">
        <v>10.35408404</v>
      </c>
      <c r="AH66">
        <v>100</v>
      </c>
      <c r="AI66">
        <v>0</v>
      </c>
      <c r="AJ66">
        <v>0</v>
      </c>
      <c r="AK66">
        <v>0.4</v>
      </c>
    </row>
    <row r="67" spans="1:37" hidden="1" x14ac:dyDescent="0.3">
      <c r="A67" t="s">
        <v>612</v>
      </c>
      <c r="B67" t="s">
        <v>349</v>
      </c>
      <c r="C67" t="s">
        <v>2</v>
      </c>
      <c r="D67">
        <v>3092</v>
      </c>
      <c r="E67">
        <v>20</v>
      </c>
      <c r="F67">
        <v>0</v>
      </c>
      <c r="G67">
        <v>0</v>
      </c>
      <c r="H67">
        <v>0</v>
      </c>
      <c r="I67">
        <v>5.0937305000000004</v>
      </c>
      <c r="J67">
        <v>3.24</v>
      </c>
      <c r="K67">
        <v>12.4</v>
      </c>
      <c r="L67">
        <v>1</v>
      </c>
      <c r="M67">
        <v>1</v>
      </c>
      <c r="N67">
        <v>1</v>
      </c>
      <c r="O67">
        <v>1.5</v>
      </c>
      <c r="P67">
        <v>25</v>
      </c>
      <c r="Q67">
        <v>0</v>
      </c>
      <c r="R67">
        <v>3.5</v>
      </c>
      <c r="S67">
        <v>3.22</v>
      </c>
      <c r="T67">
        <v>0</v>
      </c>
      <c r="U67">
        <v>0</v>
      </c>
      <c r="V67">
        <v>6.1176460000000002E-2</v>
      </c>
      <c r="W67">
        <v>1.5</v>
      </c>
      <c r="X67">
        <v>1</v>
      </c>
      <c r="Y67">
        <v>1</v>
      </c>
      <c r="Z67">
        <v>0.3</v>
      </c>
      <c r="AA67">
        <v>1</v>
      </c>
      <c r="AB67">
        <v>1.5</v>
      </c>
      <c r="AC67">
        <v>0.25</v>
      </c>
      <c r="AE67">
        <v>4</v>
      </c>
      <c r="AG67">
        <v>22.294906959999999</v>
      </c>
      <c r="AH67">
        <v>100</v>
      </c>
      <c r="AI67">
        <v>0</v>
      </c>
      <c r="AJ67">
        <v>1</v>
      </c>
      <c r="AK67">
        <v>0.25</v>
      </c>
    </row>
    <row r="68" spans="1:37" hidden="1" x14ac:dyDescent="0.3">
      <c r="A68" t="s">
        <v>617</v>
      </c>
      <c r="B68" t="s">
        <v>349</v>
      </c>
      <c r="C68" t="s">
        <v>2</v>
      </c>
      <c r="D68">
        <v>3065</v>
      </c>
      <c r="E68">
        <v>20</v>
      </c>
      <c r="F68">
        <v>0</v>
      </c>
      <c r="G68">
        <v>0</v>
      </c>
      <c r="H68">
        <v>0</v>
      </c>
      <c r="I68">
        <v>0.34160808199999998</v>
      </c>
      <c r="J68">
        <v>4.5</v>
      </c>
      <c r="K68">
        <v>11.36430709</v>
      </c>
      <c r="L68">
        <v>0.2</v>
      </c>
      <c r="M68">
        <v>1</v>
      </c>
      <c r="N68">
        <v>0.6</v>
      </c>
      <c r="O68">
        <v>1.5</v>
      </c>
      <c r="P68">
        <v>25</v>
      </c>
      <c r="Q68">
        <v>0</v>
      </c>
      <c r="R68">
        <v>2</v>
      </c>
      <c r="S68">
        <v>3.2549999999999999</v>
      </c>
      <c r="T68">
        <v>0</v>
      </c>
      <c r="U68">
        <v>0</v>
      </c>
      <c r="V68">
        <v>1.820092614</v>
      </c>
      <c r="W68">
        <v>3</v>
      </c>
      <c r="X68">
        <v>0.2</v>
      </c>
      <c r="Y68">
        <v>0.6</v>
      </c>
      <c r="Z68">
        <v>0.3</v>
      </c>
      <c r="AA68">
        <v>3</v>
      </c>
      <c r="AB68">
        <v>3</v>
      </c>
      <c r="AC68">
        <v>0.4</v>
      </c>
      <c r="AE68">
        <v>2.5</v>
      </c>
      <c r="AG68">
        <v>21.02600778</v>
      </c>
      <c r="AH68">
        <v>100</v>
      </c>
      <c r="AI68">
        <v>0.6</v>
      </c>
      <c r="AJ68">
        <v>0</v>
      </c>
      <c r="AK68">
        <v>0.4</v>
      </c>
    </row>
    <row r="69" spans="1:37" hidden="1" x14ac:dyDescent="0.3">
      <c r="A69" t="s">
        <v>365</v>
      </c>
      <c r="B69" t="s">
        <v>349</v>
      </c>
      <c r="C69" t="s">
        <v>2</v>
      </c>
      <c r="D69">
        <v>3007</v>
      </c>
      <c r="E69">
        <v>20</v>
      </c>
      <c r="F69">
        <v>0</v>
      </c>
      <c r="G69">
        <v>0</v>
      </c>
      <c r="H69">
        <v>0</v>
      </c>
      <c r="I69">
        <v>5.3882091609999998</v>
      </c>
      <c r="J69">
        <v>4.5</v>
      </c>
      <c r="K69">
        <v>10.9</v>
      </c>
      <c r="L69">
        <v>0.25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3.55</v>
      </c>
      <c r="S69">
        <v>3.08</v>
      </c>
      <c r="T69">
        <v>0</v>
      </c>
      <c r="U69">
        <v>0</v>
      </c>
      <c r="V69">
        <v>1.820092614</v>
      </c>
      <c r="W69">
        <v>3</v>
      </c>
      <c r="X69">
        <v>0.2</v>
      </c>
      <c r="Y69">
        <v>0.25</v>
      </c>
      <c r="Z69">
        <v>0.3</v>
      </c>
      <c r="AA69">
        <v>3</v>
      </c>
      <c r="AB69">
        <v>3</v>
      </c>
      <c r="AC69">
        <v>0.33333333300000001</v>
      </c>
      <c r="AE69">
        <v>3</v>
      </c>
      <c r="AG69">
        <v>25.608301780000001</v>
      </c>
      <c r="AH69">
        <v>100</v>
      </c>
      <c r="AI69">
        <v>0.25</v>
      </c>
      <c r="AJ69">
        <v>1</v>
      </c>
      <c r="AK69">
        <v>0.33333333300000001</v>
      </c>
    </row>
    <row r="70" spans="1:37" hidden="1" x14ac:dyDescent="0.3">
      <c r="A70" t="s">
        <v>365</v>
      </c>
      <c r="B70" t="s">
        <v>349</v>
      </c>
      <c r="C70" t="s">
        <v>2</v>
      </c>
      <c r="D70">
        <v>7104</v>
      </c>
      <c r="E70">
        <v>20</v>
      </c>
      <c r="F70">
        <v>1</v>
      </c>
      <c r="G70">
        <v>0</v>
      </c>
      <c r="H70">
        <v>0</v>
      </c>
      <c r="I70">
        <v>5</v>
      </c>
      <c r="J70">
        <v>4.5</v>
      </c>
      <c r="K70">
        <v>13.5</v>
      </c>
      <c r="L70">
        <v>0.02</v>
      </c>
      <c r="M70">
        <v>0</v>
      </c>
      <c r="N70">
        <v>0.14000000000000001</v>
      </c>
      <c r="O70">
        <v>0.83</v>
      </c>
      <c r="P70">
        <v>21</v>
      </c>
      <c r="R70">
        <v>3</v>
      </c>
      <c r="S70">
        <v>3.2</v>
      </c>
      <c r="T70">
        <v>0.5</v>
      </c>
      <c r="U70">
        <v>0</v>
      </c>
      <c r="V70">
        <v>0.6</v>
      </c>
      <c r="W70">
        <v>0</v>
      </c>
      <c r="X70">
        <v>0.2</v>
      </c>
      <c r="Y70">
        <v>0.28000000000000003</v>
      </c>
      <c r="Z70">
        <v>0.3</v>
      </c>
      <c r="AB70">
        <v>3.25</v>
      </c>
      <c r="AE70">
        <v>3</v>
      </c>
      <c r="AH70">
        <v>100</v>
      </c>
      <c r="AJ70">
        <v>1</v>
      </c>
    </row>
    <row r="71" spans="1:37" hidden="1" x14ac:dyDescent="0.3">
      <c r="A71" t="s">
        <v>654</v>
      </c>
      <c r="B71" t="s">
        <v>349</v>
      </c>
      <c r="C71" t="s">
        <v>2</v>
      </c>
      <c r="D71">
        <v>3006</v>
      </c>
      <c r="E71">
        <v>20</v>
      </c>
      <c r="F71">
        <v>0</v>
      </c>
      <c r="G71">
        <v>0</v>
      </c>
      <c r="H71">
        <v>0</v>
      </c>
      <c r="I71">
        <v>5.3882091609999998</v>
      </c>
      <c r="J71">
        <v>4.5</v>
      </c>
      <c r="K71">
        <v>16</v>
      </c>
      <c r="L71">
        <v>0.25</v>
      </c>
      <c r="M71">
        <v>1</v>
      </c>
      <c r="N71">
        <v>0.15</v>
      </c>
      <c r="O71">
        <v>1.5</v>
      </c>
      <c r="P71">
        <v>25</v>
      </c>
      <c r="Q71">
        <v>0</v>
      </c>
      <c r="R71">
        <v>3.55</v>
      </c>
      <c r="S71">
        <v>3.51</v>
      </c>
      <c r="T71">
        <v>0</v>
      </c>
      <c r="U71">
        <v>0</v>
      </c>
      <c r="V71">
        <v>6.0602806239999998</v>
      </c>
      <c r="W71">
        <v>3.5</v>
      </c>
      <c r="X71">
        <v>0.25</v>
      </c>
      <c r="Y71">
        <v>0.15</v>
      </c>
      <c r="Z71">
        <v>0.3</v>
      </c>
      <c r="AA71">
        <v>3.5</v>
      </c>
      <c r="AB71">
        <v>3.25</v>
      </c>
      <c r="AC71">
        <v>0.28571428599999998</v>
      </c>
      <c r="AE71">
        <v>3.5</v>
      </c>
      <c r="AG71">
        <v>35.448489789999996</v>
      </c>
      <c r="AH71">
        <v>100</v>
      </c>
      <c r="AI71">
        <v>0.15</v>
      </c>
      <c r="AJ71">
        <v>1</v>
      </c>
      <c r="AK71">
        <v>0.28571428599999998</v>
      </c>
    </row>
    <row r="72" spans="1:37" hidden="1" x14ac:dyDescent="0.3">
      <c r="A72" t="s">
        <v>619</v>
      </c>
      <c r="B72" t="s">
        <v>349</v>
      </c>
      <c r="C72" t="s">
        <v>2</v>
      </c>
      <c r="D72">
        <v>3063</v>
      </c>
      <c r="E72">
        <v>20</v>
      </c>
      <c r="F72">
        <v>0</v>
      </c>
      <c r="G72">
        <v>0</v>
      </c>
      <c r="H72">
        <v>0</v>
      </c>
      <c r="I72">
        <v>6.9604662949999998</v>
      </c>
      <c r="J72">
        <v>4.5</v>
      </c>
      <c r="K72">
        <v>13.1</v>
      </c>
      <c r="L72">
        <v>0.25</v>
      </c>
      <c r="M72">
        <v>1</v>
      </c>
      <c r="N72">
        <v>0.15</v>
      </c>
      <c r="O72">
        <v>1.5</v>
      </c>
      <c r="P72">
        <v>25</v>
      </c>
      <c r="Q72">
        <v>0</v>
      </c>
      <c r="R72">
        <v>4</v>
      </c>
      <c r="S72">
        <v>3.28</v>
      </c>
      <c r="T72">
        <v>0</v>
      </c>
      <c r="U72">
        <v>0</v>
      </c>
      <c r="V72">
        <v>1.820092614</v>
      </c>
      <c r="W72">
        <v>2.7</v>
      </c>
      <c r="X72">
        <v>0.25</v>
      </c>
      <c r="Y72">
        <v>0.15</v>
      </c>
      <c r="Z72">
        <v>0.3</v>
      </c>
      <c r="AA72">
        <v>3</v>
      </c>
      <c r="AB72">
        <v>2.7</v>
      </c>
      <c r="AC72">
        <v>0.28571428599999998</v>
      </c>
      <c r="AE72">
        <v>3.5</v>
      </c>
      <c r="AG72">
        <v>29.080558910000001</v>
      </c>
      <c r="AH72">
        <v>100</v>
      </c>
      <c r="AI72">
        <v>0.15</v>
      </c>
      <c r="AJ72">
        <v>1</v>
      </c>
      <c r="AK72">
        <v>0.28571428599999998</v>
      </c>
    </row>
    <row r="73" spans="1:37" hidden="1" x14ac:dyDescent="0.3">
      <c r="A73" t="s">
        <v>621</v>
      </c>
      <c r="B73" t="s">
        <v>349</v>
      </c>
      <c r="C73" t="s">
        <v>2</v>
      </c>
      <c r="D73">
        <v>3061</v>
      </c>
      <c r="E73">
        <v>20</v>
      </c>
      <c r="F73">
        <v>0</v>
      </c>
      <c r="G73">
        <v>0</v>
      </c>
      <c r="H73">
        <v>0</v>
      </c>
      <c r="I73">
        <v>0.69541805300000004</v>
      </c>
      <c r="J73">
        <v>4.5</v>
      </c>
      <c r="K73">
        <v>5.8</v>
      </c>
      <c r="L73">
        <v>0.2</v>
      </c>
      <c r="M73">
        <v>1</v>
      </c>
      <c r="N73">
        <v>0.35</v>
      </c>
      <c r="O73">
        <v>1.5</v>
      </c>
      <c r="P73">
        <v>25</v>
      </c>
      <c r="Q73">
        <v>0</v>
      </c>
      <c r="R73">
        <v>2.4</v>
      </c>
      <c r="S73">
        <v>1.98</v>
      </c>
      <c r="T73">
        <v>0</v>
      </c>
      <c r="U73">
        <v>0</v>
      </c>
      <c r="V73">
        <v>1.1418774169999999</v>
      </c>
      <c r="W73">
        <v>2</v>
      </c>
      <c r="X73">
        <v>0.25</v>
      </c>
      <c r="Y73">
        <v>0.35</v>
      </c>
      <c r="Z73">
        <v>0.3</v>
      </c>
      <c r="AA73">
        <v>2.7</v>
      </c>
      <c r="AB73">
        <v>2</v>
      </c>
      <c r="AC73">
        <v>0.33333333300000001</v>
      </c>
      <c r="AE73">
        <v>3</v>
      </c>
      <c r="AG73">
        <v>14.13729547</v>
      </c>
      <c r="AH73">
        <v>100</v>
      </c>
      <c r="AI73">
        <v>0.35</v>
      </c>
      <c r="AJ73">
        <v>0</v>
      </c>
      <c r="AK73">
        <v>0.33333333300000001</v>
      </c>
    </row>
    <row r="74" spans="1:37" hidden="1" x14ac:dyDescent="0.3">
      <c r="A74" t="s">
        <v>437</v>
      </c>
      <c r="B74" t="s">
        <v>349</v>
      </c>
      <c r="C74" t="s">
        <v>2</v>
      </c>
      <c r="D74">
        <v>5053</v>
      </c>
      <c r="E74">
        <v>20</v>
      </c>
      <c r="F74">
        <v>0</v>
      </c>
      <c r="G74">
        <v>0</v>
      </c>
      <c r="H74">
        <v>0.4</v>
      </c>
      <c r="I74">
        <v>0.4</v>
      </c>
      <c r="J74">
        <v>4.5</v>
      </c>
      <c r="K74">
        <v>5.9</v>
      </c>
      <c r="L74">
        <v>0.15</v>
      </c>
      <c r="M74">
        <v>0.3</v>
      </c>
      <c r="N74">
        <v>0.15</v>
      </c>
      <c r="O74">
        <v>1.5</v>
      </c>
      <c r="P74">
        <v>25</v>
      </c>
      <c r="S74">
        <v>2.0299999999999998</v>
      </c>
      <c r="T74">
        <v>0</v>
      </c>
      <c r="U74">
        <v>0</v>
      </c>
      <c r="V74">
        <v>0</v>
      </c>
      <c r="W74">
        <v>0</v>
      </c>
      <c r="X74">
        <v>1</v>
      </c>
      <c r="Y74">
        <v>0.15</v>
      </c>
      <c r="Z74">
        <v>0.3</v>
      </c>
      <c r="AB74">
        <v>1.74</v>
      </c>
      <c r="AE74">
        <v>4</v>
      </c>
      <c r="AH74">
        <v>100</v>
      </c>
      <c r="AJ74">
        <v>0</v>
      </c>
    </row>
    <row r="75" spans="1:37" hidden="1" x14ac:dyDescent="0.3">
      <c r="A75" t="s">
        <v>435</v>
      </c>
      <c r="B75" t="s">
        <v>349</v>
      </c>
      <c r="C75" t="s">
        <v>2</v>
      </c>
      <c r="D75">
        <v>5055</v>
      </c>
      <c r="E75">
        <v>20</v>
      </c>
      <c r="F75">
        <v>0</v>
      </c>
      <c r="G75">
        <v>0</v>
      </c>
      <c r="H75">
        <v>0.4</v>
      </c>
      <c r="I75">
        <v>0.4</v>
      </c>
      <c r="J75">
        <v>4.5</v>
      </c>
      <c r="K75">
        <v>5.9</v>
      </c>
      <c r="L75">
        <v>0.15</v>
      </c>
      <c r="M75">
        <v>0.3</v>
      </c>
      <c r="N75">
        <v>0.15</v>
      </c>
      <c r="O75">
        <v>1.5</v>
      </c>
      <c r="P75">
        <v>25</v>
      </c>
      <c r="S75">
        <v>2.0299999999999998</v>
      </c>
      <c r="T75">
        <v>0</v>
      </c>
      <c r="U75">
        <v>0</v>
      </c>
      <c r="V75">
        <v>0</v>
      </c>
      <c r="W75">
        <v>0</v>
      </c>
      <c r="X75">
        <v>1</v>
      </c>
      <c r="Y75">
        <v>0.15</v>
      </c>
      <c r="Z75">
        <v>0.3</v>
      </c>
      <c r="AB75">
        <v>1.74</v>
      </c>
      <c r="AE75">
        <v>4</v>
      </c>
      <c r="AH75">
        <v>100</v>
      </c>
      <c r="AJ75">
        <v>0</v>
      </c>
    </row>
    <row r="76" spans="1:37" hidden="1" x14ac:dyDescent="0.3">
      <c r="A76" t="s">
        <v>434</v>
      </c>
      <c r="B76" t="s">
        <v>349</v>
      </c>
      <c r="C76" t="s">
        <v>2</v>
      </c>
      <c r="D76">
        <v>5056</v>
      </c>
      <c r="E76">
        <v>20</v>
      </c>
      <c r="F76">
        <v>0</v>
      </c>
      <c r="G76">
        <v>0</v>
      </c>
      <c r="H76">
        <v>0.4</v>
      </c>
      <c r="I76">
        <v>0.4</v>
      </c>
      <c r="J76">
        <v>4.5</v>
      </c>
      <c r="K76">
        <v>5.9</v>
      </c>
      <c r="L76">
        <v>0.15</v>
      </c>
      <c r="M76">
        <v>0.3</v>
      </c>
      <c r="N76">
        <v>0.15</v>
      </c>
      <c r="O76">
        <v>1.5</v>
      </c>
      <c r="P76">
        <v>25</v>
      </c>
      <c r="S76">
        <v>2.0299999999999998</v>
      </c>
      <c r="T76">
        <v>0</v>
      </c>
      <c r="U76">
        <v>0</v>
      </c>
      <c r="V76">
        <v>0</v>
      </c>
      <c r="W76">
        <v>0</v>
      </c>
      <c r="X76">
        <v>1</v>
      </c>
      <c r="Y76">
        <v>0.15</v>
      </c>
      <c r="Z76">
        <v>0.3</v>
      </c>
      <c r="AB76">
        <v>1.74</v>
      </c>
      <c r="AE76">
        <v>4</v>
      </c>
      <c r="AH76">
        <v>100</v>
      </c>
      <c r="AJ76">
        <v>0</v>
      </c>
    </row>
    <row r="77" spans="1:37" hidden="1" x14ac:dyDescent="0.3">
      <c r="A77" t="s">
        <v>433</v>
      </c>
      <c r="B77" t="s">
        <v>349</v>
      </c>
      <c r="C77" t="s">
        <v>2</v>
      </c>
      <c r="D77">
        <v>5057</v>
      </c>
      <c r="E77">
        <v>20</v>
      </c>
      <c r="F77">
        <v>0</v>
      </c>
      <c r="G77">
        <v>0</v>
      </c>
      <c r="H77">
        <v>0.4</v>
      </c>
      <c r="I77">
        <v>0.4</v>
      </c>
      <c r="J77">
        <v>4.5</v>
      </c>
      <c r="K77">
        <v>5.9</v>
      </c>
      <c r="L77">
        <v>0.15</v>
      </c>
      <c r="M77">
        <v>0.3</v>
      </c>
      <c r="N77">
        <v>0.15</v>
      </c>
      <c r="O77">
        <v>1.5</v>
      </c>
      <c r="P77">
        <v>25</v>
      </c>
      <c r="S77">
        <v>2.0299999999999998</v>
      </c>
      <c r="T77">
        <v>0</v>
      </c>
      <c r="U77">
        <v>0</v>
      </c>
      <c r="V77">
        <v>0</v>
      </c>
      <c r="W77">
        <v>0</v>
      </c>
      <c r="X77">
        <v>1</v>
      </c>
      <c r="Y77">
        <v>0.15</v>
      </c>
      <c r="Z77">
        <v>0.3</v>
      </c>
      <c r="AB77">
        <v>1.74</v>
      </c>
      <c r="AE77">
        <v>4</v>
      </c>
      <c r="AH77">
        <v>100</v>
      </c>
      <c r="AJ77">
        <v>0</v>
      </c>
    </row>
    <row r="78" spans="1:37" hidden="1" x14ac:dyDescent="0.3">
      <c r="A78" t="s">
        <v>436</v>
      </c>
      <c r="B78" t="s">
        <v>349</v>
      </c>
      <c r="C78" t="s">
        <v>2</v>
      </c>
      <c r="D78">
        <v>5054</v>
      </c>
      <c r="E78">
        <v>20</v>
      </c>
      <c r="F78">
        <v>0</v>
      </c>
      <c r="G78">
        <v>0</v>
      </c>
      <c r="H78">
        <v>0.4</v>
      </c>
      <c r="I78">
        <v>0.4</v>
      </c>
      <c r="J78">
        <v>4.5</v>
      </c>
      <c r="K78">
        <v>5.9</v>
      </c>
      <c r="L78">
        <v>0.15</v>
      </c>
      <c r="M78">
        <v>0.3</v>
      </c>
      <c r="N78">
        <v>0.15</v>
      </c>
      <c r="O78">
        <v>1.5</v>
      </c>
      <c r="P78">
        <v>25</v>
      </c>
      <c r="S78">
        <v>2.0299999999999998</v>
      </c>
      <c r="T78">
        <v>0</v>
      </c>
      <c r="U78">
        <v>0</v>
      </c>
      <c r="V78">
        <v>0</v>
      </c>
      <c r="W78">
        <v>0</v>
      </c>
      <c r="X78">
        <v>1</v>
      </c>
      <c r="Y78">
        <v>0.15</v>
      </c>
      <c r="Z78">
        <v>0.3</v>
      </c>
      <c r="AB78">
        <v>1.74</v>
      </c>
      <c r="AE78">
        <v>4</v>
      </c>
      <c r="AH78">
        <v>100</v>
      </c>
      <c r="AJ78">
        <v>0</v>
      </c>
    </row>
    <row r="79" spans="1:37" hidden="1" x14ac:dyDescent="0.3">
      <c r="A79" t="s">
        <v>628</v>
      </c>
      <c r="B79" t="s">
        <v>349</v>
      </c>
      <c r="C79" t="s">
        <v>2</v>
      </c>
      <c r="D79">
        <v>3043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8.1</v>
      </c>
      <c r="L79">
        <v>0.2</v>
      </c>
      <c r="M79">
        <v>1</v>
      </c>
      <c r="N79">
        <v>0.6</v>
      </c>
      <c r="O79">
        <v>0</v>
      </c>
      <c r="P79">
        <v>25</v>
      </c>
      <c r="Q79">
        <v>0</v>
      </c>
      <c r="R79">
        <v>2</v>
      </c>
      <c r="S79">
        <v>2.56</v>
      </c>
      <c r="T79">
        <v>0</v>
      </c>
      <c r="U79">
        <v>0</v>
      </c>
      <c r="V79">
        <v>0.35348919000000001</v>
      </c>
      <c r="W79">
        <v>2</v>
      </c>
      <c r="X79">
        <v>0.2</v>
      </c>
      <c r="Y79">
        <v>0.6</v>
      </c>
      <c r="Z79">
        <v>0.3</v>
      </c>
      <c r="AA79">
        <v>2</v>
      </c>
      <c r="AB79">
        <v>2</v>
      </c>
      <c r="AC79">
        <v>0.4</v>
      </c>
      <c r="AE79">
        <v>2.5</v>
      </c>
      <c r="AG79">
        <v>15.295097269999999</v>
      </c>
      <c r="AH79">
        <v>100</v>
      </c>
      <c r="AI79">
        <v>0.6</v>
      </c>
      <c r="AJ79">
        <v>0</v>
      </c>
      <c r="AK79">
        <v>0.4</v>
      </c>
    </row>
    <row r="80" spans="1:37" hidden="1" x14ac:dyDescent="0.3">
      <c r="A80" t="s">
        <v>630</v>
      </c>
      <c r="B80" t="s">
        <v>349</v>
      </c>
      <c r="C80" t="s">
        <v>2</v>
      </c>
      <c r="D80">
        <v>3041</v>
      </c>
      <c r="E80">
        <v>20</v>
      </c>
      <c r="F80">
        <v>0</v>
      </c>
      <c r="G80">
        <v>0</v>
      </c>
      <c r="H80">
        <v>0</v>
      </c>
      <c r="I80">
        <v>0.34160808199999998</v>
      </c>
      <c r="J80">
        <v>4.5</v>
      </c>
      <c r="K80">
        <v>8.1</v>
      </c>
      <c r="L80">
        <v>0.2</v>
      </c>
      <c r="M80">
        <v>1</v>
      </c>
      <c r="N80">
        <v>0.4</v>
      </c>
      <c r="O80">
        <v>1.5</v>
      </c>
      <c r="P80">
        <v>25</v>
      </c>
      <c r="Q80">
        <v>0</v>
      </c>
      <c r="R80">
        <v>2</v>
      </c>
      <c r="S80">
        <v>2.56</v>
      </c>
      <c r="T80">
        <v>0</v>
      </c>
      <c r="U80">
        <v>0</v>
      </c>
      <c r="V80">
        <v>1.820092614</v>
      </c>
      <c r="W80">
        <v>2</v>
      </c>
      <c r="X80">
        <v>0.3</v>
      </c>
      <c r="Y80">
        <v>0.4</v>
      </c>
      <c r="Z80">
        <v>0.3</v>
      </c>
      <c r="AA80">
        <v>3</v>
      </c>
      <c r="AB80">
        <v>2</v>
      </c>
      <c r="AC80">
        <v>0.4</v>
      </c>
      <c r="AE80">
        <v>2.5</v>
      </c>
      <c r="AG80">
        <v>16.761700699999999</v>
      </c>
      <c r="AH80">
        <v>100</v>
      </c>
      <c r="AI80">
        <v>0.4</v>
      </c>
      <c r="AJ80">
        <v>0</v>
      </c>
      <c r="AK80">
        <v>0.4</v>
      </c>
    </row>
    <row r="81" spans="1:37" hidden="1" x14ac:dyDescent="0.3">
      <c r="A81" t="s">
        <v>681</v>
      </c>
      <c r="B81" t="s">
        <v>349</v>
      </c>
      <c r="C81" t="s">
        <v>2</v>
      </c>
      <c r="D81">
        <v>2170</v>
      </c>
      <c r="E81">
        <v>20</v>
      </c>
      <c r="F81">
        <v>0</v>
      </c>
      <c r="G81">
        <v>0</v>
      </c>
      <c r="H81">
        <v>0</v>
      </c>
      <c r="I81">
        <v>2</v>
      </c>
      <c r="J81">
        <v>10</v>
      </c>
      <c r="K81">
        <v>12</v>
      </c>
      <c r="L81">
        <v>0.45</v>
      </c>
      <c r="M81">
        <v>1</v>
      </c>
      <c r="N81">
        <v>0.6</v>
      </c>
      <c r="O81">
        <v>1.3</v>
      </c>
      <c r="P81">
        <v>20</v>
      </c>
      <c r="R81">
        <v>3</v>
      </c>
      <c r="S81">
        <v>2.5</v>
      </c>
      <c r="T81">
        <v>0</v>
      </c>
      <c r="U81">
        <v>0</v>
      </c>
      <c r="V81">
        <v>1</v>
      </c>
      <c r="W81">
        <v>2.5</v>
      </c>
      <c r="X81">
        <v>0.5</v>
      </c>
      <c r="Y81">
        <v>0.6</v>
      </c>
      <c r="Z81">
        <v>0.3</v>
      </c>
      <c r="AA81">
        <v>1</v>
      </c>
      <c r="AB81">
        <v>1</v>
      </c>
      <c r="AE81">
        <v>4</v>
      </c>
      <c r="AF81">
        <v>0</v>
      </c>
      <c r="AG81">
        <v>13</v>
      </c>
      <c r="AH81">
        <v>100</v>
      </c>
      <c r="AI81">
        <v>0.6</v>
      </c>
      <c r="AJ81">
        <v>1</v>
      </c>
    </row>
    <row r="82" spans="1:37" hidden="1" x14ac:dyDescent="0.3">
      <c r="A82" t="s">
        <v>500</v>
      </c>
      <c r="B82" t="s">
        <v>349</v>
      </c>
      <c r="C82" t="s">
        <v>2</v>
      </c>
      <c r="D82">
        <v>3099</v>
      </c>
      <c r="E82">
        <v>20</v>
      </c>
      <c r="F82">
        <v>0</v>
      </c>
      <c r="G82">
        <v>0</v>
      </c>
      <c r="H82">
        <v>0</v>
      </c>
      <c r="I82">
        <v>5.0937305000000004</v>
      </c>
      <c r="J82">
        <v>3.24</v>
      </c>
      <c r="K82">
        <v>11.9</v>
      </c>
      <c r="L82">
        <v>0.45</v>
      </c>
      <c r="M82">
        <v>1</v>
      </c>
      <c r="N82">
        <v>0.6</v>
      </c>
      <c r="O82">
        <v>1.5</v>
      </c>
      <c r="P82">
        <v>25</v>
      </c>
      <c r="Q82">
        <v>0</v>
      </c>
      <c r="R82">
        <v>3.5</v>
      </c>
      <c r="S82">
        <v>3.1749999999999998</v>
      </c>
      <c r="T82">
        <v>0</v>
      </c>
      <c r="U82">
        <v>0</v>
      </c>
      <c r="V82">
        <v>6.1176460000000002E-2</v>
      </c>
      <c r="W82">
        <v>2</v>
      </c>
      <c r="X82">
        <v>0.5</v>
      </c>
      <c r="Y82">
        <v>0.6</v>
      </c>
      <c r="Z82">
        <v>0.3</v>
      </c>
      <c r="AA82">
        <v>1</v>
      </c>
      <c r="AB82">
        <v>2</v>
      </c>
      <c r="AC82">
        <v>0.25</v>
      </c>
      <c r="AE82">
        <v>4</v>
      </c>
      <c r="AG82">
        <v>22.294906959999999</v>
      </c>
      <c r="AH82">
        <v>100</v>
      </c>
      <c r="AI82">
        <v>0.6</v>
      </c>
      <c r="AJ82">
        <v>1</v>
      </c>
      <c r="AK82">
        <v>0.25</v>
      </c>
    </row>
    <row r="83" spans="1:37" hidden="1" x14ac:dyDescent="0.3">
      <c r="A83" t="s">
        <v>648</v>
      </c>
      <c r="B83" t="s">
        <v>349</v>
      </c>
      <c r="C83" t="s">
        <v>2</v>
      </c>
      <c r="D83">
        <v>3019</v>
      </c>
      <c r="E83">
        <v>20</v>
      </c>
      <c r="F83">
        <v>0</v>
      </c>
      <c r="G83">
        <v>0</v>
      </c>
      <c r="H83">
        <v>0</v>
      </c>
      <c r="I83">
        <v>0.34160808199999998</v>
      </c>
      <c r="J83">
        <v>4.5</v>
      </c>
      <c r="K83">
        <v>12.8</v>
      </c>
      <c r="L83">
        <v>0.25</v>
      </c>
      <c r="M83">
        <v>1</v>
      </c>
      <c r="N83">
        <v>0.25</v>
      </c>
      <c r="O83">
        <v>0</v>
      </c>
      <c r="P83">
        <v>25</v>
      </c>
      <c r="Q83">
        <v>0</v>
      </c>
      <c r="R83">
        <v>2</v>
      </c>
      <c r="S83">
        <v>3.2549999999999999</v>
      </c>
      <c r="T83">
        <v>0</v>
      </c>
      <c r="U83">
        <v>0</v>
      </c>
      <c r="V83">
        <v>0.35348919000000001</v>
      </c>
      <c r="W83">
        <v>3</v>
      </c>
      <c r="X83">
        <v>0.35</v>
      </c>
      <c r="Y83">
        <v>0.25</v>
      </c>
      <c r="Z83">
        <v>0.3</v>
      </c>
      <c r="AA83">
        <v>2</v>
      </c>
      <c r="AB83">
        <v>3</v>
      </c>
      <c r="AC83">
        <v>0.4</v>
      </c>
      <c r="AE83">
        <v>2.5</v>
      </c>
      <c r="AG83">
        <v>20.995097269999999</v>
      </c>
      <c r="AH83">
        <v>100</v>
      </c>
      <c r="AI83">
        <v>0.25</v>
      </c>
      <c r="AJ83">
        <v>0</v>
      </c>
      <c r="AK83">
        <v>0.4</v>
      </c>
    </row>
    <row r="84" spans="1:37" hidden="1" x14ac:dyDescent="0.3">
      <c r="A84" t="s">
        <v>649</v>
      </c>
      <c r="B84" t="s">
        <v>349</v>
      </c>
      <c r="C84" t="s">
        <v>2</v>
      </c>
      <c r="D84">
        <v>3018</v>
      </c>
      <c r="E84">
        <v>20</v>
      </c>
      <c r="F84">
        <v>0</v>
      </c>
      <c r="G84">
        <v>0</v>
      </c>
      <c r="H84">
        <v>0</v>
      </c>
      <c r="I84">
        <v>1.8178351880000001</v>
      </c>
      <c r="J84">
        <v>4.5</v>
      </c>
      <c r="K84">
        <v>7.6</v>
      </c>
      <c r="L84">
        <v>0.25</v>
      </c>
      <c r="M84">
        <v>1</v>
      </c>
      <c r="N84">
        <v>0.2</v>
      </c>
      <c r="O84">
        <v>1.5</v>
      </c>
      <c r="P84">
        <v>25</v>
      </c>
      <c r="Q84">
        <v>0</v>
      </c>
      <c r="R84">
        <v>3</v>
      </c>
      <c r="S84">
        <v>2.4500000000000002</v>
      </c>
      <c r="T84">
        <v>0</v>
      </c>
      <c r="U84">
        <v>0</v>
      </c>
      <c r="V84">
        <v>3.6112102400000001</v>
      </c>
      <c r="W84">
        <v>2.5</v>
      </c>
      <c r="X84">
        <v>0.15</v>
      </c>
      <c r="Y84">
        <v>0.2</v>
      </c>
      <c r="Z84">
        <v>0.3</v>
      </c>
      <c r="AA84">
        <v>3.25</v>
      </c>
      <c r="AB84">
        <v>2.5</v>
      </c>
      <c r="AC84">
        <v>0.4</v>
      </c>
      <c r="AE84">
        <v>2.5</v>
      </c>
      <c r="AG84">
        <v>20.02904543</v>
      </c>
      <c r="AH84">
        <v>100</v>
      </c>
      <c r="AI84">
        <v>0.2</v>
      </c>
      <c r="AJ84">
        <v>0</v>
      </c>
      <c r="AK84">
        <v>0.4</v>
      </c>
    </row>
    <row r="85" spans="1:37" hidden="1" x14ac:dyDescent="0.3">
      <c r="A85" t="s">
        <v>689</v>
      </c>
      <c r="B85" t="s">
        <v>349</v>
      </c>
      <c r="C85" t="s">
        <v>2</v>
      </c>
      <c r="D85">
        <v>2114</v>
      </c>
      <c r="E85">
        <v>25</v>
      </c>
      <c r="F85">
        <v>0.92</v>
      </c>
      <c r="G85">
        <v>0</v>
      </c>
      <c r="H85">
        <v>1.7</v>
      </c>
      <c r="I85">
        <v>2.62</v>
      </c>
      <c r="J85">
        <v>3.5</v>
      </c>
      <c r="K85">
        <v>14.5</v>
      </c>
      <c r="L85">
        <v>0.1</v>
      </c>
      <c r="M85">
        <v>1</v>
      </c>
      <c r="N85">
        <v>0.17</v>
      </c>
      <c r="O85">
        <v>1.3</v>
      </c>
      <c r="P85">
        <v>25</v>
      </c>
      <c r="Q85">
        <v>61</v>
      </c>
      <c r="R85">
        <v>3</v>
      </c>
      <c r="S85">
        <v>3.4</v>
      </c>
      <c r="T85">
        <v>0.7</v>
      </c>
      <c r="U85">
        <v>0</v>
      </c>
      <c r="V85">
        <v>4.9000000000000004</v>
      </c>
      <c r="W85">
        <v>1.9</v>
      </c>
      <c r="X85">
        <v>0.2</v>
      </c>
      <c r="Y85">
        <v>0.17</v>
      </c>
      <c r="Z85">
        <v>0.3</v>
      </c>
      <c r="AA85">
        <v>3.3</v>
      </c>
      <c r="AB85">
        <v>2.9</v>
      </c>
      <c r="AE85">
        <v>3.5</v>
      </c>
      <c r="AF85">
        <v>3.32</v>
      </c>
      <c r="AG85">
        <v>27.42</v>
      </c>
      <c r="AH85">
        <v>100</v>
      </c>
      <c r="AI85">
        <v>0.17</v>
      </c>
      <c r="AJ85">
        <v>1</v>
      </c>
    </row>
    <row r="86" spans="1:37" hidden="1" x14ac:dyDescent="0.3">
      <c r="A86" t="s">
        <v>421</v>
      </c>
      <c r="B86" t="s">
        <v>349</v>
      </c>
      <c r="C86" t="s">
        <v>2</v>
      </c>
      <c r="D86">
        <v>6101</v>
      </c>
      <c r="E86">
        <v>30</v>
      </c>
      <c r="F86">
        <v>0</v>
      </c>
      <c r="G86">
        <v>0</v>
      </c>
      <c r="H86">
        <v>1</v>
      </c>
      <c r="I86">
        <v>5</v>
      </c>
      <c r="J86">
        <v>4.5</v>
      </c>
      <c r="K86">
        <v>11</v>
      </c>
      <c r="L86">
        <v>0.1</v>
      </c>
      <c r="M86">
        <v>1</v>
      </c>
      <c r="N86">
        <v>0.2</v>
      </c>
      <c r="O86">
        <v>0.5</v>
      </c>
      <c r="P86">
        <v>20</v>
      </c>
      <c r="S86">
        <v>3</v>
      </c>
      <c r="T86">
        <v>0</v>
      </c>
      <c r="U86">
        <v>0.5</v>
      </c>
      <c r="V86">
        <v>2</v>
      </c>
      <c r="W86">
        <v>3</v>
      </c>
      <c r="X86">
        <v>0.12</v>
      </c>
      <c r="Y86">
        <v>0.1</v>
      </c>
      <c r="Z86">
        <v>0.3</v>
      </c>
      <c r="AB86">
        <v>3</v>
      </c>
      <c r="AE86">
        <v>3</v>
      </c>
      <c r="AH86">
        <v>100</v>
      </c>
      <c r="AJ86">
        <v>1</v>
      </c>
    </row>
    <row r="87" spans="1:37" hidden="1" x14ac:dyDescent="0.3">
      <c r="A87" t="s">
        <v>420</v>
      </c>
      <c r="B87" t="s">
        <v>349</v>
      </c>
      <c r="C87" t="s">
        <v>2</v>
      </c>
      <c r="D87">
        <v>6102</v>
      </c>
      <c r="E87">
        <v>30</v>
      </c>
      <c r="F87">
        <v>0</v>
      </c>
      <c r="G87">
        <v>0</v>
      </c>
      <c r="H87">
        <v>2</v>
      </c>
      <c r="I87">
        <v>5</v>
      </c>
      <c r="J87">
        <v>4.5</v>
      </c>
      <c r="K87">
        <v>11</v>
      </c>
      <c r="L87">
        <v>0.1</v>
      </c>
      <c r="M87">
        <v>1</v>
      </c>
      <c r="N87">
        <v>0.2</v>
      </c>
      <c r="O87">
        <v>0.5</v>
      </c>
      <c r="P87">
        <v>25</v>
      </c>
      <c r="S87">
        <v>3.5</v>
      </c>
      <c r="T87">
        <v>0</v>
      </c>
      <c r="U87">
        <v>0.5</v>
      </c>
      <c r="V87">
        <v>2.5</v>
      </c>
      <c r="W87">
        <v>3</v>
      </c>
      <c r="X87">
        <v>0.15</v>
      </c>
      <c r="Y87">
        <v>0.1</v>
      </c>
      <c r="Z87">
        <v>0.3</v>
      </c>
      <c r="AB87">
        <v>3</v>
      </c>
      <c r="AE87">
        <v>3</v>
      </c>
      <c r="AH87">
        <v>100</v>
      </c>
      <c r="AJ87">
        <v>1</v>
      </c>
    </row>
    <row r="88" spans="1:37" hidden="1" x14ac:dyDescent="0.3">
      <c r="A88" t="s">
        <v>419</v>
      </c>
      <c r="B88" t="s">
        <v>349</v>
      </c>
      <c r="C88" t="s">
        <v>2</v>
      </c>
      <c r="D88">
        <v>6103</v>
      </c>
      <c r="E88">
        <v>30</v>
      </c>
      <c r="F88">
        <v>0</v>
      </c>
      <c r="G88">
        <v>0</v>
      </c>
      <c r="H88">
        <v>2</v>
      </c>
      <c r="I88">
        <v>5</v>
      </c>
      <c r="J88">
        <v>4.5</v>
      </c>
      <c r="K88">
        <v>11</v>
      </c>
      <c r="L88">
        <v>0.1</v>
      </c>
      <c r="M88">
        <v>1</v>
      </c>
      <c r="N88">
        <v>0.2</v>
      </c>
      <c r="O88">
        <v>1.8</v>
      </c>
      <c r="P88">
        <v>30</v>
      </c>
      <c r="S88">
        <v>3.5</v>
      </c>
      <c r="T88">
        <v>0</v>
      </c>
      <c r="U88">
        <v>0.75</v>
      </c>
      <c r="V88">
        <v>3</v>
      </c>
      <c r="W88">
        <v>4</v>
      </c>
      <c r="X88">
        <v>0.16</v>
      </c>
      <c r="Y88">
        <v>0.2</v>
      </c>
      <c r="Z88">
        <v>0.3</v>
      </c>
      <c r="AB88">
        <v>3</v>
      </c>
      <c r="AE88">
        <v>3.4</v>
      </c>
      <c r="AH88">
        <v>100</v>
      </c>
      <c r="AJ88">
        <v>1</v>
      </c>
    </row>
    <row r="89" spans="1:37" hidden="1" x14ac:dyDescent="0.3">
      <c r="A89" t="s">
        <v>640</v>
      </c>
      <c r="B89" t="s">
        <v>349</v>
      </c>
      <c r="C89" t="s">
        <v>2</v>
      </c>
      <c r="D89">
        <v>3027</v>
      </c>
      <c r="E89">
        <v>12</v>
      </c>
      <c r="F89">
        <v>0</v>
      </c>
      <c r="G89">
        <v>0</v>
      </c>
      <c r="H89">
        <v>0</v>
      </c>
      <c r="I89">
        <v>1.8178351880000001</v>
      </c>
      <c r="J89">
        <v>1</v>
      </c>
      <c r="K89">
        <v>3.8</v>
      </c>
      <c r="L89">
        <v>0.05</v>
      </c>
      <c r="M89">
        <v>1</v>
      </c>
      <c r="N89">
        <v>0.3</v>
      </c>
      <c r="O89">
        <v>0</v>
      </c>
      <c r="P89">
        <v>25</v>
      </c>
      <c r="Q89">
        <v>25</v>
      </c>
      <c r="R89">
        <v>3</v>
      </c>
      <c r="S89">
        <v>1.39</v>
      </c>
      <c r="T89">
        <v>0</v>
      </c>
      <c r="U89">
        <v>0</v>
      </c>
      <c r="V89">
        <v>6.1176460000000002E-2</v>
      </c>
      <c r="W89">
        <v>2</v>
      </c>
      <c r="X89">
        <v>0.25</v>
      </c>
      <c r="Y89">
        <v>0.3</v>
      </c>
      <c r="Z89">
        <v>0.3</v>
      </c>
      <c r="AA89">
        <v>1</v>
      </c>
      <c r="AB89">
        <v>2</v>
      </c>
      <c r="AC89">
        <v>0.5</v>
      </c>
      <c r="AE89">
        <v>2</v>
      </c>
      <c r="AG89">
        <v>8.6790116489999996</v>
      </c>
      <c r="AH89">
        <v>100</v>
      </c>
      <c r="AI89">
        <v>0.3</v>
      </c>
      <c r="AJ89">
        <v>0</v>
      </c>
      <c r="AK89">
        <v>0.5</v>
      </c>
    </row>
    <row r="90" spans="1:37" hidden="1" x14ac:dyDescent="0.3">
      <c r="A90" t="s">
        <v>416</v>
      </c>
      <c r="B90" t="s">
        <v>349</v>
      </c>
      <c r="C90" t="s">
        <v>2</v>
      </c>
      <c r="D90">
        <v>6106</v>
      </c>
      <c r="E90">
        <v>20</v>
      </c>
      <c r="F90">
        <v>0</v>
      </c>
      <c r="G90">
        <v>0</v>
      </c>
      <c r="H90">
        <v>0.9</v>
      </c>
      <c r="I90">
        <v>5</v>
      </c>
      <c r="J90">
        <v>4.5</v>
      </c>
      <c r="K90">
        <v>10.8</v>
      </c>
      <c r="L90">
        <v>0.1</v>
      </c>
      <c r="M90">
        <v>1</v>
      </c>
      <c r="N90">
        <v>0.2</v>
      </c>
      <c r="O90">
        <v>0.5</v>
      </c>
      <c r="P90">
        <v>20</v>
      </c>
      <c r="S90">
        <v>2.7</v>
      </c>
      <c r="T90">
        <v>0</v>
      </c>
      <c r="U90">
        <v>0.5</v>
      </c>
      <c r="V90">
        <v>1.8</v>
      </c>
      <c r="W90">
        <v>2.7</v>
      </c>
      <c r="X90">
        <v>0.2</v>
      </c>
      <c r="Y90">
        <v>0.15</v>
      </c>
      <c r="Z90">
        <v>0.3</v>
      </c>
      <c r="AB90">
        <v>2.7</v>
      </c>
      <c r="AE90">
        <v>3</v>
      </c>
      <c r="AH90">
        <v>100</v>
      </c>
      <c r="AJ90">
        <v>0</v>
      </c>
    </row>
    <row r="91" spans="1:37" hidden="1" x14ac:dyDescent="0.3">
      <c r="A91" t="s">
        <v>364</v>
      </c>
      <c r="B91" t="s">
        <v>349</v>
      </c>
      <c r="C91" t="s">
        <v>2</v>
      </c>
      <c r="D91">
        <v>7105</v>
      </c>
      <c r="E91">
        <v>20</v>
      </c>
      <c r="F91">
        <v>0</v>
      </c>
      <c r="G91">
        <v>0</v>
      </c>
      <c r="H91">
        <v>0</v>
      </c>
      <c r="I91">
        <v>5</v>
      </c>
      <c r="J91">
        <v>4.5</v>
      </c>
      <c r="K91">
        <v>11</v>
      </c>
      <c r="L91">
        <v>0.25</v>
      </c>
      <c r="M91">
        <v>0</v>
      </c>
      <c r="N91">
        <v>0.2</v>
      </c>
      <c r="O91">
        <v>1.5</v>
      </c>
      <c r="P91">
        <v>25</v>
      </c>
      <c r="S91">
        <v>3.5</v>
      </c>
      <c r="T91">
        <v>0</v>
      </c>
      <c r="U91">
        <v>0</v>
      </c>
      <c r="V91">
        <v>6</v>
      </c>
      <c r="W91">
        <v>0</v>
      </c>
      <c r="X91">
        <v>0.15</v>
      </c>
      <c r="Y91">
        <v>0.2</v>
      </c>
      <c r="Z91">
        <v>0.3</v>
      </c>
      <c r="AB91">
        <v>3</v>
      </c>
      <c r="AE91">
        <v>3</v>
      </c>
      <c r="AH91">
        <v>100</v>
      </c>
      <c r="AJ91">
        <v>1</v>
      </c>
    </row>
    <row r="92" spans="1:37" hidden="1" x14ac:dyDescent="0.3">
      <c r="A92" t="s">
        <v>417</v>
      </c>
      <c r="B92" t="s">
        <v>349</v>
      </c>
      <c r="C92" t="s">
        <v>2</v>
      </c>
      <c r="D92">
        <v>6105</v>
      </c>
      <c r="E92">
        <v>20</v>
      </c>
      <c r="F92">
        <v>0</v>
      </c>
      <c r="G92">
        <v>0</v>
      </c>
      <c r="H92">
        <v>0.9</v>
      </c>
      <c r="I92">
        <v>2</v>
      </c>
      <c r="J92">
        <v>4.5</v>
      </c>
      <c r="K92">
        <v>10.8</v>
      </c>
      <c r="L92">
        <v>0.1</v>
      </c>
      <c r="M92">
        <v>1</v>
      </c>
      <c r="N92">
        <v>0.2</v>
      </c>
      <c r="O92">
        <v>0.5</v>
      </c>
      <c r="P92">
        <v>20</v>
      </c>
      <c r="S92">
        <v>2.7</v>
      </c>
      <c r="T92">
        <v>0</v>
      </c>
      <c r="U92">
        <v>0.5</v>
      </c>
      <c r="V92">
        <v>1.8</v>
      </c>
      <c r="W92">
        <v>2.7</v>
      </c>
      <c r="X92">
        <v>0.12</v>
      </c>
      <c r="Y92">
        <v>0.1</v>
      </c>
      <c r="Z92">
        <v>0.3</v>
      </c>
      <c r="AB92">
        <v>2.7</v>
      </c>
      <c r="AE92">
        <v>3</v>
      </c>
      <c r="AH92">
        <v>100</v>
      </c>
      <c r="AJ92">
        <v>0</v>
      </c>
    </row>
    <row r="93" spans="1:37" hidden="1" x14ac:dyDescent="0.3">
      <c r="A93" t="s">
        <v>697</v>
      </c>
      <c r="B93" t="s">
        <v>349</v>
      </c>
      <c r="C93" t="s">
        <v>2</v>
      </c>
      <c r="D93">
        <v>2103</v>
      </c>
      <c r="E93">
        <v>25</v>
      </c>
      <c r="F93">
        <v>0.55000000000000004</v>
      </c>
      <c r="G93">
        <v>0</v>
      </c>
      <c r="H93">
        <v>0.5</v>
      </c>
      <c r="I93">
        <v>1.45</v>
      </c>
      <c r="J93">
        <v>2.2999999999999998</v>
      </c>
      <c r="K93">
        <v>5.5</v>
      </c>
      <c r="L93">
        <v>0.1</v>
      </c>
      <c r="M93">
        <v>1</v>
      </c>
      <c r="N93">
        <v>0.25</v>
      </c>
      <c r="O93">
        <v>1.3</v>
      </c>
      <c r="P93">
        <v>25</v>
      </c>
      <c r="Q93">
        <v>38</v>
      </c>
      <c r="R93">
        <v>2</v>
      </c>
      <c r="S93">
        <v>2.1</v>
      </c>
      <c r="T93">
        <v>0.1</v>
      </c>
      <c r="U93">
        <v>0</v>
      </c>
      <c r="V93">
        <v>1</v>
      </c>
      <c r="W93">
        <v>0.5</v>
      </c>
      <c r="X93">
        <v>0.2</v>
      </c>
      <c r="Y93">
        <v>0.25</v>
      </c>
      <c r="Z93">
        <v>0.3</v>
      </c>
      <c r="AA93">
        <v>2.6</v>
      </c>
      <c r="AB93">
        <v>1.8</v>
      </c>
      <c r="AE93">
        <v>2.5</v>
      </c>
      <c r="AF93">
        <v>1.1499999999999999</v>
      </c>
      <c r="AG93">
        <v>10.75</v>
      </c>
      <c r="AH93">
        <v>100</v>
      </c>
      <c r="AI93">
        <v>0.25</v>
      </c>
      <c r="AJ93">
        <v>0</v>
      </c>
    </row>
    <row r="94" spans="1:37" hidden="1" x14ac:dyDescent="0.3">
      <c r="A94" t="s">
        <v>476</v>
      </c>
      <c r="B94" t="s">
        <v>349</v>
      </c>
      <c r="C94" t="s">
        <v>2</v>
      </c>
      <c r="D94">
        <v>5013</v>
      </c>
      <c r="E94">
        <v>20</v>
      </c>
      <c r="F94">
        <v>0</v>
      </c>
      <c r="G94">
        <v>0</v>
      </c>
      <c r="H94">
        <v>0.4</v>
      </c>
      <c r="I94">
        <v>0.4</v>
      </c>
      <c r="J94">
        <v>4.5</v>
      </c>
      <c r="K94">
        <v>5.9</v>
      </c>
      <c r="L94">
        <v>0.15</v>
      </c>
      <c r="M94">
        <v>0.3</v>
      </c>
      <c r="N94">
        <v>0.15</v>
      </c>
      <c r="O94">
        <v>1.5</v>
      </c>
      <c r="P94">
        <v>25</v>
      </c>
      <c r="S94">
        <v>2.0299999999999998</v>
      </c>
      <c r="T94">
        <v>0</v>
      </c>
      <c r="U94">
        <v>0</v>
      </c>
      <c r="V94">
        <v>0</v>
      </c>
      <c r="W94">
        <v>0</v>
      </c>
      <c r="X94">
        <v>1</v>
      </c>
      <c r="Y94">
        <v>0.15</v>
      </c>
      <c r="Z94">
        <v>0.3</v>
      </c>
      <c r="AB94">
        <v>1.74</v>
      </c>
      <c r="AE94">
        <v>4</v>
      </c>
      <c r="AH94">
        <v>100</v>
      </c>
      <c r="AJ94">
        <v>0</v>
      </c>
    </row>
    <row r="95" spans="1:37" hidden="1" x14ac:dyDescent="0.3">
      <c r="A95" t="s">
        <v>413</v>
      </c>
      <c r="B95" t="s">
        <v>349</v>
      </c>
      <c r="C95" t="s">
        <v>2</v>
      </c>
      <c r="D95">
        <v>6150</v>
      </c>
      <c r="E95">
        <v>20</v>
      </c>
      <c r="F95">
        <v>0</v>
      </c>
      <c r="G95">
        <v>0</v>
      </c>
      <c r="H95">
        <v>0.5</v>
      </c>
      <c r="I95">
        <v>2</v>
      </c>
      <c r="J95">
        <v>4.5</v>
      </c>
      <c r="K95">
        <v>11</v>
      </c>
      <c r="L95">
        <v>0.1</v>
      </c>
      <c r="M95">
        <v>0.3</v>
      </c>
      <c r="N95">
        <v>0.3</v>
      </c>
      <c r="O95">
        <v>1.5</v>
      </c>
      <c r="P95">
        <v>20</v>
      </c>
      <c r="S95">
        <v>2.5</v>
      </c>
      <c r="T95">
        <v>0</v>
      </c>
      <c r="U95">
        <v>0.25</v>
      </c>
      <c r="V95">
        <v>1</v>
      </c>
      <c r="W95">
        <v>2.5</v>
      </c>
      <c r="X95">
        <v>0.12</v>
      </c>
      <c r="Y95">
        <v>0.1</v>
      </c>
      <c r="Z95">
        <v>0.3</v>
      </c>
      <c r="AB95">
        <v>1</v>
      </c>
      <c r="AE95">
        <v>4.5</v>
      </c>
      <c r="AH95">
        <v>100</v>
      </c>
      <c r="AJ95">
        <v>1</v>
      </c>
    </row>
    <row r="96" spans="1:37" hidden="1" x14ac:dyDescent="0.3">
      <c r="A96" t="s">
        <v>351</v>
      </c>
      <c r="B96" t="s">
        <v>349</v>
      </c>
      <c r="C96" t="s">
        <v>2</v>
      </c>
      <c r="D96">
        <v>7160</v>
      </c>
      <c r="E96">
        <v>20</v>
      </c>
      <c r="F96">
        <v>0</v>
      </c>
      <c r="G96">
        <v>0</v>
      </c>
      <c r="H96">
        <v>0</v>
      </c>
      <c r="I96">
        <v>0</v>
      </c>
      <c r="J96">
        <v>0</v>
      </c>
      <c r="K96">
        <v>11</v>
      </c>
      <c r="L96">
        <v>0</v>
      </c>
      <c r="M96">
        <v>0</v>
      </c>
      <c r="N96">
        <v>0.6</v>
      </c>
      <c r="O96">
        <v>1.5</v>
      </c>
      <c r="P96">
        <v>20</v>
      </c>
      <c r="S96">
        <v>3.2</v>
      </c>
      <c r="T96">
        <v>0</v>
      </c>
      <c r="U96">
        <v>0</v>
      </c>
      <c r="V96">
        <v>0</v>
      </c>
      <c r="W96">
        <v>0</v>
      </c>
      <c r="X96">
        <v>0</v>
      </c>
      <c r="Y96">
        <v>0.2</v>
      </c>
      <c r="Z96">
        <v>0.3</v>
      </c>
      <c r="AB96">
        <v>2.8</v>
      </c>
      <c r="AE96">
        <v>4</v>
      </c>
      <c r="AH96">
        <v>100</v>
      </c>
      <c r="AJ96">
        <v>1</v>
      </c>
    </row>
    <row r="97" spans="1:37" hidden="1" x14ac:dyDescent="0.3">
      <c r="A97" t="s">
        <v>350</v>
      </c>
      <c r="B97" t="s">
        <v>349</v>
      </c>
      <c r="C97" t="s">
        <v>2</v>
      </c>
      <c r="D97">
        <v>7161</v>
      </c>
      <c r="E97">
        <v>20</v>
      </c>
      <c r="F97">
        <v>0</v>
      </c>
      <c r="G97">
        <v>0</v>
      </c>
      <c r="H97">
        <v>0</v>
      </c>
      <c r="I97">
        <v>0</v>
      </c>
      <c r="J97">
        <v>0</v>
      </c>
      <c r="K97">
        <v>11</v>
      </c>
      <c r="L97">
        <v>0</v>
      </c>
      <c r="M97">
        <v>0</v>
      </c>
      <c r="N97">
        <v>0.6</v>
      </c>
      <c r="O97">
        <v>1.5</v>
      </c>
      <c r="P97">
        <v>20</v>
      </c>
      <c r="S97">
        <v>2.2000000000000002</v>
      </c>
      <c r="T97">
        <v>0</v>
      </c>
      <c r="U97">
        <v>0</v>
      </c>
      <c r="V97">
        <v>0</v>
      </c>
      <c r="W97">
        <v>0</v>
      </c>
      <c r="X97">
        <v>0</v>
      </c>
      <c r="Y97">
        <v>0.2</v>
      </c>
      <c r="Z97">
        <v>0.3</v>
      </c>
      <c r="AB97">
        <v>1.9</v>
      </c>
      <c r="AE97">
        <v>3.5</v>
      </c>
      <c r="AH97">
        <v>100</v>
      </c>
      <c r="AJ97">
        <v>1</v>
      </c>
    </row>
    <row r="98" spans="1:37" hidden="1" x14ac:dyDescent="0.3">
      <c r="A98" t="s">
        <v>468</v>
      </c>
      <c r="B98" t="s">
        <v>349</v>
      </c>
      <c r="C98" t="s">
        <v>2</v>
      </c>
      <c r="D98">
        <v>5021</v>
      </c>
      <c r="E98">
        <v>20</v>
      </c>
      <c r="F98">
        <v>0</v>
      </c>
      <c r="G98">
        <v>0</v>
      </c>
      <c r="H98">
        <v>0.7</v>
      </c>
      <c r="I98">
        <v>4.0999999999999996</v>
      </c>
      <c r="J98">
        <v>4.5</v>
      </c>
      <c r="K98">
        <v>11</v>
      </c>
      <c r="L98">
        <v>0.3</v>
      </c>
      <c r="M98">
        <v>0.3</v>
      </c>
      <c r="N98">
        <v>0.3</v>
      </c>
      <c r="O98">
        <v>1.5</v>
      </c>
      <c r="P98">
        <v>25</v>
      </c>
      <c r="S98">
        <v>3.41</v>
      </c>
      <c r="T98">
        <v>0</v>
      </c>
      <c r="U98">
        <v>0</v>
      </c>
      <c r="V98">
        <v>3</v>
      </c>
      <c r="W98">
        <v>0</v>
      </c>
      <c r="X98">
        <v>0.3</v>
      </c>
      <c r="Y98">
        <v>0.3</v>
      </c>
      <c r="Z98">
        <v>0.3</v>
      </c>
      <c r="AB98">
        <v>2.92</v>
      </c>
      <c r="AE98">
        <v>3</v>
      </c>
      <c r="AH98">
        <v>100</v>
      </c>
      <c r="AJ98">
        <v>0</v>
      </c>
    </row>
    <row r="99" spans="1:37" hidden="1" x14ac:dyDescent="0.3">
      <c r="A99" t="s">
        <v>353</v>
      </c>
      <c r="B99" t="s">
        <v>349</v>
      </c>
      <c r="C99" t="s">
        <v>2</v>
      </c>
      <c r="D99">
        <v>3014</v>
      </c>
      <c r="E99">
        <v>0</v>
      </c>
      <c r="F99">
        <v>0</v>
      </c>
      <c r="G99">
        <v>0</v>
      </c>
      <c r="H99">
        <v>0</v>
      </c>
      <c r="I99">
        <v>7.9218150000000005E-3</v>
      </c>
      <c r="J99">
        <v>0</v>
      </c>
      <c r="K99">
        <v>7.1</v>
      </c>
      <c r="L99">
        <v>0</v>
      </c>
      <c r="M99">
        <v>0</v>
      </c>
      <c r="N99">
        <v>0.2</v>
      </c>
      <c r="O99">
        <v>1.3</v>
      </c>
      <c r="P99">
        <v>25</v>
      </c>
      <c r="Q99">
        <v>0</v>
      </c>
      <c r="R99">
        <v>0</v>
      </c>
      <c r="S99">
        <v>2.3199999999999998</v>
      </c>
      <c r="T99">
        <v>0</v>
      </c>
      <c r="U99">
        <v>0</v>
      </c>
      <c r="V99">
        <v>4.5446233759999997</v>
      </c>
      <c r="W99">
        <v>2</v>
      </c>
      <c r="X99">
        <v>0.25</v>
      </c>
      <c r="Y99">
        <v>0.2</v>
      </c>
      <c r="Z99">
        <v>0.3</v>
      </c>
      <c r="AA99">
        <v>3.35</v>
      </c>
      <c r="AB99">
        <v>2</v>
      </c>
      <c r="AC99">
        <v>0.4</v>
      </c>
      <c r="AE99">
        <v>2.5</v>
      </c>
      <c r="AG99">
        <v>13.65254519</v>
      </c>
      <c r="AH99">
        <v>100</v>
      </c>
      <c r="AI99">
        <v>0.2</v>
      </c>
      <c r="AJ99">
        <v>0</v>
      </c>
      <c r="AK99">
        <v>0.4</v>
      </c>
    </row>
    <row r="100" spans="1:37" hidden="1" x14ac:dyDescent="0.3">
      <c r="A100" t="s">
        <v>632</v>
      </c>
      <c r="B100" t="s">
        <v>349</v>
      </c>
      <c r="C100" t="s">
        <v>2</v>
      </c>
      <c r="D100">
        <v>3039</v>
      </c>
      <c r="E100">
        <v>0</v>
      </c>
      <c r="F100">
        <v>0</v>
      </c>
      <c r="G100">
        <v>0</v>
      </c>
      <c r="H100">
        <v>0</v>
      </c>
      <c r="I100">
        <v>7.7188683999999994E-2</v>
      </c>
      <c r="J100">
        <v>0</v>
      </c>
      <c r="K100">
        <v>8.1</v>
      </c>
      <c r="L100">
        <v>0.15</v>
      </c>
      <c r="M100">
        <v>0</v>
      </c>
      <c r="N100">
        <v>0.6</v>
      </c>
      <c r="O100">
        <v>0</v>
      </c>
      <c r="P100">
        <v>25</v>
      </c>
      <c r="Q100">
        <v>0</v>
      </c>
      <c r="R100">
        <v>1.2</v>
      </c>
      <c r="S100">
        <v>2.56</v>
      </c>
      <c r="T100">
        <v>0</v>
      </c>
      <c r="U100">
        <v>0</v>
      </c>
      <c r="V100">
        <v>0.35348919000000001</v>
      </c>
      <c r="W100">
        <v>2</v>
      </c>
      <c r="X100">
        <v>0.2</v>
      </c>
      <c r="Y100">
        <v>0.6</v>
      </c>
      <c r="Z100">
        <v>0.3</v>
      </c>
      <c r="AA100">
        <v>2</v>
      </c>
      <c r="AB100">
        <v>2</v>
      </c>
      <c r="AC100">
        <v>0.5</v>
      </c>
      <c r="AE100">
        <v>2</v>
      </c>
      <c r="AG100">
        <v>10.53067787</v>
      </c>
      <c r="AH100">
        <v>100</v>
      </c>
      <c r="AI100">
        <v>0.6</v>
      </c>
      <c r="AJ100">
        <v>0</v>
      </c>
      <c r="AK100">
        <v>0.5</v>
      </c>
    </row>
    <row r="101" spans="1:37" hidden="1" x14ac:dyDescent="0.3">
      <c r="A101" t="s">
        <v>631</v>
      </c>
      <c r="B101" t="s">
        <v>349</v>
      </c>
      <c r="C101" t="s">
        <v>2</v>
      </c>
      <c r="D101">
        <v>3040</v>
      </c>
      <c r="E101">
        <v>40</v>
      </c>
      <c r="F101">
        <v>0</v>
      </c>
      <c r="G101">
        <v>0</v>
      </c>
      <c r="H101">
        <v>0</v>
      </c>
      <c r="I101">
        <v>5.0937305000000004</v>
      </c>
      <c r="J101">
        <v>8</v>
      </c>
      <c r="K101">
        <v>15.8</v>
      </c>
      <c r="L101">
        <v>0.15</v>
      </c>
      <c r="M101">
        <v>1</v>
      </c>
      <c r="N101">
        <v>0.6</v>
      </c>
      <c r="O101">
        <v>1.5</v>
      </c>
      <c r="P101">
        <v>25</v>
      </c>
      <c r="Q101">
        <v>0</v>
      </c>
      <c r="R101">
        <v>3.5</v>
      </c>
      <c r="S101">
        <v>3.4950000000000001</v>
      </c>
      <c r="T101">
        <v>0</v>
      </c>
      <c r="U101">
        <v>0</v>
      </c>
      <c r="V101">
        <v>1.820092614</v>
      </c>
      <c r="W101">
        <v>0</v>
      </c>
      <c r="X101">
        <v>0.3</v>
      </c>
      <c r="Y101">
        <v>0.6</v>
      </c>
      <c r="Z101">
        <v>0.3</v>
      </c>
      <c r="AA101">
        <v>3</v>
      </c>
      <c r="AB101">
        <v>0</v>
      </c>
      <c r="AC101">
        <v>0.28571428599999998</v>
      </c>
      <c r="AE101">
        <v>3.5</v>
      </c>
      <c r="AG101">
        <v>30.71382311</v>
      </c>
      <c r="AH101">
        <v>100</v>
      </c>
      <c r="AI101">
        <v>0.6</v>
      </c>
      <c r="AJ101">
        <v>1</v>
      </c>
      <c r="AK101">
        <v>0.28571428599999998</v>
      </c>
    </row>
    <row r="102" spans="1:37" hidden="1" x14ac:dyDescent="0.3">
      <c r="A102" t="s">
        <v>699</v>
      </c>
      <c r="B102" t="s">
        <v>349</v>
      </c>
      <c r="C102" t="s">
        <v>2</v>
      </c>
      <c r="D102">
        <v>2101</v>
      </c>
      <c r="E102">
        <v>25</v>
      </c>
      <c r="F102">
        <v>1</v>
      </c>
      <c r="G102">
        <v>0</v>
      </c>
      <c r="H102">
        <v>1</v>
      </c>
      <c r="I102">
        <v>2.4300000000000002</v>
      </c>
      <c r="J102">
        <v>4.5</v>
      </c>
      <c r="K102">
        <v>11</v>
      </c>
      <c r="L102">
        <v>0.1</v>
      </c>
      <c r="M102">
        <v>1</v>
      </c>
      <c r="N102">
        <v>0.3</v>
      </c>
      <c r="O102">
        <v>1.3</v>
      </c>
      <c r="P102">
        <v>25</v>
      </c>
      <c r="Q102">
        <v>54</v>
      </c>
      <c r="R102">
        <v>3</v>
      </c>
      <c r="S102">
        <v>3.1</v>
      </c>
      <c r="T102">
        <v>0.1</v>
      </c>
      <c r="U102">
        <v>0</v>
      </c>
      <c r="V102">
        <v>2</v>
      </c>
      <c r="W102">
        <v>1</v>
      </c>
      <c r="X102">
        <v>0.2</v>
      </c>
      <c r="Y102">
        <v>0.3</v>
      </c>
      <c r="Z102">
        <v>0.3</v>
      </c>
      <c r="AA102">
        <v>2.8</v>
      </c>
      <c r="AB102">
        <v>2.7</v>
      </c>
      <c r="AE102">
        <v>3</v>
      </c>
      <c r="AF102">
        <v>2.1</v>
      </c>
      <c r="AG102">
        <v>20.93</v>
      </c>
      <c r="AH102">
        <v>100</v>
      </c>
      <c r="AI102">
        <v>0.3</v>
      </c>
      <c r="AJ102">
        <v>1</v>
      </c>
    </row>
    <row r="103" spans="1:37" hidden="1" x14ac:dyDescent="0.3">
      <c r="A103" t="s">
        <v>469</v>
      </c>
      <c r="B103" t="s">
        <v>349</v>
      </c>
      <c r="C103" t="s">
        <v>2</v>
      </c>
      <c r="D103">
        <v>5020</v>
      </c>
      <c r="E103">
        <v>20</v>
      </c>
      <c r="F103">
        <v>0</v>
      </c>
      <c r="G103">
        <v>0</v>
      </c>
      <c r="H103">
        <v>1</v>
      </c>
      <c r="I103">
        <v>2.9</v>
      </c>
      <c r="J103">
        <v>4.5</v>
      </c>
      <c r="K103">
        <v>11</v>
      </c>
      <c r="L103">
        <v>0.25</v>
      </c>
      <c r="M103">
        <v>0.3</v>
      </c>
      <c r="N103">
        <v>0.5</v>
      </c>
      <c r="O103">
        <v>1.5</v>
      </c>
      <c r="P103">
        <v>25</v>
      </c>
      <c r="S103">
        <v>3.65</v>
      </c>
      <c r="T103">
        <v>0</v>
      </c>
      <c r="U103">
        <v>0</v>
      </c>
      <c r="V103">
        <v>2.1</v>
      </c>
      <c r="W103">
        <v>0</v>
      </c>
      <c r="X103">
        <v>0.25</v>
      </c>
      <c r="Y103">
        <v>0.5</v>
      </c>
      <c r="Z103">
        <v>0.3</v>
      </c>
      <c r="AB103">
        <v>3</v>
      </c>
      <c r="AE103">
        <v>3</v>
      </c>
      <c r="AH103">
        <v>100</v>
      </c>
      <c r="AJ103">
        <v>0</v>
      </c>
    </row>
    <row r="104" spans="1:37" hidden="1" x14ac:dyDescent="0.3">
      <c r="A104" t="s">
        <v>470</v>
      </c>
      <c r="B104" t="s">
        <v>349</v>
      </c>
      <c r="C104" t="s">
        <v>2</v>
      </c>
      <c r="D104">
        <v>5019</v>
      </c>
      <c r="E104">
        <v>20</v>
      </c>
      <c r="F104">
        <v>0</v>
      </c>
      <c r="G104">
        <v>0</v>
      </c>
      <c r="H104">
        <v>0.7</v>
      </c>
      <c r="I104">
        <v>3</v>
      </c>
      <c r="J104">
        <v>4.5</v>
      </c>
      <c r="K104">
        <v>11</v>
      </c>
      <c r="L104">
        <v>0.2</v>
      </c>
      <c r="M104">
        <v>0.3</v>
      </c>
      <c r="N104">
        <v>0.3</v>
      </c>
      <c r="O104">
        <v>1.5</v>
      </c>
      <c r="P104">
        <v>25</v>
      </c>
      <c r="S104">
        <v>3.57</v>
      </c>
      <c r="T104">
        <v>0</v>
      </c>
      <c r="U104">
        <v>0</v>
      </c>
      <c r="V104">
        <v>2.5</v>
      </c>
      <c r="W104">
        <v>0</v>
      </c>
      <c r="X104">
        <v>0.2</v>
      </c>
      <c r="Y104">
        <v>0.3</v>
      </c>
      <c r="Z104">
        <v>0.3</v>
      </c>
      <c r="AB104">
        <v>3</v>
      </c>
      <c r="AE104">
        <v>3</v>
      </c>
      <c r="AH104">
        <v>100</v>
      </c>
      <c r="AJ104">
        <v>0</v>
      </c>
    </row>
    <row r="105" spans="1:37" hidden="1" x14ac:dyDescent="0.3">
      <c r="A105" t="s">
        <v>690</v>
      </c>
      <c r="B105" t="s">
        <v>349</v>
      </c>
      <c r="C105" t="s">
        <v>2</v>
      </c>
      <c r="D105">
        <v>2113</v>
      </c>
      <c r="E105">
        <v>30</v>
      </c>
      <c r="F105">
        <v>1.2</v>
      </c>
      <c r="G105">
        <v>0</v>
      </c>
      <c r="H105">
        <v>1</v>
      </c>
      <c r="I105">
        <v>3.4</v>
      </c>
      <c r="J105">
        <v>2.7</v>
      </c>
      <c r="K105">
        <v>10</v>
      </c>
      <c r="L105">
        <v>0.1</v>
      </c>
      <c r="M105">
        <v>1</v>
      </c>
      <c r="N105">
        <v>0.19</v>
      </c>
      <c r="O105">
        <v>1.7</v>
      </c>
      <c r="P105">
        <v>32</v>
      </c>
      <c r="Q105">
        <v>60</v>
      </c>
      <c r="R105">
        <v>3</v>
      </c>
      <c r="S105">
        <v>3.4</v>
      </c>
      <c r="T105">
        <v>0.7</v>
      </c>
      <c r="U105">
        <v>0</v>
      </c>
      <c r="V105">
        <v>5</v>
      </c>
      <c r="W105">
        <v>2</v>
      </c>
      <c r="X105">
        <v>0.19</v>
      </c>
      <c r="Y105">
        <v>0.19</v>
      </c>
      <c r="Z105">
        <v>0.3</v>
      </c>
      <c r="AA105">
        <v>2.5</v>
      </c>
      <c r="AB105">
        <v>3.1</v>
      </c>
      <c r="AE105">
        <v>3.5</v>
      </c>
      <c r="AF105">
        <v>2.9</v>
      </c>
      <c r="AG105">
        <v>23.1</v>
      </c>
      <c r="AH105">
        <v>100</v>
      </c>
      <c r="AI105">
        <v>0.19</v>
      </c>
      <c r="AJ105">
        <v>1</v>
      </c>
    </row>
    <row r="106" spans="1:37" hidden="1" x14ac:dyDescent="0.3">
      <c r="A106" t="s">
        <v>381</v>
      </c>
      <c r="B106" t="s">
        <v>349</v>
      </c>
      <c r="C106" t="s">
        <v>2</v>
      </c>
      <c r="D106">
        <v>3010</v>
      </c>
      <c r="E106">
        <v>0</v>
      </c>
      <c r="F106">
        <v>0</v>
      </c>
      <c r="G106">
        <v>0</v>
      </c>
      <c r="H106">
        <v>0</v>
      </c>
      <c r="I106">
        <v>7.9218150000000005E-3</v>
      </c>
      <c r="J106">
        <v>0</v>
      </c>
      <c r="K106">
        <v>4.8</v>
      </c>
      <c r="L106">
        <v>0</v>
      </c>
      <c r="M106">
        <v>0</v>
      </c>
      <c r="N106">
        <v>0.25</v>
      </c>
      <c r="O106">
        <v>1.3</v>
      </c>
      <c r="P106">
        <v>25</v>
      </c>
      <c r="Q106">
        <v>0</v>
      </c>
      <c r="R106">
        <v>0</v>
      </c>
      <c r="S106">
        <v>1.7</v>
      </c>
      <c r="T106">
        <v>0</v>
      </c>
      <c r="U106">
        <v>0</v>
      </c>
      <c r="V106">
        <v>0.35348919000000001</v>
      </c>
      <c r="W106">
        <v>1</v>
      </c>
      <c r="X106">
        <v>0.2</v>
      </c>
      <c r="Y106">
        <v>0.25</v>
      </c>
      <c r="Z106">
        <v>0.3</v>
      </c>
      <c r="AA106">
        <v>2</v>
      </c>
      <c r="AB106">
        <v>1</v>
      </c>
      <c r="AC106">
        <v>0.55555555599999995</v>
      </c>
      <c r="AE106">
        <v>1.8</v>
      </c>
      <c r="AG106">
        <v>6.1614110049999997</v>
      </c>
      <c r="AH106">
        <v>100</v>
      </c>
      <c r="AI106">
        <v>0.25</v>
      </c>
      <c r="AJ106">
        <v>0</v>
      </c>
      <c r="AK106">
        <v>0.55555555599999995</v>
      </c>
    </row>
    <row r="107" spans="1:37" hidden="1" x14ac:dyDescent="0.3">
      <c r="A107" t="s">
        <v>471</v>
      </c>
      <c r="B107" t="s">
        <v>349</v>
      </c>
      <c r="C107" t="s">
        <v>2</v>
      </c>
      <c r="D107">
        <v>5018</v>
      </c>
      <c r="E107">
        <v>20</v>
      </c>
      <c r="F107">
        <v>0</v>
      </c>
      <c r="G107">
        <v>0</v>
      </c>
      <c r="H107">
        <v>1.2</v>
      </c>
      <c r="I107">
        <v>5</v>
      </c>
      <c r="J107">
        <v>4.5</v>
      </c>
      <c r="K107">
        <v>11</v>
      </c>
      <c r="L107">
        <v>0.14000000000000001</v>
      </c>
      <c r="M107">
        <v>0.3</v>
      </c>
      <c r="N107">
        <v>0.3</v>
      </c>
      <c r="O107">
        <v>1.5</v>
      </c>
      <c r="P107">
        <v>25</v>
      </c>
      <c r="S107">
        <v>4</v>
      </c>
      <c r="T107">
        <v>0.1</v>
      </c>
      <c r="U107">
        <v>0</v>
      </c>
      <c r="V107">
        <v>3</v>
      </c>
      <c r="W107">
        <v>0</v>
      </c>
      <c r="X107">
        <v>0.3</v>
      </c>
      <c r="Y107">
        <v>0.3</v>
      </c>
      <c r="Z107">
        <v>0.3</v>
      </c>
      <c r="AB107">
        <v>3</v>
      </c>
      <c r="AE107">
        <v>4</v>
      </c>
      <c r="AH107">
        <v>100</v>
      </c>
      <c r="AJ107">
        <v>1</v>
      </c>
    </row>
    <row r="108" spans="1:37" hidden="1" x14ac:dyDescent="0.3">
      <c r="A108" t="s">
        <v>693</v>
      </c>
      <c r="B108" t="s">
        <v>349</v>
      </c>
      <c r="C108" t="s">
        <v>2</v>
      </c>
      <c r="D108">
        <v>1109</v>
      </c>
      <c r="E108">
        <v>15</v>
      </c>
      <c r="F108">
        <v>0.5</v>
      </c>
      <c r="G108">
        <v>0</v>
      </c>
      <c r="H108">
        <v>2</v>
      </c>
      <c r="I108">
        <v>1</v>
      </c>
      <c r="J108">
        <v>4.5</v>
      </c>
      <c r="K108">
        <v>9</v>
      </c>
      <c r="L108">
        <v>0.1</v>
      </c>
      <c r="M108">
        <v>1</v>
      </c>
      <c r="N108">
        <v>0.3</v>
      </c>
      <c r="O108">
        <v>1.3</v>
      </c>
      <c r="P108">
        <v>25</v>
      </c>
      <c r="S108">
        <v>2.6</v>
      </c>
      <c r="T108">
        <v>0.1</v>
      </c>
      <c r="U108">
        <v>0</v>
      </c>
      <c r="V108">
        <v>1</v>
      </c>
      <c r="W108">
        <v>1</v>
      </c>
      <c r="X108">
        <v>0.2</v>
      </c>
      <c r="Y108">
        <v>0.3</v>
      </c>
      <c r="Z108">
        <v>0.3</v>
      </c>
      <c r="AB108">
        <v>2.8</v>
      </c>
      <c r="AE108">
        <v>2.5</v>
      </c>
      <c r="AH108">
        <v>100</v>
      </c>
      <c r="AJ108">
        <v>1</v>
      </c>
    </row>
    <row r="109" spans="1:37" hidden="1" x14ac:dyDescent="0.3">
      <c r="A109" t="s">
        <v>693</v>
      </c>
      <c r="B109" t="s">
        <v>349</v>
      </c>
      <c r="C109" t="s">
        <v>2</v>
      </c>
      <c r="D109">
        <v>2109</v>
      </c>
      <c r="E109">
        <v>15</v>
      </c>
      <c r="F109">
        <v>0.5</v>
      </c>
      <c r="G109">
        <v>0</v>
      </c>
      <c r="H109">
        <v>2</v>
      </c>
      <c r="I109">
        <v>1</v>
      </c>
      <c r="J109">
        <v>6.8</v>
      </c>
      <c r="K109">
        <v>15</v>
      </c>
      <c r="L109">
        <v>0.1</v>
      </c>
      <c r="M109">
        <v>1</v>
      </c>
      <c r="N109">
        <v>0.3</v>
      </c>
      <c r="O109">
        <v>1.3</v>
      </c>
      <c r="P109">
        <v>25</v>
      </c>
      <c r="Q109">
        <v>40</v>
      </c>
      <c r="R109">
        <v>3</v>
      </c>
      <c r="S109">
        <v>3.3</v>
      </c>
      <c r="T109">
        <v>0.1</v>
      </c>
      <c r="U109">
        <v>0</v>
      </c>
      <c r="V109">
        <v>2</v>
      </c>
      <c r="W109">
        <v>1</v>
      </c>
      <c r="X109">
        <v>0.2</v>
      </c>
      <c r="Y109">
        <v>0.3</v>
      </c>
      <c r="Z109">
        <v>0.3</v>
      </c>
      <c r="AA109">
        <v>2.8</v>
      </c>
      <c r="AB109">
        <v>2.8</v>
      </c>
      <c r="AE109">
        <v>2.5</v>
      </c>
      <c r="AF109">
        <v>2.6</v>
      </c>
      <c r="AG109">
        <v>25.8</v>
      </c>
      <c r="AH109">
        <v>100</v>
      </c>
      <c r="AI109">
        <v>0.3</v>
      </c>
      <c r="AJ109">
        <v>1</v>
      </c>
    </row>
    <row r="110" spans="1:37" hidden="1" x14ac:dyDescent="0.3">
      <c r="A110" t="s">
        <v>355</v>
      </c>
      <c r="B110" t="s">
        <v>349</v>
      </c>
      <c r="C110" t="s">
        <v>2</v>
      </c>
      <c r="D110">
        <v>3033</v>
      </c>
      <c r="E110">
        <v>20</v>
      </c>
      <c r="F110">
        <v>0</v>
      </c>
      <c r="G110">
        <v>0</v>
      </c>
      <c r="H110">
        <v>0</v>
      </c>
      <c r="I110">
        <v>0.48959877899999998</v>
      </c>
      <c r="J110">
        <v>8</v>
      </c>
      <c r="K110">
        <v>1.1000000000000001</v>
      </c>
      <c r="L110">
        <v>0.15</v>
      </c>
      <c r="M110">
        <v>1</v>
      </c>
      <c r="N110">
        <v>0.25</v>
      </c>
      <c r="O110">
        <v>1.5</v>
      </c>
      <c r="P110">
        <v>25</v>
      </c>
      <c r="Q110">
        <v>0</v>
      </c>
      <c r="R110">
        <v>2.2000000000000002</v>
      </c>
      <c r="S110">
        <v>1</v>
      </c>
      <c r="T110">
        <v>0</v>
      </c>
      <c r="U110">
        <v>0</v>
      </c>
      <c r="V110">
        <v>0.14784293100000001</v>
      </c>
      <c r="W110">
        <v>1.5</v>
      </c>
      <c r="X110">
        <v>0.35</v>
      </c>
      <c r="Y110">
        <v>0.25</v>
      </c>
      <c r="Z110">
        <v>0.3</v>
      </c>
      <c r="AA110">
        <v>1.5</v>
      </c>
      <c r="AB110">
        <v>1.5</v>
      </c>
      <c r="AC110">
        <v>0.25</v>
      </c>
      <c r="AE110">
        <v>4</v>
      </c>
      <c r="AG110">
        <v>11.237441710000001</v>
      </c>
      <c r="AH110">
        <v>100</v>
      </c>
      <c r="AI110">
        <v>0.25</v>
      </c>
      <c r="AJ110">
        <v>0</v>
      </c>
      <c r="AK110">
        <v>0.25</v>
      </c>
    </row>
    <row r="111" spans="1:37" hidden="1" x14ac:dyDescent="0.3">
      <c r="A111" t="s">
        <v>676</v>
      </c>
      <c r="B111" t="s">
        <v>349</v>
      </c>
      <c r="C111" t="s">
        <v>2</v>
      </c>
      <c r="D111">
        <v>2303</v>
      </c>
      <c r="E111">
        <v>25</v>
      </c>
      <c r="F111">
        <v>1.2</v>
      </c>
      <c r="G111">
        <v>0</v>
      </c>
      <c r="H111">
        <v>1</v>
      </c>
      <c r="I111">
        <v>3.3</v>
      </c>
      <c r="J111">
        <v>4.5</v>
      </c>
      <c r="K111">
        <v>8</v>
      </c>
      <c r="L111">
        <v>0.1</v>
      </c>
      <c r="M111">
        <v>1</v>
      </c>
      <c r="N111">
        <v>0.4</v>
      </c>
      <c r="O111">
        <v>1.3</v>
      </c>
      <c r="P111">
        <v>25</v>
      </c>
      <c r="Q111">
        <v>46</v>
      </c>
      <c r="R111">
        <v>4</v>
      </c>
      <c r="S111">
        <v>2.5</v>
      </c>
      <c r="T111">
        <v>0.1</v>
      </c>
      <c r="U111">
        <v>0</v>
      </c>
      <c r="V111">
        <v>0.5</v>
      </c>
      <c r="W111">
        <v>2</v>
      </c>
      <c r="X111">
        <v>0.2</v>
      </c>
      <c r="Y111">
        <v>0.4</v>
      </c>
      <c r="Z111">
        <v>0.3</v>
      </c>
      <c r="AA111">
        <v>2.2000000000000002</v>
      </c>
      <c r="AB111">
        <v>2</v>
      </c>
      <c r="AC111">
        <v>0.28000000000000003</v>
      </c>
      <c r="AE111">
        <v>2.5</v>
      </c>
      <c r="AF111">
        <v>2.2999999999999998</v>
      </c>
      <c r="AG111">
        <v>18.3</v>
      </c>
      <c r="AH111">
        <v>300</v>
      </c>
      <c r="AI111">
        <v>0.4</v>
      </c>
      <c r="AJ111">
        <v>1</v>
      </c>
    </row>
    <row r="112" spans="1:37" hidden="1" x14ac:dyDescent="0.3">
      <c r="A112" t="s">
        <v>696</v>
      </c>
      <c r="B112" t="s">
        <v>349</v>
      </c>
      <c r="C112" t="s">
        <v>2</v>
      </c>
      <c r="D112">
        <v>1105</v>
      </c>
      <c r="E112">
        <v>20</v>
      </c>
      <c r="F112">
        <v>1</v>
      </c>
      <c r="G112">
        <v>0</v>
      </c>
      <c r="H112">
        <v>1</v>
      </c>
      <c r="I112">
        <v>2.5499999999999998</v>
      </c>
      <c r="J112">
        <v>5.8</v>
      </c>
      <c r="K112">
        <v>11</v>
      </c>
      <c r="L112">
        <v>0.1</v>
      </c>
      <c r="M112">
        <v>1</v>
      </c>
      <c r="N112">
        <v>0.15</v>
      </c>
      <c r="O112">
        <v>0.9</v>
      </c>
      <c r="P112">
        <v>18</v>
      </c>
      <c r="S112">
        <v>2.8</v>
      </c>
      <c r="T112">
        <v>0.3</v>
      </c>
      <c r="U112">
        <v>0</v>
      </c>
      <c r="V112">
        <v>2.5</v>
      </c>
      <c r="W112">
        <v>1</v>
      </c>
      <c r="X112">
        <v>0.15</v>
      </c>
      <c r="Y112">
        <v>0.15</v>
      </c>
      <c r="Z112">
        <v>0.3</v>
      </c>
      <c r="AB112">
        <v>2.8</v>
      </c>
      <c r="AE112">
        <v>3</v>
      </c>
      <c r="AH112">
        <v>100</v>
      </c>
      <c r="AJ112">
        <v>1</v>
      </c>
    </row>
    <row r="113" spans="1:37" hidden="1" x14ac:dyDescent="0.3">
      <c r="A113" t="s">
        <v>696</v>
      </c>
      <c r="B113" t="s">
        <v>349</v>
      </c>
      <c r="C113" t="s">
        <v>2</v>
      </c>
      <c r="D113">
        <v>2105</v>
      </c>
      <c r="E113">
        <v>20</v>
      </c>
      <c r="F113">
        <v>1</v>
      </c>
      <c r="G113">
        <v>0</v>
      </c>
      <c r="H113">
        <v>1</v>
      </c>
      <c r="I113">
        <v>2.5499999999999998</v>
      </c>
      <c r="J113">
        <v>5.8</v>
      </c>
      <c r="K113">
        <v>19</v>
      </c>
      <c r="L113">
        <v>0.1</v>
      </c>
      <c r="M113">
        <v>1</v>
      </c>
      <c r="N113">
        <v>0.15</v>
      </c>
      <c r="O113">
        <v>0.9</v>
      </c>
      <c r="P113">
        <v>18</v>
      </c>
      <c r="Q113">
        <v>44</v>
      </c>
      <c r="R113">
        <v>3.2</v>
      </c>
      <c r="S113">
        <v>2.8</v>
      </c>
      <c r="T113">
        <v>0.3</v>
      </c>
      <c r="U113">
        <v>0</v>
      </c>
      <c r="V113">
        <v>2.5</v>
      </c>
      <c r="W113">
        <v>1</v>
      </c>
      <c r="X113">
        <v>0.15</v>
      </c>
      <c r="Y113">
        <v>0.15</v>
      </c>
      <c r="Z113">
        <v>0.3</v>
      </c>
      <c r="AA113">
        <v>2</v>
      </c>
      <c r="AB113">
        <v>2.8</v>
      </c>
      <c r="AE113">
        <v>3</v>
      </c>
      <c r="AF113">
        <v>2.2999999999999998</v>
      </c>
      <c r="AG113">
        <v>30.85</v>
      </c>
      <c r="AH113">
        <v>100</v>
      </c>
      <c r="AI113">
        <v>0.15</v>
      </c>
      <c r="AJ113">
        <v>1</v>
      </c>
    </row>
    <row r="114" spans="1:37" hidden="1" x14ac:dyDescent="0.3">
      <c r="A114" t="s">
        <v>459</v>
      </c>
      <c r="B114" t="s">
        <v>349</v>
      </c>
      <c r="C114" t="s">
        <v>2</v>
      </c>
      <c r="D114">
        <v>5030</v>
      </c>
      <c r="E114">
        <v>20</v>
      </c>
      <c r="F114">
        <v>0</v>
      </c>
      <c r="G114">
        <v>0</v>
      </c>
      <c r="H114">
        <v>1.2</v>
      </c>
      <c r="I114">
        <v>2.7</v>
      </c>
      <c r="J114">
        <v>4.5</v>
      </c>
      <c r="K114">
        <v>11</v>
      </c>
      <c r="L114">
        <v>0.25</v>
      </c>
      <c r="M114">
        <v>0.3</v>
      </c>
      <c r="N114">
        <v>0.1</v>
      </c>
      <c r="O114">
        <v>1.5</v>
      </c>
      <c r="P114">
        <v>25</v>
      </c>
      <c r="S114">
        <v>3.37</v>
      </c>
      <c r="T114">
        <v>0.1</v>
      </c>
      <c r="U114">
        <v>0</v>
      </c>
      <c r="V114">
        <v>3.8</v>
      </c>
      <c r="W114">
        <v>0</v>
      </c>
      <c r="X114">
        <v>0.31</v>
      </c>
      <c r="Y114">
        <v>0.1</v>
      </c>
      <c r="Z114">
        <v>0.3</v>
      </c>
      <c r="AB114">
        <v>2.89</v>
      </c>
      <c r="AE114">
        <v>3</v>
      </c>
      <c r="AH114">
        <v>100</v>
      </c>
      <c r="AJ114">
        <v>0</v>
      </c>
    </row>
    <row r="115" spans="1:37" hidden="1" x14ac:dyDescent="0.3">
      <c r="A115" t="s">
        <v>677</v>
      </c>
      <c r="B115" t="s">
        <v>349</v>
      </c>
      <c r="C115" t="s">
        <v>2</v>
      </c>
      <c r="D115">
        <v>2302</v>
      </c>
      <c r="E115">
        <v>20</v>
      </c>
      <c r="F115">
        <v>0.6</v>
      </c>
      <c r="G115">
        <v>0</v>
      </c>
      <c r="H115">
        <v>1</v>
      </c>
      <c r="I115">
        <v>1.4</v>
      </c>
      <c r="J115">
        <v>4.5</v>
      </c>
      <c r="K115">
        <v>8</v>
      </c>
      <c r="L115">
        <v>0.1</v>
      </c>
      <c r="M115">
        <v>1</v>
      </c>
      <c r="N115">
        <v>0.4</v>
      </c>
      <c r="O115">
        <v>1.3</v>
      </c>
      <c r="P115">
        <v>25</v>
      </c>
      <c r="Q115">
        <v>32</v>
      </c>
      <c r="R115">
        <v>2</v>
      </c>
      <c r="S115">
        <v>2.5</v>
      </c>
      <c r="T115">
        <v>0.1</v>
      </c>
      <c r="U115">
        <v>0</v>
      </c>
      <c r="V115">
        <v>0.5</v>
      </c>
      <c r="W115">
        <v>2</v>
      </c>
      <c r="X115">
        <v>0.2</v>
      </c>
      <c r="Y115">
        <v>0.4</v>
      </c>
      <c r="Z115">
        <v>0.3</v>
      </c>
      <c r="AA115">
        <v>2.2000000000000002</v>
      </c>
      <c r="AB115">
        <v>2</v>
      </c>
      <c r="AC115">
        <v>0.28000000000000003</v>
      </c>
      <c r="AE115">
        <v>2.5</v>
      </c>
      <c r="AF115">
        <v>1.7</v>
      </c>
      <c r="AG115">
        <v>16.399999999999999</v>
      </c>
      <c r="AH115">
        <v>300</v>
      </c>
      <c r="AI115">
        <v>0.4</v>
      </c>
      <c r="AJ115">
        <v>0</v>
      </c>
    </row>
    <row r="116" spans="1:37" hidden="1" x14ac:dyDescent="0.3">
      <c r="A116" t="s">
        <v>698</v>
      </c>
      <c r="B116" t="s">
        <v>349</v>
      </c>
      <c r="C116" t="s">
        <v>2</v>
      </c>
      <c r="D116">
        <v>2102</v>
      </c>
      <c r="E116">
        <v>25</v>
      </c>
      <c r="F116">
        <v>0.67</v>
      </c>
      <c r="G116">
        <v>0</v>
      </c>
      <c r="H116">
        <v>1</v>
      </c>
      <c r="I116">
        <v>1.67</v>
      </c>
      <c r="J116">
        <v>4.5</v>
      </c>
      <c r="K116">
        <v>11</v>
      </c>
      <c r="L116">
        <v>0.1</v>
      </c>
      <c r="M116">
        <v>1</v>
      </c>
      <c r="N116">
        <v>0.3</v>
      </c>
      <c r="O116">
        <v>1.3</v>
      </c>
      <c r="P116">
        <v>25</v>
      </c>
      <c r="Q116">
        <v>42</v>
      </c>
      <c r="R116">
        <v>2</v>
      </c>
      <c r="S116">
        <v>3.1</v>
      </c>
      <c r="T116">
        <v>0.1</v>
      </c>
      <c r="U116">
        <v>0</v>
      </c>
      <c r="V116">
        <v>2</v>
      </c>
      <c r="W116">
        <v>1</v>
      </c>
      <c r="X116">
        <v>0.2</v>
      </c>
      <c r="Y116">
        <v>0.3</v>
      </c>
      <c r="Z116">
        <v>0.3</v>
      </c>
      <c r="AA116">
        <v>2.8</v>
      </c>
      <c r="AB116">
        <v>2.7</v>
      </c>
      <c r="AE116">
        <v>2.5</v>
      </c>
      <c r="AF116">
        <v>1.77</v>
      </c>
      <c r="AG116">
        <v>20.170000000000002</v>
      </c>
      <c r="AH116">
        <v>100</v>
      </c>
      <c r="AI116">
        <v>0.3</v>
      </c>
      <c r="AJ116">
        <v>0</v>
      </c>
    </row>
    <row r="117" spans="1:37" hidden="1" x14ac:dyDescent="0.3">
      <c r="A117" t="s">
        <v>695</v>
      </c>
      <c r="B117" t="s">
        <v>349</v>
      </c>
      <c r="C117" t="s">
        <v>2</v>
      </c>
      <c r="D117">
        <v>2106</v>
      </c>
      <c r="E117">
        <v>25</v>
      </c>
      <c r="F117">
        <v>0.14000000000000001</v>
      </c>
      <c r="G117">
        <v>0</v>
      </c>
      <c r="H117">
        <v>1</v>
      </c>
      <c r="I117">
        <v>0.86</v>
      </c>
      <c r="J117">
        <v>2.7</v>
      </c>
      <c r="K117">
        <v>12</v>
      </c>
      <c r="L117">
        <v>0.1</v>
      </c>
      <c r="M117">
        <v>1</v>
      </c>
      <c r="N117">
        <v>0.16</v>
      </c>
      <c r="O117">
        <v>1.3</v>
      </c>
      <c r="P117">
        <v>25</v>
      </c>
      <c r="Q117">
        <v>44</v>
      </c>
      <c r="R117">
        <v>1</v>
      </c>
      <c r="S117">
        <v>3.2</v>
      </c>
      <c r="T117">
        <v>0.3</v>
      </c>
      <c r="U117">
        <v>0</v>
      </c>
      <c r="V117">
        <v>2.5</v>
      </c>
      <c r="W117">
        <v>0.5</v>
      </c>
      <c r="X117">
        <v>0.15</v>
      </c>
      <c r="Y117">
        <v>0.16</v>
      </c>
      <c r="Z117">
        <v>0.3</v>
      </c>
      <c r="AA117">
        <v>3</v>
      </c>
      <c r="AB117">
        <v>2.7</v>
      </c>
      <c r="AE117">
        <v>3</v>
      </c>
      <c r="AF117">
        <v>1.44</v>
      </c>
      <c r="AG117">
        <v>18.559999999999999</v>
      </c>
      <c r="AH117">
        <v>100</v>
      </c>
      <c r="AI117">
        <v>0.16</v>
      </c>
      <c r="AJ117">
        <v>0</v>
      </c>
    </row>
    <row r="118" spans="1:37" hidden="1" x14ac:dyDescent="0.3">
      <c r="A118" t="s">
        <v>635</v>
      </c>
      <c r="B118" t="s">
        <v>349</v>
      </c>
      <c r="C118" t="s">
        <v>2</v>
      </c>
      <c r="D118">
        <v>3035</v>
      </c>
      <c r="E118">
        <v>0</v>
      </c>
      <c r="F118">
        <v>0</v>
      </c>
      <c r="G118">
        <v>0</v>
      </c>
      <c r="H118">
        <v>0</v>
      </c>
      <c r="I118">
        <v>1.8178351880000001</v>
      </c>
      <c r="J118">
        <v>0</v>
      </c>
      <c r="K118">
        <v>7.8</v>
      </c>
      <c r="L118">
        <v>0.15</v>
      </c>
      <c r="M118">
        <v>0</v>
      </c>
      <c r="N118">
        <v>0.35</v>
      </c>
      <c r="O118">
        <v>1.3</v>
      </c>
      <c r="P118">
        <v>25</v>
      </c>
      <c r="Q118">
        <v>0</v>
      </c>
      <c r="R118">
        <v>3</v>
      </c>
      <c r="S118">
        <v>2.4900000000000002</v>
      </c>
      <c r="T118">
        <v>0</v>
      </c>
      <c r="U118">
        <v>0</v>
      </c>
      <c r="V118">
        <v>9.981828964</v>
      </c>
      <c r="W118">
        <v>0</v>
      </c>
      <c r="X118">
        <v>0.5</v>
      </c>
      <c r="Y118">
        <v>0.35</v>
      </c>
      <c r="Z118">
        <v>0.3</v>
      </c>
      <c r="AA118">
        <v>4</v>
      </c>
      <c r="AB118">
        <v>0</v>
      </c>
      <c r="AC118">
        <v>0.66666666699999999</v>
      </c>
      <c r="AE118">
        <v>1.5</v>
      </c>
      <c r="AG118">
        <v>19.599664149999999</v>
      </c>
      <c r="AH118">
        <v>100</v>
      </c>
      <c r="AI118">
        <v>0.35</v>
      </c>
      <c r="AJ118">
        <v>0</v>
      </c>
      <c r="AK118">
        <v>0.66666666699999999</v>
      </c>
    </row>
    <row r="119" spans="1:37" hidden="1" x14ac:dyDescent="0.3">
      <c r="A119" t="s">
        <v>645</v>
      </c>
      <c r="B119" t="s">
        <v>349</v>
      </c>
      <c r="C119" t="s">
        <v>2</v>
      </c>
      <c r="D119">
        <v>3022</v>
      </c>
      <c r="E119">
        <v>20</v>
      </c>
      <c r="F119">
        <v>0</v>
      </c>
      <c r="G119">
        <v>0</v>
      </c>
      <c r="H119">
        <v>0</v>
      </c>
      <c r="I119">
        <v>1.8178351880000001</v>
      </c>
      <c r="J119">
        <v>4.5</v>
      </c>
      <c r="K119">
        <v>13.3</v>
      </c>
      <c r="L119">
        <v>0.2</v>
      </c>
      <c r="M119">
        <v>1</v>
      </c>
      <c r="N119">
        <v>0.25</v>
      </c>
      <c r="O119">
        <v>1.5</v>
      </c>
      <c r="P119">
        <v>25</v>
      </c>
      <c r="Q119">
        <v>0</v>
      </c>
      <c r="R119">
        <v>3</v>
      </c>
      <c r="S119">
        <v>3.3</v>
      </c>
      <c r="T119">
        <v>0</v>
      </c>
      <c r="U119">
        <v>0</v>
      </c>
      <c r="V119">
        <v>7.0595187050000003</v>
      </c>
      <c r="W119">
        <v>2.5</v>
      </c>
      <c r="X119">
        <v>0.25</v>
      </c>
      <c r="Y119">
        <v>0.25</v>
      </c>
      <c r="Z119">
        <v>0.3</v>
      </c>
      <c r="AA119">
        <v>3.6</v>
      </c>
      <c r="AB119">
        <v>2.5</v>
      </c>
      <c r="AC119">
        <v>0.33333333300000001</v>
      </c>
      <c r="AE119">
        <v>3</v>
      </c>
      <c r="AG119">
        <v>29.177353889999999</v>
      </c>
      <c r="AH119">
        <v>100</v>
      </c>
      <c r="AI119">
        <v>0.25</v>
      </c>
      <c r="AJ119">
        <v>0</v>
      </c>
      <c r="AK119">
        <v>0.33333333300000001</v>
      </c>
    </row>
    <row r="120" spans="1:37" hidden="1" x14ac:dyDescent="0.3">
      <c r="A120" t="s">
        <v>363</v>
      </c>
      <c r="B120" t="s">
        <v>349</v>
      </c>
      <c r="C120" t="s">
        <v>2</v>
      </c>
      <c r="D120">
        <v>3028</v>
      </c>
      <c r="E120">
        <v>6</v>
      </c>
      <c r="F120">
        <v>0</v>
      </c>
      <c r="G120">
        <v>0</v>
      </c>
      <c r="H120">
        <v>0</v>
      </c>
      <c r="I120">
        <v>7.9218150000000005E-3</v>
      </c>
      <c r="J120">
        <v>1</v>
      </c>
      <c r="K120">
        <v>7.5</v>
      </c>
      <c r="L120">
        <v>0</v>
      </c>
      <c r="M120">
        <v>1</v>
      </c>
      <c r="N120">
        <v>0.35</v>
      </c>
      <c r="O120">
        <v>0</v>
      </c>
      <c r="P120">
        <v>25</v>
      </c>
      <c r="Q120">
        <v>25</v>
      </c>
      <c r="R120">
        <v>0</v>
      </c>
      <c r="S120">
        <v>2.42</v>
      </c>
      <c r="T120">
        <v>0</v>
      </c>
      <c r="U120">
        <v>0</v>
      </c>
      <c r="V120">
        <v>0.35348919000000001</v>
      </c>
      <c r="W120">
        <v>1.1399999999999999</v>
      </c>
      <c r="X120">
        <v>0.35</v>
      </c>
      <c r="Y120">
        <v>0.35</v>
      </c>
      <c r="Z120">
        <v>0.3</v>
      </c>
      <c r="AA120">
        <v>2</v>
      </c>
      <c r="AB120">
        <v>1.1399999999999999</v>
      </c>
      <c r="AC120">
        <v>0.4</v>
      </c>
      <c r="AE120">
        <v>2.5</v>
      </c>
      <c r="AG120">
        <v>10.00141101</v>
      </c>
      <c r="AH120">
        <v>100</v>
      </c>
      <c r="AI120">
        <v>0.35</v>
      </c>
      <c r="AJ120">
        <v>0</v>
      </c>
      <c r="AK120">
        <v>0.4</v>
      </c>
    </row>
    <row r="121" spans="1:37" hidden="1" x14ac:dyDescent="0.3">
      <c r="A121" t="s">
        <v>363</v>
      </c>
      <c r="B121" t="s">
        <v>349</v>
      </c>
      <c r="C121" t="s">
        <v>2</v>
      </c>
      <c r="D121">
        <v>7106</v>
      </c>
      <c r="E121">
        <v>20</v>
      </c>
      <c r="F121">
        <v>0</v>
      </c>
      <c r="G121">
        <v>0</v>
      </c>
      <c r="H121">
        <v>0</v>
      </c>
      <c r="I121">
        <v>0</v>
      </c>
      <c r="J121">
        <v>4.5</v>
      </c>
      <c r="K121">
        <v>10.8</v>
      </c>
      <c r="L121">
        <v>0</v>
      </c>
      <c r="M121">
        <v>0</v>
      </c>
      <c r="N121">
        <v>0.35</v>
      </c>
      <c r="O121">
        <v>1.5</v>
      </c>
      <c r="P121">
        <v>25</v>
      </c>
      <c r="S121">
        <v>2.7</v>
      </c>
      <c r="T121">
        <v>0</v>
      </c>
      <c r="U121">
        <v>0</v>
      </c>
      <c r="V121">
        <v>1.5</v>
      </c>
      <c r="W121">
        <v>0</v>
      </c>
      <c r="X121">
        <v>0.8</v>
      </c>
      <c r="Y121">
        <v>0.2</v>
      </c>
      <c r="Z121">
        <v>0.3</v>
      </c>
      <c r="AB121">
        <v>2.2999999999999998</v>
      </c>
      <c r="AE121">
        <v>2.5</v>
      </c>
      <c r="AH121">
        <v>100</v>
      </c>
      <c r="AJ121">
        <v>0</v>
      </c>
    </row>
    <row r="122" spans="1:37" hidden="1" x14ac:dyDescent="0.3">
      <c r="A122" t="s">
        <v>362</v>
      </c>
      <c r="B122" t="s">
        <v>349</v>
      </c>
      <c r="C122" t="s">
        <v>2</v>
      </c>
      <c r="D122">
        <v>3009</v>
      </c>
      <c r="E122">
        <v>20</v>
      </c>
      <c r="F122">
        <v>0</v>
      </c>
      <c r="G122">
        <v>0</v>
      </c>
      <c r="H122">
        <v>0</v>
      </c>
      <c r="I122">
        <v>2.3899415049999999</v>
      </c>
      <c r="J122">
        <v>4.5</v>
      </c>
      <c r="K122">
        <v>5.9</v>
      </c>
      <c r="L122">
        <v>0.2</v>
      </c>
      <c r="M122">
        <v>1</v>
      </c>
      <c r="N122">
        <v>0.25</v>
      </c>
      <c r="O122">
        <v>1.5</v>
      </c>
      <c r="P122">
        <v>25</v>
      </c>
      <c r="Q122">
        <v>0</v>
      </c>
      <c r="R122">
        <v>3.1</v>
      </c>
      <c r="S122">
        <v>2.0099999999999998</v>
      </c>
      <c r="T122">
        <v>0</v>
      </c>
      <c r="U122">
        <v>0</v>
      </c>
      <c r="V122">
        <v>0.82439364299999995</v>
      </c>
      <c r="W122">
        <v>1.5</v>
      </c>
      <c r="X122">
        <v>0.2</v>
      </c>
      <c r="Y122">
        <v>0.25</v>
      </c>
      <c r="Z122">
        <v>0.3</v>
      </c>
      <c r="AA122">
        <v>2.5</v>
      </c>
      <c r="AB122">
        <v>1.5</v>
      </c>
      <c r="AC122">
        <v>0.4</v>
      </c>
      <c r="AE122">
        <v>2.5</v>
      </c>
      <c r="AG122">
        <v>15.11433515</v>
      </c>
      <c r="AH122">
        <v>100</v>
      </c>
      <c r="AI122">
        <v>0.25</v>
      </c>
      <c r="AJ122">
        <v>0</v>
      </c>
      <c r="AK122">
        <v>0.4</v>
      </c>
    </row>
    <row r="123" spans="1:37" hidden="1" x14ac:dyDescent="0.3">
      <c r="A123" t="s">
        <v>362</v>
      </c>
      <c r="B123" t="s">
        <v>349</v>
      </c>
      <c r="C123" t="s">
        <v>2</v>
      </c>
      <c r="D123">
        <v>7107</v>
      </c>
      <c r="E123">
        <v>20</v>
      </c>
      <c r="F123">
        <v>0</v>
      </c>
      <c r="G123">
        <v>0</v>
      </c>
      <c r="H123">
        <v>0</v>
      </c>
      <c r="I123">
        <v>2.4</v>
      </c>
      <c r="J123">
        <v>4.5</v>
      </c>
      <c r="K123">
        <v>11</v>
      </c>
      <c r="L123">
        <v>0.2</v>
      </c>
      <c r="M123">
        <v>0</v>
      </c>
      <c r="N123">
        <v>0.25</v>
      </c>
      <c r="O123">
        <v>1.5</v>
      </c>
      <c r="P123">
        <v>25</v>
      </c>
      <c r="S123">
        <v>2.4</v>
      </c>
      <c r="T123">
        <v>0</v>
      </c>
      <c r="U123">
        <v>0</v>
      </c>
      <c r="V123">
        <v>1.8</v>
      </c>
      <c r="W123">
        <v>0</v>
      </c>
      <c r="X123">
        <v>0.6</v>
      </c>
      <c r="Y123">
        <v>0.2</v>
      </c>
      <c r="Z123">
        <v>0.3</v>
      </c>
      <c r="AB123">
        <v>2.1</v>
      </c>
      <c r="AE123">
        <v>2.5</v>
      </c>
      <c r="AH123">
        <v>100</v>
      </c>
      <c r="AJ123">
        <v>0</v>
      </c>
    </row>
    <row r="124" spans="1:37" hidden="1" x14ac:dyDescent="0.3">
      <c r="A124" t="s">
        <v>341</v>
      </c>
      <c r="B124" t="s">
        <v>349</v>
      </c>
      <c r="C124" t="s">
        <v>2</v>
      </c>
      <c r="D124">
        <v>3005</v>
      </c>
      <c r="E124">
        <v>20</v>
      </c>
      <c r="F124">
        <v>0</v>
      </c>
      <c r="G124">
        <v>0</v>
      </c>
      <c r="H124">
        <v>0</v>
      </c>
      <c r="I124">
        <v>5.0937305000000004</v>
      </c>
      <c r="J124">
        <v>4.5</v>
      </c>
      <c r="K124">
        <v>8.6999999999999993</v>
      </c>
      <c r="L124">
        <v>0.1</v>
      </c>
      <c r="M124">
        <v>1</v>
      </c>
      <c r="N124">
        <v>0.15</v>
      </c>
      <c r="O124">
        <v>1.5</v>
      </c>
      <c r="P124">
        <v>25</v>
      </c>
      <c r="Q124">
        <v>0</v>
      </c>
      <c r="R124">
        <v>3.5</v>
      </c>
      <c r="S124">
        <v>2</v>
      </c>
      <c r="T124">
        <v>0</v>
      </c>
      <c r="U124">
        <v>0</v>
      </c>
      <c r="V124">
        <v>8.3995663399999998</v>
      </c>
      <c r="W124">
        <v>4</v>
      </c>
      <c r="X124">
        <v>0.08</v>
      </c>
      <c r="Y124">
        <v>0.15</v>
      </c>
      <c r="Z124">
        <v>0.3</v>
      </c>
      <c r="AA124">
        <v>3.75</v>
      </c>
      <c r="AB124">
        <v>3.5</v>
      </c>
      <c r="AC124">
        <v>0.4</v>
      </c>
      <c r="AE124">
        <v>2.5</v>
      </c>
      <c r="AG124">
        <v>30.693296839999999</v>
      </c>
      <c r="AH124">
        <v>100</v>
      </c>
      <c r="AI124">
        <v>0.15</v>
      </c>
      <c r="AJ124">
        <v>1</v>
      </c>
      <c r="AK124">
        <v>0.4</v>
      </c>
    </row>
    <row r="125" spans="1:37" hidden="1" x14ac:dyDescent="0.3">
      <c r="A125" t="s">
        <v>414</v>
      </c>
      <c r="B125" t="s">
        <v>349</v>
      </c>
      <c r="C125" t="s">
        <v>2</v>
      </c>
      <c r="D125">
        <v>6112</v>
      </c>
      <c r="E125">
        <v>13</v>
      </c>
      <c r="F125">
        <v>0</v>
      </c>
      <c r="G125">
        <v>0</v>
      </c>
      <c r="H125">
        <v>0.5</v>
      </c>
      <c r="I125">
        <v>2</v>
      </c>
      <c r="J125">
        <v>4.5</v>
      </c>
      <c r="K125">
        <v>6</v>
      </c>
      <c r="L125">
        <v>0.1</v>
      </c>
      <c r="M125">
        <v>1</v>
      </c>
      <c r="N125">
        <v>0.2</v>
      </c>
      <c r="O125">
        <v>1.6</v>
      </c>
      <c r="P125">
        <v>20</v>
      </c>
      <c r="S125">
        <v>1.7</v>
      </c>
      <c r="T125">
        <v>0</v>
      </c>
      <c r="U125">
        <v>0.25</v>
      </c>
      <c r="V125">
        <v>1</v>
      </c>
      <c r="W125">
        <v>1.5</v>
      </c>
      <c r="X125">
        <v>0.12</v>
      </c>
      <c r="Y125">
        <v>0.1</v>
      </c>
      <c r="Z125">
        <v>0.3</v>
      </c>
      <c r="AB125">
        <v>0.9</v>
      </c>
      <c r="AE125">
        <v>2.8</v>
      </c>
      <c r="AH125">
        <v>100</v>
      </c>
      <c r="AJ125">
        <v>0</v>
      </c>
    </row>
    <row r="126" spans="1:37" hidden="1" x14ac:dyDescent="0.3">
      <c r="A126" t="s">
        <v>488</v>
      </c>
      <c r="B126" t="s">
        <v>349</v>
      </c>
      <c r="C126" t="s">
        <v>2</v>
      </c>
      <c r="D126">
        <v>5001</v>
      </c>
      <c r="E126">
        <v>20</v>
      </c>
      <c r="F126">
        <v>0</v>
      </c>
      <c r="G126">
        <v>0</v>
      </c>
      <c r="H126">
        <v>0.7</v>
      </c>
      <c r="I126">
        <v>5</v>
      </c>
      <c r="J126">
        <v>4.5</v>
      </c>
      <c r="K126">
        <v>11</v>
      </c>
      <c r="L126">
        <v>0.14000000000000001</v>
      </c>
      <c r="M126">
        <v>0.3</v>
      </c>
      <c r="N126">
        <v>0.3</v>
      </c>
      <c r="O126">
        <v>1.5</v>
      </c>
      <c r="P126">
        <v>25</v>
      </c>
      <c r="S126">
        <v>3.57</v>
      </c>
      <c r="T126">
        <v>0</v>
      </c>
      <c r="U126">
        <v>0</v>
      </c>
      <c r="V126">
        <v>2.5</v>
      </c>
      <c r="W126">
        <v>0</v>
      </c>
      <c r="X126">
        <v>0.2</v>
      </c>
      <c r="Y126">
        <v>0.3</v>
      </c>
      <c r="Z126">
        <v>0.3</v>
      </c>
      <c r="AB126">
        <v>3</v>
      </c>
      <c r="AE126">
        <v>3</v>
      </c>
      <c r="AH126">
        <v>100</v>
      </c>
      <c r="AJ126">
        <v>1</v>
      </c>
    </row>
    <row r="127" spans="1:37" hidden="1" x14ac:dyDescent="0.3">
      <c r="A127" t="s">
        <v>306</v>
      </c>
      <c r="B127" t="s">
        <v>300</v>
      </c>
      <c r="C127" t="s">
        <v>304</v>
      </c>
      <c r="D127">
        <v>8331</v>
      </c>
      <c r="AC127">
        <v>0.5</v>
      </c>
      <c r="AF127">
        <v>2</v>
      </c>
      <c r="AG127">
        <v>12</v>
      </c>
      <c r="AH127">
        <v>330</v>
      </c>
      <c r="AI127">
        <v>1</v>
      </c>
    </row>
    <row r="128" spans="1:37" hidden="1" x14ac:dyDescent="0.3">
      <c r="A128" t="s">
        <v>307</v>
      </c>
      <c r="B128" t="s">
        <v>300</v>
      </c>
      <c r="C128" t="s">
        <v>304</v>
      </c>
      <c r="D128">
        <v>8330</v>
      </c>
      <c r="AC128">
        <v>0.5</v>
      </c>
      <c r="AF128">
        <v>2</v>
      </c>
      <c r="AG128">
        <v>20</v>
      </c>
      <c r="AH128">
        <v>330</v>
      </c>
      <c r="AI128">
        <v>1</v>
      </c>
    </row>
    <row r="129" spans="1:37" hidden="1" x14ac:dyDescent="0.3">
      <c r="A129" t="s">
        <v>305</v>
      </c>
      <c r="B129" t="s">
        <v>300</v>
      </c>
      <c r="C129" t="s">
        <v>304</v>
      </c>
      <c r="D129">
        <v>8332</v>
      </c>
      <c r="AC129">
        <v>0.5</v>
      </c>
      <c r="AF129">
        <v>2</v>
      </c>
      <c r="AG129">
        <v>7</v>
      </c>
      <c r="AH129">
        <v>330</v>
      </c>
      <c r="AI129">
        <v>1</v>
      </c>
    </row>
    <row r="130" spans="1:37" hidden="1" x14ac:dyDescent="0.3">
      <c r="A130" t="s">
        <v>525</v>
      </c>
      <c r="B130" t="s">
        <v>275</v>
      </c>
      <c r="C130" t="s">
        <v>16</v>
      </c>
      <c r="D130">
        <v>4183</v>
      </c>
      <c r="AF130">
        <v>0</v>
      </c>
      <c r="AG130">
        <v>4.5</v>
      </c>
      <c r="AH130">
        <v>800</v>
      </c>
      <c r="AI130">
        <v>0.67</v>
      </c>
    </row>
    <row r="131" spans="1:37" hidden="1" x14ac:dyDescent="0.3">
      <c r="A131" t="s">
        <v>524</v>
      </c>
      <c r="B131" t="s">
        <v>275</v>
      </c>
      <c r="C131" t="s">
        <v>16</v>
      </c>
      <c r="D131">
        <v>4184</v>
      </c>
      <c r="AF131">
        <v>0</v>
      </c>
      <c r="AG131">
        <v>4.5</v>
      </c>
      <c r="AH131">
        <v>800</v>
      </c>
      <c r="AI131">
        <v>0.67</v>
      </c>
    </row>
    <row r="132" spans="1:37" hidden="1" x14ac:dyDescent="0.3">
      <c r="A132" t="s">
        <v>523</v>
      </c>
      <c r="B132" t="s">
        <v>275</v>
      </c>
      <c r="C132" t="s">
        <v>16</v>
      </c>
      <c r="D132">
        <v>4185</v>
      </c>
      <c r="AF132">
        <v>0</v>
      </c>
      <c r="AG132">
        <v>4.5</v>
      </c>
      <c r="AH132">
        <v>800</v>
      </c>
      <c r="AI132">
        <v>0.67</v>
      </c>
    </row>
    <row r="133" spans="1:37" hidden="1" x14ac:dyDescent="0.3">
      <c r="A133" t="s">
        <v>521</v>
      </c>
      <c r="B133" t="s">
        <v>275</v>
      </c>
      <c r="C133" t="s">
        <v>16</v>
      </c>
      <c r="D133">
        <v>4187</v>
      </c>
      <c r="AF133">
        <v>0</v>
      </c>
      <c r="AG133">
        <v>4.5</v>
      </c>
      <c r="AH133">
        <v>800</v>
      </c>
      <c r="AI133">
        <v>0.67</v>
      </c>
    </row>
    <row r="134" spans="1:37" hidden="1" x14ac:dyDescent="0.3">
      <c r="A134" t="s">
        <v>520</v>
      </c>
      <c r="B134" t="s">
        <v>275</v>
      </c>
      <c r="C134" t="s">
        <v>16</v>
      </c>
      <c r="D134">
        <v>4188</v>
      </c>
      <c r="AF134">
        <v>0</v>
      </c>
      <c r="AG134">
        <v>4.5</v>
      </c>
      <c r="AH134">
        <v>800</v>
      </c>
      <c r="AI134">
        <v>0.67</v>
      </c>
    </row>
    <row r="135" spans="1:37" hidden="1" x14ac:dyDescent="0.3">
      <c r="A135" t="s">
        <v>495</v>
      </c>
      <c r="B135" t="s">
        <v>275</v>
      </c>
      <c r="C135" t="s">
        <v>16</v>
      </c>
      <c r="D135">
        <v>4232</v>
      </c>
      <c r="AF135">
        <v>0</v>
      </c>
      <c r="AG135">
        <v>4.5</v>
      </c>
      <c r="AH135">
        <v>800</v>
      </c>
      <c r="AI135">
        <v>0.67</v>
      </c>
    </row>
    <row r="136" spans="1:37" hidden="1" x14ac:dyDescent="0.3">
      <c r="A136" t="s">
        <v>329</v>
      </c>
      <c r="B136" t="s">
        <v>275</v>
      </c>
      <c r="C136" t="s">
        <v>16</v>
      </c>
      <c r="D136">
        <v>7802</v>
      </c>
      <c r="AF136">
        <v>0</v>
      </c>
      <c r="AG136">
        <v>4.5</v>
      </c>
      <c r="AH136">
        <v>800</v>
      </c>
      <c r="AI136">
        <v>1</v>
      </c>
    </row>
    <row r="137" spans="1:37" hidden="1" x14ac:dyDescent="0.3">
      <c r="A137" t="s">
        <v>16</v>
      </c>
      <c r="B137" t="s">
        <v>275</v>
      </c>
      <c r="C137" t="s">
        <v>16</v>
      </c>
      <c r="D137">
        <v>7800</v>
      </c>
      <c r="AF137">
        <v>0</v>
      </c>
      <c r="AG137">
        <v>4.5</v>
      </c>
      <c r="AH137">
        <v>800</v>
      </c>
      <c r="AI137">
        <v>1</v>
      </c>
    </row>
    <row r="138" spans="1:37" hidden="1" x14ac:dyDescent="0.3">
      <c r="A138" t="s">
        <v>283</v>
      </c>
      <c r="B138" t="s">
        <v>275</v>
      </c>
      <c r="C138" t="s">
        <v>16</v>
      </c>
      <c r="D138">
        <v>8800</v>
      </c>
      <c r="AF138">
        <v>0</v>
      </c>
      <c r="AG138">
        <v>4.5</v>
      </c>
      <c r="AH138">
        <v>800</v>
      </c>
      <c r="AI138">
        <v>1</v>
      </c>
    </row>
    <row r="139" spans="1:37" hidden="1" x14ac:dyDescent="0.3">
      <c r="A139" t="s">
        <v>494</v>
      </c>
      <c r="B139" t="s">
        <v>275</v>
      </c>
      <c r="C139" t="s">
        <v>16</v>
      </c>
      <c r="D139">
        <v>4233</v>
      </c>
      <c r="AF139">
        <v>0</v>
      </c>
      <c r="AG139">
        <v>4.5</v>
      </c>
      <c r="AH139">
        <v>800</v>
      </c>
      <c r="AI139">
        <v>0.67</v>
      </c>
    </row>
    <row r="140" spans="1:37" hidden="1" x14ac:dyDescent="0.3">
      <c r="A140" t="s">
        <v>651</v>
      </c>
      <c r="B140" t="s">
        <v>275</v>
      </c>
      <c r="C140" t="s">
        <v>16</v>
      </c>
      <c r="D140">
        <v>3016</v>
      </c>
      <c r="E140">
        <v>0</v>
      </c>
      <c r="I140">
        <v>7.9218150000000005E-3</v>
      </c>
      <c r="K140">
        <v>8.6689355540000008</v>
      </c>
      <c r="L140">
        <v>0</v>
      </c>
      <c r="M140">
        <v>0</v>
      </c>
      <c r="N140">
        <v>0.67</v>
      </c>
      <c r="O140">
        <v>0</v>
      </c>
      <c r="P140">
        <v>0</v>
      </c>
      <c r="Q140">
        <v>0</v>
      </c>
      <c r="R140">
        <v>0</v>
      </c>
      <c r="S140">
        <v>2.7</v>
      </c>
      <c r="V140">
        <v>1.0362554E-2</v>
      </c>
      <c r="W140">
        <v>2</v>
      </c>
      <c r="X140">
        <v>0</v>
      </c>
      <c r="Y140">
        <v>0.67</v>
      </c>
      <c r="Z140">
        <v>0</v>
      </c>
      <c r="AA140">
        <v>0</v>
      </c>
      <c r="AB140">
        <v>0</v>
      </c>
      <c r="AC140">
        <v>0.83333333300000001</v>
      </c>
      <c r="AE140">
        <v>1.2</v>
      </c>
      <c r="AF140">
        <v>0</v>
      </c>
      <c r="AG140">
        <v>10.68721992</v>
      </c>
      <c r="AH140">
        <v>800</v>
      </c>
      <c r="AI140">
        <v>0.67</v>
      </c>
      <c r="AJ140">
        <v>0</v>
      </c>
      <c r="AK140">
        <v>0.83333333300000001</v>
      </c>
    </row>
    <row r="141" spans="1:37" hidden="1" x14ac:dyDescent="0.3">
      <c r="A141" t="s">
        <v>627</v>
      </c>
      <c r="B141" t="s">
        <v>275</v>
      </c>
      <c r="C141" t="s">
        <v>16</v>
      </c>
      <c r="D141">
        <v>3044</v>
      </c>
      <c r="E141">
        <v>20</v>
      </c>
      <c r="I141">
        <v>0</v>
      </c>
      <c r="J141">
        <v>0</v>
      </c>
      <c r="K141">
        <v>0</v>
      </c>
      <c r="L141">
        <v>0</v>
      </c>
      <c r="M141">
        <v>1</v>
      </c>
      <c r="N141">
        <v>0.15</v>
      </c>
      <c r="O141">
        <v>1.5</v>
      </c>
      <c r="P141">
        <v>25</v>
      </c>
      <c r="Q141">
        <v>0</v>
      </c>
      <c r="R141">
        <v>0</v>
      </c>
      <c r="S141">
        <v>0</v>
      </c>
      <c r="V141">
        <v>0</v>
      </c>
      <c r="W141">
        <v>0</v>
      </c>
      <c r="X141">
        <v>0</v>
      </c>
      <c r="Y141">
        <v>0.15</v>
      </c>
      <c r="Z141">
        <v>0.3</v>
      </c>
      <c r="AA141">
        <v>0</v>
      </c>
      <c r="AB141">
        <v>0</v>
      </c>
      <c r="AC141">
        <v>0.66666666699999999</v>
      </c>
      <c r="AE141">
        <v>1.2</v>
      </c>
      <c r="AF141">
        <v>0</v>
      </c>
      <c r="AG141">
        <v>0</v>
      </c>
      <c r="AH141">
        <v>800</v>
      </c>
      <c r="AI141">
        <v>0.6</v>
      </c>
      <c r="AJ141">
        <v>0</v>
      </c>
      <c r="AK141">
        <v>0.66666666699999999</v>
      </c>
    </row>
    <row r="142" spans="1:37" hidden="1" x14ac:dyDescent="0.3">
      <c r="A142" t="s">
        <v>629</v>
      </c>
      <c r="B142" t="s">
        <v>275</v>
      </c>
      <c r="C142" t="s">
        <v>16</v>
      </c>
      <c r="D142">
        <v>3042</v>
      </c>
      <c r="E142">
        <v>0</v>
      </c>
      <c r="I142">
        <v>1.8178351880000001</v>
      </c>
      <c r="J142">
        <v>0</v>
      </c>
      <c r="K142">
        <v>0</v>
      </c>
      <c r="L142">
        <v>0.15</v>
      </c>
      <c r="M142">
        <v>0</v>
      </c>
      <c r="N142">
        <v>0.4</v>
      </c>
      <c r="O142">
        <v>0</v>
      </c>
      <c r="P142">
        <v>0</v>
      </c>
      <c r="Q142">
        <v>0</v>
      </c>
      <c r="R142">
        <v>3</v>
      </c>
      <c r="S142">
        <v>0</v>
      </c>
      <c r="V142">
        <v>0.35348919000000001</v>
      </c>
      <c r="W142">
        <v>0</v>
      </c>
      <c r="X142">
        <v>0.15</v>
      </c>
      <c r="Y142">
        <v>0.4</v>
      </c>
      <c r="Z142">
        <v>0</v>
      </c>
      <c r="AA142">
        <v>2</v>
      </c>
      <c r="AB142">
        <v>0</v>
      </c>
      <c r="AC142">
        <v>0.66666666699999999</v>
      </c>
      <c r="AE142">
        <v>1.5</v>
      </c>
      <c r="AF142">
        <v>0</v>
      </c>
      <c r="AG142">
        <v>0</v>
      </c>
      <c r="AH142">
        <v>800</v>
      </c>
      <c r="AI142">
        <v>0</v>
      </c>
      <c r="AJ142">
        <v>0</v>
      </c>
      <c r="AK142">
        <v>0.66666666699999999</v>
      </c>
    </row>
    <row r="143" spans="1:37" hidden="1" x14ac:dyDescent="0.3">
      <c r="A143" t="s">
        <v>655</v>
      </c>
      <c r="B143" t="s">
        <v>275</v>
      </c>
      <c r="C143" t="s">
        <v>16</v>
      </c>
      <c r="D143">
        <v>3004</v>
      </c>
      <c r="E143">
        <v>0</v>
      </c>
      <c r="I143">
        <v>7.9218150000000005E-3</v>
      </c>
      <c r="K143">
        <v>12.14794521</v>
      </c>
      <c r="L143">
        <v>0</v>
      </c>
      <c r="M143">
        <v>0</v>
      </c>
      <c r="N143">
        <v>0.7</v>
      </c>
      <c r="O143">
        <v>0</v>
      </c>
      <c r="P143">
        <v>25</v>
      </c>
      <c r="Q143">
        <v>0</v>
      </c>
      <c r="R143">
        <v>0</v>
      </c>
      <c r="S143">
        <v>3.4</v>
      </c>
      <c r="V143">
        <v>1.0362554E-2</v>
      </c>
      <c r="W143">
        <v>1</v>
      </c>
      <c r="X143">
        <v>0</v>
      </c>
      <c r="Y143">
        <v>0.7</v>
      </c>
      <c r="Z143">
        <v>0</v>
      </c>
      <c r="AA143">
        <v>0</v>
      </c>
      <c r="AB143">
        <v>0</v>
      </c>
      <c r="AC143">
        <v>0.66666666699999999</v>
      </c>
      <c r="AE143">
        <v>1.5</v>
      </c>
      <c r="AF143">
        <v>0</v>
      </c>
      <c r="AG143">
        <v>13.16622957</v>
      </c>
      <c r="AH143">
        <v>800</v>
      </c>
      <c r="AI143">
        <v>0.7</v>
      </c>
      <c r="AJ143">
        <v>0</v>
      </c>
      <c r="AK143">
        <v>0.66666666699999999</v>
      </c>
    </row>
    <row r="144" spans="1:37" hidden="1" x14ac:dyDescent="0.3">
      <c r="A144" t="s">
        <v>330</v>
      </c>
      <c r="B144" t="s">
        <v>275</v>
      </c>
      <c r="C144" t="s">
        <v>16</v>
      </c>
      <c r="D144">
        <v>7801</v>
      </c>
      <c r="AF144">
        <v>0</v>
      </c>
      <c r="AG144">
        <v>4.5</v>
      </c>
      <c r="AH144">
        <v>800</v>
      </c>
      <c r="AI144">
        <v>1</v>
      </c>
    </row>
    <row r="145" spans="1:37" hidden="1" x14ac:dyDescent="0.3">
      <c r="A145" t="s">
        <v>620</v>
      </c>
      <c r="B145" t="s">
        <v>275</v>
      </c>
      <c r="C145" t="s">
        <v>16</v>
      </c>
      <c r="D145">
        <v>2800</v>
      </c>
      <c r="F145">
        <v>0</v>
      </c>
      <c r="G145">
        <v>0</v>
      </c>
      <c r="H145">
        <v>1.5</v>
      </c>
      <c r="I145">
        <v>0</v>
      </c>
      <c r="J145">
        <v>0</v>
      </c>
      <c r="K145">
        <v>5.0999999999999996</v>
      </c>
      <c r="L145">
        <v>0</v>
      </c>
      <c r="M145">
        <v>1</v>
      </c>
      <c r="N145">
        <v>0.9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0.9</v>
      </c>
      <c r="AE145">
        <v>1.2</v>
      </c>
      <c r="AF145">
        <v>1.5</v>
      </c>
      <c r="AG145">
        <v>5.0999999999999996</v>
      </c>
      <c r="AH145">
        <v>800</v>
      </c>
      <c r="AI145">
        <v>0.9</v>
      </c>
    </row>
    <row r="146" spans="1:37" hidden="1" x14ac:dyDescent="0.3">
      <c r="A146" t="s">
        <v>620</v>
      </c>
      <c r="B146" t="s">
        <v>275</v>
      </c>
      <c r="C146" t="s">
        <v>16</v>
      </c>
      <c r="D146">
        <v>3062</v>
      </c>
      <c r="E146">
        <v>0</v>
      </c>
      <c r="I146">
        <v>7.9218150000000005E-3</v>
      </c>
      <c r="K146">
        <v>0</v>
      </c>
      <c r="L146">
        <v>0</v>
      </c>
      <c r="M146">
        <v>0</v>
      </c>
      <c r="N146">
        <v>1</v>
      </c>
      <c r="O146">
        <v>0</v>
      </c>
      <c r="P146">
        <v>0</v>
      </c>
      <c r="Q146">
        <v>0</v>
      </c>
      <c r="R146">
        <v>0</v>
      </c>
      <c r="S146">
        <v>0</v>
      </c>
      <c r="V146">
        <v>1.0362554E-2</v>
      </c>
      <c r="W146">
        <v>0</v>
      </c>
      <c r="X146">
        <v>0</v>
      </c>
      <c r="Y146">
        <v>1</v>
      </c>
      <c r="Z146">
        <v>0</v>
      </c>
      <c r="AA146">
        <v>0</v>
      </c>
      <c r="AB146">
        <v>0</v>
      </c>
      <c r="AC146">
        <v>0.83333333300000001</v>
      </c>
      <c r="AE146">
        <v>1.2</v>
      </c>
      <c r="AF146">
        <v>0</v>
      </c>
      <c r="AG146">
        <v>1.8284369000000002E-2</v>
      </c>
      <c r="AH146">
        <v>800</v>
      </c>
      <c r="AI146">
        <v>1</v>
      </c>
      <c r="AJ146">
        <v>0</v>
      </c>
      <c r="AK146">
        <v>0.83333333300000001</v>
      </c>
    </row>
    <row r="147" spans="1:37" hidden="1" x14ac:dyDescent="0.3">
      <c r="A147" t="s">
        <v>618</v>
      </c>
      <c r="B147" t="s">
        <v>275</v>
      </c>
      <c r="C147" t="s">
        <v>16</v>
      </c>
      <c r="D147">
        <v>3064</v>
      </c>
      <c r="E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E147">
        <v>0</v>
      </c>
      <c r="AF147">
        <v>0</v>
      </c>
      <c r="AG147">
        <v>0</v>
      </c>
      <c r="AH147">
        <v>800</v>
      </c>
      <c r="AI147">
        <v>0</v>
      </c>
      <c r="AJ147">
        <v>0</v>
      </c>
      <c r="AK147">
        <v>0</v>
      </c>
    </row>
    <row r="148" spans="1:37" hidden="1" x14ac:dyDescent="0.3">
      <c r="A148" t="s">
        <v>493</v>
      </c>
      <c r="B148" t="s">
        <v>275</v>
      </c>
      <c r="C148" t="s">
        <v>16</v>
      </c>
      <c r="D148">
        <v>4234</v>
      </c>
      <c r="AF148">
        <v>0</v>
      </c>
      <c r="AG148">
        <v>4.5</v>
      </c>
      <c r="AH148">
        <v>800</v>
      </c>
      <c r="AI148">
        <v>0.67</v>
      </c>
    </row>
    <row r="149" spans="1:37" hidden="1" x14ac:dyDescent="0.3">
      <c r="A149" t="s">
        <v>428</v>
      </c>
      <c r="B149" t="s">
        <v>275</v>
      </c>
      <c r="C149" t="s">
        <v>16</v>
      </c>
      <c r="D149">
        <v>5062</v>
      </c>
      <c r="AF149">
        <v>0</v>
      </c>
      <c r="AG149">
        <v>4.5</v>
      </c>
      <c r="AH149">
        <v>800</v>
      </c>
      <c r="AI149">
        <v>1</v>
      </c>
    </row>
    <row r="150" spans="1:37" hidden="1" x14ac:dyDescent="0.3">
      <c r="A150" t="s">
        <v>483</v>
      </c>
      <c r="B150" t="s">
        <v>275</v>
      </c>
      <c r="C150" t="s">
        <v>16</v>
      </c>
      <c r="D150">
        <v>5006</v>
      </c>
      <c r="AF150">
        <v>0</v>
      </c>
      <c r="AG150">
        <v>1</v>
      </c>
      <c r="AH150">
        <v>800</v>
      </c>
      <c r="AI150">
        <v>1</v>
      </c>
    </row>
    <row r="151" spans="1:37" hidden="1" x14ac:dyDescent="0.3">
      <c r="A151" t="s">
        <v>486</v>
      </c>
      <c r="B151" t="s">
        <v>275</v>
      </c>
      <c r="C151" t="s">
        <v>16</v>
      </c>
      <c r="D151">
        <v>5003</v>
      </c>
      <c r="AF151">
        <v>0</v>
      </c>
      <c r="AG151">
        <v>4.5</v>
      </c>
      <c r="AH151">
        <v>800</v>
      </c>
      <c r="AI151">
        <v>1</v>
      </c>
    </row>
    <row r="152" spans="1:37" hidden="1" x14ac:dyDescent="0.3">
      <c r="A152" t="s">
        <v>377</v>
      </c>
      <c r="B152" t="s">
        <v>275</v>
      </c>
      <c r="C152" t="s">
        <v>16</v>
      </c>
      <c r="D152">
        <v>6803</v>
      </c>
      <c r="AF152">
        <v>0</v>
      </c>
      <c r="AG152">
        <v>4.5</v>
      </c>
      <c r="AH152">
        <v>800</v>
      </c>
      <c r="AI152">
        <v>1</v>
      </c>
    </row>
    <row r="153" spans="1:37" hidden="1" x14ac:dyDescent="0.3">
      <c r="A153" t="s">
        <v>328</v>
      </c>
      <c r="B153" t="s">
        <v>275</v>
      </c>
      <c r="C153" t="s">
        <v>16</v>
      </c>
      <c r="D153">
        <v>7803</v>
      </c>
      <c r="AF153">
        <v>0</v>
      </c>
      <c r="AG153">
        <v>4.5</v>
      </c>
      <c r="AH153">
        <v>800</v>
      </c>
      <c r="AI153">
        <v>1</v>
      </c>
    </row>
    <row r="154" spans="1:37" hidden="1" x14ac:dyDescent="0.3">
      <c r="A154" t="s">
        <v>679</v>
      </c>
      <c r="B154" t="s">
        <v>275</v>
      </c>
      <c r="C154" t="s">
        <v>16</v>
      </c>
      <c r="D154">
        <v>2210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3</v>
      </c>
      <c r="L154">
        <v>0</v>
      </c>
      <c r="M154">
        <v>1</v>
      </c>
      <c r="N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1</v>
      </c>
      <c r="AE154">
        <v>1.2</v>
      </c>
      <c r="AF154">
        <v>0</v>
      </c>
      <c r="AG154">
        <v>3</v>
      </c>
      <c r="AH154">
        <v>210</v>
      </c>
      <c r="AI154">
        <v>1</v>
      </c>
    </row>
    <row r="155" spans="1:37" hidden="1" x14ac:dyDescent="0.3">
      <c r="A155" t="s">
        <v>672</v>
      </c>
      <c r="B155" t="s">
        <v>275</v>
      </c>
      <c r="C155" t="s">
        <v>16</v>
      </c>
      <c r="D155">
        <v>2360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4.5</v>
      </c>
      <c r="L155">
        <v>0</v>
      </c>
      <c r="M155">
        <v>1</v>
      </c>
      <c r="N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</v>
      </c>
      <c r="AE155">
        <v>1.2</v>
      </c>
      <c r="AF155">
        <v>0</v>
      </c>
      <c r="AG155">
        <v>4.5</v>
      </c>
      <c r="AH155">
        <v>360</v>
      </c>
      <c r="AI155">
        <v>1</v>
      </c>
    </row>
    <row r="156" spans="1:37" hidden="1" x14ac:dyDescent="0.3">
      <c r="A156" t="s">
        <v>282</v>
      </c>
      <c r="B156" t="s">
        <v>275</v>
      </c>
      <c r="C156" t="s">
        <v>16</v>
      </c>
      <c r="D156">
        <v>8801</v>
      </c>
      <c r="AF156">
        <v>0</v>
      </c>
      <c r="AG156">
        <v>4.5</v>
      </c>
      <c r="AH156">
        <v>800</v>
      </c>
      <c r="AI156">
        <v>1</v>
      </c>
    </row>
    <row r="157" spans="1:37" hidden="1" x14ac:dyDescent="0.3">
      <c r="A157" t="s">
        <v>379</v>
      </c>
      <c r="B157" t="s">
        <v>275</v>
      </c>
      <c r="C157" t="s">
        <v>16</v>
      </c>
      <c r="D157">
        <v>6801</v>
      </c>
      <c r="AF157">
        <v>0</v>
      </c>
      <c r="AG157">
        <v>4.5</v>
      </c>
      <c r="AH157">
        <v>800</v>
      </c>
      <c r="AI157">
        <v>1</v>
      </c>
    </row>
    <row r="158" spans="1:37" hidden="1" x14ac:dyDescent="0.3">
      <c r="A158" t="s">
        <v>378</v>
      </c>
      <c r="B158" t="s">
        <v>275</v>
      </c>
      <c r="C158" t="s">
        <v>16</v>
      </c>
      <c r="D158">
        <v>6802</v>
      </c>
      <c r="AF158">
        <v>0</v>
      </c>
      <c r="AG158">
        <v>4.5</v>
      </c>
      <c r="AH158">
        <v>800</v>
      </c>
      <c r="AI158">
        <v>1</v>
      </c>
    </row>
    <row r="159" spans="1:37" hidden="1" x14ac:dyDescent="0.3">
      <c r="A159" t="s">
        <v>281</v>
      </c>
      <c r="B159" t="s">
        <v>275</v>
      </c>
      <c r="C159" t="s">
        <v>16</v>
      </c>
      <c r="D159">
        <v>8802</v>
      </c>
      <c r="AF159">
        <v>0</v>
      </c>
      <c r="AG159">
        <v>4.5</v>
      </c>
      <c r="AH159">
        <v>800</v>
      </c>
      <c r="AI159">
        <v>1</v>
      </c>
    </row>
    <row r="160" spans="1:37" hidden="1" x14ac:dyDescent="0.3">
      <c r="A160" t="s">
        <v>280</v>
      </c>
      <c r="B160" t="s">
        <v>275</v>
      </c>
      <c r="C160" t="s">
        <v>16</v>
      </c>
      <c r="D160">
        <v>8803</v>
      </c>
      <c r="AF160">
        <v>0</v>
      </c>
      <c r="AG160">
        <v>4.5</v>
      </c>
      <c r="AH160">
        <v>800</v>
      </c>
      <c r="AI160">
        <v>1</v>
      </c>
    </row>
    <row r="161" spans="1:37" hidden="1" x14ac:dyDescent="0.3">
      <c r="A161" t="s">
        <v>299</v>
      </c>
      <c r="B161" t="s">
        <v>275</v>
      </c>
      <c r="C161" t="s">
        <v>16</v>
      </c>
      <c r="D161">
        <v>2370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4.5</v>
      </c>
      <c r="L161">
        <v>0</v>
      </c>
      <c r="M161">
        <v>1</v>
      </c>
      <c r="N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</v>
      </c>
      <c r="AE161">
        <v>1.2</v>
      </c>
      <c r="AF161">
        <v>0</v>
      </c>
      <c r="AG161">
        <v>4.5</v>
      </c>
      <c r="AH161">
        <v>370</v>
      </c>
      <c r="AI161">
        <v>1</v>
      </c>
    </row>
    <row r="162" spans="1:37" hidden="1" x14ac:dyDescent="0.3">
      <c r="A162" t="s">
        <v>527</v>
      </c>
      <c r="B162" t="s">
        <v>337</v>
      </c>
      <c r="C162" t="s">
        <v>47</v>
      </c>
      <c r="D162">
        <v>4181</v>
      </c>
      <c r="O162">
        <v>1</v>
      </c>
      <c r="AF162">
        <v>0</v>
      </c>
      <c r="AG162">
        <v>11</v>
      </c>
      <c r="AH162">
        <v>600</v>
      </c>
      <c r="AI162">
        <v>0.4</v>
      </c>
      <c r="AK162">
        <v>0.35</v>
      </c>
    </row>
    <row r="163" spans="1:37" hidden="1" x14ac:dyDescent="0.3">
      <c r="A163" t="s">
        <v>526</v>
      </c>
      <c r="B163" t="s">
        <v>337</v>
      </c>
      <c r="C163" t="s">
        <v>47</v>
      </c>
      <c r="D163">
        <v>4182</v>
      </c>
      <c r="O163">
        <v>1</v>
      </c>
      <c r="AF163">
        <v>0</v>
      </c>
      <c r="AG163">
        <v>11</v>
      </c>
      <c r="AH163">
        <v>600</v>
      </c>
      <c r="AI163">
        <v>0.4</v>
      </c>
      <c r="AK163">
        <v>0.35</v>
      </c>
    </row>
    <row r="164" spans="1:37" hidden="1" x14ac:dyDescent="0.3">
      <c r="A164" t="s">
        <v>665</v>
      </c>
      <c r="B164" t="s">
        <v>337</v>
      </c>
      <c r="C164" t="s">
        <v>47</v>
      </c>
      <c r="D164">
        <v>2604</v>
      </c>
      <c r="F164">
        <v>0</v>
      </c>
      <c r="G164">
        <v>0</v>
      </c>
      <c r="H164">
        <v>0.7</v>
      </c>
      <c r="I164">
        <v>0</v>
      </c>
      <c r="J164">
        <v>0</v>
      </c>
      <c r="K164">
        <v>2.6</v>
      </c>
      <c r="L164">
        <v>0</v>
      </c>
      <c r="M164">
        <v>1</v>
      </c>
      <c r="N164">
        <v>0.15</v>
      </c>
      <c r="O164">
        <v>0.25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0.15</v>
      </c>
      <c r="AE164">
        <v>1</v>
      </c>
      <c r="AF164">
        <v>0.7</v>
      </c>
      <c r="AG164">
        <v>2.6</v>
      </c>
      <c r="AH164">
        <v>600</v>
      </c>
      <c r="AI164">
        <v>0.15</v>
      </c>
      <c r="AK164">
        <v>0.67</v>
      </c>
    </row>
    <row r="165" spans="1:37" hidden="1" x14ac:dyDescent="0.3">
      <c r="A165" t="s">
        <v>345</v>
      </c>
      <c r="B165" t="s">
        <v>337</v>
      </c>
      <c r="C165" t="s">
        <v>47</v>
      </c>
      <c r="D165">
        <v>7601</v>
      </c>
      <c r="O165">
        <v>0.5</v>
      </c>
      <c r="AF165">
        <v>0</v>
      </c>
      <c r="AG165">
        <v>5.9</v>
      </c>
      <c r="AH165">
        <v>600</v>
      </c>
      <c r="AI165">
        <v>0.95</v>
      </c>
      <c r="AK165">
        <v>0.67</v>
      </c>
    </row>
    <row r="166" spans="1:37" hidden="1" x14ac:dyDescent="0.3">
      <c r="A166" t="s">
        <v>415</v>
      </c>
      <c r="B166" t="s">
        <v>337</v>
      </c>
      <c r="C166" t="s">
        <v>47</v>
      </c>
      <c r="D166">
        <v>6111</v>
      </c>
      <c r="O166">
        <v>1.5</v>
      </c>
      <c r="AF166">
        <v>0.7</v>
      </c>
      <c r="AG166">
        <v>15</v>
      </c>
      <c r="AH166">
        <v>600</v>
      </c>
      <c r="AI166">
        <v>0.1</v>
      </c>
      <c r="AK166">
        <v>0.67</v>
      </c>
    </row>
    <row r="167" spans="1:37" hidden="1" x14ac:dyDescent="0.3">
      <c r="A167" t="s">
        <v>385</v>
      </c>
      <c r="B167" t="s">
        <v>337</v>
      </c>
      <c r="C167" t="s">
        <v>47</v>
      </c>
      <c r="D167">
        <v>6551</v>
      </c>
      <c r="O167">
        <v>0.5</v>
      </c>
      <c r="AF167">
        <v>0</v>
      </c>
      <c r="AG167">
        <v>5</v>
      </c>
      <c r="AH167">
        <v>600</v>
      </c>
      <c r="AI167">
        <v>0.05</v>
      </c>
      <c r="AK167">
        <v>0.67</v>
      </c>
    </row>
    <row r="168" spans="1:37" hidden="1" x14ac:dyDescent="0.3">
      <c r="A168" t="s">
        <v>456</v>
      </c>
      <c r="B168" t="s">
        <v>337</v>
      </c>
      <c r="C168" t="s">
        <v>47</v>
      </c>
      <c r="D168">
        <v>5033</v>
      </c>
      <c r="O168">
        <v>1.3</v>
      </c>
      <c r="AF168">
        <v>1.3</v>
      </c>
      <c r="AG168">
        <v>12.4</v>
      </c>
      <c r="AH168">
        <v>600</v>
      </c>
      <c r="AI168">
        <v>0.1</v>
      </c>
      <c r="AK168">
        <v>0.67</v>
      </c>
    </row>
    <row r="169" spans="1:37" hidden="1" x14ac:dyDescent="0.3">
      <c r="A169" t="s">
        <v>384</v>
      </c>
      <c r="B169" t="s">
        <v>337</v>
      </c>
      <c r="C169" t="s">
        <v>47</v>
      </c>
      <c r="D169">
        <v>6602</v>
      </c>
      <c r="O169">
        <v>2</v>
      </c>
      <c r="AF169">
        <v>0</v>
      </c>
      <c r="AG169">
        <v>10</v>
      </c>
      <c r="AH169">
        <v>600</v>
      </c>
      <c r="AI169">
        <v>0.05</v>
      </c>
      <c r="AK169">
        <v>0.35</v>
      </c>
    </row>
    <row r="170" spans="1:37" hidden="1" x14ac:dyDescent="0.3">
      <c r="A170" t="s">
        <v>450</v>
      </c>
      <c r="B170" t="s">
        <v>337</v>
      </c>
      <c r="C170" t="s">
        <v>47</v>
      </c>
      <c r="D170">
        <v>5040</v>
      </c>
      <c r="O170">
        <v>1.3</v>
      </c>
      <c r="AF170">
        <v>0.7</v>
      </c>
      <c r="AG170">
        <v>9.8000000000000007</v>
      </c>
      <c r="AH170">
        <v>600</v>
      </c>
      <c r="AI170">
        <v>0.1</v>
      </c>
      <c r="AK170">
        <v>0.67</v>
      </c>
    </row>
    <row r="171" spans="1:37" hidden="1" x14ac:dyDescent="0.3">
      <c r="A171" t="s">
        <v>637</v>
      </c>
      <c r="B171" t="s">
        <v>337</v>
      </c>
      <c r="C171" t="s">
        <v>47</v>
      </c>
      <c r="D171">
        <v>3031</v>
      </c>
      <c r="E171">
        <v>0</v>
      </c>
      <c r="I171">
        <v>1.8178351880000001</v>
      </c>
      <c r="J171">
        <v>0</v>
      </c>
      <c r="K171">
        <v>5.7</v>
      </c>
      <c r="L171">
        <v>0.15</v>
      </c>
      <c r="M171">
        <v>0</v>
      </c>
      <c r="N171">
        <v>0.2</v>
      </c>
      <c r="O171">
        <v>1.3</v>
      </c>
      <c r="P171">
        <v>25</v>
      </c>
      <c r="Q171">
        <v>0</v>
      </c>
      <c r="R171">
        <v>3</v>
      </c>
      <c r="S171">
        <v>1.98</v>
      </c>
      <c r="V171">
        <v>6.0602806239999998</v>
      </c>
      <c r="W171">
        <v>9</v>
      </c>
      <c r="X171">
        <v>0.35</v>
      </c>
      <c r="Y171">
        <v>0.2</v>
      </c>
      <c r="Z171">
        <v>0</v>
      </c>
      <c r="AA171">
        <v>3.5</v>
      </c>
      <c r="AB171">
        <v>0</v>
      </c>
      <c r="AC171">
        <v>0.25</v>
      </c>
      <c r="AE171">
        <v>4</v>
      </c>
      <c r="AF171">
        <v>0</v>
      </c>
      <c r="AG171">
        <v>0</v>
      </c>
      <c r="AH171">
        <v>600</v>
      </c>
      <c r="AI171">
        <v>0.2</v>
      </c>
      <c r="AJ171">
        <v>0</v>
      </c>
      <c r="AK171">
        <v>0.25</v>
      </c>
    </row>
    <row r="172" spans="1:37" hidden="1" x14ac:dyDescent="0.3">
      <c r="A172" t="s">
        <v>643</v>
      </c>
      <c r="B172" t="s">
        <v>337</v>
      </c>
      <c r="C172" t="s">
        <v>47</v>
      </c>
      <c r="D172">
        <v>3024</v>
      </c>
      <c r="E172">
        <v>0</v>
      </c>
      <c r="I172">
        <v>7.9218150000000005E-3</v>
      </c>
      <c r="J172">
        <v>0</v>
      </c>
      <c r="K172">
        <v>5.7569311479999996</v>
      </c>
      <c r="L172">
        <v>0</v>
      </c>
      <c r="M172">
        <v>0</v>
      </c>
      <c r="N172">
        <v>0.6</v>
      </c>
      <c r="O172">
        <v>0.9</v>
      </c>
      <c r="P172">
        <v>0</v>
      </c>
      <c r="Q172">
        <v>0</v>
      </c>
      <c r="R172">
        <v>0</v>
      </c>
      <c r="S172">
        <v>1.98</v>
      </c>
      <c r="V172">
        <v>8.3995663399999998</v>
      </c>
      <c r="W172">
        <v>0</v>
      </c>
      <c r="X172">
        <v>0.6</v>
      </c>
      <c r="Y172">
        <v>0.6</v>
      </c>
      <c r="Z172">
        <v>0</v>
      </c>
      <c r="AA172">
        <v>3.75</v>
      </c>
      <c r="AB172">
        <v>0</v>
      </c>
      <c r="AC172">
        <v>0.66666666699999999</v>
      </c>
      <c r="AE172">
        <v>1.5</v>
      </c>
      <c r="AF172">
        <v>0</v>
      </c>
      <c r="AG172">
        <v>14.1644193</v>
      </c>
      <c r="AH172">
        <v>600</v>
      </c>
      <c r="AI172">
        <v>0.6</v>
      </c>
      <c r="AJ172">
        <v>0</v>
      </c>
      <c r="AK172">
        <v>0.66666666699999999</v>
      </c>
    </row>
    <row r="173" spans="1:37" hidden="1" x14ac:dyDescent="0.3">
      <c r="A173" t="s">
        <v>340</v>
      </c>
      <c r="B173" t="s">
        <v>337</v>
      </c>
      <c r="C173" t="s">
        <v>47</v>
      </c>
      <c r="D173">
        <v>7610</v>
      </c>
      <c r="O173">
        <v>3</v>
      </c>
      <c r="AF173">
        <v>0</v>
      </c>
      <c r="AG173">
        <v>24</v>
      </c>
      <c r="AH173">
        <v>600</v>
      </c>
      <c r="AI173">
        <v>0.3</v>
      </c>
      <c r="AK173">
        <v>0.35</v>
      </c>
    </row>
    <row r="174" spans="1:37" hidden="1" x14ac:dyDescent="0.3">
      <c r="A174" t="s">
        <v>47</v>
      </c>
      <c r="B174" t="s">
        <v>337</v>
      </c>
      <c r="C174" t="s">
        <v>47</v>
      </c>
      <c r="D174">
        <v>5039</v>
      </c>
      <c r="O174">
        <v>1.3</v>
      </c>
      <c r="AF174">
        <v>0.5</v>
      </c>
      <c r="AG174">
        <v>10.6</v>
      </c>
      <c r="AH174">
        <v>600</v>
      </c>
      <c r="AI174">
        <v>0.1</v>
      </c>
      <c r="AK174">
        <v>0.67</v>
      </c>
    </row>
    <row r="175" spans="1:37" hidden="1" x14ac:dyDescent="0.3">
      <c r="A175" t="s">
        <v>47</v>
      </c>
      <c r="B175" t="s">
        <v>337</v>
      </c>
      <c r="C175" t="s">
        <v>47</v>
      </c>
      <c r="D175">
        <v>6601</v>
      </c>
      <c r="O175">
        <v>1.2</v>
      </c>
      <c r="AF175">
        <v>0</v>
      </c>
      <c r="AG175">
        <v>6.09</v>
      </c>
      <c r="AH175">
        <v>600</v>
      </c>
      <c r="AI175">
        <v>0.27</v>
      </c>
      <c r="AK175">
        <v>0.67</v>
      </c>
    </row>
    <row r="176" spans="1:37" hidden="1" x14ac:dyDescent="0.3">
      <c r="A176" t="s">
        <v>650</v>
      </c>
      <c r="B176" t="s">
        <v>337</v>
      </c>
      <c r="C176" t="s">
        <v>47</v>
      </c>
      <c r="D176">
        <v>3017</v>
      </c>
      <c r="E176">
        <v>0</v>
      </c>
      <c r="I176">
        <v>7.9218150000000005E-3</v>
      </c>
      <c r="J176">
        <v>0</v>
      </c>
      <c r="K176">
        <v>6.5866306549999996</v>
      </c>
      <c r="L176">
        <v>0</v>
      </c>
      <c r="M176">
        <v>0</v>
      </c>
      <c r="N176">
        <v>0.1</v>
      </c>
      <c r="O176">
        <v>1.3</v>
      </c>
      <c r="P176">
        <v>0</v>
      </c>
      <c r="Q176">
        <v>0</v>
      </c>
      <c r="R176">
        <v>0</v>
      </c>
      <c r="S176">
        <v>2.2000000000000002</v>
      </c>
      <c r="V176">
        <v>6.0602806239999998</v>
      </c>
      <c r="W176">
        <v>0</v>
      </c>
      <c r="X176">
        <v>0.25</v>
      </c>
      <c r="Y176">
        <v>0.1</v>
      </c>
      <c r="Z176">
        <v>0</v>
      </c>
      <c r="AA176">
        <v>3.5</v>
      </c>
      <c r="AB176">
        <v>0</v>
      </c>
      <c r="AC176">
        <v>0.66666666699999999</v>
      </c>
      <c r="AE176">
        <v>1.5</v>
      </c>
      <c r="AF176">
        <v>0</v>
      </c>
      <c r="AG176">
        <v>12.65483309</v>
      </c>
      <c r="AH176">
        <v>600</v>
      </c>
      <c r="AI176">
        <v>0.1</v>
      </c>
      <c r="AJ176">
        <v>0</v>
      </c>
      <c r="AK176">
        <v>0.66666666699999999</v>
      </c>
    </row>
    <row r="177" spans="1:37" hidden="1" x14ac:dyDescent="0.3">
      <c r="A177" t="s">
        <v>344</v>
      </c>
      <c r="B177" t="s">
        <v>337</v>
      </c>
      <c r="C177" t="s">
        <v>47</v>
      </c>
      <c r="D177">
        <v>7602</v>
      </c>
      <c r="O177">
        <v>0.5</v>
      </c>
      <c r="AF177">
        <v>0</v>
      </c>
      <c r="AG177">
        <v>5.9</v>
      </c>
      <c r="AH177">
        <v>600</v>
      </c>
      <c r="AI177">
        <v>1</v>
      </c>
      <c r="AK177">
        <v>0.67</v>
      </c>
    </row>
    <row r="178" spans="1:37" hidden="1" x14ac:dyDescent="0.3">
      <c r="A178" t="s">
        <v>625</v>
      </c>
      <c r="B178" t="s">
        <v>337</v>
      </c>
      <c r="C178" t="s">
        <v>47</v>
      </c>
      <c r="D178">
        <v>3048</v>
      </c>
      <c r="E178">
        <v>0</v>
      </c>
      <c r="I178">
        <v>7.9218150000000005E-3</v>
      </c>
      <c r="J178">
        <v>0</v>
      </c>
      <c r="K178">
        <v>5.7569311479999996</v>
      </c>
      <c r="L178">
        <v>0</v>
      </c>
      <c r="M178">
        <v>1</v>
      </c>
      <c r="N178">
        <v>0.6</v>
      </c>
      <c r="O178">
        <v>0.9</v>
      </c>
      <c r="P178">
        <v>0</v>
      </c>
      <c r="Q178">
        <v>0</v>
      </c>
      <c r="R178">
        <v>0</v>
      </c>
      <c r="S178">
        <v>1.98</v>
      </c>
      <c r="V178">
        <v>8.3995663399999998</v>
      </c>
      <c r="W178">
        <v>0</v>
      </c>
      <c r="X178">
        <v>0.6</v>
      </c>
      <c r="Y178">
        <v>0.6</v>
      </c>
      <c r="Z178">
        <v>0</v>
      </c>
      <c r="AA178">
        <v>3.75</v>
      </c>
      <c r="AB178">
        <v>0</v>
      </c>
      <c r="AC178">
        <v>0.66666666699999999</v>
      </c>
      <c r="AE178">
        <v>1.5</v>
      </c>
      <c r="AF178">
        <v>0</v>
      </c>
      <c r="AG178">
        <v>14.1644193</v>
      </c>
      <c r="AH178">
        <v>600</v>
      </c>
      <c r="AI178">
        <v>0.6</v>
      </c>
      <c r="AJ178">
        <v>0</v>
      </c>
      <c r="AK178">
        <v>0.66666666699999999</v>
      </c>
    </row>
    <row r="179" spans="1:37" hidden="1" x14ac:dyDescent="0.3">
      <c r="A179" t="s">
        <v>460</v>
      </c>
      <c r="B179" t="s">
        <v>337</v>
      </c>
      <c r="C179" t="s">
        <v>47</v>
      </c>
      <c r="D179">
        <v>5029</v>
      </c>
      <c r="O179">
        <v>1.3</v>
      </c>
      <c r="AF179">
        <v>1.2</v>
      </c>
      <c r="AG179">
        <v>15.8</v>
      </c>
      <c r="AH179">
        <v>600</v>
      </c>
      <c r="AI179">
        <v>0.14000000000000001</v>
      </c>
      <c r="AK179">
        <v>0.35</v>
      </c>
    </row>
    <row r="180" spans="1:37" hidden="1" x14ac:dyDescent="0.3">
      <c r="A180" t="s">
        <v>343</v>
      </c>
      <c r="B180" t="s">
        <v>337</v>
      </c>
      <c r="C180" t="s">
        <v>47</v>
      </c>
      <c r="D180">
        <v>7603</v>
      </c>
      <c r="O180">
        <v>1.5</v>
      </c>
      <c r="AF180">
        <v>0</v>
      </c>
      <c r="AG180">
        <v>11.8</v>
      </c>
      <c r="AH180">
        <v>600</v>
      </c>
      <c r="AI180">
        <v>0.6</v>
      </c>
      <c r="AK180">
        <v>0.67</v>
      </c>
    </row>
    <row r="181" spans="1:37" hidden="1" x14ac:dyDescent="0.3">
      <c r="A181" t="s">
        <v>454</v>
      </c>
      <c r="B181" t="s">
        <v>337</v>
      </c>
      <c r="C181" t="s">
        <v>47</v>
      </c>
      <c r="D181">
        <v>5035</v>
      </c>
      <c r="O181">
        <v>1.3</v>
      </c>
      <c r="AF181">
        <v>0.5</v>
      </c>
      <c r="AG181">
        <v>10.7</v>
      </c>
      <c r="AH181">
        <v>600</v>
      </c>
      <c r="AI181">
        <v>0.1</v>
      </c>
      <c r="AK181">
        <v>0.67</v>
      </c>
    </row>
    <row r="182" spans="1:37" hidden="1" x14ac:dyDescent="0.3">
      <c r="A182" t="s">
        <v>666</v>
      </c>
      <c r="B182" t="s">
        <v>337</v>
      </c>
      <c r="C182" t="s">
        <v>47</v>
      </c>
      <c r="D182">
        <v>1603</v>
      </c>
      <c r="O182">
        <v>1.3</v>
      </c>
      <c r="AF182">
        <v>1.6</v>
      </c>
      <c r="AG182">
        <v>12.6</v>
      </c>
      <c r="AH182">
        <v>600</v>
      </c>
      <c r="AI182">
        <v>0.1</v>
      </c>
      <c r="AK182">
        <v>0.67</v>
      </c>
    </row>
    <row r="183" spans="1:37" hidden="1" x14ac:dyDescent="0.3">
      <c r="A183" t="s">
        <v>666</v>
      </c>
      <c r="B183" t="s">
        <v>337</v>
      </c>
      <c r="C183" t="s">
        <v>47</v>
      </c>
      <c r="D183">
        <v>2603</v>
      </c>
      <c r="F183">
        <v>0</v>
      </c>
      <c r="G183">
        <v>0</v>
      </c>
      <c r="H183">
        <v>1.5</v>
      </c>
      <c r="I183">
        <v>0</v>
      </c>
      <c r="J183">
        <v>0</v>
      </c>
      <c r="K183">
        <v>6.6</v>
      </c>
      <c r="L183">
        <v>0</v>
      </c>
      <c r="M183">
        <v>1</v>
      </c>
      <c r="N183">
        <v>0.1</v>
      </c>
      <c r="O183">
        <v>1</v>
      </c>
      <c r="T183">
        <v>0.1</v>
      </c>
      <c r="U183">
        <v>0</v>
      </c>
      <c r="V183">
        <v>6</v>
      </c>
      <c r="W183">
        <v>0</v>
      </c>
      <c r="X183">
        <v>0.25</v>
      </c>
      <c r="Y183">
        <v>0.1</v>
      </c>
      <c r="AE183">
        <v>1.5</v>
      </c>
      <c r="AF183">
        <v>1.6</v>
      </c>
      <c r="AG183">
        <v>12.6</v>
      </c>
      <c r="AH183">
        <v>600</v>
      </c>
      <c r="AI183">
        <v>0.1</v>
      </c>
      <c r="AK183">
        <v>0.67</v>
      </c>
    </row>
    <row r="184" spans="1:37" hidden="1" x14ac:dyDescent="0.3">
      <c r="A184" t="s">
        <v>382</v>
      </c>
      <c r="B184" t="s">
        <v>337</v>
      </c>
      <c r="C184" t="s">
        <v>47</v>
      </c>
      <c r="D184">
        <v>6604</v>
      </c>
      <c r="O184">
        <v>1.5</v>
      </c>
      <c r="AF184">
        <v>0</v>
      </c>
      <c r="AG184">
        <v>10</v>
      </c>
      <c r="AH184">
        <v>600</v>
      </c>
      <c r="AI184">
        <v>0.05</v>
      </c>
      <c r="AK184">
        <v>0.67</v>
      </c>
    </row>
    <row r="185" spans="1:37" hidden="1" x14ac:dyDescent="0.3">
      <c r="A185" t="s">
        <v>667</v>
      </c>
      <c r="B185" t="s">
        <v>337</v>
      </c>
      <c r="C185" t="s">
        <v>47</v>
      </c>
      <c r="D185">
        <v>2602</v>
      </c>
      <c r="F185">
        <v>0</v>
      </c>
      <c r="G185">
        <v>0</v>
      </c>
      <c r="H185">
        <v>2</v>
      </c>
      <c r="I185">
        <v>0</v>
      </c>
      <c r="J185">
        <v>0</v>
      </c>
      <c r="K185">
        <v>5.8</v>
      </c>
      <c r="L185">
        <v>0</v>
      </c>
      <c r="M185">
        <v>1</v>
      </c>
      <c r="N185">
        <v>0.6</v>
      </c>
      <c r="O185">
        <v>1.5</v>
      </c>
      <c r="T185">
        <v>0</v>
      </c>
      <c r="U185">
        <v>0</v>
      </c>
      <c r="V185">
        <v>6</v>
      </c>
      <c r="W185">
        <v>0</v>
      </c>
      <c r="X185">
        <v>0.6</v>
      </c>
      <c r="Y185">
        <v>0.6</v>
      </c>
      <c r="AE185">
        <v>1.5</v>
      </c>
      <c r="AF185">
        <v>2</v>
      </c>
      <c r="AG185">
        <v>11.8</v>
      </c>
      <c r="AH185">
        <v>600</v>
      </c>
      <c r="AI185">
        <v>0.6</v>
      </c>
      <c r="AK185">
        <v>0.67</v>
      </c>
    </row>
    <row r="186" spans="1:37" hidden="1" x14ac:dyDescent="0.3">
      <c r="A186" t="s">
        <v>383</v>
      </c>
      <c r="B186" t="s">
        <v>337</v>
      </c>
      <c r="C186" t="s">
        <v>47</v>
      </c>
      <c r="D186">
        <v>6603</v>
      </c>
      <c r="O186">
        <v>1.5</v>
      </c>
      <c r="AF186">
        <v>0</v>
      </c>
      <c r="AG186">
        <v>10</v>
      </c>
      <c r="AH186">
        <v>600</v>
      </c>
      <c r="AI186">
        <v>0.05</v>
      </c>
      <c r="AK186">
        <v>0.67</v>
      </c>
    </row>
    <row r="187" spans="1:37" hidden="1" x14ac:dyDescent="0.3">
      <c r="A187" t="s">
        <v>400</v>
      </c>
      <c r="B187" t="s">
        <v>337</v>
      </c>
      <c r="C187" t="s">
        <v>47</v>
      </c>
      <c r="D187">
        <v>6314</v>
      </c>
      <c r="O187">
        <v>1.3</v>
      </c>
      <c r="AF187">
        <v>0</v>
      </c>
      <c r="AG187">
        <v>8</v>
      </c>
      <c r="AH187">
        <v>600</v>
      </c>
      <c r="AI187">
        <v>0.05</v>
      </c>
      <c r="AK187">
        <v>0.67</v>
      </c>
    </row>
    <row r="188" spans="1:37" hidden="1" x14ac:dyDescent="0.3">
      <c r="A188" t="s">
        <v>381</v>
      </c>
      <c r="B188" t="s">
        <v>337</v>
      </c>
      <c r="C188" t="s">
        <v>47</v>
      </c>
      <c r="D188">
        <v>6605</v>
      </c>
      <c r="O188">
        <v>1.5</v>
      </c>
      <c r="AF188">
        <v>0</v>
      </c>
      <c r="AG188">
        <v>5</v>
      </c>
      <c r="AH188">
        <v>600</v>
      </c>
      <c r="AI188">
        <v>0.05</v>
      </c>
      <c r="AK188">
        <v>0.67</v>
      </c>
    </row>
    <row r="189" spans="1:37" hidden="1" x14ac:dyDescent="0.3">
      <c r="A189" t="s">
        <v>668</v>
      </c>
      <c r="B189" t="s">
        <v>337</v>
      </c>
      <c r="C189" t="s">
        <v>47</v>
      </c>
      <c r="D189">
        <v>2601</v>
      </c>
      <c r="F189">
        <v>0</v>
      </c>
      <c r="G189">
        <v>0</v>
      </c>
      <c r="H189">
        <v>2.7</v>
      </c>
      <c r="I189">
        <v>0</v>
      </c>
      <c r="J189">
        <v>0</v>
      </c>
      <c r="K189">
        <v>22.2</v>
      </c>
      <c r="L189">
        <v>0</v>
      </c>
      <c r="M189">
        <v>1</v>
      </c>
      <c r="N189">
        <v>7.0000000000000007E-2</v>
      </c>
      <c r="O189">
        <v>4</v>
      </c>
      <c r="T189">
        <v>1.6</v>
      </c>
      <c r="U189">
        <v>0</v>
      </c>
      <c r="V189">
        <v>13</v>
      </c>
      <c r="W189">
        <v>1.7</v>
      </c>
      <c r="X189">
        <v>0.15</v>
      </c>
      <c r="Y189">
        <v>7.0000000000000007E-2</v>
      </c>
      <c r="AE189">
        <v>2</v>
      </c>
      <c r="AF189">
        <v>4.3</v>
      </c>
      <c r="AG189">
        <v>36.9</v>
      </c>
      <c r="AH189">
        <v>600</v>
      </c>
      <c r="AI189">
        <v>7.0000000000000007E-2</v>
      </c>
      <c r="AK189">
        <v>0.67</v>
      </c>
    </row>
    <row r="190" spans="1:37" hidden="1" x14ac:dyDescent="0.3">
      <c r="A190" t="s">
        <v>342</v>
      </c>
      <c r="B190" t="s">
        <v>337</v>
      </c>
      <c r="C190" t="s">
        <v>47</v>
      </c>
      <c r="D190">
        <v>7604</v>
      </c>
      <c r="O190">
        <v>3.5</v>
      </c>
      <c r="AF190">
        <v>0</v>
      </c>
      <c r="AG190">
        <v>13.6</v>
      </c>
      <c r="AH190">
        <v>600</v>
      </c>
      <c r="AI190">
        <v>0.2</v>
      </c>
      <c r="AK190">
        <v>0.35</v>
      </c>
    </row>
    <row r="191" spans="1:37" hidden="1" x14ac:dyDescent="0.3">
      <c r="A191" t="s">
        <v>341</v>
      </c>
      <c r="B191" t="s">
        <v>337</v>
      </c>
      <c r="C191" t="s">
        <v>47</v>
      </c>
      <c r="D191">
        <v>7605</v>
      </c>
      <c r="O191">
        <v>1.5</v>
      </c>
      <c r="AF191">
        <v>0</v>
      </c>
      <c r="AG191">
        <v>22</v>
      </c>
      <c r="AH191">
        <v>600</v>
      </c>
      <c r="AI191">
        <v>0.15</v>
      </c>
      <c r="AK191">
        <v>0.35</v>
      </c>
    </row>
    <row r="192" spans="1:37" hidden="1" x14ac:dyDescent="0.3">
      <c r="A192" t="s">
        <v>529</v>
      </c>
      <c r="B192" t="s">
        <v>270</v>
      </c>
      <c r="C192" t="s">
        <v>273</v>
      </c>
      <c r="D192">
        <v>4179</v>
      </c>
      <c r="AH192">
        <v>830</v>
      </c>
    </row>
    <row r="193" spans="1:37" hidden="1" x14ac:dyDescent="0.3">
      <c r="A193" t="s">
        <v>508</v>
      </c>
      <c r="B193" t="s">
        <v>270</v>
      </c>
      <c r="C193" t="s">
        <v>273</v>
      </c>
      <c r="D193">
        <v>4203</v>
      </c>
      <c r="AH193">
        <v>830</v>
      </c>
    </row>
    <row r="194" spans="1:37" hidden="1" x14ac:dyDescent="0.3">
      <c r="A194" t="s">
        <v>273</v>
      </c>
      <c r="B194" t="s">
        <v>270</v>
      </c>
      <c r="C194" t="s">
        <v>273</v>
      </c>
      <c r="D194">
        <v>4230</v>
      </c>
      <c r="AH194">
        <v>830</v>
      </c>
    </row>
    <row r="195" spans="1:37" hidden="1" x14ac:dyDescent="0.3">
      <c r="A195" t="s">
        <v>273</v>
      </c>
      <c r="B195" t="s">
        <v>270</v>
      </c>
      <c r="C195" t="s">
        <v>273</v>
      </c>
      <c r="D195">
        <v>7830</v>
      </c>
      <c r="AH195">
        <v>830</v>
      </c>
    </row>
    <row r="196" spans="1:37" hidden="1" x14ac:dyDescent="0.3">
      <c r="A196" t="s">
        <v>273</v>
      </c>
      <c r="B196" t="s">
        <v>270</v>
      </c>
      <c r="C196" t="s">
        <v>273</v>
      </c>
      <c r="D196">
        <v>8830</v>
      </c>
      <c r="AH196">
        <v>830</v>
      </c>
    </row>
    <row r="197" spans="1:37" hidden="1" x14ac:dyDescent="0.3">
      <c r="A197" t="s">
        <v>374</v>
      </c>
      <c r="B197" t="s">
        <v>270</v>
      </c>
      <c r="C197" t="s">
        <v>273</v>
      </c>
      <c r="D197">
        <v>6830</v>
      </c>
      <c r="AH197">
        <v>830</v>
      </c>
    </row>
    <row r="198" spans="1:37" hidden="1" x14ac:dyDescent="0.3">
      <c r="A198" t="s">
        <v>430</v>
      </c>
      <c r="B198" t="s">
        <v>270</v>
      </c>
      <c r="C198" t="s">
        <v>273</v>
      </c>
      <c r="D198">
        <v>5060</v>
      </c>
      <c r="AH198">
        <v>830</v>
      </c>
    </row>
    <row r="199" spans="1:37" hidden="1" x14ac:dyDescent="0.3">
      <c r="A199" t="s">
        <v>479</v>
      </c>
      <c r="B199" t="s">
        <v>270</v>
      </c>
      <c r="C199" t="s">
        <v>273</v>
      </c>
      <c r="D199">
        <v>5010</v>
      </c>
      <c r="AH199">
        <v>830</v>
      </c>
    </row>
    <row r="200" spans="1:37" hidden="1" x14ac:dyDescent="0.3">
      <c r="A200" t="s">
        <v>491</v>
      </c>
      <c r="B200" t="s">
        <v>270</v>
      </c>
      <c r="C200" t="s">
        <v>273</v>
      </c>
      <c r="D200">
        <v>4257</v>
      </c>
      <c r="AH200">
        <v>830</v>
      </c>
    </row>
    <row r="201" spans="1:37" hidden="1" x14ac:dyDescent="0.3">
      <c r="A201" t="s">
        <v>492</v>
      </c>
      <c r="B201" t="s">
        <v>270</v>
      </c>
      <c r="C201" t="s">
        <v>273</v>
      </c>
      <c r="D201">
        <v>4256</v>
      </c>
      <c r="AH201">
        <v>830</v>
      </c>
    </row>
    <row r="202" spans="1:37" hidden="1" x14ac:dyDescent="0.3">
      <c r="A202" t="s">
        <v>516</v>
      </c>
      <c r="B202" t="s">
        <v>275</v>
      </c>
      <c r="C202" t="s">
        <v>277</v>
      </c>
      <c r="D202">
        <v>4192</v>
      </c>
      <c r="AF202">
        <v>0</v>
      </c>
      <c r="AG202">
        <v>4.5</v>
      </c>
      <c r="AH202">
        <v>750</v>
      </c>
      <c r="AI202">
        <v>0.5</v>
      </c>
    </row>
    <row r="203" spans="1:37" hidden="1" x14ac:dyDescent="0.3">
      <c r="A203" t="s">
        <v>515</v>
      </c>
      <c r="B203" t="s">
        <v>275</v>
      </c>
      <c r="C203" t="s">
        <v>277</v>
      </c>
      <c r="D203">
        <v>4193</v>
      </c>
      <c r="AF203">
        <v>0</v>
      </c>
      <c r="AG203">
        <v>4.5</v>
      </c>
      <c r="AH203">
        <v>750</v>
      </c>
      <c r="AI203">
        <v>0.5</v>
      </c>
    </row>
    <row r="204" spans="1:37" hidden="1" x14ac:dyDescent="0.3">
      <c r="A204" t="s">
        <v>512</v>
      </c>
      <c r="B204" t="s">
        <v>275</v>
      </c>
      <c r="C204" t="s">
        <v>277</v>
      </c>
      <c r="D204">
        <v>4196</v>
      </c>
      <c r="AF204">
        <v>0</v>
      </c>
      <c r="AG204">
        <v>4.5</v>
      </c>
      <c r="AH204">
        <v>750</v>
      </c>
      <c r="AI204">
        <v>0.5</v>
      </c>
    </row>
    <row r="205" spans="1:37" hidden="1" x14ac:dyDescent="0.3">
      <c r="A205" t="s">
        <v>664</v>
      </c>
      <c r="B205" t="s">
        <v>275</v>
      </c>
      <c r="C205" t="s">
        <v>277</v>
      </c>
      <c r="D205">
        <v>2751</v>
      </c>
      <c r="F205">
        <v>0</v>
      </c>
      <c r="G205">
        <v>0</v>
      </c>
      <c r="H205">
        <v>1.2</v>
      </c>
      <c r="I205">
        <v>0</v>
      </c>
      <c r="J205">
        <v>0</v>
      </c>
      <c r="K205">
        <v>5.8</v>
      </c>
      <c r="L205">
        <v>0</v>
      </c>
      <c r="M205">
        <v>1</v>
      </c>
      <c r="N205">
        <v>0.2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0.2</v>
      </c>
      <c r="AE205">
        <v>1</v>
      </c>
      <c r="AF205">
        <v>1.2</v>
      </c>
      <c r="AG205">
        <v>5.8</v>
      </c>
      <c r="AH205">
        <v>750</v>
      </c>
      <c r="AI205">
        <v>0.2</v>
      </c>
    </row>
    <row r="206" spans="1:37" hidden="1" x14ac:dyDescent="0.3">
      <c r="A206" t="s">
        <v>332</v>
      </c>
      <c r="B206" t="s">
        <v>275</v>
      </c>
      <c r="C206" t="s">
        <v>277</v>
      </c>
      <c r="D206">
        <v>7752</v>
      </c>
      <c r="AF206">
        <v>0</v>
      </c>
      <c r="AG206">
        <v>4.5</v>
      </c>
      <c r="AH206">
        <v>750</v>
      </c>
      <c r="AI206">
        <v>1</v>
      </c>
    </row>
    <row r="207" spans="1:37" hidden="1" x14ac:dyDescent="0.3">
      <c r="A207" t="s">
        <v>639</v>
      </c>
      <c r="B207" t="s">
        <v>275</v>
      </c>
      <c r="C207" t="s">
        <v>277</v>
      </c>
      <c r="D207">
        <v>3029</v>
      </c>
      <c r="E207">
        <v>0</v>
      </c>
      <c r="I207">
        <v>7.9218150000000005E-3</v>
      </c>
      <c r="K207">
        <v>11.311580190000001</v>
      </c>
      <c r="L207">
        <v>0</v>
      </c>
      <c r="M207">
        <v>0</v>
      </c>
      <c r="N207">
        <v>0.25</v>
      </c>
      <c r="O207">
        <v>0</v>
      </c>
      <c r="P207">
        <v>0</v>
      </c>
      <c r="Q207">
        <v>0</v>
      </c>
      <c r="R207">
        <v>0</v>
      </c>
      <c r="S207">
        <v>3.2450000000000001</v>
      </c>
      <c r="V207">
        <v>1.0362554E-2</v>
      </c>
      <c r="W207">
        <v>4</v>
      </c>
      <c r="X207">
        <v>0</v>
      </c>
      <c r="Y207">
        <v>0.25</v>
      </c>
      <c r="Z207">
        <v>0</v>
      </c>
      <c r="AA207">
        <v>0</v>
      </c>
      <c r="AB207">
        <v>0</v>
      </c>
      <c r="AC207">
        <v>0.83333333300000001</v>
      </c>
      <c r="AE207">
        <v>1.2</v>
      </c>
      <c r="AF207">
        <v>0</v>
      </c>
      <c r="AG207">
        <v>15.329864560000001</v>
      </c>
      <c r="AH207">
        <v>750</v>
      </c>
      <c r="AI207">
        <v>0.25</v>
      </c>
      <c r="AJ207">
        <v>0</v>
      </c>
      <c r="AK207">
        <v>0.83333333300000001</v>
      </c>
    </row>
    <row r="208" spans="1:37" hidden="1" x14ac:dyDescent="0.3">
      <c r="A208" t="s">
        <v>380</v>
      </c>
      <c r="B208" t="s">
        <v>275</v>
      </c>
      <c r="C208" t="s">
        <v>277</v>
      </c>
      <c r="D208">
        <v>6752</v>
      </c>
      <c r="AF208">
        <v>0</v>
      </c>
      <c r="AG208">
        <v>4.5</v>
      </c>
      <c r="AH208">
        <v>750</v>
      </c>
      <c r="AI208">
        <v>1</v>
      </c>
    </row>
    <row r="209" spans="1:37" hidden="1" x14ac:dyDescent="0.3">
      <c r="A209" t="s">
        <v>663</v>
      </c>
      <c r="B209" t="s">
        <v>275</v>
      </c>
      <c r="C209" t="s">
        <v>277</v>
      </c>
      <c r="D209">
        <v>2752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2.6</v>
      </c>
      <c r="L209">
        <v>0</v>
      </c>
      <c r="M209">
        <v>1</v>
      </c>
      <c r="N209">
        <v>0.7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0.7</v>
      </c>
      <c r="AE209">
        <v>1.2</v>
      </c>
      <c r="AF209">
        <v>0</v>
      </c>
      <c r="AG209">
        <v>2.6</v>
      </c>
      <c r="AH209">
        <v>750</v>
      </c>
      <c r="AI209">
        <v>0.7</v>
      </c>
    </row>
    <row r="210" spans="1:37" hidden="1" x14ac:dyDescent="0.3">
      <c r="A210" t="s">
        <v>331</v>
      </c>
      <c r="B210" t="s">
        <v>275</v>
      </c>
      <c r="C210" t="s">
        <v>277</v>
      </c>
      <c r="D210">
        <v>7753</v>
      </c>
      <c r="AF210">
        <v>0</v>
      </c>
      <c r="AG210">
        <v>4.5</v>
      </c>
      <c r="AH210">
        <v>750</v>
      </c>
      <c r="AI210">
        <v>1</v>
      </c>
    </row>
    <row r="211" spans="1:37" hidden="1" x14ac:dyDescent="0.3">
      <c r="A211" t="s">
        <v>324</v>
      </c>
      <c r="B211" t="s">
        <v>275</v>
      </c>
      <c r="C211" t="s">
        <v>277</v>
      </c>
      <c r="D211">
        <v>8154</v>
      </c>
      <c r="AF211">
        <v>0</v>
      </c>
      <c r="AG211">
        <v>4.5</v>
      </c>
      <c r="AH211">
        <v>150</v>
      </c>
      <c r="AI211">
        <v>1</v>
      </c>
    </row>
    <row r="212" spans="1:37" hidden="1" x14ac:dyDescent="0.3">
      <c r="A212" t="s">
        <v>325</v>
      </c>
      <c r="B212" t="s">
        <v>275</v>
      </c>
      <c r="C212" t="s">
        <v>277</v>
      </c>
      <c r="D212">
        <v>8151</v>
      </c>
      <c r="AF212">
        <v>0</v>
      </c>
      <c r="AG212">
        <v>4.5</v>
      </c>
      <c r="AH212">
        <v>150</v>
      </c>
      <c r="AI212">
        <v>1</v>
      </c>
    </row>
    <row r="213" spans="1:37" hidden="1" x14ac:dyDescent="0.3">
      <c r="A213" t="s">
        <v>638</v>
      </c>
      <c r="B213" t="s">
        <v>275</v>
      </c>
      <c r="C213" t="s">
        <v>277</v>
      </c>
      <c r="D213">
        <v>3030</v>
      </c>
      <c r="E213">
        <v>0</v>
      </c>
      <c r="I213">
        <v>7.9218150000000005E-3</v>
      </c>
      <c r="K213">
        <v>2.605200698</v>
      </c>
      <c r="L213">
        <v>0</v>
      </c>
      <c r="M213">
        <v>0</v>
      </c>
      <c r="N213">
        <v>0.15</v>
      </c>
      <c r="O213">
        <v>0</v>
      </c>
      <c r="P213">
        <v>0</v>
      </c>
      <c r="Q213">
        <v>0</v>
      </c>
      <c r="R213">
        <v>0</v>
      </c>
      <c r="S213">
        <v>1.01</v>
      </c>
      <c r="V213">
        <v>1.0362554E-2</v>
      </c>
      <c r="W213">
        <v>5</v>
      </c>
      <c r="X213">
        <v>0</v>
      </c>
      <c r="Y213">
        <v>0.15</v>
      </c>
      <c r="Z213">
        <v>0</v>
      </c>
      <c r="AA213">
        <v>0</v>
      </c>
      <c r="AB213">
        <v>0</v>
      </c>
      <c r="AC213">
        <v>1</v>
      </c>
      <c r="AE213">
        <v>1</v>
      </c>
      <c r="AF213">
        <v>0</v>
      </c>
      <c r="AG213">
        <v>7.6234850669999998</v>
      </c>
      <c r="AH213">
        <v>750</v>
      </c>
      <c r="AI213">
        <v>0.15</v>
      </c>
      <c r="AJ213">
        <v>0</v>
      </c>
      <c r="AK213">
        <v>1</v>
      </c>
    </row>
    <row r="214" spans="1:37" hidden="1" x14ac:dyDescent="0.3">
      <c r="A214" t="s">
        <v>279</v>
      </c>
      <c r="B214" t="s">
        <v>275</v>
      </c>
      <c r="C214" t="s">
        <v>277</v>
      </c>
      <c r="D214">
        <v>8804</v>
      </c>
      <c r="AF214">
        <v>0</v>
      </c>
      <c r="AG214">
        <v>4.5</v>
      </c>
      <c r="AH214">
        <v>750</v>
      </c>
      <c r="AI214">
        <v>1</v>
      </c>
    </row>
    <row r="215" spans="1:37" hidden="1" x14ac:dyDescent="0.3">
      <c r="A215" t="s">
        <v>333</v>
      </c>
      <c r="B215" t="s">
        <v>275</v>
      </c>
      <c r="C215" t="s">
        <v>277</v>
      </c>
      <c r="D215">
        <v>6751</v>
      </c>
      <c r="AF215">
        <v>0</v>
      </c>
      <c r="AG215">
        <v>4.5</v>
      </c>
      <c r="AH215">
        <v>750</v>
      </c>
      <c r="AI215">
        <v>1</v>
      </c>
    </row>
    <row r="216" spans="1:37" hidden="1" x14ac:dyDescent="0.3">
      <c r="A216" t="s">
        <v>333</v>
      </c>
      <c r="B216" t="s">
        <v>275</v>
      </c>
      <c r="C216" t="s">
        <v>277</v>
      </c>
      <c r="D216">
        <v>7751</v>
      </c>
      <c r="AF216">
        <v>0</v>
      </c>
      <c r="AG216">
        <v>4.5</v>
      </c>
      <c r="AH216">
        <v>750</v>
      </c>
      <c r="AI216">
        <v>1</v>
      </c>
    </row>
    <row r="217" spans="1:37" hidden="1" x14ac:dyDescent="0.3">
      <c r="A217" t="s">
        <v>636</v>
      </c>
      <c r="B217" t="s">
        <v>275</v>
      </c>
      <c r="C217" t="s">
        <v>277</v>
      </c>
      <c r="D217">
        <v>3034</v>
      </c>
      <c r="E217">
        <v>0</v>
      </c>
      <c r="I217">
        <v>7.9218150000000005E-3</v>
      </c>
      <c r="K217">
        <v>4.3649345789999998</v>
      </c>
      <c r="L217">
        <v>0</v>
      </c>
      <c r="M217">
        <v>0</v>
      </c>
      <c r="N217">
        <v>0.6</v>
      </c>
      <c r="O217">
        <v>0</v>
      </c>
      <c r="P217">
        <v>0</v>
      </c>
      <c r="Q217">
        <v>0</v>
      </c>
      <c r="R217">
        <v>0</v>
      </c>
      <c r="S217">
        <v>1.58</v>
      </c>
      <c r="V217">
        <v>1.0362554E-2</v>
      </c>
      <c r="W217">
        <v>6</v>
      </c>
      <c r="X217">
        <v>0</v>
      </c>
      <c r="Y217">
        <v>0.6</v>
      </c>
      <c r="Z217">
        <v>0</v>
      </c>
      <c r="AA217">
        <v>0</v>
      </c>
      <c r="AB217">
        <v>0</v>
      </c>
      <c r="AC217">
        <v>0.83333333300000001</v>
      </c>
      <c r="AE217">
        <v>1.2</v>
      </c>
      <c r="AF217">
        <v>0</v>
      </c>
      <c r="AG217">
        <v>10.38321895</v>
      </c>
      <c r="AH217">
        <v>750</v>
      </c>
      <c r="AI217">
        <v>0.6</v>
      </c>
      <c r="AJ217">
        <v>0</v>
      </c>
      <c r="AK217">
        <v>0.83333333300000001</v>
      </c>
    </row>
    <row r="218" spans="1:37" hidden="1" x14ac:dyDescent="0.3">
      <c r="A218" t="s">
        <v>634</v>
      </c>
      <c r="B218" t="s">
        <v>275</v>
      </c>
      <c r="C218" t="s">
        <v>277</v>
      </c>
      <c r="D218">
        <v>3037</v>
      </c>
      <c r="E218">
        <v>0</v>
      </c>
      <c r="I218">
        <v>7.9218150000000005E-3</v>
      </c>
      <c r="K218">
        <v>2.605200698</v>
      </c>
      <c r="L218">
        <v>0</v>
      </c>
      <c r="M218">
        <v>0</v>
      </c>
      <c r="N218">
        <v>0.7</v>
      </c>
      <c r="O218">
        <v>0</v>
      </c>
      <c r="P218">
        <v>0</v>
      </c>
      <c r="Q218">
        <v>0</v>
      </c>
      <c r="R218">
        <v>0</v>
      </c>
      <c r="S218">
        <v>1.01</v>
      </c>
      <c r="V218">
        <v>1.0362554E-2</v>
      </c>
      <c r="W218">
        <v>7</v>
      </c>
      <c r="X218">
        <v>0</v>
      </c>
      <c r="Y218">
        <v>0.7</v>
      </c>
      <c r="Z218">
        <v>0</v>
      </c>
      <c r="AA218">
        <v>0</v>
      </c>
      <c r="AB218">
        <v>0</v>
      </c>
      <c r="AC218">
        <v>0.83333333300000001</v>
      </c>
      <c r="AE218">
        <v>1.2</v>
      </c>
      <c r="AF218">
        <v>0</v>
      </c>
      <c r="AG218">
        <v>9.6234850670000007</v>
      </c>
      <c r="AH218">
        <v>750</v>
      </c>
      <c r="AI218">
        <v>0.7</v>
      </c>
      <c r="AJ218">
        <v>0</v>
      </c>
      <c r="AK218">
        <v>0.83333333300000001</v>
      </c>
    </row>
    <row r="219" spans="1:37" hidden="1" x14ac:dyDescent="0.3">
      <c r="A219" t="s">
        <v>484</v>
      </c>
      <c r="B219" t="s">
        <v>275</v>
      </c>
      <c r="C219" t="s">
        <v>277</v>
      </c>
      <c r="D219">
        <v>5005</v>
      </c>
      <c r="AF219">
        <v>0</v>
      </c>
      <c r="AG219">
        <v>4.5</v>
      </c>
      <c r="AH219">
        <v>750</v>
      </c>
      <c r="AI219">
        <v>1</v>
      </c>
    </row>
    <row r="220" spans="1:37" hidden="1" x14ac:dyDescent="0.3">
      <c r="A220" t="s">
        <v>278</v>
      </c>
      <c r="B220" t="s">
        <v>275</v>
      </c>
      <c r="C220" t="s">
        <v>277</v>
      </c>
      <c r="D220">
        <v>8805</v>
      </c>
      <c r="AF220">
        <v>0</v>
      </c>
      <c r="AG220">
        <v>4.5</v>
      </c>
      <c r="AH220">
        <v>750</v>
      </c>
      <c r="AI220">
        <v>1</v>
      </c>
    </row>
    <row r="221" spans="1:37" hidden="1" x14ac:dyDescent="0.3">
      <c r="A221" t="s">
        <v>388</v>
      </c>
      <c r="B221" t="s">
        <v>386</v>
      </c>
      <c r="C221" t="s">
        <v>101</v>
      </c>
      <c r="D221">
        <v>6501</v>
      </c>
      <c r="E221">
        <v>6</v>
      </c>
      <c r="F221">
        <v>0</v>
      </c>
      <c r="G221">
        <v>0</v>
      </c>
      <c r="H221">
        <v>0</v>
      </c>
      <c r="I221">
        <v>0</v>
      </c>
      <c r="J221">
        <v>0.86</v>
      </c>
      <c r="K221">
        <v>5.7</v>
      </c>
      <c r="L221">
        <v>1</v>
      </c>
      <c r="M221">
        <v>6.4000000000000001E-2</v>
      </c>
      <c r="N221">
        <v>6.4000000000000001E-2</v>
      </c>
      <c r="Q221">
        <v>35</v>
      </c>
      <c r="T221">
        <v>0</v>
      </c>
      <c r="U221">
        <v>0</v>
      </c>
      <c r="V221">
        <v>9.7799999999999994</v>
      </c>
      <c r="W221">
        <v>0</v>
      </c>
      <c r="X221">
        <v>0.22</v>
      </c>
      <c r="Y221">
        <v>1</v>
      </c>
      <c r="AF221">
        <v>0</v>
      </c>
      <c r="AG221">
        <v>6.56</v>
      </c>
      <c r="AH221">
        <v>500</v>
      </c>
      <c r="AI221">
        <v>0.25</v>
      </c>
    </row>
    <row r="222" spans="1:37" hidden="1" x14ac:dyDescent="0.3">
      <c r="A222" t="s">
        <v>622</v>
      </c>
      <c r="B222" t="s">
        <v>386</v>
      </c>
      <c r="C222" t="s">
        <v>101</v>
      </c>
      <c r="D222">
        <v>3051</v>
      </c>
      <c r="E222">
        <v>6</v>
      </c>
      <c r="F222">
        <v>0</v>
      </c>
      <c r="G222">
        <v>0</v>
      </c>
      <c r="H222">
        <v>0</v>
      </c>
      <c r="I222">
        <v>5.0937305000000004</v>
      </c>
      <c r="J222">
        <v>1</v>
      </c>
      <c r="K222">
        <v>5.8</v>
      </c>
      <c r="L222">
        <v>0.3</v>
      </c>
      <c r="M222">
        <v>1</v>
      </c>
      <c r="N222">
        <v>0.25</v>
      </c>
      <c r="O222">
        <v>0</v>
      </c>
      <c r="P222">
        <v>0</v>
      </c>
      <c r="Q222">
        <v>25</v>
      </c>
      <c r="R222">
        <v>3.5</v>
      </c>
      <c r="S222">
        <v>1.98</v>
      </c>
      <c r="T222">
        <v>0</v>
      </c>
      <c r="U222">
        <v>0</v>
      </c>
      <c r="V222">
        <v>5.5493683789999997</v>
      </c>
      <c r="W222">
        <v>2</v>
      </c>
      <c r="X222">
        <v>0.8</v>
      </c>
      <c r="Y222">
        <v>0.25</v>
      </c>
      <c r="Z222">
        <v>0</v>
      </c>
      <c r="AA222">
        <v>3.45</v>
      </c>
      <c r="AB222">
        <v>2</v>
      </c>
      <c r="AC222">
        <v>0.66666666699999999</v>
      </c>
      <c r="AE222">
        <v>1.5</v>
      </c>
      <c r="AG222">
        <v>19.443098880000001</v>
      </c>
      <c r="AH222">
        <v>500</v>
      </c>
      <c r="AI222">
        <v>0.25</v>
      </c>
      <c r="AJ222">
        <v>1</v>
      </c>
      <c r="AK222">
        <v>0.66666666699999999</v>
      </c>
    </row>
    <row r="223" spans="1:37" hidden="1" x14ac:dyDescent="0.3">
      <c r="A223" t="s">
        <v>642</v>
      </c>
      <c r="B223" t="s">
        <v>386</v>
      </c>
      <c r="C223" t="s">
        <v>101</v>
      </c>
      <c r="D223">
        <v>3025</v>
      </c>
      <c r="E223">
        <v>6</v>
      </c>
      <c r="F223">
        <v>0</v>
      </c>
      <c r="G223">
        <v>0</v>
      </c>
      <c r="H223">
        <v>0</v>
      </c>
      <c r="I223">
        <v>5.0937305000000004</v>
      </c>
      <c r="J223">
        <v>1</v>
      </c>
      <c r="K223">
        <v>5.8</v>
      </c>
      <c r="L223">
        <v>0.3</v>
      </c>
      <c r="M223">
        <v>1</v>
      </c>
      <c r="N223">
        <v>0.25</v>
      </c>
      <c r="O223">
        <v>0</v>
      </c>
      <c r="P223">
        <v>0</v>
      </c>
      <c r="Q223">
        <v>25</v>
      </c>
      <c r="R223">
        <v>3.5</v>
      </c>
      <c r="S223">
        <v>1.98</v>
      </c>
      <c r="T223">
        <v>0</v>
      </c>
      <c r="U223">
        <v>0</v>
      </c>
      <c r="V223">
        <v>5.5493683789999997</v>
      </c>
      <c r="W223">
        <v>2</v>
      </c>
      <c r="X223">
        <v>0.8</v>
      </c>
      <c r="Y223">
        <v>0.25</v>
      </c>
      <c r="Z223">
        <v>0</v>
      </c>
      <c r="AA223">
        <v>3.45</v>
      </c>
      <c r="AB223">
        <v>2</v>
      </c>
      <c r="AC223">
        <v>0.66666666699999999</v>
      </c>
      <c r="AE223">
        <v>1.5</v>
      </c>
      <c r="AG223">
        <v>19.443098880000001</v>
      </c>
      <c r="AH223">
        <v>500</v>
      </c>
      <c r="AI223">
        <v>0.25</v>
      </c>
      <c r="AJ223">
        <v>1</v>
      </c>
      <c r="AK223">
        <v>0.66666666699999999</v>
      </c>
    </row>
    <row r="224" spans="1:37" hidden="1" x14ac:dyDescent="0.3">
      <c r="A224" t="s">
        <v>624</v>
      </c>
      <c r="B224" t="s">
        <v>386</v>
      </c>
      <c r="C224" t="s">
        <v>101</v>
      </c>
      <c r="D224">
        <v>3049</v>
      </c>
      <c r="E224">
        <v>6</v>
      </c>
      <c r="F224">
        <v>0</v>
      </c>
      <c r="G224">
        <v>0</v>
      </c>
      <c r="H224">
        <v>0</v>
      </c>
      <c r="I224">
        <v>5.0937305000000004</v>
      </c>
      <c r="J224">
        <v>1</v>
      </c>
      <c r="K224">
        <v>5.8</v>
      </c>
      <c r="L224">
        <v>0.3</v>
      </c>
      <c r="M224">
        <v>1</v>
      </c>
      <c r="N224">
        <v>0.25</v>
      </c>
      <c r="O224">
        <v>0</v>
      </c>
      <c r="P224">
        <v>0</v>
      </c>
      <c r="Q224">
        <v>25</v>
      </c>
      <c r="R224">
        <v>3.5</v>
      </c>
      <c r="S224">
        <v>1.98</v>
      </c>
      <c r="T224">
        <v>0</v>
      </c>
      <c r="U224">
        <v>0</v>
      </c>
      <c r="V224">
        <v>5.5493683789999997</v>
      </c>
      <c r="W224">
        <v>2</v>
      </c>
      <c r="X224">
        <v>0.8</v>
      </c>
      <c r="Y224">
        <v>0.25</v>
      </c>
      <c r="Z224">
        <v>0</v>
      </c>
      <c r="AA224">
        <v>3.45</v>
      </c>
      <c r="AB224">
        <v>2</v>
      </c>
      <c r="AC224">
        <v>0.66666666699999999</v>
      </c>
      <c r="AE224">
        <v>1.5</v>
      </c>
      <c r="AG224">
        <v>19.443098880000001</v>
      </c>
      <c r="AH224">
        <v>500</v>
      </c>
      <c r="AI224">
        <v>0.25</v>
      </c>
      <c r="AJ224">
        <v>1</v>
      </c>
      <c r="AK224">
        <v>0.66666666699999999</v>
      </c>
    </row>
    <row r="225" spans="1:37" hidden="1" x14ac:dyDescent="0.3">
      <c r="A225" t="s">
        <v>641</v>
      </c>
      <c r="B225" t="s">
        <v>386</v>
      </c>
      <c r="C225" t="s">
        <v>101</v>
      </c>
      <c r="D225">
        <v>3026</v>
      </c>
      <c r="E225">
        <v>6</v>
      </c>
      <c r="F225">
        <v>0</v>
      </c>
      <c r="G225">
        <v>0</v>
      </c>
      <c r="H225">
        <v>0</v>
      </c>
      <c r="I225">
        <v>0.82516238200000003</v>
      </c>
      <c r="J225">
        <v>1</v>
      </c>
      <c r="K225">
        <v>7</v>
      </c>
      <c r="L225">
        <v>0.05</v>
      </c>
      <c r="M225">
        <v>1</v>
      </c>
      <c r="N225">
        <v>0.1</v>
      </c>
      <c r="O225">
        <v>0</v>
      </c>
      <c r="P225">
        <v>0</v>
      </c>
      <c r="Q225">
        <v>25</v>
      </c>
      <c r="R225">
        <v>2.5</v>
      </c>
      <c r="S225">
        <v>2.79</v>
      </c>
      <c r="T225">
        <v>0</v>
      </c>
      <c r="U225">
        <v>0</v>
      </c>
      <c r="V225">
        <v>0.35348919000000001</v>
      </c>
      <c r="W225">
        <v>0</v>
      </c>
      <c r="X225">
        <v>0.7</v>
      </c>
      <c r="Y225">
        <v>0.1</v>
      </c>
      <c r="Z225">
        <v>0</v>
      </c>
      <c r="AA225">
        <v>2</v>
      </c>
      <c r="AB225">
        <v>0</v>
      </c>
      <c r="AC225">
        <v>0.66666666699999999</v>
      </c>
      <c r="AD225">
        <v>1</v>
      </c>
      <c r="AE225">
        <v>1.5</v>
      </c>
      <c r="AG225">
        <v>11.25485113</v>
      </c>
      <c r="AH225">
        <v>500</v>
      </c>
      <c r="AI225">
        <v>0.1</v>
      </c>
      <c r="AJ225">
        <v>0</v>
      </c>
      <c r="AK225">
        <v>0.66666666699999999</v>
      </c>
    </row>
    <row r="226" spans="1:37" hidden="1" x14ac:dyDescent="0.3">
      <c r="A226" t="s">
        <v>623</v>
      </c>
      <c r="B226" t="s">
        <v>386</v>
      </c>
      <c r="C226" t="s">
        <v>101</v>
      </c>
      <c r="D226">
        <v>3050</v>
      </c>
      <c r="E226">
        <v>6</v>
      </c>
      <c r="F226">
        <v>0</v>
      </c>
      <c r="G226">
        <v>0</v>
      </c>
      <c r="H226">
        <v>0</v>
      </c>
      <c r="I226">
        <v>5.0937305000000004</v>
      </c>
      <c r="J226">
        <v>1</v>
      </c>
      <c r="K226">
        <v>7</v>
      </c>
      <c r="L226">
        <v>0.15</v>
      </c>
      <c r="M226">
        <v>1</v>
      </c>
      <c r="N226">
        <v>0.1</v>
      </c>
      <c r="O226">
        <v>0</v>
      </c>
      <c r="P226">
        <v>0</v>
      </c>
      <c r="Q226">
        <v>25</v>
      </c>
      <c r="R226">
        <v>3.5</v>
      </c>
      <c r="S226">
        <v>2.79</v>
      </c>
      <c r="T226">
        <v>0</v>
      </c>
      <c r="U226">
        <v>0</v>
      </c>
      <c r="V226">
        <v>0.35348919000000001</v>
      </c>
      <c r="W226">
        <v>0</v>
      </c>
      <c r="X226">
        <v>0.7</v>
      </c>
      <c r="Y226">
        <v>0.1</v>
      </c>
      <c r="Z226">
        <v>0</v>
      </c>
      <c r="AA226">
        <v>2</v>
      </c>
      <c r="AB226">
        <v>0</v>
      </c>
      <c r="AC226">
        <v>0.66666666699999999</v>
      </c>
      <c r="AD226">
        <v>1</v>
      </c>
      <c r="AE226">
        <v>1.5</v>
      </c>
      <c r="AG226">
        <v>15.52341925</v>
      </c>
      <c r="AH226">
        <v>500</v>
      </c>
      <c r="AI226">
        <v>0.1</v>
      </c>
      <c r="AJ226">
        <v>1</v>
      </c>
      <c r="AK226">
        <v>0.66666666699999999</v>
      </c>
    </row>
    <row r="227" spans="1:37" hidden="1" x14ac:dyDescent="0.3">
      <c r="A227" t="s">
        <v>457</v>
      </c>
      <c r="B227" t="s">
        <v>386</v>
      </c>
      <c r="C227" t="s">
        <v>101</v>
      </c>
      <c r="D227">
        <v>5032</v>
      </c>
      <c r="E227">
        <v>4.5</v>
      </c>
      <c r="F227">
        <v>0</v>
      </c>
      <c r="G227">
        <v>0</v>
      </c>
      <c r="H227">
        <v>1.2</v>
      </c>
      <c r="I227">
        <v>1.1000000000000001</v>
      </c>
      <c r="J227">
        <v>1</v>
      </c>
      <c r="K227">
        <v>5.8</v>
      </c>
      <c r="L227">
        <v>0.2</v>
      </c>
      <c r="M227">
        <v>0.3</v>
      </c>
      <c r="N227">
        <v>0.05</v>
      </c>
      <c r="Q227">
        <v>18</v>
      </c>
      <c r="T227">
        <v>0</v>
      </c>
      <c r="U227">
        <v>0</v>
      </c>
      <c r="V227">
        <v>2.8</v>
      </c>
      <c r="W227">
        <v>0</v>
      </c>
      <c r="X227">
        <v>0.2</v>
      </c>
      <c r="Y227">
        <v>0.05</v>
      </c>
      <c r="AF227">
        <v>1.2</v>
      </c>
      <c r="AG227">
        <v>10.7</v>
      </c>
      <c r="AH227">
        <v>500</v>
      </c>
      <c r="AI227">
        <v>0.05</v>
      </c>
    </row>
    <row r="228" spans="1:37" hidden="1" x14ac:dyDescent="0.3">
      <c r="A228" t="s">
        <v>670</v>
      </c>
      <c r="B228" t="s">
        <v>386</v>
      </c>
      <c r="C228" t="s">
        <v>101</v>
      </c>
      <c r="D228">
        <v>2501</v>
      </c>
      <c r="E228">
        <v>8</v>
      </c>
      <c r="F228">
        <v>0.1</v>
      </c>
      <c r="G228">
        <v>0</v>
      </c>
      <c r="H228">
        <v>2.6</v>
      </c>
      <c r="I228">
        <v>5</v>
      </c>
      <c r="J228">
        <v>0</v>
      </c>
      <c r="K228">
        <v>7.8</v>
      </c>
      <c r="L228">
        <v>0.3</v>
      </c>
      <c r="M228">
        <v>1</v>
      </c>
      <c r="N228">
        <v>0.25</v>
      </c>
      <c r="Q228">
        <v>21</v>
      </c>
      <c r="R228">
        <v>3</v>
      </c>
      <c r="S228">
        <v>2.5</v>
      </c>
      <c r="T228">
        <v>0</v>
      </c>
      <c r="U228">
        <v>0</v>
      </c>
      <c r="V228">
        <v>5.5</v>
      </c>
      <c r="W228">
        <v>0</v>
      </c>
      <c r="X228">
        <v>0.8</v>
      </c>
      <c r="Y228">
        <v>0.25</v>
      </c>
      <c r="AA228">
        <v>3.4</v>
      </c>
      <c r="AB228">
        <v>2.1</v>
      </c>
      <c r="AC228">
        <v>0.64</v>
      </c>
      <c r="AE228">
        <v>1.5</v>
      </c>
      <c r="AF228">
        <v>2.7</v>
      </c>
      <c r="AG228">
        <v>18.3</v>
      </c>
      <c r="AH228">
        <v>500</v>
      </c>
      <c r="AI228">
        <v>0.25</v>
      </c>
      <c r="AJ228">
        <v>1</v>
      </c>
    </row>
    <row r="229" spans="1:37" hidden="1" x14ac:dyDescent="0.3">
      <c r="A229" t="s">
        <v>387</v>
      </c>
      <c r="B229" t="s">
        <v>386</v>
      </c>
      <c r="C229" t="s">
        <v>101</v>
      </c>
      <c r="D229">
        <v>6502</v>
      </c>
      <c r="E229">
        <v>4.5</v>
      </c>
      <c r="F229">
        <v>0</v>
      </c>
      <c r="G229">
        <v>0</v>
      </c>
      <c r="H229">
        <v>0</v>
      </c>
      <c r="I229">
        <v>0</v>
      </c>
      <c r="J229">
        <v>0.71</v>
      </c>
      <c r="K229">
        <v>5.5</v>
      </c>
      <c r="L229">
        <v>1</v>
      </c>
      <c r="M229">
        <v>6.4000000000000001E-2</v>
      </c>
      <c r="N229">
        <v>6.4000000000000001E-2</v>
      </c>
      <c r="Q229">
        <v>25</v>
      </c>
      <c r="T229">
        <v>0</v>
      </c>
      <c r="U229">
        <v>0</v>
      </c>
      <c r="V229">
        <v>9.7799999999999994</v>
      </c>
      <c r="W229">
        <v>0</v>
      </c>
      <c r="X229">
        <v>0.22</v>
      </c>
      <c r="Y229">
        <v>1</v>
      </c>
      <c r="AF229">
        <v>0</v>
      </c>
      <c r="AG229">
        <v>6.21</v>
      </c>
      <c r="AH229">
        <v>500</v>
      </c>
      <c r="AI229">
        <v>0.25</v>
      </c>
    </row>
    <row r="230" spans="1:37" hidden="1" x14ac:dyDescent="0.3">
      <c r="A230" t="s">
        <v>458</v>
      </c>
      <c r="B230" t="s">
        <v>386</v>
      </c>
      <c r="C230" t="s">
        <v>101</v>
      </c>
      <c r="D230">
        <v>5031</v>
      </c>
      <c r="E230">
        <v>4.5</v>
      </c>
      <c r="F230">
        <v>0</v>
      </c>
      <c r="G230">
        <v>0</v>
      </c>
      <c r="H230">
        <v>1.2</v>
      </c>
      <c r="I230">
        <v>2.1</v>
      </c>
      <c r="J230">
        <v>1</v>
      </c>
      <c r="K230">
        <v>6.6</v>
      </c>
      <c r="L230">
        <v>0.25</v>
      </c>
      <c r="M230">
        <v>0.3</v>
      </c>
      <c r="N230">
        <v>7.0000000000000007E-2</v>
      </c>
      <c r="Q230">
        <v>18</v>
      </c>
      <c r="T230">
        <v>0</v>
      </c>
      <c r="U230">
        <v>0</v>
      </c>
      <c r="V230">
        <v>4.5</v>
      </c>
      <c r="W230">
        <v>0</v>
      </c>
      <c r="X230">
        <v>0.3</v>
      </c>
      <c r="Y230">
        <v>7.0000000000000007E-2</v>
      </c>
      <c r="AF230">
        <v>1.2</v>
      </c>
      <c r="AG230">
        <v>14.2</v>
      </c>
      <c r="AH230">
        <v>500</v>
      </c>
      <c r="AI230">
        <v>7.0000000000000007E-2</v>
      </c>
    </row>
    <row r="231" spans="1:37" hidden="1" x14ac:dyDescent="0.3">
      <c r="A231" t="s">
        <v>402</v>
      </c>
      <c r="B231" t="s">
        <v>386</v>
      </c>
      <c r="C231" t="s">
        <v>101</v>
      </c>
      <c r="D231">
        <v>6312</v>
      </c>
      <c r="E231">
        <v>8</v>
      </c>
      <c r="F231">
        <v>0</v>
      </c>
      <c r="G231">
        <v>0</v>
      </c>
      <c r="H231">
        <v>0</v>
      </c>
      <c r="I231">
        <v>0</v>
      </c>
      <c r="J231">
        <v>0.43</v>
      </c>
      <c r="K231">
        <v>5.2</v>
      </c>
      <c r="L231">
        <v>0</v>
      </c>
      <c r="M231">
        <v>6.4000000000000001E-2</v>
      </c>
      <c r="N231">
        <v>6.4000000000000001E-2</v>
      </c>
      <c r="Q231">
        <v>20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AF231">
        <v>0</v>
      </c>
      <c r="AG231">
        <v>5.63</v>
      </c>
      <c r="AH231">
        <v>500</v>
      </c>
      <c r="AI231">
        <v>0</v>
      </c>
    </row>
    <row r="232" spans="1:37" hidden="1" x14ac:dyDescent="0.3">
      <c r="A232" t="s">
        <v>517</v>
      </c>
      <c r="B232" t="s">
        <v>270</v>
      </c>
      <c r="C232" t="s">
        <v>270</v>
      </c>
      <c r="D232">
        <v>4191</v>
      </c>
      <c r="AH232">
        <v>900</v>
      </c>
    </row>
    <row r="233" spans="1:37" hidden="1" x14ac:dyDescent="0.3">
      <c r="A233" t="s">
        <v>514</v>
      </c>
      <c r="B233" t="s">
        <v>270</v>
      </c>
      <c r="C233" t="s">
        <v>270</v>
      </c>
      <c r="D233">
        <v>4194</v>
      </c>
      <c r="AH233">
        <v>900</v>
      </c>
    </row>
    <row r="234" spans="1:37" hidden="1" x14ac:dyDescent="0.3">
      <c r="A234" t="s">
        <v>513</v>
      </c>
      <c r="B234" t="s">
        <v>270</v>
      </c>
      <c r="C234" t="s">
        <v>270</v>
      </c>
      <c r="D234">
        <v>4195</v>
      </c>
      <c r="AH234">
        <v>900</v>
      </c>
    </row>
    <row r="235" spans="1:37" hidden="1" x14ac:dyDescent="0.3">
      <c r="A235" t="s">
        <v>510</v>
      </c>
      <c r="B235" t="s">
        <v>270</v>
      </c>
      <c r="C235" t="s">
        <v>270</v>
      </c>
      <c r="D235">
        <v>4198</v>
      </c>
      <c r="AH235">
        <v>900</v>
      </c>
    </row>
    <row r="236" spans="1:37" hidden="1" x14ac:dyDescent="0.3">
      <c r="A236" t="s">
        <v>509</v>
      </c>
      <c r="B236" t="s">
        <v>270</v>
      </c>
      <c r="C236" t="s">
        <v>270</v>
      </c>
      <c r="D236">
        <v>4199</v>
      </c>
      <c r="AH236">
        <v>900</v>
      </c>
    </row>
    <row r="237" spans="1:37" hidden="1" x14ac:dyDescent="0.3">
      <c r="A237" t="s">
        <v>473</v>
      </c>
      <c r="B237" t="s">
        <v>270</v>
      </c>
      <c r="C237" t="s">
        <v>270</v>
      </c>
      <c r="D237">
        <v>5016</v>
      </c>
      <c r="AH237">
        <v>900</v>
      </c>
    </row>
    <row r="238" spans="1:37" hidden="1" x14ac:dyDescent="0.3">
      <c r="A238" t="s">
        <v>661</v>
      </c>
      <c r="B238" t="s">
        <v>270</v>
      </c>
      <c r="C238" t="s">
        <v>270</v>
      </c>
      <c r="D238">
        <v>1900</v>
      </c>
      <c r="AH238">
        <v>900</v>
      </c>
    </row>
    <row r="239" spans="1:37" hidden="1" x14ac:dyDescent="0.3">
      <c r="A239" t="s">
        <v>661</v>
      </c>
      <c r="B239" t="s">
        <v>270</v>
      </c>
      <c r="C239" t="s">
        <v>270</v>
      </c>
      <c r="D239">
        <v>2900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AE239">
        <v>0</v>
      </c>
      <c r="AF239">
        <v>0</v>
      </c>
      <c r="AG239">
        <v>0</v>
      </c>
      <c r="AH239">
        <v>900</v>
      </c>
      <c r="AI239">
        <v>1</v>
      </c>
    </row>
    <row r="240" spans="1:37" hidden="1" x14ac:dyDescent="0.3">
      <c r="A240" t="s">
        <v>372</v>
      </c>
      <c r="B240" t="s">
        <v>270</v>
      </c>
      <c r="C240" t="s">
        <v>270</v>
      </c>
      <c r="D240">
        <v>6902</v>
      </c>
      <c r="AH240">
        <v>900</v>
      </c>
    </row>
    <row r="241" spans="1:37" hidden="1" x14ac:dyDescent="0.3">
      <c r="A241" t="s">
        <v>487</v>
      </c>
      <c r="B241" t="s">
        <v>270</v>
      </c>
      <c r="C241" t="s">
        <v>270</v>
      </c>
      <c r="D241">
        <v>5002</v>
      </c>
      <c r="AH241">
        <v>900</v>
      </c>
    </row>
    <row r="242" spans="1:37" hidden="1" x14ac:dyDescent="0.3">
      <c r="A242" t="s">
        <v>633</v>
      </c>
      <c r="B242" t="s">
        <v>270</v>
      </c>
      <c r="C242" t="s">
        <v>270</v>
      </c>
      <c r="D242">
        <v>3038</v>
      </c>
      <c r="E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0.28571428599999998</v>
      </c>
      <c r="AE242">
        <v>3.5</v>
      </c>
      <c r="AG242">
        <v>0</v>
      </c>
      <c r="AH242">
        <v>900</v>
      </c>
      <c r="AI242">
        <v>0</v>
      </c>
      <c r="AJ242">
        <v>0</v>
      </c>
      <c r="AK242">
        <v>0.28571428599999998</v>
      </c>
    </row>
    <row r="243" spans="1:37" hidden="1" x14ac:dyDescent="0.3">
      <c r="A243" t="s">
        <v>496</v>
      </c>
      <c r="B243" t="s">
        <v>270</v>
      </c>
      <c r="C243" t="s">
        <v>270</v>
      </c>
      <c r="D243">
        <v>4229</v>
      </c>
      <c r="AH243">
        <v>900</v>
      </c>
    </row>
    <row r="244" spans="1:37" hidden="1" x14ac:dyDescent="0.3">
      <c r="A244" t="s">
        <v>507</v>
      </c>
      <c r="B244" t="s">
        <v>270</v>
      </c>
      <c r="C244" t="s">
        <v>270</v>
      </c>
      <c r="D244">
        <v>4207</v>
      </c>
      <c r="AH244">
        <v>900</v>
      </c>
    </row>
    <row r="245" spans="1:37" hidden="1" x14ac:dyDescent="0.3">
      <c r="A245" t="s">
        <v>489</v>
      </c>
      <c r="B245" t="s">
        <v>270</v>
      </c>
      <c r="C245" t="s">
        <v>270</v>
      </c>
      <c r="D245">
        <v>5000</v>
      </c>
      <c r="AH245">
        <v>900</v>
      </c>
    </row>
    <row r="246" spans="1:37" hidden="1" x14ac:dyDescent="0.3">
      <c r="A246" t="s">
        <v>272</v>
      </c>
      <c r="B246" t="s">
        <v>270</v>
      </c>
      <c r="C246" t="s">
        <v>270</v>
      </c>
      <c r="D246">
        <v>6901</v>
      </c>
      <c r="AH246">
        <v>900</v>
      </c>
    </row>
    <row r="247" spans="1:37" hidden="1" x14ac:dyDescent="0.3">
      <c r="A247" t="s">
        <v>272</v>
      </c>
      <c r="B247" t="s">
        <v>270</v>
      </c>
      <c r="C247" t="s">
        <v>270</v>
      </c>
      <c r="D247">
        <v>8900</v>
      </c>
      <c r="AH247">
        <v>900</v>
      </c>
    </row>
    <row r="248" spans="1:37" hidden="1" x14ac:dyDescent="0.3">
      <c r="A248" t="s">
        <v>272</v>
      </c>
      <c r="B248" t="s">
        <v>270</v>
      </c>
      <c r="C248" t="s">
        <v>270</v>
      </c>
      <c r="D248">
        <v>8903</v>
      </c>
      <c r="AH248">
        <v>900</v>
      </c>
    </row>
    <row r="249" spans="1:37" hidden="1" x14ac:dyDescent="0.3">
      <c r="A249" t="s">
        <v>373</v>
      </c>
      <c r="B249" t="s">
        <v>270</v>
      </c>
      <c r="C249" t="s">
        <v>270</v>
      </c>
      <c r="D249">
        <v>6900</v>
      </c>
      <c r="AH249">
        <v>900</v>
      </c>
    </row>
    <row r="250" spans="1:37" hidden="1" x14ac:dyDescent="0.3">
      <c r="A250" t="s">
        <v>270</v>
      </c>
      <c r="B250" t="s">
        <v>270</v>
      </c>
      <c r="C250" t="s">
        <v>270</v>
      </c>
      <c r="D250">
        <v>7900</v>
      </c>
      <c r="AH250">
        <v>900</v>
      </c>
    </row>
    <row r="251" spans="1:37" hidden="1" x14ac:dyDescent="0.3">
      <c r="A251" t="s">
        <v>327</v>
      </c>
      <c r="B251" t="s">
        <v>270</v>
      </c>
      <c r="C251" t="s">
        <v>270</v>
      </c>
      <c r="D251">
        <v>7901</v>
      </c>
      <c r="AH251">
        <v>900</v>
      </c>
    </row>
    <row r="252" spans="1:37" hidden="1" x14ac:dyDescent="0.3">
      <c r="A252" t="s">
        <v>271</v>
      </c>
      <c r="B252" t="s">
        <v>270</v>
      </c>
      <c r="C252" t="s">
        <v>270</v>
      </c>
      <c r="D252">
        <v>8901</v>
      </c>
      <c r="AH252">
        <v>900</v>
      </c>
    </row>
    <row r="253" spans="1:37" hidden="1" x14ac:dyDescent="0.3">
      <c r="A253" t="s">
        <v>482</v>
      </c>
      <c r="B253" t="s">
        <v>270</v>
      </c>
      <c r="C253" t="s">
        <v>270</v>
      </c>
      <c r="D253">
        <v>5007</v>
      </c>
      <c r="AH253">
        <v>900</v>
      </c>
    </row>
    <row r="254" spans="1:37" hidden="1" x14ac:dyDescent="0.3">
      <c r="A254" t="s">
        <v>485</v>
      </c>
      <c r="B254" t="s">
        <v>270</v>
      </c>
      <c r="C254" t="s">
        <v>270</v>
      </c>
      <c r="D254">
        <v>5004</v>
      </c>
      <c r="AH254">
        <v>900</v>
      </c>
    </row>
    <row r="255" spans="1:37" hidden="1" x14ac:dyDescent="0.3">
      <c r="A255" t="s">
        <v>371</v>
      </c>
      <c r="B255" t="s">
        <v>270</v>
      </c>
      <c r="C255" t="s">
        <v>270</v>
      </c>
      <c r="D255">
        <v>4101</v>
      </c>
      <c r="AH255">
        <v>900</v>
      </c>
    </row>
    <row r="256" spans="1:37" hidden="1" x14ac:dyDescent="0.3">
      <c r="A256" t="s">
        <v>371</v>
      </c>
      <c r="B256" t="s">
        <v>270</v>
      </c>
      <c r="C256" t="s">
        <v>270</v>
      </c>
      <c r="D256">
        <v>6903</v>
      </c>
      <c r="AH256">
        <v>900</v>
      </c>
    </row>
    <row r="257" spans="1:37" hidden="1" x14ac:dyDescent="0.3">
      <c r="A257" t="s">
        <v>472</v>
      </c>
      <c r="B257" t="s">
        <v>270</v>
      </c>
      <c r="C257" t="s">
        <v>270</v>
      </c>
      <c r="D257">
        <v>5017</v>
      </c>
      <c r="AH257">
        <v>900</v>
      </c>
    </row>
    <row r="258" spans="1:37" hidden="1" x14ac:dyDescent="0.3">
      <c r="A258" t="s">
        <v>658</v>
      </c>
      <c r="B258" t="s">
        <v>270</v>
      </c>
      <c r="C258" t="s">
        <v>270</v>
      </c>
      <c r="D258">
        <v>3000</v>
      </c>
      <c r="E258">
        <v>0</v>
      </c>
      <c r="I258">
        <v>7.9218150000000005E-3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V258">
        <v>1.0362554E-2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E258">
        <v>1</v>
      </c>
      <c r="AG258">
        <v>0</v>
      </c>
      <c r="AH258">
        <v>900</v>
      </c>
      <c r="AI258">
        <v>0</v>
      </c>
      <c r="AJ258">
        <v>0</v>
      </c>
      <c r="AK258">
        <v>1</v>
      </c>
    </row>
    <row r="259" spans="1:37" hidden="1" x14ac:dyDescent="0.3">
      <c r="A259" t="s">
        <v>426</v>
      </c>
      <c r="B259" t="s">
        <v>275</v>
      </c>
      <c r="C259" t="s">
        <v>276</v>
      </c>
      <c r="D259">
        <v>5064</v>
      </c>
      <c r="AF259">
        <v>0</v>
      </c>
      <c r="AG259">
        <v>1.5</v>
      </c>
      <c r="AH259">
        <v>810</v>
      </c>
      <c r="AI259">
        <v>1</v>
      </c>
    </row>
    <row r="260" spans="1:37" hidden="1" x14ac:dyDescent="0.3">
      <c r="A260" t="s">
        <v>427</v>
      </c>
      <c r="B260" t="s">
        <v>275</v>
      </c>
      <c r="C260" t="s">
        <v>276</v>
      </c>
      <c r="D260">
        <v>5063</v>
      </c>
      <c r="AF260">
        <v>0</v>
      </c>
      <c r="AG260">
        <v>3</v>
      </c>
      <c r="AH260">
        <v>810</v>
      </c>
      <c r="AI260">
        <v>1</v>
      </c>
    </row>
    <row r="261" spans="1:37" hidden="1" x14ac:dyDescent="0.3">
      <c r="A261" t="s">
        <v>498</v>
      </c>
      <c r="B261" t="s">
        <v>275</v>
      </c>
      <c r="C261" t="s">
        <v>276</v>
      </c>
      <c r="D261">
        <v>4226</v>
      </c>
      <c r="AF261">
        <v>0</v>
      </c>
      <c r="AG261">
        <v>4.5</v>
      </c>
      <c r="AH261">
        <v>810</v>
      </c>
      <c r="AI261">
        <v>0.67</v>
      </c>
    </row>
    <row r="262" spans="1:37" hidden="1" x14ac:dyDescent="0.3">
      <c r="A262" t="s">
        <v>422</v>
      </c>
      <c r="B262" t="s">
        <v>275</v>
      </c>
      <c r="C262" t="s">
        <v>276</v>
      </c>
      <c r="D262">
        <v>5068</v>
      </c>
      <c r="AF262">
        <v>0</v>
      </c>
      <c r="AG262">
        <v>3</v>
      </c>
      <c r="AH262">
        <v>810</v>
      </c>
      <c r="AI262">
        <v>1</v>
      </c>
    </row>
    <row r="263" spans="1:37" hidden="1" x14ac:dyDescent="0.3">
      <c r="A263" t="s">
        <v>276</v>
      </c>
      <c r="B263" t="s">
        <v>275</v>
      </c>
      <c r="C263" t="s">
        <v>276</v>
      </c>
      <c r="D263">
        <v>7810</v>
      </c>
      <c r="AF263">
        <v>0</v>
      </c>
      <c r="AG263">
        <v>4.5</v>
      </c>
      <c r="AH263">
        <v>810</v>
      </c>
      <c r="AI263">
        <v>1</v>
      </c>
    </row>
    <row r="264" spans="1:37" hidden="1" x14ac:dyDescent="0.3">
      <c r="A264" t="s">
        <v>276</v>
      </c>
      <c r="B264" t="s">
        <v>275</v>
      </c>
      <c r="C264" t="s">
        <v>276</v>
      </c>
      <c r="D264">
        <v>8810</v>
      </c>
      <c r="AF264">
        <v>0</v>
      </c>
      <c r="AG264">
        <v>4.5</v>
      </c>
      <c r="AH264">
        <v>810</v>
      </c>
      <c r="AI264">
        <v>1</v>
      </c>
    </row>
    <row r="265" spans="1:37" hidden="1" x14ac:dyDescent="0.3">
      <c r="A265" t="s">
        <v>376</v>
      </c>
      <c r="B265" t="s">
        <v>275</v>
      </c>
      <c r="C265" t="s">
        <v>276</v>
      </c>
      <c r="D265">
        <v>6810</v>
      </c>
      <c r="AF265">
        <v>0</v>
      </c>
      <c r="AG265">
        <v>4.5</v>
      </c>
      <c r="AH265">
        <v>810</v>
      </c>
      <c r="AI265">
        <v>1</v>
      </c>
    </row>
    <row r="266" spans="1:37" hidden="1" x14ac:dyDescent="0.3">
      <c r="A266" t="s">
        <v>662</v>
      </c>
      <c r="B266" t="s">
        <v>275</v>
      </c>
      <c r="C266" t="s">
        <v>276</v>
      </c>
      <c r="D266">
        <v>1810</v>
      </c>
      <c r="AF266">
        <v>0</v>
      </c>
      <c r="AG266">
        <v>4.5</v>
      </c>
      <c r="AH266">
        <v>810</v>
      </c>
      <c r="AI266">
        <v>1</v>
      </c>
    </row>
    <row r="267" spans="1:37" hidden="1" x14ac:dyDescent="0.3">
      <c r="A267" t="s">
        <v>662</v>
      </c>
      <c r="B267" t="s">
        <v>275</v>
      </c>
      <c r="C267" t="s">
        <v>276</v>
      </c>
      <c r="D267">
        <v>2810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4.5</v>
      </c>
      <c r="L267">
        <v>0</v>
      </c>
      <c r="M267">
        <v>1</v>
      </c>
      <c r="N267">
        <v>1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1</v>
      </c>
      <c r="AE267">
        <v>1.2</v>
      </c>
      <c r="AF267">
        <v>0</v>
      </c>
      <c r="AG267">
        <v>4.5</v>
      </c>
      <c r="AH267">
        <v>810</v>
      </c>
      <c r="AI267">
        <v>1</v>
      </c>
    </row>
    <row r="268" spans="1:37" hidden="1" x14ac:dyDescent="0.3">
      <c r="A268" t="s">
        <v>647</v>
      </c>
      <c r="B268" t="s">
        <v>275</v>
      </c>
      <c r="C268" t="s">
        <v>276</v>
      </c>
      <c r="D268">
        <v>3020</v>
      </c>
      <c r="E268">
        <v>0</v>
      </c>
      <c r="I268">
        <v>7.9218150000000005E-3</v>
      </c>
      <c r="K268">
        <v>0</v>
      </c>
      <c r="L268">
        <v>0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0</v>
      </c>
      <c r="V268">
        <v>1.0362554E-2</v>
      </c>
      <c r="W268">
        <v>0</v>
      </c>
      <c r="X268">
        <v>0</v>
      </c>
      <c r="Y268">
        <v>1</v>
      </c>
      <c r="Z268">
        <v>0</v>
      </c>
      <c r="AA268">
        <v>0</v>
      </c>
      <c r="AB268">
        <v>0</v>
      </c>
      <c r="AC268">
        <v>0.83333333300000001</v>
      </c>
      <c r="AE268">
        <v>1.2</v>
      </c>
      <c r="AF268">
        <v>0</v>
      </c>
      <c r="AG268">
        <v>1.8284369000000002E-2</v>
      </c>
      <c r="AH268">
        <v>810</v>
      </c>
      <c r="AI268">
        <v>1</v>
      </c>
      <c r="AJ268">
        <v>0</v>
      </c>
      <c r="AK268">
        <v>0.83333333300000001</v>
      </c>
    </row>
    <row r="269" spans="1:37" hidden="1" x14ac:dyDescent="0.3">
      <c r="A269" t="s">
        <v>299</v>
      </c>
      <c r="B269" t="s">
        <v>275</v>
      </c>
      <c r="C269" t="s">
        <v>276</v>
      </c>
      <c r="D269">
        <v>1370</v>
      </c>
      <c r="AC269">
        <v>0</v>
      </c>
      <c r="AF269">
        <v>0</v>
      </c>
      <c r="AG269">
        <v>4.5</v>
      </c>
      <c r="AH269">
        <v>370</v>
      </c>
      <c r="AI269">
        <v>1</v>
      </c>
    </row>
    <row r="270" spans="1:37" hidden="1" x14ac:dyDescent="0.3">
      <c r="A270" t="s">
        <v>502</v>
      </c>
      <c r="B270" t="s">
        <v>91</v>
      </c>
      <c r="C270" t="s">
        <v>91</v>
      </c>
      <c r="D270">
        <v>4216</v>
      </c>
      <c r="AH270">
        <v>200</v>
      </c>
    </row>
    <row r="271" spans="1:37" hidden="1" x14ac:dyDescent="0.3">
      <c r="A271" t="s">
        <v>500</v>
      </c>
      <c r="B271" t="s">
        <v>91</v>
      </c>
      <c r="C271" t="s">
        <v>91</v>
      </c>
      <c r="D271">
        <v>4218</v>
      </c>
      <c r="AH271">
        <v>200</v>
      </c>
    </row>
    <row r="272" spans="1:37" hidden="1" x14ac:dyDescent="0.3">
      <c r="A272" t="s">
        <v>412</v>
      </c>
      <c r="B272" t="s">
        <v>91</v>
      </c>
      <c r="C272" t="s">
        <v>91</v>
      </c>
      <c r="D272">
        <v>6201</v>
      </c>
      <c r="AH272">
        <v>200</v>
      </c>
    </row>
    <row r="273" spans="1:37" hidden="1" x14ac:dyDescent="0.3">
      <c r="A273" t="s">
        <v>477</v>
      </c>
      <c r="B273" t="s">
        <v>91</v>
      </c>
      <c r="C273" t="s">
        <v>91</v>
      </c>
      <c r="D273">
        <v>5012</v>
      </c>
      <c r="AH273">
        <v>200</v>
      </c>
    </row>
    <row r="274" spans="1:37" hidden="1" x14ac:dyDescent="0.3">
      <c r="A274" t="s">
        <v>347</v>
      </c>
      <c r="B274" t="s">
        <v>91</v>
      </c>
      <c r="C274" t="s">
        <v>91</v>
      </c>
      <c r="D274">
        <v>7202</v>
      </c>
      <c r="AH274">
        <v>200</v>
      </c>
    </row>
    <row r="275" spans="1:37" hidden="1" x14ac:dyDescent="0.3">
      <c r="A275" t="s">
        <v>348</v>
      </c>
      <c r="B275" t="s">
        <v>91</v>
      </c>
      <c r="C275" t="s">
        <v>91</v>
      </c>
      <c r="D275">
        <v>7200</v>
      </c>
      <c r="AH275">
        <v>200</v>
      </c>
    </row>
    <row r="276" spans="1:37" hidden="1" x14ac:dyDescent="0.3">
      <c r="A276" t="s">
        <v>442</v>
      </c>
      <c r="B276" t="s">
        <v>91</v>
      </c>
      <c r="C276" t="s">
        <v>91</v>
      </c>
      <c r="D276">
        <v>5048</v>
      </c>
      <c r="AH276">
        <v>200</v>
      </c>
    </row>
    <row r="277" spans="1:37" hidden="1" x14ac:dyDescent="0.3">
      <c r="A277" t="s">
        <v>441</v>
      </c>
      <c r="B277" t="s">
        <v>91</v>
      </c>
      <c r="C277" t="s">
        <v>91</v>
      </c>
      <c r="D277">
        <v>5049</v>
      </c>
      <c r="AH277">
        <v>200</v>
      </c>
    </row>
    <row r="278" spans="1:37" hidden="1" x14ac:dyDescent="0.3">
      <c r="A278" t="s">
        <v>615</v>
      </c>
      <c r="B278" t="s">
        <v>91</v>
      </c>
      <c r="C278" t="s">
        <v>91</v>
      </c>
      <c r="D278">
        <v>3080</v>
      </c>
      <c r="E278">
        <v>0</v>
      </c>
      <c r="I278">
        <v>0.34160808199999998</v>
      </c>
      <c r="K278">
        <v>7.3848716169999999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2</v>
      </c>
      <c r="S278">
        <v>2.4</v>
      </c>
      <c r="V278">
        <v>0.179319899</v>
      </c>
      <c r="W278">
        <v>0</v>
      </c>
      <c r="X278">
        <v>0</v>
      </c>
      <c r="Y278">
        <v>0</v>
      </c>
      <c r="Z278">
        <v>0.3</v>
      </c>
      <c r="AA278">
        <v>1.61</v>
      </c>
      <c r="AB278">
        <v>0</v>
      </c>
      <c r="AC278">
        <v>0.5</v>
      </c>
      <c r="AE278">
        <v>2</v>
      </c>
      <c r="AG278">
        <v>7.9057995969999997</v>
      </c>
      <c r="AH278">
        <v>200</v>
      </c>
      <c r="AI278">
        <v>0</v>
      </c>
      <c r="AJ278">
        <v>0</v>
      </c>
      <c r="AK278">
        <v>0.5</v>
      </c>
    </row>
    <row r="279" spans="1:37" hidden="1" x14ac:dyDescent="0.3">
      <c r="A279" t="s">
        <v>440</v>
      </c>
      <c r="B279" t="s">
        <v>91</v>
      </c>
      <c r="C279" t="s">
        <v>91</v>
      </c>
      <c r="D279">
        <v>3081</v>
      </c>
      <c r="E279">
        <v>0</v>
      </c>
      <c r="I279">
        <v>3.3920463550000002</v>
      </c>
      <c r="K279">
        <v>12.426726240000001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3.25</v>
      </c>
      <c r="S279">
        <v>3.45</v>
      </c>
      <c r="V279">
        <v>1.5162304090000001</v>
      </c>
      <c r="W279">
        <v>0</v>
      </c>
      <c r="X279">
        <v>0</v>
      </c>
      <c r="Y279">
        <v>0</v>
      </c>
      <c r="Z279">
        <v>0</v>
      </c>
      <c r="AA279">
        <v>2.88</v>
      </c>
      <c r="AB279">
        <v>0</v>
      </c>
      <c r="AC279">
        <v>0.5</v>
      </c>
      <c r="AE279">
        <v>2</v>
      </c>
      <c r="AG279">
        <v>17.335003</v>
      </c>
      <c r="AH279">
        <v>200</v>
      </c>
      <c r="AI279">
        <v>0</v>
      </c>
      <c r="AJ279">
        <v>0</v>
      </c>
      <c r="AK279">
        <v>0.5</v>
      </c>
    </row>
    <row r="280" spans="1:37" hidden="1" x14ac:dyDescent="0.3">
      <c r="A280" t="s">
        <v>440</v>
      </c>
      <c r="B280" t="s">
        <v>91</v>
      </c>
      <c r="C280" t="s">
        <v>91</v>
      </c>
      <c r="D280">
        <v>5050</v>
      </c>
      <c r="AH280">
        <v>200</v>
      </c>
    </row>
    <row r="281" spans="1:37" hidden="1" x14ac:dyDescent="0.3">
      <c r="A281" t="s">
        <v>439</v>
      </c>
      <c r="B281" t="s">
        <v>91</v>
      </c>
      <c r="C281" t="s">
        <v>91</v>
      </c>
      <c r="D281">
        <v>3082</v>
      </c>
      <c r="E281">
        <v>0</v>
      </c>
      <c r="I281">
        <v>3.3920463550000002</v>
      </c>
      <c r="K281">
        <v>12.426726240000001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3.25</v>
      </c>
      <c r="S281">
        <v>3.45</v>
      </c>
      <c r="V281">
        <v>1.5162304090000001</v>
      </c>
      <c r="W281">
        <v>0</v>
      </c>
      <c r="X281">
        <v>0</v>
      </c>
      <c r="Y281">
        <v>0</v>
      </c>
      <c r="Z281">
        <v>0.3</v>
      </c>
      <c r="AA281">
        <v>2.88</v>
      </c>
      <c r="AB281">
        <v>0</v>
      </c>
      <c r="AC281">
        <v>0.222222222</v>
      </c>
      <c r="AE281">
        <v>4.5</v>
      </c>
      <c r="AG281">
        <v>17.335003</v>
      </c>
      <c r="AH281">
        <v>200</v>
      </c>
      <c r="AI281">
        <v>0</v>
      </c>
      <c r="AJ281">
        <v>0</v>
      </c>
      <c r="AK281">
        <v>0.222222222</v>
      </c>
    </row>
    <row r="282" spans="1:37" hidden="1" x14ac:dyDescent="0.3">
      <c r="A282" t="s">
        <v>439</v>
      </c>
      <c r="B282" t="s">
        <v>91</v>
      </c>
      <c r="C282" t="s">
        <v>91</v>
      </c>
      <c r="D282">
        <v>5051</v>
      </c>
      <c r="AH282">
        <v>200</v>
      </c>
    </row>
    <row r="283" spans="1:37" hidden="1" x14ac:dyDescent="0.3">
      <c r="A283" t="s">
        <v>438</v>
      </c>
      <c r="B283" t="s">
        <v>91</v>
      </c>
      <c r="C283" t="s">
        <v>91</v>
      </c>
      <c r="D283">
        <v>5052</v>
      </c>
      <c r="AH283">
        <v>200</v>
      </c>
    </row>
    <row r="284" spans="1:37" hidden="1" x14ac:dyDescent="0.3">
      <c r="A284" t="s">
        <v>680</v>
      </c>
      <c r="B284" t="s">
        <v>91</v>
      </c>
      <c r="C284" t="s">
        <v>91</v>
      </c>
      <c r="D284">
        <v>1200</v>
      </c>
      <c r="AH284">
        <v>200</v>
      </c>
    </row>
    <row r="285" spans="1:37" hidden="1" x14ac:dyDescent="0.3">
      <c r="A285" t="s">
        <v>680</v>
      </c>
      <c r="B285" t="s">
        <v>91</v>
      </c>
      <c r="C285" t="s">
        <v>91</v>
      </c>
      <c r="D285">
        <v>2200</v>
      </c>
      <c r="F285">
        <v>0</v>
      </c>
      <c r="G285">
        <v>0</v>
      </c>
      <c r="H285">
        <v>1.7</v>
      </c>
      <c r="I285">
        <v>0.3</v>
      </c>
      <c r="J285">
        <v>0</v>
      </c>
      <c r="K285">
        <v>11</v>
      </c>
      <c r="L285">
        <v>0.34</v>
      </c>
      <c r="M285">
        <v>1</v>
      </c>
      <c r="N285">
        <v>0.6</v>
      </c>
      <c r="T285">
        <v>0.1</v>
      </c>
      <c r="U285">
        <v>0</v>
      </c>
      <c r="V285">
        <v>1.8</v>
      </c>
      <c r="W285">
        <v>0</v>
      </c>
      <c r="X285">
        <v>0.2</v>
      </c>
      <c r="Y285">
        <v>0.6</v>
      </c>
      <c r="AE285">
        <v>4.5</v>
      </c>
      <c r="AF285">
        <v>1.8</v>
      </c>
      <c r="AG285">
        <v>13.1</v>
      </c>
      <c r="AH285">
        <v>200</v>
      </c>
      <c r="AI285">
        <v>0.6</v>
      </c>
    </row>
    <row r="286" spans="1:37" hidden="1" x14ac:dyDescent="0.3">
      <c r="A286" t="s">
        <v>608</v>
      </c>
      <c r="B286" t="s">
        <v>91</v>
      </c>
      <c r="C286" t="s">
        <v>91</v>
      </c>
      <c r="D286">
        <v>3098</v>
      </c>
      <c r="E286">
        <v>0</v>
      </c>
      <c r="I286">
        <v>0.34160808199999998</v>
      </c>
      <c r="J286">
        <v>0</v>
      </c>
      <c r="K286">
        <v>12.68153028</v>
      </c>
      <c r="L286">
        <v>0.34</v>
      </c>
      <c r="M286">
        <v>0</v>
      </c>
      <c r="N286">
        <v>0.6</v>
      </c>
      <c r="O286">
        <v>0</v>
      </c>
      <c r="P286">
        <v>0</v>
      </c>
      <c r="Q286">
        <v>0</v>
      </c>
      <c r="R286">
        <v>2</v>
      </c>
      <c r="S286">
        <v>3.4950000000000001</v>
      </c>
      <c r="V286">
        <v>1.820092614</v>
      </c>
      <c r="W286">
        <v>0</v>
      </c>
      <c r="X286">
        <v>0.2</v>
      </c>
      <c r="Y286">
        <v>0.6</v>
      </c>
      <c r="Z286">
        <v>0</v>
      </c>
      <c r="AA286">
        <v>3</v>
      </c>
      <c r="AB286">
        <v>0</v>
      </c>
      <c r="AC286">
        <v>0.222222222</v>
      </c>
      <c r="AE286">
        <v>4.5</v>
      </c>
      <c r="AG286">
        <v>14.84323097</v>
      </c>
      <c r="AH286">
        <v>200</v>
      </c>
      <c r="AI286">
        <v>0.6</v>
      </c>
      <c r="AJ286">
        <v>0</v>
      </c>
      <c r="AK286">
        <v>0.222222222</v>
      </c>
    </row>
    <row r="287" spans="1:37" hidden="1" x14ac:dyDescent="0.3">
      <c r="A287" t="s">
        <v>505</v>
      </c>
      <c r="B287" t="s">
        <v>300</v>
      </c>
      <c r="C287" t="s">
        <v>301</v>
      </c>
      <c r="D287">
        <v>4210</v>
      </c>
      <c r="AC287">
        <v>0.5</v>
      </c>
      <c r="AF287">
        <v>0</v>
      </c>
      <c r="AG287">
        <v>3.5</v>
      </c>
      <c r="AH287">
        <v>360</v>
      </c>
      <c r="AI287">
        <v>0</v>
      </c>
    </row>
    <row r="288" spans="1:37" hidden="1" x14ac:dyDescent="0.3">
      <c r="A288" t="s">
        <v>397</v>
      </c>
      <c r="B288" t="s">
        <v>300</v>
      </c>
      <c r="C288" t="s">
        <v>301</v>
      </c>
      <c r="D288">
        <v>6361</v>
      </c>
      <c r="AC288">
        <v>0.5</v>
      </c>
      <c r="AF288">
        <v>0</v>
      </c>
      <c r="AG288">
        <v>1.5</v>
      </c>
      <c r="AH288">
        <v>360</v>
      </c>
      <c r="AI288">
        <v>0.6</v>
      </c>
    </row>
    <row r="289" spans="1:35" hidden="1" x14ac:dyDescent="0.3">
      <c r="A289" t="s">
        <v>429</v>
      </c>
      <c r="B289" t="s">
        <v>300</v>
      </c>
      <c r="C289" t="s">
        <v>301</v>
      </c>
      <c r="D289">
        <v>5061</v>
      </c>
      <c r="AC289">
        <v>0.5</v>
      </c>
      <c r="AF289">
        <v>1</v>
      </c>
      <c r="AG289">
        <v>11.7</v>
      </c>
      <c r="AH289">
        <v>360</v>
      </c>
      <c r="AI289">
        <v>0.14000000000000001</v>
      </c>
    </row>
    <row r="290" spans="1:35" hidden="1" x14ac:dyDescent="0.3">
      <c r="A290" t="s">
        <v>301</v>
      </c>
      <c r="B290" t="s">
        <v>300</v>
      </c>
      <c r="C290" t="s">
        <v>301</v>
      </c>
      <c r="D290">
        <v>7360</v>
      </c>
      <c r="AC290">
        <v>0.5</v>
      </c>
      <c r="AF290">
        <v>0</v>
      </c>
      <c r="AG290">
        <v>3.2</v>
      </c>
      <c r="AH290">
        <v>360</v>
      </c>
      <c r="AI290">
        <v>0.6</v>
      </c>
    </row>
    <row r="291" spans="1:35" hidden="1" x14ac:dyDescent="0.3">
      <c r="A291" t="s">
        <v>301</v>
      </c>
      <c r="B291" t="s">
        <v>300</v>
      </c>
      <c r="C291" t="s">
        <v>301</v>
      </c>
      <c r="D291">
        <v>8360</v>
      </c>
      <c r="AC291">
        <v>0.5</v>
      </c>
      <c r="AF291">
        <v>1</v>
      </c>
      <c r="AG291">
        <v>3.2</v>
      </c>
      <c r="AH291">
        <v>360</v>
      </c>
      <c r="AI291">
        <v>1</v>
      </c>
    </row>
    <row r="292" spans="1:35" hidden="1" x14ac:dyDescent="0.3">
      <c r="A292" t="s">
        <v>398</v>
      </c>
      <c r="B292" t="s">
        <v>300</v>
      </c>
      <c r="C292" t="s">
        <v>301</v>
      </c>
      <c r="D292">
        <v>6360</v>
      </c>
      <c r="AC292">
        <v>0.5</v>
      </c>
      <c r="AF292">
        <v>0</v>
      </c>
      <c r="AG292">
        <v>4.5</v>
      </c>
      <c r="AH292">
        <v>360</v>
      </c>
      <c r="AI292">
        <v>0.6</v>
      </c>
    </row>
    <row r="293" spans="1:35" x14ac:dyDescent="0.3">
      <c r="A293" t="s">
        <v>538</v>
      </c>
      <c r="B293" t="s">
        <v>126</v>
      </c>
      <c r="C293" t="s">
        <v>126</v>
      </c>
      <c r="D293">
        <v>4170</v>
      </c>
      <c r="AC293">
        <v>0.7</v>
      </c>
      <c r="AD293">
        <v>1</v>
      </c>
      <c r="AH293">
        <v>400</v>
      </c>
    </row>
    <row r="294" spans="1:35" x14ac:dyDescent="0.3">
      <c r="A294" t="s">
        <v>522</v>
      </c>
      <c r="B294" t="s">
        <v>126</v>
      </c>
      <c r="C294" t="s">
        <v>126</v>
      </c>
      <c r="D294">
        <v>4186</v>
      </c>
      <c r="AC294">
        <v>0.7</v>
      </c>
      <c r="AD294">
        <v>1</v>
      </c>
      <c r="AH294">
        <v>400</v>
      </c>
    </row>
    <row r="295" spans="1:35" x14ac:dyDescent="0.3">
      <c r="A295" t="s">
        <v>519</v>
      </c>
      <c r="B295" t="s">
        <v>126</v>
      </c>
      <c r="C295" t="s">
        <v>126</v>
      </c>
      <c r="D295">
        <v>4189</v>
      </c>
      <c r="AC295">
        <v>0.7</v>
      </c>
      <c r="AD295">
        <v>1</v>
      </c>
      <c r="AH295">
        <v>400</v>
      </c>
    </row>
    <row r="296" spans="1:35" x14ac:dyDescent="0.3">
      <c r="A296" t="s">
        <v>518</v>
      </c>
      <c r="B296" t="s">
        <v>126</v>
      </c>
      <c r="C296" t="s">
        <v>126</v>
      </c>
      <c r="D296">
        <v>4190</v>
      </c>
      <c r="AC296">
        <v>0.7</v>
      </c>
      <c r="AD296">
        <v>1</v>
      </c>
      <c r="AH296">
        <v>400</v>
      </c>
    </row>
    <row r="297" spans="1:35" x14ac:dyDescent="0.3">
      <c r="A297" t="s">
        <v>511</v>
      </c>
      <c r="B297" t="s">
        <v>126</v>
      </c>
      <c r="C297" t="s">
        <v>126</v>
      </c>
      <c r="D297">
        <v>4197</v>
      </c>
      <c r="AC297">
        <v>0.7</v>
      </c>
      <c r="AD297">
        <v>1</v>
      </c>
      <c r="AH297">
        <v>400</v>
      </c>
    </row>
    <row r="298" spans="1:35" x14ac:dyDescent="0.3">
      <c r="A298" t="s">
        <v>298</v>
      </c>
      <c r="B298" t="s">
        <v>126</v>
      </c>
      <c r="C298" t="s">
        <v>126</v>
      </c>
      <c r="D298">
        <v>8401</v>
      </c>
      <c r="AC298">
        <v>0.7</v>
      </c>
      <c r="AD298">
        <v>3</v>
      </c>
      <c r="AH298">
        <v>400</v>
      </c>
    </row>
    <row r="299" spans="1:35" x14ac:dyDescent="0.3">
      <c r="A299" t="s">
        <v>394</v>
      </c>
      <c r="B299" t="s">
        <v>126</v>
      </c>
      <c r="C299" t="s">
        <v>126</v>
      </c>
      <c r="D299">
        <v>6401</v>
      </c>
      <c r="AC299">
        <v>0.7</v>
      </c>
      <c r="AD299">
        <v>3</v>
      </c>
      <c r="AH299">
        <v>400</v>
      </c>
    </row>
    <row r="300" spans="1:35" x14ac:dyDescent="0.3">
      <c r="A300" t="s">
        <v>297</v>
      </c>
      <c r="B300" t="s">
        <v>126</v>
      </c>
      <c r="C300" t="s">
        <v>126</v>
      </c>
      <c r="D300">
        <v>8402</v>
      </c>
      <c r="AC300">
        <v>0.7</v>
      </c>
      <c r="AD300">
        <v>2</v>
      </c>
      <c r="AH300">
        <v>400</v>
      </c>
    </row>
    <row r="301" spans="1:35" x14ac:dyDescent="0.3">
      <c r="A301" t="s">
        <v>393</v>
      </c>
      <c r="B301" t="s">
        <v>126</v>
      </c>
      <c r="C301" t="s">
        <v>126</v>
      </c>
      <c r="D301">
        <v>6402</v>
      </c>
      <c r="AC301">
        <v>0.7</v>
      </c>
      <c r="AD301">
        <v>2</v>
      </c>
      <c r="AH301">
        <v>400</v>
      </c>
    </row>
    <row r="302" spans="1:35" x14ac:dyDescent="0.3">
      <c r="A302" t="s">
        <v>463</v>
      </c>
      <c r="B302" t="s">
        <v>126</v>
      </c>
      <c r="C302" t="s">
        <v>126</v>
      </c>
      <c r="D302">
        <v>5026</v>
      </c>
      <c r="AC302">
        <v>0.7</v>
      </c>
      <c r="AD302">
        <v>1</v>
      </c>
      <c r="AH302">
        <v>400</v>
      </c>
    </row>
    <row r="303" spans="1:35" x14ac:dyDescent="0.3">
      <c r="A303" t="s">
        <v>295</v>
      </c>
      <c r="B303" t="s">
        <v>126</v>
      </c>
      <c r="C303" t="s">
        <v>126</v>
      </c>
      <c r="D303">
        <v>8404</v>
      </c>
      <c r="AC303">
        <v>0.7</v>
      </c>
      <c r="AD303">
        <v>1</v>
      </c>
      <c r="AH303">
        <v>400</v>
      </c>
    </row>
    <row r="304" spans="1:35" x14ac:dyDescent="0.3">
      <c r="A304" t="s">
        <v>296</v>
      </c>
      <c r="B304" t="s">
        <v>126</v>
      </c>
      <c r="C304" t="s">
        <v>126</v>
      </c>
      <c r="D304">
        <v>6403</v>
      </c>
      <c r="AC304">
        <v>0.8</v>
      </c>
      <c r="AD304">
        <v>1</v>
      </c>
      <c r="AH304">
        <v>400</v>
      </c>
    </row>
    <row r="305" spans="1:36" x14ac:dyDescent="0.3">
      <c r="A305" t="s">
        <v>296</v>
      </c>
      <c r="B305" t="s">
        <v>126</v>
      </c>
      <c r="C305" t="s">
        <v>126</v>
      </c>
      <c r="D305">
        <v>8403</v>
      </c>
      <c r="AC305">
        <v>0.7</v>
      </c>
      <c r="AD305">
        <v>1</v>
      </c>
      <c r="AH305">
        <v>400</v>
      </c>
    </row>
    <row r="306" spans="1:36" x14ac:dyDescent="0.3">
      <c r="A306" t="s">
        <v>551</v>
      </c>
      <c r="B306" t="s">
        <v>126</v>
      </c>
      <c r="C306" t="s">
        <v>286</v>
      </c>
      <c r="D306">
        <v>4157</v>
      </c>
      <c r="AC306">
        <v>0.7</v>
      </c>
      <c r="AD306">
        <v>1</v>
      </c>
      <c r="AH306">
        <v>450</v>
      </c>
    </row>
    <row r="307" spans="1:36" x14ac:dyDescent="0.3">
      <c r="A307" t="s">
        <v>540</v>
      </c>
      <c r="B307" t="s">
        <v>126</v>
      </c>
      <c r="C307" t="s">
        <v>286</v>
      </c>
      <c r="D307">
        <v>4168</v>
      </c>
      <c r="AC307">
        <v>0.7</v>
      </c>
      <c r="AD307">
        <v>1</v>
      </c>
      <c r="AH307">
        <v>450</v>
      </c>
    </row>
    <row r="308" spans="1:36" x14ac:dyDescent="0.3">
      <c r="A308" t="s">
        <v>539</v>
      </c>
      <c r="B308" t="s">
        <v>126</v>
      </c>
      <c r="C308" t="s">
        <v>286</v>
      </c>
      <c r="D308">
        <v>4169</v>
      </c>
      <c r="AC308">
        <v>0.7</v>
      </c>
      <c r="AD308">
        <v>1</v>
      </c>
      <c r="AH308">
        <v>450</v>
      </c>
    </row>
    <row r="309" spans="1:36" x14ac:dyDescent="0.3">
      <c r="A309" t="s">
        <v>536</v>
      </c>
      <c r="B309" t="s">
        <v>126</v>
      </c>
      <c r="C309" t="s">
        <v>286</v>
      </c>
      <c r="D309">
        <v>4172</v>
      </c>
      <c r="AC309">
        <v>0.7</v>
      </c>
      <c r="AD309">
        <v>1</v>
      </c>
      <c r="AH309">
        <v>450</v>
      </c>
    </row>
    <row r="310" spans="1:36" x14ac:dyDescent="0.3">
      <c r="A310" t="s">
        <v>671</v>
      </c>
      <c r="B310" t="s">
        <v>126</v>
      </c>
      <c r="C310" t="s">
        <v>286</v>
      </c>
      <c r="D310">
        <v>2451</v>
      </c>
      <c r="E310">
        <v>6</v>
      </c>
      <c r="F310">
        <v>0</v>
      </c>
      <c r="G310">
        <v>0</v>
      </c>
      <c r="H310">
        <v>0</v>
      </c>
      <c r="I310">
        <v>5</v>
      </c>
      <c r="J310">
        <v>0</v>
      </c>
      <c r="K310">
        <v>9.1</v>
      </c>
      <c r="L310">
        <v>0.15</v>
      </c>
      <c r="M310">
        <v>1</v>
      </c>
      <c r="N310">
        <v>0.1</v>
      </c>
      <c r="Q310">
        <v>19</v>
      </c>
      <c r="R310">
        <v>3</v>
      </c>
      <c r="S310">
        <v>2.8</v>
      </c>
      <c r="T310">
        <v>0</v>
      </c>
      <c r="U310">
        <v>0</v>
      </c>
      <c r="V310">
        <v>0.4</v>
      </c>
      <c r="W310">
        <v>0</v>
      </c>
      <c r="X310">
        <v>0.7</v>
      </c>
      <c r="Y310">
        <v>0.1</v>
      </c>
      <c r="AA310">
        <v>2</v>
      </c>
      <c r="AB310">
        <v>2.4</v>
      </c>
      <c r="AC310">
        <v>0.64</v>
      </c>
      <c r="AD310">
        <v>1</v>
      </c>
      <c r="AE310">
        <v>1.5</v>
      </c>
      <c r="AF310">
        <v>0</v>
      </c>
      <c r="AG310">
        <v>14.5</v>
      </c>
      <c r="AH310">
        <v>450</v>
      </c>
      <c r="AI310">
        <v>0.1</v>
      </c>
      <c r="AJ310">
        <v>1</v>
      </c>
    </row>
    <row r="311" spans="1:36" x14ac:dyDescent="0.3">
      <c r="A311" t="s">
        <v>294</v>
      </c>
      <c r="B311" t="s">
        <v>126</v>
      </c>
      <c r="C311" t="s">
        <v>286</v>
      </c>
      <c r="D311">
        <v>8451</v>
      </c>
      <c r="AC311">
        <v>0.5</v>
      </c>
      <c r="AD311">
        <v>3</v>
      </c>
      <c r="AH311">
        <v>450</v>
      </c>
    </row>
    <row r="312" spans="1:36" x14ac:dyDescent="0.3">
      <c r="A312" t="s">
        <v>392</v>
      </c>
      <c r="B312" t="s">
        <v>126</v>
      </c>
      <c r="C312" t="s">
        <v>286</v>
      </c>
      <c r="D312">
        <v>6451</v>
      </c>
      <c r="AC312">
        <v>0.5</v>
      </c>
      <c r="AD312">
        <v>3</v>
      </c>
      <c r="AH312">
        <v>450</v>
      </c>
    </row>
    <row r="313" spans="1:36" x14ac:dyDescent="0.3">
      <c r="A313" t="s">
        <v>391</v>
      </c>
      <c r="B313" t="s">
        <v>126</v>
      </c>
      <c r="C313" t="s">
        <v>286</v>
      </c>
      <c r="D313">
        <v>6452</v>
      </c>
      <c r="AC313">
        <v>0.5</v>
      </c>
      <c r="AD313">
        <v>2</v>
      </c>
      <c r="AH313">
        <v>450</v>
      </c>
    </row>
    <row r="314" spans="1:36" x14ac:dyDescent="0.3">
      <c r="A314" t="s">
        <v>293</v>
      </c>
      <c r="B314" t="s">
        <v>126</v>
      </c>
      <c r="C314" t="s">
        <v>286</v>
      </c>
      <c r="D314">
        <v>8452</v>
      </c>
      <c r="AC314">
        <v>0.5</v>
      </c>
      <c r="AD314">
        <v>2</v>
      </c>
      <c r="AH314">
        <v>450</v>
      </c>
    </row>
    <row r="315" spans="1:36" x14ac:dyDescent="0.3">
      <c r="A315" t="s">
        <v>462</v>
      </c>
      <c r="B315" t="s">
        <v>126</v>
      </c>
      <c r="C315" t="s">
        <v>286</v>
      </c>
      <c r="D315">
        <v>5027</v>
      </c>
      <c r="AC315">
        <v>0.5</v>
      </c>
      <c r="AD315">
        <v>1</v>
      </c>
      <c r="AH315">
        <v>450</v>
      </c>
    </row>
    <row r="316" spans="1:36" x14ac:dyDescent="0.3">
      <c r="A316" t="s">
        <v>292</v>
      </c>
      <c r="B316" t="s">
        <v>126</v>
      </c>
      <c r="C316" t="s">
        <v>286</v>
      </c>
      <c r="D316">
        <v>8454</v>
      </c>
      <c r="AC316">
        <v>0.6</v>
      </c>
      <c r="AD316">
        <v>1</v>
      </c>
      <c r="AH316">
        <v>450</v>
      </c>
    </row>
    <row r="317" spans="1:36" x14ac:dyDescent="0.3">
      <c r="A317" t="s">
        <v>288</v>
      </c>
      <c r="B317" t="s">
        <v>126</v>
      </c>
      <c r="C317" t="s">
        <v>286</v>
      </c>
      <c r="D317">
        <v>8458</v>
      </c>
      <c r="AC317">
        <v>0.6</v>
      </c>
      <c r="AD317">
        <v>3</v>
      </c>
      <c r="AH317">
        <v>450</v>
      </c>
    </row>
    <row r="318" spans="1:36" x14ac:dyDescent="0.3">
      <c r="A318" t="s">
        <v>290</v>
      </c>
      <c r="B318" t="s">
        <v>126</v>
      </c>
      <c r="C318" t="s">
        <v>286</v>
      </c>
      <c r="D318">
        <v>8456</v>
      </c>
      <c r="AC318">
        <v>0.6</v>
      </c>
      <c r="AD318">
        <v>2</v>
      </c>
      <c r="AH318">
        <v>450</v>
      </c>
    </row>
    <row r="319" spans="1:36" x14ac:dyDescent="0.3">
      <c r="A319" t="s">
        <v>295</v>
      </c>
      <c r="B319" t="s">
        <v>126</v>
      </c>
      <c r="C319" t="s">
        <v>286</v>
      </c>
      <c r="D319">
        <v>6456</v>
      </c>
      <c r="AC319">
        <v>0.7</v>
      </c>
      <c r="AD319">
        <v>2</v>
      </c>
      <c r="AH319">
        <v>450</v>
      </c>
    </row>
    <row r="320" spans="1:36" x14ac:dyDescent="0.3">
      <c r="A320" t="s">
        <v>390</v>
      </c>
      <c r="B320" t="s">
        <v>126</v>
      </c>
      <c r="C320" t="s">
        <v>286</v>
      </c>
      <c r="D320">
        <v>6454</v>
      </c>
      <c r="AC320">
        <v>0.7</v>
      </c>
      <c r="AD320">
        <v>1</v>
      </c>
      <c r="AH320">
        <v>450</v>
      </c>
    </row>
    <row r="321" spans="1:37" x14ac:dyDescent="0.3">
      <c r="A321" t="s">
        <v>389</v>
      </c>
      <c r="B321" t="s">
        <v>126</v>
      </c>
      <c r="C321" t="s">
        <v>286</v>
      </c>
      <c r="D321">
        <v>6455</v>
      </c>
      <c r="AC321">
        <v>0.6</v>
      </c>
      <c r="AD321">
        <v>2</v>
      </c>
      <c r="AH321">
        <v>450</v>
      </c>
    </row>
    <row r="322" spans="1:37" x14ac:dyDescent="0.3">
      <c r="A322" t="s">
        <v>291</v>
      </c>
      <c r="B322" t="s">
        <v>126</v>
      </c>
      <c r="C322" t="s">
        <v>286</v>
      </c>
      <c r="D322">
        <v>6453</v>
      </c>
      <c r="AC322">
        <v>0.6</v>
      </c>
      <c r="AD322">
        <v>1</v>
      </c>
      <c r="AH322">
        <v>450</v>
      </c>
    </row>
    <row r="323" spans="1:37" x14ac:dyDescent="0.3">
      <c r="A323" t="s">
        <v>291</v>
      </c>
      <c r="B323" t="s">
        <v>126</v>
      </c>
      <c r="C323" t="s">
        <v>286</v>
      </c>
      <c r="D323">
        <v>8455</v>
      </c>
      <c r="AC323">
        <v>0.5</v>
      </c>
      <c r="AD323">
        <v>1</v>
      </c>
      <c r="AH323">
        <v>450</v>
      </c>
    </row>
    <row r="324" spans="1:37" x14ac:dyDescent="0.3">
      <c r="A324" t="s">
        <v>287</v>
      </c>
      <c r="B324" t="s">
        <v>126</v>
      </c>
      <c r="C324" t="s">
        <v>286</v>
      </c>
      <c r="D324">
        <v>8459</v>
      </c>
      <c r="AC324">
        <v>0.5</v>
      </c>
      <c r="AD324">
        <v>3</v>
      </c>
      <c r="AH324">
        <v>450</v>
      </c>
    </row>
    <row r="325" spans="1:37" x14ac:dyDescent="0.3">
      <c r="A325" t="s">
        <v>289</v>
      </c>
      <c r="B325" t="s">
        <v>126</v>
      </c>
      <c r="C325" t="s">
        <v>286</v>
      </c>
      <c r="D325">
        <v>8457</v>
      </c>
      <c r="AC325">
        <v>0.5</v>
      </c>
      <c r="AD325">
        <v>2</v>
      </c>
      <c r="AH325">
        <v>450</v>
      </c>
    </row>
    <row r="326" spans="1:37" hidden="1" x14ac:dyDescent="0.3">
      <c r="A326" t="s">
        <v>610</v>
      </c>
      <c r="B326" t="s">
        <v>300</v>
      </c>
      <c r="C326" t="s">
        <v>299</v>
      </c>
      <c r="D326">
        <v>3096</v>
      </c>
      <c r="E326">
        <v>0</v>
      </c>
      <c r="I326">
        <v>7.9218150000000005E-3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V326">
        <v>1.0362554E-2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0.33</v>
      </c>
      <c r="AE326">
        <v>3</v>
      </c>
      <c r="AF326">
        <v>0</v>
      </c>
      <c r="AG326">
        <v>0</v>
      </c>
      <c r="AH326">
        <v>370</v>
      </c>
      <c r="AI326">
        <v>0</v>
      </c>
      <c r="AJ326">
        <v>0</v>
      </c>
      <c r="AK326">
        <v>0.33</v>
      </c>
    </row>
    <row r="327" spans="1:37" hidden="1" x14ac:dyDescent="0.3">
      <c r="A327" t="s">
        <v>480</v>
      </c>
      <c r="B327" t="s">
        <v>300</v>
      </c>
      <c r="C327" t="s">
        <v>299</v>
      </c>
      <c r="D327">
        <v>5009</v>
      </c>
      <c r="AC327">
        <v>1</v>
      </c>
      <c r="AF327">
        <v>0</v>
      </c>
      <c r="AG327">
        <v>0</v>
      </c>
      <c r="AH327">
        <v>370</v>
      </c>
      <c r="AI327">
        <v>0</v>
      </c>
    </row>
    <row r="328" spans="1:37" hidden="1" x14ac:dyDescent="0.3">
      <c r="A328" t="s">
        <v>395</v>
      </c>
      <c r="B328" t="s">
        <v>300</v>
      </c>
      <c r="C328" t="s">
        <v>299</v>
      </c>
      <c r="D328">
        <v>6371</v>
      </c>
      <c r="AC328">
        <v>0.5</v>
      </c>
      <c r="AF328">
        <v>0</v>
      </c>
      <c r="AG328">
        <v>0.5</v>
      </c>
      <c r="AH328">
        <v>370</v>
      </c>
      <c r="AI328">
        <v>0.6</v>
      </c>
    </row>
    <row r="329" spans="1:37" hidden="1" x14ac:dyDescent="0.3">
      <c r="A329" t="s">
        <v>270</v>
      </c>
      <c r="B329" t="s">
        <v>300</v>
      </c>
      <c r="C329" t="s">
        <v>299</v>
      </c>
      <c r="D329">
        <v>3047</v>
      </c>
      <c r="E329">
        <v>0</v>
      </c>
      <c r="I329">
        <v>7.9218150000000005E-3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V329">
        <v>1.0362554E-2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0.33</v>
      </c>
      <c r="AE329">
        <v>3</v>
      </c>
      <c r="AF329">
        <v>0</v>
      </c>
      <c r="AG329">
        <v>0</v>
      </c>
      <c r="AH329">
        <v>900</v>
      </c>
      <c r="AI329">
        <v>0</v>
      </c>
      <c r="AJ329">
        <v>0</v>
      </c>
      <c r="AK329">
        <v>0</v>
      </c>
    </row>
    <row r="330" spans="1:37" hidden="1" x14ac:dyDescent="0.3">
      <c r="A330" t="s">
        <v>346</v>
      </c>
      <c r="B330" t="s">
        <v>300</v>
      </c>
      <c r="C330" t="s">
        <v>299</v>
      </c>
      <c r="D330">
        <v>7370</v>
      </c>
      <c r="AC330">
        <v>0.5</v>
      </c>
      <c r="AF330">
        <v>0</v>
      </c>
      <c r="AG330">
        <v>1.1000000000000001</v>
      </c>
      <c r="AH330">
        <v>370</v>
      </c>
      <c r="AI330">
        <v>0.6</v>
      </c>
    </row>
    <row r="331" spans="1:37" hidden="1" x14ac:dyDescent="0.3">
      <c r="A331" t="s">
        <v>299</v>
      </c>
      <c r="B331" t="s">
        <v>300</v>
      </c>
      <c r="C331" t="s">
        <v>299</v>
      </c>
      <c r="D331">
        <v>8370</v>
      </c>
      <c r="AC331">
        <v>0.5</v>
      </c>
      <c r="AF331">
        <v>1</v>
      </c>
      <c r="AG331">
        <v>1.1000000000000001</v>
      </c>
      <c r="AH331">
        <v>370</v>
      </c>
      <c r="AI331">
        <v>1</v>
      </c>
    </row>
    <row r="332" spans="1:37" hidden="1" x14ac:dyDescent="0.3">
      <c r="A332" t="s">
        <v>611</v>
      </c>
      <c r="B332" t="s">
        <v>300</v>
      </c>
      <c r="C332" t="s">
        <v>299</v>
      </c>
      <c r="D332">
        <v>3095</v>
      </c>
      <c r="E332">
        <v>0</v>
      </c>
      <c r="I332">
        <v>7.9218150000000005E-3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V332">
        <v>1.0362554E-2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0.83</v>
      </c>
      <c r="AE332">
        <v>1.2</v>
      </c>
      <c r="AF332">
        <v>0</v>
      </c>
      <c r="AG332">
        <v>0</v>
      </c>
      <c r="AH332">
        <v>370</v>
      </c>
      <c r="AI332">
        <v>0</v>
      </c>
      <c r="AJ332">
        <v>0</v>
      </c>
      <c r="AK332">
        <v>0.88</v>
      </c>
    </row>
    <row r="333" spans="1:37" hidden="1" x14ac:dyDescent="0.3">
      <c r="A333" t="s">
        <v>475</v>
      </c>
      <c r="B333" t="s">
        <v>300</v>
      </c>
      <c r="C333" t="s">
        <v>299</v>
      </c>
      <c r="D333">
        <v>5014</v>
      </c>
      <c r="AC333">
        <v>0.5</v>
      </c>
      <c r="AF333">
        <v>0</v>
      </c>
      <c r="AG333">
        <v>0</v>
      </c>
      <c r="AH333">
        <v>370</v>
      </c>
      <c r="AI333">
        <v>0</v>
      </c>
    </row>
    <row r="334" spans="1:37" hidden="1" x14ac:dyDescent="0.3">
      <c r="A334" t="s">
        <v>396</v>
      </c>
      <c r="B334" t="s">
        <v>300</v>
      </c>
      <c r="C334" t="s">
        <v>299</v>
      </c>
      <c r="D334">
        <v>6370</v>
      </c>
      <c r="AC334">
        <v>0.5</v>
      </c>
      <c r="AF334">
        <v>0</v>
      </c>
      <c r="AG334">
        <v>4.5</v>
      </c>
      <c r="AH334">
        <v>370</v>
      </c>
      <c r="AI334">
        <v>0.6</v>
      </c>
    </row>
    <row r="335" spans="1:37" hidden="1" x14ac:dyDescent="0.3">
      <c r="A335" t="s">
        <v>443</v>
      </c>
      <c r="B335" t="s">
        <v>300</v>
      </c>
      <c r="C335" t="s">
        <v>299</v>
      </c>
      <c r="D335">
        <v>5047</v>
      </c>
      <c r="AC335">
        <v>0.5</v>
      </c>
      <c r="AF335">
        <v>5.5</v>
      </c>
      <c r="AG335">
        <v>5.5</v>
      </c>
      <c r="AH335">
        <v>370</v>
      </c>
      <c r="AI335">
        <v>0</v>
      </c>
    </row>
    <row r="336" spans="1:37" hidden="1" x14ac:dyDescent="0.3">
      <c r="A336" t="s">
        <v>504</v>
      </c>
      <c r="B336" t="s">
        <v>300</v>
      </c>
      <c r="C336" t="s">
        <v>299</v>
      </c>
      <c r="D336">
        <v>4211</v>
      </c>
      <c r="AC336">
        <v>0.5</v>
      </c>
      <c r="AF336">
        <v>0</v>
      </c>
      <c r="AG336">
        <v>3.5</v>
      </c>
      <c r="AH336">
        <v>370</v>
      </c>
      <c r="AI336">
        <v>0.25</v>
      </c>
    </row>
    <row r="337" spans="1:36" hidden="1" x14ac:dyDescent="0.3">
      <c r="A337" t="s">
        <v>607</v>
      </c>
      <c r="B337" t="s">
        <v>349</v>
      </c>
      <c r="C337" t="s">
        <v>352</v>
      </c>
      <c r="D337">
        <v>4102</v>
      </c>
      <c r="E337">
        <v>20</v>
      </c>
      <c r="F337">
        <v>0.5</v>
      </c>
      <c r="G337">
        <v>0</v>
      </c>
      <c r="H337">
        <v>0</v>
      </c>
      <c r="I337">
        <v>1</v>
      </c>
      <c r="J337">
        <v>8</v>
      </c>
      <c r="K337">
        <v>8</v>
      </c>
      <c r="L337">
        <v>0.1</v>
      </c>
      <c r="M337">
        <v>0.6</v>
      </c>
      <c r="N337">
        <v>0.67</v>
      </c>
      <c r="O337">
        <v>1.5</v>
      </c>
      <c r="P337">
        <v>25</v>
      </c>
      <c r="R337">
        <v>0</v>
      </c>
      <c r="S337">
        <v>2.8</v>
      </c>
      <c r="T337">
        <v>0.1</v>
      </c>
      <c r="U337">
        <v>1</v>
      </c>
      <c r="V337">
        <v>1</v>
      </c>
      <c r="W337">
        <v>1</v>
      </c>
      <c r="X337">
        <v>0.28999999999999998</v>
      </c>
      <c r="Y337">
        <v>0.67</v>
      </c>
      <c r="Z337">
        <v>0.3</v>
      </c>
      <c r="AA337">
        <v>0</v>
      </c>
      <c r="AB337">
        <v>2.4</v>
      </c>
      <c r="AE337">
        <v>5</v>
      </c>
      <c r="AH337">
        <v>150</v>
      </c>
      <c r="AJ337">
        <v>0</v>
      </c>
    </row>
    <row r="338" spans="1:36" hidden="1" x14ac:dyDescent="0.3">
      <c r="A338" t="s">
        <v>606</v>
      </c>
      <c r="B338" t="s">
        <v>349</v>
      </c>
      <c r="C338" t="s">
        <v>352</v>
      </c>
      <c r="D338">
        <v>4103</v>
      </c>
      <c r="E338">
        <v>20</v>
      </c>
      <c r="F338">
        <v>0.1</v>
      </c>
      <c r="G338">
        <v>0</v>
      </c>
      <c r="H338">
        <v>0.6</v>
      </c>
      <c r="I338">
        <v>1</v>
      </c>
      <c r="J338">
        <v>8</v>
      </c>
      <c r="K338">
        <v>6</v>
      </c>
      <c r="L338">
        <v>0.1</v>
      </c>
      <c r="M338">
        <v>0.6</v>
      </c>
      <c r="N338">
        <v>0.67</v>
      </c>
      <c r="O338">
        <v>1.5</v>
      </c>
      <c r="P338">
        <v>25</v>
      </c>
      <c r="R338">
        <v>0</v>
      </c>
      <c r="S338">
        <v>2.04</v>
      </c>
      <c r="T338">
        <v>1</v>
      </c>
      <c r="U338">
        <v>1</v>
      </c>
      <c r="V338">
        <v>1</v>
      </c>
      <c r="W338">
        <v>1</v>
      </c>
      <c r="X338">
        <v>0.28999999999999998</v>
      </c>
      <c r="Y338">
        <v>0.67</v>
      </c>
      <c r="Z338">
        <v>0.3</v>
      </c>
      <c r="AA338">
        <v>0</v>
      </c>
      <c r="AB338">
        <v>2</v>
      </c>
      <c r="AE338">
        <v>4.5</v>
      </c>
      <c r="AH338">
        <v>150</v>
      </c>
      <c r="AJ338">
        <v>0</v>
      </c>
    </row>
    <row r="339" spans="1:36" hidden="1" x14ac:dyDescent="0.3">
      <c r="A339" t="s">
        <v>544</v>
      </c>
      <c r="B339" t="s">
        <v>349</v>
      </c>
      <c r="C339" t="s">
        <v>352</v>
      </c>
      <c r="D339">
        <v>4164</v>
      </c>
      <c r="E339">
        <v>20</v>
      </c>
      <c r="F339">
        <v>0.2</v>
      </c>
      <c r="G339">
        <v>0</v>
      </c>
      <c r="H339">
        <v>2.78</v>
      </c>
      <c r="I339">
        <v>1</v>
      </c>
      <c r="J339">
        <v>7</v>
      </c>
      <c r="K339">
        <v>10</v>
      </c>
      <c r="L339">
        <v>0.1</v>
      </c>
      <c r="M339">
        <v>0.3</v>
      </c>
      <c r="N339">
        <v>0.52</v>
      </c>
      <c r="O339">
        <v>1</v>
      </c>
      <c r="P339">
        <v>25</v>
      </c>
      <c r="R339">
        <v>0</v>
      </c>
      <c r="S339">
        <v>3</v>
      </c>
      <c r="T339">
        <v>0.22</v>
      </c>
      <c r="U339">
        <v>1.06</v>
      </c>
      <c r="V339">
        <v>1.8</v>
      </c>
      <c r="W339">
        <v>2.5</v>
      </c>
      <c r="X339">
        <v>0.25</v>
      </c>
      <c r="Y339">
        <v>0.52</v>
      </c>
      <c r="Z339">
        <v>0.3</v>
      </c>
      <c r="AA339">
        <v>0</v>
      </c>
      <c r="AB339">
        <v>2.88</v>
      </c>
      <c r="AE339">
        <v>3</v>
      </c>
      <c r="AH339">
        <v>150</v>
      </c>
      <c r="AJ339">
        <v>0</v>
      </c>
    </row>
    <row r="340" spans="1:36" hidden="1" x14ac:dyDescent="0.3">
      <c r="A340" t="s">
        <v>543</v>
      </c>
      <c r="B340" t="s">
        <v>349</v>
      </c>
      <c r="C340" t="s">
        <v>352</v>
      </c>
      <c r="D340">
        <v>4165</v>
      </c>
      <c r="E340">
        <v>20</v>
      </c>
      <c r="F340">
        <v>0.2</v>
      </c>
      <c r="G340">
        <v>0</v>
      </c>
      <c r="H340">
        <v>2.78</v>
      </c>
      <c r="I340">
        <v>1</v>
      </c>
      <c r="J340">
        <v>7</v>
      </c>
      <c r="K340">
        <v>10</v>
      </c>
      <c r="L340">
        <v>0.1</v>
      </c>
      <c r="M340">
        <v>0.3</v>
      </c>
      <c r="N340">
        <v>0.36</v>
      </c>
      <c r="O340">
        <v>1.5</v>
      </c>
      <c r="P340">
        <v>25</v>
      </c>
      <c r="R340">
        <v>0</v>
      </c>
      <c r="S340">
        <v>3</v>
      </c>
      <c r="T340">
        <v>0.22</v>
      </c>
      <c r="U340">
        <v>1.06</v>
      </c>
      <c r="V340">
        <v>1.8</v>
      </c>
      <c r="W340">
        <v>2.5</v>
      </c>
      <c r="X340">
        <v>0.2</v>
      </c>
      <c r="Y340">
        <v>0.36</v>
      </c>
      <c r="Z340">
        <v>0.3</v>
      </c>
      <c r="AA340">
        <v>0</v>
      </c>
      <c r="AB340">
        <v>2.88</v>
      </c>
      <c r="AE340">
        <v>3</v>
      </c>
      <c r="AH340">
        <v>150</v>
      </c>
      <c r="AJ340">
        <v>0</v>
      </c>
    </row>
    <row r="341" spans="1:36" hidden="1" x14ac:dyDescent="0.3">
      <c r="A341" t="s">
        <v>605</v>
      </c>
      <c r="B341" t="s">
        <v>349</v>
      </c>
      <c r="C341" t="s">
        <v>352</v>
      </c>
      <c r="D341">
        <v>4104</v>
      </c>
      <c r="E341">
        <v>16</v>
      </c>
      <c r="F341">
        <v>0.1</v>
      </c>
      <c r="G341">
        <v>0</v>
      </c>
      <c r="H341">
        <v>0.5</v>
      </c>
      <c r="I341">
        <v>1</v>
      </c>
      <c r="J341">
        <v>8</v>
      </c>
      <c r="K341">
        <v>5</v>
      </c>
      <c r="L341">
        <v>0.1</v>
      </c>
      <c r="M341">
        <v>0.6</v>
      </c>
      <c r="N341">
        <v>0.67</v>
      </c>
      <c r="O341">
        <v>2</v>
      </c>
      <c r="P341">
        <v>25</v>
      </c>
      <c r="R341">
        <v>0</v>
      </c>
      <c r="S341">
        <v>2</v>
      </c>
      <c r="T341">
        <v>0.4</v>
      </c>
      <c r="U341">
        <v>1</v>
      </c>
      <c r="V341">
        <v>1</v>
      </c>
      <c r="W341">
        <v>2.5</v>
      </c>
      <c r="X341">
        <v>0.28999999999999998</v>
      </c>
      <c r="Y341">
        <v>0.67</v>
      </c>
      <c r="Z341">
        <v>0.3</v>
      </c>
      <c r="AA341">
        <v>0</v>
      </c>
      <c r="AB341">
        <v>2</v>
      </c>
      <c r="AE341">
        <v>4.5</v>
      </c>
      <c r="AH341">
        <v>150</v>
      </c>
      <c r="AJ341">
        <v>0</v>
      </c>
    </row>
    <row r="342" spans="1:36" hidden="1" x14ac:dyDescent="0.3">
      <c r="A342" t="s">
        <v>604</v>
      </c>
      <c r="B342" t="s">
        <v>349</v>
      </c>
      <c r="C342" t="s">
        <v>352</v>
      </c>
      <c r="D342">
        <v>4105</v>
      </c>
      <c r="E342">
        <v>20</v>
      </c>
      <c r="F342">
        <v>0.1</v>
      </c>
      <c r="G342">
        <v>0</v>
      </c>
      <c r="H342">
        <v>1.79</v>
      </c>
      <c r="I342">
        <v>1</v>
      </c>
      <c r="J342">
        <v>7</v>
      </c>
      <c r="K342">
        <v>7</v>
      </c>
      <c r="L342">
        <v>0.1</v>
      </c>
      <c r="M342">
        <v>0.3</v>
      </c>
      <c r="N342">
        <v>0.67</v>
      </c>
      <c r="O342">
        <v>1.5</v>
      </c>
      <c r="P342">
        <v>25</v>
      </c>
      <c r="R342">
        <v>0</v>
      </c>
      <c r="S342">
        <v>1.9</v>
      </c>
      <c r="T342">
        <v>0.2</v>
      </c>
      <c r="U342">
        <v>0.31</v>
      </c>
      <c r="V342">
        <v>1</v>
      </c>
      <c r="W342">
        <v>2</v>
      </c>
      <c r="X342">
        <v>0.28999999999999998</v>
      </c>
      <c r="Y342">
        <v>0.67</v>
      </c>
      <c r="Z342">
        <v>0.3</v>
      </c>
      <c r="AA342">
        <v>0</v>
      </c>
      <c r="AB342">
        <v>2</v>
      </c>
      <c r="AE342">
        <v>4</v>
      </c>
      <c r="AH342">
        <v>150</v>
      </c>
      <c r="AJ342">
        <v>0</v>
      </c>
    </row>
    <row r="343" spans="1:36" hidden="1" x14ac:dyDescent="0.3">
      <c r="A343" t="s">
        <v>603</v>
      </c>
      <c r="B343" t="s">
        <v>349</v>
      </c>
      <c r="C343" t="s">
        <v>352</v>
      </c>
      <c r="D343">
        <v>4106</v>
      </c>
      <c r="E343">
        <v>20</v>
      </c>
      <c r="F343">
        <v>0.1</v>
      </c>
      <c r="G343">
        <v>0</v>
      </c>
      <c r="H343">
        <v>1</v>
      </c>
      <c r="I343">
        <v>1</v>
      </c>
      <c r="J343">
        <v>4.5</v>
      </c>
      <c r="K343">
        <v>11</v>
      </c>
      <c r="L343">
        <v>0.1</v>
      </c>
      <c r="M343">
        <v>0.3</v>
      </c>
      <c r="N343">
        <v>0.67</v>
      </c>
      <c r="O343">
        <v>1.5</v>
      </c>
      <c r="P343">
        <v>25</v>
      </c>
      <c r="R343">
        <v>0</v>
      </c>
      <c r="S343">
        <v>2</v>
      </c>
      <c r="T343">
        <v>0.33</v>
      </c>
      <c r="U343">
        <v>0.86</v>
      </c>
      <c r="V343">
        <v>1</v>
      </c>
      <c r="W343">
        <v>2.5</v>
      </c>
      <c r="X343">
        <v>0.28999999999999998</v>
      </c>
      <c r="Y343">
        <v>0.67</v>
      </c>
      <c r="Z343">
        <v>0.3</v>
      </c>
      <c r="AA343">
        <v>0</v>
      </c>
      <c r="AB343">
        <v>2</v>
      </c>
      <c r="AE343">
        <v>4</v>
      </c>
      <c r="AH343">
        <v>150</v>
      </c>
      <c r="AJ343">
        <v>0</v>
      </c>
    </row>
    <row r="344" spans="1:36" hidden="1" x14ac:dyDescent="0.3">
      <c r="A344" t="s">
        <v>602</v>
      </c>
      <c r="B344" t="s">
        <v>349</v>
      </c>
      <c r="C344" t="s">
        <v>352</v>
      </c>
      <c r="D344">
        <v>4107</v>
      </c>
      <c r="E344">
        <v>20</v>
      </c>
      <c r="F344">
        <v>0.1</v>
      </c>
      <c r="G344">
        <v>0</v>
      </c>
      <c r="H344">
        <v>1.1499999999999999</v>
      </c>
      <c r="I344">
        <v>1</v>
      </c>
      <c r="J344">
        <v>7</v>
      </c>
      <c r="K344">
        <v>9</v>
      </c>
      <c r="L344">
        <v>0.1</v>
      </c>
      <c r="M344">
        <v>0.3</v>
      </c>
      <c r="N344">
        <v>0.67</v>
      </c>
      <c r="O344">
        <v>1.5</v>
      </c>
      <c r="P344">
        <v>25</v>
      </c>
      <c r="R344">
        <v>0</v>
      </c>
      <c r="S344">
        <v>1.9</v>
      </c>
      <c r="T344">
        <v>0.1</v>
      </c>
      <c r="U344">
        <v>0.35</v>
      </c>
      <c r="V344">
        <v>1</v>
      </c>
      <c r="W344">
        <v>2.5</v>
      </c>
      <c r="X344">
        <v>0.28999999999999998</v>
      </c>
      <c r="Y344">
        <v>0.67</v>
      </c>
      <c r="Z344">
        <v>0.3</v>
      </c>
      <c r="AA344">
        <v>0</v>
      </c>
      <c r="AB344">
        <v>2.9</v>
      </c>
      <c r="AE344">
        <v>4.5</v>
      </c>
      <c r="AH344">
        <v>150</v>
      </c>
      <c r="AJ344">
        <v>0</v>
      </c>
    </row>
    <row r="345" spans="1:36" hidden="1" x14ac:dyDescent="0.3">
      <c r="A345" t="s">
        <v>601</v>
      </c>
      <c r="B345" t="s">
        <v>349</v>
      </c>
      <c r="C345" t="s">
        <v>352</v>
      </c>
      <c r="D345">
        <v>4108</v>
      </c>
      <c r="E345">
        <v>20</v>
      </c>
      <c r="F345">
        <v>0</v>
      </c>
      <c r="G345">
        <v>0</v>
      </c>
      <c r="H345">
        <v>1.47</v>
      </c>
      <c r="I345">
        <v>1</v>
      </c>
      <c r="J345">
        <v>7</v>
      </c>
      <c r="K345">
        <v>11</v>
      </c>
      <c r="L345">
        <v>0.1</v>
      </c>
      <c r="M345">
        <v>0.3</v>
      </c>
      <c r="N345">
        <v>0.67</v>
      </c>
      <c r="O345">
        <v>1.5</v>
      </c>
      <c r="P345">
        <v>25</v>
      </c>
      <c r="R345">
        <v>0</v>
      </c>
      <c r="S345">
        <v>2.5</v>
      </c>
      <c r="T345">
        <v>0.08</v>
      </c>
      <c r="U345">
        <v>0.3</v>
      </c>
      <c r="V345">
        <v>1</v>
      </c>
      <c r="W345">
        <v>2.5</v>
      </c>
      <c r="X345">
        <v>0.46</v>
      </c>
      <c r="Y345">
        <v>0.67</v>
      </c>
      <c r="Z345">
        <v>0.3</v>
      </c>
      <c r="AA345">
        <v>0</v>
      </c>
      <c r="AB345">
        <v>2</v>
      </c>
      <c r="AE345">
        <v>4</v>
      </c>
      <c r="AH345">
        <v>150</v>
      </c>
      <c r="AJ345">
        <v>0</v>
      </c>
    </row>
    <row r="346" spans="1:36" hidden="1" x14ac:dyDescent="0.3">
      <c r="A346" t="s">
        <v>600</v>
      </c>
      <c r="B346" t="s">
        <v>349</v>
      </c>
      <c r="C346" t="s">
        <v>352</v>
      </c>
      <c r="D346">
        <v>4109</v>
      </c>
      <c r="E346">
        <v>20</v>
      </c>
      <c r="F346">
        <v>0.1</v>
      </c>
      <c r="G346">
        <v>0</v>
      </c>
      <c r="H346">
        <v>1.2</v>
      </c>
      <c r="I346">
        <v>1</v>
      </c>
      <c r="J346">
        <v>7</v>
      </c>
      <c r="K346">
        <v>11</v>
      </c>
      <c r="L346">
        <v>0.1</v>
      </c>
      <c r="M346">
        <v>0.3</v>
      </c>
      <c r="N346">
        <v>0.67</v>
      </c>
      <c r="O346">
        <v>1.5</v>
      </c>
      <c r="P346">
        <v>25</v>
      </c>
      <c r="R346">
        <v>0</v>
      </c>
      <c r="S346">
        <v>2.67</v>
      </c>
      <c r="T346">
        <v>0.11</v>
      </c>
      <c r="U346">
        <v>0.26</v>
      </c>
      <c r="V346">
        <v>1.8</v>
      </c>
      <c r="W346">
        <v>2.5</v>
      </c>
      <c r="X346">
        <v>0.25</v>
      </c>
      <c r="Y346">
        <v>0.67</v>
      </c>
      <c r="Z346">
        <v>0.3</v>
      </c>
      <c r="AA346">
        <v>0</v>
      </c>
      <c r="AB346">
        <v>2</v>
      </c>
      <c r="AE346">
        <v>4</v>
      </c>
      <c r="AH346">
        <v>150</v>
      </c>
      <c r="AJ346">
        <v>0</v>
      </c>
    </row>
    <row r="347" spans="1:36" hidden="1" x14ac:dyDescent="0.3">
      <c r="A347" t="s">
        <v>599</v>
      </c>
      <c r="B347" t="s">
        <v>349</v>
      </c>
      <c r="C347" t="s">
        <v>352</v>
      </c>
      <c r="D347">
        <v>4110</v>
      </c>
      <c r="E347">
        <v>20</v>
      </c>
      <c r="F347">
        <v>0.2</v>
      </c>
      <c r="G347">
        <v>0</v>
      </c>
      <c r="H347">
        <v>1</v>
      </c>
      <c r="I347">
        <v>1</v>
      </c>
      <c r="J347">
        <v>7</v>
      </c>
      <c r="K347">
        <v>11</v>
      </c>
      <c r="L347">
        <v>0.1</v>
      </c>
      <c r="M347">
        <v>0.3</v>
      </c>
      <c r="N347">
        <v>0.67</v>
      </c>
      <c r="O347">
        <v>1.5</v>
      </c>
      <c r="P347">
        <v>25</v>
      </c>
      <c r="R347">
        <v>0</v>
      </c>
      <c r="S347">
        <v>2.8</v>
      </c>
      <c r="T347">
        <v>0.1</v>
      </c>
      <c r="U347">
        <v>0</v>
      </c>
      <c r="V347">
        <v>1.8</v>
      </c>
      <c r="W347">
        <v>2.5</v>
      </c>
      <c r="X347">
        <v>0.25</v>
      </c>
      <c r="Y347">
        <v>0.67</v>
      </c>
      <c r="Z347">
        <v>0.3</v>
      </c>
      <c r="AA347">
        <v>0</v>
      </c>
      <c r="AB347">
        <v>2</v>
      </c>
      <c r="AE347">
        <v>4</v>
      </c>
      <c r="AH347">
        <v>150</v>
      </c>
      <c r="AJ347">
        <v>0</v>
      </c>
    </row>
    <row r="348" spans="1:36" hidden="1" x14ac:dyDescent="0.3">
      <c r="A348" t="s">
        <v>598</v>
      </c>
      <c r="B348" t="s">
        <v>349</v>
      </c>
      <c r="C348" t="s">
        <v>352</v>
      </c>
      <c r="D348">
        <v>4111</v>
      </c>
      <c r="E348">
        <v>20</v>
      </c>
      <c r="F348">
        <v>0</v>
      </c>
      <c r="G348">
        <v>0</v>
      </c>
      <c r="H348">
        <v>1.02</v>
      </c>
      <c r="I348">
        <v>1</v>
      </c>
      <c r="J348">
        <v>7</v>
      </c>
      <c r="K348">
        <v>10</v>
      </c>
      <c r="L348">
        <v>0.1</v>
      </c>
      <c r="M348">
        <v>0.3</v>
      </c>
      <c r="N348">
        <v>0.67</v>
      </c>
      <c r="O348">
        <v>1.5</v>
      </c>
      <c r="P348">
        <v>25</v>
      </c>
      <c r="R348">
        <v>0</v>
      </c>
      <c r="S348">
        <v>2.7</v>
      </c>
      <c r="T348">
        <v>0.2</v>
      </c>
      <c r="U348">
        <v>0.18</v>
      </c>
      <c r="V348">
        <v>1.8</v>
      </c>
      <c r="W348">
        <v>2.5</v>
      </c>
      <c r="X348">
        <v>0.25</v>
      </c>
      <c r="Y348">
        <v>0.67</v>
      </c>
      <c r="Z348">
        <v>0.3</v>
      </c>
      <c r="AA348">
        <v>0</v>
      </c>
      <c r="AB348">
        <v>2</v>
      </c>
      <c r="AE348">
        <v>4.5</v>
      </c>
      <c r="AH348">
        <v>150</v>
      </c>
      <c r="AJ348">
        <v>0</v>
      </c>
    </row>
    <row r="349" spans="1:36" hidden="1" x14ac:dyDescent="0.3">
      <c r="A349" t="s">
        <v>597</v>
      </c>
      <c r="B349" t="s">
        <v>349</v>
      </c>
      <c r="C349" t="s">
        <v>352</v>
      </c>
      <c r="D349">
        <v>4112</v>
      </c>
      <c r="E349">
        <v>20</v>
      </c>
      <c r="F349">
        <v>0.2</v>
      </c>
      <c r="G349">
        <v>0</v>
      </c>
      <c r="H349">
        <v>2.78</v>
      </c>
      <c r="I349">
        <v>1</v>
      </c>
      <c r="J349">
        <v>7</v>
      </c>
      <c r="K349">
        <v>8</v>
      </c>
      <c r="L349">
        <v>0.1</v>
      </c>
      <c r="M349">
        <v>0.3</v>
      </c>
      <c r="N349">
        <v>0.67</v>
      </c>
      <c r="O349">
        <v>1.5</v>
      </c>
      <c r="P349">
        <v>25</v>
      </c>
      <c r="R349">
        <v>0</v>
      </c>
      <c r="S349">
        <v>2.7</v>
      </c>
      <c r="T349">
        <v>0.22</v>
      </c>
      <c r="U349">
        <v>1.06</v>
      </c>
      <c r="V349">
        <v>1.8</v>
      </c>
      <c r="W349">
        <v>2.5</v>
      </c>
      <c r="X349">
        <v>0.25</v>
      </c>
      <c r="Y349">
        <v>0.67</v>
      </c>
      <c r="Z349">
        <v>0.3</v>
      </c>
      <c r="AA349">
        <v>0</v>
      </c>
      <c r="AB349">
        <v>2</v>
      </c>
      <c r="AE349">
        <v>4</v>
      </c>
      <c r="AH349">
        <v>150</v>
      </c>
      <c r="AJ349">
        <v>0</v>
      </c>
    </row>
    <row r="350" spans="1:36" hidden="1" x14ac:dyDescent="0.3">
      <c r="A350" t="s">
        <v>596</v>
      </c>
      <c r="B350" t="s">
        <v>349</v>
      </c>
      <c r="C350" t="s">
        <v>352</v>
      </c>
      <c r="D350">
        <v>4113</v>
      </c>
      <c r="E350">
        <v>20</v>
      </c>
      <c r="F350">
        <v>0.2</v>
      </c>
      <c r="G350">
        <v>0</v>
      </c>
      <c r="H350">
        <v>2.78</v>
      </c>
      <c r="I350">
        <v>1</v>
      </c>
      <c r="J350">
        <v>7</v>
      </c>
      <c r="K350">
        <v>8</v>
      </c>
      <c r="L350">
        <v>0.1</v>
      </c>
      <c r="M350">
        <v>0.3</v>
      </c>
      <c r="N350">
        <v>0.67</v>
      </c>
      <c r="O350">
        <v>1.5</v>
      </c>
      <c r="P350">
        <v>25</v>
      </c>
      <c r="R350">
        <v>0</v>
      </c>
      <c r="S350">
        <v>2.7</v>
      </c>
      <c r="T350">
        <v>0.22</v>
      </c>
      <c r="U350">
        <v>1.06</v>
      </c>
      <c r="V350">
        <v>1.8</v>
      </c>
      <c r="W350">
        <v>2.5</v>
      </c>
      <c r="X350">
        <v>0.25</v>
      </c>
      <c r="Y350">
        <v>0.67</v>
      </c>
      <c r="Z350">
        <v>0.3</v>
      </c>
      <c r="AA350">
        <v>0</v>
      </c>
      <c r="AB350">
        <v>2</v>
      </c>
      <c r="AE350">
        <v>4.5</v>
      </c>
      <c r="AH350">
        <v>150</v>
      </c>
      <c r="AJ350">
        <v>0</v>
      </c>
    </row>
    <row r="351" spans="1:36" hidden="1" x14ac:dyDescent="0.3">
      <c r="A351" t="s">
        <v>595</v>
      </c>
      <c r="B351" t="s">
        <v>349</v>
      </c>
      <c r="C351" t="s">
        <v>352</v>
      </c>
      <c r="D351">
        <v>4114</v>
      </c>
      <c r="E351">
        <v>20</v>
      </c>
      <c r="F351">
        <v>0.2</v>
      </c>
      <c r="G351">
        <v>0</v>
      </c>
      <c r="H351">
        <v>2.78</v>
      </c>
      <c r="I351">
        <v>1</v>
      </c>
      <c r="J351">
        <v>7</v>
      </c>
      <c r="K351">
        <v>8</v>
      </c>
      <c r="L351">
        <v>0.1</v>
      </c>
      <c r="M351">
        <v>0.3</v>
      </c>
      <c r="N351">
        <v>0.67</v>
      </c>
      <c r="O351">
        <v>1.5</v>
      </c>
      <c r="P351">
        <v>25</v>
      </c>
      <c r="R351">
        <v>0</v>
      </c>
      <c r="S351">
        <v>2.7</v>
      </c>
      <c r="T351">
        <v>0.22</v>
      </c>
      <c r="U351">
        <v>1.06</v>
      </c>
      <c r="V351">
        <v>1.8</v>
      </c>
      <c r="W351">
        <v>2.5</v>
      </c>
      <c r="X351">
        <v>0.25</v>
      </c>
      <c r="Y351">
        <v>0.67</v>
      </c>
      <c r="Z351">
        <v>0.3</v>
      </c>
      <c r="AA351">
        <v>0</v>
      </c>
      <c r="AB351">
        <v>2</v>
      </c>
      <c r="AE351">
        <v>4</v>
      </c>
      <c r="AH351">
        <v>150</v>
      </c>
      <c r="AJ351">
        <v>0</v>
      </c>
    </row>
    <row r="352" spans="1:36" hidden="1" x14ac:dyDescent="0.3">
      <c r="A352" t="s">
        <v>594</v>
      </c>
      <c r="B352" t="s">
        <v>349</v>
      </c>
      <c r="C352" t="s">
        <v>352</v>
      </c>
      <c r="D352">
        <v>4115</v>
      </c>
      <c r="E352">
        <v>20</v>
      </c>
      <c r="F352">
        <v>0.2</v>
      </c>
      <c r="G352">
        <v>0</v>
      </c>
      <c r="H352">
        <v>2.78</v>
      </c>
      <c r="I352">
        <v>1</v>
      </c>
      <c r="J352">
        <v>7</v>
      </c>
      <c r="K352">
        <v>8</v>
      </c>
      <c r="L352">
        <v>0.1</v>
      </c>
      <c r="M352">
        <v>0.3</v>
      </c>
      <c r="N352">
        <v>0.67</v>
      </c>
      <c r="O352">
        <v>1.5</v>
      </c>
      <c r="P352">
        <v>25</v>
      </c>
      <c r="R352">
        <v>0</v>
      </c>
      <c r="S352">
        <v>2.7</v>
      </c>
      <c r="T352">
        <v>0.22</v>
      </c>
      <c r="U352">
        <v>1.06</v>
      </c>
      <c r="V352">
        <v>1.8</v>
      </c>
      <c r="W352">
        <v>2.5</v>
      </c>
      <c r="X352">
        <v>0.25</v>
      </c>
      <c r="Y352">
        <v>0.67</v>
      </c>
      <c r="Z352">
        <v>0.3</v>
      </c>
      <c r="AA352">
        <v>0</v>
      </c>
      <c r="AB352">
        <v>2</v>
      </c>
      <c r="AE352">
        <v>4</v>
      </c>
      <c r="AH352">
        <v>150</v>
      </c>
      <c r="AJ352">
        <v>0</v>
      </c>
    </row>
    <row r="353" spans="1:37" hidden="1" x14ac:dyDescent="0.3">
      <c r="A353" t="s">
        <v>593</v>
      </c>
      <c r="B353" t="s">
        <v>349</v>
      </c>
      <c r="C353" t="s">
        <v>352</v>
      </c>
      <c r="D353">
        <v>4116</v>
      </c>
      <c r="E353">
        <v>20</v>
      </c>
      <c r="F353">
        <v>0.2</v>
      </c>
      <c r="G353">
        <v>0</v>
      </c>
      <c r="H353">
        <v>2.78</v>
      </c>
      <c r="I353">
        <v>1</v>
      </c>
      <c r="J353">
        <v>7</v>
      </c>
      <c r="K353">
        <v>8</v>
      </c>
      <c r="L353">
        <v>0.1</v>
      </c>
      <c r="M353">
        <v>0.3</v>
      </c>
      <c r="N353">
        <v>0.67</v>
      </c>
      <c r="O353">
        <v>1.5</v>
      </c>
      <c r="P353">
        <v>25</v>
      </c>
      <c r="R353">
        <v>0</v>
      </c>
      <c r="S353">
        <v>2.8</v>
      </c>
      <c r="T353">
        <v>0.22</v>
      </c>
      <c r="U353">
        <v>1.06</v>
      </c>
      <c r="V353">
        <v>1.8</v>
      </c>
      <c r="W353">
        <v>2.5</v>
      </c>
      <c r="X353">
        <v>0.25</v>
      </c>
      <c r="Y353">
        <v>0.67</v>
      </c>
      <c r="Z353">
        <v>0.3</v>
      </c>
      <c r="AA353">
        <v>0</v>
      </c>
      <c r="AB353">
        <v>2.7</v>
      </c>
      <c r="AE353">
        <v>4</v>
      </c>
      <c r="AH353">
        <v>150</v>
      </c>
      <c r="AJ353">
        <v>0</v>
      </c>
    </row>
    <row r="354" spans="1:37" hidden="1" x14ac:dyDescent="0.3">
      <c r="A354" t="s">
        <v>592</v>
      </c>
      <c r="B354" t="s">
        <v>349</v>
      </c>
      <c r="C354" t="s">
        <v>352</v>
      </c>
      <c r="D354">
        <v>4117</v>
      </c>
      <c r="E354">
        <v>20</v>
      </c>
      <c r="F354">
        <v>0.2</v>
      </c>
      <c r="G354">
        <v>0</v>
      </c>
      <c r="H354">
        <v>2.78</v>
      </c>
      <c r="I354">
        <v>1</v>
      </c>
      <c r="J354">
        <v>7</v>
      </c>
      <c r="K354">
        <v>4</v>
      </c>
      <c r="L354">
        <v>0.1</v>
      </c>
      <c r="M354">
        <v>0.3</v>
      </c>
      <c r="N354">
        <v>0.67</v>
      </c>
      <c r="O354">
        <v>1.5</v>
      </c>
      <c r="P354">
        <v>25</v>
      </c>
      <c r="R354">
        <v>0</v>
      </c>
      <c r="S354">
        <v>2.7</v>
      </c>
      <c r="T354">
        <v>0.22</v>
      </c>
      <c r="U354">
        <v>1.06</v>
      </c>
      <c r="V354">
        <v>1.8</v>
      </c>
      <c r="W354">
        <v>2.5</v>
      </c>
      <c r="X354">
        <v>0.25</v>
      </c>
      <c r="Y354">
        <v>0.67</v>
      </c>
      <c r="Z354">
        <v>0.3</v>
      </c>
      <c r="AA354">
        <v>0</v>
      </c>
      <c r="AB354">
        <v>2.68</v>
      </c>
      <c r="AE354">
        <v>4</v>
      </c>
      <c r="AH354">
        <v>150</v>
      </c>
      <c r="AJ354">
        <v>0</v>
      </c>
    </row>
    <row r="355" spans="1:37" hidden="1" x14ac:dyDescent="0.3">
      <c r="A355" t="s">
        <v>591</v>
      </c>
      <c r="B355" t="s">
        <v>349</v>
      </c>
      <c r="C355" t="s">
        <v>352</v>
      </c>
      <c r="D355">
        <v>4118</v>
      </c>
      <c r="E355">
        <v>20</v>
      </c>
      <c r="F355">
        <v>0.2</v>
      </c>
      <c r="G355">
        <v>0</v>
      </c>
      <c r="H355">
        <v>2.78</v>
      </c>
      <c r="I355">
        <v>1</v>
      </c>
      <c r="J355">
        <v>7</v>
      </c>
      <c r="K355">
        <v>4</v>
      </c>
      <c r="L355">
        <v>0.1</v>
      </c>
      <c r="M355">
        <v>0.3</v>
      </c>
      <c r="N355">
        <v>0.67</v>
      </c>
      <c r="O355">
        <v>1.5</v>
      </c>
      <c r="P355">
        <v>25</v>
      </c>
      <c r="R355">
        <v>0</v>
      </c>
      <c r="S355">
        <v>2</v>
      </c>
      <c r="T355">
        <v>0.22</v>
      </c>
      <c r="U355">
        <v>1.06</v>
      </c>
      <c r="V355">
        <v>1.8</v>
      </c>
      <c r="W355">
        <v>2.5</v>
      </c>
      <c r="X355">
        <v>0.25</v>
      </c>
      <c r="Y355">
        <v>0.67</v>
      </c>
      <c r="Z355">
        <v>0.3</v>
      </c>
      <c r="AA355">
        <v>0</v>
      </c>
      <c r="AB355">
        <v>2.5099999999999998</v>
      </c>
      <c r="AE355">
        <v>3</v>
      </c>
      <c r="AH355">
        <v>150</v>
      </c>
      <c r="AJ355">
        <v>0</v>
      </c>
    </row>
    <row r="356" spans="1:37" hidden="1" x14ac:dyDescent="0.3">
      <c r="A356" t="s">
        <v>590</v>
      </c>
      <c r="B356" t="s">
        <v>349</v>
      </c>
      <c r="C356" t="s">
        <v>352</v>
      </c>
      <c r="D356">
        <v>4119</v>
      </c>
      <c r="E356">
        <v>20</v>
      </c>
      <c r="F356">
        <v>0.2</v>
      </c>
      <c r="G356">
        <v>0</v>
      </c>
      <c r="H356">
        <v>2.78</v>
      </c>
      <c r="I356">
        <v>1</v>
      </c>
      <c r="J356">
        <v>7</v>
      </c>
      <c r="K356">
        <v>6</v>
      </c>
      <c r="L356">
        <v>0.1</v>
      </c>
      <c r="M356">
        <v>0.3</v>
      </c>
      <c r="N356">
        <v>0.67</v>
      </c>
      <c r="O356">
        <v>1.5</v>
      </c>
      <c r="P356">
        <v>25</v>
      </c>
      <c r="R356">
        <v>0</v>
      </c>
      <c r="S356">
        <v>2.5</v>
      </c>
      <c r="T356">
        <v>0.22</v>
      </c>
      <c r="U356">
        <v>1.06</v>
      </c>
      <c r="V356">
        <v>1.8</v>
      </c>
      <c r="W356">
        <v>2.5</v>
      </c>
      <c r="X356">
        <v>0.25</v>
      </c>
      <c r="Y356">
        <v>0.67</v>
      </c>
      <c r="Z356">
        <v>0.3</v>
      </c>
      <c r="AA356">
        <v>0</v>
      </c>
      <c r="AB356">
        <v>2.88</v>
      </c>
      <c r="AE356">
        <v>4.5</v>
      </c>
      <c r="AH356">
        <v>150</v>
      </c>
      <c r="AJ356">
        <v>0</v>
      </c>
    </row>
    <row r="357" spans="1:37" hidden="1" x14ac:dyDescent="0.3">
      <c r="A357" t="s">
        <v>589</v>
      </c>
      <c r="B357" t="s">
        <v>349</v>
      </c>
      <c r="C357" t="s">
        <v>352</v>
      </c>
      <c r="D357">
        <v>4120</v>
      </c>
      <c r="E357">
        <v>20</v>
      </c>
      <c r="F357">
        <v>0.2</v>
      </c>
      <c r="G357">
        <v>0</v>
      </c>
      <c r="H357">
        <v>2.78</v>
      </c>
      <c r="I357">
        <v>1</v>
      </c>
      <c r="J357">
        <v>7</v>
      </c>
      <c r="K357">
        <v>9</v>
      </c>
      <c r="L357">
        <v>0.1</v>
      </c>
      <c r="M357">
        <v>0.3</v>
      </c>
      <c r="N357">
        <v>0.25</v>
      </c>
      <c r="O357">
        <v>1.5</v>
      </c>
      <c r="P357">
        <v>25</v>
      </c>
      <c r="R357">
        <v>0</v>
      </c>
      <c r="S357">
        <v>2.5</v>
      </c>
      <c r="T357">
        <v>0.22</v>
      </c>
      <c r="U357">
        <v>1.06</v>
      </c>
      <c r="V357">
        <v>1.8</v>
      </c>
      <c r="W357">
        <v>2.5</v>
      </c>
      <c r="X357">
        <v>0.25</v>
      </c>
      <c r="Y357">
        <v>0.25</v>
      </c>
      <c r="Z357">
        <v>0.3</v>
      </c>
      <c r="AA357">
        <v>0</v>
      </c>
      <c r="AB357">
        <v>2.88</v>
      </c>
      <c r="AE357">
        <v>4.5</v>
      </c>
      <c r="AH357">
        <v>150</v>
      </c>
      <c r="AJ357">
        <v>0</v>
      </c>
    </row>
    <row r="358" spans="1:37" hidden="1" x14ac:dyDescent="0.3">
      <c r="A358" t="s">
        <v>653</v>
      </c>
      <c r="B358" t="s">
        <v>349</v>
      </c>
      <c r="C358" t="s">
        <v>352</v>
      </c>
      <c r="D358">
        <v>3012</v>
      </c>
      <c r="E358">
        <v>20</v>
      </c>
      <c r="F358">
        <v>0</v>
      </c>
      <c r="G358">
        <v>0</v>
      </c>
      <c r="H358">
        <v>0</v>
      </c>
      <c r="I358">
        <v>7.2456333959999997</v>
      </c>
      <c r="J358">
        <v>8</v>
      </c>
      <c r="K358">
        <v>18.100000000000001</v>
      </c>
      <c r="L358">
        <v>0.25</v>
      </c>
      <c r="M358">
        <v>1</v>
      </c>
      <c r="N358">
        <v>0.67</v>
      </c>
      <c r="O358">
        <v>1.5</v>
      </c>
      <c r="P358">
        <v>25</v>
      </c>
      <c r="Q358">
        <v>0</v>
      </c>
      <c r="R358">
        <v>4</v>
      </c>
      <c r="S358">
        <v>3.66</v>
      </c>
      <c r="T358">
        <v>0</v>
      </c>
      <c r="U358">
        <v>0</v>
      </c>
      <c r="V358">
        <v>9.1355545169999992</v>
      </c>
      <c r="W358">
        <v>4</v>
      </c>
      <c r="X358">
        <v>0.25</v>
      </c>
      <c r="Y358">
        <v>0.67</v>
      </c>
      <c r="Z358">
        <v>0.3</v>
      </c>
      <c r="AA358">
        <v>3.85</v>
      </c>
      <c r="AB358">
        <v>3.5</v>
      </c>
      <c r="AC358">
        <v>0.25</v>
      </c>
      <c r="AE358">
        <v>4</v>
      </c>
      <c r="AG358">
        <v>46.481187910000003</v>
      </c>
      <c r="AH358">
        <v>150</v>
      </c>
      <c r="AI358">
        <v>0.67</v>
      </c>
      <c r="AJ358">
        <v>1</v>
      </c>
      <c r="AK358">
        <v>0.25</v>
      </c>
    </row>
    <row r="359" spans="1:37" hidden="1" x14ac:dyDescent="0.3">
      <c r="A359" t="s">
        <v>356</v>
      </c>
      <c r="B359" t="s">
        <v>349</v>
      </c>
      <c r="C359" t="s">
        <v>352</v>
      </c>
      <c r="D359">
        <v>7156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8</v>
      </c>
      <c r="K359">
        <v>11</v>
      </c>
      <c r="L359">
        <v>0.25</v>
      </c>
      <c r="M359">
        <v>0</v>
      </c>
      <c r="N359">
        <v>0.67</v>
      </c>
      <c r="O359">
        <v>1.5</v>
      </c>
      <c r="P359">
        <v>25</v>
      </c>
      <c r="S359">
        <v>3.8</v>
      </c>
      <c r="T359">
        <v>0</v>
      </c>
      <c r="U359">
        <v>0</v>
      </c>
      <c r="V359">
        <v>6</v>
      </c>
      <c r="W359">
        <v>0</v>
      </c>
      <c r="X359">
        <v>0.25</v>
      </c>
      <c r="Y359">
        <v>0.2</v>
      </c>
      <c r="Z359">
        <v>0.3</v>
      </c>
      <c r="AB359">
        <v>3</v>
      </c>
      <c r="AE359">
        <v>4</v>
      </c>
      <c r="AH359">
        <v>150</v>
      </c>
      <c r="AJ359">
        <v>1</v>
      </c>
    </row>
    <row r="360" spans="1:37" hidden="1" x14ac:dyDescent="0.3">
      <c r="A360" t="s">
        <v>682</v>
      </c>
      <c r="B360" t="s">
        <v>349</v>
      </c>
      <c r="C360" t="s">
        <v>352</v>
      </c>
      <c r="D360">
        <v>2162</v>
      </c>
      <c r="E360">
        <v>30</v>
      </c>
      <c r="F360">
        <v>0.1</v>
      </c>
      <c r="G360">
        <v>0</v>
      </c>
      <c r="H360">
        <v>0</v>
      </c>
      <c r="I360">
        <v>0.3</v>
      </c>
      <c r="J360">
        <v>4.5</v>
      </c>
      <c r="K360">
        <v>11.3</v>
      </c>
      <c r="L360">
        <v>0.2</v>
      </c>
      <c r="M360">
        <v>1</v>
      </c>
      <c r="N360">
        <v>0.68</v>
      </c>
      <c r="O360">
        <v>1.3</v>
      </c>
      <c r="P360">
        <v>25</v>
      </c>
      <c r="Q360">
        <v>56</v>
      </c>
      <c r="R360">
        <v>1</v>
      </c>
      <c r="S360">
        <v>3</v>
      </c>
      <c r="T360">
        <v>0</v>
      </c>
      <c r="U360">
        <v>0</v>
      </c>
      <c r="V360">
        <v>0.4</v>
      </c>
      <c r="W360">
        <v>0</v>
      </c>
      <c r="X360">
        <v>0.2</v>
      </c>
      <c r="Y360">
        <v>0.68</v>
      </c>
      <c r="Z360">
        <v>0.3</v>
      </c>
      <c r="AA360">
        <v>2</v>
      </c>
      <c r="AB360">
        <v>2.6</v>
      </c>
      <c r="AE360">
        <v>2.5</v>
      </c>
      <c r="AF360">
        <v>0.1</v>
      </c>
      <c r="AG360">
        <v>16.5</v>
      </c>
      <c r="AH360">
        <v>150</v>
      </c>
      <c r="AI360">
        <v>0.68</v>
      </c>
      <c r="AJ360">
        <v>0</v>
      </c>
    </row>
    <row r="361" spans="1:37" hidden="1" x14ac:dyDescent="0.3">
      <c r="A361" t="s">
        <v>685</v>
      </c>
      <c r="B361" t="s">
        <v>349</v>
      </c>
      <c r="C361" t="s">
        <v>352</v>
      </c>
      <c r="D361">
        <v>1153</v>
      </c>
      <c r="E361">
        <v>40</v>
      </c>
      <c r="F361">
        <v>1.1299999999999999</v>
      </c>
      <c r="G361">
        <v>0</v>
      </c>
      <c r="H361">
        <v>1</v>
      </c>
      <c r="I361">
        <v>3.5</v>
      </c>
      <c r="J361">
        <v>9.6</v>
      </c>
      <c r="K361">
        <v>11</v>
      </c>
      <c r="L361">
        <v>0.1</v>
      </c>
      <c r="M361">
        <v>1</v>
      </c>
      <c r="N361">
        <v>0.35</v>
      </c>
      <c r="O361">
        <v>1.7</v>
      </c>
      <c r="P361">
        <v>25</v>
      </c>
      <c r="S361">
        <v>3.8</v>
      </c>
      <c r="T361">
        <v>0.1</v>
      </c>
      <c r="U361">
        <v>0</v>
      </c>
      <c r="V361">
        <v>2</v>
      </c>
      <c r="W361">
        <v>0</v>
      </c>
      <c r="X361">
        <v>0.15</v>
      </c>
      <c r="Y361">
        <v>0.35</v>
      </c>
      <c r="Z361">
        <v>0.3</v>
      </c>
      <c r="AB361">
        <v>3</v>
      </c>
      <c r="AE361">
        <v>4.5</v>
      </c>
      <c r="AH361">
        <v>150</v>
      </c>
      <c r="AJ361">
        <v>0</v>
      </c>
    </row>
    <row r="362" spans="1:37" hidden="1" x14ac:dyDescent="0.3">
      <c r="A362" t="s">
        <v>685</v>
      </c>
      <c r="B362" t="s">
        <v>349</v>
      </c>
      <c r="C362" t="s">
        <v>352</v>
      </c>
      <c r="D362">
        <v>2153</v>
      </c>
      <c r="E362">
        <v>40</v>
      </c>
      <c r="F362">
        <v>1.1299999999999999</v>
      </c>
      <c r="G362">
        <v>0</v>
      </c>
      <c r="H362">
        <v>1</v>
      </c>
      <c r="I362">
        <v>3.5</v>
      </c>
      <c r="J362">
        <v>9.6</v>
      </c>
      <c r="K362">
        <v>18</v>
      </c>
      <c r="L362">
        <v>0.1</v>
      </c>
      <c r="M362">
        <v>1</v>
      </c>
      <c r="N362">
        <v>0.35</v>
      </c>
      <c r="O362">
        <v>1.7</v>
      </c>
      <c r="P362">
        <v>29</v>
      </c>
      <c r="Q362">
        <v>63</v>
      </c>
      <c r="R362">
        <v>2.9</v>
      </c>
      <c r="S362">
        <v>3.8</v>
      </c>
      <c r="T362">
        <v>0.1</v>
      </c>
      <c r="U362">
        <v>0</v>
      </c>
      <c r="V362">
        <v>2</v>
      </c>
      <c r="W362">
        <v>0</v>
      </c>
      <c r="X362">
        <v>0.15</v>
      </c>
      <c r="Y362">
        <v>0.35</v>
      </c>
      <c r="Z362">
        <v>0.3</v>
      </c>
      <c r="AA362">
        <v>3</v>
      </c>
      <c r="AB362">
        <v>3.6</v>
      </c>
      <c r="AE362">
        <v>4.5</v>
      </c>
      <c r="AF362">
        <v>2.23</v>
      </c>
      <c r="AG362">
        <v>33.1</v>
      </c>
      <c r="AH362">
        <v>150</v>
      </c>
      <c r="AI362">
        <v>0.35</v>
      </c>
      <c r="AJ362">
        <v>0</v>
      </c>
    </row>
    <row r="363" spans="1:37" hidden="1" x14ac:dyDescent="0.3">
      <c r="A363" t="s">
        <v>501</v>
      </c>
      <c r="B363" t="s">
        <v>349</v>
      </c>
      <c r="C363" t="s">
        <v>352</v>
      </c>
      <c r="D363">
        <v>4217</v>
      </c>
      <c r="E363">
        <v>20</v>
      </c>
      <c r="F363">
        <v>0.2</v>
      </c>
      <c r="G363">
        <v>0</v>
      </c>
      <c r="H363">
        <v>2.78</v>
      </c>
      <c r="I363">
        <v>1</v>
      </c>
      <c r="J363">
        <v>7</v>
      </c>
      <c r="K363">
        <v>7</v>
      </c>
      <c r="L363">
        <v>0.1</v>
      </c>
      <c r="M363">
        <v>0.3</v>
      </c>
      <c r="N363">
        <v>0.67</v>
      </c>
      <c r="O363">
        <v>1.5</v>
      </c>
      <c r="P363">
        <v>25</v>
      </c>
      <c r="R363">
        <v>0</v>
      </c>
      <c r="S363">
        <v>3</v>
      </c>
      <c r="T363">
        <v>0.22</v>
      </c>
      <c r="U363">
        <v>1.06</v>
      </c>
      <c r="V363">
        <v>1.8</v>
      </c>
      <c r="W363">
        <v>2.5</v>
      </c>
      <c r="X363">
        <v>0.25</v>
      </c>
      <c r="Y363">
        <v>0.67</v>
      </c>
      <c r="Z363">
        <v>0.3</v>
      </c>
      <c r="AA363">
        <v>0</v>
      </c>
      <c r="AB363">
        <v>2.88</v>
      </c>
      <c r="AE363">
        <v>3</v>
      </c>
      <c r="AH363">
        <v>150</v>
      </c>
      <c r="AJ363">
        <v>0</v>
      </c>
    </row>
    <row r="364" spans="1:37" hidden="1" x14ac:dyDescent="0.3">
      <c r="A364" t="s">
        <v>418</v>
      </c>
      <c r="B364" t="s">
        <v>349</v>
      </c>
      <c r="C364" t="s">
        <v>352</v>
      </c>
      <c r="D364">
        <v>6104</v>
      </c>
      <c r="E364">
        <v>60</v>
      </c>
      <c r="F364">
        <v>0</v>
      </c>
      <c r="G364">
        <v>0</v>
      </c>
      <c r="H364">
        <v>2</v>
      </c>
      <c r="I364">
        <v>5</v>
      </c>
      <c r="J364">
        <v>8</v>
      </c>
      <c r="K364">
        <v>11</v>
      </c>
      <c r="L364">
        <v>0.1</v>
      </c>
      <c r="M364">
        <v>1</v>
      </c>
      <c r="N364">
        <v>0.15</v>
      </c>
      <c r="O364">
        <v>2</v>
      </c>
      <c r="P364">
        <v>35</v>
      </c>
      <c r="S364">
        <v>4</v>
      </c>
      <c r="T364">
        <v>0</v>
      </c>
      <c r="U364">
        <v>0.75</v>
      </c>
      <c r="V364">
        <v>4</v>
      </c>
      <c r="W364">
        <v>3.5</v>
      </c>
      <c r="X364">
        <v>0.1</v>
      </c>
      <c r="Y364">
        <v>0.2</v>
      </c>
      <c r="Z364">
        <v>0.3</v>
      </c>
      <c r="AB364">
        <v>3</v>
      </c>
      <c r="AE364">
        <v>5</v>
      </c>
      <c r="AH364">
        <v>150</v>
      </c>
      <c r="AJ364">
        <v>1</v>
      </c>
    </row>
    <row r="365" spans="1:37" hidden="1" x14ac:dyDescent="0.3">
      <c r="A365" t="s">
        <v>364</v>
      </c>
      <c r="B365" t="s">
        <v>349</v>
      </c>
      <c r="C365" t="s">
        <v>352</v>
      </c>
      <c r="D365">
        <v>3002</v>
      </c>
      <c r="E365">
        <v>20</v>
      </c>
      <c r="F365">
        <v>0</v>
      </c>
      <c r="G365">
        <v>0</v>
      </c>
      <c r="H365">
        <v>0</v>
      </c>
      <c r="I365">
        <v>5.0937305000000004</v>
      </c>
      <c r="J365">
        <v>8</v>
      </c>
      <c r="K365">
        <v>12.3</v>
      </c>
      <c r="L365">
        <v>0.25</v>
      </c>
      <c r="M365">
        <v>1</v>
      </c>
      <c r="N365">
        <v>0.2</v>
      </c>
      <c r="O365">
        <v>1.5</v>
      </c>
      <c r="P365">
        <v>25</v>
      </c>
      <c r="Q365">
        <v>0</v>
      </c>
      <c r="R365">
        <v>3.5</v>
      </c>
      <c r="S365">
        <v>3.21</v>
      </c>
      <c r="T365">
        <v>0</v>
      </c>
      <c r="U365">
        <v>0</v>
      </c>
      <c r="V365">
        <v>6.0602806239999998</v>
      </c>
      <c r="W365">
        <v>3.5</v>
      </c>
      <c r="X365">
        <v>0.15</v>
      </c>
      <c r="Y365">
        <v>0.2</v>
      </c>
      <c r="Z365">
        <v>0.3</v>
      </c>
      <c r="AA365">
        <v>3.5</v>
      </c>
      <c r="AB365">
        <v>3.25</v>
      </c>
      <c r="AC365">
        <v>0.33333333300000001</v>
      </c>
      <c r="AE365">
        <v>3</v>
      </c>
      <c r="AG365">
        <v>34.954011119999997</v>
      </c>
      <c r="AH365">
        <v>150</v>
      </c>
      <c r="AI365">
        <v>0.2</v>
      </c>
      <c r="AJ365">
        <v>1</v>
      </c>
      <c r="AK365">
        <v>0.33333333300000001</v>
      </c>
    </row>
    <row r="366" spans="1:37" hidden="1" x14ac:dyDescent="0.3">
      <c r="A366" t="s">
        <v>684</v>
      </c>
      <c r="B366" t="s">
        <v>349</v>
      </c>
      <c r="C366" t="s">
        <v>352</v>
      </c>
      <c r="D366">
        <v>2154</v>
      </c>
      <c r="E366">
        <v>35</v>
      </c>
      <c r="F366">
        <v>1</v>
      </c>
      <c r="G366">
        <v>0</v>
      </c>
      <c r="H366">
        <v>1</v>
      </c>
      <c r="I366">
        <v>2.6</v>
      </c>
      <c r="J366">
        <v>8</v>
      </c>
      <c r="K366">
        <v>24</v>
      </c>
      <c r="L366">
        <v>0.1</v>
      </c>
      <c r="M366">
        <v>1</v>
      </c>
      <c r="N366">
        <v>0.2</v>
      </c>
      <c r="O366">
        <v>1.3</v>
      </c>
      <c r="P366">
        <v>25</v>
      </c>
      <c r="Q366">
        <v>53</v>
      </c>
      <c r="R366">
        <v>3</v>
      </c>
      <c r="S366">
        <v>4</v>
      </c>
      <c r="T366">
        <v>0.1</v>
      </c>
      <c r="U366">
        <v>0</v>
      </c>
      <c r="V366">
        <v>2</v>
      </c>
      <c r="W366">
        <v>0</v>
      </c>
      <c r="X366">
        <v>0.15</v>
      </c>
      <c r="Y366">
        <v>0.2</v>
      </c>
      <c r="Z366">
        <v>0.3</v>
      </c>
      <c r="AA366">
        <v>2.8</v>
      </c>
      <c r="AB366">
        <v>3</v>
      </c>
      <c r="AE366">
        <v>3.5</v>
      </c>
      <c r="AF366">
        <v>2.1</v>
      </c>
      <c r="AG366">
        <v>36.6</v>
      </c>
      <c r="AH366">
        <v>150</v>
      </c>
      <c r="AI366">
        <v>0.2</v>
      </c>
      <c r="AJ366">
        <v>1</v>
      </c>
    </row>
    <row r="367" spans="1:37" hidden="1" x14ac:dyDescent="0.3">
      <c r="A367" t="s">
        <v>361</v>
      </c>
      <c r="B367" t="s">
        <v>349</v>
      </c>
      <c r="C367" t="s">
        <v>352</v>
      </c>
      <c r="D367">
        <v>3015</v>
      </c>
      <c r="E367">
        <v>20</v>
      </c>
      <c r="F367">
        <v>0</v>
      </c>
      <c r="G367">
        <v>0</v>
      </c>
      <c r="H367">
        <v>0</v>
      </c>
      <c r="I367">
        <v>0.34160808199999998</v>
      </c>
      <c r="J367">
        <v>8</v>
      </c>
      <c r="K367">
        <v>7.6</v>
      </c>
      <c r="L367">
        <v>0.25</v>
      </c>
      <c r="M367">
        <v>1</v>
      </c>
      <c r="N367">
        <v>0.2</v>
      </c>
      <c r="O367">
        <v>1.5</v>
      </c>
      <c r="P367">
        <v>25</v>
      </c>
      <c r="Q367">
        <v>0</v>
      </c>
      <c r="R367">
        <v>2</v>
      </c>
      <c r="S367">
        <v>2.4500000000000002</v>
      </c>
      <c r="T367">
        <v>0</v>
      </c>
      <c r="U367">
        <v>0</v>
      </c>
      <c r="V367">
        <v>0.35348919000000001</v>
      </c>
      <c r="W367">
        <v>1.5</v>
      </c>
      <c r="X367">
        <v>0.35</v>
      </c>
      <c r="Y367">
        <v>0.2</v>
      </c>
      <c r="Z367">
        <v>0.3</v>
      </c>
      <c r="AA367">
        <v>2</v>
      </c>
      <c r="AB367">
        <v>1.5</v>
      </c>
      <c r="AC367">
        <v>0.2</v>
      </c>
      <c r="AE367">
        <v>5</v>
      </c>
      <c r="AG367">
        <v>17.795097269999999</v>
      </c>
      <c r="AH367">
        <v>150</v>
      </c>
      <c r="AI367">
        <v>0.2</v>
      </c>
      <c r="AJ367">
        <v>0</v>
      </c>
      <c r="AK367">
        <v>0.2</v>
      </c>
    </row>
    <row r="368" spans="1:37" hidden="1" x14ac:dyDescent="0.3">
      <c r="A368" t="s">
        <v>361</v>
      </c>
      <c r="B368" t="s">
        <v>349</v>
      </c>
      <c r="C368" t="s">
        <v>352</v>
      </c>
      <c r="D368">
        <v>7151</v>
      </c>
      <c r="E368">
        <v>40</v>
      </c>
      <c r="F368">
        <v>0</v>
      </c>
      <c r="G368">
        <v>0</v>
      </c>
      <c r="H368">
        <v>0</v>
      </c>
      <c r="I368">
        <v>0.3</v>
      </c>
      <c r="J368">
        <v>8</v>
      </c>
      <c r="K368">
        <v>9.1</v>
      </c>
      <c r="L368">
        <v>0.25</v>
      </c>
      <c r="M368">
        <v>0</v>
      </c>
      <c r="N368">
        <v>0.2</v>
      </c>
      <c r="O368">
        <v>1.5</v>
      </c>
      <c r="P368">
        <v>25</v>
      </c>
      <c r="S368">
        <v>2.8</v>
      </c>
      <c r="T368">
        <v>0</v>
      </c>
      <c r="U368">
        <v>0</v>
      </c>
      <c r="V368">
        <v>0.4</v>
      </c>
      <c r="W368">
        <v>0</v>
      </c>
      <c r="X368">
        <v>0.35</v>
      </c>
      <c r="Y368">
        <v>0.2</v>
      </c>
      <c r="Z368">
        <v>0.3</v>
      </c>
      <c r="AB368">
        <v>2.4</v>
      </c>
      <c r="AE368">
        <v>5</v>
      </c>
      <c r="AH368">
        <v>150</v>
      </c>
      <c r="AJ368">
        <v>0</v>
      </c>
    </row>
    <row r="369" spans="1:37" hidden="1" x14ac:dyDescent="0.3">
      <c r="A369" t="s">
        <v>687</v>
      </c>
      <c r="B369" t="s">
        <v>349</v>
      </c>
      <c r="C369" t="s">
        <v>352</v>
      </c>
      <c r="D369">
        <v>2151</v>
      </c>
      <c r="E369">
        <v>40</v>
      </c>
      <c r="F369">
        <v>0.5</v>
      </c>
      <c r="G369">
        <v>0</v>
      </c>
      <c r="H369">
        <v>0</v>
      </c>
      <c r="I369">
        <v>1</v>
      </c>
      <c r="J369">
        <v>8</v>
      </c>
      <c r="K369">
        <v>8</v>
      </c>
      <c r="L369">
        <v>0.1</v>
      </c>
      <c r="M369">
        <v>1</v>
      </c>
      <c r="N369">
        <v>0.75</v>
      </c>
      <c r="O369">
        <v>1.3</v>
      </c>
      <c r="P369">
        <v>25</v>
      </c>
      <c r="Q369">
        <v>71</v>
      </c>
      <c r="R369">
        <v>1.6</v>
      </c>
      <c r="S369">
        <v>2.8</v>
      </c>
      <c r="T369">
        <v>0.1</v>
      </c>
      <c r="U369">
        <v>0</v>
      </c>
      <c r="V369">
        <v>1</v>
      </c>
      <c r="W369">
        <v>1</v>
      </c>
      <c r="X369">
        <v>0.3</v>
      </c>
      <c r="Y369">
        <v>0.75</v>
      </c>
      <c r="Z369">
        <v>0.3</v>
      </c>
      <c r="AA369">
        <v>2.6</v>
      </c>
      <c r="AB369">
        <v>2.4</v>
      </c>
      <c r="AE369">
        <v>5</v>
      </c>
      <c r="AF369">
        <v>0.6</v>
      </c>
      <c r="AG369">
        <v>19</v>
      </c>
      <c r="AH369">
        <v>150</v>
      </c>
      <c r="AI369">
        <v>0.75</v>
      </c>
      <c r="AJ369">
        <v>0</v>
      </c>
    </row>
    <row r="370" spans="1:37" hidden="1" x14ac:dyDescent="0.3">
      <c r="A370" t="s">
        <v>652</v>
      </c>
      <c r="B370" t="s">
        <v>349</v>
      </c>
      <c r="C370" t="s">
        <v>352</v>
      </c>
      <c r="D370">
        <v>3013</v>
      </c>
      <c r="E370">
        <v>20</v>
      </c>
      <c r="F370">
        <v>0</v>
      </c>
      <c r="G370">
        <v>0</v>
      </c>
      <c r="H370">
        <v>0</v>
      </c>
      <c r="I370">
        <v>5.6586011709999999</v>
      </c>
      <c r="J370">
        <v>8</v>
      </c>
      <c r="K370">
        <v>13.8</v>
      </c>
      <c r="L370">
        <v>0.12</v>
      </c>
      <c r="M370">
        <v>1</v>
      </c>
      <c r="N370">
        <v>0.2</v>
      </c>
      <c r="O370">
        <v>1.5</v>
      </c>
      <c r="P370">
        <v>25</v>
      </c>
      <c r="Q370">
        <v>0</v>
      </c>
      <c r="R370">
        <v>3.6</v>
      </c>
      <c r="S370">
        <v>3.34</v>
      </c>
      <c r="T370">
        <v>0</v>
      </c>
      <c r="U370">
        <v>0</v>
      </c>
      <c r="V370">
        <v>4.5446233759999997</v>
      </c>
      <c r="W370">
        <v>2</v>
      </c>
      <c r="X370">
        <v>0.15</v>
      </c>
      <c r="Y370">
        <v>0.2</v>
      </c>
      <c r="Z370">
        <v>0.3</v>
      </c>
      <c r="AA370">
        <v>3.35</v>
      </c>
      <c r="AB370">
        <v>2</v>
      </c>
      <c r="AC370">
        <v>0.2</v>
      </c>
      <c r="AE370">
        <v>5</v>
      </c>
      <c r="AG370">
        <v>34.003224549999999</v>
      </c>
      <c r="AH370">
        <v>150</v>
      </c>
      <c r="AI370">
        <v>0.2</v>
      </c>
      <c r="AJ370">
        <v>1</v>
      </c>
      <c r="AK370">
        <v>0.2</v>
      </c>
    </row>
    <row r="371" spans="1:37" hidden="1" x14ac:dyDescent="0.3">
      <c r="A371" t="s">
        <v>353</v>
      </c>
      <c r="B371" t="s">
        <v>349</v>
      </c>
      <c r="C371" t="s">
        <v>352</v>
      </c>
      <c r="D371">
        <v>7159</v>
      </c>
      <c r="E371">
        <v>20</v>
      </c>
      <c r="F371">
        <v>0</v>
      </c>
      <c r="G371">
        <v>0</v>
      </c>
      <c r="H371">
        <v>0</v>
      </c>
      <c r="I371">
        <v>0</v>
      </c>
      <c r="J371">
        <v>8</v>
      </c>
      <c r="K371">
        <v>9.1</v>
      </c>
      <c r="L371">
        <v>0</v>
      </c>
      <c r="M371">
        <v>0</v>
      </c>
      <c r="N371">
        <v>0.2</v>
      </c>
      <c r="O371">
        <v>1.5</v>
      </c>
      <c r="P371">
        <v>25</v>
      </c>
      <c r="S371">
        <v>2.8</v>
      </c>
      <c r="T371">
        <v>0</v>
      </c>
      <c r="U371">
        <v>0</v>
      </c>
      <c r="V371">
        <v>4.5</v>
      </c>
      <c r="W371">
        <v>0</v>
      </c>
      <c r="X371">
        <v>0.25</v>
      </c>
      <c r="Y371">
        <v>0.2</v>
      </c>
      <c r="Z371">
        <v>0.3</v>
      </c>
      <c r="AB371">
        <v>2.4</v>
      </c>
      <c r="AE371">
        <v>2.5</v>
      </c>
      <c r="AH371">
        <v>150</v>
      </c>
      <c r="AJ371">
        <v>0</v>
      </c>
    </row>
    <row r="372" spans="1:37" hidden="1" x14ac:dyDescent="0.3">
      <c r="A372" t="s">
        <v>686</v>
      </c>
      <c r="B372" t="s">
        <v>349</v>
      </c>
      <c r="C372" t="s">
        <v>352</v>
      </c>
      <c r="D372">
        <v>1152</v>
      </c>
      <c r="E372">
        <v>60</v>
      </c>
      <c r="F372">
        <v>1.38</v>
      </c>
      <c r="G372">
        <v>0</v>
      </c>
      <c r="H372">
        <v>1</v>
      </c>
      <c r="I372">
        <v>3.88</v>
      </c>
      <c r="J372">
        <v>6.9</v>
      </c>
      <c r="K372">
        <v>11</v>
      </c>
      <c r="L372">
        <v>0.1</v>
      </c>
      <c r="M372">
        <v>1</v>
      </c>
      <c r="N372">
        <v>0.35</v>
      </c>
      <c r="O372">
        <v>2</v>
      </c>
      <c r="P372">
        <v>25</v>
      </c>
      <c r="S372">
        <v>3.7</v>
      </c>
      <c r="T372">
        <v>0.1</v>
      </c>
      <c r="U372">
        <v>0</v>
      </c>
      <c r="V372">
        <v>3</v>
      </c>
      <c r="W372">
        <v>2</v>
      </c>
      <c r="X372">
        <v>0.15</v>
      </c>
      <c r="Y372">
        <v>0.35</v>
      </c>
      <c r="Z372">
        <v>0.3</v>
      </c>
      <c r="AB372">
        <v>3</v>
      </c>
      <c r="AE372">
        <v>4.5</v>
      </c>
      <c r="AH372">
        <v>150</v>
      </c>
      <c r="AJ372">
        <v>0</v>
      </c>
    </row>
    <row r="373" spans="1:37" hidden="1" x14ac:dyDescent="0.3">
      <c r="A373" t="s">
        <v>686</v>
      </c>
      <c r="B373" t="s">
        <v>349</v>
      </c>
      <c r="C373" t="s">
        <v>352</v>
      </c>
      <c r="D373">
        <v>2152</v>
      </c>
      <c r="E373">
        <v>60</v>
      </c>
      <c r="F373">
        <v>1.38</v>
      </c>
      <c r="G373">
        <v>0</v>
      </c>
      <c r="H373">
        <v>1</v>
      </c>
      <c r="I373">
        <v>3.88</v>
      </c>
      <c r="J373">
        <v>6.9</v>
      </c>
      <c r="K373">
        <v>17</v>
      </c>
      <c r="L373">
        <v>0.1</v>
      </c>
      <c r="M373">
        <v>1</v>
      </c>
      <c r="N373">
        <v>0.35</v>
      </c>
      <c r="O373">
        <v>2</v>
      </c>
      <c r="P373">
        <v>41</v>
      </c>
      <c r="Q373">
        <v>69</v>
      </c>
      <c r="R373">
        <v>1.9</v>
      </c>
      <c r="S373">
        <v>3.7</v>
      </c>
      <c r="T373">
        <v>0.1</v>
      </c>
      <c r="U373">
        <v>0</v>
      </c>
      <c r="V373">
        <v>3</v>
      </c>
      <c r="W373">
        <v>2</v>
      </c>
      <c r="X373">
        <v>0.15</v>
      </c>
      <c r="Y373">
        <v>0.35</v>
      </c>
      <c r="Z373">
        <v>0.3</v>
      </c>
      <c r="AA373">
        <v>2.5</v>
      </c>
      <c r="AB373">
        <v>3.4</v>
      </c>
      <c r="AE373">
        <v>4.5</v>
      </c>
      <c r="AF373">
        <v>2.48</v>
      </c>
      <c r="AG373">
        <v>32.78</v>
      </c>
      <c r="AH373">
        <v>150</v>
      </c>
      <c r="AI373">
        <v>0.35</v>
      </c>
      <c r="AJ373">
        <v>0</v>
      </c>
    </row>
    <row r="374" spans="1:37" hidden="1" x14ac:dyDescent="0.3">
      <c r="A374" t="s">
        <v>354</v>
      </c>
      <c r="B374" t="s">
        <v>349</v>
      </c>
      <c r="C374" t="s">
        <v>352</v>
      </c>
      <c r="D374">
        <v>7158</v>
      </c>
      <c r="E374">
        <v>20</v>
      </c>
      <c r="F374">
        <v>0</v>
      </c>
      <c r="G374">
        <v>0</v>
      </c>
      <c r="H374">
        <v>0</v>
      </c>
      <c r="I374">
        <v>1.8</v>
      </c>
      <c r="J374">
        <v>8</v>
      </c>
      <c r="K374">
        <v>5.8</v>
      </c>
      <c r="L374">
        <v>0.15</v>
      </c>
      <c r="M374">
        <v>0</v>
      </c>
      <c r="N374">
        <v>0.2</v>
      </c>
      <c r="O374">
        <v>1.5</v>
      </c>
      <c r="P374">
        <v>25</v>
      </c>
      <c r="S374">
        <v>2</v>
      </c>
      <c r="T374">
        <v>0</v>
      </c>
      <c r="U374">
        <v>0</v>
      </c>
      <c r="V374">
        <v>6</v>
      </c>
      <c r="W374">
        <v>0</v>
      </c>
      <c r="X374">
        <v>0.35</v>
      </c>
      <c r="Y374">
        <v>0.2</v>
      </c>
      <c r="Z374">
        <v>0.3</v>
      </c>
      <c r="AB374">
        <v>1.7</v>
      </c>
      <c r="AE374">
        <v>4</v>
      </c>
      <c r="AH374">
        <v>150</v>
      </c>
      <c r="AJ374">
        <v>0</v>
      </c>
    </row>
    <row r="375" spans="1:37" hidden="1" x14ac:dyDescent="0.3">
      <c r="A375" t="s">
        <v>355</v>
      </c>
      <c r="B375" t="s">
        <v>349</v>
      </c>
      <c r="C375" t="s">
        <v>352</v>
      </c>
      <c r="D375">
        <v>7157</v>
      </c>
      <c r="E375">
        <v>20</v>
      </c>
      <c r="F375">
        <v>0</v>
      </c>
      <c r="G375">
        <v>0</v>
      </c>
      <c r="H375">
        <v>0</v>
      </c>
      <c r="I375">
        <v>0.5</v>
      </c>
      <c r="J375">
        <v>8</v>
      </c>
      <c r="K375">
        <v>2.6</v>
      </c>
      <c r="L375">
        <v>0.15</v>
      </c>
      <c r="M375">
        <v>0</v>
      </c>
      <c r="N375">
        <v>0.25</v>
      </c>
      <c r="O375">
        <v>1.5</v>
      </c>
      <c r="P375">
        <v>25</v>
      </c>
      <c r="S375">
        <v>1</v>
      </c>
      <c r="T375">
        <v>0</v>
      </c>
      <c r="U375">
        <v>0</v>
      </c>
      <c r="V375">
        <v>0.1</v>
      </c>
      <c r="W375">
        <v>0</v>
      </c>
      <c r="X375">
        <v>0.35</v>
      </c>
      <c r="Y375">
        <v>0.2</v>
      </c>
      <c r="Z375">
        <v>0.3</v>
      </c>
      <c r="AB375">
        <v>0.9</v>
      </c>
      <c r="AE375">
        <v>4</v>
      </c>
      <c r="AH375">
        <v>150</v>
      </c>
      <c r="AJ375">
        <v>0</v>
      </c>
    </row>
    <row r="376" spans="1:37" hidden="1" x14ac:dyDescent="0.3">
      <c r="A376" t="s">
        <v>683</v>
      </c>
      <c r="B376" t="s">
        <v>349</v>
      </c>
      <c r="C376" t="s">
        <v>352</v>
      </c>
      <c r="D376">
        <v>2161</v>
      </c>
      <c r="E376">
        <v>20</v>
      </c>
      <c r="F376">
        <v>0.3</v>
      </c>
      <c r="G376">
        <v>0</v>
      </c>
      <c r="H376">
        <v>5</v>
      </c>
      <c r="I376">
        <v>5</v>
      </c>
      <c r="J376">
        <v>4.5</v>
      </c>
      <c r="K376">
        <v>11.2</v>
      </c>
      <c r="L376">
        <v>0.12</v>
      </c>
      <c r="M376">
        <v>1</v>
      </c>
      <c r="N376">
        <v>0.13</v>
      </c>
      <c r="O376">
        <v>1.3</v>
      </c>
      <c r="P376">
        <v>25</v>
      </c>
      <c r="Q376">
        <v>57</v>
      </c>
      <c r="R376">
        <v>3.2</v>
      </c>
      <c r="S376">
        <v>3.7</v>
      </c>
      <c r="T376">
        <v>0</v>
      </c>
      <c r="U376">
        <v>0</v>
      </c>
      <c r="V376">
        <v>3.75</v>
      </c>
      <c r="W376">
        <v>7.6</v>
      </c>
      <c r="X376">
        <v>0.4</v>
      </c>
      <c r="Y376">
        <v>0.13</v>
      </c>
      <c r="Z376">
        <v>0.3</v>
      </c>
      <c r="AA376">
        <v>3.3</v>
      </c>
      <c r="AB376">
        <v>3</v>
      </c>
      <c r="AE376">
        <v>3.5</v>
      </c>
      <c r="AF376">
        <v>5.3</v>
      </c>
      <c r="AG376">
        <v>34.049999999999997</v>
      </c>
      <c r="AH376">
        <v>150</v>
      </c>
      <c r="AI376">
        <v>0.13</v>
      </c>
      <c r="AJ376">
        <v>1</v>
      </c>
    </row>
    <row r="377" spans="1:37" hidden="1" x14ac:dyDescent="0.3">
      <c r="A377" t="s">
        <v>688</v>
      </c>
      <c r="B377" t="s">
        <v>349</v>
      </c>
      <c r="C377" t="s">
        <v>352</v>
      </c>
      <c r="D377">
        <v>2120</v>
      </c>
      <c r="E377">
        <v>40</v>
      </c>
      <c r="F377">
        <v>0.5</v>
      </c>
      <c r="G377">
        <v>0</v>
      </c>
      <c r="H377">
        <v>0</v>
      </c>
      <c r="I377">
        <v>1</v>
      </c>
      <c r="J377">
        <v>8</v>
      </c>
      <c r="K377">
        <v>8</v>
      </c>
      <c r="L377">
        <v>0.1</v>
      </c>
      <c r="M377">
        <v>1</v>
      </c>
      <c r="N377">
        <v>0.75</v>
      </c>
      <c r="O377">
        <v>1.3</v>
      </c>
      <c r="P377">
        <v>25</v>
      </c>
      <c r="Q377">
        <v>71</v>
      </c>
      <c r="R377">
        <v>1.6</v>
      </c>
      <c r="S377">
        <v>2.8</v>
      </c>
      <c r="T377">
        <v>0.1</v>
      </c>
      <c r="U377">
        <v>0</v>
      </c>
      <c r="V377">
        <v>1</v>
      </c>
      <c r="W377">
        <v>1</v>
      </c>
      <c r="X377">
        <v>0.3</v>
      </c>
      <c r="Y377">
        <v>0.75</v>
      </c>
      <c r="Z377">
        <v>0.3</v>
      </c>
      <c r="AA377">
        <v>2.6</v>
      </c>
      <c r="AB377">
        <v>2.4</v>
      </c>
      <c r="AE377">
        <v>5</v>
      </c>
      <c r="AF377">
        <v>0.6</v>
      </c>
      <c r="AG377">
        <v>19</v>
      </c>
      <c r="AH377">
        <v>150</v>
      </c>
      <c r="AI377">
        <v>0.75</v>
      </c>
      <c r="AJ377">
        <v>0</v>
      </c>
    </row>
    <row r="378" spans="1:37" hidden="1" x14ac:dyDescent="0.3">
      <c r="A378" t="s">
        <v>358</v>
      </c>
      <c r="B378" t="s">
        <v>349</v>
      </c>
      <c r="C378" t="s">
        <v>352</v>
      </c>
      <c r="D378">
        <v>3011</v>
      </c>
      <c r="E378">
        <v>40</v>
      </c>
      <c r="F378">
        <v>0</v>
      </c>
      <c r="G378">
        <v>0</v>
      </c>
      <c r="H378">
        <v>0</v>
      </c>
      <c r="I378">
        <v>6.9604662949999998</v>
      </c>
      <c r="J378">
        <v>8</v>
      </c>
      <c r="K378">
        <v>20.100000000000001</v>
      </c>
      <c r="L378">
        <v>0.2</v>
      </c>
      <c r="M378">
        <v>1</v>
      </c>
      <c r="N378">
        <v>0.31</v>
      </c>
      <c r="O378">
        <v>1.5</v>
      </c>
      <c r="P378">
        <v>25</v>
      </c>
      <c r="Q378">
        <v>0</v>
      </c>
      <c r="R378">
        <v>4</v>
      </c>
      <c r="S378">
        <v>3.7850000000000001</v>
      </c>
      <c r="T378">
        <v>0</v>
      </c>
      <c r="U378">
        <v>0</v>
      </c>
      <c r="V378">
        <v>9.981828964</v>
      </c>
      <c r="W378">
        <v>4</v>
      </c>
      <c r="X378">
        <v>0.3</v>
      </c>
      <c r="Y378">
        <v>0.31</v>
      </c>
      <c r="Z378">
        <v>0.3</v>
      </c>
      <c r="AA378">
        <v>4</v>
      </c>
      <c r="AB378">
        <v>3.5</v>
      </c>
      <c r="AC378">
        <v>0.222222222</v>
      </c>
      <c r="AE378">
        <v>4.5</v>
      </c>
      <c r="AG378">
        <v>49.042295260000003</v>
      </c>
      <c r="AH378">
        <v>150</v>
      </c>
      <c r="AI378">
        <v>0.31</v>
      </c>
      <c r="AJ378">
        <v>1</v>
      </c>
      <c r="AK378">
        <v>0.222222222</v>
      </c>
    </row>
    <row r="379" spans="1:37" hidden="1" x14ac:dyDescent="0.3">
      <c r="A379" t="s">
        <v>358</v>
      </c>
      <c r="B379" t="s">
        <v>349</v>
      </c>
      <c r="C379" t="s">
        <v>352</v>
      </c>
      <c r="D379">
        <v>7154</v>
      </c>
      <c r="E379">
        <v>40</v>
      </c>
      <c r="F379">
        <v>0</v>
      </c>
      <c r="G379">
        <v>0</v>
      </c>
      <c r="H379">
        <v>0</v>
      </c>
      <c r="I379">
        <v>5</v>
      </c>
      <c r="J379">
        <v>8</v>
      </c>
      <c r="K379">
        <v>11</v>
      </c>
      <c r="L379">
        <v>0.2</v>
      </c>
      <c r="M379">
        <v>0</v>
      </c>
      <c r="N379">
        <v>0.31</v>
      </c>
      <c r="O379">
        <v>1.5</v>
      </c>
      <c r="P379">
        <v>25</v>
      </c>
      <c r="S379">
        <v>4</v>
      </c>
      <c r="T379">
        <v>0</v>
      </c>
      <c r="U379">
        <v>0</v>
      </c>
      <c r="V379">
        <v>6</v>
      </c>
      <c r="W379">
        <v>0</v>
      </c>
      <c r="X379">
        <v>0.3</v>
      </c>
      <c r="Y379">
        <v>0.2</v>
      </c>
      <c r="Z379">
        <v>0.3</v>
      </c>
      <c r="AB379">
        <v>3</v>
      </c>
      <c r="AE379">
        <v>4.5</v>
      </c>
      <c r="AH379">
        <v>150</v>
      </c>
      <c r="AJ379">
        <v>1</v>
      </c>
    </row>
    <row r="380" spans="1:37" hidden="1" x14ac:dyDescent="0.3">
      <c r="A380" t="s">
        <v>360</v>
      </c>
      <c r="B380" t="s">
        <v>349</v>
      </c>
      <c r="C380" t="s">
        <v>352</v>
      </c>
      <c r="D380">
        <v>3032</v>
      </c>
      <c r="E380">
        <v>40</v>
      </c>
      <c r="F380">
        <v>0</v>
      </c>
      <c r="G380">
        <v>0</v>
      </c>
      <c r="H380">
        <v>0</v>
      </c>
      <c r="I380">
        <v>6.9604662949999998</v>
      </c>
      <c r="J380">
        <v>8</v>
      </c>
      <c r="K380">
        <v>15.8</v>
      </c>
      <c r="L380">
        <v>0.2</v>
      </c>
      <c r="M380">
        <v>1</v>
      </c>
      <c r="N380">
        <v>0.4</v>
      </c>
      <c r="O380">
        <v>1.5</v>
      </c>
      <c r="P380">
        <v>25</v>
      </c>
      <c r="Q380">
        <v>0</v>
      </c>
      <c r="R380">
        <v>4</v>
      </c>
      <c r="S380">
        <v>3.4950000000000001</v>
      </c>
      <c r="T380">
        <v>0</v>
      </c>
      <c r="U380">
        <v>0</v>
      </c>
      <c r="V380">
        <v>0.35348919000000001</v>
      </c>
      <c r="W380">
        <v>0</v>
      </c>
      <c r="X380">
        <v>0.25</v>
      </c>
      <c r="Y380">
        <v>0.4</v>
      </c>
      <c r="Z380">
        <v>0.3</v>
      </c>
      <c r="AA380">
        <v>2</v>
      </c>
      <c r="AB380">
        <v>0</v>
      </c>
      <c r="AC380">
        <v>0.222222222</v>
      </c>
      <c r="AE380">
        <v>4.5</v>
      </c>
      <c r="AG380">
        <v>31.113955489999999</v>
      </c>
      <c r="AH380">
        <v>150</v>
      </c>
      <c r="AI380">
        <v>0.4</v>
      </c>
      <c r="AJ380">
        <v>1</v>
      </c>
      <c r="AK380">
        <v>0.222222222</v>
      </c>
    </row>
    <row r="381" spans="1:37" hidden="1" x14ac:dyDescent="0.3">
      <c r="A381" t="s">
        <v>360</v>
      </c>
      <c r="B381" t="s">
        <v>349</v>
      </c>
      <c r="C381" t="s">
        <v>352</v>
      </c>
      <c r="D381">
        <v>7152</v>
      </c>
      <c r="E381">
        <v>40</v>
      </c>
      <c r="F381">
        <v>0</v>
      </c>
      <c r="G381">
        <v>0</v>
      </c>
      <c r="H381">
        <v>0</v>
      </c>
      <c r="I381">
        <v>5</v>
      </c>
      <c r="J381">
        <v>8</v>
      </c>
      <c r="K381">
        <v>11</v>
      </c>
      <c r="L381">
        <v>0.2</v>
      </c>
      <c r="M381">
        <v>0</v>
      </c>
      <c r="N381">
        <v>0.4</v>
      </c>
      <c r="O381">
        <v>1.5</v>
      </c>
      <c r="P381">
        <v>25</v>
      </c>
      <c r="S381">
        <v>3.5</v>
      </c>
      <c r="T381">
        <v>0</v>
      </c>
      <c r="U381">
        <v>0</v>
      </c>
      <c r="V381">
        <v>0.4</v>
      </c>
      <c r="W381">
        <v>0</v>
      </c>
      <c r="X381">
        <v>0.25</v>
      </c>
      <c r="Y381">
        <v>0.2</v>
      </c>
      <c r="Z381">
        <v>0.3</v>
      </c>
      <c r="AB381">
        <v>3</v>
      </c>
      <c r="AE381">
        <v>4.5</v>
      </c>
      <c r="AH381">
        <v>150</v>
      </c>
      <c r="AJ381">
        <v>1</v>
      </c>
    </row>
    <row r="382" spans="1:37" hidden="1" x14ac:dyDescent="0.3">
      <c r="A382" t="s">
        <v>359</v>
      </c>
      <c r="B382" t="s">
        <v>349</v>
      </c>
      <c r="C382" t="s">
        <v>352</v>
      </c>
      <c r="D382">
        <v>7153</v>
      </c>
      <c r="E382">
        <v>40</v>
      </c>
      <c r="F382">
        <v>0</v>
      </c>
      <c r="G382">
        <v>0</v>
      </c>
      <c r="H382">
        <v>0</v>
      </c>
      <c r="I382">
        <v>5</v>
      </c>
      <c r="J382">
        <v>8</v>
      </c>
      <c r="K382">
        <v>11</v>
      </c>
      <c r="L382">
        <v>0.25</v>
      </c>
      <c r="M382">
        <v>0</v>
      </c>
      <c r="N382">
        <v>0.15</v>
      </c>
      <c r="O382">
        <v>1.5</v>
      </c>
      <c r="P382">
        <v>25</v>
      </c>
      <c r="S382">
        <v>3.8</v>
      </c>
      <c r="T382">
        <v>0</v>
      </c>
      <c r="U382">
        <v>0</v>
      </c>
      <c r="V382">
        <v>6</v>
      </c>
      <c r="W382">
        <v>0</v>
      </c>
      <c r="X382">
        <v>0.25</v>
      </c>
      <c r="Y382">
        <v>0.2</v>
      </c>
      <c r="Z382">
        <v>0.3</v>
      </c>
      <c r="AB382">
        <v>3</v>
      </c>
      <c r="AE382">
        <v>4.5</v>
      </c>
      <c r="AH382">
        <v>150</v>
      </c>
      <c r="AJ382">
        <v>1</v>
      </c>
    </row>
    <row r="383" spans="1:37" hidden="1" x14ac:dyDescent="0.3">
      <c r="A383" t="s">
        <v>357</v>
      </c>
      <c r="B383" t="s">
        <v>349</v>
      </c>
      <c r="C383" t="s">
        <v>352</v>
      </c>
      <c r="D383">
        <v>7155</v>
      </c>
      <c r="E383">
        <v>20</v>
      </c>
      <c r="F383">
        <v>0</v>
      </c>
      <c r="G383">
        <v>0</v>
      </c>
      <c r="H383">
        <v>0</v>
      </c>
      <c r="I383">
        <v>1.8</v>
      </c>
      <c r="J383">
        <v>8</v>
      </c>
      <c r="K383">
        <v>10.1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3</v>
      </c>
      <c r="T383">
        <v>0</v>
      </c>
      <c r="U383">
        <v>0</v>
      </c>
      <c r="V383">
        <v>3.6</v>
      </c>
      <c r="W383">
        <v>0</v>
      </c>
      <c r="X383">
        <v>0.15</v>
      </c>
      <c r="Y383">
        <v>0.2</v>
      </c>
      <c r="Z383">
        <v>0.3</v>
      </c>
      <c r="AB383">
        <v>2.6</v>
      </c>
      <c r="AE383">
        <v>4</v>
      </c>
      <c r="AH383">
        <v>150</v>
      </c>
      <c r="AJ383">
        <v>0</v>
      </c>
    </row>
    <row r="384" spans="1:37" hidden="1" x14ac:dyDescent="0.3">
      <c r="A384" t="s">
        <v>542</v>
      </c>
      <c r="B384" t="s">
        <v>337</v>
      </c>
      <c r="C384" t="s">
        <v>336</v>
      </c>
      <c r="D384">
        <v>4166</v>
      </c>
      <c r="O384">
        <v>1</v>
      </c>
      <c r="AB384">
        <v>2.88</v>
      </c>
      <c r="AF384">
        <v>0</v>
      </c>
      <c r="AG384">
        <v>21</v>
      </c>
      <c r="AH384">
        <v>650</v>
      </c>
      <c r="AI384">
        <v>0.4</v>
      </c>
      <c r="AK384">
        <v>0.35</v>
      </c>
    </row>
    <row r="385" spans="1:37" hidden="1" x14ac:dyDescent="0.3">
      <c r="A385" t="s">
        <v>646</v>
      </c>
      <c r="B385" t="s">
        <v>337</v>
      </c>
      <c r="C385" t="s">
        <v>336</v>
      </c>
      <c r="D385">
        <v>3021</v>
      </c>
      <c r="E385">
        <v>0</v>
      </c>
      <c r="I385">
        <v>7.9218150000000005E-3</v>
      </c>
      <c r="J385">
        <v>0</v>
      </c>
      <c r="K385">
        <v>5.7569311479999996</v>
      </c>
      <c r="L385">
        <v>0</v>
      </c>
      <c r="M385">
        <v>0</v>
      </c>
      <c r="N385">
        <v>0.25</v>
      </c>
      <c r="O385">
        <v>1.5</v>
      </c>
      <c r="P385">
        <v>0</v>
      </c>
      <c r="Q385">
        <v>0</v>
      </c>
      <c r="R385">
        <v>0</v>
      </c>
      <c r="S385">
        <v>1.98</v>
      </c>
      <c r="V385">
        <v>1.820092614</v>
      </c>
      <c r="W385">
        <v>0</v>
      </c>
      <c r="X385">
        <v>0.35</v>
      </c>
      <c r="Y385">
        <v>0.25</v>
      </c>
      <c r="Z385">
        <v>0</v>
      </c>
      <c r="AA385">
        <v>3</v>
      </c>
      <c r="AB385">
        <v>0</v>
      </c>
      <c r="AC385">
        <v>0.5</v>
      </c>
      <c r="AE385">
        <v>2</v>
      </c>
      <c r="AF385">
        <v>0</v>
      </c>
      <c r="AG385">
        <v>7.584945576</v>
      </c>
      <c r="AH385">
        <v>650</v>
      </c>
      <c r="AI385">
        <v>0.25</v>
      </c>
      <c r="AJ385">
        <v>0</v>
      </c>
      <c r="AK385">
        <v>0.5</v>
      </c>
    </row>
    <row r="386" spans="1:37" hidden="1" x14ac:dyDescent="0.3">
      <c r="A386" t="s">
        <v>339</v>
      </c>
      <c r="B386" t="s">
        <v>337</v>
      </c>
      <c r="C386" t="s">
        <v>336</v>
      </c>
      <c r="D386">
        <v>7651</v>
      </c>
      <c r="O386">
        <v>1.5</v>
      </c>
      <c r="AF386">
        <v>0</v>
      </c>
      <c r="AG386">
        <v>11.8</v>
      </c>
      <c r="AH386">
        <v>650</v>
      </c>
      <c r="AI386">
        <v>0.56999999999999995</v>
      </c>
      <c r="AK386">
        <v>0.67</v>
      </c>
    </row>
    <row r="387" spans="1:37" hidden="1" x14ac:dyDescent="0.3">
      <c r="A387" t="s">
        <v>657</v>
      </c>
      <c r="B387" t="s">
        <v>337</v>
      </c>
      <c r="C387" t="s">
        <v>336</v>
      </c>
      <c r="D387">
        <v>3001</v>
      </c>
      <c r="E387">
        <v>0</v>
      </c>
      <c r="I387">
        <v>3.7808037589999999</v>
      </c>
      <c r="J387">
        <v>0</v>
      </c>
      <c r="K387">
        <v>5.7569311479999996</v>
      </c>
      <c r="L387">
        <v>0.19</v>
      </c>
      <c r="M387">
        <v>0</v>
      </c>
      <c r="N387">
        <v>0.25</v>
      </c>
      <c r="O387">
        <v>1.3</v>
      </c>
      <c r="P387">
        <v>0</v>
      </c>
      <c r="Q387">
        <v>0</v>
      </c>
      <c r="R387">
        <v>3.3050000000000002</v>
      </c>
      <c r="S387">
        <v>1.98</v>
      </c>
      <c r="V387">
        <v>6.0602806239999998</v>
      </c>
      <c r="W387">
        <v>0</v>
      </c>
      <c r="X387">
        <v>0.2</v>
      </c>
      <c r="Y387">
        <v>0.25</v>
      </c>
      <c r="Z387">
        <v>0</v>
      </c>
      <c r="AA387">
        <v>3.5</v>
      </c>
      <c r="AB387">
        <v>0</v>
      </c>
      <c r="AC387">
        <v>0.5</v>
      </c>
      <c r="AE387">
        <v>2</v>
      </c>
      <c r="AF387">
        <v>0</v>
      </c>
      <c r="AG387">
        <v>15.59801553</v>
      </c>
      <c r="AH387">
        <v>650</v>
      </c>
      <c r="AI387">
        <v>0.25</v>
      </c>
      <c r="AJ387">
        <v>0</v>
      </c>
      <c r="AK387">
        <v>0.5</v>
      </c>
    </row>
    <row r="388" spans="1:37" hidden="1" x14ac:dyDescent="0.3">
      <c r="A388" t="s">
        <v>490</v>
      </c>
      <c r="B388" t="s">
        <v>337</v>
      </c>
      <c r="C388" t="s">
        <v>336</v>
      </c>
      <c r="D388">
        <v>4258</v>
      </c>
      <c r="O388">
        <v>1.5</v>
      </c>
      <c r="AF388">
        <v>0</v>
      </c>
      <c r="AG388">
        <v>21</v>
      </c>
      <c r="AH388">
        <v>650</v>
      </c>
      <c r="AI388">
        <v>0.4</v>
      </c>
      <c r="AK388">
        <v>0.35</v>
      </c>
    </row>
    <row r="389" spans="1:37" hidden="1" x14ac:dyDescent="0.3">
      <c r="A389" t="s">
        <v>338</v>
      </c>
      <c r="B389" t="s">
        <v>337</v>
      </c>
      <c r="C389" t="s">
        <v>336</v>
      </c>
      <c r="D389">
        <v>7652</v>
      </c>
      <c r="O389">
        <v>3.5</v>
      </c>
      <c r="AF389">
        <v>0</v>
      </c>
      <c r="AG389">
        <v>15.6</v>
      </c>
      <c r="AH389">
        <v>650</v>
      </c>
      <c r="AI389">
        <v>0.35</v>
      </c>
      <c r="AK389">
        <v>0.35</v>
      </c>
    </row>
    <row r="390" spans="1:37" hidden="1" x14ac:dyDescent="0.3">
      <c r="A390" t="s">
        <v>644</v>
      </c>
      <c r="B390" t="s">
        <v>337</v>
      </c>
      <c r="C390" t="s">
        <v>336</v>
      </c>
      <c r="D390">
        <v>3023</v>
      </c>
      <c r="E390">
        <v>0</v>
      </c>
      <c r="I390">
        <v>7.9218150000000005E-3</v>
      </c>
      <c r="J390">
        <v>0</v>
      </c>
      <c r="K390">
        <v>5.7569311479999996</v>
      </c>
      <c r="L390">
        <v>0</v>
      </c>
      <c r="M390">
        <v>0</v>
      </c>
      <c r="N390">
        <v>0.56999999999999995</v>
      </c>
      <c r="O390">
        <v>1.3</v>
      </c>
      <c r="P390">
        <v>0</v>
      </c>
      <c r="Q390">
        <v>0</v>
      </c>
      <c r="R390">
        <v>0</v>
      </c>
      <c r="S390">
        <v>1.98</v>
      </c>
      <c r="V390">
        <v>8.7848445630000001</v>
      </c>
      <c r="W390">
        <v>0</v>
      </c>
      <c r="X390">
        <v>0.47</v>
      </c>
      <c r="Y390">
        <v>0.56999999999999995</v>
      </c>
      <c r="Z390">
        <v>0</v>
      </c>
      <c r="AA390">
        <v>3.8</v>
      </c>
      <c r="AB390">
        <v>0</v>
      </c>
      <c r="AC390">
        <v>0.5</v>
      </c>
      <c r="AE390">
        <v>2</v>
      </c>
      <c r="AF390">
        <v>0</v>
      </c>
      <c r="AG390">
        <v>14.54969753</v>
      </c>
      <c r="AH390">
        <v>650</v>
      </c>
      <c r="AI390">
        <v>0.56999999999999995</v>
      </c>
      <c r="AJ390">
        <v>0</v>
      </c>
      <c r="AK390">
        <v>0.5</v>
      </c>
    </row>
    <row r="391" spans="1:37" hidden="1" x14ac:dyDescent="0.3">
      <c r="A391" t="s">
        <v>576</v>
      </c>
      <c r="B391" t="s">
        <v>300</v>
      </c>
      <c r="C391" t="s">
        <v>116</v>
      </c>
      <c r="D391">
        <v>4132</v>
      </c>
      <c r="AC391">
        <v>0.5</v>
      </c>
      <c r="AF391">
        <v>0</v>
      </c>
      <c r="AG391">
        <v>4.5</v>
      </c>
      <c r="AH391">
        <v>300</v>
      </c>
      <c r="AI391">
        <v>0.67</v>
      </c>
    </row>
    <row r="392" spans="1:37" hidden="1" x14ac:dyDescent="0.3">
      <c r="A392" t="s">
        <v>575</v>
      </c>
      <c r="B392" t="s">
        <v>300</v>
      </c>
      <c r="C392" t="s">
        <v>116</v>
      </c>
      <c r="D392">
        <v>4133</v>
      </c>
      <c r="AC392">
        <v>0.5</v>
      </c>
      <c r="AF392">
        <v>0</v>
      </c>
      <c r="AG392">
        <v>4.5</v>
      </c>
      <c r="AH392">
        <v>300</v>
      </c>
      <c r="AI392">
        <v>0.67</v>
      </c>
    </row>
    <row r="393" spans="1:37" hidden="1" x14ac:dyDescent="0.3">
      <c r="A393" t="s">
        <v>573</v>
      </c>
      <c r="B393" t="s">
        <v>300</v>
      </c>
      <c r="C393" t="s">
        <v>116</v>
      </c>
      <c r="D393">
        <v>4135</v>
      </c>
      <c r="AC393">
        <v>0.5</v>
      </c>
      <c r="AF393">
        <v>0</v>
      </c>
      <c r="AG393">
        <v>4.5</v>
      </c>
      <c r="AH393">
        <v>300</v>
      </c>
      <c r="AI393">
        <v>0.67</v>
      </c>
    </row>
    <row r="394" spans="1:37" hidden="1" x14ac:dyDescent="0.3">
      <c r="A394" t="s">
        <v>572</v>
      </c>
      <c r="B394" t="s">
        <v>300</v>
      </c>
      <c r="C394" t="s">
        <v>116</v>
      </c>
      <c r="D394">
        <v>4136</v>
      </c>
      <c r="AC394">
        <v>0.5</v>
      </c>
      <c r="AF394">
        <v>0</v>
      </c>
      <c r="AG394">
        <v>4.5</v>
      </c>
      <c r="AH394">
        <v>300</v>
      </c>
      <c r="AI394">
        <v>0.67</v>
      </c>
    </row>
    <row r="395" spans="1:37" hidden="1" x14ac:dyDescent="0.3">
      <c r="A395" t="s">
        <v>571</v>
      </c>
      <c r="B395" t="s">
        <v>300</v>
      </c>
      <c r="C395" t="s">
        <v>116</v>
      </c>
      <c r="D395">
        <v>4137</v>
      </c>
      <c r="AC395">
        <v>0.5</v>
      </c>
      <c r="AF395">
        <v>0</v>
      </c>
      <c r="AG395">
        <v>4.5</v>
      </c>
      <c r="AH395">
        <v>300</v>
      </c>
      <c r="AI395">
        <v>0.67</v>
      </c>
    </row>
    <row r="396" spans="1:37" hidden="1" x14ac:dyDescent="0.3">
      <c r="A396" t="s">
        <v>570</v>
      </c>
      <c r="B396" t="s">
        <v>300</v>
      </c>
      <c r="C396" t="s">
        <v>116</v>
      </c>
      <c r="D396">
        <v>4138</v>
      </c>
      <c r="AC396">
        <v>0.5</v>
      </c>
      <c r="AF396">
        <v>0</v>
      </c>
      <c r="AG396">
        <v>4.5</v>
      </c>
      <c r="AH396">
        <v>300</v>
      </c>
      <c r="AI396">
        <v>0.67</v>
      </c>
    </row>
    <row r="397" spans="1:37" hidden="1" x14ac:dyDescent="0.3">
      <c r="A397" t="s">
        <v>569</v>
      </c>
      <c r="B397" t="s">
        <v>300</v>
      </c>
      <c r="C397" t="s">
        <v>116</v>
      </c>
      <c r="D397">
        <v>4139</v>
      </c>
      <c r="AC397">
        <v>0.5</v>
      </c>
      <c r="AF397">
        <v>0</v>
      </c>
      <c r="AG397">
        <v>4.5</v>
      </c>
      <c r="AH397">
        <v>300</v>
      </c>
      <c r="AI397">
        <v>0.67</v>
      </c>
    </row>
    <row r="398" spans="1:37" hidden="1" x14ac:dyDescent="0.3">
      <c r="A398" t="s">
        <v>568</v>
      </c>
      <c r="B398" t="s">
        <v>300</v>
      </c>
      <c r="C398" t="s">
        <v>116</v>
      </c>
      <c r="D398">
        <v>4140</v>
      </c>
      <c r="AC398">
        <v>0.5</v>
      </c>
      <c r="AF398">
        <v>1.89</v>
      </c>
      <c r="AG398">
        <v>13.5</v>
      </c>
      <c r="AH398">
        <v>300</v>
      </c>
      <c r="AI398">
        <v>0.67</v>
      </c>
    </row>
    <row r="399" spans="1:37" hidden="1" x14ac:dyDescent="0.3">
      <c r="A399" t="s">
        <v>567</v>
      </c>
      <c r="B399" t="s">
        <v>300</v>
      </c>
      <c r="C399" t="s">
        <v>116</v>
      </c>
      <c r="D399">
        <v>4141</v>
      </c>
      <c r="AC399">
        <v>0.5</v>
      </c>
      <c r="AF399">
        <v>0</v>
      </c>
      <c r="AG399">
        <v>4.5</v>
      </c>
      <c r="AH399">
        <v>300</v>
      </c>
      <c r="AI399">
        <v>0.67</v>
      </c>
    </row>
    <row r="400" spans="1:37" hidden="1" x14ac:dyDescent="0.3">
      <c r="A400" t="s">
        <v>565</v>
      </c>
      <c r="B400" t="s">
        <v>300</v>
      </c>
      <c r="C400" t="s">
        <v>116</v>
      </c>
      <c r="D400">
        <v>4143</v>
      </c>
      <c r="AC400">
        <v>0.5</v>
      </c>
      <c r="AF400">
        <v>0</v>
      </c>
      <c r="AG400">
        <v>4.5</v>
      </c>
      <c r="AH400">
        <v>300</v>
      </c>
      <c r="AI400">
        <v>0.67</v>
      </c>
    </row>
    <row r="401" spans="1:35" hidden="1" x14ac:dyDescent="0.3">
      <c r="A401" t="s">
        <v>562</v>
      </c>
      <c r="B401" t="s">
        <v>300</v>
      </c>
      <c r="C401" t="s">
        <v>116</v>
      </c>
      <c r="D401">
        <v>4146</v>
      </c>
      <c r="AC401">
        <v>0.5</v>
      </c>
      <c r="AF401">
        <v>0</v>
      </c>
      <c r="AG401">
        <v>4.5</v>
      </c>
      <c r="AH401">
        <v>300</v>
      </c>
      <c r="AI401">
        <v>0.67</v>
      </c>
    </row>
    <row r="402" spans="1:35" hidden="1" x14ac:dyDescent="0.3">
      <c r="A402" t="s">
        <v>561</v>
      </c>
      <c r="B402" t="s">
        <v>300</v>
      </c>
      <c r="C402" t="s">
        <v>116</v>
      </c>
      <c r="D402">
        <v>4147</v>
      </c>
      <c r="AC402">
        <v>0.5</v>
      </c>
      <c r="AF402">
        <v>0</v>
      </c>
      <c r="AG402">
        <v>4.5</v>
      </c>
      <c r="AH402">
        <v>300</v>
      </c>
      <c r="AI402">
        <v>0.67</v>
      </c>
    </row>
    <row r="403" spans="1:35" hidden="1" x14ac:dyDescent="0.3">
      <c r="A403" t="s">
        <v>560</v>
      </c>
      <c r="B403" t="s">
        <v>300</v>
      </c>
      <c r="C403" t="s">
        <v>116</v>
      </c>
      <c r="D403">
        <v>4148</v>
      </c>
      <c r="AC403">
        <v>0.5</v>
      </c>
      <c r="AF403">
        <v>0</v>
      </c>
      <c r="AG403">
        <v>4.5</v>
      </c>
      <c r="AH403">
        <v>300</v>
      </c>
      <c r="AI403">
        <v>0.67</v>
      </c>
    </row>
    <row r="404" spans="1:35" hidden="1" x14ac:dyDescent="0.3">
      <c r="A404" t="s">
        <v>558</v>
      </c>
      <c r="B404" t="s">
        <v>300</v>
      </c>
      <c r="C404" t="s">
        <v>116</v>
      </c>
      <c r="D404">
        <v>4150</v>
      </c>
      <c r="AC404">
        <v>0.5</v>
      </c>
      <c r="AF404">
        <v>0</v>
      </c>
      <c r="AG404">
        <v>4.5</v>
      </c>
      <c r="AH404">
        <v>300</v>
      </c>
      <c r="AI404">
        <v>0.67</v>
      </c>
    </row>
    <row r="405" spans="1:35" hidden="1" x14ac:dyDescent="0.3">
      <c r="A405" t="s">
        <v>557</v>
      </c>
      <c r="B405" t="s">
        <v>300</v>
      </c>
      <c r="C405" t="s">
        <v>116</v>
      </c>
      <c r="D405">
        <v>4151</v>
      </c>
      <c r="AC405">
        <v>0.5</v>
      </c>
      <c r="AF405">
        <v>0</v>
      </c>
      <c r="AG405">
        <v>4.5</v>
      </c>
      <c r="AH405">
        <v>300</v>
      </c>
      <c r="AI405">
        <v>0.67</v>
      </c>
    </row>
    <row r="406" spans="1:35" hidden="1" x14ac:dyDescent="0.3">
      <c r="A406" t="s">
        <v>554</v>
      </c>
      <c r="B406" t="s">
        <v>300</v>
      </c>
      <c r="C406" t="s">
        <v>116</v>
      </c>
      <c r="D406">
        <v>4154</v>
      </c>
      <c r="AC406">
        <v>0.5</v>
      </c>
      <c r="AF406">
        <v>0</v>
      </c>
      <c r="AG406">
        <v>4.5</v>
      </c>
      <c r="AH406">
        <v>300</v>
      </c>
      <c r="AI406">
        <v>0.67</v>
      </c>
    </row>
    <row r="407" spans="1:35" hidden="1" x14ac:dyDescent="0.3">
      <c r="A407" t="s">
        <v>553</v>
      </c>
      <c r="B407" t="s">
        <v>300</v>
      </c>
      <c r="C407" t="s">
        <v>116</v>
      </c>
      <c r="D407">
        <v>4155</v>
      </c>
      <c r="AC407">
        <v>0.5</v>
      </c>
      <c r="AF407">
        <v>0</v>
      </c>
      <c r="AG407">
        <v>4.5</v>
      </c>
      <c r="AH407">
        <v>300</v>
      </c>
      <c r="AI407">
        <v>0.67</v>
      </c>
    </row>
    <row r="408" spans="1:35" hidden="1" x14ac:dyDescent="0.3">
      <c r="A408" t="s">
        <v>552</v>
      </c>
      <c r="B408" t="s">
        <v>300</v>
      </c>
      <c r="C408" t="s">
        <v>116</v>
      </c>
      <c r="D408">
        <v>4156</v>
      </c>
      <c r="AC408">
        <v>0.5</v>
      </c>
      <c r="AF408">
        <v>0</v>
      </c>
      <c r="AG408">
        <v>4.5</v>
      </c>
      <c r="AH408">
        <v>300</v>
      </c>
      <c r="AI408">
        <v>0.67</v>
      </c>
    </row>
    <row r="409" spans="1:35" hidden="1" x14ac:dyDescent="0.3">
      <c r="A409" t="s">
        <v>550</v>
      </c>
      <c r="B409" t="s">
        <v>300</v>
      </c>
      <c r="C409" t="s">
        <v>116</v>
      </c>
      <c r="D409">
        <v>4158</v>
      </c>
      <c r="AC409">
        <v>0.5</v>
      </c>
      <c r="AF409">
        <v>0</v>
      </c>
      <c r="AG409">
        <v>4.5</v>
      </c>
      <c r="AH409">
        <v>300</v>
      </c>
      <c r="AI409">
        <v>0.67</v>
      </c>
    </row>
    <row r="410" spans="1:35" hidden="1" x14ac:dyDescent="0.3">
      <c r="A410" t="s">
        <v>549</v>
      </c>
      <c r="B410" t="s">
        <v>300</v>
      </c>
      <c r="C410" t="s">
        <v>116</v>
      </c>
      <c r="D410">
        <v>4159</v>
      </c>
      <c r="AC410">
        <v>0.5</v>
      </c>
      <c r="AF410">
        <v>0</v>
      </c>
      <c r="AG410">
        <v>4.5</v>
      </c>
      <c r="AH410">
        <v>300</v>
      </c>
      <c r="AI410">
        <v>0.67</v>
      </c>
    </row>
    <row r="411" spans="1:35" hidden="1" x14ac:dyDescent="0.3">
      <c r="A411" t="s">
        <v>548</v>
      </c>
      <c r="B411" t="s">
        <v>300</v>
      </c>
      <c r="C411" t="s">
        <v>116</v>
      </c>
      <c r="D411">
        <v>4160</v>
      </c>
      <c r="AC411">
        <v>0.5</v>
      </c>
      <c r="AF411">
        <v>0</v>
      </c>
      <c r="AG411">
        <v>4.5</v>
      </c>
      <c r="AH411">
        <v>300</v>
      </c>
      <c r="AI411">
        <v>0.67</v>
      </c>
    </row>
    <row r="412" spans="1:35" hidden="1" x14ac:dyDescent="0.3">
      <c r="A412" t="s">
        <v>546</v>
      </c>
      <c r="B412" t="s">
        <v>300</v>
      </c>
      <c r="C412" t="s">
        <v>116</v>
      </c>
      <c r="D412">
        <v>4162</v>
      </c>
      <c r="AC412">
        <v>0.5</v>
      </c>
      <c r="AF412">
        <v>0</v>
      </c>
      <c r="AG412">
        <v>4.5</v>
      </c>
      <c r="AH412">
        <v>300</v>
      </c>
      <c r="AI412">
        <v>0.67</v>
      </c>
    </row>
    <row r="413" spans="1:35" hidden="1" x14ac:dyDescent="0.3">
      <c r="A413" t="s">
        <v>545</v>
      </c>
      <c r="B413" t="s">
        <v>300</v>
      </c>
      <c r="C413" t="s">
        <v>116</v>
      </c>
      <c r="D413">
        <v>4163</v>
      </c>
      <c r="AC413">
        <v>0.5</v>
      </c>
      <c r="AF413">
        <v>0</v>
      </c>
      <c r="AG413">
        <v>4.5</v>
      </c>
      <c r="AH413">
        <v>300</v>
      </c>
      <c r="AI413">
        <v>0.67</v>
      </c>
    </row>
    <row r="414" spans="1:35" hidden="1" x14ac:dyDescent="0.3">
      <c r="A414" t="s">
        <v>534</v>
      </c>
      <c r="B414" t="s">
        <v>300</v>
      </c>
      <c r="C414" t="s">
        <v>116</v>
      </c>
      <c r="D414">
        <v>4174</v>
      </c>
      <c r="AC414">
        <v>0.5</v>
      </c>
      <c r="AF414">
        <v>0</v>
      </c>
      <c r="AG414">
        <v>4.5</v>
      </c>
      <c r="AH414">
        <v>300</v>
      </c>
      <c r="AI414">
        <v>0.67</v>
      </c>
    </row>
    <row r="415" spans="1:35" hidden="1" x14ac:dyDescent="0.3">
      <c r="A415" t="s">
        <v>533</v>
      </c>
      <c r="B415" t="s">
        <v>300</v>
      </c>
      <c r="C415" t="s">
        <v>116</v>
      </c>
      <c r="D415">
        <v>4175</v>
      </c>
      <c r="AC415">
        <v>0.5</v>
      </c>
      <c r="AF415">
        <v>0</v>
      </c>
      <c r="AG415">
        <v>4.5</v>
      </c>
      <c r="AH415">
        <v>300</v>
      </c>
      <c r="AI415">
        <v>0.67</v>
      </c>
    </row>
    <row r="416" spans="1:35" hidden="1" x14ac:dyDescent="0.3">
      <c r="A416" t="s">
        <v>532</v>
      </c>
      <c r="B416" t="s">
        <v>300</v>
      </c>
      <c r="C416" t="s">
        <v>116</v>
      </c>
      <c r="D416">
        <v>4176</v>
      </c>
      <c r="AC416">
        <v>0.5</v>
      </c>
      <c r="AF416">
        <v>0</v>
      </c>
      <c r="AG416">
        <v>4.5</v>
      </c>
      <c r="AH416">
        <v>300</v>
      </c>
      <c r="AI416">
        <v>0.67</v>
      </c>
    </row>
    <row r="417" spans="1:36" hidden="1" x14ac:dyDescent="0.3">
      <c r="A417" t="s">
        <v>531</v>
      </c>
      <c r="B417" t="s">
        <v>300</v>
      </c>
      <c r="C417" t="s">
        <v>116</v>
      </c>
      <c r="D417">
        <v>4177</v>
      </c>
      <c r="AC417">
        <v>0.5</v>
      </c>
      <c r="AF417">
        <v>0</v>
      </c>
      <c r="AG417">
        <v>4.5</v>
      </c>
      <c r="AH417">
        <v>300</v>
      </c>
      <c r="AI417">
        <v>0.67</v>
      </c>
    </row>
    <row r="418" spans="1:36" hidden="1" x14ac:dyDescent="0.3">
      <c r="A418" t="s">
        <v>530</v>
      </c>
      <c r="B418" t="s">
        <v>300</v>
      </c>
      <c r="C418" t="s">
        <v>116</v>
      </c>
      <c r="D418">
        <v>4178</v>
      </c>
      <c r="AC418">
        <v>0.5</v>
      </c>
      <c r="AF418">
        <v>0</v>
      </c>
      <c r="AG418">
        <v>4.5</v>
      </c>
      <c r="AH418">
        <v>300</v>
      </c>
      <c r="AI418">
        <v>0.67</v>
      </c>
    </row>
    <row r="419" spans="1:36" hidden="1" x14ac:dyDescent="0.3">
      <c r="A419" t="s">
        <v>587</v>
      </c>
      <c r="B419" t="s">
        <v>300</v>
      </c>
      <c r="C419" t="s">
        <v>116</v>
      </c>
      <c r="D419">
        <v>4122</v>
      </c>
      <c r="AC419">
        <v>0.5</v>
      </c>
      <c r="AF419">
        <v>1.2</v>
      </c>
      <c r="AG419">
        <v>13</v>
      </c>
      <c r="AH419">
        <v>300</v>
      </c>
      <c r="AI419">
        <v>0.4</v>
      </c>
    </row>
    <row r="420" spans="1:36" hidden="1" x14ac:dyDescent="0.3">
      <c r="A420" t="s">
        <v>583</v>
      </c>
      <c r="B420" t="s">
        <v>300</v>
      </c>
      <c r="C420" t="s">
        <v>116</v>
      </c>
      <c r="D420">
        <v>4125</v>
      </c>
      <c r="F420">
        <v>0</v>
      </c>
      <c r="H420">
        <v>0.51</v>
      </c>
      <c r="T420">
        <v>0.1</v>
      </c>
      <c r="U420">
        <v>0.28999999999999998</v>
      </c>
      <c r="AC420">
        <v>0.5</v>
      </c>
      <c r="AF420">
        <v>0</v>
      </c>
      <c r="AG420">
        <v>4.5</v>
      </c>
      <c r="AH420">
        <v>300</v>
      </c>
      <c r="AI420">
        <v>0.67</v>
      </c>
    </row>
    <row r="421" spans="1:36" hidden="1" x14ac:dyDescent="0.3">
      <c r="A421" t="s">
        <v>581</v>
      </c>
      <c r="B421" t="s">
        <v>300</v>
      </c>
      <c r="C421" t="s">
        <v>116</v>
      </c>
      <c r="D421">
        <v>4127</v>
      </c>
      <c r="AC421">
        <v>0.5</v>
      </c>
      <c r="AF421">
        <v>0</v>
      </c>
      <c r="AG421">
        <v>15.1</v>
      </c>
      <c r="AH421">
        <v>300</v>
      </c>
      <c r="AI421">
        <v>0.25</v>
      </c>
    </row>
    <row r="422" spans="1:36" hidden="1" x14ac:dyDescent="0.3">
      <c r="A422" t="s">
        <v>580</v>
      </c>
      <c r="B422" t="s">
        <v>300</v>
      </c>
      <c r="C422" t="s">
        <v>116</v>
      </c>
      <c r="D422">
        <v>4128</v>
      </c>
      <c r="F422">
        <v>0</v>
      </c>
      <c r="H422">
        <v>4.33</v>
      </c>
      <c r="T422">
        <v>0.42</v>
      </c>
      <c r="U422">
        <v>0.53</v>
      </c>
      <c r="AC422">
        <v>0.5</v>
      </c>
      <c r="AF422">
        <v>0</v>
      </c>
      <c r="AG422">
        <v>4.5</v>
      </c>
      <c r="AH422">
        <v>300</v>
      </c>
      <c r="AI422">
        <v>0.67</v>
      </c>
    </row>
    <row r="423" spans="1:36" hidden="1" x14ac:dyDescent="0.3">
      <c r="A423" t="s">
        <v>453</v>
      </c>
      <c r="B423" t="s">
        <v>300</v>
      </c>
      <c r="C423" t="s">
        <v>116</v>
      </c>
      <c r="D423">
        <v>5036</v>
      </c>
      <c r="AC423">
        <v>0.5</v>
      </c>
      <c r="AF423">
        <v>0.7</v>
      </c>
      <c r="AG423">
        <v>18.100000000000001</v>
      </c>
      <c r="AH423">
        <v>300</v>
      </c>
      <c r="AI423">
        <v>0.3</v>
      </c>
    </row>
    <row r="424" spans="1:36" hidden="1" x14ac:dyDescent="0.3">
      <c r="A424" t="s">
        <v>401</v>
      </c>
      <c r="B424" t="s">
        <v>300</v>
      </c>
      <c r="C424" t="s">
        <v>116</v>
      </c>
      <c r="D424">
        <v>6313</v>
      </c>
      <c r="AC424">
        <v>0.6</v>
      </c>
      <c r="AF424">
        <v>0</v>
      </c>
      <c r="AG424">
        <v>4.5</v>
      </c>
      <c r="AH424">
        <v>300</v>
      </c>
      <c r="AI424">
        <v>0.6</v>
      </c>
    </row>
    <row r="425" spans="1:36" hidden="1" x14ac:dyDescent="0.3">
      <c r="A425" t="s">
        <v>673</v>
      </c>
      <c r="B425" t="s">
        <v>300</v>
      </c>
      <c r="C425" t="s">
        <v>116</v>
      </c>
      <c r="D425">
        <v>2312</v>
      </c>
      <c r="F425">
        <v>0</v>
      </c>
      <c r="G425">
        <v>0</v>
      </c>
      <c r="H425">
        <v>1.2</v>
      </c>
      <c r="I425">
        <v>0</v>
      </c>
      <c r="J425">
        <v>0</v>
      </c>
      <c r="K425">
        <v>5.8</v>
      </c>
      <c r="L425">
        <v>0</v>
      </c>
      <c r="M425">
        <v>1</v>
      </c>
      <c r="N425">
        <v>0.25</v>
      </c>
      <c r="Q425">
        <v>2</v>
      </c>
      <c r="R425">
        <v>0</v>
      </c>
      <c r="S425">
        <v>2</v>
      </c>
      <c r="T425">
        <v>0</v>
      </c>
      <c r="U425">
        <v>0</v>
      </c>
      <c r="V425">
        <v>0.4</v>
      </c>
      <c r="W425">
        <v>0</v>
      </c>
      <c r="X425">
        <v>0.2</v>
      </c>
      <c r="Y425">
        <v>0.25</v>
      </c>
      <c r="AA425">
        <v>2</v>
      </c>
      <c r="AB425">
        <v>1.7</v>
      </c>
      <c r="AC425">
        <v>0.64</v>
      </c>
      <c r="AE425">
        <v>1.5</v>
      </c>
      <c r="AF425">
        <v>1.2</v>
      </c>
      <c r="AG425">
        <v>6.2</v>
      </c>
      <c r="AH425">
        <v>310</v>
      </c>
      <c r="AI425">
        <v>0.25</v>
      </c>
      <c r="AJ425">
        <v>0</v>
      </c>
    </row>
    <row r="426" spans="1:36" hidden="1" x14ac:dyDescent="0.3">
      <c r="A426" t="s">
        <v>403</v>
      </c>
      <c r="B426" t="s">
        <v>300</v>
      </c>
      <c r="C426" t="s">
        <v>116</v>
      </c>
      <c r="D426">
        <v>6311</v>
      </c>
      <c r="AC426">
        <v>0.6</v>
      </c>
      <c r="AF426">
        <v>0</v>
      </c>
      <c r="AG426">
        <v>4.5</v>
      </c>
      <c r="AH426">
        <v>300</v>
      </c>
      <c r="AI426">
        <v>0.6</v>
      </c>
    </row>
    <row r="427" spans="1:36" hidden="1" x14ac:dyDescent="0.3">
      <c r="A427" t="s">
        <v>449</v>
      </c>
      <c r="B427" t="s">
        <v>300</v>
      </c>
      <c r="C427" t="s">
        <v>116</v>
      </c>
      <c r="D427">
        <v>5041</v>
      </c>
      <c r="AC427">
        <v>0.5</v>
      </c>
      <c r="AF427">
        <v>0.5</v>
      </c>
      <c r="AG427">
        <v>12.6</v>
      </c>
      <c r="AH427">
        <v>300</v>
      </c>
      <c r="AI427">
        <v>7.0000000000000007E-2</v>
      </c>
    </row>
    <row r="428" spans="1:36" hidden="1" x14ac:dyDescent="0.3">
      <c r="A428" t="s">
        <v>464</v>
      </c>
      <c r="B428" t="s">
        <v>300</v>
      </c>
      <c r="C428" t="s">
        <v>116</v>
      </c>
      <c r="D428">
        <v>5025</v>
      </c>
      <c r="AC428">
        <v>0.5</v>
      </c>
      <c r="AF428">
        <v>0.1</v>
      </c>
      <c r="AG428">
        <v>2</v>
      </c>
      <c r="AH428">
        <v>300</v>
      </c>
      <c r="AI428">
        <v>0.36</v>
      </c>
    </row>
    <row r="429" spans="1:36" hidden="1" x14ac:dyDescent="0.3">
      <c r="A429" t="s">
        <v>318</v>
      </c>
      <c r="B429" t="s">
        <v>300</v>
      </c>
      <c r="C429" t="s">
        <v>116</v>
      </c>
      <c r="D429">
        <v>8306</v>
      </c>
      <c r="AC429">
        <v>0.5</v>
      </c>
      <c r="AF429">
        <v>0</v>
      </c>
      <c r="AG429">
        <v>7.76</v>
      </c>
      <c r="AH429">
        <v>300</v>
      </c>
      <c r="AI429">
        <v>0.6</v>
      </c>
    </row>
    <row r="430" spans="1:36" hidden="1" x14ac:dyDescent="0.3">
      <c r="A430" t="s">
        <v>316</v>
      </c>
      <c r="B430" t="s">
        <v>300</v>
      </c>
      <c r="C430" t="s">
        <v>116</v>
      </c>
      <c r="D430">
        <v>8308</v>
      </c>
      <c r="AC430">
        <v>0.5</v>
      </c>
      <c r="AF430">
        <v>0</v>
      </c>
      <c r="AG430">
        <v>4.2</v>
      </c>
      <c r="AH430">
        <v>300</v>
      </c>
      <c r="AI430">
        <v>1</v>
      </c>
    </row>
    <row r="431" spans="1:36" hidden="1" x14ac:dyDescent="0.3">
      <c r="A431" t="s">
        <v>317</v>
      </c>
      <c r="B431" t="s">
        <v>300</v>
      </c>
      <c r="C431" t="s">
        <v>116</v>
      </c>
      <c r="D431">
        <v>8307</v>
      </c>
      <c r="AC431">
        <v>0.5</v>
      </c>
      <c r="AF431">
        <v>0</v>
      </c>
      <c r="AG431">
        <v>3.26</v>
      </c>
      <c r="AH431">
        <v>300</v>
      </c>
      <c r="AI431">
        <v>1</v>
      </c>
    </row>
    <row r="432" spans="1:36" hidden="1" x14ac:dyDescent="0.3">
      <c r="A432" t="s">
        <v>465</v>
      </c>
      <c r="B432" t="s">
        <v>300</v>
      </c>
      <c r="C432" t="s">
        <v>116</v>
      </c>
      <c r="D432">
        <v>5024</v>
      </c>
      <c r="AC432">
        <v>0.5</v>
      </c>
      <c r="AF432">
        <v>0.5</v>
      </c>
      <c r="AG432">
        <v>15.9</v>
      </c>
      <c r="AH432">
        <v>300</v>
      </c>
      <c r="AI432">
        <v>0.4</v>
      </c>
    </row>
    <row r="433" spans="1:36" hidden="1" x14ac:dyDescent="0.3">
      <c r="A433" t="s">
        <v>323</v>
      </c>
      <c r="B433" t="s">
        <v>300</v>
      </c>
      <c r="C433" t="s">
        <v>116</v>
      </c>
      <c r="D433">
        <v>8301</v>
      </c>
      <c r="AC433">
        <v>0.5</v>
      </c>
      <c r="AF433">
        <v>0</v>
      </c>
      <c r="AG433">
        <v>7.76</v>
      </c>
      <c r="AH433">
        <v>300</v>
      </c>
      <c r="AI433">
        <v>0.6</v>
      </c>
    </row>
    <row r="434" spans="1:36" hidden="1" x14ac:dyDescent="0.3">
      <c r="A434" t="s">
        <v>411</v>
      </c>
      <c r="B434" t="s">
        <v>300</v>
      </c>
      <c r="C434" t="s">
        <v>116</v>
      </c>
      <c r="D434">
        <v>6301</v>
      </c>
      <c r="AC434">
        <v>0.5</v>
      </c>
      <c r="AF434">
        <v>1</v>
      </c>
      <c r="AG434">
        <v>7.76</v>
      </c>
      <c r="AH434">
        <v>300</v>
      </c>
      <c r="AI434">
        <v>0.7</v>
      </c>
    </row>
    <row r="435" spans="1:36" hidden="1" x14ac:dyDescent="0.3">
      <c r="A435" t="s">
        <v>322</v>
      </c>
      <c r="B435" t="s">
        <v>300</v>
      </c>
      <c r="C435" t="s">
        <v>116</v>
      </c>
      <c r="D435">
        <v>8302</v>
      </c>
      <c r="AC435">
        <v>0.5</v>
      </c>
      <c r="AF435">
        <v>0</v>
      </c>
      <c r="AG435">
        <v>6.23</v>
      </c>
      <c r="AH435">
        <v>300</v>
      </c>
      <c r="AI435">
        <v>1</v>
      </c>
    </row>
    <row r="436" spans="1:36" hidden="1" x14ac:dyDescent="0.3">
      <c r="A436" t="s">
        <v>410</v>
      </c>
      <c r="B436" t="s">
        <v>300</v>
      </c>
      <c r="C436" t="s">
        <v>116</v>
      </c>
      <c r="D436">
        <v>6302</v>
      </c>
      <c r="AC436">
        <v>0.5</v>
      </c>
      <c r="AF436">
        <v>1</v>
      </c>
      <c r="AG436">
        <v>6.23</v>
      </c>
      <c r="AH436">
        <v>300</v>
      </c>
      <c r="AI436">
        <v>1</v>
      </c>
    </row>
    <row r="437" spans="1:36" hidden="1" x14ac:dyDescent="0.3">
      <c r="A437" t="s">
        <v>675</v>
      </c>
      <c r="B437" t="s">
        <v>300</v>
      </c>
      <c r="C437" t="s">
        <v>116</v>
      </c>
      <c r="D437">
        <v>2304</v>
      </c>
      <c r="E437">
        <v>40</v>
      </c>
      <c r="F437">
        <v>0</v>
      </c>
      <c r="G437">
        <v>0</v>
      </c>
      <c r="H437">
        <v>1.7</v>
      </c>
      <c r="I437">
        <v>2.4</v>
      </c>
      <c r="J437">
        <v>4.5</v>
      </c>
      <c r="K437">
        <v>7.4</v>
      </c>
      <c r="L437">
        <v>0.2</v>
      </c>
      <c r="M437">
        <v>1</v>
      </c>
      <c r="N437">
        <v>0.25</v>
      </c>
      <c r="Q437">
        <v>21</v>
      </c>
      <c r="R437">
        <v>2.2000000000000002</v>
      </c>
      <c r="S437">
        <v>2.4</v>
      </c>
      <c r="T437">
        <v>0.1</v>
      </c>
      <c r="U437">
        <v>0</v>
      </c>
      <c r="V437">
        <v>0.8</v>
      </c>
      <c r="W437">
        <v>0</v>
      </c>
      <c r="X437">
        <v>0.2</v>
      </c>
      <c r="Y437">
        <v>0.25</v>
      </c>
      <c r="AA437">
        <v>2.5</v>
      </c>
      <c r="AB437">
        <v>2.1</v>
      </c>
      <c r="AC437">
        <v>0.28000000000000003</v>
      </c>
      <c r="AE437">
        <v>2.5</v>
      </c>
      <c r="AF437">
        <v>1.8</v>
      </c>
      <c r="AG437">
        <v>15.1</v>
      </c>
      <c r="AH437">
        <v>300</v>
      </c>
      <c r="AI437">
        <v>0.25</v>
      </c>
      <c r="AJ437">
        <v>0</v>
      </c>
    </row>
    <row r="438" spans="1:36" hidden="1" x14ac:dyDescent="0.3">
      <c r="A438" t="s">
        <v>319</v>
      </c>
      <c r="B438" t="s">
        <v>300</v>
      </c>
      <c r="C438" t="s">
        <v>116</v>
      </c>
      <c r="D438">
        <v>8305</v>
      </c>
      <c r="AC438">
        <v>0.6</v>
      </c>
      <c r="AF438">
        <v>0</v>
      </c>
      <c r="AG438">
        <v>4.2</v>
      </c>
      <c r="AH438">
        <v>300</v>
      </c>
      <c r="AI438">
        <v>1</v>
      </c>
    </row>
    <row r="439" spans="1:36" hidden="1" x14ac:dyDescent="0.3">
      <c r="A439" t="s">
        <v>407</v>
      </c>
      <c r="B439" t="s">
        <v>300</v>
      </c>
      <c r="C439" t="s">
        <v>116</v>
      </c>
      <c r="D439">
        <v>6305</v>
      </c>
      <c r="AC439">
        <v>0.8</v>
      </c>
      <c r="AF439">
        <v>1</v>
      </c>
      <c r="AG439">
        <v>4.1900000000000004</v>
      </c>
      <c r="AH439">
        <v>300</v>
      </c>
      <c r="AI439">
        <v>1</v>
      </c>
    </row>
    <row r="440" spans="1:36" hidden="1" x14ac:dyDescent="0.3">
      <c r="A440" t="s">
        <v>321</v>
      </c>
      <c r="B440" t="s">
        <v>300</v>
      </c>
      <c r="C440" t="s">
        <v>116</v>
      </c>
      <c r="D440">
        <v>8303</v>
      </c>
      <c r="AC440">
        <v>0.5</v>
      </c>
      <c r="AF440">
        <v>0</v>
      </c>
      <c r="AG440">
        <v>3.26</v>
      </c>
      <c r="AH440">
        <v>300</v>
      </c>
      <c r="AI440">
        <v>1</v>
      </c>
    </row>
    <row r="441" spans="1:36" hidden="1" x14ac:dyDescent="0.3">
      <c r="A441" t="s">
        <v>408</v>
      </c>
      <c r="B441" t="s">
        <v>300</v>
      </c>
      <c r="C441" t="s">
        <v>116</v>
      </c>
      <c r="D441">
        <v>6304</v>
      </c>
      <c r="AC441">
        <v>0.6</v>
      </c>
      <c r="AF441">
        <v>1</v>
      </c>
      <c r="AG441">
        <v>3.26</v>
      </c>
      <c r="AH441">
        <v>300</v>
      </c>
      <c r="AI441">
        <v>1</v>
      </c>
    </row>
    <row r="442" spans="1:36" hidden="1" x14ac:dyDescent="0.3">
      <c r="A442" t="s">
        <v>409</v>
      </c>
      <c r="B442" t="s">
        <v>300</v>
      </c>
      <c r="C442" t="s">
        <v>116</v>
      </c>
      <c r="D442">
        <v>6303</v>
      </c>
      <c r="AC442">
        <v>0.6</v>
      </c>
      <c r="AF442">
        <v>1</v>
      </c>
      <c r="AG442">
        <v>7.02</v>
      </c>
      <c r="AH442">
        <v>300</v>
      </c>
      <c r="AI442">
        <v>0.6</v>
      </c>
    </row>
    <row r="443" spans="1:36" hidden="1" x14ac:dyDescent="0.3">
      <c r="A443" t="s">
        <v>320</v>
      </c>
      <c r="B443" t="s">
        <v>300</v>
      </c>
      <c r="C443" t="s">
        <v>116</v>
      </c>
      <c r="D443">
        <v>8304</v>
      </c>
      <c r="AC443">
        <v>0.5</v>
      </c>
      <c r="AF443">
        <v>0</v>
      </c>
      <c r="AG443">
        <v>7.3</v>
      </c>
      <c r="AH443">
        <v>300</v>
      </c>
      <c r="AI443">
        <v>0.54</v>
      </c>
    </row>
    <row r="444" spans="1:36" hidden="1" x14ac:dyDescent="0.3">
      <c r="A444" t="s">
        <v>461</v>
      </c>
      <c r="B444" t="s">
        <v>300</v>
      </c>
      <c r="C444" t="s">
        <v>116</v>
      </c>
      <c r="D444">
        <v>5028</v>
      </c>
      <c r="AC444">
        <v>0.5</v>
      </c>
      <c r="AF444">
        <v>1.2</v>
      </c>
      <c r="AG444">
        <v>9.5</v>
      </c>
      <c r="AH444">
        <v>300</v>
      </c>
      <c r="AI444">
        <v>0.5</v>
      </c>
    </row>
    <row r="445" spans="1:36" hidden="1" x14ac:dyDescent="0.3">
      <c r="A445" t="s">
        <v>310</v>
      </c>
      <c r="B445" t="s">
        <v>300</v>
      </c>
      <c r="C445" t="s">
        <v>116</v>
      </c>
      <c r="D445">
        <v>8322</v>
      </c>
      <c r="AC445">
        <v>0.6</v>
      </c>
      <c r="AF445">
        <v>0</v>
      </c>
      <c r="AG445">
        <v>4.2</v>
      </c>
      <c r="AH445">
        <v>300</v>
      </c>
      <c r="AI445">
        <v>1</v>
      </c>
    </row>
    <row r="446" spans="1:36" hidden="1" x14ac:dyDescent="0.3">
      <c r="A446" t="s">
        <v>311</v>
      </c>
      <c r="B446" t="s">
        <v>300</v>
      </c>
      <c r="C446" t="s">
        <v>116</v>
      </c>
      <c r="D446">
        <v>8321</v>
      </c>
      <c r="AC446">
        <v>0.5</v>
      </c>
      <c r="AF446">
        <v>0</v>
      </c>
      <c r="AG446">
        <v>3.26</v>
      </c>
      <c r="AH446">
        <v>300</v>
      </c>
      <c r="AI446">
        <v>1</v>
      </c>
    </row>
    <row r="447" spans="1:36" hidden="1" x14ac:dyDescent="0.3">
      <c r="A447" t="s">
        <v>448</v>
      </c>
      <c r="B447" t="s">
        <v>300</v>
      </c>
      <c r="C447" t="s">
        <v>116</v>
      </c>
      <c r="D447">
        <v>5042</v>
      </c>
      <c r="AC447">
        <v>0.5</v>
      </c>
      <c r="AF447">
        <v>1.5</v>
      </c>
      <c r="AG447">
        <v>17.899999999999999</v>
      </c>
      <c r="AH447">
        <v>300</v>
      </c>
      <c r="AI447">
        <v>7.0000000000000007E-2</v>
      </c>
    </row>
    <row r="448" spans="1:36" hidden="1" x14ac:dyDescent="0.3">
      <c r="A448" t="s">
        <v>405</v>
      </c>
      <c r="B448" t="s">
        <v>300</v>
      </c>
      <c r="C448" t="s">
        <v>116</v>
      </c>
      <c r="D448">
        <v>6307</v>
      </c>
      <c r="AC448">
        <v>0.6</v>
      </c>
      <c r="AF448">
        <v>1</v>
      </c>
      <c r="AG448">
        <v>7.02</v>
      </c>
      <c r="AH448">
        <v>300</v>
      </c>
      <c r="AI448">
        <v>0.6</v>
      </c>
    </row>
    <row r="449" spans="1:37" hidden="1" x14ac:dyDescent="0.3">
      <c r="A449" t="s">
        <v>308</v>
      </c>
      <c r="B449" t="s">
        <v>300</v>
      </c>
      <c r="C449" t="s">
        <v>116</v>
      </c>
      <c r="D449">
        <v>8325</v>
      </c>
      <c r="AC449">
        <v>0.6</v>
      </c>
      <c r="AF449">
        <v>0</v>
      </c>
      <c r="AG449">
        <v>4.2</v>
      </c>
      <c r="AH449">
        <v>300</v>
      </c>
      <c r="AI449">
        <v>1</v>
      </c>
    </row>
    <row r="450" spans="1:37" hidden="1" x14ac:dyDescent="0.3">
      <c r="A450" t="s">
        <v>309</v>
      </c>
      <c r="B450" t="s">
        <v>300</v>
      </c>
      <c r="C450" t="s">
        <v>116</v>
      </c>
      <c r="D450">
        <v>8324</v>
      </c>
      <c r="AC450">
        <v>0.5</v>
      </c>
      <c r="AF450">
        <v>0</v>
      </c>
      <c r="AG450">
        <v>3.26</v>
      </c>
      <c r="AH450">
        <v>300</v>
      </c>
      <c r="AI450">
        <v>1</v>
      </c>
    </row>
    <row r="451" spans="1:37" hidden="1" x14ac:dyDescent="0.3">
      <c r="A451" t="s">
        <v>404</v>
      </c>
      <c r="B451" t="s">
        <v>300</v>
      </c>
      <c r="C451" t="s">
        <v>116</v>
      </c>
      <c r="D451">
        <v>6308</v>
      </c>
      <c r="AC451">
        <v>0.5</v>
      </c>
      <c r="AF451">
        <v>1</v>
      </c>
      <c r="AG451">
        <v>7.02</v>
      </c>
      <c r="AH451">
        <v>300</v>
      </c>
      <c r="AI451">
        <v>0.6</v>
      </c>
    </row>
    <row r="452" spans="1:37" hidden="1" x14ac:dyDescent="0.3">
      <c r="A452" t="s">
        <v>467</v>
      </c>
      <c r="B452" t="s">
        <v>300</v>
      </c>
      <c r="C452" t="s">
        <v>116</v>
      </c>
      <c r="D452">
        <v>5022</v>
      </c>
      <c r="AC452">
        <v>0.5</v>
      </c>
      <c r="AF452">
        <v>0.6</v>
      </c>
      <c r="AG452">
        <v>17.2</v>
      </c>
      <c r="AH452">
        <v>300</v>
      </c>
      <c r="AI452">
        <v>0.55000000000000004</v>
      </c>
    </row>
    <row r="453" spans="1:37" hidden="1" x14ac:dyDescent="0.3">
      <c r="A453" t="s">
        <v>466</v>
      </c>
      <c r="B453" t="s">
        <v>300</v>
      </c>
      <c r="C453" t="s">
        <v>116</v>
      </c>
      <c r="D453">
        <v>5023</v>
      </c>
      <c r="AC453">
        <v>0.5</v>
      </c>
      <c r="AF453">
        <v>4.2</v>
      </c>
      <c r="AG453">
        <v>17</v>
      </c>
      <c r="AH453">
        <v>300</v>
      </c>
      <c r="AI453">
        <v>0.3</v>
      </c>
    </row>
    <row r="454" spans="1:37" hidden="1" x14ac:dyDescent="0.3">
      <c r="A454" t="s">
        <v>678</v>
      </c>
      <c r="B454" t="s">
        <v>300</v>
      </c>
      <c r="C454" t="s">
        <v>116</v>
      </c>
      <c r="D454">
        <v>2301</v>
      </c>
      <c r="E454">
        <v>20</v>
      </c>
      <c r="F454">
        <v>0.1</v>
      </c>
      <c r="G454">
        <v>0</v>
      </c>
      <c r="H454">
        <v>1.2</v>
      </c>
      <c r="I454">
        <v>0.3</v>
      </c>
      <c r="J454">
        <v>0</v>
      </c>
      <c r="K454">
        <v>10.1</v>
      </c>
      <c r="L454">
        <v>0.2</v>
      </c>
      <c r="M454">
        <v>1</v>
      </c>
      <c r="N454">
        <v>0.6</v>
      </c>
      <c r="Q454">
        <v>9</v>
      </c>
      <c r="R454">
        <v>1</v>
      </c>
      <c r="S454">
        <v>3</v>
      </c>
      <c r="T454">
        <v>0</v>
      </c>
      <c r="U454">
        <v>0</v>
      </c>
      <c r="V454">
        <v>0.4</v>
      </c>
      <c r="W454">
        <v>0</v>
      </c>
      <c r="X454">
        <v>0.2</v>
      </c>
      <c r="Y454">
        <v>0.6</v>
      </c>
      <c r="AA454">
        <v>2</v>
      </c>
      <c r="AB454">
        <v>2.6</v>
      </c>
      <c r="AC454">
        <v>0.38</v>
      </c>
      <c r="AE454">
        <v>2</v>
      </c>
      <c r="AF454">
        <v>1.3</v>
      </c>
      <c r="AG454">
        <v>10.8</v>
      </c>
      <c r="AH454">
        <v>300</v>
      </c>
      <c r="AI454">
        <v>0.6</v>
      </c>
      <c r="AJ454">
        <v>0</v>
      </c>
    </row>
    <row r="455" spans="1:37" hidden="1" x14ac:dyDescent="0.3">
      <c r="A455" t="s">
        <v>674</v>
      </c>
      <c r="B455" t="s">
        <v>300</v>
      </c>
      <c r="C455" t="s">
        <v>116</v>
      </c>
      <c r="D455">
        <v>2311</v>
      </c>
      <c r="E455">
        <v>30</v>
      </c>
      <c r="F455">
        <v>0</v>
      </c>
      <c r="G455">
        <v>0</v>
      </c>
      <c r="H455">
        <v>0</v>
      </c>
      <c r="I455">
        <v>0.8</v>
      </c>
      <c r="J455">
        <v>0</v>
      </c>
      <c r="K455">
        <v>5.8</v>
      </c>
      <c r="L455">
        <v>0.05</v>
      </c>
      <c r="M455">
        <v>1</v>
      </c>
      <c r="N455">
        <v>0.3</v>
      </c>
      <c r="Q455">
        <v>26</v>
      </c>
      <c r="R455">
        <v>1.5</v>
      </c>
      <c r="S455">
        <v>2</v>
      </c>
      <c r="T455">
        <v>0</v>
      </c>
      <c r="U455">
        <v>0</v>
      </c>
      <c r="V455">
        <v>0.1</v>
      </c>
      <c r="W455">
        <v>0</v>
      </c>
      <c r="X455">
        <v>0.25</v>
      </c>
      <c r="Y455">
        <v>0.3</v>
      </c>
      <c r="AA455">
        <v>1</v>
      </c>
      <c r="AB455">
        <v>1.7</v>
      </c>
      <c r="AC455">
        <v>0.28000000000000003</v>
      </c>
      <c r="AE455">
        <v>2.5</v>
      </c>
      <c r="AF455">
        <v>0</v>
      </c>
      <c r="AG455">
        <v>6.7</v>
      </c>
      <c r="AH455">
        <v>310</v>
      </c>
      <c r="AI455">
        <v>0.3</v>
      </c>
      <c r="AJ455">
        <v>0</v>
      </c>
    </row>
    <row r="456" spans="1:37" hidden="1" x14ac:dyDescent="0.3">
      <c r="A456" t="s">
        <v>676</v>
      </c>
      <c r="B456" t="s">
        <v>300</v>
      </c>
      <c r="C456" t="s">
        <v>116</v>
      </c>
      <c r="D456">
        <v>1303</v>
      </c>
      <c r="AC456">
        <v>0.5</v>
      </c>
      <c r="AF456">
        <v>2.2999999999999998</v>
      </c>
      <c r="AG456">
        <v>18.3</v>
      </c>
      <c r="AH456">
        <v>300</v>
      </c>
      <c r="AI456">
        <v>0.4</v>
      </c>
    </row>
    <row r="457" spans="1:37" hidden="1" x14ac:dyDescent="0.3">
      <c r="A457" t="s">
        <v>406</v>
      </c>
      <c r="B457" t="s">
        <v>300</v>
      </c>
      <c r="C457" t="s">
        <v>116</v>
      </c>
      <c r="D457">
        <v>6306</v>
      </c>
      <c r="AC457">
        <v>0.6</v>
      </c>
      <c r="AF457">
        <v>1</v>
      </c>
      <c r="AG457">
        <v>7.02</v>
      </c>
      <c r="AH457">
        <v>300</v>
      </c>
      <c r="AI457">
        <v>0.6</v>
      </c>
    </row>
    <row r="458" spans="1:37" hidden="1" x14ac:dyDescent="0.3">
      <c r="A458" t="s">
        <v>579</v>
      </c>
      <c r="B458" t="s">
        <v>349</v>
      </c>
      <c r="C458" t="s">
        <v>116</v>
      </c>
      <c r="D458">
        <v>4129</v>
      </c>
      <c r="AC458">
        <v>0.5</v>
      </c>
      <c r="AF458">
        <v>0</v>
      </c>
      <c r="AG458">
        <v>4.5</v>
      </c>
      <c r="AH458">
        <v>300</v>
      </c>
      <c r="AI458">
        <v>0.67</v>
      </c>
    </row>
    <row r="459" spans="1:37" hidden="1" x14ac:dyDescent="0.3">
      <c r="A459" t="s">
        <v>577</v>
      </c>
      <c r="B459" t="s">
        <v>349</v>
      </c>
      <c r="C459" t="s">
        <v>116</v>
      </c>
      <c r="D459">
        <v>4131</v>
      </c>
      <c r="AC459">
        <v>0.5</v>
      </c>
      <c r="AF459">
        <v>0</v>
      </c>
      <c r="AG459">
        <v>4.5</v>
      </c>
      <c r="AH459">
        <v>300</v>
      </c>
      <c r="AI459">
        <v>0.67</v>
      </c>
    </row>
    <row r="460" spans="1:37" hidden="1" x14ac:dyDescent="0.3">
      <c r="A460" t="s">
        <v>574</v>
      </c>
      <c r="B460" t="s">
        <v>349</v>
      </c>
      <c r="C460" t="s">
        <v>116</v>
      </c>
      <c r="D460">
        <v>4134</v>
      </c>
      <c r="AC460">
        <v>0.5</v>
      </c>
      <c r="AF460">
        <v>0</v>
      </c>
      <c r="AG460">
        <v>4.5</v>
      </c>
      <c r="AH460">
        <v>300</v>
      </c>
      <c r="AI460">
        <v>0.67</v>
      </c>
    </row>
    <row r="461" spans="1:37" hidden="1" x14ac:dyDescent="0.3">
      <c r="A461" t="s">
        <v>432</v>
      </c>
      <c r="B461" t="s">
        <v>300</v>
      </c>
      <c r="C461" t="s">
        <v>302</v>
      </c>
      <c r="D461">
        <v>4223</v>
      </c>
      <c r="AC461">
        <v>0.5</v>
      </c>
      <c r="AF461">
        <v>0</v>
      </c>
      <c r="AG461">
        <v>6</v>
      </c>
      <c r="AH461">
        <v>350</v>
      </c>
      <c r="AI461">
        <v>0.67</v>
      </c>
    </row>
    <row r="462" spans="1:37" hidden="1" x14ac:dyDescent="0.3">
      <c r="A462" t="s">
        <v>432</v>
      </c>
      <c r="B462" t="s">
        <v>300</v>
      </c>
      <c r="C462" t="s">
        <v>302</v>
      </c>
      <c r="D462">
        <v>5058</v>
      </c>
      <c r="AC462">
        <v>0.5</v>
      </c>
      <c r="AF462">
        <v>0</v>
      </c>
      <c r="AG462">
        <v>3.5</v>
      </c>
      <c r="AH462">
        <v>350</v>
      </c>
      <c r="AI462">
        <v>0.15</v>
      </c>
    </row>
    <row r="463" spans="1:37" hidden="1" x14ac:dyDescent="0.3">
      <c r="A463" t="s">
        <v>609</v>
      </c>
      <c r="B463" t="s">
        <v>300</v>
      </c>
      <c r="C463" t="s">
        <v>302</v>
      </c>
      <c r="D463">
        <v>2350</v>
      </c>
      <c r="F463">
        <v>0</v>
      </c>
      <c r="G463">
        <v>0</v>
      </c>
      <c r="H463">
        <v>0.2</v>
      </c>
      <c r="I463">
        <v>0</v>
      </c>
      <c r="J463">
        <v>0</v>
      </c>
      <c r="K463">
        <v>2.9</v>
      </c>
      <c r="L463">
        <v>0</v>
      </c>
      <c r="M463">
        <v>1</v>
      </c>
      <c r="N463">
        <v>0.8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0.8</v>
      </c>
      <c r="AC463">
        <v>0.64</v>
      </c>
      <c r="AE463">
        <v>1.5</v>
      </c>
      <c r="AF463">
        <v>0.2</v>
      </c>
      <c r="AG463">
        <v>2.9</v>
      </c>
      <c r="AH463">
        <v>350</v>
      </c>
      <c r="AI463">
        <v>0.8</v>
      </c>
    </row>
    <row r="464" spans="1:37" hidden="1" x14ac:dyDescent="0.3">
      <c r="A464" t="s">
        <v>609</v>
      </c>
      <c r="B464" t="s">
        <v>300</v>
      </c>
      <c r="C464" t="s">
        <v>302</v>
      </c>
      <c r="D464">
        <v>3097</v>
      </c>
      <c r="E464">
        <v>0</v>
      </c>
      <c r="I464">
        <v>7.9218150000000005E-3</v>
      </c>
      <c r="J464">
        <v>0</v>
      </c>
      <c r="K464">
        <v>2.867372134</v>
      </c>
      <c r="L464">
        <v>0</v>
      </c>
      <c r="M464">
        <v>0</v>
      </c>
      <c r="N464">
        <v>0.8</v>
      </c>
      <c r="O464">
        <v>0</v>
      </c>
      <c r="P464">
        <v>0</v>
      </c>
      <c r="Q464">
        <v>0</v>
      </c>
      <c r="R464">
        <v>0</v>
      </c>
      <c r="S464">
        <v>1.1000000000000001</v>
      </c>
      <c r="V464">
        <v>1.0362554E-2</v>
      </c>
      <c r="W464">
        <v>0</v>
      </c>
      <c r="X464">
        <v>0</v>
      </c>
      <c r="Y464">
        <v>0.8</v>
      </c>
      <c r="Z464">
        <v>0</v>
      </c>
      <c r="AA464">
        <v>0</v>
      </c>
      <c r="AB464">
        <v>0</v>
      </c>
      <c r="AC464">
        <v>0.66666666699999999</v>
      </c>
      <c r="AE464">
        <v>1.5</v>
      </c>
      <c r="AF464">
        <v>0</v>
      </c>
      <c r="AG464">
        <v>2.8856565029999999</v>
      </c>
      <c r="AH464">
        <v>350</v>
      </c>
      <c r="AI464">
        <v>0.8</v>
      </c>
      <c r="AJ464">
        <v>0</v>
      </c>
      <c r="AK464">
        <v>0.66666666699999999</v>
      </c>
    </row>
    <row r="465" spans="1:35" hidden="1" x14ac:dyDescent="0.3">
      <c r="A465" t="s">
        <v>478</v>
      </c>
      <c r="B465" t="s">
        <v>300</v>
      </c>
      <c r="C465" t="s">
        <v>302</v>
      </c>
      <c r="D465">
        <v>5011</v>
      </c>
      <c r="AC465">
        <v>0.5</v>
      </c>
      <c r="AF465">
        <v>0</v>
      </c>
      <c r="AG465">
        <v>3</v>
      </c>
      <c r="AH465">
        <v>350</v>
      </c>
      <c r="AI465">
        <v>0.2</v>
      </c>
    </row>
    <row r="466" spans="1:35" hidden="1" x14ac:dyDescent="0.3">
      <c r="A466" t="s">
        <v>431</v>
      </c>
      <c r="B466" t="s">
        <v>300</v>
      </c>
      <c r="C466" t="s">
        <v>302</v>
      </c>
      <c r="D466">
        <v>4224</v>
      </c>
      <c r="AC466">
        <v>0.5</v>
      </c>
      <c r="AF466">
        <v>0</v>
      </c>
      <c r="AG466">
        <v>6</v>
      </c>
      <c r="AH466">
        <v>350</v>
      </c>
      <c r="AI466">
        <v>0.67</v>
      </c>
    </row>
    <row r="467" spans="1:35" hidden="1" x14ac:dyDescent="0.3">
      <c r="A467" t="s">
        <v>431</v>
      </c>
      <c r="B467" t="s">
        <v>300</v>
      </c>
      <c r="C467" t="s">
        <v>302</v>
      </c>
      <c r="D467">
        <v>5059</v>
      </c>
      <c r="AC467">
        <v>0.5</v>
      </c>
      <c r="AF467">
        <v>0</v>
      </c>
      <c r="AG467">
        <v>3</v>
      </c>
      <c r="AH467">
        <v>350</v>
      </c>
      <c r="AI467">
        <v>0.2</v>
      </c>
    </row>
    <row r="468" spans="1:35" hidden="1" x14ac:dyDescent="0.3">
      <c r="A468" t="s">
        <v>303</v>
      </c>
      <c r="B468" t="s">
        <v>300</v>
      </c>
      <c r="C468" t="s">
        <v>302</v>
      </c>
      <c r="D468">
        <v>8350</v>
      </c>
      <c r="AC468">
        <v>0.5</v>
      </c>
      <c r="AF468">
        <v>1</v>
      </c>
      <c r="AG468">
        <v>1.6</v>
      </c>
      <c r="AH468">
        <v>350</v>
      </c>
      <c r="AI468">
        <v>1</v>
      </c>
    </row>
    <row r="469" spans="1:35" hidden="1" x14ac:dyDescent="0.3">
      <c r="A469" t="s">
        <v>399</v>
      </c>
      <c r="B469" t="s">
        <v>300</v>
      </c>
      <c r="C469" t="s">
        <v>302</v>
      </c>
      <c r="D469">
        <v>6350</v>
      </c>
      <c r="AC469">
        <v>0.5</v>
      </c>
      <c r="AF469">
        <v>0</v>
      </c>
      <c r="AG469">
        <v>4.5</v>
      </c>
      <c r="AH469">
        <v>350</v>
      </c>
      <c r="AI469">
        <v>0.6</v>
      </c>
    </row>
    <row r="470" spans="1:35" hidden="1" x14ac:dyDescent="0.3">
      <c r="A470" t="s">
        <v>302</v>
      </c>
      <c r="B470" t="s">
        <v>300</v>
      </c>
      <c r="C470" t="s">
        <v>302</v>
      </c>
      <c r="D470">
        <v>7350</v>
      </c>
      <c r="AC470">
        <v>0.5</v>
      </c>
      <c r="AF470">
        <v>0</v>
      </c>
      <c r="AG470">
        <v>1.6</v>
      </c>
      <c r="AH470">
        <v>350</v>
      </c>
      <c r="AI470">
        <v>0.6</v>
      </c>
    </row>
    <row r="471" spans="1:35" hidden="1" x14ac:dyDescent="0.3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AK135"/>
  <sheetViews>
    <sheetView topLeftCell="Q2" workbookViewId="0">
      <selection activeCell="AK2" sqref="AK2"/>
    </sheetView>
  </sheetViews>
  <sheetFormatPr defaultRowHeight="14.4" x14ac:dyDescent="0.3"/>
  <cols>
    <col min="2" max="2" width="12.88671875" customWidth="1"/>
    <col min="4" max="4" width="28.6640625" bestFit="1" customWidth="1"/>
    <col min="5" max="5" width="13.6640625" customWidth="1"/>
    <col min="6" max="6" width="18.109375" customWidth="1"/>
    <col min="7" max="7" width="28.6640625" customWidth="1"/>
    <col min="9" max="9" width="12.109375" customWidth="1"/>
    <col min="11" max="11" width="17.33203125" customWidth="1"/>
    <col min="22" max="22" width="33.21875" bestFit="1" customWidth="1"/>
    <col min="23" max="23" width="11" bestFit="1" customWidth="1"/>
    <col min="24" max="24" width="28.5546875" bestFit="1" customWidth="1"/>
    <col min="25" max="25" width="10.5546875" bestFit="1" customWidth="1"/>
    <col min="26" max="26" width="27.88671875" bestFit="1" customWidth="1"/>
    <col min="27" max="27" width="15" bestFit="1" customWidth="1"/>
  </cols>
  <sheetData>
    <row r="1" spans="1:37" s="26" customFormat="1" x14ac:dyDescent="0.3">
      <c r="A1" s="26" t="s">
        <v>44</v>
      </c>
      <c r="F1" s="26" t="s">
        <v>130</v>
      </c>
      <c r="G1" s="26" t="s">
        <v>131</v>
      </c>
      <c r="I1" s="26" t="s">
        <v>17</v>
      </c>
      <c r="K1" s="26" t="s">
        <v>51</v>
      </c>
      <c r="L1" s="26" t="s">
        <v>53</v>
      </c>
      <c r="N1" s="26" t="s">
        <v>97</v>
      </c>
      <c r="P1" s="26" t="s">
        <v>118</v>
      </c>
      <c r="S1" s="26" t="s">
        <v>128</v>
      </c>
      <c r="V1" s="26" t="s">
        <v>740</v>
      </c>
      <c r="W1" s="26" t="s">
        <v>741</v>
      </c>
      <c r="X1" s="26" t="s">
        <v>744</v>
      </c>
      <c r="Y1" s="26" t="s">
        <v>746</v>
      </c>
      <c r="Z1" s="26" t="s">
        <v>745</v>
      </c>
      <c r="AA1" s="26" t="s">
        <v>747</v>
      </c>
      <c r="AB1" s="26" t="s">
        <v>749</v>
      </c>
      <c r="AC1" s="26" t="s">
        <v>751</v>
      </c>
      <c r="AD1" s="26" t="s">
        <v>750</v>
      </c>
      <c r="AE1" s="26" t="s">
        <v>752</v>
      </c>
      <c r="AF1" s="26" t="s">
        <v>753</v>
      </c>
      <c r="AG1" s="26" t="s">
        <v>754</v>
      </c>
      <c r="AH1" s="26" t="s">
        <v>755</v>
      </c>
      <c r="AI1" s="26" t="s">
        <v>756</v>
      </c>
      <c r="AJ1" s="26" t="s">
        <v>757</v>
      </c>
      <c r="AK1" s="26" t="s">
        <v>758</v>
      </c>
    </row>
    <row r="2" spans="1:37" x14ac:dyDescent="0.3">
      <c r="A2" s="26" t="s">
        <v>57</v>
      </c>
      <c r="B2" s="26" t="s">
        <v>55</v>
      </c>
      <c r="C2" s="26" t="s">
        <v>56</v>
      </c>
      <c r="D2" s="26" t="s">
        <v>60</v>
      </c>
      <c r="E2" s="26"/>
      <c r="F2" t="s">
        <v>138</v>
      </c>
      <c r="G2" t="s">
        <v>184</v>
      </c>
      <c r="I2" t="s">
        <v>18</v>
      </c>
      <c r="K2" t="b">
        <v>1</v>
      </c>
      <c r="L2">
        <v>0.35</v>
      </c>
      <c r="N2" t="s">
        <v>98</v>
      </c>
      <c r="P2" t="s">
        <v>119</v>
      </c>
      <c r="S2" t="s">
        <v>129</v>
      </c>
      <c r="V2" t="s">
        <v>748</v>
      </c>
      <c r="W2">
        <v>9999</v>
      </c>
      <c r="X2" t="s">
        <v>748</v>
      </c>
      <c r="Y2">
        <v>9999</v>
      </c>
      <c r="Z2" t="s">
        <v>748</v>
      </c>
      <c r="AA2">
        <v>9999</v>
      </c>
      <c r="AB2" t="s">
        <v>748</v>
      </c>
      <c r="AC2">
        <v>9999</v>
      </c>
      <c r="AD2" t="s">
        <v>748</v>
      </c>
      <c r="AE2">
        <v>9999</v>
      </c>
      <c r="AF2" t="s">
        <v>748</v>
      </c>
      <c r="AG2">
        <v>9999</v>
      </c>
      <c r="AH2" t="s">
        <v>748</v>
      </c>
      <c r="AI2">
        <v>9999</v>
      </c>
      <c r="AJ2" t="s">
        <v>748</v>
      </c>
      <c r="AK2">
        <v>9999</v>
      </c>
    </row>
    <row r="3" spans="1:37" x14ac:dyDescent="0.3">
      <c r="A3" t="s">
        <v>66</v>
      </c>
      <c r="B3" t="s">
        <v>40</v>
      </c>
      <c r="C3">
        <v>30</v>
      </c>
      <c r="D3" t="s">
        <v>67</v>
      </c>
      <c r="F3" t="s">
        <v>157</v>
      </c>
      <c r="G3" t="s">
        <v>203</v>
      </c>
      <c r="I3" t="s">
        <v>19</v>
      </c>
      <c r="K3" t="b">
        <v>0</v>
      </c>
      <c r="L3">
        <v>0.66700000000000004</v>
      </c>
      <c r="N3" t="s">
        <v>99</v>
      </c>
      <c r="P3" t="s">
        <v>120</v>
      </c>
      <c r="S3" t="s">
        <v>119</v>
      </c>
      <c r="V3" t="s">
        <v>578</v>
      </c>
      <c r="W3">
        <v>4130</v>
      </c>
      <c r="X3" t="s">
        <v>451</v>
      </c>
      <c r="Y3">
        <v>5038</v>
      </c>
      <c r="Z3" t="s">
        <v>556</v>
      </c>
      <c r="AA3">
        <v>4152</v>
      </c>
      <c r="AB3" t="s">
        <v>335</v>
      </c>
      <c r="AC3">
        <v>7701</v>
      </c>
      <c r="AD3" t="s">
        <v>527</v>
      </c>
      <c r="AE3">
        <v>4181</v>
      </c>
      <c r="AF3" t="s">
        <v>388</v>
      </c>
      <c r="AG3">
        <v>6501</v>
      </c>
      <c r="AH3" t="s">
        <v>502</v>
      </c>
      <c r="AI3">
        <v>4216</v>
      </c>
      <c r="AJ3" t="s">
        <v>538</v>
      </c>
      <c r="AK3">
        <v>4170</v>
      </c>
    </row>
    <row r="4" spans="1:37" x14ac:dyDescent="0.3">
      <c r="A4" t="s">
        <v>66</v>
      </c>
      <c r="B4" t="s">
        <v>39</v>
      </c>
      <c r="C4">
        <v>25</v>
      </c>
      <c r="D4" t="s">
        <v>68</v>
      </c>
      <c r="F4" t="s">
        <v>170</v>
      </c>
      <c r="G4" t="s">
        <v>216</v>
      </c>
      <c r="I4" t="s">
        <v>20</v>
      </c>
      <c r="P4" t="s">
        <v>121</v>
      </c>
      <c r="V4" t="s">
        <v>566</v>
      </c>
      <c r="W4">
        <v>4142</v>
      </c>
      <c r="X4" t="s">
        <v>285</v>
      </c>
      <c r="Y4">
        <v>8551</v>
      </c>
      <c r="Z4" t="s">
        <v>555</v>
      </c>
      <c r="AA4">
        <v>4153</v>
      </c>
      <c r="AB4" t="s">
        <v>334</v>
      </c>
      <c r="AC4">
        <v>7702</v>
      </c>
      <c r="AD4" t="s">
        <v>526</v>
      </c>
      <c r="AE4">
        <v>4182</v>
      </c>
      <c r="AF4" t="s">
        <v>622</v>
      </c>
      <c r="AG4">
        <v>3051</v>
      </c>
      <c r="AH4" t="s">
        <v>500</v>
      </c>
      <c r="AI4">
        <v>4218</v>
      </c>
      <c r="AJ4" t="s">
        <v>522</v>
      </c>
      <c r="AK4">
        <v>4186</v>
      </c>
    </row>
    <row r="5" spans="1:37" x14ac:dyDescent="0.3">
      <c r="A5" t="s">
        <v>66</v>
      </c>
      <c r="B5" t="s">
        <v>62</v>
      </c>
      <c r="C5">
        <v>25</v>
      </c>
      <c r="D5" t="s">
        <v>76</v>
      </c>
      <c r="F5" t="s">
        <v>155</v>
      </c>
      <c r="G5" t="s">
        <v>201</v>
      </c>
      <c r="P5" t="s">
        <v>122</v>
      </c>
      <c r="V5" t="s">
        <v>564</v>
      </c>
      <c r="W5">
        <v>4144</v>
      </c>
      <c r="X5" t="s">
        <v>669</v>
      </c>
      <c r="Y5">
        <v>2551</v>
      </c>
      <c r="Z5" t="s">
        <v>541</v>
      </c>
      <c r="AA5">
        <v>4167</v>
      </c>
      <c r="AD5" t="s">
        <v>665</v>
      </c>
      <c r="AE5">
        <v>2604</v>
      </c>
      <c r="AF5" t="s">
        <v>642</v>
      </c>
      <c r="AG5">
        <v>3025</v>
      </c>
      <c r="AH5" t="s">
        <v>412</v>
      </c>
      <c r="AI5">
        <v>6201</v>
      </c>
      <c r="AJ5" t="s">
        <v>519</v>
      </c>
      <c r="AK5">
        <v>4189</v>
      </c>
    </row>
    <row r="6" spans="1:37" x14ac:dyDescent="0.3">
      <c r="A6" t="s">
        <v>66</v>
      </c>
      <c r="B6" t="s">
        <v>35</v>
      </c>
      <c r="C6">
        <v>20</v>
      </c>
      <c r="D6" t="s">
        <v>77</v>
      </c>
      <c r="F6" t="s">
        <v>149</v>
      </c>
      <c r="G6" t="s">
        <v>195</v>
      </c>
      <c r="P6" t="s">
        <v>123</v>
      </c>
      <c r="V6" t="s">
        <v>563</v>
      </c>
      <c r="W6">
        <v>4145</v>
      </c>
      <c r="X6" t="s">
        <v>656</v>
      </c>
      <c r="Y6">
        <v>3003</v>
      </c>
      <c r="Z6" t="s">
        <v>535</v>
      </c>
      <c r="AA6">
        <v>4173</v>
      </c>
      <c r="AD6" t="s">
        <v>345</v>
      </c>
      <c r="AE6">
        <v>7601</v>
      </c>
      <c r="AF6" t="s">
        <v>624</v>
      </c>
      <c r="AG6">
        <v>3049</v>
      </c>
      <c r="AH6" t="s">
        <v>477</v>
      </c>
      <c r="AI6">
        <v>5012</v>
      </c>
      <c r="AJ6" t="s">
        <v>518</v>
      </c>
      <c r="AK6">
        <v>4190</v>
      </c>
    </row>
    <row r="7" spans="1:37" x14ac:dyDescent="0.3">
      <c r="A7" t="s">
        <v>27</v>
      </c>
      <c r="B7" t="s">
        <v>29</v>
      </c>
      <c r="C7">
        <v>8</v>
      </c>
      <c r="D7" t="s">
        <v>78</v>
      </c>
      <c r="F7" t="s">
        <v>167</v>
      </c>
      <c r="G7" t="s">
        <v>213</v>
      </c>
      <c r="V7" t="s">
        <v>559</v>
      </c>
      <c r="W7">
        <v>4149</v>
      </c>
      <c r="X7" t="s">
        <v>660</v>
      </c>
      <c r="Y7">
        <v>2901</v>
      </c>
      <c r="Z7" t="s">
        <v>314</v>
      </c>
      <c r="AA7">
        <v>8313</v>
      </c>
      <c r="AD7" t="s">
        <v>415</v>
      </c>
      <c r="AE7">
        <v>6111</v>
      </c>
      <c r="AF7" t="s">
        <v>641</v>
      </c>
      <c r="AG7">
        <v>3026</v>
      </c>
      <c r="AH7" t="s">
        <v>347</v>
      </c>
      <c r="AI7">
        <v>7202</v>
      </c>
      <c r="AJ7" t="s">
        <v>511</v>
      </c>
      <c r="AK7">
        <v>4197</v>
      </c>
    </row>
    <row r="8" spans="1:37" x14ac:dyDescent="0.3">
      <c r="A8" t="s">
        <v>27</v>
      </c>
      <c r="B8" t="s">
        <v>37</v>
      </c>
      <c r="C8">
        <v>3</v>
      </c>
      <c r="D8" t="s">
        <v>69</v>
      </c>
      <c r="F8" t="s">
        <v>146</v>
      </c>
      <c r="G8" t="s">
        <v>192</v>
      </c>
      <c r="V8" t="s">
        <v>700</v>
      </c>
      <c r="W8">
        <v>1110</v>
      </c>
      <c r="X8" t="s">
        <v>424</v>
      </c>
      <c r="Y8">
        <v>5066</v>
      </c>
      <c r="Z8" t="s">
        <v>313</v>
      </c>
      <c r="AA8">
        <v>8314</v>
      </c>
      <c r="AD8" t="s">
        <v>385</v>
      </c>
      <c r="AE8">
        <v>6551</v>
      </c>
      <c r="AF8" t="s">
        <v>623</v>
      </c>
      <c r="AG8">
        <v>3050</v>
      </c>
      <c r="AH8" t="s">
        <v>348</v>
      </c>
      <c r="AI8">
        <v>7200</v>
      </c>
      <c r="AJ8" t="s">
        <v>298</v>
      </c>
      <c r="AK8">
        <v>8401</v>
      </c>
    </row>
    <row r="9" spans="1:37" x14ac:dyDescent="0.3">
      <c r="A9" t="s">
        <v>27</v>
      </c>
      <c r="B9" t="s">
        <v>36</v>
      </c>
      <c r="C9">
        <v>3</v>
      </c>
      <c r="D9" t="s">
        <v>70</v>
      </c>
      <c r="F9" t="s">
        <v>144</v>
      </c>
      <c r="G9" t="s">
        <v>190</v>
      </c>
      <c r="V9" t="s">
        <v>701</v>
      </c>
      <c r="W9">
        <v>1106</v>
      </c>
      <c r="X9" t="s">
        <v>425</v>
      </c>
      <c r="Y9">
        <v>5065</v>
      </c>
      <c r="Z9" t="s">
        <v>452</v>
      </c>
      <c r="AA9">
        <v>5037</v>
      </c>
      <c r="AD9" t="s">
        <v>456</v>
      </c>
      <c r="AE9">
        <v>5033</v>
      </c>
      <c r="AF9" t="s">
        <v>457</v>
      </c>
      <c r="AG9">
        <v>5032</v>
      </c>
      <c r="AH9" t="s">
        <v>442</v>
      </c>
      <c r="AI9">
        <v>5048</v>
      </c>
      <c r="AJ9" t="s">
        <v>394</v>
      </c>
      <c r="AK9">
        <v>6401</v>
      </c>
    </row>
    <row r="10" spans="1:37" x14ac:dyDescent="0.3">
      <c r="A10" t="s">
        <v>27</v>
      </c>
      <c r="B10" t="s">
        <v>32</v>
      </c>
      <c r="C10">
        <v>3</v>
      </c>
      <c r="D10" t="s">
        <v>71</v>
      </c>
      <c r="F10" t="s">
        <v>133</v>
      </c>
      <c r="G10" t="s">
        <v>179</v>
      </c>
      <c r="V10" t="s">
        <v>547</v>
      </c>
      <c r="W10">
        <v>4161</v>
      </c>
      <c r="X10" t="s">
        <v>503</v>
      </c>
      <c r="Y10">
        <v>4213</v>
      </c>
      <c r="Z10" t="s">
        <v>446</v>
      </c>
      <c r="AA10">
        <v>5044</v>
      </c>
      <c r="AD10" t="s">
        <v>384</v>
      </c>
      <c r="AE10">
        <v>6602</v>
      </c>
      <c r="AF10" t="s">
        <v>670</v>
      </c>
      <c r="AG10">
        <v>2501</v>
      </c>
      <c r="AH10" t="s">
        <v>441</v>
      </c>
      <c r="AI10">
        <v>5049</v>
      </c>
      <c r="AJ10" t="s">
        <v>297</v>
      </c>
      <c r="AK10">
        <v>8402</v>
      </c>
    </row>
    <row r="11" spans="1:37" x14ac:dyDescent="0.3">
      <c r="A11" t="s">
        <v>27</v>
      </c>
      <c r="B11" t="s">
        <v>31</v>
      </c>
      <c r="C11">
        <v>3</v>
      </c>
      <c r="D11" t="s">
        <v>72</v>
      </c>
      <c r="F11" t="s">
        <v>152</v>
      </c>
      <c r="G11" t="s">
        <v>198</v>
      </c>
      <c r="V11" t="s">
        <v>537</v>
      </c>
      <c r="W11">
        <v>4171</v>
      </c>
      <c r="X11" t="s">
        <v>274</v>
      </c>
      <c r="Y11">
        <v>2820</v>
      </c>
      <c r="Z11" t="s">
        <v>315</v>
      </c>
      <c r="AA11">
        <v>8311</v>
      </c>
      <c r="AD11" t="s">
        <v>450</v>
      </c>
      <c r="AE11">
        <v>5040</v>
      </c>
      <c r="AF11" t="s">
        <v>387</v>
      </c>
      <c r="AG11">
        <v>6502</v>
      </c>
      <c r="AH11" t="s">
        <v>615</v>
      </c>
      <c r="AI11">
        <v>3080</v>
      </c>
      <c r="AJ11" t="s">
        <v>393</v>
      </c>
      <c r="AK11">
        <v>6402</v>
      </c>
    </row>
    <row r="12" spans="1:37" x14ac:dyDescent="0.3">
      <c r="A12" t="s">
        <v>27</v>
      </c>
      <c r="B12" t="s">
        <v>33</v>
      </c>
      <c r="C12">
        <v>4.5</v>
      </c>
      <c r="D12" t="s">
        <v>73</v>
      </c>
      <c r="F12" t="s">
        <v>168</v>
      </c>
      <c r="G12" t="s">
        <v>214</v>
      </c>
      <c r="V12" t="s">
        <v>528</v>
      </c>
      <c r="W12">
        <v>4180</v>
      </c>
      <c r="X12" t="s">
        <v>274</v>
      </c>
      <c r="Y12">
        <v>7820</v>
      </c>
      <c r="Z12" t="s">
        <v>455</v>
      </c>
      <c r="AA12">
        <v>5034</v>
      </c>
      <c r="AD12" t="s">
        <v>637</v>
      </c>
      <c r="AE12">
        <v>3031</v>
      </c>
      <c r="AF12" t="s">
        <v>458</v>
      </c>
      <c r="AG12">
        <v>5031</v>
      </c>
      <c r="AH12" t="s">
        <v>440</v>
      </c>
      <c r="AI12">
        <v>3081</v>
      </c>
      <c r="AJ12" t="s">
        <v>463</v>
      </c>
      <c r="AK12">
        <v>5026</v>
      </c>
    </row>
    <row r="13" spans="1:37" x14ac:dyDescent="0.3">
      <c r="A13" t="s">
        <v>27</v>
      </c>
      <c r="B13" t="s">
        <v>30</v>
      </c>
      <c r="C13">
        <v>10</v>
      </c>
      <c r="D13" t="s">
        <v>74</v>
      </c>
      <c r="F13" t="s">
        <v>158</v>
      </c>
      <c r="G13" t="s">
        <v>204</v>
      </c>
      <c r="V13" t="s">
        <v>588</v>
      </c>
      <c r="W13">
        <v>4121</v>
      </c>
      <c r="X13" t="s">
        <v>274</v>
      </c>
      <c r="Y13">
        <v>8820</v>
      </c>
      <c r="Z13" t="s">
        <v>444</v>
      </c>
      <c r="AA13">
        <v>5046</v>
      </c>
      <c r="AD13" t="s">
        <v>643</v>
      </c>
      <c r="AE13">
        <v>3024</v>
      </c>
      <c r="AF13" t="s">
        <v>402</v>
      </c>
      <c r="AG13">
        <v>6312</v>
      </c>
      <c r="AH13" t="s">
        <v>440</v>
      </c>
      <c r="AI13">
        <v>5050</v>
      </c>
      <c r="AJ13" t="s">
        <v>295</v>
      </c>
      <c r="AK13">
        <v>8404</v>
      </c>
    </row>
    <row r="14" spans="1:37" x14ac:dyDescent="0.3">
      <c r="A14" t="s">
        <v>27</v>
      </c>
      <c r="B14" t="s">
        <v>38</v>
      </c>
      <c r="C14">
        <v>20</v>
      </c>
      <c r="D14" t="s">
        <v>75</v>
      </c>
      <c r="F14" t="s">
        <v>171</v>
      </c>
      <c r="G14" t="s">
        <v>217</v>
      </c>
      <c r="V14" t="s">
        <v>586</v>
      </c>
      <c r="W14">
        <v>4123</v>
      </c>
      <c r="X14" t="s">
        <v>375</v>
      </c>
      <c r="Y14">
        <v>6820</v>
      </c>
      <c r="Z14" t="s">
        <v>445</v>
      </c>
      <c r="AA14">
        <v>5045</v>
      </c>
      <c r="AD14" t="s">
        <v>340</v>
      </c>
      <c r="AE14">
        <v>7610</v>
      </c>
      <c r="AH14" t="s">
        <v>439</v>
      </c>
      <c r="AI14">
        <v>3082</v>
      </c>
      <c r="AJ14" t="s">
        <v>296</v>
      </c>
      <c r="AK14">
        <v>6403</v>
      </c>
    </row>
    <row r="15" spans="1:37" x14ac:dyDescent="0.3">
      <c r="A15" t="s">
        <v>27</v>
      </c>
      <c r="B15" t="s">
        <v>34</v>
      </c>
      <c r="C15">
        <v>20</v>
      </c>
      <c r="D15" t="s">
        <v>81</v>
      </c>
      <c r="F15" t="s">
        <v>132</v>
      </c>
      <c r="G15" t="s">
        <v>178</v>
      </c>
      <c r="V15" t="s">
        <v>584</v>
      </c>
      <c r="W15">
        <v>4124</v>
      </c>
      <c r="X15" t="s">
        <v>497</v>
      </c>
      <c r="Y15">
        <v>3046</v>
      </c>
      <c r="Z15" t="s">
        <v>306</v>
      </c>
      <c r="AA15">
        <v>8331</v>
      </c>
      <c r="AD15" t="s">
        <v>47</v>
      </c>
      <c r="AE15">
        <v>5039</v>
      </c>
      <c r="AH15" t="s">
        <v>439</v>
      </c>
      <c r="AI15">
        <v>5051</v>
      </c>
      <c r="AJ15" t="s">
        <v>296</v>
      </c>
      <c r="AK15">
        <v>8403</v>
      </c>
    </row>
    <row r="16" spans="1:37" x14ac:dyDescent="0.3">
      <c r="A16" t="s">
        <v>27</v>
      </c>
      <c r="B16" t="s">
        <v>3</v>
      </c>
      <c r="C16">
        <v>3</v>
      </c>
      <c r="D16" t="s">
        <v>82</v>
      </c>
      <c r="F16" t="s">
        <v>169</v>
      </c>
      <c r="G16" t="s">
        <v>215</v>
      </c>
      <c r="V16" t="s">
        <v>582</v>
      </c>
      <c r="W16">
        <v>4126</v>
      </c>
      <c r="X16" t="s">
        <v>497</v>
      </c>
      <c r="Y16">
        <v>4227</v>
      </c>
      <c r="Z16" t="s">
        <v>307</v>
      </c>
      <c r="AA16">
        <v>8330</v>
      </c>
      <c r="AD16" t="s">
        <v>47</v>
      </c>
      <c r="AE16">
        <v>6601</v>
      </c>
      <c r="AH16" t="s">
        <v>438</v>
      </c>
      <c r="AI16">
        <v>5052</v>
      </c>
      <c r="AJ16" t="s">
        <v>551</v>
      </c>
      <c r="AK16">
        <v>4157</v>
      </c>
    </row>
    <row r="17" spans="1:37" x14ac:dyDescent="0.3">
      <c r="A17" t="s">
        <v>42</v>
      </c>
      <c r="B17" t="s">
        <v>41</v>
      </c>
      <c r="C17">
        <v>100</v>
      </c>
      <c r="D17" t="s">
        <v>83</v>
      </c>
      <c r="F17" t="s">
        <v>159</v>
      </c>
      <c r="G17" t="s">
        <v>205</v>
      </c>
      <c r="V17" t="s">
        <v>447</v>
      </c>
      <c r="W17">
        <v>5043</v>
      </c>
      <c r="X17" t="s">
        <v>481</v>
      </c>
      <c r="Y17">
        <v>5008</v>
      </c>
      <c r="Z17" t="s">
        <v>305</v>
      </c>
      <c r="AA17">
        <v>8332</v>
      </c>
      <c r="AD17" t="s">
        <v>650</v>
      </c>
      <c r="AE17">
        <v>3017</v>
      </c>
      <c r="AH17" t="s">
        <v>680</v>
      </c>
      <c r="AI17">
        <v>1200</v>
      </c>
      <c r="AJ17" t="s">
        <v>540</v>
      </c>
      <c r="AK17">
        <v>4168</v>
      </c>
    </row>
    <row r="18" spans="1:37" x14ac:dyDescent="0.3">
      <c r="A18" t="s">
        <v>42</v>
      </c>
      <c r="B18" t="s">
        <v>24</v>
      </c>
      <c r="C18" t="s">
        <v>19</v>
      </c>
      <c r="D18" t="s">
        <v>84</v>
      </c>
      <c r="F18" t="s">
        <v>172</v>
      </c>
      <c r="G18" t="s">
        <v>218</v>
      </c>
      <c r="V18" t="s">
        <v>691</v>
      </c>
      <c r="W18">
        <v>2112</v>
      </c>
      <c r="X18" t="s">
        <v>423</v>
      </c>
      <c r="Y18">
        <v>5067</v>
      </c>
      <c r="Z18" t="s">
        <v>505</v>
      </c>
      <c r="AA18">
        <v>4210</v>
      </c>
      <c r="AD18" t="s">
        <v>344</v>
      </c>
      <c r="AE18">
        <v>7602</v>
      </c>
      <c r="AH18" t="s">
        <v>680</v>
      </c>
      <c r="AI18">
        <v>2200</v>
      </c>
      <c r="AJ18" t="s">
        <v>539</v>
      </c>
      <c r="AK18">
        <v>4169</v>
      </c>
    </row>
    <row r="19" spans="1:37" x14ac:dyDescent="0.3">
      <c r="A19" t="s">
        <v>58</v>
      </c>
      <c r="B19" t="s">
        <v>94</v>
      </c>
      <c r="C19">
        <v>20</v>
      </c>
      <c r="D19" t="s">
        <v>79</v>
      </c>
      <c r="F19" t="s">
        <v>156</v>
      </c>
      <c r="G19" t="s">
        <v>202</v>
      </c>
      <c r="V19" t="s">
        <v>692</v>
      </c>
      <c r="W19">
        <v>2111</v>
      </c>
      <c r="X19" t="s">
        <v>499</v>
      </c>
      <c r="Y19">
        <v>4222</v>
      </c>
      <c r="Z19" t="s">
        <v>397</v>
      </c>
      <c r="AA19">
        <v>6361</v>
      </c>
      <c r="AD19" t="s">
        <v>625</v>
      </c>
      <c r="AE19">
        <v>3048</v>
      </c>
      <c r="AH19" t="s">
        <v>608</v>
      </c>
      <c r="AI19">
        <v>3098</v>
      </c>
      <c r="AJ19" t="s">
        <v>536</v>
      </c>
      <c r="AK19">
        <v>4172</v>
      </c>
    </row>
    <row r="20" spans="1:37" x14ac:dyDescent="0.3">
      <c r="A20" t="s">
        <v>58</v>
      </c>
      <c r="B20" t="s">
        <v>59</v>
      </c>
      <c r="C20">
        <v>2</v>
      </c>
      <c r="D20" t="s">
        <v>80</v>
      </c>
      <c r="F20" t="s">
        <v>174</v>
      </c>
      <c r="G20" t="s">
        <v>220</v>
      </c>
      <c r="V20" t="s">
        <v>694</v>
      </c>
      <c r="W20">
        <v>2108</v>
      </c>
      <c r="X20" t="s">
        <v>525</v>
      </c>
      <c r="Y20">
        <v>4183</v>
      </c>
      <c r="Z20" t="s">
        <v>429</v>
      </c>
      <c r="AA20">
        <v>5061</v>
      </c>
      <c r="AD20" t="s">
        <v>460</v>
      </c>
      <c r="AE20">
        <v>5029</v>
      </c>
      <c r="AJ20" t="s">
        <v>671</v>
      </c>
      <c r="AK20">
        <v>2451</v>
      </c>
    </row>
    <row r="21" spans="1:37" x14ac:dyDescent="0.3">
      <c r="A21" t="s">
        <v>58</v>
      </c>
      <c r="B21" t="s">
        <v>46</v>
      </c>
      <c r="C21">
        <v>48</v>
      </c>
      <c r="D21" t="s">
        <v>85</v>
      </c>
      <c r="F21" t="s">
        <v>163</v>
      </c>
      <c r="G21" t="s">
        <v>209</v>
      </c>
      <c r="V21" t="s">
        <v>616</v>
      </c>
      <c r="W21">
        <v>3066</v>
      </c>
      <c r="X21" t="s">
        <v>524</v>
      </c>
      <c r="Y21">
        <v>4184</v>
      </c>
      <c r="Z21" t="s">
        <v>301</v>
      </c>
      <c r="AA21">
        <v>7360</v>
      </c>
      <c r="AD21" t="s">
        <v>343</v>
      </c>
      <c r="AE21">
        <v>7603</v>
      </c>
      <c r="AJ21" t="s">
        <v>294</v>
      </c>
      <c r="AK21">
        <v>8451</v>
      </c>
    </row>
    <row r="22" spans="1:37" x14ac:dyDescent="0.3">
      <c r="A22" t="s">
        <v>58</v>
      </c>
      <c r="B22" t="s">
        <v>95</v>
      </c>
      <c r="C22">
        <v>0.2</v>
      </c>
      <c r="D22" t="s">
        <v>63</v>
      </c>
      <c r="F22" t="s">
        <v>166</v>
      </c>
      <c r="G22" t="s">
        <v>212</v>
      </c>
      <c r="V22" t="s">
        <v>626</v>
      </c>
      <c r="W22">
        <v>3045</v>
      </c>
      <c r="X22" t="s">
        <v>523</v>
      </c>
      <c r="Y22">
        <v>4185</v>
      </c>
      <c r="Z22" t="s">
        <v>301</v>
      </c>
      <c r="AA22">
        <v>8360</v>
      </c>
      <c r="AD22" t="s">
        <v>454</v>
      </c>
      <c r="AE22">
        <v>5035</v>
      </c>
      <c r="AJ22" t="s">
        <v>392</v>
      </c>
      <c r="AK22">
        <v>6451</v>
      </c>
    </row>
    <row r="23" spans="1:37" x14ac:dyDescent="0.3">
      <c r="A23" t="s">
        <v>58</v>
      </c>
      <c r="B23" t="s">
        <v>52</v>
      </c>
      <c r="C23" t="b">
        <v>0</v>
      </c>
      <c r="D23" t="s">
        <v>61</v>
      </c>
      <c r="F23" t="s">
        <v>136</v>
      </c>
      <c r="G23" t="s">
        <v>182</v>
      </c>
      <c r="V23" t="s">
        <v>368</v>
      </c>
      <c r="W23">
        <v>7101</v>
      </c>
      <c r="X23" t="s">
        <v>521</v>
      </c>
      <c r="Y23">
        <v>4187</v>
      </c>
      <c r="Z23" t="s">
        <v>398</v>
      </c>
      <c r="AA23">
        <v>6360</v>
      </c>
      <c r="AD23" t="s">
        <v>666</v>
      </c>
      <c r="AE23">
        <v>1603</v>
      </c>
      <c r="AJ23" t="s">
        <v>391</v>
      </c>
      <c r="AK23">
        <v>6452</v>
      </c>
    </row>
    <row r="24" spans="1:37" x14ac:dyDescent="0.3">
      <c r="A24" t="s">
        <v>58</v>
      </c>
      <c r="B24" t="s">
        <v>45</v>
      </c>
      <c r="F24" t="s">
        <v>137</v>
      </c>
      <c r="G24" t="s">
        <v>183</v>
      </c>
      <c r="V24" t="s">
        <v>367</v>
      </c>
      <c r="W24">
        <v>7102</v>
      </c>
      <c r="X24" t="s">
        <v>520</v>
      </c>
      <c r="Y24">
        <v>4188</v>
      </c>
      <c r="Z24" t="s">
        <v>610</v>
      </c>
      <c r="AA24">
        <v>3096</v>
      </c>
      <c r="AD24" t="s">
        <v>666</v>
      </c>
      <c r="AE24">
        <v>2603</v>
      </c>
      <c r="AJ24" t="s">
        <v>293</v>
      </c>
      <c r="AK24">
        <v>8452</v>
      </c>
    </row>
    <row r="25" spans="1:37" x14ac:dyDescent="0.3">
      <c r="A25" t="s">
        <v>86</v>
      </c>
      <c r="B25" t="s">
        <v>29</v>
      </c>
      <c r="C25">
        <v>8</v>
      </c>
      <c r="D25" t="s">
        <v>78</v>
      </c>
      <c r="F25" t="s">
        <v>165</v>
      </c>
      <c r="G25" t="s">
        <v>211</v>
      </c>
      <c r="V25" t="s">
        <v>366</v>
      </c>
      <c r="W25">
        <v>3008</v>
      </c>
      <c r="X25" t="s">
        <v>495</v>
      </c>
      <c r="Y25">
        <v>4232</v>
      </c>
      <c r="Z25" t="s">
        <v>480</v>
      </c>
      <c r="AA25">
        <v>5009</v>
      </c>
      <c r="AD25" t="s">
        <v>382</v>
      </c>
      <c r="AE25">
        <v>6604</v>
      </c>
      <c r="AJ25" t="s">
        <v>462</v>
      </c>
      <c r="AK25">
        <v>5027</v>
      </c>
    </row>
    <row r="26" spans="1:37" x14ac:dyDescent="0.3">
      <c r="A26" t="s">
        <v>86</v>
      </c>
      <c r="B26" t="s">
        <v>3</v>
      </c>
      <c r="C26">
        <v>5</v>
      </c>
      <c r="D26" t="s">
        <v>87</v>
      </c>
      <c r="F26" t="s">
        <v>160</v>
      </c>
      <c r="G26" t="s">
        <v>206</v>
      </c>
      <c r="V26" t="s">
        <v>366</v>
      </c>
      <c r="W26">
        <v>7103</v>
      </c>
      <c r="X26" t="s">
        <v>329</v>
      </c>
      <c r="Y26">
        <v>7802</v>
      </c>
      <c r="Z26" t="s">
        <v>395</v>
      </c>
      <c r="AA26">
        <v>6371</v>
      </c>
      <c r="AD26" t="s">
        <v>667</v>
      </c>
      <c r="AE26">
        <v>2602</v>
      </c>
      <c r="AJ26" t="s">
        <v>292</v>
      </c>
      <c r="AK26">
        <v>8454</v>
      </c>
    </row>
    <row r="27" spans="1:37" x14ac:dyDescent="0.3">
      <c r="A27" t="s">
        <v>86</v>
      </c>
      <c r="B27" t="s">
        <v>88</v>
      </c>
      <c r="C27">
        <v>100</v>
      </c>
      <c r="D27" t="s">
        <v>89</v>
      </c>
      <c r="F27" t="s">
        <v>176</v>
      </c>
      <c r="G27" t="s">
        <v>222</v>
      </c>
      <c r="V27" t="s">
        <v>614</v>
      </c>
      <c r="W27">
        <v>3090</v>
      </c>
      <c r="X27" t="s">
        <v>16</v>
      </c>
      <c r="Y27">
        <v>7800</v>
      </c>
      <c r="Z27" t="s">
        <v>270</v>
      </c>
      <c r="AA27">
        <v>3047</v>
      </c>
      <c r="AD27" t="s">
        <v>383</v>
      </c>
      <c r="AE27">
        <v>6603</v>
      </c>
      <c r="AJ27" t="s">
        <v>288</v>
      </c>
      <c r="AK27">
        <v>8458</v>
      </c>
    </row>
    <row r="28" spans="1:37" x14ac:dyDescent="0.3">
      <c r="A28" t="s">
        <v>90</v>
      </c>
      <c r="B28" t="s">
        <v>30</v>
      </c>
      <c r="C28">
        <v>1.05</v>
      </c>
      <c r="D28" t="s">
        <v>74</v>
      </c>
      <c r="F28" t="s">
        <v>177</v>
      </c>
      <c r="G28" t="s">
        <v>223</v>
      </c>
      <c r="V28" t="s">
        <v>613</v>
      </c>
      <c r="W28">
        <v>3091</v>
      </c>
      <c r="X28" t="s">
        <v>283</v>
      </c>
      <c r="Y28">
        <v>8800</v>
      </c>
      <c r="Z28" t="s">
        <v>346</v>
      </c>
      <c r="AA28">
        <v>7370</v>
      </c>
      <c r="AD28" t="s">
        <v>400</v>
      </c>
      <c r="AE28">
        <v>6314</v>
      </c>
      <c r="AJ28" t="s">
        <v>290</v>
      </c>
      <c r="AK28">
        <v>8456</v>
      </c>
    </row>
    <row r="29" spans="1:37" x14ac:dyDescent="0.3">
      <c r="F29" t="s">
        <v>153</v>
      </c>
      <c r="G29" t="s">
        <v>199</v>
      </c>
      <c r="V29" t="s">
        <v>612</v>
      </c>
      <c r="W29">
        <v>3092</v>
      </c>
      <c r="X29" t="s">
        <v>494</v>
      </c>
      <c r="Y29">
        <v>4233</v>
      </c>
      <c r="Z29" t="s">
        <v>299</v>
      </c>
      <c r="AA29">
        <v>8370</v>
      </c>
      <c r="AD29" t="s">
        <v>381</v>
      </c>
      <c r="AE29">
        <v>6605</v>
      </c>
      <c r="AJ29" t="s">
        <v>295</v>
      </c>
      <c r="AK29">
        <v>6456</v>
      </c>
    </row>
    <row r="30" spans="1:37" x14ac:dyDescent="0.3">
      <c r="F30" t="s">
        <v>139</v>
      </c>
      <c r="G30" t="s">
        <v>185</v>
      </c>
      <c r="V30" t="s">
        <v>617</v>
      </c>
      <c r="W30">
        <v>3065</v>
      </c>
      <c r="X30" t="s">
        <v>651</v>
      </c>
      <c r="Y30">
        <v>3016</v>
      </c>
      <c r="Z30" t="s">
        <v>611</v>
      </c>
      <c r="AA30">
        <v>3095</v>
      </c>
      <c r="AD30" t="s">
        <v>668</v>
      </c>
      <c r="AE30">
        <v>2601</v>
      </c>
      <c r="AJ30" t="s">
        <v>390</v>
      </c>
      <c r="AK30">
        <v>6454</v>
      </c>
    </row>
    <row r="31" spans="1:37" x14ac:dyDescent="0.3">
      <c r="F31" t="s">
        <v>154</v>
      </c>
      <c r="G31" t="s">
        <v>200</v>
      </c>
      <c r="V31" t="s">
        <v>365</v>
      </c>
      <c r="W31">
        <v>3007</v>
      </c>
      <c r="X31" t="s">
        <v>627</v>
      </c>
      <c r="Y31">
        <v>3044</v>
      </c>
      <c r="Z31" t="s">
        <v>475</v>
      </c>
      <c r="AA31">
        <v>5014</v>
      </c>
      <c r="AD31" t="s">
        <v>342</v>
      </c>
      <c r="AE31">
        <v>7604</v>
      </c>
      <c r="AJ31" t="s">
        <v>389</v>
      </c>
      <c r="AK31">
        <v>6455</v>
      </c>
    </row>
    <row r="32" spans="1:37" x14ac:dyDescent="0.3">
      <c r="F32" t="s">
        <v>150</v>
      </c>
      <c r="G32" t="s">
        <v>196</v>
      </c>
      <c r="V32" t="s">
        <v>365</v>
      </c>
      <c r="W32">
        <v>7104</v>
      </c>
      <c r="X32" t="s">
        <v>629</v>
      </c>
      <c r="Y32">
        <v>3042</v>
      </c>
      <c r="Z32" t="s">
        <v>396</v>
      </c>
      <c r="AA32">
        <v>6370</v>
      </c>
      <c r="AD32" t="s">
        <v>341</v>
      </c>
      <c r="AE32">
        <v>7605</v>
      </c>
      <c r="AJ32" t="s">
        <v>291</v>
      </c>
      <c r="AK32">
        <v>6453</v>
      </c>
    </row>
    <row r="33" spans="6:37" x14ac:dyDescent="0.3">
      <c r="F33" t="s">
        <v>148</v>
      </c>
      <c r="G33" t="s">
        <v>194</v>
      </c>
      <c r="V33" t="s">
        <v>654</v>
      </c>
      <c r="W33">
        <v>3006</v>
      </c>
      <c r="X33" t="s">
        <v>655</v>
      </c>
      <c r="Y33">
        <v>3004</v>
      </c>
      <c r="Z33" t="s">
        <v>443</v>
      </c>
      <c r="AA33">
        <v>5047</v>
      </c>
      <c r="AD33" t="s">
        <v>542</v>
      </c>
      <c r="AE33">
        <v>4166</v>
      </c>
      <c r="AJ33" t="s">
        <v>291</v>
      </c>
      <c r="AK33">
        <v>8455</v>
      </c>
    </row>
    <row r="34" spans="6:37" x14ac:dyDescent="0.3">
      <c r="F34" t="s">
        <v>151</v>
      </c>
      <c r="G34" t="s">
        <v>197</v>
      </c>
      <c r="V34" t="s">
        <v>619</v>
      </c>
      <c r="W34">
        <v>3063</v>
      </c>
      <c r="X34" t="s">
        <v>330</v>
      </c>
      <c r="Y34">
        <v>7801</v>
      </c>
      <c r="Z34" t="s">
        <v>504</v>
      </c>
      <c r="AA34">
        <v>4211</v>
      </c>
      <c r="AD34" t="s">
        <v>646</v>
      </c>
      <c r="AE34">
        <v>3021</v>
      </c>
      <c r="AJ34" t="s">
        <v>287</v>
      </c>
      <c r="AK34">
        <v>8459</v>
      </c>
    </row>
    <row r="35" spans="6:37" x14ac:dyDescent="0.3">
      <c r="F35" t="s">
        <v>173</v>
      </c>
      <c r="G35" t="s">
        <v>219</v>
      </c>
      <c r="V35" t="s">
        <v>621</v>
      </c>
      <c r="W35">
        <v>3061</v>
      </c>
      <c r="X35" t="s">
        <v>620</v>
      </c>
      <c r="Y35">
        <v>2800</v>
      </c>
      <c r="Z35" t="s">
        <v>576</v>
      </c>
      <c r="AA35">
        <v>4132</v>
      </c>
      <c r="AD35" t="s">
        <v>339</v>
      </c>
      <c r="AE35">
        <v>7651</v>
      </c>
      <c r="AJ35" t="s">
        <v>289</v>
      </c>
      <c r="AK35">
        <v>8457</v>
      </c>
    </row>
    <row r="36" spans="6:37" x14ac:dyDescent="0.3">
      <c r="F36" t="s">
        <v>145</v>
      </c>
      <c r="G36" t="s">
        <v>191</v>
      </c>
      <c r="V36" t="s">
        <v>437</v>
      </c>
      <c r="W36">
        <v>5053</v>
      </c>
      <c r="X36" t="s">
        <v>620</v>
      </c>
      <c r="Y36">
        <v>3062</v>
      </c>
      <c r="Z36" t="s">
        <v>575</v>
      </c>
      <c r="AA36">
        <v>4133</v>
      </c>
      <c r="AD36" t="s">
        <v>657</v>
      </c>
      <c r="AE36">
        <v>3001</v>
      </c>
    </row>
    <row r="37" spans="6:37" x14ac:dyDescent="0.3">
      <c r="F37" t="s">
        <v>142</v>
      </c>
      <c r="G37" t="s">
        <v>188</v>
      </c>
      <c r="V37" t="s">
        <v>435</v>
      </c>
      <c r="W37">
        <v>5055</v>
      </c>
      <c r="X37" t="s">
        <v>618</v>
      </c>
      <c r="Y37">
        <v>3064</v>
      </c>
      <c r="Z37" t="s">
        <v>573</v>
      </c>
      <c r="AA37">
        <v>4135</v>
      </c>
      <c r="AD37" t="s">
        <v>490</v>
      </c>
      <c r="AE37">
        <v>4258</v>
      </c>
    </row>
    <row r="38" spans="6:37" x14ac:dyDescent="0.3">
      <c r="F38" t="s">
        <v>141</v>
      </c>
      <c r="G38" t="s">
        <v>187</v>
      </c>
      <c r="V38" t="s">
        <v>434</v>
      </c>
      <c r="W38">
        <v>5056</v>
      </c>
      <c r="X38" t="s">
        <v>493</v>
      </c>
      <c r="Y38">
        <v>4234</v>
      </c>
      <c r="Z38" t="s">
        <v>572</v>
      </c>
      <c r="AA38">
        <v>4136</v>
      </c>
      <c r="AD38" t="s">
        <v>338</v>
      </c>
      <c r="AE38">
        <v>7652</v>
      </c>
    </row>
    <row r="39" spans="6:37" x14ac:dyDescent="0.3">
      <c r="F39" t="s">
        <v>140</v>
      </c>
      <c r="G39" t="s">
        <v>186</v>
      </c>
      <c r="V39" t="s">
        <v>433</v>
      </c>
      <c r="W39">
        <v>5057</v>
      </c>
      <c r="X39" t="s">
        <v>428</v>
      </c>
      <c r="Y39">
        <v>5062</v>
      </c>
      <c r="Z39" t="s">
        <v>571</v>
      </c>
      <c r="AA39">
        <v>4137</v>
      </c>
      <c r="AD39" t="s">
        <v>644</v>
      </c>
      <c r="AE39">
        <v>3023</v>
      </c>
    </row>
    <row r="40" spans="6:37" x14ac:dyDescent="0.3">
      <c r="F40" t="s">
        <v>143</v>
      </c>
      <c r="G40" t="s">
        <v>189</v>
      </c>
      <c r="V40" t="s">
        <v>436</v>
      </c>
      <c r="W40">
        <v>5054</v>
      </c>
      <c r="X40" t="s">
        <v>483</v>
      </c>
      <c r="Y40">
        <v>5006</v>
      </c>
      <c r="Z40" t="s">
        <v>570</v>
      </c>
      <c r="AA40">
        <v>4138</v>
      </c>
    </row>
    <row r="41" spans="6:37" x14ac:dyDescent="0.3">
      <c r="F41" t="s">
        <v>162</v>
      </c>
      <c r="G41" t="s">
        <v>208</v>
      </c>
      <c r="V41" t="s">
        <v>628</v>
      </c>
      <c r="W41">
        <v>3043</v>
      </c>
      <c r="X41" t="s">
        <v>486</v>
      </c>
      <c r="Y41">
        <v>5003</v>
      </c>
      <c r="Z41" t="s">
        <v>569</v>
      </c>
      <c r="AA41">
        <v>4139</v>
      </c>
    </row>
    <row r="42" spans="6:37" x14ac:dyDescent="0.3">
      <c r="F42" t="s">
        <v>161</v>
      </c>
      <c r="G42" t="s">
        <v>207</v>
      </c>
      <c r="V42" t="s">
        <v>630</v>
      </c>
      <c r="W42">
        <v>3041</v>
      </c>
      <c r="X42" t="s">
        <v>377</v>
      </c>
      <c r="Y42">
        <v>6803</v>
      </c>
      <c r="Z42" t="s">
        <v>568</v>
      </c>
      <c r="AA42">
        <v>4140</v>
      </c>
    </row>
    <row r="43" spans="6:37" x14ac:dyDescent="0.3">
      <c r="F43" t="s">
        <v>134</v>
      </c>
      <c r="G43" t="s">
        <v>180</v>
      </c>
      <c r="V43" t="s">
        <v>681</v>
      </c>
      <c r="W43">
        <v>2170</v>
      </c>
      <c r="X43" t="s">
        <v>328</v>
      </c>
      <c r="Y43">
        <v>7803</v>
      </c>
      <c r="Z43" t="s">
        <v>567</v>
      </c>
      <c r="AA43">
        <v>4141</v>
      </c>
    </row>
    <row r="44" spans="6:37" x14ac:dyDescent="0.3">
      <c r="F44" t="s">
        <v>164</v>
      </c>
      <c r="G44" t="s">
        <v>210</v>
      </c>
      <c r="V44" t="s">
        <v>500</v>
      </c>
      <c r="W44">
        <v>3099</v>
      </c>
      <c r="X44" t="s">
        <v>679</v>
      </c>
      <c r="Y44">
        <v>2210</v>
      </c>
      <c r="Z44" t="s">
        <v>565</v>
      </c>
      <c r="AA44">
        <v>4143</v>
      </c>
    </row>
    <row r="45" spans="6:37" x14ac:dyDescent="0.3">
      <c r="F45" t="s">
        <v>147</v>
      </c>
      <c r="G45" t="s">
        <v>193</v>
      </c>
      <c r="V45" t="s">
        <v>648</v>
      </c>
      <c r="W45">
        <v>3019</v>
      </c>
      <c r="X45" t="s">
        <v>672</v>
      </c>
      <c r="Y45">
        <v>2360</v>
      </c>
      <c r="Z45" t="s">
        <v>562</v>
      </c>
      <c r="AA45">
        <v>4146</v>
      </c>
    </row>
    <row r="46" spans="6:37" x14ac:dyDescent="0.3">
      <c r="F46" t="s">
        <v>135</v>
      </c>
      <c r="G46" t="s">
        <v>181</v>
      </c>
      <c r="V46" t="s">
        <v>649</v>
      </c>
      <c r="W46">
        <v>3018</v>
      </c>
      <c r="X46" t="s">
        <v>282</v>
      </c>
      <c r="Y46">
        <v>8801</v>
      </c>
      <c r="Z46" t="s">
        <v>561</v>
      </c>
      <c r="AA46">
        <v>4147</v>
      </c>
    </row>
    <row r="47" spans="6:37" x14ac:dyDescent="0.3">
      <c r="F47" t="s">
        <v>175</v>
      </c>
      <c r="G47" t="s">
        <v>221</v>
      </c>
      <c r="V47" t="s">
        <v>689</v>
      </c>
      <c r="W47">
        <v>2114</v>
      </c>
      <c r="X47" t="s">
        <v>379</v>
      </c>
      <c r="Y47">
        <v>6801</v>
      </c>
      <c r="Z47" t="s">
        <v>560</v>
      </c>
      <c r="AA47">
        <v>4148</v>
      </c>
    </row>
    <row r="48" spans="6:37" x14ac:dyDescent="0.3">
      <c r="V48" t="s">
        <v>421</v>
      </c>
      <c r="W48">
        <v>6101</v>
      </c>
      <c r="X48" t="s">
        <v>378</v>
      </c>
      <c r="Y48">
        <v>6802</v>
      </c>
      <c r="Z48" t="s">
        <v>558</v>
      </c>
      <c r="AA48">
        <v>4150</v>
      </c>
    </row>
    <row r="49" spans="22:27" x14ac:dyDescent="0.3">
      <c r="V49" t="s">
        <v>420</v>
      </c>
      <c r="W49">
        <v>6102</v>
      </c>
      <c r="X49" t="s">
        <v>281</v>
      </c>
      <c r="Y49">
        <v>8802</v>
      </c>
      <c r="Z49" t="s">
        <v>557</v>
      </c>
      <c r="AA49">
        <v>4151</v>
      </c>
    </row>
    <row r="50" spans="22:27" x14ac:dyDescent="0.3">
      <c r="V50" t="s">
        <v>419</v>
      </c>
      <c r="W50">
        <v>6103</v>
      </c>
      <c r="X50" t="s">
        <v>280</v>
      </c>
      <c r="Y50">
        <v>8803</v>
      </c>
      <c r="Z50" t="s">
        <v>554</v>
      </c>
      <c r="AA50">
        <v>4154</v>
      </c>
    </row>
    <row r="51" spans="22:27" x14ac:dyDescent="0.3">
      <c r="V51" t="s">
        <v>640</v>
      </c>
      <c r="W51">
        <v>3027</v>
      </c>
      <c r="X51" t="s">
        <v>299</v>
      </c>
      <c r="Y51">
        <v>2370</v>
      </c>
      <c r="Z51" t="s">
        <v>553</v>
      </c>
      <c r="AA51">
        <v>4155</v>
      </c>
    </row>
    <row r="52" spans="22:27" x14ac:dyDescent="0.3">
      <c r="V52" t="s">
        <v>416</v>
      </c>
      <c r="W52">
        <v>6106</v>
      </c>
      <c r="X52" t="s">
        <v>516</v>
      </c>
      <c r="Y52">
        <v>4192</v>
      </c>
      <c r="Z52" t="s">
        <v>552</v>
      </c>
      <c r="AA52">
        <v>4156</v>
      </c>
    </row>
    <row r="53" spans="22:27" x14ac:dyDescent="0.3">
      <c r="V53" t="s">
        <v>364</v>
      </c>
      <c r="W53">
        <v>7105</v>
      </c>
      <c r="X53" t="s">
        <v>515</v>
      </c>
      <c r="Y53">
        <v>4193</v>
      </c>
      <c r="Z53" t="s">
        <v>550</v>
      </c>
      <c r="AA53">
        <v>4158</v>
      </c>
    </row>
    <row r="54" spans="22:27" x14ac:dyDescent="0.3">
      <c r="V54" t="s">
        <v>417</v>
      </c>
      <c r="W54">
        <v>6105</v>
      </c>
      <c r="X54" t="s">
        <v>512</v>
      </c>
      <c r="Y54">
        <v>4196</v>
      </c>
      <c r="Z54" t="s">
        <v>549</v>
      </c>
      <c r="AA54">
        <v>4159</v>
      </c>
    </row>
    <row r="55" spans="22:27" x14ac:dyDescent="0.3">
      <c r="V55" t="s">
        <v>697</v>
      </c>
      <c r="W55">
        <v>2103</v>
      </c>
      <c r="X55" t="s">
        <v>664</v>
      </c>
      <c r="Y55">
        <v>2751</v>
      </c>
      <c r="Z55" t="s">
        <v>548</v>
      </c>
      <c r="AA55">
        <v>4160</v>
      </c>
    </row>
    <row r="56" spans="22:27" x14ac:dyDescent="0.3">
      <c r="V56" t="s">
        <v>476</v>
      </c>
      <c r="W56">
        <v>5013</v>
      </c>
      <c r="X56" t="s">
        <v>332</v>
      </c>
      <c r="Y56">
        <v>7752</v>
      </c>
      <c r="Z56" t="s">
        <v>546</v>
      </c>
      <c r="AA56">
        <v>4162</v>
      </c>
    </row>
    <row r="57" spans="22:27" x14ac:dyDescent="0.3">
      <c r="V57" t="s">
        <v>413</v>
      </c>
      <c r="W57">
        <v>6150</v>
      </c>
      <c r="X57" t="s">
        <v>639</v>
      </c>
      <c r="Y57">
        <v>3029</v>
      </c>
      <c r="Z57" t="s">
        <v>545</v>
      </c>
      <c r="AA57">
        <v>4163</v>
      </c>
    </row>
    <row r="58" spans="22:27" x14ac:dyDescent="0.3">
      <c r="V58" t="s">
        <v>351</v>
      </c>
      <c r="W58">
        <v>7160</v>
      </c>
      <c r="X58" t="s">
        <v>380</v>
      </c>
      <c r="Y58">
        <v>6752</v>
      </c>
      <c r="Z58" t="s">
        <v>534</v>
      </c>
      <c r="AA58">
        <v>4174</v>
      </c>
    </row>
    <row r="59" spans="22:27" x14ac:dyDescent="0.3">
      <c r="V59" t="s">
        <v>350</v>
      </c>
      <c r="W59">
        <v>7161</v>
      </c>
      <c r="X59" t="s">
        <v>663</v>
      </c>
      <c r="Y59">
        <v>2752</v>
      </c>
      <c r="Z59" t="s">
        <v>533</v>
      </c>
      <c r="AA59">
        <v>4175</v>
      </c>
    </row>
    <row r="60" spans="22:27" x14ac:dyDescent="0.3">
      <c r="V60" t="s">
        <v>468</v>
      </c>
      <c r="W60">
        <v>5021</v>
      </c>
      <c r="X60" t="s">
        <v>331</v>
      </c>
      <c r="Y60">
        <v>7753</v>
      </c>
      <c r="Z60" t="s">
        <v>532</v>
      </c>
      <c r="AA60">
        <v>4176</v>
      </c>
    </row>
    <row r="61" spans="22:27" x14ac:dyDescent="0.3">
      <c r="V61" t="s">
        <v>353</v>
      </c>
      <c r="W61">
        <v>3014</v>
      </c>
      <c r="X61" t="s">
        <v>324</v>
      </c>
      <c r="Y61">
        <v>8154</v>
      </c>
      <c r="Z61" t="s">
        <v>531</v>
      </c>
      <c r="AA61">
        <v>4177</v>
      </c>
    </row>
    <row r="62" spans="22:27" x14ac:dyDescent="0.3">
      <c r="V62" t="s">
        <v>632</v>
      </c>
      <c r="W62">
        <v>3039</v>
      </c>
      <c r="X62" t="s">
        <v>325</v>
      </c>
      <c r="Y62">
        <v>8151</v>
      </c>
      <c r="Z62" t="s">
        <v>530</v>
      </c>
      <c r="AA62">
        <v>4178</v>
      </c>
    </row>
    <row r="63" spans="22:27" x14ac:dyDescent="0.3">
      <c r="V63" t="s">
        <v>631</v>
      </c>
      <c r="W63">
        <v>3040</v>
      </c>
      <c r="X63" t="s">
        <v>638</v>
      </c>
      <c r="Y63">
        <v>3030</v>
      </c>
      <c r="Z63" t="s">
        <v>587</v>
      </c>
      <c r="AA63">
        <v>4122</v>
      </c>
    </row>
    <row r="64" spans="22:27" x14ac:dyDescent="0.3">
      <c r="V64" t="s">
        <v>699</v>
      </c>
      <c r="W64">
        <v>2101</v>
      </c>
      <c r="X64" t="s">
        <v>279</v>
      </c>
      <c r="Y64">
        <v>8804</v>
      </c>
      <c r="Z64" t="s">
        <v>583</v>
      </c>
      <c r="AA64">
        <v>4125</v>
      </c>
    </row>
    <row r="65" spans="22:27" x14ac:dyDescent="0.3">
      <c r="V65" t="s">
        <v>469</v>
      </c>
      <c r="W65">
        <v>5020</v>
      </c>
      <c r="X65" t="s">
        <v>333</v>
      </c>
      <c r="Y65">
        <v>6751</v>
      </c>
      <c r="Z65" t="s">
        <v>581</v>
      </c>
      <c r="AA65">
        <v>4127</v>
      </c>
    </row>
    <row r="66" spans="22:27" x14ac:dyDescent="0.3">
      <c r="V66" t="s">
        <v>470</v>
      </c>
      <c r="W66">
        <v>5019</v>
      </c>
      <c r="X66" t="s">
        <v>333</v>
      </c>
      <c r="Y66">
        <v>7751</v>
      </c>
      <c r="Z66" t="s">
        <v>580</v>
      </c>
      <c r="AA66">
        <v>4128</v>
      </c>
    </row>
    <row r="67" spans="22:27" x14ac:dyDescent="0.3">
      <c r="V67" t="s">
        <v>690</v>
      </c>
      <c r="W67">
        <v>2113</v>
      </c>
      <c r="X67" t="s">
        <v>636</v>
      </c>
      <c r="Y67">
        <v>3034</v>
      </c>
      <c r="Z67" t="s">
        <v>453</v>
      </c>
      <c r="AA67">
        <v>5036</v>
      </c>
    </row>
    <row r="68" spans="22:27" x14ac:dyDescent="0.3">
      <c r="V68" t="s">
        <v>381</v>
      </c>
      <c r="W68">
        <v>3010</v>
      </c>
      <c r="X68" t="s">
        <v>634</v>
      </c>
      <c r="Y68">
        <v>3037</v>
      </c>
      <c r="Z68" t="s">
        <v>401</v>
      </c>
      <c r="AA68">
        <v>6313</v>
      </c>
    </row>
    <row r="69" spans="22:27" x14ac:dyDescent="0.3">
      <c r="V69" t="s">
        <v>471</v>
      </c>
      <c r="W69">
        <v>5018</v>
      </c>
      <c r="X69" t="s">
        <v>484</v>
      </c>
      <c r="Y69">
        <v>5005</v>
      </c>
      <c r="Z69" t="s">
        <v>673</v>
      </c>
      <c r="AA69">
        <v>2312</v>
      </c>
    </row>
    <row r="70" spans="22:27" x14ac:dyDescent="0.3">
      <c r="V70" t="s">
        <v>693</v>
      </c>
      <c r="W70">
        <v>1109</v>
      </c>
      <c r="X70" t="s">
        <v>278</v>
      </c>
      <c r="Y70">
        <v>8805</v>
      </c>
      <c r="Z70" t="s">
        <v>403</v>
      </c>
      <c r="AA70">
        <v>6311</v>
      </c>
    </row>
    <row r="71" spans="22:27" x14ac:dyDescent="0.3">
      <c r="V71" t="s">
        <v>693</v>
      </c>
      <c r="W71">
        <v>2109</v>
      </c>
      <c r="X71" t="s">
        <v>426</v>
      </c>
      <c r="Y71">
        <v>5064</v>
      </c>
      <c r="Z71" t="s">
        <v>449</v>
      </c>
      <c r="AA71">
        <v>5041</v>
      </c>
    </row>
    <row r="72" spans="22:27" x14ac:dyDescent="0.3">
      <c r="V72" t="s">
        <v>355</v>
      </c>
      <c r="W72">
        <v>3033</v>
      </c>
      <c r="X72" t="s">
        <v>427</v>
      </c>
      <c r="Y72">
        <v>5063</v>
      </c>
      <c r="Z72" t="s">
        <v>464</v>
      </c>
      <c r="AA72">
        <v>5025</v>
      </c>
    </row>
    <row r="73" spans="22:27" x14ac:dyDescent="0.3">
      <c r="V73" t="s">
        <v>676</v>
      </c>
      <c r="W73">
        <v>2303</v>
      </c>
      <c r="X73" t="s">
        <v>498</v>
      </c>
      <c r="Y73">
        <v>4226</v>
      </c>
      <c r="Z73" t="s">
        <v>318</v>
      </c>
      <c r="AA73">
        <v>8306</v>
      </c>
    </row>
    <row r="74" spans="22:27" x14ac:dyDescent="0.3">
      <c r="V74" t="s">
        <v>696</v>
      </c>
      <c r="W74">
        <v>1105</v>
      </c>
      <c r="X74" t="s">
        <v>422</v>
      </c>
      <c r="Y74">
        <v>5068</v>
      </c>
      <c r="Z74" t="s">
        <v>316</v>
      </c>
      <c r="AA74">
        <v>8308</v>
      </c>
    </row>
    <row r="75" spans="22:27" x14ac:dyDescent="0.3">
      <c r="V75" t="s">
        <v>696</v>
      </c>
      <c r="W75">
        <v>2105</v>
      </c>
      <c r="X75" t="s">
        <v>276</v>
      </c>
      <c r="Y75">
        <v>7810</v>
      </c>
      <c r="Z75" t="s">
        <v>317</v>
      </c>
      <c r="AA75">
        <v>8307</v>
      </c>
    </row>
    <row r="76" spans="22:27" x14ac:dyDescent="0.3">
      <c r="V76" t="s">
        <v>459</v>
      </c>
      <c r="W76">
        <v>5030</v>
      </c>
      <c r="X76" t="s">
        <v>276</v>
      </c>
      <c r="Y76">
        <v>8810</v>
      </c>
      <c r="Z76" t="s">
        <v>465</v>
      </c>
      <c r="AA76">
        <v>5024</v>
      </c>
    </row>
    <row r="77" spans="22:27" x14ac:dyDescent="0.3">
      <c r="V77" t="s">
        <v>677</v>
      </c>
      <c r="W77">
        <v>2302</v>
      </c>
      <c r="X77" t="s">
        <v>376</v>
      </c>
      <c r="Y77">
        <v>6810</v>
      </c>
      <c r="Z77" t="s">
        <v>323</v>
      </c>
      <c r="AA77">
        <v>8301</v>
      </c>
    </row>
    <row r="78" spans="22:27" x14ac:dyDescent="0.3">
      <c r="V78" t="s">
        <v>698</v>
      </c>
      <c r="W78">
        <v>2102</v>
      </c>
      <c r="X78" t="s">
        <v>662</v>
      </c>
      <c r="Y78">
        <v>1810</v>
      </c>
      <c r="Z78" t="s">
        <v>411</v>
      </c>
      <c r="AA78">
        <v>6301</v>
      </c>
    </row>
    <row r="79" spans="22:27" x14ac:dyDescent="0.3">
      <c r="V79" t="s">
        <v>695</v>
      </c>
      <c r="W79">
        <v>2106</v>
      </c>
      <c r="X79" t="s">
        <v>662</v>
      </c>
      <c r="Y79">
        <v>2810</v>
      </c>
      <c r="Z79" t="s">
        <v>322</v>
      </c>
      <c r="AA79">
        <v>8302</v>
      </c>
    </row>
    <row r="80" spans="22:27" x14ac:dyDescent="0.3">
      <c r="V80" t="s">
        <v>635</v>
      </c>
      <c r="W80">
        <v>3035</v>
      </c>
      <c r="X80" t="s">
        <v>647</v>
      </c>
      <c r="Y80">
        <v>3020</v>
      </c>
      <c r="Z80" t="s">
        <v>410</v>
      </c>
      <c r="AA80">
        <v>6302</v>
      </c>
    </row>
    <row r="81" spans="22:27" x14ac:dyDescent="0.3">
      <c r="V81" t="s">
        <v>645</v>
      </c>
      <c r="W81">
        <v>3022</v>
      </c>
      <c r="X81" t="s">
        <v>299</v>
      </c>
      <c r="Y81">
        <v>1370</v>
      </c>
      <c r="Z81" t="s">
        <v>675</v>
      </c>
      <c r="AA81">
        <v>2304</v>
      </c>
    </row>
    <row r="82" spans="22:27" x14ac:dyDescent="0.3">
      <c r="V82" t="s">
        <v>363</v>
      </c>
      <c r="W82">
        <v>3028</v>
      </c>
      <c r="Z82" t="s">
        <v>319</v>
      </c>
      <c r="AA82">
        <v>8305</v>
      </c>
    </row>
    <row r="83" spans="22:27" x14ac:dyDescent="0.3">
      <c r="V83" t="s">
        <v>363</v>
      </c>
      <c r="W83">
        <v>7106</v>
      </c>
      <c r="Z83" t="s">
        <v>407</v>
      </c>
      <c r="AA83">
        <v>6305</v>
      </c>
    </row>
    <row r="84" spans="22:27" x14ac:dyDescent="0.3">
      <c r="V84" t="s">
        <v>362</v>
      </c>
      <c r="W84">
        <v>3009</v>
      </c>
      <c r="Z84" t="s">
        <v>321</v>
      </c>
      <c r="AA84">
        <v>8303</v>
      </c>
    </row>
    <row r="85" spans="22:27" x14ac:dyDescent="0.3">
      <c r="V85" t="s">
        <v>362</v>
      </c>
      <c r="W85">
        <v>7107</v>
      </c>
      <c r="Z85" t="s">
        <v>408</v>
      </c>
      <c r="AA85">
        <v>6304</v>
      </c>
    </row>
    <row r="86" spans="22:27" x14ac:dyDescent="0.3">
      <c r="V86" t="s">
        <v>341</v>
      </c>
      <c r="W86">
        <v>3005</v>
      </c>
      <c r="Z86" t="s">
        <v>409</v>
      </c>
      <c r="AA86">
        <v>6303</v>
      </c>
    </row>
    <row r="87" spans="22:27" x14ac:dyDescent="0.3">
      <c r="V87" t="s">
        <v>414</v>
      </c>
      <c r="W87">
        <v>6112</v>
      </c>
      <c r="Z87" t="s">
        <v>320</v>
      </c>
      <c r="AA87">
        <v>8304</v>
      </c>
    </row>
    <row r="88" spans="22:27" x14ac:dyDescent="0.3">
      <c r="V88" t="s">
        <v>488</v>
      </c>
      <c r="W88">
        <v>5001</v>
      </c>
      <c r="Z88" t="s">
        <v>461</v>
      </c>
      <c r="AA88">
        <v>5028</v>
      </c>
    </row>
    <row r="89" spans="22:27" x14ac:dyDescent="0.3">
      <c r="V89" t="s">
        <v>607</v>
      </c>
      <c r="W89">
        <v>4102</v>
      </c>
      <c r="Z89" t="s">
        <v>310</v>
      </c>
      <c r="AA89">
        <v>8322</v>
      </c>
    </row>
    <row r="90" spans="22:27" x14ac:dyDescent="0.3">
      <c r="V90" t="s">
        <v>606</v>
      </c>
      <c r="W90">
        <v>4103</v>
      </c>
      <c r="Z90" t="s">
        <v>311</v>
      </c>
      <c r="AA90">
        <v>8321</v>
      </c>
    </row>
    <row r="91" spans="22:27" x14ac:dyDescent="0.3">
      <c r="V91" t="s">
        <v>544</v>
      </c>
      <c r="W91">
        <v>4164</v>
      </c>
      <c r="Z91" t="s">
        <v>448</v>
      </c>
      <c r="AA91">
        <v>5042</v>
      </c>
    </row>
    <row r="92" spans="22:27" x14ac:dyDescent="0.3">
      <c r="V92" t="s">
        <v>543</v>
      </c>
      <c r="W92">
        <v>4165</v>
      </c>
      <c r="Z92" t="s">
        <v>405</v>
      </c>
      <c r="AA92">
        <v>6307</v>
      </c>
    </row>
    <row r="93" spans="22:27" x14ac:dyDescent="0.3">
      <c r="V93" t="s">
        <v>605</v>
      </c>
      <c r="W93">
        <v>4104</v>
      </c>
      <c r="Z93" t="s">
        <v>308</v>
      </c>
      <c r="AA93">
        <v>8325</v>
      </c>
    </row>
    <row r="94" spans="22:27" x14ac:dyDescent="0.3">
      <c r="V94" t="s">
        <v>604</v>
      </c>
      <c r="W94">
        <v>4105</v>
      </c>
      <c r="Z94" t="s">
        <v>309</v>
      </c>
      <c r="AA94">
        <v>8324</v>
      </c>
    </row>
    <row r="95" spans="22:27" x14ac:dyDescent="0.3">
      <c r="V95" t="s">
        <v>603</v>
      </c>
      <c r="W95">
        <v>4106</v>
      </c>
      <c r="Z95" t="s">
        <v>404</v>
      </c>
      <c r="AA95">
        <v>6308</v>
      </c>
    </row>
    <row r="96" spans="22:27" x14ac:dyDescent="0.3">
      <c r="V96" t="s">
        <v>602</v>
      </c>
      <c r="W96">
        <v>4107</v>
      </c>
      <c r="Z96" t="s">
        <v>467</v>
      </c>
      <c r="AA96">
        <v>5022</v>
      </c>
    </row>
    <row r="97" spans="22:27" x14ac:dyDescent="0.3">
      <c r="V97" t="s">
        <v>601</v>
      </c>
      <c r="W97">
        <v>4108</v>
      </c>
      <c r="Z97" t="s">
        <v>466</v>
      </c>
      <c r="AA97">
        <v>5023</v>
      </c>
    </row>
    <row r="98" spans="22:27" x14ac:dyDescent="0.3">
      <c r="V98" t="s">
        <v>600</v>
      </c>
      <c r="W98">
        <v>4109</v>
      </c>
      <c r="Z98" t="s">
        <v>678</v>
      </c>
      <c r="AA98">
        <v>2301</v>
      </c>
    </row>
    <row r="99" spans="22:27" x14ac:dyDescent="0.3">
      <c r="V99" t="s">
        <v>599</v>
      </c>
      <c r="W99">
        <v>4110</v>
      </c>
      <c r="Z99" t="s">
        <v>674</v>
      </c>
      <c r="AA99">
        <v>2311</v>
      </c>
    </row>
    <row r="100" spans="22:27" x14ac:dyDescent="0.3">
      <c r="V100" t="s">
        <v>598</v>
      </c>
      <c r="W100">
        <v>4111</v>
      </c>
      <c r="Z100" t="s">
        <v>676</v>
      </c>
      <c r="AA100">
        <v>1303</v>
      </c>
    </row>
    <row r="101" spans="22:27" x14ac:dyDescent="0.3">
      <c r="V101" t="s">
        <v>597</v>
      </c>
      <c r="W101">
        <v>4112</v>
      </c>
      <c r="Z101" t="s">
        <v>406</v>
      </c>
      <c r="AA101">
        <v>6306</v>
      </c>
    </row>
    <row r="102" spans="22:27" x14ac:dyDescent="0.3">
      <c r="V102" t="s">
        <v>596</v>
      </c>
      <c r="W102">
        <v>4113</v>
      </c>
      <c r="Z102" t="s">
        <v>579</v>
      </c>
      <c r="AA102">
        <v>4129</v>
      </c>
    </row>
    <row r="103" spans="22:27" x14ac:dyDescent="0.3">
      <c r="V103" t="s">
        <v>595</v>
      </c>
      <c r="W103">
        <v>4114</v>
      </c>
      <c r="Z103" t="s">
        <v>577</v>
      </c>
      <c r="AA103">
        <v>4131</v>
      </c>
    </row>
    <row r="104" spans="22:27" x14ac:dyDescent="0.3">
      <c r="V104" t="s">
        <v>594</v>
      </c>
      <c r="W104">
        <v>4115</v>
      </c>
      <c r="Z104" t="s">
        <v>574</v>
      </c>
      <c r="AA104">
        <v>4134</v>
      </c>
    </row>
    <row r="105" spans="22:27" x14ac:dyDescent="0.3">
      <c r="V105" t="s">
        <v>593</v>
      </c>
      <c r="W105">
        <v>4116</v>
      </c>
      <c r="Z105" t="s">
        <v>432</v>
      </c>
      <c r="AA105">
        <v>4223</v>
      </c>
    </row>
    <row r="106" spans="22:27" x14ac:dyDescent="0.3">
      <c r="V106" t="s">
        <v>592</v>
      </c>
      <c r="W106">
        <v>4117</v>
      </c>
      <c r="Z106" t="s">
        <v>432</v>
      </c>
      <c r="AA106">
        <v>5058</v>
      </c>
    </row>
    <row r="107" spans="22:27" x14ac:dyDescent="0.3">
      <c r="V107" t="s">
        <v>591</v>
      </c>
      <c r="W107">
        <v>4118</v>
      </c>
      <c r="Z107" t="s">
        <v>609</v>
      </c>
      <c r="AA107">
        <v>2350</v>
      </c>
    </row>
    <row r="108" spans="22:27" x14ac:dyDescent="0.3">
      <c r="V108" t="s">
        <v>590</v>
      </c>
      <c r="W108">
        <v>4119</v>
      </c>
      <c r="Z108" t="s">
        <v>609</v>
      </c>
      <c r="AA108">
        <v>3097</v>
      </c>
    </row>
    <row r="109" spans="22:27" x14ac:dyDescent="0.3">
      <c r="V109" t="s">
        <v>589</v>
      </c>
      <c r="W109">
        <v>4120</v>
      </c>
      <c r="Z109" t="s">
        <v>478</v>
      </c>
      <c r="AA109">
        <v>5011</v>
      </c>
    </row>
    <row r="110" spans="22:27" x14ac:dyDescent="0.3">
      <c r="V110" t="s">
        <v>653</v>
      </c>
      <c r="W110">
        <v>3012</v>
      </c>
      <c r="Z110" t="s">
        <v>431</v>
      </c>
      <c r="AA110">
        <v>4224</v>
      </c>
    </row>
    <row r="111" spans="22:27" x14ac:dyDescent="0.3">
      <c r="V111" t="s">
        <v>356</v>
      </c>
      <c r="W111">
        <v>7156</v>
      </c>
      <c r="Z111" t="s">
        <v>431</v>
      </c>
      <c r="AA111">
        <v>5059</v>
      </c>
    </row>
    <row r="112" spans="22:27" x14ac:dyDescent="0.3">
      <c r="V112" t="s">
        <v>682</v>
      </c>
      <c r="W112">
        <v>2162</v>
      </c>
      <c r="Z112" t="s">
        <v>303</v>
      </c>
      <c r="AA112">
        <v>8350</v>
      </c>
    </row>
    <row r="113" spans="22:27" x14ac:dyDescent="0.3">
      <c r="V113" t="s">
        <v>685</v>
      </c>
      <c r="W113">
        <v>1153</v>
      </c>
      <c r="Z113" t="s">
        <v>399</v>
      </c>
      <c r="AA113">
        <v>6350</v>
      </c>
    </row>
    <row r="114" spans="22:27" x14ac:dyDescent="0.3">
      <c r="V114" t="s">
        <v>685</v>
      </c>
      <c r="W114">
        <v>2153</v>
      </c>
      <c r="Z114" t="s">
        <v>302</v>
      </c>
      <c r="AA114">
        <v>7350</v>
      </c>
    </row>
    <row r="115" spans="22:27" x14ac:dyDescent="0.3">
      <c r="V115" t="s">
        <v>501</v>
      </c>
      <c r="W115">
        <v>4217</v>
      </c>
    </row>
    <row r="116" spans="22:27" x14ac:dyDescent="0.3">
      <c r="V116" t="s">
        <v>418</v>
      </c>
      <c r="W116">
        <v>6104</v>
      </c>
    </row>
    <row r="117" spans="22:27" x14ac:dyDescent="0.3">
      <c r="V117" t="s">
        <v>364</v>
      </c>
      <c r="W117">
        <v>3002</v>
      </c>
    </row>
    <row r="118" spans="22:27" x14ac:dyDescent="0.3">
      <c r="V118" t="s">
        <v>684</v>
      </c>
      <c r="W118">
        <v>2154</v>
      </c>
    </row>
    <row r="119" spans="22:27" x14ac:dyDescent="0.3">
      <c r="V119" t="s">
        <v>361</v>
      </c>
      <c r="W119">
        <v>3015</v>
      </c>
    </row>
    <row r="120" spans="22:27" x14ac:dyDescent="0.3">
      <c r="V120" t="s">
        <v>361</v>
      </c>
      <c r="W120">
        <v>7151</v>
      </c>
    </row>
    <row r="121" spans="22:27" x14ac:dyDescent="0.3">
      <c r="V121" t="s">
        <v>687</v>
      </c>
      <c r="W121">
        <v>2151</v>
      </c>
    </row>
    <row r="122" spans="22:27" x14ac:dyDescent="0.3">
      <c r="V122" t="s">
        <v>652</v>
      </c>
      <c r="W122">
        <v>3013</v>
      </c>
    </row>
    <row r="123" spans="22:27" x14ac:dyDescent="0.3">
      <c r="V123" t="s">
        <v>353</v>
      </c>
      <c r="W123">
        <v>7159</v>
      </c>
    </row>
    <row r="124" spans="22:27" x14ac:dyDescent="0.3">
      <c r="V124" t="s">
        <v>686</v>
      </c>
      <c r="W124">
        <v>1152</v>
      </c>
    </row>
    <row r="125" spans="22:27" x14ac:dyDescent="0.3">
      <c r="V125" t="s">
        <v>686</v>
      </c>
      <c r="W125">
        <v>2152</v>
      </c>
    </row>
    <row r="126" spans="22:27" x14ac:dyDescent="0.3">
      <c r="V126" t="s">
        <v>354</v>
      </c>
      <c r="W126">
        <v>7158</v>
      </c>
    </row>
    <row r="127" spans="22:27" x14ac:dyDescent="0.3">
      <c r="V127" t="s">
        <v>355</v>
      </c>
      <c r="W127">
        <v>7157</v>
      </c>
    </row>
    <row r="128" spans="22:27" x14ac:dyDescent="0.3">
      <c r="V128" t="s">
        <v>683</v>
      </c>
      <c r="W128">
        <v>2161</v>
      </c>
    </row>
    <row r="129" spans="22:23" x14ac:dyDescent="0.3">
      <c r="V129" t="s">
        <v>688</v>
      </c>
      <c r="W129">
        <v>2120</v>
      </c>
    </row>
    <row r="130" spans="22:23" x14ac:dyDescent="0.3">
      <c r="V130" t="s">
        <v>358</v>
      </c>
      <c r="W130">
        <v>3011</v>
      </c>
    </row>
    <row r="131" spans="22:23" x14ac:dyDescent="0.3">
      <c r="V131" t="s">
        <v>358</v>
      </c>
      <c r="W131">
        <v>7154</v>
      </c>
    </row>
    <row r="132" spans="22:23" x14ac:dyDescent="0.3">
      <c r="V132" t="s">
        <v>360</v>
      </c>
      <c r="W132">
        <v>3032</v>
      </c>
    </row>
    <row r="133" spans="22:23" x14ac:dyDescent="0.3">
      <c r="V133" t="s">
        <v>360</v>
      </c>
      <c r="W133">
        <v>7152</v>
      </c>
    </row>
    <row r="134" spans="22:23" x14ac:dyDescent="0.3">
      <c r="V134" t="s">
        <v>359</v>
      </c>
      <c r="W134">
        <v>7153</v>
      </c>
    </row>
    <row r="135" spans="22:23" x14ac:dyDescent="0.3">
      <c r="V135" t="s">
        <v>357</v>
      </c>
      <c r="W135">
        <v>7155</v>
      </c>
    </row>
  </sheetData>
  <sortState xmlns:xlrd2="http://schemas.microsoft.com/office/spreadsheetml/2017/richdata2"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90</vt:i4>
      </vt:variant>
    </vt:vector>
  </HeadingPairs>
  <TitlesOfParts>
    <vt:vector size="94" baseType="lpstr">
      <vt:lpstr>SpreadModels</vt:lpstr>
      <vt:lpstr>Changelog</vt:lpstr>
      <vt:lpstr>AFDRS Fuel LUT</vt:lpstr>
      <vt:lpstr>models_tables</vt:lpstr>
      <vt:lpstr>AFDRS_Fuel_Name</vt:lpstr>
      <vt:lpstr>AWAP_uf</vt:lpstr>
      <vt:lpstr>ClassButtongrass</vt:lpstr>
      <vt:lpstr>Classes_Buttongrass</vt:lpstr>
      <vt:lpstr>Classes_Forest</vt:lpstr>
      <vt:lpstr>Classes_Grass</vt:lpstr>
      <vt:lpstr>Classes_Heath</vt:lpstr>
      <vt:lpstr>Classes_Mallee</vt:lpstr>
      <vt:lpstr>Classes_Pine</vt:lpstr>
      <vt:lpstr>Classes_Spinifex</vt:lpstr>
      <vt:lpstr>Classes_Woodland</vt:lpstr>
      <vt:lpstr>ClassForest</vt:lpstr>
      <vt:lpstr>ClassGrass</vt:lpstr>
      <vt:lpstr>ClassHeath</vt:lpstr>
      <vt:lpstr>ClassMallee</vt:lpstr>
      <vt:lpstr>ClassPine</vt:lpstr>
      <vt:lpstr>ClassSpinifex</vt:lpstr>
      <vt:lpstr>ClassWoodland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FTno_Buttongrass</vt:lpstr>
      <vt:lpstr>FTno_forest</vt:lpstr>
      <vt:lpstr>FTno_Grass</vt:lpstr>
      <vt:lpstr>FTno_Heath</vt:lpstr>
      <vt:lpstr>FTno_Mallee</vt:lpstr>
      <vt:lpstr>FTno_Pine</vt:lpstr>
      <vt:lpstr>FTno_Spinifex</vt:lpstr>
      <vt:lpstr>FTno_Woodland</vt:lpstr>
      <vt:lpstr>Fuel_load__buttongrass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productivity_buttongrass</vt:lpstr>
      <vt:lpstr>productivity_spinifex</vt:lpstr>
      <vt:lpstr>rain</vt:lpstr>
      <vt:lpstr>rh_row1</vt:lpstr>
      <vt:lpstr>Spinifex</vt:lpstr>
      <vt:lpstr>State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tsr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2024-08-14T07:40:13Z</dcterms:modified>
</cp:coreProperties>
</file>