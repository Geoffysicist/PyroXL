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tables" sheetId="3" state="hidden" r:id="rId2"/>
  </sheets>
  <functionGroups builtInGroupCount="18"/>
  <definedNames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AFDRS!$H$15:$AM$15</definedName>
    <definedName name="overstorey_heath">AFDRS!$AC$4</definedName>
    <definedName name="rain_heath">AFDRS!$AC$2</definedName>
    <definedName name="rain_mallee">AFDRS!$AM$7</definedName>
    <definedName name="rh_row1">AFDRS!$D$15</definedName>
    <definedName name="state_grass">AFDRS!$P$3</definedName>
    <definedName name="submodel_forest">AFDRS!$M$10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r_heath">AFDRS!$AC$3</definedName>
    <definedName name="tsr_mallee">AFDRS!$AM$8</definedName>
    <definedName name="waf_forest">AFDRS!$J$2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" i="1" l="1"/>
  <c r="J6" i="1"/>
  <c r="J4" i="1"/>
  <c r="J7" i="1"/>
  <c r="H15" i="1"/>
  <c r="AH15" i="1"/>
  <c r="AE15" i="1" s="1" a="1"/>
  <c r="U15" i="1"/>
  <c r="S15" i="1"/>
  <c r="P15" i="1" s="1"/>
  <c r="N15" i="1"/>
  <c r="J5" i="1"/>
  <c r="AC15" i="1"/>
  <c r="AM15" i="1"/>
  <c r="Z15" i="1"/>
  <c r="AC7" i="1"/>
  <c r="Q3" i="1"/>
  <c r="Q15" i="1" s="1"/>
  <c r="R15" i="1"/>
  <c r="J15" i="1"/>
  <c r="O15" i="1"/>
  <c r="L15" i="1"/>
  <c r="K15" i="1" s="1"/>
  <c r="I15" i="1"/>
  <c r="AA15" i="1"/>
  <c r="M15" i="1"/>
  <c r="W15" i="1"/>
  <c r="AJ15" i="1"/>
  <c r="AK15" i="1"/>
  <c r="Y15" i="1"/>
  <c r="AB15" i="1"/>
  <c r="AL15" i="1"/>
  <c r="AI15" i="1"/>
  <c r="AF15" i="1" l="1"/>
  <c r="AG15" i="1"/>
  <c r="AE15" i="1"/>
  <c r="V15" i="1"/>
  <c r="T15" i="1" s="1"/>
  <c r="AD15" i="1"/>
</calcChain>
</file>

<file path=xl/sharedStrings.xml><?xml version="1.0" encoding="utf-8"?>
<sst xmlns="http://schemas.openxmlformats.org/spreadsheetml/2006/main" count="198" uniqueCount="133">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</sst>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1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5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5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5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5" fontId="0" fillId="5" borderId="4" xfId="0" applyNumberFormat="1" applyFill="1" applyBorder="1" applyProtection="1"/>
    <xf numFmtId="0" fontId="0" fillId="6" borderId="4" xfId="0" applyFill="1" applyBorder="1" applyProtection="1"/>
    <xf numFmtId="165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5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5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5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5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5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5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5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5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5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5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5" fontId="0" fillId="13" borderId="5" xfId="0" applyNumberFormat="1" applyFill="1" applyBorder="1" applyProtection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5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5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5" fontId="5" fillId="14" borderId="1" xfId="0" applyNumberFormat="1" applyFont="1" applyFill="1" applyBorder="1" applyProtection="1">
      <protection locked="0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5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2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CD4AC"/>
      <color rgb="FFEBEFE5"/>
      <color rgb="FFC6D2B4"/>
      <color rgb="FF93C793"/>
      <color rgb="FFE3C3C3"/>
      <color rgb="FFF1E3E3"/>
      <color rgb="FFF4E8E8"/>
      <color rgb="FFDAAFAF"/>
      <color rgb="FFEFAFAF"/>
      <color rgb="FFE7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H1:I3" totalsRowShown="0">
  <autoFilter ref="H1:I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M60"/>
  <sheetViews>
    <sheetView tabSelected="1" zoomScaleNormal="10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B1" sqref="B1:C1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16384" width="8.88671875" style="9"/>
  </cols>
  <sheetData>
    <row r="1" spans="1:39" ht="18" x14ac:dyDescent="0.35">
      <c r="A1" s="90" t="s">
        <v>118</v>
      </c>
      <c r="B1" s="117"/>
      <c r="C1" s="118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121</v>
      </c>
      <c r="Y1" s="31" t="s">
        <v>50</v>
      </c>
      <c r="Z1" s="29"/>
      <c r="AA1" s="29"/>
      <c r="AB1" s="29"/>
      <c r="AC1" s="29"/>
      <c r="AD1" s="105" t="s">
        <v>95</v>
      </c>
      <c r="AE1" s="106"/>
      <c r="AF1" s="106"/>
      <c r="AG1" s="106"/>
      <c r="AH1" s="106"/>
      <c r="AI1" s="74" t="s">
        <v>105</v>
      </c>
      <c r="AJ1" s="75"/>
      <c r="AK1" s="75"/>
      <c r="AL1" s="75"/>
    </row>
    <row r="2" spans="1:39" x14ac:dyDescent="0.3">
      <c r="A2" s="90" t="s">
        <v>119</v>
      </c>
      <c r="B2" s="45">
        <v>44834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131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104</v>
      </c>
      <c r="AE2" s="106"/>
      <c r="AF2" s="108"/>
      <c r="AH2" s="106"/>
      <c r="AJ2" s="75"/>
      <c r="AK2" s="75"/>
      <c r="AL2" s="85" t="s">
        <v>114</v>
      </c>
      <c r="AM2" s="86">
        <v>3</v>
      </c>
    </row>
    <row r="3" spans="1:39" x14ac:dyDescent="0.3">
      <c r="A3" s="90" t="s">
        <v>120</v>
      </c>
      <c r="B3" s="46">
        <v>0.42393518518518519</v>
      </c>
      <c r="C3" s="2"/>
      <c r="D3" s="2"/>
      <c r="E3" s="2"/>
      <c r="F3" s="2"/>
      <c r="G3" s="2"/>
      <c r="I3" s="14"/>
      <c r="J3" s="15" t="s">
        <v>69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122</v>
      </c>
      <c r="W3" s="119" t="s">
        <v>125</v>
      </c>
      <c r="X3" s="120"/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115</v>
      </c>
      <c r="AM3" s="86">
        <v>1</v>
      </c>
    </row>
    <row r="4" spans="1:39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123</v>
      </c>
      <c r="W4" s="116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116</v>
      </c>
      <c r="AM4" s="86">
        <v>18</v>
      </c>
    </row>
    <row r="5" spans="1:39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117</v>
      </c>
      <c r="AM5" s="86">
        <v>4.5</v>
      </c>
    </row>
    <row r="6" spans="1:39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130</v>
      </c>
      <c r="W6" s="103">
        <v>0.5</v>
      </c>
      <c r="Z6" s="29"/>
      <c r="AA6" s="29"/>
      <c r="AB6" s="32" t="s">
        <v>65</v>
      </c>
      <c r="AC6" s="30">
        <v>25</v>
      </c>
      <c r="AE6" s="106"/>
      <c r="AF6" s="108"/>
      <c r="AG6" s="108"/>
      <c r="AH6" s="106"/>
      <c r="AJ6" s="75"/>
      <c r="AK6" s="75"/>
      <c r="AL6" s="85" t="s">
        <v>65</v>
      </c>
      <c r="AM6" s="86">
        <v>20</v>
      </c>
    </row>
    <row r="7" spans="1:39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</row>
    <row r="8" spans="1:39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</row>
    <row r="9" spans="1:39" x14ac:dyDescent="0.3">
      <c r="A9" s="10" t="s">
        <v>68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39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100</v>
      </c>
      <c r="M10" s="68" t="s">
        <v>102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39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106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39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39" s="69" customFormat="1" ht="18" x14ac:dyDescent="0.35">
      <c r="A13" s="37" t="s">
        <v>1</v>
      </c>
      <c r="B13" s="38"/>
      <c r="C13" s="39"/>
      <c r="D13" s="39"/>
      <c r="E13" s="39"/>
      <c r="F13" s="66" t="s">
        <v>96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</row>
    <row r="14" spans="1:39" s="71" customFormat="1" ht="60" customHeight="1" x14ac:dyDescent="0.3">
      <c r="A14" s="57" t="s">
        <v>107</v>
      </c>
      <c r="B14" s="58" t="s">
        <v>108</v>
      </c>
      <c r="C14" s="59" t="s">
        <v>109</v>
      </c>
      <c r="D14" s="59" t="s">
        <v>110</v>
      </c>
      <c r="E14" s="59" t="s">
        <v>111</v>
      </c>
      <c r="F14" s="60" t="s">
        <v>112</v>
      </c>
      <c r="G14" s="60" t="s">
        <v>0</v>
      </c>
      <c r="H14" s="83" t="s">
        <v>113</v>
      </c>
      <c r="I14" s="61" t="s">
        <v>97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97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97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97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97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97</v>
      </c>
      <c r="AJ14" s="77" t="s">
        <v>4</v>
      </c>
      <c r="AK14" s="77" t="s">
        <v>5</v>
      </c>
      <c r="AL14" s="78" t="s">
        <v>6</v>
      </c>
      <c r="AM14" s="78" t="s">
        <v>8</v>
      </c>
    </row>
    <row r="15" spans="1:39" s="70" customFormat="1" x14ac:dyDescent="0.3">
      <c r="A15" s="45">
        <v>44834</v>
      </c>
      <c r="B15" s="46">
        <v>0.42394675925925923</v>
      </c>
      <c r="C15" s="47">
        <v>25</v>
      </c>
      <c r="D15" s="47">
        <v>30</v>
      </c>
      <c r="E15" s="47" t="s">
        <v>132</v>
      </c>
      <c r="F15" s="47">
        <v>20</v>
      </c>
      <c r="G15" s="47">
        <v>8</v>
      </c>
      <c r="H15" s="82">
        <f>backbearing(E15)</f>
        <v>180</v>
      </c>
      <c r="I15" s="48">
        <f t="shared" ref="I15" si="1">fbi(K15,$I$1)</f>
        <v>18</v>
      </c>
      <c r="J15" s="49">
        <f>ROS_forest(F15,$J$4,$J$5,$J$10,N15,G15,$J$2,$G$13,$M$10)</f>
        <v>408.61795303209414</v>
      </c>
      <c r="K15" s="49">
        <f>Intensity_forest(J15,G15,L15,$K$4,$K$5,$K$6,$K$8,$J$12,$J$2,$G$13,$M$10)</f>
        <v>2617.8790392261863</v>
      </c>
      <c r="L15" s="50">
        <f>Flame_height_forest(J15,$J$11)</f>
        <v>5.738792896270752</v>
      </c>
      <c r="M15" s="48">
        <f>Spotting_forest(J15,F15,$J$4)</f>
        <v>252</v>
      </c>
      <c r="N15" s="50">
        <f>FMC_Forest(C15,D15,A15,B15)</f>
        <v>7.5449999999999999</v>
      </c>
      <c r="O15" s="51">
        <f>fbi(Q15,$O$1)</f>
        <v>18</v>
      </c>
      <c r="P15" s="52">
        <f>ROS_grass(F15,S15,$P$4,$P$3)</f>
        <v>2633.49365234375</v>
      </c>
      <c r="Q15" s="52">
        <f>Intensity(P15,$Q$3)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100">
        <f>fbi(V15,$T$1)</f>
        <v>12</v>
      </c>
      <c r="U15" s="101">
        <f t="shared" ref="U15" si="2">ROS_woodland(F15,X15,curing_woodland,subtype_woodland,fl_woodland,waf_woodland)</f>
        <v>1316.746826171875</v>
      </c>
      <c r="V15" s="101">
        <f t="shared" ref="V15" si="3">Intensity_woodland(U15,fl_woodland)</f>
        <v>3061.436289749242</v>
      </c>
      <c r="W15" s="102">
        <f t="shared" ref="W15" si="4">Flame_height_woodland(U15,fl_woodland)</f>
        <v>0.83245730400085449</v>
      </c>
      <c r="X15" s="102">
        <f>FMC_woodland(C15,D15)</f>
        <v>8.5950002670288086</v>
      </c>
      <c r="Y15" s="54">
        <f>fbi(AA15,$Y$1)</f>
        <v>14</v>
      </c>
      <c r="Z15" s="55">
        <f>ROS_heath(F15,$AC$5,AC15,$AC$4)</f>
        <v>117.61177465976716</v>
      </c>
      <c r="AA15" s="55">
        <f>intensity_heath(Z15,tables!$C$19,$AC$7,0.2)</f>
        <v>1192.4541904556968</v>
      </c>
      <c r="AB15" s="56">
        <f>Flame_height_heath(AA15)</f>
        <v>1.4077964141083166</v>
      </c>
      <c r="AC15" s="56">
        <f>FMC_heath(C15,D15,$AC$2,$AC$3)</f>
        <v>8.3899999999999988</v>
      </c>
      <c r="AD15" s="112">
        <f>fbi(AF15,$AD$1)</f>
        <v>17</v>
      </c>
      <c r="AE15" s="113">
        <f t="array" ref="AE15:AG15">fb_pine_ensemble(F15,AH15,G15,$G$13)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FBI_mallee(F15,AM15,$AM$4,AK15)</f>
        <v>5</v>
      </c>
      <c r="AJ15" s="88">
        <f>ROS_mallee(F15,AM15,$AM$4,$AM$5)</f>
        <v>0</v>
      </c>
      <c r="AK15" s="88">
        <f>Intensity(AJ15,fuel_load_mallee(F15,$AM$6,AM15,$AM$2,$AM$3))</f>
        <v>0</v>
      </c>
      <c r="AL15" s="87">
        <f>flame_height_mallee(AK15)</f>
        <v>0</v>
      </c>
      <c r="AM15" s="79">
        <f>FMC_mallee(C15,D15,A15,B15,$AM$7,$AM$8)</f>
        <v>9.98</v>
      </c>
    </row>
    <row r="16" spans="1:39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</row>
    <row r="17" spans="1:39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</row>
    <row r="18" spans="1:39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</row>
    <row r="19" spans="1:39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</row>
    <row r="20" spans="1:39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</row>
    <row r="21" spans="1:39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</row>
    <row r="22" spans="1:39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</row>
    <row r="23" spans="1:39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39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39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39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39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39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39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39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39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39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sheetProtection sheet="1" objects="1" scenarios="1"/>
  <mergeCells count="2">
    <mergeCell ref="B1:C1"/>
    <mergeCell ref="W3:X3"/>
  </mergeCells>
  <conditionalFormatting sqref="O31:Q60 O15:O1048576">
    <cfRule type="expression" dxfId="31" priority="25">
      <formula>$O15&gt;=100</formula>
    </cfRule>
    <cfRule type="expression" dxfId="30" priority="26">
      <formula>$O15&gt;=50</formula>
    </cfRule>
    <cfRule type="expression" dxfId="29" priority="27">
      <formula>$O15&gt;=24</formula>
    </cfRule>
    <cfRule type="expression" dxfId="28" priority="28">
      <formula>$O15&gt;=12</formula>
    </cfRule>
  </conditionalFormatting>
  <conditionalFormatting sqref="I15:I1048576">
    <cfRule type="expression" dxfId="27" priority="29">
      <formula>$I15&gt;=100</formula>
    </cfRule>
    <cfRule type="expression" dxfId="26" priority="30">
      <formula>$I15&gt;50</formula>
    </cfRule>
    <cfRule type="expression" dxfId="25" priority="31">
      <formula>$I15&gt;=24</formula>
    </cfRule>
    <cfRule type="expression" dxfId="24" priority="32">
      <formula>$I15&gt;=12</formula>
    </cfRule>
  </conditionalFormatting>
  <conditionalFormatting sqref="Y60:Y179 Y15:Y30">
    <cfRule type="expression" dxfId="23" priority="24">
      <formula>$Y15&gt;=12</formula>
    </cfRule>
  </conditionalFormatting>
  <conditionalFormatting sqref="Y60:Y179 Y15:Y30">
    <cfRule type="expression" dxfId="22" priority="21">
      <formula>$Y15&gt;=100</formula>
    </cfRule>
    <cfRule type="expression" dxfId="21" priority="22">
      <formula>$Y15&gt;=50</formula>
    </cfRule>
    <cfRule type="expression" dxfId="20" priority="23">
      <formula>$Y15&gt;=24</formula>
    </cfRule>
  </conditionalFormatting>
  <conditionalFormatting sqref="AD57:AD179 AD15:AD30">
    <cfRule type="expression" dxfId="19" priority="20">
      <formula>$AD15&gt;=12</formula>
    </cfRule>
  </conditionalFormatting>
  <conditionalFormatting sqref="AD57:AD179 AD15:AD30">
    <cfRule type="expression" dxfId="18" priority="17">
      <formula>$AD15&gt;=100</formula>
    </cfRule>
    <cfRule type="expression" dxfId="17" priority="18">
      <formula>$AD15&gt;=50</formula>
    </cfRule>
    <cfRule type="expression" dxfId="16" priority="19">
      <formula>$AD15&gt;=24</formula>
    </cfRule>
  </conditionalFormatting>
  <conditionalFormatting sqref="AI15:AI30">
    <cfRule type="expression" dxfId="15" priority="16">
      <formula>AI15&gt;=12</formula>
    </cfRule>
  </conditionalFormatting>
  <conditionalFormatting sqref="AI15:AI30">
    <cfRule type="expression" dxfId="14" priority="13">
      <formula>AI15&gt;=100</formula>
    </cfRule>
    <cfRule type="expression" dxfId="13" priority="14">
      <formula>AI15&gt;=50</formula>
    </cfRule>
    <cfRule type="expression" dxfId="12" priority="15">
      <formula>AI15&gt;=24</formula>
    </cfRule>
  </conditionalFormatting>
  <conditionalFormatting sqref="Y31:AA59">
    <cfRule type="expression" dxfId="11" priority="12">
      <formula>$Y31&gt;=12</formula>
    </cfRule>
  </conditionalFormatting>
  <conditionalFormatting sqref="Y31:AA59">
    <cfRule type="expression" dxfId="10" priority="9">
      <formula>$Y31&gt;=100</formula>
    </cfRule>
    <cfRule type="expression" dxfId="9" priority="10">
      <formula>$Y31&gt;=50</formula>
    </cfRule>
    <cfRule type="expression" dxfId="8" priority="11">
      <formula>$Y31&gt;=24</formula>
    </cfRule>
  </conditionalFormatting>
  <conditionalFormatting sqref="AD31:AE56">
    <cfRule type="expression" dxfId="7" priority="8">
      <formula>$AD31&gt;=12</formula>
    </cfRule>
  </conditionalFormatting>
  <conditionalFormatting sqref="AD31:AE56">
    <cfRule type="expression" dxfId="6" priority="5">
      <formula>$AD31&gt;=100</formula>
    </cfRule>
    <cfRule type="expression" dxfId="5" priority="6">
      <formula>$AD31&gt;=50</formula>
    </cfRule>
    <cfRule type="expression" dxfId="4" priority="7">
      <formula>$AD31&gt;=24</formula>
    </cfRule>
  </conditionalFormatting>
  <conditionalFormatting sqref="T15:T30">
    <cfRule type="expression" dxfId="3" priority="1">
      <formula>$O15&gt;=100</formula>
    </cfRule>
    <cfRule type="expression" dxfId="2" priority="2">
      <formula>$O15&gt;=50</formula>
    </cfRule>
    <cfRule type="expression" dxfId="1" priority="3">
      <formula>$O15&gt;=24</formula>
    </cfRule>
    <cfRule type="expression" dxfId="0" priority="4">
      <formula>$O15&gt;=12</formula>
    </cfRule>
  </conditionalFormatting>
  <dataValidations count="23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tables!$H$2:$H$3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tables!$K$2:$K$3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tables!$M$2:$M$6</xm:f>
          </x14:formula1>
          <xm:sqref>W3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M28"/>
  <sheetViews>
    <sheetView workbookViewId="0">
      <selection activeCell="M7" sqref="M7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6" width="12.109375" customWidth="1"/>
    <col min="8" max="8" width="17.33203125" customWidth="1"/>
  </cols>
  <sheetData>
    <row r="1" spans="1:13" x14ac:dyDescent="0.3">
      <c r="A1" s="27" t="s">
        <v>47</v>
      </c>
      <c r="F1" t="s">
        <v>17</v>
      </c>
      <c r="H1" t="s">
        <v>54</v>
      </c>
      <c r="I1" t="s">
        <v>56</v>
      </c>
      <c r="K1" s="27" t="s">
        <v>101</v>
      </c>
      <c r="M1" s="27" t="s">
        <v>124</v>
      </c>
    </row>
    <row r="2" spans="1:13" x14ac:dyDescent="0.3">
      <c r="A2" s="27" t="s">
        <v>60</v>
      </c>
      <c r="B2" s="27" t="s">
        <v>58</v>
      </c>
      <c r="C2" s="27" t="s">
        <v>59</v>
      </c>
      <c r="D2" s="27" t="s">
        <v>63</v>
      </c>
      <c r="F2" t="s">
        <v>18</v>
      </c>
      <c r="H2" t="b">
        <v>1</v>
      </c>
      <c r="I2">
        <v>0.35</v>
      </c>
      <c r="K2" t="s">
        <v>102</v>
      </c>
      <c r="M2" t="s">
        <v>125</v>
      </c>
    </row>
    <row r="3" spans="1:13" x14ac:dyDescent="0.3">
      <c r="A3" t="s">
        <v>70</v>
      </c>
      <c r="B3" t="s">
        <v>42</v>
      </c>
      <c r="C3">
        <v>30</v>
      </c>
      <c r="D3" t="s">
        <v>71</v>
      </c>
      <c r="F3" t="s">
        <v>19</v>
      </c>
      <c r="H3" t="b">
        <v>0</v>
      </c>
      <c r="I3">
        <v>0.66700000000000004</v>
      </c>
      <c r="K3" t="s">
        <v>103</v>
      </c>
      <c r="M3" t="s">
        <v>126</v>
      </c>
    </row>
    <row r="4" spans="1:13" x14ac:dyDescent="0.3">
      <c r="A4" t="s">
        <v>70</v>
      </c>
      <c r="B4" t="s">
        <v>41</v>
      </c>
      <c r="C4">
        <v>25</v>
      </c>
      <c r="D4" t="s">
        <v>72</v>
      </c>
      <c r="F4" t="s">
        <v>20</v>
      </c>
      <c r="M4" t="s">
        <v>127</v>
      </c>
    </row>
    <row r="5" spans="1:13" x14ac:dyDescent="0.3">
      <c r="A5" t="s">
        <v>70</v>
      </c>
      <c r="B5" t="s">
        <v>66</v>
      </c>
      <c r="C5">
        <v>25</v>
      </c>
      <c r="D5" t="s">
        <v>80</v>
      </c>
      <c r="M5" t="s">
        <v>128</v>
      </c>
    </row>
    <row r="6" spans="1:13" x14ac:dyDescent="0.3">
      <c r="A6" t="s">
        <v>70</v>
      </c>
      <c r="B6" t="s">
        <v>37</v>
      </c>
      <c r="C6">
        <v>20</v>
      </c>
      <c r="D6" t="s">
        <v>81</v>
      </c>
      <c r="M6" t="s">
        <v>129</v>
      </c>
    </row>
    <row r="7" spans="1:13" x14ac:dyDescent="0.3">
      <c r="A7" t="s">
        <v>29</v>
      </c>
      <c r="B7" t="s">
        <v>31</v>
      </c>
      <c r="C7">
        <v>8</v>
      </c>
      <c r="D7" t="s">
        <v>82</v>
      </c>
    </row>
    <row r="8" spans="1:13" x14ac:dyDescent="0.3">
      <c r="A8" t="s">
        <v>29</v>
      </c>
      <c r="B8" t="s">
        <v>39</v>
      </c>
      <c r="C8">
        <v>3</v>
      </c>
      <c r="D8" t="s">
        <v>73</v>
      </c>
    </row>
    <row r="9" spans="1:13" x14ac:dyDescent="0.3">
      <c r="A9" t="s">
        <v>29</v>
      </c>
      <c r="B9" t="s">
        <v>38</v>
      </c>
      <c r="C9">
        <v>3</v>
      </c>
      <c r="D9" t="s">
        <v>74</v>
      </c>
    </row>
    <row r="10" spans="1:13" x14ac:dyDescent="0.3">
      <c r="A10" t="s">
        <v>29</v>
      </c>
      <c r="B10" t="s">
        <v>34</v>
      </c>
      <c r="C10">
        <v>3</v>
      </c>
      <c r="D10" t="s">
        <v>75</v>
      </c>
    </row>
    <row r="11" spans="1:13" x14ac:dyDescent="0.3">
      <c r="A11" t="s">
        <v>29</v>
      </c>
      <c r="B11" t="s">
        <v>33</v>
      </c>
      <c r="C11">
        <v>3</v>
      </c>
      <c r="D11" t="s">
        <v>76</v>
      </c>
    </row>
    <row r="12" spans="1:13" x14ac:dyDescent="0.3">
      <c r="A12" t="s">
        <v>29</v>
      </c>
      <c r="B12" t="s">
        <v>35</v>
      </c>
      <c r="C12">
        <v>4.5</v>
      </c>
      <c r="D12" t="s">
        <v>77</v>
      </c>
    </row>
    <row r="13" spans="1:13" x14ac:dyDescent="0.3">
      <c r="A13" t="s">
        <v>29</v>
      </c>
      <c r="B13" t="s">
        <v>32</v>
      </c>
      <c r="C13">
        <v>10</v>
      </c>
      <c r="D13" t="s">
        <v>78</v>
      </c>
    </row>
    <row r="14" spans="1:13" x14ac:dyDescent="0.3">
      <c r="A14" t="s">
        <v>29</v>
      </c>
      <c r="B14" t="s">
        <v>40</v>
      </c>
      <c r="C14">
        <v>20</v>
      </c>
      <c r="D14" t="s">
        <v>79</v>
      </c>
    </row>
    <row r="15" spans="1:13" x14ac:dyDescent="0.3">
      <c r="A15" t="s">
        <v>29</v>
      </c>
      <c r="B15" t="s">
        <v>36</v>
      </c>
      <c r="C15">
        <v>20</v>
      </c>
      <c r="D15" t="s">
        <v>85</v>
      </c>
    </row>
    <row r="16" spans="1:13" x14ac:dyDescent="0.3">
      <c r="A16" t="s">
        <v>29</v>
      </c>
      <c r="B16" t="s">
        <v>3</v>
      </c>
      <c r="C16">
        <v>3</v>
      </c>
      <c r="D16" t="s">
        <v>86</v>
      </c>
    </row>
    <row r="17" spans="1:4" x14ac:dyDescent="0.3">
      <c r="A17" t="s">
        <v>44</v>
      </c>
      <c r="B17" t="s">
        <v>43</v>
      </c>
      <c r="C17">
        <v>100</v>
      </c>
      <c r="D17" t="s">
        <v>87</v>
      </c>
    </row>
    <row r="18" spans="1:4" x14ac:dyDescent="0.3">
      <c r="A18" t="s">
        <v>44</v>
      </c>
      <c r="B18" t="s">
        <v>24</v>
      </c>
      <c r="C18" t="s">
        <v>19</v>
      </c>
      <c r="D18" t="s">
        <v>88</v>
      </c>
    </row>
    <row r="19" spans="1:4" x14ac:dyDescent="0.3">
      <c r="A19" t="s">
        <v>61</v>
      </c>
      <c r="B19" t="s">
        <v>98</v>
      </c>
      <c r="C19">
        <v>20</v>
      </c>
      <c r="D19" t="s">
        <v>83</v>
      </c>
    </row>
    <row r="20" spans="1:4" x14ac:dyDescent="0.3">
      <c r="A20" t="s">
        <v>61</v>
      </c>
      <c r="B20" t="s">
        <v>62</v>
      </c>
      <c r="C20">
        <v>2</v>
      </c>
      <c r="D20" t="s">
        <v>84</v>
      </c>
    </row>
    <row r="21" spans="1:4" x14ac:dyDescent="0.3">
      <c r="A21" t="s">
        <v>61</v>
      </c>
      <c r="B21" t="s">
        <v>49</v>
      </c>
      <c r="C21">
        <v>48</v>
      </c>
      <c r="D21" t="s">
        <v>89</v>
      </c>
    </row>
    <row r="22" spans="1:4" x14ac:dyDescent="0.3">
      <c r="A22" t="s">
        <v>61</v>
      </c>
      <c r="B22" t="s">
        <v>99</v>
      </c>
      <c r="C22">
        <v>0.2</v>
      </c>
      <c r="D22" t="s">
        <v>67</v>
      </c>
    </row>
    <row r="23" spans="1:4" x14ac:dyDescent="0.3">
      <c r="A23" t="s">
        <v>61</v>
      </c>
      <c r="B23" t="s">
        <v>55</v>
      </c>
      <c r="C23" t="b">
        <v>0</v>
      </c>
      <c r="D23" t="s">
        <v>64</v>
      </c>
    </row>
    <row r="24" spans="1:4" x14ac:dyDescent="0.3">
      <c r="A24" t="s">
        <v>61</v>
      </c>
      <c r="B24" t="s">
        <v>48</v>
      </c>
    </row>
    <row r="25" spans="1:4" x14ac:dyDescent="0.3">
      <c r="A25" t="s">
        <v>90</v>
      </c>
      <c r="B25" t="s">
        <v>31</v>
      </c>
      <c r="C25">
        <v>8</v>
      </c>
      <c r="D25" t="s">
        <v>82</v>
      </c>
    </row>
    <row r="26" spans="1:4" x14ac:dyDescent="0.3">
      <c r="A26" t="s">
        <v>90</v>
      </c>
      <c r="B26" t="s">
        <v>3</v>
      </c>
      <c r="C26">
        <v>5</v>
      </c>
      <c r="D26" t="s">
        <v>91</v>
      </c>
    </row>
    <row r="27" spans="1:4" x14ac:dyDescent="0.3">
      <c r="A27" t="s">
        <v>90</v>
      </c>
      <c r="B27" t="s">
        <v>92</v>
      </c>
      <c r="C27">
        <v>100</v>
      </c>
      <c r="D27" t="s">
        <v>93</v>
      </c>
    </row>
    <row r="28" spans="1:4" x14ac:dyDescent="0.3">
      <c r="A28" t="s">
        <v>94</v>
      </c>
      <c r="B28" t="s">
        <v>32</v>
      </c>
      <c r="C28">
        <v>1.05</v>
      </c>
      <c r="D28" t="s">
        <v>78</v>
      </c>
    </row>
  </sheetData>
  <sheetProtection sheet="1" objects="1" scenarios="1"/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39</vt:i4>
      </vt:variant>
    </vt:vector>
  </HeadingPairs>
  <TitlesOfParts>
    <vt:vector size="41" baseType="lpstr">
      <vt:lpstr>AFDRS</vt:lpstr>
      <vt:lpstr>tables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rain_heath</vt:lpstr>
      <vt:lpstr>rain_mallee</vt:lpstr>
      <vt:lpstr>rh_row1</vt:lpstr>
      <vt:lpstr>state_grass</vt:lpstr>
      <vt:lpstr>submodel_forest</vt:lpstr>
      <vt:lpstr>subtype_woodland</vt:lpstr>
      <vt:lpstr>temp_row1</vt:lpstr>
      <vt:lpstr>time_row1</vt:lpstr>
      <vt:lpstr>tsf_heath</vt:lpstr>
      <vt:lpstr>tsf_mallee</vt:lpstr>
      <vt:lpstr>tsr_heath</vt:lpstr>
      <vt:lpstr>tsr_mallee</vt:lpstr>
      <vt:lpstr>waf_forest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2022-09-30T00:43:23Z</dcterms:modified>
</cp:coreProperties>
</file>