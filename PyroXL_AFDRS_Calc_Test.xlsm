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bookViews>
  <sheets>
    <sheet name="AFDRS" sheetId="1" r:id="rId1"/>
    <sheet name="tests_pine" sheetId="10" r:id="rId2"/>
    <sheet name="tables" sheetId="3" r:id="rId3"/>
    <sheet name="tests_general" sheetId="6" r:id="rId4"/>
    <sheet name="tests_forest" sheetId="7" r:id="rId5"/>
    <sheet name="tests_grass" sheetId="8" r:id="rId6"/>
    <sheet name="tests_heath" sheetId="9" r:id="rId7"/>
    <sheet name="sandbox" sheetId="2" r:id="rId8"/>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 i="10" l="1"/>
  <c r="C14" i="10"/>
  <c r="C10" i="10"/>
  <c r="Q21" i="1"/>
  <c r="Q27" i="1"/>
  <c r="Q33" i="1"/>
  <c r="Q39" i="1"/>
  <c r="Q45" i="1"/>
  <c r="Q51" i="1"/>
  <c r="Q57" i="1"/>
  <c r="Q53" i="1"/>
  <c r="L31" i="1"/>
  <c r="L37" i="1"/>
  <c r="V42" i="1"/>
  <c r="V17" i="1"/>
  <c r="L18" i="1"/>
  <c r="AA20" i="1"/>
  <c r="V23" i="1"/>
  <c r="L24" i="1"/>
  <c r="AA26" i="1"/>
  <c r="V29" i="1"/>
  <c r="L30" i="1"/>
  <c r="AA32" i="1"/>
  <c r="V35" i="1"/>
  <c r="S35" i="1" s="1"/>
  <c r="L36" i="1"/>
  <c r="AA38" i="1"/>
  <c r="V41" i="1"/>
  <c r="L42" i="1"/>
  <c r="AA44" i="1"/>
  <c r="V47" i="1"/>
  <c r="L48" i="1"/>
  <c r="AA50" i="1"/>
  <c r="V53" i="1"/>
  <c r="L54" i="1"/>
  <c r="AA56" i="1"/>
  <c r="X56" i="1" s="1" a="1"/>
  <c r="L57" i="1"/>
  <c r="AA52" i="1"/>
  <c r="Q16" i="1"/>
  <c r="Q52" i="1"/>
  <c r="Q58" i="1"/>
  <c r="AA21" i="1"/>
  <c r="Q20" i="1"/>
  <c r="Q26" i="1"/>
  <c r="Q32" i="1"/>
  <c r="Q38" i="1"/>
  <c r="Q44" i="1"/>
  <c r="Q50" i="1"/>
  <c r="Q56" i="1"/>
  <c r="N56" i="1" s="1"/>
  <c r="N52" i="1"/>
  <c r="O52" i="1" s="1"/>
  <c r="H54" i="1"/>
  <c r="Q34" i="1"/>
  <c r="V16" i="1"/>
  <c r="S16" i="1" s="1"/>
  <c r="T16" i="1" s="1"/>
  <c r="L17" i="1"/>
  <c r="AA19" i="1"/>
  <c r="X19" i="1" s="1" a="1"/>
  <c r="V22" i="1"/>
  <c r="S22" i="1" s="1"/>
  <c r="T22" i="1" s="1"/>
  <c r="L23" i="1"/>
  <c r="H23" i="1" s="1"/>
  <c r="AA25" i="1"/>
  <c r="X25" i="1" s="1" a="1"/>
  <c r="V28" i="1"/>
  <c r="S28" i="1" s="1"/>
  <c r="T28" i="1" s="1"/>
  <c r="U28" i="1" s="1"/>
  <c r="L29" i="1"/>
  <c r="AA31" i="1"/>
  <c r="V34" i="1"/>
  <c r="S34" i="1" s="1"/>
  <c r="T34" i="1" s="1"/>
  <c r="L35" i="1"/>
  <c r="AA37" i="1"/>
  <c r="V40" i="1"/>
  <c r="S40" i="1" s="1"/>
  <c r="T40" i="1" s="1"/>
  <c r="U40" i="1" s="1"/>
  <c r="L41" i="1"/>
  <c r="H41" i="1" s="1"/>
  <c r="AA43" i="1"/>
  <c r="V46" i="1"/>
  <c r="S46" i="1" s="1"/>
  <c r="T46" i="1" s="1"/>
  <c r="L47" i="1"/>
  <c r="AA49" i="1"/>
  <c r="V52" i="1"/>
  <c r="S52" i="1" s="1"/>
  <c r="T52" i="1" s="1"/>
  <c r="U52" i="1" s="1"/>
  <c r="L53" i="1"/>
  <c r="AA55" i="1"/>
  <c r="H57" i="1"/>
  <c r="V58" i="1"/>
  <c r="S58" i="1" s="1"/>
  <c r="T58" i="1" s="1"/>
  <c r="L58" i="1"/>
  <c r="H58" i="1" s="1"/>
  <c r="V50" i="1"/>
  <c r="N58" i="1"/>
  <c r="O58" i="1" s="1"/>
  <c r="P58" i="1"/>
  <c r="S41" i="1"/>
  <c r="S47" i="1"/>
  <c r="S53" i="1"/>
  <c r="AA27" i="1"/>
  <c r="N32" i="1"/>
  <c r="N38" i="1"/>
  <c r="X43" i="1" a="1"/>
  <c r="L49" i="1"/>
  <c r="H49" i="1" s="1"/>
  <c r="J49" i="1" s="1"/>
  <c r="L55" i="1"/>
  <c r="H55" i="1" s="1"/>
  <c r="Q19" i="1"/>
  <c r="N19" i="1" s="1"/>
  <c r="Q25" i="1"/>
  <c r="N25" i="1" s="1"/>
  <c r="Q31" i="1"/>
  <c r="N31" i="1" s="1"/>
  <c r="Q37" i="1"/>
  <c r="N37" i="1" s="1"/>
  <c r="Q43" i="1"/>
  <c r="N43" i="1" s="1"/>
  <c r="Q49" i="1"/>
  <c r="N49" i="1" s="1"/>
  <c r="S50" i="1"/>
  <c r="Q55" i="1"/>
  <c r="N55" i="1" s="1"/>
  <c r="L51" i="1"/>
  <c r="H51" i="1" s="1"/>
  <c r="V56" i="1"/>
  <c r="S56" i="1" s="1"/>
  <c r="N51" i="1"/>
  <c r="P51" i="1" s="1"/>
  <c r="AA58" i="1"/>
  <c r="X58" i="1" s="1" a="1"/>
  <c r="AA33" i="1"/>
  <c r="V54" i="1"/>
  <c r="L16" i="1"/>
  <c r="H16" i="1" s="1"/>
  <c r="AA18" i="1"/>
  <c r="X18" i="1" s="1" a="1"/>
  <c r="V21" i="1"/>
  <c r="S21" i="1" s="1"/>
  <c r="T21" i="1" s="1"/>
  <c r="L22" i="1"/>
  <c r="H22" i="1" s="1"/>
  <c r="AA24" i="1"/>
  <c r="X24" i="1" s="1" a="1"/>
  <c r="V27" i="1"/>
  <c r="S27" i="1" s="1"/>
  <c r="T27" i="1" s="1"/>
  <c r="L28" i="1"/>
  <c r="H28" i="1" s="1"/>
  <c r="AA30" i="1"/>
  <c r="X30" i="1" s="1" a="1"/>
  <c r="V33" i="1"/>
  <c r="S33" i="1" s="1"/>
  <c r="T33" i="1" s="1"/>
  <c r="L34" i="1"/>
  <c r="H34" i="1" s="1"/>
  <c r="AA36" i="1"/>
  <c r="X36" i="1" s="1" a="1"/>
  <c r="V39" i="1"/>
  <c r="S39" i="1" s="1"/>
  <c r="T39" i="1" s="1"/>
  <c r="L40" i="1"/>
  <c r="H40" i="1" s="1"/>
  <c r="AA42" i="1"/>
  <c r="X42" i="1" s="1" a="1"/>
  <c r="V45" i="1"/>
  <c r="S45" i="1" s="1"/>
  <c r="T45" i="1" s="1"/>
  <c r="L46" i="1"/>
  <c r="H46" i="1" s="1"/>
  <c r="AA48" i="1"/>
  <c r="X48" i="1" s="1" a="1"/>
  <c r="T50" i="1"/>
  <c r="R50" i="1" s="1"/>
  <c r="J51" i="1"/>
  <c r="I51" i="1" s="1"/>
  <c r="G51" i="1" s="1"/>
  <c r="V51" i="1"/>
  <c r="S51" i="1" s="1"/>
  <c r="T51" i="1" s="1"/>
  <c r="L52" i="1"/>
  <c r="H52" i="1" s="1"/>
  <c r="X52" i="1" a="1"/>
  <c r="N53" i="1"/>
  <c r="AA54" i="1"/>
  <c r="X54" i="1" s="1" a="1"/>
  <c r="T56" i="1"/>
  <c r="R56" i="1" s="1"/>
  <c r="J57" i="1"/>
  <c r="I57" i="1" s="1"/>
  <c r="G57" i="1" s="1"/>
  <c r="V57" i="1"/>
  <c r="S57" i="1" s="1"/>
  <c r="T57" i="1" s="1"/>
  <c r="AA53" i="1"/>
  <c r="X53" i="1" s="1" a="1"/>
  <c r="X50" i="1" a="1"/>
  <c r="L56" i="1"/>
  <c r="H56" i="1" s="1"/>
  <c r="S17" i="1"/>
  <c r="T17" i="1" s="1"/>
  <c r="U17" i="1" s="1"/>
  <c r="Q28" i="1"/>
  <c r="Q40" i="1"/>
  <c r="Q46" i="1"/>
  <c r="O51" i="1"/>
  <c r="M51" i="1" s="1"/>
  <c r="H17" i="1"/>
  <c r="N26" i="1"/>
  <c r="R40" i="1"/>
  <c r="N44" i="1"/>
  <c r="V48" i="1"/>
  <c r="H53" i="1"/>
  <c r="Q18" i="1"/>
  <c r="N18" i="1" s="1"/>
  <c r="Q24" i="1"/>
  <c r="N24" i="1" s="1"/>
  <c r="Q30" i="1"/>
  <c r="N30" i="1" s="1"/>
  <c r="Q36" i="1"/>
  <c r="N36" i="1" s="1"/>
  <c r="Q42" i="1"/>
  <c r="N42" i="1" s="1"/>
  <c r="Q48" i="1"/>
  <c r="N48" i="1" s="1"/>
  <c r="U50" i="1"/>
  <c r="K51" i="1"/>
  <c r="M52" i="1"/>
  <c r="O53" i="1"/>
  <c r="M53" i="1" s="1"/>
  <c r="Q54" i="1"/>
  <c r="N54" i="1" s="1"/>
  <c r="U56" i="1"/>
  <c r="K57" i="1"/>
  <c r="M58" i="1"/>
  <c r="V44" i="1"/>
  <c r="S44" i="1" s="1"/>
  <c r="T44" i="1" s="1"/>
  <c r="P53" i="1"/>
  <c r="J56" i="1"/>
  <c r="I56" i="1" s="1"/>
  <c r="G56" i="1" s="1"/>
  <c r="K56" i="1"/>
  <c r="P52" i="1"/>
  <c r="V55" i="1"/>
  <c r="S55" i="1" s="1"/>
  <c r="T55" i="1" s="1"/>
  <c r="R28" i="1"/>
  <c r="X31" i="1" a="1"/>
  <c r="X37" i="1" a="1"/>
  <c r="L43" i="1"/>
  <c r="X49" i="1" a="1"/>
  <c r="T53" i="1"/>
  <c r="AA57" i="1"/>
  <c r="N16" i="1"/>
  <c r="AA17" i="1"/>
  <c r="X17" i="1" s="1" a="1"/>
  <c r="V20" i="1"/>
  <c r="S20" i="1" s="1"/>
  <c r="T20" i="1" s="1"/>
  <c r="L21" i="1"/>
  <c r="H21" i="1" s="1"/>
  <c r="X21" i="1" a="1"/>
  <c r="AA23" i="1"/>
  <c r="X23" i="1" s="1" a="1"/>
  <c r="V26" i="1"/>
  <c r="S26" i="1" s="1"/>
  <c r="T26" i="1" s="1"/>
  <c r="L27" i="1"/>
  <c r="H27" i="1" s="1"/>
  <c r="X27" i="1" a="1"/>
  <c r="N28" i="1"/>
  <c r="AA29" i="1"/>
  <c r="X29" i="1" s="1" a="1"/>
  <c r="H31" i="1"/>
  <c r="K31" i="1" s="1"/>
  <c r="V32" i="1"/>
  <c r="S32" i="1" s="1"/>
  <c r="T32" i="1" s="1"/>
  <c r="L33" i="1"/>
  <c r="H33" i="1" s="1"/>
  <c r="X33" i="1" a="1"/>
  <c r="N34" i="1"/>
  <c r="AA35" i="1"/>
  <c r="X35" i="1" s="1" a="1"/>
  <c r="H37" i="1"/>
  <c r="K37" i="1" s="1"/>
  <c r="V38" i="1"/>
  <c r="S38" i="1" s="1"/>
  <c r="T38" i="1" s="1"/>
  <c r="L39" i="1"/>
  <c r="H39" i="1" s="1"/>
  <c r="N40" i="1"/>
  <c r="AA41" i="1"/>
  <c r="X41" i="1" s="1" a="1"/>
  <c r="H43" i="1"/>
  <c r="L45" i="1"/>
  <c r="H45" i="1" s="1"/>
  <c r="N46" i="1"/>
  <c r="AA47" i="1"/>
  <c r="X47" i="1" s="1" a="1"/>
  <c r="X57" i="1" a="1"/>
  <c r="S54" i="1"/>
  <c r="L50" i="1"/>
  <c r="H50" i="1" s="1"/>
  <c r="N57" i="1"/>
  <c r="V18" i="1"/>
  <c r="L25" i="1"/>
  <c r="H25" i="1" s="1"/>
  <c r="K25" i="1" s="1"/>
  <c r="V36" i="1"/>
  <c r="T41" i="1"/>
  <c r="U41" i="1" s="1"/>
  <c r="AA45" i="1"/>
  <c r="X45" i="1" s="1" a="1"/>
  <c r="N50" i="1"/>
  <c r="X55" i="1" a="1"/>
  <c r="O16" i="1"/>
  <c r="M16" i="1" s="1"/>
  <c r="Q17" i="1"/>
  <c r="N17" i="1" s="1"/>
  <c r="S18" i="1"/>
  <c r="Q23" i="1"/>
  <c r="N23" i="1" s="1"/>
  <c r="O28" i="1"/>
  <c r="M28" i="1" s="1"/>
  <c r="Q29" i="1"/>
  <c r="N29" i="1" s="1"/>
  <c r="O34" i="1"/>
  <c r="M34" i="1" s="1"/>
  <c r="Q35" i="1"/>
  <c r="N35" i="1" s="1"/>
  <c r="S36" i="1"/>
  <c r="O40" i="1"/>
  <c r="M40" i="1" s="1"/>
  <c r="Q41" i="1"/>
  <c r="N41" i="1" s="1"/>
  <c r="S42" i="1"/>
  <c r="O46" i="1"/>
  <c r="M46" i="1" s="1"/>
  <c r="Q47" i="1"/>
  <c r="N47" i="1" s="1"/>
  <c r="S48" i="1"/>
  <c r="I49" i="1"/>
  <c r="G49" i="1" s="1"/>
  <c r="K50" i="1"/>
  <c r="J55" i="1"/>
  <c r="I55" i="1" s="1"/>
  <c r="G55" i="1" s="1"/>
  <c r="O57" i="1"/>
  <c r="M57" i="1" s="1"/>
  <c r="N20" i="1"/>
  <c r="V30" i="1"/>
  <c r="S30" i="1" s="1"/>
  <c r="H35" i="1"/>
  <c r="T47" i="1"/>
  <c r="U47" i="1" s="1"/>
  <c r="R52" i="1"/>
  <c r="P57" i="1"/>
  <c r="P16" i="1"/>
  <c r="AA16" i="1"/>
  <c r="X16" i="1" s="1" a="1"/>
  <c r="R17" i="1"/>
  <c r="H18" i="1"/>
  <c r="T18" i="1"/>
  <c r="V19" i="1"/>
  <c r="S19" i="1" s="1"/>
  <c r="T19" i="1" s="1"/>
  <c r="L20" i="1"/>
  <c r="H20" i="1" s="1"/>
  <c r="X20" i="1" a="1"/>
  <c r="N21" i="1"/>
  <c r="AA22" i="1"/>
  <c r="X22" i="1" s="1" a="1"/>
  <c r="H24" i="1"/>
  <c r="J25" i="1"/>
  <c r="I25" i="1" s="1"/>
  <c r="G25" i="1" s="1"/>
  <c r="V25" i="1"/>
  <c r="S25" i="1" s="1"/>
  <c r="T25" i="1" s="1"/>
  <c r="L26" i="1"/>
  <c r="H26" i="1" s="1"/>
  <c r="X26" i="1" a="1"/>
  <c r="N27" i="1"/>
  <c r="P28" i="1"/>
  <c r="AA28" i="1"/>
  <c r="X28" i="1" s="1" a="1"/>
  <c r="H30" i="1"/>
  <c r="T30" i="1"/>
  <c r="J31" i="1"/>
  <c r="I31" i="1" s="1"/>
  <c r="G31" i="1" s="1"/>
  <c r="V31" i="1"/>
  <c r="S31" i="1" s="1"/>
  <c r="T31" i="1" s="1"/>
  <c r="L32" i="1"/>
  <c r="H32" i="1" s="1"/>
  <c r="X32" i="1" a="1"/>
  <c r="N33" i="1"/>
  <c r="P33" i="1" s="1"/>
  <c r="P34" i="1"/>
  <c r="AA34" i="1"/>
  <c r="X34" i="1" s="1" a="1"/>
  <c r="H36" i="1"/>
  <c r="T36" i="1"/>
  <c r="J37" i="1"/>
  <c r="I37" i="1" s="1"/>
  <c r="G37" i="1" s="1"/>
  <c r="V37" i="1"/>
  <c r="S37" i="1" s="1"/>
  <c r="T37" i="1" s="1"/>
  <c r="L38" i="1"/>
  <c r="H38" i="1" s="1"/>
  <c r="X38" i="1" a="1"/>
  <c r="N39" i="1"/>
  <c r="P40" i="1"/>
  <c r="AA40" i="1"/>
  <c r="X40" i="1" s="1" a="1"/>
  <c r="R41" i="1"/>
  <c r="H42" i="1"/>
  <c r="T42" i="1"/>
  <c r="J43" i="1"/>
  <c r="I43" i="1" s="1"/>
  <c r="G43" i="1" s="1"/>
  <c r="V43" i="1"/>
  <c r="S43" i="1" s="1"/>
  <c r="T43" i="1" s="1"/>
  <c r="L44" i="1"/>
  <c r="H44" i="1" s="1"/>
  <c r="X44" i="1" a="1"/>
  <c r="N45" i="1"/>
  <c r="P46" i="1"/>
  <c r="AA46" i="1"/>
  <c r="X46" i="1" s="1" a="1"/>
  <c r="R47" i="1"/>
  <c r="H48" i="1"/>
  <c r="T48" i="1"/>
  <c r="V49" i="1"/>
  <c r="S49" i="1" s="1"/>
  <c r="T49" i="1" s="1"/>
  <c r="T54" i="1"/>
  <c r="Q22" i="1"/>
  <c r="N22" i="1" s="1"/>
  <c r="S23" i="1"/>
  <c r="T23" i="1" s="1"/>
  <c r="S29" i="1"/>
  <c r="T29" i="1" s="1"/>
  <c r="O33" i="1"/>
  <c r="M33" i="1" s="1"/>
  <c r="K43" i="1"/>
  <c r="K49" i="1"/>
  <c r="K55" i="1"/>
  <c r="L19" i="1"/>
  <c r="H19" i="1" s="1"/>
  <c r="V24" i="1"/>
  <c r="S24" i="1" s="1"/>
  <c r="T24" i="1" s="1"/>
  <c r="H29" i="1"/>
  <c r="T35" i="1"/>
  <c r="AA39" i="1"/>
  <c r="X39" i="1" s="1" a="1"/>
  <c r="H47" i="1"/>
  <c r="AA51" i="1"/>
  <c r="X51" i="1" s="1" a="1"/>
  <c r="AA15" i="1"/>
  <c r="P56" i="1"/>
  <c r="O56" i="1"/>
  <c r="M56" i="1" s="1"/>
  <c r="J54" i="1"/>
  <c r="I54" i="1" s="1"/>
  <c r="G54" i="1" s="1"/>
  <c r="K54" i="1"/>
  <c r="R16" i="1"/>
  <c r="U16" i="1"/>
  <c r="U22" i="1"/>
  <c r="R22" i="1"/>
  <c r="K23" i="1"/>
  <c r="J23" i="1"/>
  <c r="I23" i="1"/>
  <c r="G23" i="1" s="1"/>
  <c r="U34" i="1"/>
  <c r="R34" i="1"/>
  <c r="K41" i="1"/>
  <c r="J41" i="1"/>
  <c r="I41" i="1"/>
  <c r="G41" i="1" s="1"/>
  <c r="U46" i="1"/>
  <c r="R46" i="1"/>
  <c r="U58" i="1"/>
  <c r="R58" i="1"/>
  <c r="J58" i="1"/>
  <c r="I58" i="1"/>
  <c r="G58" i="1" s="1"/>
  <c r="K58" i="1"/>
  <c r="P32" i="1"/>
  <c r="O32" i="1"/>
  <c r="M32" i="1" s="1"/>
  <c r="P38" i="1"/>
  <c r="O38" i="1"/>
  <c r="M38" i="1" s="1"/>
  <c r="P19" i="1"/>
  <c r="O19" i="1"/>
  <c r="M19" i="1" s="1"/>
  <c r="P25" i="1"/>
  <c r="O25" i="1"/>
  <c r="M25" i="1" s="1"/>
  <c r="P31" i="1"/>
  <c r="O31" i="1"/>
  <c r="M31" i="1" s="1"/>
  <c r="P37" i="1"/>
  <c r="O37" i="1"/>
  <c r="M37" i="1" s="1"/>
  <c r="P43" i="1"/>
  <c r="O43" i="1"/>
  <c r="M43" i="1" s="1"/>
  <c r="P49" i="1"/>
  <c r="O49" i="1"/>
  <c r="M49" i="1" s="1"/>
  <c r="P55" i="1"/>
  <c r="O55" i="1"/>
  <c r="M55" i="1" s="1"/>
  <c r="K16" i="1"/>
  <c r="J16" i="1"/>
  <c r="I16" i="1"/>
  <c r="G16" i="1" s="1"/>
  <c r="U21" i="1"/>
  <c r="R21" i="1"/>
  <c r="K22" i="1"/>
  <c r="J22" i="1"/>
  <c r="I22" i="1"/>
  <c r="G22" i="1" s="1"/>
  <c r="U27" i="1"/>
  <c r="R27" i="1"/>
  <c r="K28" i="1"/>
  <c r="J28" i="1"/>
  <c r="I28" i="1"/>
  <c r="G28" i="1" s="1"/>
  <c r="U33" i="1"/>
  <c r="R33" i="1"/>
  <c r="K34" i="1"/>
  <c r="J34" i="1"/>
  <c r="I34" i="1"/>
  <c r="G34" i="1" s="1"/>
  <c r="U39" i="1"/>
  <c r="R39" i="1"/>
  <c r="K40" i="1"/>
  <c r="J40" i="1"/>
  <c r="I40" i="1"/>
  <c r="G40" i="1" s="1"/>
  <c r="U45" i="1"/>
  <c r="R45" i="1"/>
  <c r="K46" i="1"/>
  <c r="J46" i="1"/>
  <c r="I46" i="1"/>
  <c r="G46" i="1" s="1"/>
  <c r="U51" i="1"/>
  <c r="R51" i="1"/>
  <c r="K52" i="1"/>
  <c r="J52" i="1"/>
  <c r="I52" i="1"/>
  <c r="G52" i="1" s="1"/>
  <c r="U57" i="1"/>
  <c r="R57" i="1"/>
  <c r="K17" i="1"/>
  <c r="J17" i="1"/>
  <c r="I17" i="1"/>
  <c r="G17" i="1" s="1"/>
  <c r="P26" i="1"/>
  <c r="O26" i="1"/>
  <c r="M26" i="1" s="1"/>
  <c r="P44" i="1"/>
  <c r="O44" i="1"/>
  <c r="M44" i="1" s="1"/>
  <c r="K53" i="1"/>
  <c r="J53" i="1"/>
  <c r="I53" i="1"/>
  <c r="G53" i="1" s="1"/>
  <c r="P18" i="1"/>
  <c r="O18" i="1"/>
  <c r="M18" i="1" s="1"/>
  <c r="P24" i="1"/>
  <c r="O24" i="1"/>
  <c r="M24" i="1" s="1"/>
  <c r="P30" i="1"/>
  <c r="O30" i="1"/>
  <c r="M30" i="1" s="1"/>
  <c r="P36" i="1"/>
  <c r="O36" i="1"/>
  <c r="M36" i="1" s="1"/>
  <c r="P42" i="1"/>
  <c r="O42" i="1"/>
  <c r="M42" i="1" s="1"/>
  <c r="P48" i="1"/>
  <c r="O48" i="1"/>
  <c r="M48" i="1" s="1"/>
  <c r="P54" i="1"/>
  <c r="O54" i="1"/>
  <c r="M54" i="1" s="1"/>
  <c r="U44" i="1"/>
  <c r="R44" i="1"/>
  <c r="U55" i="1"/>
  <c r="R55" i="1"/>
  <c r="R53" i="1"/>
  <c r="U53" i="1"/>
  <c r="U20" i="1"/>
  <c r="R20" i="1"/>
  <c r="K21" i="1"/>
  <c r="J21" i="1"/>
  <c r="I21" i="1"/>
  <c r="G21" i="1" s="1"/>
  <c r="U26" i="1"/>
  <c r="R26" i="1"/>
  <c r="K27" i="1"/>
  <c r="J27" i="1"/>
  <c r="I27" i="1"/>
  <c r="G27" i="1" s="1"/>
  <c r="U32" i="1"/>
  <c r="R32" i="1"/>
  <c r="K33" i="1"/>
  <c r="J33" i="1"/>
  <c r="I33" i="1"/>
  <c r="G33" i="1" s="1"/>
  <c r="U38" i="1"/>
  <c r="R38" i="1"/>
  <c r="K39" i="1"/>
  <c r="J39" i="1"/>
  <c r="I39" i="1"/>
  <c r="G39" i="1" s="1"/>
  <c r="K45" i="1"/>
  <c r="J45" i="1"/>
  <c r="I45" i="1"/>
  <c r="G45" i="1" s="1"/>
  <c r="J50" i="1"/>
  <c r="I50" i="1" s="1"/>
  <c r="G50" i="1" s="1"/>
  <c r="P50" i="1"/>
  <c r="O50" i="1"/>
  <c r="M50" i="1" s="1"/>
  <c r="P17" i="1"/>
  <c r="O17" i="1"/>
  <c r="M17" i="1" s="1"/>
  <c r="P23" i="1"/>
  <c r="O23" i="1"/>
  <c r="M23" i="1" s="1"/>
  <c r="P29" i="1"/>
  <c r="O29" i="1"/>
  <c r="M29" i="1" s="1"/>
  <c r="P35" i="1"/>
  <c r="O35" i="1"/>
  <c r="M35" i="1" s="1"/>
  <c r="P41" i="1"/>
  <c r="O41" i="1"/>
  <c r="M41" i="1" s="1"/>
  <c r="P47" i="1"/>
  <c r="O47" i="1"/>
  <c r="M47" i="1" s="1"/>
  <c r="P20" i="1"/>
  <c r="O20" i="1"/>
  <c r="M20" i="1" s="1"/>
  <c r="K35" i="1"/>
  <c r="J35" i="1"/>
  <c r="I35" i="1"/>
  <c r="G35" i="1" s="1"/>
  <c r="J18" i="1"/>
  <c r="I18" i="1"/>
  <c r="G18" i="1" s="1"/>
  <c r="K18" i="1"/>
  <c r="R18" i="1"/>
  <c r="U18" i="1"/>
  <c r="U19" i="1"/>
  <c r="R19" i="1"/>
  <c r="K20" i="1"/>
  <c r="J20" i="1"/>
  <c r="I20" i="1"/>
  <c r="G20" i="1" s="1"/>
  <c r="P21" i="1"/>
  <c r="O21" i="1"/>
  <c r="M21" i="1" s="1"/>
  <c r="J24" i="1"/>
  <c r="I24" i="1"/>
  <c r="G24" i="1" s="1"/>
  <c r="K24" i="1"/>
  <c r="U25" i="1"/>
  <c r="R25" i="1"/>
  <c r="K26" i="1"/>
  <c r="J26" i="1"/>
  <c r="I26" i="1"/>
  <c r="G26" i="1" s="1"/>
  <c r="P27" i="1"/>
  <c r="O27" i="1"/>
  <c r="M27" i="1" s="1"/>
  <c r="J30" i="1"/>
  <c r="I30" i="1" s="1"/>
  <c r="G30" i="1" s="1"/>
  <c r="K30" i="1"/>
  <c r="R30" i="1"/>
  <c r="U30" i="1"/>
  <c r="U31" i="1"/>
  <c r="R31" i="1"/>
  <c r="K32" i="1"/>
  <c r="J32" i="1"/>
  <c r="I32" i="1"/>
  <c r="G32" i="1" s="1"/>
  <c r="J36" i="1"/>
  <c r="I36" i="1" s="1"/>
  <c r="G36" i="1" s="1"/>
  <c r="K36" i="1"/>
  <c r="R36" i="1"/>
  <c r="U36" i="1"/>
  <c r="U37" i="1"/>
  <c r="R37" i="1"/>
  <c r="K38" i="1"/>
  <c r="J38" i="1"/>
  <c r="I38" i="1"/>
  <c r="G38" i="1" s="1"/>
  <c r="O39" i="1"/>
  <c r="M39" i="1" s="1"/>
  <c r="P39" i="1"/>
  <c r="J42" i="1"/>
  <c r="I42" i="1"/>
  <c r="G42" i="1" s="1"/>
  <c r="K42" i="1"/>
  <c r="R42" i="1"/>
  <c r="U42" i="1"/>
  <c r="U43" i="1"/>
  <c r="R43" i="1"/>
  <c r="K44" i="1"/>
  <c r="J44" i="1"/>
  <c r="I44" i="1"/>
  <c r="G44" i="1" s="1"/>
  <c r="P45" i="1"/>
  <c r="O45" i="1"/>
  <c r="M45" i="1" s="1"/>
  <c r="J48" i="1"/>
  <c r="I48" i="1"/>
  <c r="G48" i="1" s="1"/>
  <c r="K48" i="1"/>
  <c r="U48" i="1"/>
  <c r="R48" i="1"/>
  <c r="R49" i="1"/>
  <c r="U49" i="1"/>
  <c r="R54" i="1"/>
  <c r="U54" i="1"/>
  <c r="P22" i="1"/>
  <c r="O22" i="1"/>
  <c r="M22" i="1" s="1"/>
  <c r="R23" i="1"/>
  <c r="U23" i="1"/>
  <c r="R29" i="1"/>
  <c r="U29" i="1"/>
  <c r="J19" i="1"/>
  <c r="I19" i="1"/>
  <c r="G19" i="1" s="1"/>
  <c r="K19" i="1"/>
  <c r="R24" i="1"/>
  <c r="U24" i="1"/>
  <c r="K29" i="1"/>
  <c r="J29" i="1"/>
  <c r="I29" i="1"/>
  <c r="G29" i="1" s="1"/>
  <c r="R35" i="1"/>
  <c r="U35" i="1"/>
  <c r="K47" i="1"/>
  <c r="J47" i="1"/>
  <c r="I47" i="1"/>
  <c r="G47" i="1" s="1"/>
  <c r="X51" i="1" l="1"/>
  <c r="Y51" i="1"/>
  <c r="Z51" i="1"/>
  <c r="Z39" i="1"/>
  <c r="X39" i="1"/>
  <c r="Y39" i="1"/>
  <c r="X46" i="1"/>
  <c r="Y46" i="1"/>
  <c r="Z46" i="1"/>
  <c r="Z44" i="1"/>
  <c r="X44" i="1"/>
  <c r="Y44" i="1"/>
  <c r="X40" i="1"/>
  <c r="Y40" i="1"/>
  <c r="Z40" i="1"/>
  <c r="Z38" i="1"/>
  <c r="Y38" i="1"/>
  <c r="X38" i="1"/>
  <c r="X34" i="1"/>
  <c r="Y34" i="1"/>
  <c r="Z34" i="1"/>
  <c r="Z32" i="1"/>
  <c r="X32" i="1"/>
  <c r="Y32" i="1"/>
  <c r="X28" i="1"/>
  <c r="Y28" i="1"/>
  <c r="Z28" i="1"/>
  <c r="Z26" i="1"/>
  <c r="Y26" i="1"/>
  <c r="X26" i="1"/>
  <c r="X22" i="1"/>
  <c r="Y22" i="1"/>
  <c r="Z22" i="1"/>
  <c r="Z20" i="1"/>
  <c r="Y20" i="1"/>
  <c r="X20" i="1"/>
  <c r="X16" i="1"/>
  <c r="Y16" i="1"/>
  <c r="Z16" i="1"/>
  <c r="X55" i="1"/>
  <c r="Y55" i="1"/>
  <c r="Z55" i="1"/>
  <c r="Z45" i="1"/>
  <c r="X45" i="1"/>
  <c r="Y45" i="1"/>
  <c r="X57" i="1"/>
  <c r="Y57" i="1"/>
  <c r="Z57" i="1"/>
  <c r="X47" i="1"/>
  <c r="Y47" i="1"/>
  <c r="Z47" i="1"/>
  <c r="X41" i="1"/>
  <c r="Y41" i="1"/>
  <c r="Z41" i="1"/>
  <c r="X35" i="1"/>
  <c r="Y35" i="1"/>
  <c r="Z35" i="1"/>
  <c r="X33" i="1"/>
  <c r="Z33" i="1"/>
  <c r="Y33" i="1"/>
  <c r="X29" i="1"/>
  <c r="Y29" i="1"/>
  <c r="Z29" i="1"/>
  <c r="Z27" i="1"/>
  <c r="X27" i="1"/>
  <c r="Y27" i="1"/>
  <c r="X23" i="1"/>
  <c r="Y23" i="1"/>
  <c r="Z23" i="1"/>
  <c r="X21" i="1"/>
  <c r="Y21" i="1"/>
  <c r="Z21" i="1"/>
  <c r="X17" i="1"/>
  <c r="Y17" i="1"/>
  <c r="Z17" i="1"/>
  <c r="X49" i="1"/>
  <c r="Y49" i="1"/>
  <c r="Z49" i="1"/>
  <c r="X37" i="1"/>
  <c r="Y37" i="1"/>
  <c r="Z37" i="1"/>
  <c r="X31" i="1"/>
  <c r="Y31" i="1"/>
  <c r="Z31" i="1"/>
  <c r="Z50" i="1"/>
  <c r="X50" i="1"/>
  <c r="Y50" i="1"/>
  <c r="X53" i="1"/>
  <c r="Y53" i="1"/>
  <c r="Z53" i="1"/>
  <c r="X54" i="1"/>
  <c r="Y54" i="1"/>
  <c r="Z54" i="1"/>
  <c r="Y52" i="1"/>
  <c r="Z52" i="1"/>
  <c r="X52" i="1"/>
  <c r="X48" i="1"/>
  <c r="Y48" i="1"/>
  <c r="Z48" i="1"/>
  <c r="X42" i="1"/>
  <c r="Y42" i="1"/>
  <c r="Z42" i="1"/>
  <c r="X36" i="1"/>
  <c r="Y36" i="1"/>
  <c r="Z36" i="1"/>
  <c r="X30" i="1"/>
  <c r="Y30" i="1"/>
  <c r="Z30" i="1"/>
  <c r="X24" i="1"/>
  <c r="Y24" i="1"/>
  <c r="Z24" i="1"/>
  <c r="X18" i="1"/>
  <c r="Y18" i="1"/>
  <c r="Z18" i="1"/>
  <c r="Z58" i="1"/>
  <c r="Y58" i="1"/>
  <c r="X58" i="1"/>
  <c r="X43" i="1"/>
  <c r="Y43" i="1"/>
  <c r="Z43" i="1"/>
  <c r="X25" i="1"/>
  <c r="Y25" i="1"/>
  <c r="Z25" i="1"/>
  <c r="X19" i="1"/>
  <c r="Y19" i="1"/>
  <c r="Z19" i="1"/>
  <c r="Z56" i="1"/>
  <c r="X56" i="1"/>
  <c r="Y56" i="1"/>
  <c r="A14" i="10"/>
  <c r="A10" i="10"/>
  <c r="A53" i="6"/>
  <c r="C21" i="9"/>
  <c r="C56" i="6"/>
  <c r="C28" i="9"/>
  <c r="C33" i="6"/>
  <c r="C34" i="6"/>
  <c r="C12" i="9"/>
  <c r="C6" i="9"/>
  <c r="C58" i="6"/>
  <c r="C36" i="6"/>
  <c r="C57" i="6"/>
  <c r="C8" i="9"/>
  <c r="C7" i="9"/>
  <c r="C6" i="10"/>
  <c r="C15" i="9"/>
  <c r="V7" i="1"/>
  <c r="C35" i="6"/>
  <c r="C60" i="6"/>
  <c r="C14" i="9"/>
  <c r="C16" i="9"/>
  <c r="C29" i="9"/>
  <c r="C26" i="9"/>
  <c r="C59" i="6"/>
  <c r="C32" i="6"/>
  <c r="C22" i="9"/>
  <c r="C27" i="9"/>
  <c r="C61" i="6"/>
  <c r="C13" i="9"/>
  <c r="C17" i="9"/>
  <c r="C59" i="7"/>
  <c r="W38" i="1"/>
  <c r="W49" i="1"/>
  <c r="W27" i="1"/>
  <c r="W22" i="1"/>
  <c r="W37" i="1"/>
  <c r="W51" i="1"/>
  <c r="W40" i="1"/>
  <c r="W28" i="1"/>
  <c r="W16" i="1"/>
  <c r="W47" i="1"/>
  <c r="W29" i="1"/>
  <c r="W17" i="1"/>
  <c r="W48" i="1"/>
  <c r="W24" i="1"/>
  <c r="W25" i="1"/>
  <c r="W26" i="1"/>
  <c r="W53" i="1"/>
  <c r="W18" i="1"/>
  <c r="W34" i="1"/>
  <c r="W36" i="1"/>
  <c r="W45" i="1"/>
  <c r="W52" i="1"/>
  <c r="W57" i="1"/>
  <c r="W44" i="1"/>
  <c r="W50" i="1"/>
  <c r="W41" i="1"/>
  <c r="W42" i="1"/>
  <c r="W39" i="1"/>
  <c r="W54" i="1"/>
  <c r="W56" i="1"/>
  <c r="W20" i="1"/>
  <c r="W30" i="1"/>
  <c r="W33" i="1"/>
  <c r="W55" i="1"/>
  <c r="W19" i="1"/>
  <c r="W46" i="1"/>
  <c r="W35" i="1"/>
  <c r="W58" i="1"/>
  <c r="W23" i="1"/>
  <c r="W43" i="1"/>
  <c r="W32" i="1"/>
  <c r="W21" i="1"/>
  <c r="W31" i="1"/>
  <c r="X15" i="1" a="1"/>
  <c r="V15" i="1"/>
  <c r="X15" i="1" l="1"/>
  <c r="Y15" i="1"/>
  <c r="Z15" i="1"/>
  <c r="E18" i="10"/>
  <c r="A6" i="10"/>
  <c r="A36" i="6"/>
  <c r="A35" i="6"/>
  <c r="A29" i="9"/>
  <c r="A28" i="9"/>
  <c r="A27" i="9"/>
  <c r="A34" i="6"/>
  <c r="A26" i="9"/>
  <c r="A59" i="6"/>
  <c r="A60" i="6"/>
  <c r="A58" i="6"/>
  <c r="A61" i="6"/>
  <c r="A57" i="6"/>
  <c r="A56" i="6"/>
  <c r="A16" i="9"/>
  <c r="A15" i="9"/>
  <c r="A17" i="9"/>
  <c r="A14" i="9"/>
  <c r="A13" i="9"/>
  <c r="A12" i="9"/>
  <c r="A22" i="9"/>
  <c r="A21" i="9"/>
  <c r="A7" i="9"/>
  <c r="A8" i="9"/>
  <c r="A59" i="7"/>
  <c r="A33" i="6"/>
  <c r="A32" i="6"/>
  <c r="A16" i="8"/>
  <c r="A32" i="8"/>
  <c r="A38" i="8"/>
  <c r="A24" i="8"/>
  <c r="A11" i="8"/>
  <c r="C29" i="6"/>
  <c r="C22" i="8"/>
  <c r="C30" i="8"/>
  <c r="C27" i="6"/>
  <c r="C23" i="6"/>
  <c r="C22" i="6"/>
  <c r="C8" i="8"/>
  <c r="C53" i="7"/>
  <c r="C23" i="8"/>
  <c r="C21" i="6"/>
  <c r="C36" i="8"/>
  <c r="C24" i="6"/>
  <c r="C19" i="6"/>
  <c r="C55" i="7"/>
  <c r="C35" i="8"/>
  <c r="C37" i="8"/>
  <c r="C19" i="8"/>
  <c r="C25" i="6"/>
  <c r="K18" i="10"/>
  <c r="C18" i="10"/>
  <c r="C31" i="6"/>
  <c r="C56" i="7"/>
  <c r="C10" i="8"/>
  <c r="C20" i="6"/>
  <c r="C27" i="8"/>
  <c r="C30" i="6"/>
  <c r="C52" i="7"/>
  <c r="C29" i="8"/>
  <c r="C9" i="8"/>
  <c r="C14" i="8"/>
  <c r="C7" i="8"/>
  <c r="C28" i="8"/>
  <c r="C15" i="8"/>
  <c r="C20" i="8"/>
  <c r="C28" i="6"/>
  <c r="J18" i="10"/>
  <c r="C6" i="8"/>
  <c r="C54" i="7"/>
  <c r="C31" i="8"/>
  <c r="C57" i="7"/>
  <c r="C26" i="6"/>
  <c r="C58" i="7"/>
  <c r="C21" i="8"/>
  <c r="S15" i="1"/>
  <c r="W15" i="1"/>
  <c r="Q15" i="1"/>
  <c r="A18" i="10" l="1"/>
  <c r="B2" i="10"/>
  <c r="B1" i="10"/>
  <c r="A6" i="9"/>
  <c r="A30" i="6"/>
  <c r="A26" i="6"/>
  <c r="A20" i="6"/>
  <c r="A24" i="6"/>
  <c r="A21" i="6"/>
  <c r="A23" i="6"/>
  <c r="A28" i="6"/>
  <c r="A22" i="6"/>
  <c r="A27" i="6"/>
  <c r="A31" i="6"/>
  <c r="A25" i="6"/>
  <c r="A19" i="6"/>
  <c r="A29" i="6"/>
  <c r="A58" i="7"/>
  <c r="A57" i="7"/>
  <c r="A15" i="8"/>
  <c r="A31" i="8"/>
  <c r="A30" i="8"/>
  <c r="A37" i="8"/>
  <c r="A36" i="8"/>
  <c r="A35" i="8"/>
  <c r="A29" i="8"/>
  <c r="A28" i="8"/>
  <c r="A27" i="8"/>
  <c r="A23" i="8"/>
  <c r="A22" i="8"/>
  <c r="A21" i="8"/>
  <c r="A20" i="8"/>
  <c r="A19" i="8"/>
  <c r="A14" i="8"/>
  <c r="A56" i="7"/>
  <c r="A55" i="7"/>
  <c r="A54" i="7"/>
  <c r="A53" i="7"/>
  <c r="A10" i="8"/>
  <c r="A9" i="8"/>
  <c r="A8" i="8"/>
  <c r="A7" i="8"/>
  <c r="T15" i="1"/>
  <c r="B2" i="9" l="1"/>
  <c r="B1" i="9"/>
  <c r="A6" i="8"/>
  <c r="B2" i="8" s="1"/>
  <c r="A52" i="7"/>
  <c r="A49" i="7"/>
  <c r="C45" i="7"/>
  <c r="C48" i="7"/>
  <c r="C46" i="7"/>
  <c r="C47" i="7"/>
  <c r="U15" i="1"/>
  <c r="R15" i="1"/>
  <c r="B1" i="8" l="1"/>
  <c r="A48" i="7"/>
  <c r="A47" i="7"/>
  <c r="A46" i="7"/>
  <c r="A45" i="7"/>
  <c r="C44" i="7"/>
  <c r="A44" i="7" l="1"/>
  <c r="A41" i="7"/>
  <c r="A29" i="7"/>
  <c r="A19" i="7"/>
  <c r="A12" i="7"/>
  <c r="C10" i="7"/>
  <c r="C35" i="7"/>
  <c r="C24" i="7"/>
  <c r="C45" i="6"/>
  <c r="C7" i="7"/>
  <c r="C44" i="6"/>
  <c r="C8" i="7"/>
  <c r="C23" i="7"/>
  <c r="C26" i="7"/>
  <c r="C22" i="7"/>
  <c r="C15" i="7"/>
  <c r="C32" i="7"/>
  <c r="C39" i="7"/>
  <c r="C16" i="7"/>
  <c r="C43" i="6"/>
  <c r="C27" i="7"/>
  <c r="C18" i="7"/>
  <c r="C42" i="6"/>
  <c r="C6" i="7"/>
  <c r="C34" i="7"/>
  <c r="C38" i="7"/>
  <c r="C37" i="7"/>
  <c r="C28" i="7"/>
  <c r="C25" i="7"/>
  <c r="C33" i="7"/>
  <c r="C17" i="7"/>
  <c r="C36" i="7"/>
  <c r="C9" i="7"/>
  <c r="C40" i="7"/>
  <c r="A37" i="7" l="1"/>
  <c r="A36" i="7"/>
  <c r="A38" i="7"/>
  <c r="A35" i="7"/>
  <c r="A40" i="7"/>
  <c r="A34" i="7"/>
  <c r="A39" i="7"/>
  <c r="A33" i="7"/>
  <c r="A32" i="7"/>
  <c r="A25" i="7"/>
  <c r="A28" i="7"/>
  <c r="A26" i="7"/>
  <c r="A24" i="7"/>
  <c r="A27" i="7"/>
  <c r="A23" i="7"/>
  <c r="A22" i="7"/>
  <c r="A18" i="7"/>
  <c r="A17" i="7"/>
  <c r="A16" i="7"/>
  <c r="A15" i="7"/>
  <c r="A9" i="7"/>
  <c r="A8" i="7"/>
  <c r="A10" i="7"/>
  <c r="A7" i="7"/>
  <c r="A6" i="7"/>
  <c r="A42" i="6"/>
  <c r="A45" i="6"/>
  <c r="A44" i="6"/>
  <c r="A43" i="6"/>
  <c r="B2" i="7" l="1"/>
  <c r="B1" i="7"/>
  <c r="A39" i="6"/>
  <c r="C16" i="6"/>
  <c r="C15" i="6"/>
  <c r="C8" i="6"/>
  <c r="C10" i="6"/>
  <c r="C6" i="6"/>
  <c r="C7" i="6"/>
  <c r="C11" i="6"/>
  <c r="C18" i="6"/>
  <c r="C14" i="6"/>
  <c r="C17" i="6"/>
  <c r="C12" i="6"/>
  <c r="C13" i="6"/>
  <c r="C9" i="6"/>
  <c r="A13" i="6" l="1"/>
  <c r="A16" i="6"/>
  <c r="A10" i="6"/>
  <c r="A17" i="6"/>
  <c r="A14" i="6"/>
  <c r="A9" i="6"/>
  <c r="A8" i="6"/>
  <c r="A18" i="6"/>
  <c r="A15" i="6"/>
  <c r="A12" i="6"/>
  <c r="A11" i="6"/>
  <c r="A7" i="6"/>
  <c r="A6" i="6"/>
  <c r="C3" i="2"/>
  <c r="D3" i="2"/>
  <c r="C4" i="2"/>
  <c r="D4" i="2"/>
  <c r="B2" i="6" l="1"/>
  <c r="B1" i="6"/>
  <c r="D2" i="2"/>
  <c r="C2" i="2"/>
  <c r="L15" i="1"/>
  <c r="H15" i="1"/>
  <c r="J15" i="1"/>
  <c r="I15" i="1" s="1"/>
  <c r="N15" i="1"/>
  <c r="P15" i="1" s="1"/>
  <c r="O15" i="1"/>
  <c r="M15" i="1" s="1"/>
  <c r="K15" i="1"/>
  <c r="G15" i="1"/>
</calcChain>
</file>

<file path=xl/sharedStrings.xml><?xml version="1.0" encoding="utf-8"?>
<sst xmlns="http://schemas.openxmlformats.org/spreadsheetml/2006/main" count="463" uniqueCount="162">
  <si>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</si>
  <si>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</si>
  <si>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</si>
  <si>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</si>
  <si>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</si>
  <si>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</si>
  <si>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</si>
  <si>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</si>
  <si>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</si>
  <si>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</si>
  <si>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</si>
  <si>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</si>
  <si>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</si>
  <si>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</si>
  <si>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</si>
  <si>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</si>
  <si>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</si>
  <si>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</si>
  <si>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</si>
  <si>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</si>
  <si>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</si>
  <si>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</si>
  <si>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</si>
  <si>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</si>
  <si>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</si>
  <si>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</si>
  <si>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</si>
  <si>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</si>
  <si>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</si>
  <si>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</si>
  <si>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</si>
  <si>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</si>
  <si>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</si>
  <si>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</si>
  <si>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</si>
  <si>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</si>
  <si>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</si>
  <si>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</si>
  <si>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</si>
  <si>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</si>
  <si>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</si>
  <si>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</si>
  <si>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</si>
  <si>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</si>
  <si>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</si>
  <si>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</si>
  <si>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</si>
  <si>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</si>
  <si>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</si>
  <si>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</si>
  <si>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</si>
  <si>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</si>
  <si>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</si>
  <si>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</si>
  <si>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</si>
  <si>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</si>
  <si>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</si>
  <si>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</si>
  <si>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</si>
  <si>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</si>
  <si>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</si>
  <si>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</si>
  <si>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</si>
  <si>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</si>
  <si>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</si>
  <si>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</si>
  <si>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</si>
  <si>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</si>
  <si>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</si>
  <si>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</si>
  <si>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</si>
  <si>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</si>
  <si>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</si>
  <si>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</si>
  <si>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</si>
  <si>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</si>
  <si>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Public Function curing_coeff_grass(curing As Single) As Single
    'return the curing coefficient based on Cruz et al. (2015)
    'args
    '  curing: degree of grass curing (%)</t>
  </si>
  <si>
    <t>curing</t>
  </si>
  <si>
    <t>Public Function moist_coeff_grass(fmc As Single) As Single
    'calculate the grass moisture coefficient
    'args
    '  fmc: fuel moisture content (%)</t>
  </si>
  <si>
    <t>Public Function ROS_grass(U_10, fmc, curing As Single, state As String) As Integer
    'return the forward ROS (m/h) ignoring slope
    'Args:
    '  U_10: 10 m wind speed (km/h)
    '  fmc: fuel moisture content (%)
    '  curing: degree of grass curing (%)
    '  state: grass state (natural, grazed, eaten-out)</t>
  </si>
  <si>
    <t>U-10</t>
  </si>
  <si>
    <t>pocket-book calculator</t>
  </si>
  <si>
    <t>FireBehaviourCalcs_Australia</t>
  </si>
  <si>
    <t>Public Function Flame_height_grass(ROS As Single, state As String) As Single
    'calculate the flame height (m) based on M. Plucinski, pers. comm.
    'args
    '  ROS: forward rate of spread (m/h)
    '  state: grass state (natural, grazed, eaten-out)</t>
  </si>
  <si>
    <t>pocketbook</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</si>
  <si>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</si>
  <si>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</si>
  <si>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</si>
  <si>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</si>
  <si>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</si>
  <si>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</si>
  <si>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</si>
  <si>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</si>
  <si>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</si>
  <si>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</si>
  <si>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</si>
  <si>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</si>
  <si>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</si>
  <si>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</si>
  <si>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</si>
  <si>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</si>
  <si>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</si>
  <si>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</si>
  <si>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</si>
  <si>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h_e</t>
  </si>
  <si>
    <t>mc</t>
  </si>
  <si>
    <t>overstorey</t>
  </si>
  <si>
    <t>Public Function Mf_heath(mc As Single) As Single
    'returns the heathland moisture function
    'args
    '  mc: fuel moisture content (%)</t>
  </si>
  <si>
    <t>validation_source</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</si>
  <si>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</si>
  <si>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</si>
  <si>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</si>
  <si>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</si>
  <si>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</si>
  <si>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</si>
  <si>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</si>
  <si>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</si>
  <si>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</si>
  <si>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</si>
  <si>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</si>
  <si>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</si>
  <si>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</si>
  <si>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</si>
  <si>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</si>
  <si>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</si>
  <si>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</si>
  <si>
    <t>http://afdrs-calculator-dev.ap-southeast-2.elasticbeanstalk.com/</t>
  </si>
  <si>
    <t>feedback and bug reports to fba@rfs.nsw.gov.au</t>
  </si>
  <si>
    <t xml:space="preserve">VESTA Hazard Score </t>
  </si>
  <si>
    <t>all</t>
  </si>
  <si>
    <t>FHS</t>
  </si>
  <si>
    <t>Public Function FMC_pine(temp, rh As Single) As Single
    'calculate the grass fuel moisture content as % based on McArthur (1966)
    'args
    '  temp: air temperature (C)
    '  rh: relative humidity (%)</t>
  </si>
  <si>
    <t>relative humidity %</t>
  </si>
  <si>
    <t>air temperature °C</t>
  </si>
  <si>
    <t>fuel hazard score near surface</t>
  </si>
  <si>
    <t>fuel hazard score surface</t>
  </si>
  <si>
    <t>fuel hazard score elevated</t>
  </si>
  <si>
    <t>fuel load near surface t/ha</t>
  </si>
  <si>
    <t>fuel load overstorey t/ha</t>
  </si>
  <si>
    <t>fuel load surface t/ha</t>
  </si>
  <si>
    <t>height near surface cm</t>
  </si>
  <si>
    <t>time since fire y</t>
  </si>
  <si>
    <t>10 m wind speed km/h</t>
  </si>
  <si>
    <t>drought factor 1-10</t>
  </si>
  <si>
    <t>steady state fuel load t/ha</t>
  </si>
  <si>
    <t>elevated fuel height m</t>
  </si>
  <si>
    <t>height overstorey m</t>
  </si>
  <si>
    <t>wind adjustment factor 1-6</t>
  </si>
  <si>
    <t>curing %</t>
  </si>
  <si>
    <t>natural, grazed, eaten-out</t>
  </si>
  <si>
    <t>time since rain h</t>
  </si>
  <si>
    <t>pine</t>
  </si>
  <si>
    <t>wind adjustment factor 3-5</t>
  </si>
  <si>
    <t>Public Function FA_pine(DF, KBDI, WAF As Single) As Single
    'Use drought factor to estimate amount of fuel available to burn
    'From Cruz et al. (2022) Vesta Mk 2 model
    'args
    '  DF: drought factor
    '  KBDI: Keetch Byram drought index KBDI
    '  WAF: wind adjustment factor restricted to range 3 to 5</t>
  </si>
  <si>
    <t>KBDI</t>
  </si>
  <si>
    <t>Keetch Byram drought index mm</t>
  </si>
  <si>
    <t>Public Function U_flame_height(U_10 As Single, Optional h_o As Single = 15)
    'return wind speed at flame height (km/r) based on Cruz et al. 2006
    'args
    '  U_10: 10 m wind speed (km/h)
    '  h_o: stand (overstorey) height m</t>
  </si>
  <si>
    <t xml:space="preserve">pine </t>
  </si>
  <si>
    <t>Pine</t>
  </si>
  <si>
    <t>KBDI (mm)</t>
  </si>
  <si>
    <t>Public Function ROS_pine(U_10, mc, DF, KBDI, _
    Optional wrf = 5, Optional fl_s = 10.5, Optional fl_o = 11, Optional bh_o = 5, Optional bd_o = 0.1 _
    ) As Single
    'return the forward rate of spread m/h for pine based on Cruz model
    'args
    '  U_10: 10 m wind speed (km/h)
    '  mc: dead fuel moisture content %
    '  DF: drought factor
    '  KBDI: Keetch Byram drought index KBDI
    '  WAF: wind adjustment factor restricted to range 3 to 5
    '  fl_s: surface fuel load (t/ha)
    '  fl_o: overstorey (canopy) fuel load (t/ha)
    '  bh_o: overstorey (canopy) base height m
    '  bd_o: overstorey (canopy) bulk density</t>
  </si>
  <si>
    <t>FBI
pine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</si>
</sst>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2">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80BD6F"/>
        <bgColor indexed="64"/>
      </patternFill>
    </fill>
    <fill>
      <patternFill patternType="solid">
        <fgColor rgb="FFF8CBAD"/>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64">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0" borderId="0" xfId="0" applyAlignment="1">
      <alignment wrapText="1"/>
    </xf>
    <xf numFmtId="0" fontId="0" fillId="0" borderId="0" xfId="0" applyAlignment="1"/>
    <xf numFmtId="0" fontId="1" fillId="10" borderId="1" xfId="0" applyFont="1" applyFill="1" applyBorder="1" applyAlignment="1" applyProtection="1">
      <alignment horizontal="center" wrapText="1"/>
    </xf>
    <xf numFmtId="0" fontId="2" fillId="10" borderId="1" xfId="0" applyFont="1" applyFill="1" applyBorder="1" applyProtection="1"/>
    <xf numFmtId="0" fontId="0" fillId="10" borderId="1" xfId="0" applyFill="1" applyBorder="1" applyProtection="1"/>
    <xf numFmtId="0" fontId="1" fillId="10" borderId="1" xfId="0" applyFont="1" applyFill="1" applyBorder="1" applyAlignment="1" applyProtection="1">
      <alignment horizontal="right"/>
    </xf>
    <xf numFmtId="0" fontId="0" fillId="10" borderId="1" xfId="0" applyFill="1" applyBorder="1" applyProtection="1">
      <protection locked="0"/>
    </xf>
    <xf numFmtId="1" fontId="0" fillId="10" borderId="1" xfId="0" applyNumberFormat="1" applyFill="1" applyBorder="1" applyProtection="1"/>
    <xf numFmtId="167" fontId="0" fillId="10" borderId="1" xfId="0" applyNumberFormat="1" applyFill="1" applyBorder="1" applyProtection="1"/>
    <xf numFmtId="0" fontId="0" fillId="11" borderId="1" xfId="0" applyFill="1" applyBorder="1" applyProtection="1"/>
    <xf numFmtId="0" fontId="1" fillId="11" borderId="1" xfId="0" applyFont="1" applyFill="1" applyBorder="1" applyAlignment="1" applyProtection="1">
      <alignment horizontal="center" wrapText="1"/>
    </xf>
  </cellXfs>
  <cellStyles count="2">
    <cellStyle name="Hyperlink" xfId="1" builtinId="8"/>
    <cellStyle name="Normal" xfId="0" builtinId="0"/>
  </cellStyles>
  <dxfs count="54">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colors>
    <mruColors>
      <color rgb="FFF8CBAD"/>
      <color rgb="FF80BD6F"/>
      <color rgb="FF00CC66"/>
      <color rgb="FF339933"/>
      <color rgb="FF55A555"/>
      <color rgb="FF64A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I1:J3" totalsRowShown="0">
  <autoFilter ref="I1:J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AA58"/>
  <sheetViews>
    <sheetView tabSelected="1" topLeftCell="A25" workbookViewId="0">
      <selection activeCell="R14" sqref="R14"/>
    </sheetView>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23" width="8.88671875" style="57"/>
    <col min="24" max="25" width="8.88671875" style="60"/>
    <col min="26" max="27" width="8.88671875" style="61"/>
    <col min="28" max="16384" width="8.88671875" style="11"/>
  </cols>
  <sheetData>
    <row r="1" spans="1:27" ht="18" x14ac:dyDescent="0.35">
      <c r="A1" s="2" t="s">
        <v>39</v>
      </c>
      <c r="B1" s="3"/>
      <c r="C1" s="4"/>
      <c r="D1" s="4"/>
      <c r="E1" s="4"/>
      <c r="F1" s="4"/>
      <c r="G1" s="5" t="s">
        <v>6</v>
      </c>
      <c r="M1" s="8" t="s">
        <v>22</v>
      </c>
      <c r="R1" s="50" t="s">
        <v>95</v>
      </c>
      <c r="U1" s="47"/>
      <c r="V1" s="47"/>
      <c r="W1" s="56" t="s">
        <v>158</v>
      </c>
      <c r="X1" s="57"/>
      <c r="Y1" s="57"/>
      <c r="Z1" s="57"/>
      <c r="AA1" s="57"/>
    </row>
    <row r="2" spans="1:27" x14ac:dyDescent="0.3">
      <c r="A2" s="12" t="s">
        <v>40</v>
      </c>
      <c r="B2" s="3"/>
      <c r="C2" s="4"/>
      <c r="D2" s="4"/>
      <c r="E2" s="4"/>
      <c r="F2" s="4"/>
      <c r="G2" s="13" t="s">
        <v>7</v>
      </c>
      <c r="H2" s="33">
        <v>3</v>
      </c>
      <c r="I2" s="14" t="s">
        <v>14</v>
      </c>
      <c r="M2" s="15"/>
      <c r="O2" s="15" t="s">
        <v>30</v>
      </c>
      <c r="U2" s="51" t="s">
        <v>101</v>
      </c>
      <c r="V2" s="49">
        <v>0</v>
      </c>
      <c r="X2" s="57"/>
      <c r="Y2" s="58" t="s">
        <v>159</v>
      </c>
      <c r="Z2" s="59">
        <v>200</v>
      </c>
      <c r="AA2" s="57"/>
    </row>
    <row r="3" spans="1:27" x14ac:dyDescent="0.3">
      <c r="A3" s="12" t="s">
        <v>41</v>
      </c>
      <c r="B3" s="3"/>
      <c r="C3" s="4"/>
      <c r="D3" s="4"/>
      <c r="E3" s="4"/>
      <c r="F3" s="4"/>
      <c r="G3" s="16"/>
      <c r="H3" s="17" t="s">
        <v>128</v>
      </c>
      <c r="I3" s="18" t="s">
        <v>30</v>
      </c>
      <c r="M3" s="19" t="s">
        <v>32</v>
      </c>
      <c r="N3" s="35" t="s">
        <v>25</v>
      </c>
      <c r="O3" s="9">
        <v>4.5</v>
      </c>
      <c r="U3" s="51" t="s">
        <v>96</v>
      </c>
      <c r="V3" s="49">
        <v>48</v>
      </c>
      <c r="X3" s="57"/>
      <c r="Y3" s="58"/>
      <c r="Z3" s="58"/>
      <c r="AA3" s="57"/>
    </row>
    <row r="4" spans="1:27" x14ac:dyDescent="0.3">
      <c r="A4" s="12" t="s">
        <v>42</v>
      </c>
      <c r="B4" s="3"/>
      <c r="C4" s="4"/>
      <c r="D4" s="4"/>
      <c r="E4" s="4"/>
      <c r="F4" s="4"/>
      <c r="G4" s="20" t="s">
        <v>15</v>
      </c>
      <c r="H4" s="21">
        <v>3</v>
      </c>
      <c r="I4" s="34">
        <v>10</v>
      </c>
      <c r="M4" s="19" t="s">
        <v>27</v>
      </c>
      <c r="N4" s="35">
        <v>100</v>
      </c>
      <c r="U4" s="51" t="s">
        <v>102</v>
      </c>
      <c r="V4" s="49" t="b">
        <v>0</v>
      </c>
      <c r="X4" s="57"/>
      <c r="Y4" s="58"/>
      <c r="Z4" s="58"/>
      <c r="AA4" s="57"/>
    </row>
    <row r="5" spans="1:27" x14ac:dyDescent="0.3">
      <c r="A5" s="12"/>
      <c r="B5" s="3"/>
      <c r="C5" s="4"/>
      <c r="D5" s="4"/>
      <c r="E5" s="4"/>
      <c r="F5" s="4"/>
      <c r="G5" s="20" t="s">
        <v>16</v>
      </c>
      <c r="H5" s="21">
        <v>1</v>
      </c>
      <c r="I5" s="34">
        <v>2</v>
      </c>
      <c r="U5" s="51" t="s">
        <v>110</v>
      </c>
      <c r="V5" s="49">
        <v>2</v>
      </c>
      <c r="X5" s="57"/>
      <c r="Y5" s="58"/>
      <c r="Z5" s="58"/>
      <c r="AA5" s="57"/>
    </row>
    <row r="6" spans="1:27" x14ac:dyDescent="0.3">
      <c r="A6" s="38"/>
      <c r="B6" s="3"/>
      <c r="C6" s="4"/>
      <c r="D6" s="4"/>
      <c r="E6" s="4"/>
      <c r="F6" s="4"/>
      <c r="G6" s="20" t="s">
        <v>17</v>
      </c>
      <c r="H6" s="21">
        <v>2</v>
      </c>
      <c r="I6" s="34">
        <v>2</v>
      </c>
      <c r="U6" s="51" t="s">
        <v>119</v>
      </c>
      <c r="V6" s="49">
        <v>25</v>
      </c>
      <c r="X6" s="57"/>
      <c r="Y6" s="58"/>
      <c r="Z6" s="58"/>
      <c r="AA6" s="57"/>
    </row>
    <row r="7" spans="1:27" x14ac:dyDescent="0.3">
      <c r="A7" s="12" t="s">
        <v>127</v>
      </c>
      <c r="B7" s="3"/>
      <c r="C7" s="4"/>
      <c r="D7" s="4"/>
      <c r="E7" s="4"/>
      <c r="F7" s="4"/>
      <c r="G7" s="20" t="s">
        <v>18</v>
      </c>
      <c r="H7" s="21">
        <v>2</v>
      </c>
      <c r="I7" s="34">
        <v>2</v>
      </c>
      <c r="U7" s="51" t="s">
        <v>51</v>
      </c>
      <c r="V7" s="47">
        <f>Fuel_load(tables!$C$9,AFDRS!$V$6,tables!$C$8)</f>
        <v>3</v>
      </c>
      <c r="X7" s="57"/>
      <c r="Y7" s="57"/>
      <c r="Z7" s="57"/>
      <c r="AA7" s="57"/>
    </row>
    <row r="8" spans="1:27" x14ac:dyDescent="0.3">
      <c r="A8" s="12"/>
      <c r="B8" s="3"/>
      <c r="C8" s="4"/>
      <c r="D8" s="4"/>
      <c r="E8" s="4"/>
      <c r="F8" s="4"/>
      <c r="G8" s="20" t="s">
        <v>31</v>
      </c>
      <c r="H8" s="21"/>
      <c r="I8" s="34">
        <v>4.5</v>
      </c>
      <c r="U8" s="47"/>
      <c r="V8" s="47"/>
      <c r="X8" s="57"/>
      <c r="Y8" s="57"/>
      <c r="Z8" s="57"/>
      <c r="AA8" s="57"/>
    </row>
    <row r="9" spans="1:27" x14ac:dyDescent="0.3">
      <c r="A9" s="38" t="s">
        <v>89</v>
      </c>
      <c r="B9" s="3"/>
      <c r="C9" s="4"/>
      <c r="D9" s="4"/>
      <c r="E9" s="4"/>
      <c r="F9" s="4"/>
      <c r="G9" s="20"/>
      <c r="H9" s="18" t="s">
        <v>19</v>
      </c>
      <c r="I9" s="21"/>
      <c r="U9" s="47"/>
      <c r="V9" s="47"/>
      <c r="X9" s="57"/>
      <c r="Y9" s="57"/>
      <c r="Z9" s="57"/>
      <c r="AA9" s="57"/>
    </row>
    <row r="10" spans="1:27" x14ac:dyDescent="0.3">
      <c r="A10" s="46" t="s">
        <v>90</v>
      </c>
      <c r="B10" s="3"/>
      <c r="C10" s="4"/>
      <c r="D10" s="4"/>
      <c r="E10" s="4"/>
      <c r="F10" s="4"/>
      <c r="G10" s="20" t="s">
        <v>16</v>
      </c>
      <c r="H10" s="33">
        <v>20</v>
      </c>
      <c r="I10" s="14" t="s">
        <v>20</v>
      </c>
      <c r="U10" s="47"/>
      <c r="V10" s="47"/>
      <c r="X10" s="57"/>
      <c r="Y10" s="57"/>
      <c r="Z10" s="57"/>
      <c r="AA10" s="57"/>
    </row>
    <row r="11" spans="1:27" x14ac:dyDescent="0.3">
      <c r="A11" s="12"/>
      <c r="B11" s="3"/>
      <c r="C11" s="4"/>
      <c r="D11" s="4"/>
      <c r="E11" s="4"/>
      <c r="F11" s="4"/>
      <c r="G11" s="20" t="s">
        <v>17</v>
      </c>
      <c r="H11" s="33">
        <v>2</v>
      </c>
      <c r="I11" s="14" t="s">
        <v>21</v>
      </c>
      <c r="U11" s="47"/>
      <c r="V11" s="47"/>
      <c r="X11" s="57"/>
      <c r="Y11" s="57"/>
      <c r="Z11" s="57"/>
      <c r="AA11" s="57"/>
    </row>
    <row r="12" spans="1:27" x14ac:dyDescent="0.3">
      <c r="A12" s="38"/>
      <c r="B12" s="3"/>
      <c r="C12" s="4"/>
      <c r="D12" s="4"/>
      <c r="E12" s="4"/>
      <c r="F12" s="4"/>
      <c r="G12" s="20" t="s">
        <v>31</v>
      </c>
      <c r="H12" s="33">
        <v>20</v>
      </c>
      <c r="I12" s="14" t="s">
        <v>21</v>
      </c>
      <c r="R12" s="62"/>
      <c r="U12" s="47"/>
      <c r="V12" s="47"/>
      <c r="X12" s="57"/>
      <c r="Y12" s="57"/>
      <c r="Z12" s="57"/>
      <c r="AA12" s="57"/>
    </row>
    <row r="13" spans="1:27" ht="18" x14ac:dyDescent="0.35">
      <c r="A13" s="2" t="s">
        <v>5</v>
      </c>
      <c r="B13" s="3"/>
      <c r="C13" s="4"/>
      <c r="D13" s="4"/>
      <c r="E13" s="4"/>
      <c r="F13" s="4"/>
      <c r="U13" s="47"/>
      <c r="V13" s="47"/>
      <c r="X13" s="57"/>
      <c r="Y13" s="57"/>
      <c r="Z13" s="57"/>
      <c r="AA13" s="57"/>
    </row>
    <row r="14" spans="1:27"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63" t="s">
        <v>100</v>
      </c>
      <c r="S14" s="48" t="s">
        <v>9</v>
      </c>
      <c r="T14" s="48" t="s">
        <v>10</v>
      </c>
      <c r="U14" s="48" t="s">
        <v>11</v>
      </c>
      <c r="V14" s="48" t="s">
        <v>13</v>
      </c>
      <c r="W14" s="55" t="s">
        <v>161</v>
      </c>
      <c r="X14" s="55" t="s">
        <v>9</v>
      </c>
      <c r="Y14" s="55" t="s">
        <v>10</v>
      </c>
      <c r="Z14" s="55" t="s">
        <v>11</v>
      </c>
      <c r="AA14" s="55" t="s">
        <v>13</v>
      </c>
    </row>
    <row r="15" spans="1:27" x14ac:dyDescent="0.3">
      <c r="A15" s="30">
        <v>22695</v>
      </c>
      <c r="B15" s="31">
        <v>0.625</v>
      </c>
      <c r="C15" s="32">
        <v>0</v>
      </c>
      <c r="D15" s="32">
        <v>5</v>
      </c>
      <c r="E15" s="32">
        <v>5</v>
      </c>
      <c r="F15" s="32">
        <v>1</v>
      </c>
      <c r="G15" s="6">
        <f t="shared" ref="G15" si="0">fbi(I15,$G$1)</f>
        <v>3</v>
      </c>
      <c r="H15" s="6">
        <f t="shared" ref="H15" si="1">ROS_forest(E15,fhs_s,fhs_ns,fh_ns,L15,F15,WAF)</f>
        <v>69</v>
      </c>
      <c r="I15" s="6">
        <f t="shared" ref="I15" si="2">Intensity_forest(H15,F15,J15,ffl_s,ffl_ns,ffl_e,ffl_o,ffh_o)</f>
        <v>50</v>
      </c>
      <c r="J15" s="7">
        <f t="shared" ref="J15" si="3">Flame_height_forest(H15,ffh_e)</f>
        <v>1.5860830545425415</v>
      </c>
      <c r="K15" s="6">
        <f t="shared" ref="K15" si="4">Spotting_forest(H15,E15,fhs_s)</f>
        <v>50</v>
      </c>
      <c r="L15" s="7">
        <f>FMC_Forest(C15,D15,A15,B15)</f>
        <v>3.380000114440918</v>
      </c>
      <c r="M15" s="9">
        <f>fbi(O15,$M$1)</f>
        <v>7</v>
      </c>
      <c r="N15" s="9">
        <f t="shared" ref="N15" si="5">ROS_grass(E15,Q15,curing,state_grass)</f>
        <v>330</v>
      </c>
      <c r="O15" s="9">
        <f t="shared" ref="O15" si="6">Intensity(N15,fl_grass)</f>
        <v>767</v>
      </c>
      <c r="P15" s="10">
        <f t="shared" ref="P15" si="7">Flame_height_grass(N15,state_grass)</f>
        <v>0.55343979597091675</v>
      </c>
      <c r="Q15" s="10">
        <f>FMC_Grass(C15,D15)</f>
        <v>10.270000457763672</v>
      </c>
      <c r="R15" s="47">
        <f>fbi(T15,$R$1)</f>
        <v>13</v>
      </c>
      <c r="S15" s="47">
        <f>ROS_heath(E15,$V$5,V15,$V$4)</f>
        <v>566</v>
      </c>
      <c r="T15" s="47">
        <f>Intensity(S15,$V$7)</f>
        <v>877</v>
      </c>
      <c r="U15" s="52">
        <f>Flame_height_heath(T15)</f>
        <v>1.1589667797088623</v>
      </c>
      <c r="V15" s="52">
        <f>FMC_heath(C15,D15,$V$2,$V$3)</f>
        <v>7.6750001907348633</v>
      </c>
      <c r="W15" s="57">
        <f>fbi(Y15,$W$1)</f>
        <v>2</v>
      </c>
      <c r="X15" s="60">
        <f t="array" ref="X15:Z15">fb_pine_ensemble(E15,AA15,F15,$Z$2)</f>
        <v>137.8282470703125</v>
      </c>
      <c r="Y15" s="60">
        <v>48.115001678466797</v>
      </c>
      <c r="Z15" s="61">
        <v>0.50339716672897339</v>
      </c>
      <c r="AA15" s="61">
        <f>FMC_pine(C15,D15)</f>
        <v>4.9366002082824707</v>
      </c>
    </row>
    <row r="16" spans="1:27" x14ac:dyDescent="0.3">
      <c r="A16" s="30">
        <v>22695</v>
      </c>
      <c r="B16" s="31">
        <v>0.625</v>
      </c>
      <c r="C16" s="32">
        <v>5</v>
      </c>
      <c r="D16" s="32">
        <v>5</v>
      </c>
      <c r="E16" s="32">
        <v>5</v>
      </c>
      <c r="F16" s="32">
        <v>1</v>
      </c>
      <c r="G16" s="6">
        <f t="shared" ref="G16:G58" si="8">fbi(I16,$G$1)</f>
        <v>3</v>
      </c>
      <c r="H16" s="6">
        <f t="shared" ref="H16:H58" si="9">ROS_forest(E16,fhs_s,fhs_ns,fh_ns,L16,F16,WAF)</f>
        <v>69</v>
      </c>
      <c r="I16" s="6">
        <f t="shared" ref="I16:I58" si="10">Intensity_forest(H16,F16,J16,ffl_s,ffl_ns,ffl_e,ffl_o,ffh_o)</f>
        <v>50</v>
      </c>
      <c r="J16" s="7">
        <f t="shared" ref="J16:J58" si="11">Flame_height_forest(H16,ffh_e)</f>
        <v>1.5860830545425415</v>
      </c>
      <c r="K16" s="6">
        <f t="shared" ref="K16:K58" si="12">Spotting_forest(H16,E16,fhs_s)</f>
        <v>50</v>
      </c>
      <c r="L16" s="7">
        <f t="shared" ref="L16:L58" si="13">FMC_Forest(C16,D16,A16,B16)</f>
        <v>3.2864999771118164</v>
      </c>
      <c r="M16" s="9">
        <f t="shared" ref="M16:M58" si="14">fbi(O16,$M$1)</f>
        <v>7</v>
      </c>
      <c r="N16" s="9">
        <f t="shared" ref="N16:N58" si="15">ROS_grass(E16,Q16,curing,state_grass)</f>
        <v>368</v>
      </c>
      <c r="O16" s="9">
        <f t="shared" ref="O16:O58" si="16">Intensity(N16,fl_grass)</f>
        <v>856</v>
      </c>
      <c r="P16" s="10">
        <f t="shared" ref="P16:P58" si="17">Flame_height_grass(N16,state_grass)</f>
        <v>0.57152324914932251</v>
      </c>
      <c r="Q16" s="10">
        <f t="shared" ref="Q16:Q58" si="18">FMC_Grass(C16,D16)</f>
        <v>9.244999885559082</v>
      </c>
      <c r="R16" s="47">
        <f t="shared" ref="R16:R58" si="19">fbi(T16,$R$1)</f>
        <v>13</v>
      </c>
      <c r="S16" s="47">
        <f t="shared" ref="S16:S58" si="20">ROS_heath(E16,$V$5,V16,$V$4)</f>
        <v>604</v>
      </c>
      <c r="T16" s="47">
        <f t="shared" ref="T16:T58" si="21">Intensity(S16,$V$7)</f>
        <v>936</v>
      </c>
      <c r="U16" s="52">
        <f t="shared" ref="U16:U58" si="22">Flame_height_heath(T16)</f>
        <v>1.2077300548553467</v>
      </c>
      <c r="V16" s="52">
        <f t="shared" ref="V16:V58" si="23">FMC_heath(C16,D16,$V$2,$V$3)</f>
        <v>7.1750001907348633</v>
      </c>
      <c r="W16" s="57">
        <f t="shared" ref="W16:W58" si="24">fbi(Y16,$W$1)</f>
        <v>2</v>
      </c>
      <c r="X16" s="60">
        <f t="array" ref="X16:Z16">fb_pine_ensemble(E16,AA16,F16,$Z$2)</f>
        <v>139.21728515625</v>
      </c>
      <c r="Y16" s="60">
        <v>49.115001678466797</v>
      </c>
      <c r="Z16" s="61">
        <v>0.50436896085739136</v>
      </c>
      <c r="AA16" s="61">
        <f t="shared" ref="AA16:AA58" si="25">FMC_pine(C16,D16)</f>
        <v>4.8310999870300293</v>
      </c>
    </row>
    <row r="17" spans="1:27" x14ac:dyDescent="0.3">
      <c r="A17" s="30">
        <v>22695</v>
      </c>
      <c r="B17" s="31">
        <v>0.625</v>
      </c>
      <c r="C17" s="32">
        <v>10</v>
      </c>
      <c r="D17" s="32">
        <v>5</v>
      </c>
      <c r="E17" s="32">
        <v>5</v>
      </c>
      <c r="F17" s="32">
        <v>1</v>
      </c>
      <c r="G17" s="6">
        <f t="shared" si="8"/>
        <v>3</v>
      </c>
      <c r="H17" s="6">
        <f t="shared" si="9"/>
        <v>69</v>
      </c>
      <c r="I17" s="6">
        <f t="shared" si="10"/>
        <v>50</v>
      </c>
      <c r="J17" s="7">
        <f t="shared" si="11"/>
        <v>1.5860830545425415</v>
      </c>
      <c r="K17" s="6">
        <f t="shared" si="12"/>
        <v>50</v>
      </c>
      <c r="L17" s="7">
        <f t="shared" si="13"/>
        <v>3.1930000782012939</v>
      </c>
      <c r="M17" s="9">
        <f t="shared" si="14"/>
        <v>7</v>
      </c>
      <c r="N17" s="9">
        <f t="shared" si="15"/>
        <v>412</v>
      </c>
      <c r="O17" s="9">
        <f t="shared" si="16"/>
        <v>958</v>
      </c>
      <c r="P17" s="10">
        <f t="shared" si="17"/>
        <v>0.5908856987953186</v>
      </c>
      <c r="Q17" s="10">
        <f t="shared" si="18"/>
        <v>8.2200002670288086</v>
      </c>
      <c r="R17" s="47">
        <f t="shared" si="19"/>
        <v>13</v>
      </c>
      <c r="S17" s="47">
        <f t="shared" si="20"/>
        <v>642</v>
      </c>
      <c r="T17" s="47">
        <f t="shared" si="21"/>
        <v>995</v>
      </c>
      <c r="U17" s="52">
        <f t="shared" si="22"/>
        <v>1.2553772926330566</v>
      </c>
      <c r="V17" s="52">
        <f t="shared" si="23"/>
        <v>6.6750001907348633</v>
      </c>
      <c r="W17" s="57">
        <f t="shared" si="24"/>
        <v>2</v>
      </c>
      <c r="X17" s="60">
        <f t="array" ref="X17:Z17">fb_pine_ensemble(E17,AA17,F17,$Z$2)</f>
        <v>140.71420288085938</v>
      </c>
      <c r="Y17" s="60">
        <v>49.115001678466797</v>
      </c>
      <c r="Z17" s="61">
        <v>0.50549393892288208</v>
      </c>
      <c r="AA17" s="61">
        <f t="shared" si="25"/>
        <v>4.7255997657775879</v>
      </c>
    </row>
    <row r="18" spans="1:27" x14ac:dyDescent="0.3">
      <c r="A18" s="30">
        <v>22695</v>
      </c>
      <c r="B18" s="31">
        <v>0.625</v>
      </c>
      <c r="C18" s="32">
        <v>15</v>
      </c>
      <c r="D18" s="32">
        <v>5</v>
      </c>
      <c r="E18" s="32">
        <v>5</v>
      </c>
      <c r="F18" s="32">
        <v>1</v>
      </c>
      <c r="G18" s="6">
        <f t="shared" si="8"/>
        <v>3</v>
      </c>
      <c r="H18" s="6">
        <f t="shared" si="9"/>
        <v>69</v>
      </c>
      <c r="I18" s="6">
        <f t="shared" si="10"/>
        <v>50</v>
      </c>
      <c r="J18" s="7">
        <f t="shared" si="11"/>
        <v>1.5860830545425415</v>
      </c>
      <c r="K18" s="6">
        <f t="shared" si="12"/>
        <v>50</v>
      </c>
      <c r="L18" s="7">
        <f t="shared" si="13"/>
        <v>3.0994999408721924</v>
      </c>
      <c r="M18" s="9">
        <f t="shared" si="14"/>
        <v>8</v>
      </c>
      <c r="N18" s="9">
        <f t="shared" si="15"/>
        <v>460</v>
      </c>
      <c r="O18" s="9">
        <f t="shared" si="16"/>
        <v>1069</v>
      </c>
      <c r="P18" s="10">
        <f t="shared" si="17"/>
        <v>0.61041098833084106</v>
      </c>
      <c r="Q18" s="10">
        <f t="shared" si="18"/>
        <v>7.195000171661377</v>
      </c>
      <c r="R18" s="47">
        <f t="shared" si="19"/>
        <v>13</v>
      </c>
      <c r="S18" s="47">
        <f t="shared" si="20"/>
        <v>680</v>
      </c>
      <c r="T18" s="47">
        <f t="shared" si="21"/>
        <v>1054</v>
      </c>
      <c r="U18" s="52">
        <f t="shared" si="22"/>
        <v>1.3019981384277344</v>
      </c>
      <c r="V18" s="52">
        <f t="shared" si="23"/>
        <v>6.1750001907348633</v>
      </c>
      <c r="W18" s="57">
        <f t="shared" si="24"/>
        <v>3</v>
      </c>
      <c r="X18" s="60">
        <f t="array" ref="X18:Z18">fb_pine_ensemble(E18,AA18,F18,$Z$2)</f>
        <v>142.228271484375</v>
      </c>
      <c r="Y18" s="60">
        <v>50.115001678466797</v>
      </c>
      <c r="Z18" s="61">
        <v>0.50660967826843262</v>
      </c>
      <c r="AA18" s="61">
        <f t="shared" si="25"/>
        <v>4.6201000213623047</v>
      </c>
    </row>
    <row r="19" spans="1:27" x14ac:dyDescent="0.3">
      <c r="A19" s="30">
        <v>22695</v>
      </c>
      <c r="B19" s="31">
        <v>0.625</v>
      </c>
      <c r="C19" s="32">
        <v>20</v>
      </c>
      <c r="D19" s="32">
        <v>5</v>
      </c>
      <c r="E19" s="32">
        <v>5</v>
      </c>
      <c r="F19" s="32">
        <v>1</v>
      </c>
      <c r="G19" s="6">
        <f t="shared" si="8"/>
        <v>3</v>
      </c>
      <c r="H19" s="6">
        <f t="shared" si="9"/>
        <v>69</v>
      </c>
      <c r="I19" s="6">
        <f t="shared" si="10"/>
        <v>50</v>
      </c>
      <c r="J19" s="7">
        <f t="shared" si="11"/>
        <v>1.5860830545425415</v>
      </c>
      <c r="K19" s="6">
        <f t="shared" si="12"/>
        <v>50</v>
      </c>
      <c r="L19" s="7">
        <f t="shared" si="13"/>
        <v>3.0060000419616699</v>
      </c>
      <c r="M19" s="9">
        <f t="shared" si="14"/>
        <v>8</v>
      </c>
      <c r="N19" s="9">
        <f t="shared" si="15"/>
        <v>514</v>
      </c>
      <c r="O19" s="9">
        <f t="shared" si="16"/>
        <v>1195</v>
      </c>
      <c r="P19" s="10">
        <f t="shared" si="17"/>
        <v>0.63072913885116577</v>
      </c>
      <c r="Q19" s="10">
        <f t="shared" si="18"/>
        <v>6.1700000762939453</v>
      </c>
      <c r="R19" s="47">
        <f t="shared" si="19"/>
        <v>14</v>
      </c>
      <c r="S19" s="47">
        <f t="shared" si="20"/>
        <v>718</v>
      </c>
      <c r="T19" s="47">
        <f t="shared" si="21"/>
        <v>1113</v>
      </c>
      <c r="U19" s="52">
        <f t="shared" si="22"/>
        <v>1.3476704359054565</v>
      </c>
      <c r="V19" s="52">
        <f t="shared" si="23"/>
        <v>5.6750001907348633</v>
      </c>
      <c r="W19" s="57">
        <f t="shared" si="24"/>
        <v>3</v>
      </c>
      <c r="X19" s="60">
        <f t="array" ref="X19:Z19">fb_pine_ensemble(E19,AA19,F19,$Z$2)</f>
        <v>143.75984191894531</v>
      </c>
      <c r="Y19" s="60">
        <v>50.115001678466797</v>
      </c>
      <c r="Z19" s="61">
        <v>0.50771641731262207</v>
      </c>
      <c r="AA19" s="61">
        <f t="shared" si="25"/>
        <v>4.5145998001098633</v>
      </c>
    </row>
    <row r="20" spans="1:27" x14ac:dyDescent="0.3">
      <c r="A20" s="30">
        <v>22695</v>
      </c>
      <c r="B20" s="31">
        <v>0.625</v>
      </c>
      <c r="C20" s="32">
        <v>25</v>
      </c>
      <c r="D20" s="32">
        <v>5</v>
      </c>
      <c r="E20" s="32">
        <v>5</v>
      </c>
      <c r="F20" s="32">
        <v>1</v>
      </c>
      <c r="G20" s="6">
        <f t="shared" si="8"/>
        <v>3</v>
      </c>
      <c r="H20" s="6">
        <f t="shared" si="9"/>
        <v>69</v>
      </c>
      <c r="I20" s="6">
        <f t="shared" si="10"/>
        <v>50</v>
      </c>
      <c r="J20" s="7">
        <f t="shared" si="11"/>
        <v>1.5860830545425415</v>
      </c>
      <c r="K20" s="6">
        <f t="shared" si="12"/>
        <v>50</v>
      </c>
      <c r="L20" s="7">
        <f t="shared" si="13"/>
        <v>2.9124999046325684</v>
      </c>
      <c r="M20" s="9">
        <f t="shared" si="14"/>
        <v>8</v>
      </c>
      <c r="N20" s="9">
        <f t="shared" si="15"/>
        <v>574</v>
      </c>
      <c r="O20" s="9">
        <f t="shared" si="16"/>
        <v>1335</v>
      </c>
      <c r="P20" s="10">
        <f t="shared" si="17"/>
        <v>0.65161007642745972</v>
      </c>
      <c r="Q20" s="10">
        <f t="shared" si="18"/>
        <v>5.1449999809265137</v>
      </c>
      <c r="R20" s="47">
        <f t="shared" si="19"/>
        <v>14</v>
      </c>
      <c r="S20" s="47">
        <f t="shared" si="20"/>
        <v>756</v>
      </c>
      <c r="T20" s="47">
        <f t="shared" si="21"/>
        <v>1172</v>
      </c>
      <c r="U20" s="52">
        <f t="shared" si="22"/>
        <v>1.3924622535705566</v>
      </c>
      <c r="V20" s="52">
        <f t="shared" si="23"/>
        <v>5.1750001907348633</v>
      </c>
      <c r="W20" s="57">
        <f t="shared" si="24"/>
        <v>3</v>
      </c>
      <c r="X20" s="60">
        <f t="array" ref="X20:Z20">fb_pine_ensemble(E20,AA20,F20,$Z$2)</f>
        <v>145.30918884277344</v>
      </c>
      <c r="Y20" s="60">
        <v>51.115001678466797</v>
      </c>
      <c r="Z20" s="61">
        <v>0.50881427526473999</v>
      </c>
      <c r="AA20" s="61">
        <f t="shared" si="25"/>
        <v>4.4091000556945801</v>
      </c>
    </row>
    <row r="21" spans="1:27" x14ac:dyDescent="0.3">
      <c r="A21" s="30">
        <v>22695</v>
      </c>
      <c r="B21" s="31">
        <v>0.625</v>
      </c>
      <c r="C21" s="32">
        <v>30</v>
      </c>
      <c r="D21" s="32">
        <v>5</v>
      </c>
      <c r="E21" s="32">
        <v>5</v>
      </c>
      <c r="F21" s="32">
        <v>1</v>
      </c>
      <c r="G21" s="6">
        <f t="shared" si="8"/>
        <v>3</v>
      </c>
      <c r="H21" s="6">
        <f t="shared" si="9"/>
        <v>69</v>
      </c>
      <c r="I21" s="6">
        <f t="shared" si="10"/>
        <v>50</v>
      </c>
      <c r="J21" s="7">
        <f t="shared" si="11"/>
        <v>1.5860830545425415</v>
      </c>
      <c r="K21" s="6">
        <f t="shared" si="12"/>
        <v>50</v>
      </c>
      <c r="L21" s="7">
        <f t="shared" si="13"/>
        <v>2.8190000057220459</v>
      </c>
      <c r="M21" s="9">
        <f t="shared" si="14"/>
        <v>8</v>
      </c>
      <c r="N21" s="9">
        <f t="shared" si="15"/>
        <v>641</v>
      </c>
      <c r="O21" s="9">
        <f t="shared" si="16"/>
        <v>1490</v>
      </c>
      <c r="P21" s="10">
        <f t="shared" si="17"/>
        <v>0.67318105697631836</v>
      </c>
      <c r="Q21" s="10">
        <f t="shared" si="18"/>
        <v>4.119999885559082</v>
      </c>
      <c r="R21" s="47">
        <f t="shared" si="19"/>
        <v>14</v>
      </c>
      <c r="S21" s="47">
        <f t="shared" si="20"/>
        <v>795</v>
      </c>
      <c r="T21" s="47">
        <f t="shared" si="21"/>
        <v>1232</v>
      </c>
      <c r="U21" s="52">
        <f t="shared" si="22"/>
        <v>1.4371722936630249</v>
      </c>
      <c r="V21" s="52">
        <f t="shared" si="23"/>
        <v>4.6750001907348633</v>
      </c>
      <c r="W21" s="57">
        <f t="shared" si="24"/>
        <v>3</v>
      </c>
      <c r="X21" s="60">
        <f t="array" ref="X21:Z21">fb_pine_ensemble(E21,AA21,F21,$Z$2)</f>
        <v>146.87667846679688</v>
      </c>
      <c r="Y21" s="60">
        <v>51.508998870849609</v>
      </c>
      <c r="Z21" s="61">
        <v>0.51433092355728149</v>
      </c>
      <c r="AA21" s="61">
        <f t="shared" si="25"/>
        <v>4.3035998344421387</v>
      </c>
    </row>
    <row r="22" spans="1:27" x14ac:dyDescent="0.3">
      <c r="A22" s="30">
        <v>22695</v>
      </c>
      <c r="B22" s="31">
        <v>0.625</v>
      </c>
      <c r="C22" s="32">
        <v>35</v>
      </c>
      <c r="D22" s="32">
        <v>5</v>
      </c>
      <c r="E22" s="32">
        <v>5</v>
      </c>
      <c r="F22" s="32">
        <v>1</v>
      </c>
      <c r="G22" s="6">
        <f t="shared" si="8"/>
        <v>3</v>
      </c>
      <c r="H22" s="6">
        <f t="shared" si="9"/>
        <v>69</v>
      </c>
      <c r="I22" s="6">
        <f t="shared" si="10"/>
        <v>50</v>
      </c>
      <c r="J22" s="7">
        <f t="shared" si="11"/>
        <v>1.5860830545425415</v>
      </c>
      <c r="K22" s="6">
        <f t="shared" si="12"/>
        <v>50</v>
      </c>
      <c r="L22" s="7">
        <f t="shared" si="13"/>
        <v>2.7255001068115234</v>
      </c>
      <c r="M22" s="9">
        <f t="shared" si="14"/>
        <v>9</v>
      </c>
      <c r="N22" s="9">
        <f t="shared" si="15"/>
        <v>716</v>
      </c>
      <c r="O22" s="9">
        <f t="shared" si="16"/>
        <v>1665</v>
      </c>
      <c r="P22" s="10">
        <f t="shared" si="17"/>
        <v>0.69551759958267212</v>
      </c>
      <c r="Q22" s="10">
        <f t="shared" si="18"/>
        <v>3.0950000286102295</v>
      </c>
      <c r="R22" s="47">
        <f t="shared" si="19"/>
        <v>14</v>
      </c>
      <c r="S22" s="47">
        <f t="shared" si="20"/>
        <v>833</v>
      </c>
      <c r="T22" s="47">
        <f t="shared" si="21"/>
        <v>1291</v>
      </c>
      <c r="U22" s="52">
        <f t="shared" si="22"/>
        <v>1.480364203453064</v>
      </c>
      <c r="V22" s="52">
        <f t="shared" si="23"/>
        <v>4.1750001907348633</v>
      </c>
      <c r="W22" s="57">
        <f t="shared" si="24"/>
        <v>3</v>
      </c>
      <c r="X22" s="60">
        <f t="array" ref="X22:Z22">fb_pine_ensemble(E22,AA22,F22,$Z$2)</f>
        <v>148.46263122558594</v>
      </c>
      <c r="Y22" s="60">
        <v>52.508998870849609</v>
      </c>
      <c r="Z22" s="61">
        <v>0.5154116153717041</v>
      </c>
      <c r="AA22" s="61">
        <f t="shared" si="25"/>
        <v>4.1981000900268555</v>
      </c>
    </row>
    <row r="23" spans="1:27" x14ac:dyDescent="0.3">
      <c r="A23" s="30">
        <v>22695</v>
      </c>
      <c r="B23" s="31">
        <v>0.625</v>
      </c>
      <c r="C23" s="32">
        <v>40</v>
      </c>
      <c r="D23" s="32">
        <v>5</v>
      </c>
      <c r="E23" s="32">
        <v>5</v>
      </c>
      <c r="F23" s="32">
        <v>1</v>
      </c>
      <c r="G23" s="6">
        <f t="shared" si="8"/>
        <v>3</v>
      </c>
      <c r="H23" s="6">
        <f t="shared" si="9"/>
        <v>69</v>
      </c>
      <c r="I23" s="6">
        <f t="shared" si="10"/>
        <v>50</v>
      </c>
      <c r="J23" s="7">
        <f t="shared" si="11"/>
        <v>1.5860830545425415</v>
      </c>
      <c r="K23" s="6">
        <f t="shared" si="12"/>
        <v>50</v>
      </c>
      <c r="L23" s="7">
        <f t="shared" si="13"/>
        <v>2.6319999694824219</v>
      </c>
      <c r="M23" s="9">
        <f t="shared" si="14"/>
        <v>9</v>
      </c>
      <c r="N23" s="9">
        <f t="shared" si="15"/>
        <v>800</v>
      </c>
      <c r="O23" s="9">
        <f t="shared" si="16"/>
        <v>1860</v>
      </c>
      <c r="P23" s="10">
        <f t="shared" si="17"/>
        <v>0.7186548113822937</v>
      </c>
      <c r="Q23" s="10">
        <f t="shared" si="18"/>
        <v>2.0699999332427979</v>
      </c>
      <c r="R23" s="47">
        <f t="shared" si="19"/>
        <v>14</v>
      </c>
      <c r="S23" s="47">
        <f t="shared" si="20"/>
        <v>851</v>
      </c>
      <c r="T23" s="47">
        <f t="shared" si="21"/>
        <v>1319</v>
      </c>
      <c r="U23" s="52">
        <f t="shared" si="22"/>
        <v>1.5006078481674194</v>
      </c>
      <c r="V23" s="52">
        <f t="shared" si="23"/>
        <v>3.6749999523162842</v>
      </c>
      <c r="W23" s="57">
        <f t="shared" si="24"/>
        <v>3</v>
      </c>
      <c r="X23" s="60">
        <f t="array" ref="X23:Z23">fb_pine_ensemble(E23,AA23,F23,$Z$2)</f>
        <v>150.15837097167969</v>
      </c>
      <c r="Y23" s="60">
        <v>52.630001068115234</v>
      </c>
      <c r="Z23" s="61">
        <v>0.51784926652908325</v>
      </c>
      <c r="AA23" s="61">
        <f t="shared" si="25"/>
        <v>4.0925998687744141</v>
      </c>
    </row>
    <row r="24" spans="1:27" x14ac:dyDescent="0.3">
      <c r="A24" s="30">
        <v>22695</v>
      </c>
      <c r="B24" s="31">
        <v>0.625</v>
      </c>
      <c r="C24" s="32">
        <v>45</v>
      </c>
      <c r="D24" s="32">
        <v>5</v>
      </c>
      <c r="E24" s="32">
        <v>5</v>
      </c>
      <c r="F24" s="32">
        <v>1</v>
      </c>
      <c r="G24" s="6">
        <f t="shared" si="8"/>
        <v>3</v>
      </c>
      <c r="H24" s="6">
        <f t="shared" si="9"/>
        <v>69</v>
      </c>
      <c r="I24" s="6">
        <f t="shared" si="10"/>
        <v>50</v>
      </c>
      <c r="J24" s="7">
        <f t="shared" si="11"/>
        <v>1.5860830545425415</v>
      </c>
      <c r="K24" s="6">
        <f t="shared" si="12"/>
        <v>50</v>
      </c>
      <c r="L24" s="7">
        <f t="shared" si="13"/>
        <v>2.5385000705718994</v>
      </c>
      <c r="M24" s="9">
        <f t="shared" si="14"/>
        <v>10</v>
      </c>
      <c r="N24" s="9">
        <f t="shared" si="15"/>
        <v>893</v>
      </c>
      <c r="O24" s="9">
        <f t="shared" si="16"/>
        <v>2076</v>
      </c>
      <c r="P24" s="10">
        <f t="shared" si="17"/>
        <v>0.74235212802886963</v>
      </c>
      <c r="Q24" s="10">
        <f t="shared" si="18"/>
        <v>1.0449999570846558</v>
      </c>
      <c r="R24" s="47">
        <f t="shared" si="19"/>
        <v>14</v>
      </c>
      <c r="S24" s="47">
        <f t="shared" si="20"/>
        <v>856</v>
      </c>
      <c r="T24" s="47">
        <f t="shared" si="21"/>
        <v>1327</v>
      </c>
      <c r="U24" s="52">
        <f t="shared" si="22"/>
        <v>1.5063626766204834</v>
      </c>
      <c r="V24" s="52">
        <f t="shared" si="23"/>
        <v>3.1749999523162842</v>
      </c>
      <c r="W24" s="57">
        <f t="shared" si="24"/>
        <v>3</v>
      </c>
      <c r="X24" s="60">
        <f t="array" ref="X24:Z24">fb_pine_ensemble(E24,AA24,F24,$Z$2)</f>
        <v>151.7822265625</v>
      </c>
      <c r="Y24" s="60">
        <v>53.721000671386719</v>
      </c>
      <c r="Z24" s="61">
        <v>0.51974231004714966</v>
      </c>
      <c r="AA24" s="61">
        <f t="shared" si="25"/>
        <v>3.9870998859405518</v>
      </c>
    </row>
    <row r="25" spans="1:27" x14ac:dyDescent="0.3">
      <c r="A25" s="30">
        <v>22695</v>
      </c>
      <c r="B25" s="31">
        <v>0.625</v>
      </c>
      <c r="C25" s="32">
        <v>50</v>
      </c>
      <c r="D25" s="32">
        <v>5</v>
      </c>
      <c r="E25" s="32">
        <v>5</v>
      </c>
      <c r="F25" s="32">
        <v>1</v>
      </c>
      <c r="G25" s="6">
        <f t="shared" si="8"/>
        <v>3</v>
      </c>
      <c r="H25" s="6">
        <f t="shared" si="9"/>
        <v>69</v>
      </c>
      <c r="I25" s="6">
        <f t="shared" si="10"/>
        <v>50</v>
      </c>
      <c r="J25" s="7">
        <f t="shared" si="11"/>
        <v>1.5860830545425415</v>
      </c>
      <c r="K25" s="6">
        <f t="shared" si="12"/>
        <v>50</v>
      </c>
      <c r="L25" s="7">
        <f t="shared" si="13"/>
        <v>2.4449999332427979</v>
      </c>
      <c r="M25" s="9">
        <f t="shared" si="14"/>
        <v>10</v>
      </c>
      <c r="N25" s="9">
        <f t="shared" si="15"/>
        <v>998</v>
      </c>
      <c r="O25" s="9">
        <f t="shared" si="16"/>
        <v>2320</v>
      </c>
      <c r="P25" s="10">
        <f t="shared" si="17"/>
        <v>0.76710057258605957</v>
      </c>
      <c r="Q25" s="10">
        <f t="shared" si="18"/>
        <v>1.9999999552965164E-2</v>
      </c>
      <c r="R25" s="47">
        <f t="shared" si="19"/>
        <v>14</v>
      </c>
      <c r="S25" s="47">
        <f t="shared" si="20"/>
        <v>860</v>
      </c>
      <c r="T25" s="47">
        <f t="shared" si="21"/>
        <v>1333</v>
      </c>
      <c r="U25" s="52">
        <f t="shared" si="22"/>
        <v>1.5106704235076904</v>
      </c>
      <c r="V25" s="52">
        <f t="shared" si="23"/>
        <v>2.6749999523162842</v>
      </c>
      <c r="W25" s="57">
        <f t="shared" si="24"/>
        <v>3</v>
      </c>
      <c r="X25" s="60">
        <f t="array" ref="X25:Z25">fb_pine_ensemble(E25,AA25,F25,$Z$2)</f>
        <v>153.51658630371094</v>
      </c>
      <c r="Y25" s="60">
        <v>53.721000671386719</v>
      </c>
      <c r="Z25" s="61">
        <v>0.52094721794128418</v>
      </c>
      <c r="AA25" s="61">
        <f t="shared" si="25"/>
        <v>3.8815999031066895</v>
      </c>
    </row>
    <row r="26" spans="1:27" x14ac:dyDescent="0.3">
      <c r="A26" s="30">
        <v>22695</v>
      </c>
      <c r="B26" s="31">
        <v>0.625</v>
      </c>
      <c r="C26" s="32">
        <v>0</v>
      </c>
      <c r="D26" s="32">
        <v>10</v>
      </c>
      <c r="E26" s="32">
        <v>5</v>
      </c>
      <c r="F26" s="32">
        <v>1</v>
      </c>
      <c r="G26" s="6">
        <f t="shared" si="8"/>
        <v>3</v>
      </c>
      <c r="H26" s="6">
        <f t="shared" si="9"/>
        <v>69</v>
      </c>
      <c r="I26" s="6">
        <f t="shared" si="10"/>
        <v>50</v>
      </c>
      <c r="J26" s="7">
        <f t="shared" si="11"/>
        <v>1.5860830545425415</v>
      </c>
      <c r="K26" s="6">
        <f t="shared" si="12"/>
        <v>50</v>
      </c>
      <c r="L26" s="7">
        <f t="shared" si="13"/>
        <v>4</v>
      </c>
      <c r="M26" s="9">
        <f t="shared" si="14"/>
        <v>7</v>
      </c>
      <c r="N26" s="9">
        <f t="shared" si="15"/>
        <v>306</v>
      </c>
      <c r="O26" s="9">
        <f t="shared" si="16"/>
        <v>711</v>
      </c>
      <c r="P26" s="10">
        <f t="shared" si="17"/>
        <v>0.5412483811378479</v>
      </c>
      <c r="Q26" s="10">
        <f t="shared" si="18"/>
        <v>10.960000038146973</v>
      </c>
      <c r="R26" s="47">
        <f t="shared" si="19"/>
        <v>12</v>
      </c>
      <c r="S26" s="47">
        <f t="shared" si="20"/>
        <v>503</v>
      </c>
      <c r="T26" s="47">
        <f t="shared" si="21"/>
        <v>780</v>
      </c>
      <c r="U26" s="52">
        <f t="shared" si="22"/>
        <v>1.0760889053344727</v>
      </c>
      <c r="V26" s="52">
        <f t="shared" si="23"/>
        <v>8.4799995422363281</v>
      </c>
      <c r="W26" s="57">
        <f t="shared" si="24"/>
        <v>2</v>
      </c>
      <c r="X26" s="60">
        <f t="array" ref="X26:Z26">fb_pine_ensemble(E26,AA26,F26,$Z$2)</f>
        <v>130.01498413085938</v>
      </c>
      <c r="Y26" s="60">
        <v>45.601001739501953</v>
      </c>
      <c r="Z26" s="61">
        <v>0.49055284261703491</v>
      </c>
      <c r="AA26" s="61">
        <f t="shared" si="25"/>
        <v>5.5306000709533691</v>
      </c>
    </row>
    <row r="27" spans="1:27" x14ac:dyDescent="0.3">
      <c r="A27" s="30">
        <v>22695</v>
      </c>
      <c r="B27" s="31">
        <v>0.625</v>
      </c>
      <c r="C27" s="32">
        <v>5</v>
      </c>
      <c r="D27" s="32">
        <v>10</v>
      </c>
      <c r="E27" s="32">
        <v>5</v>
      </c>
      <c r="F27" s="32">
        <v>1</v>
      </c>
      <c r="G27" s="6">
        <f t="shared" si="8"/>
        <v>3</v>
      </c>
      <c r="H27" s="6">
        <f t="shared" si="9"/>
        <v>69</v>
      </c>
      <c r="I27" s="6">
        <f t="shared" si="10"/>
        <v>50</v>
      </c>
      <c r="J27" s="7">
        <f t="shared" si="11"/>
        <v>1.5860830545425415</v>
      </c>
      <c r="K27" s="6">
        <f t="shared" si="12"/>
        <v>50</v>
      </c>
      <c r="L27" s="7">
        <f t="shared" si="13"/>
        <v>3.9065001010894775</v>
      </c>
      <c r="M27" s="9">
        <f t="shared" si="14"/>
        <v>7</v>
      </c>
      <c r="N27" s="9">
        <f t="shared" si="15"/>
        <v>342</v>
      </c>
      <c r="O27" s="9">
        <f t="shared" si="16"/>
        <v>795</v>
      </c>
      <c r="P27" s="10">
        <f t="shared" si="17"/>
        <v>0.55930215120315552</v>
      </c>
      <c r="Q27" s="10">
        <f t="shared" si="18"/>
        <v>9.9350004196166992</v>
      </c>
      <c r="R27" s="47">
        <f t="shared" si="19"/>
        <v>13</v>
      </c>
      <c r="S27" s="47">
        <f t="shared" si="20"/>
        <v>542</v>
      </c>
      <c r="T27" s="47">
        <f t="shared" si="21"/>
        <v>840</v>
      </c>
      <c r="U27" s="52">
        <f t="shared" si="22"/>
        <v>1.127771258354187</v>
      </c>
      <c r="V27" s="52">
        <f t="shared" si="23"/>
        <v>7.9800000190734863</v>
      </c>
      <c r="W27" s="57">
        <f t="shared" si="24"/>
        <v>2</v>
      </c>
      <c r="X27" s="60">
        <f t="array" ref="X27:Z27">fb_pine_ensemble(E27,AA27,F27,$Z$2)</f>
        <v>131.40570068359375</v>
      </c>
      <c r="Y27" s="60">
        <v>45.601001739501953</v>
      </c>
      <c r="Z27" s="61">
        <v>0.49173876643180847</v>
      </c>
      <c r="AA27" s="61">
        <f t="shared" si="25"/>
        <v>5.4250998497009277</v>
      </c>
    </row>
    <row r="28" spans="1:27" x14ac:dyDescent="0.3">
      <c r="A28" s="30">
        <v>22695</v>
      </c>
      <c r="B28" s="31">
        <v>0.625</v>
      </c>
      <c r="C28" s="32">
        <v>10</v>
      </c>
      <c r="D28" s="32">
        <v>10</v>
      </c>
      <c r="E28" s="32">
        <v>5</v>
      </c>
      <c r="F28" s="32">
        <v>1</v>
      </c>
      <c r="G28" s="6">
        <f t="shared" si="8"/>
        <v>3</v>
      </c>
      <c r="H28" s="6">
        <f t="shared" si="9"/>
        <v>69</v>
      </c>
      <c r="I28" s="6">
        <f t="shared" si="10"/>
        <v>50</v>
      </c>
      <c r="J28" s="7">
        <f t="shared" si="11"/>
        <v>1.5860830545425415</v>
      </c>
      <c r="K28" s="6">
        <f t="shared" si="12"/>
        <v>50</v>
      </c>
      <c r="L28" s="7">
        <f t="shared" si="13"/>
        <v>3.812999963760376</v>
      </c>
      <c r="M28" s="9">
        <f t="shared" si="14"/>
        <v>7</v>
      </c>
      <c r="N28" s="9">
        <f t="shared" si="15"/>
        <v>382</v>
      </c>
      <c r="O28" s="9">
        <f t="shared" si="16"/>
        <v>888</v>
      </c>
      <c r="P28" s="10">
        <f t="shared" si="17"/>
        <v>0.57785314321517944</v>
      </c>
      <c r="Q28" s="10">
        <f t="shared" si="18"/>
        <v>8.9099998474121094</v>
      </c>
      <c r="R28" s="47">
        <f t="shared" si="19"/>
        <v>13</v>
      </c>
      <c r="S28" s="47">
        <f t="shared" si="20"/>
        <v>581</v>
      </c>
      <c r="T28" s="47">
        <f t="shared" si="21"/>
        <v>901</v>
      </c>
      <c r="U28" s="52">
        <f t="shared" si="22"/>
        <v>1.1789436340332031</v>
      </c>
      <c r="V28" s="52">
        <f t="shared" si="23"/>
        <v>7.4800000190734863</v>
      </c>
      <c r="W28" s="57">
        <f t="shared" si="24"/>
        <v>2</v>
      </c>
      <c r="X28" s="60">
        <f t="array" ref="X28:Z28">fb_pine_ensemble(E28,AA28,F28,$Z$2)</f>
        <v>132.72059631347656</v>
      </c>
      <c r="Y28" s="60">
        <v>46.601001739501953</v>
      </c>
      <c r="Z28" s="61">
        <v>0.49274691939353943</v>
      </c>
      <c r="AA28" s="61">
        <f t="shared" si="25"/>
        <v>5.3196001052856445</v>
      </c>
    </row>
    <row r="29" spans="1:27" x14ac:dyDescent="0.3">
      <c r="A29" s="30">
        <v>22695</v>
      </c>
      <c r="B29" s="31">
        <v>0.625</v>
      </c>
      <c r="C29" s="32">
        <v>15</v>
      </c>
      <c r="D29" s="32">
        <v>10</v>
      </c>
      <c r="E29" s="32">
        <v>5</v>
      </c>
      <c r="F29" s="32">
        <v>1</v>
      </c>
      <c r="G29" s="6">
        <f t="shared" si="8"/>
        <v>3</v>
      </c>
      <c r="H29" s="6">
        <f t="shared" si="9"/>
        <v>69</v>
      </c>
      <c r="I29" s="6">
        <f t="shared" si="10"/>
        <v>50</v>
      </c>
      <c r="J29" s="7">
        <f t="shared" si="11"/>
        <v>1.5860830545425415</v>
      </c>
      <c r="K29" s="6">
        <f t="shared" si="12"/>
        <v>50</v>
      </c>
      <c r="L29" s="7">
        <f t="shared" si="13"/>
        <v>3.7195000648498535</v>
      </c>
      <c r="M29" s="9">
        <f t="shared" si="14"/>
        <v>7</v>
      </c>
      <c r="N29" s="9">
        <f t="shared" si="15"/>
        <v>427</v>
      </c>
      <c r="O29" s="9">
        <f t="shared" si="16"/>
        <v>993</v>
      </c>
      <c r="P29" s="10">
        <f t="shared" si="17"/>
        <v>0.59715217351913452</v>
      </c>
      <c r="Q29" s="10">
        <f t="shared" si="18"/>
        <v>7.8850002288818359</v>
      </c>
      <c r="R29" s="47">
        <f t="shared" si="19"/>
        <v>13</v>
      </c>
      <c r="S29" s="47">
        <f t="shared" si="20"/>
        <v>619</v>
      </c>
      <c r="T29" s="47">
        <f t="shared" si="21"/>
        <v>959</v>
      </c>
      <c r="U29" s="52">
        <f t="shared" si="22"/>
        <v>1.2264318466186523</v>
      </c>
      <c r="V29" s="52">
        <f t="shared" si="23"/>
        <v>6.9800000190734863</v>
      </c>
      <c r="W29" s="57">
        <f t="shared" si="24"/>
        <v>2</v>
      </c>
      <c r="X29" s="60">
        <f t="array" ref="X29:Z29">fb_pine_ensemble(E29,AA29,F29,$Z$2)</f>
        <v>134.05097961425781</v>
      </c>
      <c r="Y29" s="60">
        <v>46.873001098632813</v>
      </c>
      <c r="Z29" s="61">
        <v>0.49717575311660767</v>
      </c>
      <c r="AA29" s="61">
        <f t="shared" si="25"/>
        <v>5.2140998840332031</v>
      </c>
    </row>
    <row r="30" spans="1:27" x14ac:dyDescent="0.3">
      <c r="A30" s="30">
        <v>22695</v>
      </c>
      <c r="B30" s="31">
        <v>0.625</v>
      </c>
      <c r="C30" s="32">
        <v>20</v>
      </c>
      <c r="D30" s="32">
        <v>10</v>
      </c>
      <c r="E30" s="32">
        <v>5</v>
      </c>
      <c r="F30" s="32">
        <v>1</v>
      </c>
      <c r="G30" s="6">
        <f t="shared" si="8"/>
        <v>3</v>
      </c>
      <c r="H30" s="6">
        <f t="shared" si="9"/>
        <v>69</v>
      </c>
      <c r="I30" s="6">
        <f t="shared" si="10"/>
        <v>50</v>
      </c>
      <c r="J30" s="7">
        <f t="shared" si="11"/>
        <v>1.5860830545425415</v>
      </c>
      <c r="K30" s="6">
        <f t="shared" si="12"/>
        <v>50</v>
      </c>
      <c r="L30" s="7">
        <f t="shared" si="13"/>
        <v>3.625999927520752</v>
      </c>
      <c r="M30" s="9">
        <f t="shared" si="14"/>
        <v>8</v>
      </c>
      <c r="N30" s="9">
        <f t="shared" si="15"/>
        <v>477</v>
      </c>
      <c r="O30" s="9">
        <f t="shared" si="16"/>
        <v>1109</v>
      </c>
      <c r="P30" s="10">
        <f t="shared" si="17"/>
        <v>0.61698085069656372</v>
      </c>
      <c r="Q30" s="10">
        <f t="shared" si="18"/>
        <v>6.8600001335144043</v>
      </c>
      <c r="R30" s="47">
        <f t="shared" si="19"/>
        <v>13</v>
      </c>
      <c r="S30" s="47">
        <f t="shared" si="20"/>
        <v>657</v>
      </c>
      <c r="T30" s="47">
        <f t="shared" si="21"/>
        <v>1018</v>
      </c>
      <c r="U30" s="52">
        <f t="shared" si="22"/>
        <v>1.2736690044403076</v>
      </c>
      <c r="V30" s="52">
        <f t="shared" si="23"/>
        <v>6.4800000190734863</v>
      </c>
      <c r="W30" s="57">
        <f t="shared" si="24"/>
        <v>2</v>
      </c>
      <c r="X30" s="60">
        <f t="array" ref="X30:Z30">fb_pine_ensemble(E30,AA30,F30,$Z$2)</f>
        <v>135.48814392089844</v>
      </c>
      <c r="Y30" s="60">
        <v>47.873001098632813</v>
      </c>
      <c r="Z30" s="61">
        <v>0.49833378195762634</v>
      </c>
      <c r="AA30" s="61">
        <f t="shared" si="25"/>
        <v>5.1086001396179199</v>
      </c>
    </row>
    <row r="31" spans="1:27" x14ac:dyDescent="0.3">
      <c r="A31" s="30">
        <v>22695</v>
      </c>
      <c r="B31" s="31">
        <v>0.625</v>
      </c>
      <c r="C31" s="32">
        <v>25</v>
      </c>
      <c r="D31" s="32">
        <v>10</v>
      </c>
      <c r="E31" s="32">
        <v>5</v>
      </c>
      <c r="F31" s="32">
        <v>1</v>
      </c>
      <c r="G31" s="6">
        <f t="shared" si="8"/>
        <v>3</v>
      </c>
      <c r="H31" s="6">
        <f t="shared" si="9"/>
        <v>69</v>
      </c>
      <c r="I31" s="6">
        <f t="shared" si="10"/>
        <v>50</v>
      </c>
      <c r="J31" s="7">
        <f t="shared" si="11"/>
        <v>1.5860830545425415</v>
      </c>
      <c r="K31" s="6">
        <f t="shared" si="12"/>
        <v>50</v>
      </c>
      <c r="L31" s="7">
        <f t="shared" si="13"/>
        <v>3.5325000286102295</v>
      </c>
      <c r="M31" s="9">
        <f t="shared" si="14"/>
        <v>8</v>
      </c>
      <c r="N31" s="9">
        <f t="shared" si="15"/>
        <v>532</v>
      </c>
      <c r="O31" s="9">
        <f t="shared" si="16"/>
        <v>1237</v>
      </c>
      <c r="P31" s="10">
        <f t="shared" si="17"/>
        <v>0.63716620206832886</v>
      </c>
      <c r="Q31" s="10">
        <f t="shared" si="18"/>
        <v>5.8350000381469727</v>
      </c>
      <c r="R31" s="47">
        <f t="shared" si="19"/>
        <v>13</v>
      </c>
      <c r="S31" s="47">
        <f t="shared" si="20"/>
        <v>694</v>
      </c>
      <c r="T31" s="47">
        <f t="shared" si="21"/>
        <v>1076</v>
      </c>
      <c r="U31" s="52">
        <f t="shared" si="22"/>
        <v>1.3191355466842651</v>
      </c>
      <c r="V31" s="52">
        <f t="shared" si="23"/>
        <v>5.9800000190734863</v>
      </c>
      <c r="W31" s="57">
        <f t="shared" si="24"/>
        <v>2</v>
      </c>
      <c r="X31" s="60">
        <f t="array" ref="X31:Z31">fb_pine_ensemble(E31,AA31,F31,$Z$2)</f>
        <v>136.94136047363281</v>
      </c>
      <c r="Y31" s="60">
        <v>48.023998260498047</v>
      </c>
      <c r="Z31" s="61">
        <v>0.5018770694732666</v>
      </c>
      <c r="AA31" s="61">
        <f t="shared" si="25"/>
        <v>5.0030999183654785</v>
      </c>
    </row>
    <row r="32" spans="1:27" x14ac:dyDescent="0.3">
      <c r="A32" s="30">
        <v>22695</v>
      </c>
      <c r="B32" s="31">
        <v>0.625</v>
      </c>
      <c r="C32" s="32">
        <v>30</v>
      </c>
      <c r="D32" s="32">
        <v>10</v>
      </c>
      <c r="E32" s="32">
        <v>5</v>
      </c>
      <c r="F32" s="32">
        <v>1</v>
      </c>
      <c r="G32" s="6">
        <f t="shared" si="8"/>
        <v>3</v>
      </c>
      <c r="H32" s="6">
        <f t="shared" si="9"/>
        <v>69</v>
      </c>
      <c r="I32" s="6">
        <f t="shared" si="10"/>
        <v>50</v>
      </c>
      <c r="J32" s="7">
        <f t="shared" si="11"/>
        <v>1.5860830545425415</v>
      </c>
      <c r="K32" s="6">
        <f t="shared" si="12"/>
        <v>50</v>
      </c>
      <c r="L32" s="7">
        <f t="shared" si="13"/>
        <v>3.4389998912811279</v>
      </c>
      <c r="M32" s="9">
        <f t="shared" si="14"/>
        <v>8</v>
      </c>
      <c r="N32" s="9">
        <f t="shared" si="15"/>
        <v>595</v>
      </c>
      <c r="O32" s="9">
        <f t="shared" si="16"/>
        <v>1383</v>
      </c>
      <c r="P32" s="10">
        <f t="shared" si="17"/>
        <v>0.6585538387298584</v>
      </c>
      <c r="Q32" s="10">
        <f t="shared" si="18"/>
        <v>4.809999942779541</v>
      </c>
      <c r="R32" s="47">
        <f t="shared" si="19"/>
        <v>14</v>
      </c>
      <c r="S32" s="47">
        <f t="shared" si="20"/>
        <v>733</v>
      </c>
      <c r="T32" s="47">
        <f t="shared" si="21"/>
        <v>1136</v>
      </c>
      <c r="U32" s="52">
        <f t="shared" si="22"/>
        <v>1.3652328252792358</v>
      </c>
      <c r="V32" s="52">
        <f t="shared" si="23"/>
        <v>5.4800000190734863</v>
      </c>
      <c r="W32" s="57">
        <f t="shared" si="24"/>
        <v>2</v>
      </c>
      <c r="X32" s="60">
        <f t="array" ref="X32:Z32">fb_pine_ensemble(E32,AA32,F32,$Z$2)</f>
        <v>138.3199462890625</v>
      </c>
      <c r="Y32" s="60">
        <v>49.115001678466797</v>
      </c>
      <c r="Z32" s="61">
        <v>0.50372189283370972</v>
      </c>
      <c r="AA32" s="61">
        <f t="shared" si="25"/>
        <v>4.8976001739501953</v>
      </c>
    </row>
    <row r="33" spans="1:27" x14ac:dyDescent="0.3">
      <c r="A33" s="30">
        <v>22695</v>
      </c>
      <c r="B33" s="31">
        <v>0.625</v>
      </c>
      <c r="C33" s="32">
        <v>35</v>
      </c>
      <c r="D33" s="32">
        <v>10</v>
      </c>
      <c r="E33" s="32">
        <v>5</v>
      </c>
      <c r="F33" s="32">
        <v>1</v>
      </c>
      <c r="G33" s="6">
        <f t="shared" si="8"/>
        <v>3</v>
      </c>
      <c r="H33" s="6">
        <f t="shared" si="9"/>
        <v>69</v>
      </c>
      <c r="I33" s="6">
        <f t="shared" si="10"/>
        <v>50</v>
      </c>
      <c r="J33" s="7">
        <f t="shared" si="11"/>
        <v>1.5860830545425415</v>
      </c>
      <c r="K33" s="6">
        <f t="shared" si="12"/>
        <v>50</v>
      </c>
      <c r="L33" s="7">
        <f t="shared" si="13"/>
        <v>3.3454999923706055</v>
      </c>
      <c r="M33" s="9">
        <f t="shared" si="14"/>
        <v>8</v>
      </c>
      <c r="N33" s="9">
        <f t="shared" si="15"/>
        <v>664</v>
      </c>
      <c r="O33" s="9">
        <f t="shared" si="16"/>
        <v>1544</v>
      </c>
      <c r="P33" s="10">
        <f t="shared" si="17"/>
        <v>0.6802183985710144</v>
      </c>
      <c r="Q33" s="10">
        <f t="shared" si="18"/>
        <v>3.7850000858306885</v>
      </c>
      <c r="R33" s="47">
        <f t="shared" si="19"/>
        <v>14</v>
      </c>
      <c r="S33" s="47">
        <f t="shared" si="20"/>
        <v>771</v>
      </c>
      <c r="T33" s="47">
        <f t="shared" si="21"/>
        <v>1195</v>
      </c>
      <c r="U33" s="52">
        <f t="shared" si="22"/>
        <v>1.4096981287002563</v>
      </c>
      <c r="V33" s="52">
        <f t="shared" si="23"/>
        <v>4.9800000190734863</v>
      </c>
      <c r="W33" s="57">
        <f t="shared" si="24"/>
        <v>2</v>
      </c>
      <c r="X33" s="60">
        <f t="array" ref="X33:Z33">fb_pine_ensemble(E33,AA33,F33,$Z$2)</f>
        <v>139.80619812011719</v>
      </c>
      <c r="Y33" s="60">
        <v>49.115001678466797</v>
      </c>
      <c r="Z33" s="61">
        <v>0.50485223531723022</v>
      </c>
      <c r="AA33" s="61">
        <f t="shared" si="25"/>
        <v>4.7920999526977539</v>
      </c>
    </row>
    <row r="34" spans="1:27" x14ac:dyDescent="0.3">
      <c r="A34" s="30">
        <v>22695</v>
      </c>
      <c r="B34" s="31">
        <v>0.625</v>
      </c>
      <c r="C34" s="32">
        <v>40</v>
      </c>
      <c r="D34" s="32">
        <v>10</v>
      </c>
      <c r="E34" s="32">
        <v>5</v>
      </c>
      <c r="F34" s="32">
        <v>1</v>
      </c>
      <c r="G34" s="6">
        <f t="shared" si="8"/>
        <v>3</v>
      </c>
      <c r="H34" s="6">
        <f t="shared" si="9"/>
        <v>69</v>
      </c>
      <c r="I34" s="6">
        <f t="shared" si="10"/>
        <v>50</v>
      </c>
      <c r="J34" s="7">
        <f t="shared" si="11"/>
        <v>1.5860830545425415</v>
      </c>
      <c r="K34" s="6">
        <f t="shared" si="12"/>
        <v>50</v>
      </c>
      <c r="L34" s="7">
        <f t="shared" si="13"/>
        <v>3.252000093460083</v>
      </c>
      <c r="M34" s="9">
        <f t="shared" si="14"/>
        <v>9</v>
      </c>
      <c r="N34" s="9">
        <f t="shared" si="15"/>
        <v>742</v>
      </c>
      <c r="O34" s="9">
        <f t="shared" si="16"/>
        <v>1725</v>
      </c>
      <c r="P34" s="10">
        <f t="shared" si="17"/>
        <v>0.70287472009658813</v>
      </c>
      <c r="Q34" s="10">
        <f t="shared" si="18"/>
        <v>2.7599999904632568</v>
      </c>
      <c r="R34" s="47">
        <f t="shared" si="19"/>
        <v>14</v>
      </c>
      <c r="S34" s="47">
        <f t="shared" si="20"/>
        <v>809</v>
      </c>
      <c r="T34" s="47">
        <f t="shared" si="21"/>
        <v>1254</v>
      </c>
      <c r="U34" s="52">
        <f t="shared" si="22"/>
        <v>1.4533646106719971</v>
      </c>
      <c r="V34" s="52">
        <f t="shared" si="23"/>
        <v>4.4800000190734863</v>
      </c>
      <c r="W34" s="57">
        <f t="shared" si="24"/>
        <v>3</v>
      </c>
      <c r="X34" s="60">
        <f t="array" ref="X34:Z34">fb_pine_ensemble(E34,AA34,F34,$Z$2)</f>
        <v>141.30940246582031</v>
      </c>
      <c r="Y34" s="60">
        <v>50.115001678466797</v>
      </c>
      <c r="Z34" s="61">
        <v>0.505973219871521</v>
      </c>
      <c r="AA34" s="61">
        <f t="shared" si="25"/>
        <v>4.6866002082824707</v>
      </c>
    </row>
    <row r="35" spans="1:27" x14ac:dyDescent="0.3">
      <c r="A35" s="30">
        <v>22695</v>
      </c>
      <c r="B35" s="31">
        <v>0.625</v>
      </c>
      <c r="C35" s="32">
        <v>45</v>
      </c>
      <c r="D35" s="32">
        <v>10</v>
      </c>
      <c r="E35" s="32">
        <v>5</v>
      </c>
      <c r="F35" s="32">
        <v>1</v>
      </c>
      <c r="G35" s="6">
        <f t="shared" si="8"/>
        <v>3</v>
      </c>
      <c r="H35" s="6">
        <f t="shared" si="9"/>
        <v>69</v>
      </c>
      <c r="I35" s="6">
        <f t="shared" si="10"/>
        <v>50</v>
      </c>
      <c r="J35" s="7">
        <f t="shared" si="11"/>
        <v>1.5860830545425415</v>
      </c>
      <c r="K35" s="6">
        <f t="shared" si="12"/>
        <v>50</v>
      </c>
      <c r="L35" s="7">
        <f t="shared" si="13"/>
        <v>3.1584999561309814</v>
      </c>
      <c r="M35" s="9">
        <f t="shared" si="14"/>
        <v>9</v>
      </c>
      <c r="N35" s="9">
        <f t="shared" si="15"/>
        <v>829</v>
      </c>
      <c r="O35" s="9">
        <f t="shared" si="16"/>
        <v>1927</v>
      </c>
      <c r="P35" s="10">
        <f t="shared" si="17"/>
        <v>0.72624367475509644</v>
      </c>
      <c r="Q35" s="10">
        <f t="shared" si="18"/>
        <v>1.7350000143051147</v>
      </c>
      <c r="R35" s="47">
        <f t="shared" si="19"/>
        <v>14</v>
      </c>
      <c r="S35" s="47">
        <f t="shared" si="20"/>
        <v>847</v>
      </c>
      <c r="T35" s="47">
        <f t="shared" si="21"/>
        <v>1313</v>
      </c>
      <c r="U35" s="52">
        <f t="shared" si="22"/>
        <v>1.4962832927703857</v>
      </c>
      <c r="V35" s="52">
        <f t="shared" si="23"/>
        <v>3.9800000190734863</v>
      </c>
      <c r="W35" s="57">
        <f t="shared" si="24"/>
        <v>3</v>
      </c>
      <c r="X35" s="60">
        <f t="array" ref="X35:Z35">fb_pine_ensemble(E35,AA35,F35,$Z$2)</f>
        <v>142.82991027832031</v>
      </c>
      <c r="Y35" s="60">
        <v>50.115001678466797</v>
      </c>
      <c r="Z35" s="61">
        <v>0.50708508491516113</v>
      </c>
      <c r="AA35" s="61">
        <f t="shared" si="25"/>
        <v>4.5810999870300293</v>
      </c>
    </row>
    <row r="36" spans="1:27" x14ac:dyDescent="0.3">
      <c r="A36" s="30">
        <v>22695</v>
      </c>
      <c r="B36" s="31">
        <v>0.625</v>
      </c>
      <c r="C36" s="32">
        <v>50</v>
      </c>
      <c r="D36" s="32">
        <v>10</v>
      </c>
      <c r="E36" s="32">
        <v>5</v>
      </c>
      <c r="F36" s="32">
        <v>1</v>
      </c>
      <c r="G36" s="6">
        <f t="shared" si="8"/>
        <v>3</v>
      </c>
      <c r="H36" s="6">
        <f t="shared" si="9"/>
        <v>69</v>
      </c>
      <c r="I36" s="6">
        <f t="shared" si="10"/>
        <v>50</v>
      </c>
      <c r="J36" s="7">
        <f t="shared" si="11"/>
        <v>1.5860830545425415</v>
      </c>
      <c r="K36" s="6">
        <f t="shared" si="12"/>
        <v>50</v>
      </c>
      <c r="L36" s="7">
        <f t="shared" si="13"/>
        <v>3.065000057220459</v>
      </c>
      <c r="M36" s="9">
        <f t="shared" si="14"/>
        <v>10</v>
      </c>
      <c r="N36" s="9">
        <f t="shared" si="15"/>
        <v>926</v>
      </c>
      <c r="O36" s="9">
        <f t="shared" si="16"/>
        <v>2153</v>
      </c>
      <c r="P36" s="10">
        <f t="shared" si="17"/>
        <v>0.75034159421920776</v>
      </c>
      <c r="Q36" s="10">
        <f t="shared" si="18"/>
        <v>0.70999997854232788</v>
      </c>
      <c r="R36" s="47">
        <f t="shared" si="19"/>
        <v>14</v>
      </c>
      <c r="S36" s="47">
        <f t="shared" si="20"/>
        <v>853</v>
      </c>
      <c r="T36" s="47">
        <f t="shared" si="21"/>
        <v>1322</v>
      </c>
      <c r="U36" s="52">
        <f t="shared" si="22"/>
        <v>1.5027674436569214</v>
      </c>
      <c r="V36" s="52">
        <f t="shared" si="23"/>
        <v>3.4800000190734863</v>
      </c>
      <c r="W36" s="57">
        <f t="shared" si="24"/>
        <v>3</v>
      </c>
      <c r="X36" s="60">
        <f t="array" ref="X36:Z36">fb_pine_ensemble(E36,AA36,F36,$Z$2)</f>
        <v>144.36801147460938</v>
      </c>
      <c r="Y36" s="60">
        <v>51.115001678466797</v>
      </c>
      <c r="Z36" s="61">
        <v>0.50818800926208496</v>
      </c>
      <c r="AA36" s="61">
        <f t="shared" si="25"/>
        <v>4.4755997657775879</v>
      </c>
    </row>
    <row r="37" spans="1:27" x14ac:dyDescent="0.3">
      <c r="A37" s="30">
        <v>22695</v>
      </c>
      <c r="B37" s="31">
        <v>0.625</v>
      </c>
      <c r="C37" s="32">
        <v>0</v>
      </c>
      <c r="D37" s="32">
        <v>20</v>
      </c>
      <c r="E37" s="32">
        <v>5</v>
      </c>
      <c r="F37" s="32">
        <v>1</v>
      </c>
      <c r="G37" s="6">
        <f t="shared" si="8"/>
        <v>1</v>
      </c>
      <c r="H37" s="6">
        <f t="shared" si="9"/>
        <v>46</v>
      </c>
      <c r="I37" s="6">
        <f t="shared" si="10"/>
        <v>33</v>
      </c>
      <c r="J37" s="7">
        <f t="shared" si="11"/>
        <v>1.1830741167068481</v>
      </c>
      <c r="K37" s="6">
        <f t="shared" si="12"/>
        <v>50</v>
      </c>
      <c r="L37" s="7">
        <f t="shared" si="13"/>
        <v>5.2399997711181641</v>
      </c>
      <c r="M37" s="9">
        <f t="shared" si="14"/>
        <v>7</v>
      </c>
      <c r="N37" s="9">
        <f t="shared" si="15"/>
        <v>262</v>
      </c>
      <c r="O37" s="9">
        <f t="shared" si="16"/>
        <v>609</v>
      </c>
      <c r="P37" s="10">
        <f t="shared" si="17"/>
        <v>0.51702040433883667</v>
      </c>
      <c r="Q37" s="10">
        <f t="shared" si="18"/>
        <v>12.340000152587891</v>
      </c>
      <c r="R37" s="47">
        <f t="shared" si="19"/>
        <v>12</v>
      </c>
      <c r="S37" s="47">
        <f t="shared" si="20"/>
        <v>378</v>
      </c>
      <c r="T37" s="47">
        <f t="shared" si="21"/>
        <v>586</v>
      </c>
      <c r="U37" s="52">
        <f t="shared" si="22"/>
        <v>0.89790719747543335</v>
      </c>
      <c r="V37" s="52">
        <f t="shared" si="23"/>
        <v>10.090000152587891</v>
      </c>
      <c r="W37" s="57">
        <f t="shared" si="24"/>
        <v>2</v>
      </c>
      <c r="X37" s="60">
        <f t="array" ref="X37:Z37">fb_pine_ensemble(E37,AA37,F37,$Z$2)</f>
        <v>116.48859405517578</v>
      </c>
      <c r="Y37" s="60">
        <v>39.994998931884766</v>
      </c>
      <c r="Z37" s="61">
        <v>0.47180137038230896</v>
      </c>
      <c r="AA37" s="61">
        <f t="shared" si="25"/>
        <v>6.718599796295166</v>
      </c>
    </row>
    <row r="38" spans="1:27" x14ac:dyDescent="0.3">
      <c r="A38" s="30">
        <v>22695</v>
      </c>
      <c r="B38" s="31">
        <v>0.625</v>
      </c>
      <c r="C38" s="32">
        <v>5</v>
      </c>
      <c r="D38" s="32">
        <v>20</v>
      </c>
      <c r="E38" s="32">
        <v>5</v>
      </c>
      <c r="F38" s="32">
        <v>1</v>
      </c>
      <c r="G38" s="6">
        <f t="shared" si="8"/>
        <v>2</v>
      </c>
      <c r="H38" s="6">
        <f t="shared" si="9"/>
        <v>48</v>
      </c>
      <c r="I38" s="6">
        <f t="shared" si="10"/>
        <v>35</v>
      </c>
      <c r="J38" s="7">
        <f t="shared" si="11"/>
        <v>1.2200438976287842</v>
      </c>
      <c r="K38" s="6">
        <f t="shared" si="12"/>
        <v>50</v>
      </c>
      <c r="L38" s="7">
        <f t="shared" si="13"/>
        <v>5.1465001106262207</v>
      </c>
      <c r="M38" s="9">
        <f t="shared" si="14"/>
        <v>7</v>
      </c>
      <c r="N38" s="9">
        <f t="shared" si="15"/>
        <v>295</v>
      </c>
      <c r="O38" s="9">
        <f t="shared" si="16"/>
        <v>686</v>
      </c>
      <c r="P38" s="10">
        <f t="shared" si="17"/>
        <v>0.53543442487716675</v>
      </c>
      <c r="Q38" s="10">
        <f t="shared" si="18"/>
        <v>11.314999580383301</v>
      </c>
      <c r="R38" s="47">
        <f t="shared" si="19"/>
        <v>12</v>
      </c>
      <c r="S38" s="47">
        <f t="shared" si="20"/>
        <v>416</v>
      </c>
      <c r="T38" s="47">
        <f t="shared" si="21"/>
        <v>645</v>
      </c>
      <c r="U38" s="52">
        <f t="shared" si="22"/>
        <v>0.95412123203277588</v>
      </c>
      <c r="V38" s="52">
        <f t="shared" si="23"/>
        <v>9.5900001525878906</v>
      </c>
      <c r="W38" s="57">
        <f t="shared" si="24"/>
        <v>2</v>
      </c>
      <c r="X38" s="60">
        <f t="array" ref="X38:Z38">fb_pine_ensemble(E38,AA38,F38,$Z$2)</f>
        <v>117.63555145263672</v>
      </c>
      <c r="Y38" s="60">
        <v>40.994998931884766</v>
      </c>
      <c r="Z38" s="61">
        <v>0.47291386127471924</v>
      </c>
      <c r="AA38" s="61">
        <f t="shared" si="25"/>
        <v>6.6131000518798828</v>
      </c>
    </row>
    <row r="39" spans="1:27" x14ac:dyDescent="0.3">
      <c r="A39" s="30">
        <v>22695</v>
      </c>
      <c r="B39" s="31">
        <v>0.625</v>
      </c>
      <c r="C39" s="32">
        <v>10</v>
      </c>
      <c r="D39" s="32">
        <v>20</v>
      </c>
      <c r="E39" s="32">
        <v>5</v>
      </c>
      <c r="F39" s="32">
        <v>1</v>
      </c>
      <c r="G39" s="6">
        <f t="shared" si="8"/>
        <v>2</v>
      </c>
      <c r="H39" s="6">
        <f t="shared" si="9"/>
        <v>49</v>
      </c>
      <c r="I39" s="6">
        <f t="shared" si="10"/>
        <v>35</v>
      </c>
      <c r="J39" s="7">
        <f t="shared" si="11"/>
        <v>1.2383681535720825</v>
      </c>
      <c r="K39" s="6">
        <f t="shared" si="12"/>
        <v>50</v>
      </c>
      <c r="L39" s="7">
        <f t="shared" si="13"/>
        <v>5.0529999732971191</v>
      </c>
      <c r="M39" s="9">
        <f t="shared" si="14"/>
        <v>7</v>
      </c>
      <c r="N39" s="9">
        <f t="shared" si="15"/>
        <v>329</v>
      </c>
      <c r="O39" s="9">
        <f t="shared" si="16"/>
        <v>765</v>
      </c>
      <c r="P39" s="10">
        <f t="shared" si="17"/>
        <v>0.55294454097747803</v>
      </c>
      <c r="Q39" s="10">
        <f t="shared" si="18"/>
        <v>10.289999961853027</v>
      </c>
      <c r="R39" s="47">
        <f t="shared" si="19"/>
        <v>12</v>
      </c>
      <c r="S39" s="47">
        <f t="shared" si="20"/>
        <v>456</v>
      </c>
      <c r="T39" s="47">
        <f t="shared" si="21"/>
        <v>707</v>
      </c>
      <c r="U39" s="52">
        <f t="shared" si="22"/>
        <v>1.0111945867538452</v>
      </c>
      <c r="V39" s="52">
        <f t="shared" si="23"/>
        <v>9.0900001525878906</v>
      </c>
      <c r="W39" s="57">
        <f t="shared" si="24"/>
        <v>2</v>
      </c>
      <c r="X39" s="60">
        <f t="array" ref="X39:Z39">fb_pine_ensemble(E39,AA39,F39,$Z$2)</f>
        <v>118.70378112792969</v>
      </c>
      <c r="Y39" s="60">
        <v>41.116001129150391</v>
      </c>
      <c r="Z39" s="61">
        <v>0.47519335150718689</v>
      </c>
      <c r="AA39" s="61">
        <f t="shared" si="25"/>
        <v>6.5075998306274414</v>
      </c>
    </row>
    <row r="40" spans="1:27" x14ac:dyDescent="0.3">
      <c r="A40" s="30">
        <v>22695</v>
      </c>
      <c r="B40" s="31">
        <v>0.625</v>
      </c>
      <c r="C40" s="32">
        <v>15</v>
      </c>
      <c r="D40" s="32">
        <v>20</v>
      </c>
      <c r="E40" s="32">
        <v>5</v>
      </c>
      <c r="F40" s="32">
        <v>1</v>
      </c>
      <c r="G40" s="6">
        <f t="shared" si="8"/>
        <v>2</v>
      </c>
      <c r="H40" s="6">
        <f t="shared" si="9"/>
        <v>50</v>
      </c>
      <c r="I40" s="6">
        <f t="shared" si="10"/>
        <v>36</v>
      </c>
      <c r="J40" s="7">
        <f t="shared" si="11"/>
        <v>1.2565892934799194</v>
      </c>
      <c r="K40" s="6">
        <f t="shared" si="12"/>
        <v>50</v>
      </c>
      <c r="L40" s="7">
        <f t="shared" si="13"/>
        <v>4.9594998359680176</v>
      </c>
      <c r="M40" s="9">
        <f t="shared" si="14"/>
        <v>7</v>
      </c>
      <c r="N40" s="9">
        <f t="shared" si="15"/>
        <v>368</v>
      </c>
      <c r="O40" s="9">
        <f t="shared" si="16"/>
        <v>856</v>
      </c>
      <c r="P40" s="10">
        <f t="shared" si="17"/>
        <v>0.57152324914932251</v>
      </c>
      <c r="Q40" s="10">
        <f t="shared" si="18"/>
        <v>9.2650003433227539</v>
      </c>
      <c r="R40" s="47">
        <f t="shared" si="19"/>
        <v>12</v>
      </c>
      <c r="S40" s="47">
        <f t="shared" si="20"/>
        <v>495</v>
      </c>
      <c r="T40" s="47">
        <f t="shared" si="21"/>
        <v>767</v>
      </c>
      <c r="U40" s="52">
        <f t="shared" si="22"/>
        <v>1.0647011995315552</v>
      </c>
      <c r="V40" s="52">
        <f t="shared" si="23"/>
        <v>8.5900001525878906</v>
      </c>
      <c r="W40" s="57">
        <f t="shared" si="24"/>
        <v>2</v>
      </c>
      <c r="X40" s="60">
        <f t="array" ref="X40:Z40">fb_pine_ensemble(E40,AA40,F40,$Z$2)</f>
        <v>119.87551879882813</v>
      </c>
      <c r="Y40" s="60">
        <v>41.116001129150391</v>
      </c>
      <c r="Z40" s="61">
        <v>0.47628846764564514</v>
      </c>
      <c r="AA40" s="61">
        <f t="shared" si="25"/>
        <v>6.4021000862121582</v>
      </c>
    </row>
    <row r="41" spans="1:27" x14ac:dyDescent="0.3">
      <c r="A41" s="30">
        <v>22695</v>
      </c>
      <c r="B41" s="31">
        <v>0.625</v>
      </c>
      <c r="C41" s="32">
        <v>20</v>
      </c>
      <c r="D41" s="32">
        <v>20</v>
      </c>
      <c r="E41" s="32">
        <v>5</v>
      </c>
      <c r="F41" s="32">
        <v>1</v>
      </c>
      <c r="G41" s="6">
        <f t="shared" si="8"/>
        <v>2</v>
      </c>
      <c r="H41" s="6">
        <f t="shared" si="9"/>
        <v>52</v>
      </c>
      <c r="I41" s="6">
        <f t="shared" si="10"/>
        <v>38</v>
      </c>
      <c r="J41" s="7">
        <f t="shared" si="11"/>
        <v>1.2927318811416626</v>
      </c>
      <c r="K41" s="6">
        <f t="shared" si="12"/>
        <v>50</v>
      </c>
      <c r="L41" s="7">
        <f t="shared" si="13"/>
        <v>4.8660001754760742</v>
      </c>
      <c r="M41" s="9">
        <f t="shared" si="14"/>
        <v>7</v>
      </c>
      <c r="N41" s="9">
        <f t="shared" si="15"/>
        <v>411</v>
      </c>
      <c r="O41" s="9">
        <f t="shared" si="16"/>
        <v>956</v>
      </c>
      <c r="P41" s="10">
        <f t="shared" si="17"/>
        <v>0.59046220779418945</v>
      </c>
      <c r="Q41" s="10">
        <f t="shared" si="18"/>
        <v>8.2399997711181641</v>
      </c>
      <c r="R41" s="47">
        <f t="shared" si="19"/>
        <v>13</v>
      </c>
      <c r="S41" s="47">
        <f t="shared" si="20"/>
        <v>533</v>
      </c>
      <c r="T41" s="47">
        <f t="shared" si="21"/>
        <v>826</v>
      </c>
      <c r="U41" s="52">
        <f t="shared" si="22"/>
        <v>1.1158366203308105</v>
      </c>
      <c r="V41" s="52">
        <f t="shared" si="23"/>
        <v>8.0900001525878906</v>
      </c>
      <c r="W41" s="57">
        <f t="shared" si="24"/>
        <v>2</v>
      </c>
      <c r="X41" s="60">
        <f t="array" ref="X41:Z41">fb_pine_ensemble(E41,AA41,F41,$Z$2)</f>
        <v>121.06001281738281</v>
      </c>
      <c r="Y41" s="60">
        <v>42.116001129150391</v>
      </c>
      <c r="Z41" s="61">
        <v>0.4773743748664856</v>
      </c>
      <c r="AA41" s="61">
        <f t="shared" si="25"/>
        <v>6.2965998649597168</v>
      </c>
    </row>
    <row r="42" spans="1:27" x14ac:dyDescent="0.3">
      <c r="A42" s="30">
        <v>22695</v>
      </c>
      <c r="B42" s="31">
        <v>0.625</v>
      </c>
      <c r="C42" s="32">
        <v>25</v>
      </c>
      <c r="D42" s="32">
        <v>20</v>
      </c>
      <c r="E42" s="32">
        <v>5</v>
      </c>
      <c r="F42" s="32">
        <v>1</v>
      </c>
      <c r="G42" s="6">
        <f t="shared" si="8"/>
        <v>2</v>
      </c>
      <c r="H42" s="6">
        <f t="shared" si="9"/>
        <v>53</v>
      </c>
      <c r="I42" s="6">
        <f t="shared" si="10"/>
        <v>38</v>
      </c>
      <c r="J42" s="7">
        <f t="shared" si="11"/>
        <v>1.31065833568573</v>
      </c>
      <c r="K42" s="6">
        <f t="shared" si="12"/>
        <v>50</v>
      </c>
      <c r="L42" s="7">
        <f t="shared" si="13"/>
        <v>4.7725000381469727</v>
      </c>
      <c r="M42" s="9">
        <f t="shared" si="14"/>
        <v>8</v>
      </c>
      <c r="N42" s="9">
        <f t="shared" si="15"/>
        <v>459</v>
      </c>
      <c r="O42" s="9">
        <f t="shared" si="16"/>
        <v>1067</v>
      </c>
      <c r="P42" s="10">
        <f t="shared" si="17"/>
        <v>0.61001920700073242</v>
      </c>
      <c r="Q42" s="10">
        <f t="shared" si="18"/>
        <v>7.2150001525878906</v>
      </c>
      <c r="R42" s="47">
        <f t="shared" si="19"/>
        <v>13</v>
      </c>
      <c r="S42" s="47">
        <f t="shared" si="20"/>
        <v>572</v>
      </c>
      <c r="T42" s="47">
        <f t="shared" si="21"/>
        <v>887</v>
      </c>
      <c r="U42" s="52">
        <f t="shared" si="22"/>
        <v>1.1673145294189453</v>
      </c>
      <c r="V42" s="52">
        <f t="shared" si="23"/>
        <v>7.5900001525878906</v>
      </c>
      <c r="W42" s="57">
        <f t="shared" si="24"/>
        <v>2</v>
      </c>
      <c r="X42" s="60">
        <f t="array" ref="X42:Z42">fb_pine_ensemble(E42,AA42,F42,$Z$2)</f>
        <v>122.16651916503906</v>
      </c>
      <c r="Y42" s="60">
        <v>42.116001129150391</v>
      </c>
      <c r="Z42" s="61">
        <v>0.47827237844467163</v>
      </c>
      <c r="AA42" s="61">
        <f t="shared" si="25"/>
        <v>6.1911001205444336</v>
      </c>
    </row>
    <row r="43" spans="1:27" x14ac:dyDescent="0.3">
      <c r="A43" s="30">
        <v>22695</v>
      </c>
      <c r="B43" s="31">
        <v>0.625</v>
      </c>
      <c r="C43" s="32">
        <v>30</v>
      </c>
      <c r="D43" s="32">
        <v>20</v>
      </c>
      <c r="E43" s="32">
        <v>5</v>
      </c>
      <c r="F43" s="32">
        <v>1</v>
      </c>
      <c r="G43" s="6">
        <f t="shared" si="8"/>
        <v>2</v>
      </c>
      <c r="H43" s="6">
        <f t="shared" si="9"/>
        <v>55</v>
      </c>
      <c r="I43" s="6">
        <f t="shared" si="10"/>
        <v>40</v>
      </c>
      <c r="J43" s="7">
        <f t="shared" si="11"/>
        <v>1.3462330102920532</v>
      </c>
      <c r="K43" s="6">
        <f t="shared" si="12"/>
        <v>50</v>
      </c>
      <c r="L43" s="7">
        <f t="shared" si="13"/>
        <v>4.6789999008178711</v>
      </c>
      <c r="M43" s="9">
        <f t="shared" si="14"/>
        <v>8</v>
      </c>
      <c r="N43" s="9">
        <f t="shared" si="15"/>
        <v>512</v>
      </c>
      <c r="O43" s="9">
        <f t="shared" si="16"/>
        <v>1190</v>
      </c>
      <c r="P43" s="10">
        <f t="shared" si="17"/>
        <v>0.6300041675567627</v>
      </c>
      <c r="Q43" s="10">
        <f t="shared" si="18"/>
        <v>6.190000057220459</v>
      </c>
      <c r="R43" s="47">
        <f t="shared" si="19"/>
        <v>13</v>
      </c>
      <c r="S43" s="47">
        <f t="shared" si="20"/>
        <v>610</v>
      </c>
      <c r="T43" s="47">
        <f t="shared" si="21"/>
        <v>946</v>
      </c>
      <c r="U43" s="52">
        <f t="shared" si="22"/>
        <v>1.2158818244934082</v>
      </c>
      <c r="V43" s="52">
        <f t="shared" si="23"/>
        <v>7.0900001525878906</v>
      </c>
      <c r="W43" s="57">
        <f t="shared" si="24"/>
        <v>2</v>
      </c>
      <c r="X43" s="60">
        <f t="array" ref="X43:Z43">fb_pine_ensemble(E43,AA43,F43,$Z$2)</f>
        <v>123.37728118896484</v>
      </c>
      <c r="Y43" s="60">
        <v>43.116001129150391</v>
      </c>
      <c r="Z43" s="61">
        <v>0.47934186458587646</v>
      </c>
      <c r="AA43" s="61">
        <f t="shared" si="25"/>
        <v>6.0855998992919922</v>
      </c>
    </row>
    <row r="44" spans="1:27" x14ac:dyDescent="0.3">
      <c r="A44" s="30">
        <v>22695</v>
      </c>
      <c r="B44" s="31">
        <v>0.625</v>
      </c>
      <c r="C44" s="32">
        <v>35</v>
      </c>
      <c r="D44" s="32">
        <v>20</v>
      </c>
      <c r="E44" s="32">
        <v>5</v>
      </c>
      <c r="F44" s="32">
        <v>1</v>
      </c>
      <c r="G44" s="6">
        <f t="shared" si="8"/>
        <v>2</v>
      </c>
      <c r="H44" s="6">
        <f t="shared" si="9"/>
        <v>56</v>
      </c>
      <c r="I44" s="6">
        <f t="shared" si="10"/>
        <v>41</v>
      </c>
      <c r="J44" s="7">
        <f t="shared" si="11"/>
        <v>1.3638856410980225</v>
      </c>
      <c r="K44" s="6">
        <f t="shared" si="12"/>
        <v>50</v>
      </c>
      <c r="L44" s="7">
        <f t="shared" si="13"/>
        <v>4.5854997634887695</v>
      </c>
      <c r="M44" s="9">
        <f t="shared" si="14"/>
        <v>8</v>
      </c>
      <c r="N44" s="9">
        <f t="shared" si="15"/>
        <v>572</v>
      </c>
      <c r="O44" s="9">
        <f t="shared" si="16"/>
        <v>1330</v>
      </c>
      <c r="P44" s="10">
        <f t="shared" si="17"/>
        <v>0.6509394645690918</v>
      </c>
      <c r="Q44" s="10">
        <f t="shared" si="18"/>
        <v>5.1649999618530273</v>
      </c>
      <c r="R44" s="47">
        <f t="shared" si="19"/>
        <v>13</v>
      </c>
      <c r="S44" s="47">
        <f t="shared" si="20"/>
        <v>649</v>
      </c>
      <c r="T44" s="47">
        <f t="shared" si="21"/>
        <v>1006</v>
      </c>
      <c r="U44" s="52">
        <f t="shared" si="22"/>
        <v>1.2641446590423584</v>
      </c>
      <c r="V44" s="52">
        <f t="shared" si="23"/>
        <v>6.5900001525878906</v>
      </c>
      <c r="W44" s="57">
        <f t="shared" si="24"/>
        <v>2</v>
      </c>
      <c r="X44" s="60">
        <f t="array" ref="X44:Z44">fb_pine_ensemble(E44,AA44,F44,$Z$2)</f>
        <v>124.60154724121094</v>
      </c>
      <c r="Y44" s="60">
        <v>43.116001129150391</v>
      </c>
      <c r="Z44" s="61">
        <v>0.48040264844894409</v>
      </c>
      <c r="AA44" s="61">
        <f t="shared" si="25"/>
        <v>5.980100154876709</v>
      </c>
    </row>
    <row r="45" spans="1:27" x14ac:dyDescent="0.3">
      <c r="A45" s="30">
        <v>22695</v>
      </c>
      <c r="B45" s="31">
        <v>0.625</v>
      </c>
      <c r="C45" s="32">
        <v>40</v>
      </c>
      <c r="D45" s="32">
        <v>20</v>
      </c>
      <c r="E45" s="32">
        <v>5</v>
      </c>
      <c r="F45" s="32">
        <v>1</v>
      </c>
      <c r="G45" s="6">
        <f t="shared" si="8"/>
        <v>2</v>
      </c>
      <c r="H45" s="6">
        <f t="shared" si="9"/>
        <v>58</v>
      </c>
      <c r="I45" s="6">
        <f t="shared" si="10"/>
        <v>42</v>
      </c>
      <c r="J45" s="7">
        <f t="shared" si="11"/>
        <v>1.3989315032958984</v>
      </c>
      <c r="K45" s="6">
        <f t="shared" si="12"/>
        <v>50</v>
      </c>
      <c r="L45" s="7">
        <f t="shared" si="13"/>
        <v>4.4920001029968262</v>
      </c>
      <c r="M45" s="9">
        <f t="shared" si="14"/>
        <v>8</v>
      </c>
      <c r="N45" s="9">
        <f t="shared" si="15"/>
        <v>639</v>
      </c>
      <c r="O45" s="9">
        <f t="shared" si="16"/>
        <v>1486</v>
      </c>
      <c r="P45" s="10">
        <f t="shared" si="17"/>
        <v>0.67256075143814087</v>
      </c>
      <c r="Q45" s="10">
        <f t="shared" si="18"/>
        <v>4.1399998664855957</v>
      </c>
      <c r="R45" s="47">
        <f t="shared" si="19"/>
        <v>13</v>
      </c>
      <c r="S45" s="47">
        <f t="shared" si="20"/>
        <v>686</v>
      </c>
      <c r="T45" s="47">
        <f t="shared" si="21"/>
        <v>1063</v>
      </c>
      <c r="U45" s="52">
        <f t="shared" si="22"/>
        <v>1.3090245723724365</v>
      </c>
      <c r="V45" s="52">
        <f t="shared" si="23"/>
        <v>6.0900001525878906</v>
      </c>
      <c r="W45" s="57">
        <f t="shared" si="24"/>
        <v>2</v>
      </c>
      <c r="X45" s="60">
        <f t="array" ref="X45:Z45">fb_pine_ensemble(E45,AA45,F45,$Z$2)</f>
        <v>125.83959197998047</v>
      </c>
      <c r="Y45" s="60">
        <v>43.207000732421875</v>
      </c>
      <c r="Z45" s="61">
        <v>0.48236709833145142</v>
      </c>
      <c r="AA45" s="61">
        <f t="shared" si="25"/>
        <v>5.8745999336242676</v>
      </c>
    </row>
    <row r="46" spans="1:27" x14ac:dyDescent="0.3">
      <c r="A46" s="30">
        <v>22695</v>
      </c>
      <c r="B46" s="31">
        <v>0.625</v>
      </c>
      <c r="C46" s="32">
        <v>45</v>
      </c>
      <c r="D46" s="32">
        <v>20</v>
      </c>
      <c r="E46" s="32">
        <v>5</v>
      </c>
      <c r="F46" s="32">
        <v>1</v>
      </c>
      <c r="G46" s="6">
        <f t="shared" si="8"/>
        <v>2</v>
      </c>
      <c r="H46" s="6">
        <f t="shared" si="9"/>
        <v>60</v>
      </c>
      <c r="I46" s="6">
        <f t="shared" si="10"/>
        <v>43</v>
      </c>
      <c r="J46" s="7">
        <f t="shared" si="11"/>
        <v>1.43364417552948</v>
      </c>
      <c r="K46" s="6">
        <f t="shared" si="12"/>
        <v>50</v>
      </c>
      <c r="L46" s="7">
        <f t="shared" si="13"/>
        <v>4.3984999656677246</v>
      </c>
      <c r="M46" s="9">
        <f t="shared" si="14"/>
        <v>9</v>
      </c>
      <c r="N46" s="9">
        <f t="shared" si="15"/>
        <v>714</v>
      </c>
      <c r="O46" s="9">
        <f t="shared" si="16"/>
        <v>1660</v>
      </c>
      <c r="P46" s="10">
        <f t="shared" si="17"/>
        <v>0.69494390487670898</v>
      </c>
      <c r="Q46" s="10">
        <f t="shared" si="18"/>
        <v>3.1150000095367432</v>
      </c>
      <c r="R46" s="47">
        <f t="shared" si="19"/>
        <v>14</v>
      </c>
      <c r="S46" s="47">
        <f t="shared" si="20"/>
        <v>724</v>
      </c>
      <c r="T46" s="47">
        <f t="shared" si="21"/>
        <v>1122</v>
      </c>
      <c r="U46" s="52">
        <f t="shared" si="22"/>
        <v>1.3545583486557007</v>
      </c>
      <c r="V46" s="52">
        <f t="shared" si="23"/>
        <v>5.5900001525878906</v>
      </c>
      <c r="W46" s="57">
        <f t="shared" si="24"/>
        <v>2</v>
      </c>
      <c r="X46" s="60">
        <f t="array" ref="X46:Z46">fb_pine_ensemble(E46,AA46,F46,$Z$2)</f>
        <v>127.09166717529297</v>
      </c>
      <c r="Y46" s="60">
        <v>44.207000732421875</v>
      </c>
      <c r="Z46" s="61">
        <v>0.48341098427772522</v>
      </c>
      <c r="AA46" s="61">
        <f t="shared" si="25"/>
        <v>5.7691001892089844</v>
      </c>
    </row>
    <row r="47" spans="1:27" x14ac:dyDescent="0.3">
      <c r="A47" s="30">
        <v>22695</v>
      </c>
      <c r="B47" s="31">
        <v>0.625</v>
      </c>
      <c r="C47" s="32">
        <v>50</v>
      </c>
      <c r="D47" s="32">
        <v>20</v>
      </c>
      <c r="E47" s="32">
        <v>5</v>
      </c>
      <c r="F47" s="32">
        <v>1</v>
      </c>
      <c r="G47" s="6">
        <f t="shared" si="8"/>
        <v>2</v>
      </c>
      <c r="H47" s="6">
        <f t="shared" si="9"/>
        <v>62</v>
      </c>
      <c r="I47" s="6">
        <f t="shared" si="10"/>
        <v>45</v>
      </c>
      <c r="J47" s="7">
        <f t="shared" si="11"/>
        <v>1.4680377244949341</v>
      </c>
      <c r="K47" s="6">
        <f t="shared" si="12"/>
        <v>50</v>
      </c>
      <c r="L47" s="7">
        <f t="shared" si="13"/>
        <v>4.304999828338623</v>
      </c>
      <c r="M47" s="9">
        <f t="shared" si="14"/>
        <v>9</v>
      </c>
      <c r="N47" s="9">
        <f t="shared" si="15"/>
        <v>798</v>
      </c>
      <c r="O47" s="9">
        <f t="shared" si="16"/>
        <v>1855</v>
      </c>
      <c r="P47" s="10">
        <f t="shared" si="17"/>
        <v>0.71812433004379272</v>
      </c>
      <c r="Q47" s="10">
        <f t="shared" si="18"/>
        <v>2.0899999141693115</v>
      </c>
      <c r="R47" s="47">
        <f t="shared" si="19"/>
        <v>14</v>
      </c>
      <c r="S47" s="47">
        <f t="shared" si="20"/>
        <v>763</v>
      </c>
      <c r="T47" s="47">
        <f t="shared" si="21"/>
        <v>1183</v>
      </c>
      <c r="U47" s="52">
        <f t="shared" si="22"/>
        <v>1.4007208347320557</v>
      </c>
      <c r="V47" s="52">
        <f t="shared" si="23"/>
        <v>5.0900001525878906</v>
      </c>
      <c r="W47" s="57">
        <f t="shared" si="24"/>
        <v>2</v>
      </c>
      <c r="X47" s="60">
        <f t="array" ref="X47:Z47">fb_pine_ensemble(E47,AA47,F47,$Z$2)</f>
        <v>128.35804748535156</v>
      </c>
      <c r="Y47" s="60">
        <v>44.207000732421875</v>
      </c>
      <c r="Z47" s="61">
        <v>0.48444667458534241</v>
      </c>
      <c r="AA47" s="61">
        <f t="shared" si="25"/>
        <v>5.663599967956543</v>
      </c>
    </row>
    <row r="48" spans="1:27" x14ac:dyDescent="0.3">
      <c r="A48" s="30">
        <v>22695</v>
      </c>
      <c r="B48" s="31">
        <v>0.625</v>
      </c>
      <c r="C48" s="32">
        <v>0</v>
      </c>
      <c r="D48" s="32">
        <v>30</v>
      </c>
      <c r="E48" s="32">
        <v>5</v>
      </c>
      <c r="F48" s="32">
        <v>1</v>
      </c>
      <c r="G48" s="6">
        <f t="shared" si="8"/>
        <v>1</v>
      </c>
      <c r="H48" s="6">
        <f t="shared" si="9"/>
        <v>34</v>
      </c>
      <c r="I48" s="6">
        <f t="shared" si="10"/>
        <v>21</v>
      </c>
      <c r="J48" s="7">
        <f t="shared" si="11"/>
        <v>0.9508177638053894</v>
      </c>
      <c r="K48" s="6">
        <f t="shared" si="12"/>
        <v>50</v>
      </c>
      <c r="L48" s="7">
        <f t="shared" si="13"/>
        <v>6.4800000190734863</v>
      </c>
      <c r="M48" s="9">
        <f t="shared" si="14"/>
        <v>6</v>
      </c>
      <c r="N48" s="9">
        <f t="shared" si="15"/>
        <v>215</v>
      </c>
      <c r="O48" s="9">
        <f t="shared" si="16"/>
        <v>500</v>
      </c>
      <c r="P48" s="10">
        <f t="shared" si="17"/>
        <v>0.48772850632667542</v>
      </c>
      <c r="Q48" s="10">
        <f t="shared" si="18"/>
        <v>13.720000267028809</v>
      </c>
      <c r="R48" s="47">
        <f t="shared" si="19"/>
        <v>10</v>
      </c>
      <c r="S48" s="47">
        <f t="shared" si="20"/>
        <v>260</v>
      </c>
      <c r="T48" s="47">
        <f t="shared" si="21"/>
        <v>403</v>
      </c>
      <c r="U48" s="52">
        <f t="shared" si="22"/>
        <v>0.70845186710357666</v>
      </c>
      <c r="V48" s="52">
        <f t="shared" si="23"/>
        <v>11.699999809265137</v>
      </c>
      <c r="W48" s="57">
        <f t="shared" si="24"/>
        <v>2</v>
      </c>
      <c r="X48" s="60">
        <f t="array" ref="X48:Z48">fb_pine_ensemble(E48,AA48,F48,$Z$2)</f>
        <v>105.22093200683594</v>
      </c>
      <c r="Y48" s="60">
        <v>35.359001159667969</v>
      </c>
      <c r="Z48" s="61">
        <v>0.45203298330307007</v>
      </c>
      <c r="AA48" s="61">
        <f t="shared" si="25"/>
        <v>7.9065999984741211</v>
      </c>
    </row>
    <row r="49" spans="1:27" x14ac:dyDescent="0.3">
      <c r="A49" s="30">
        <v>22695</v>
      </c>
      <c r="B49" s="31">
        <v>0.625</v>
      </c>
      <c r="C49" s="32">
        <v>5</v>
      </c>
      <c r="D49" s="32">
        <v>30</v>
      </c>
      <c r="E49" s="32">
        <v>5</v>
      </c>
      <c r="F49" s="32">
        <v>1</v>
      </c>
      <c r="G49" s="6">
        <f t="shared" si="8"/>
        <v>1</v>
      </c>
      <c r="H49" s="6">
        <f t="shared" si="9"/>
        <v>34</v>
      </c>
      <c r="I49" s="6">
        <f t="shared" si="10"/>
        <v>21</v>
      </c>
      <c r="J49" s="7">
        <f t="shared" si="11"/>
        <v>0.9508177638053894</v>
      </c>
      <c r="K49" s="6">
        <f t="shared" si="12"/>
        <v>50</v>
      </c>
      <c r="L49" s="7">
        <f t="shared" si="13"/>
        <v>6.3864998817443848</v>
      </c>
      <c r="M49" s="9">
        <f t="shared" si="14"/>
        <v>6</v>
      </c>
      <c r="N49" s="9">
        <f t="shared" si="15"/>
        <v>250</v>
      </c>
      <c r="O49" s="9">
        <f t="shared" si="16"/>
        <v>581</v>
      </c>
      <c r="P49" s="10">
        <f t="shared" si="17"/>
        <v>0.50991886854171753</v>
      </c>
      <c r="Q49" s="10">
        <f t="shared" si="18"/>
        <v>12.694999694824219</v>
      </c>
      <c r="R49" s="47">
        <f t="shared" si="19"/>
        <v>11</v>
      </c>
      <c r="S49" s="47">
        <f t="shared" si="20"/>
        <v>295</v>
      </c>
      <c r="T49" s="47">
        <f t="shared" si="21"/>
        <v>457</v>
      </c>
      <c r="U49" s="52">
        <f t="shared" si="22"/>
        <v>0.76714807748794556</v>
      </c>
      <c r="V49" s="52">
        <f t="shared" si="23"/>
        <v>11.199999809265137</v>
      </c>
      <c r="W49" s="57">
        <f t="shared" si="24"/>
        <v>2</v>
      </c>
      <c r="X49" s="60">
        <f t="array" ref="X49:Z49">fb_pine_ensemble(E49,AA49,F49,$Z$2)</f>
        <v>106.15427398681641</v>
      </c>
      <c r="Y49" s="60">
        <v>35.509998321533203</v>
      </c>
      <c r="Z49" s="61">
        <v>0.45544269680976868</v>
      </c>
      <c r="AA49" s="61">
        <f t="shared" si="25"/>
        <v>7.8010997772216797</v>
      </c>
    </row>
    <row r="50" spans="1:27" x14ac:dyDescent="0.3">
      <c r="A50" s="30">
        <v>22695</v>
      </c>
      <c r="B50" s="31">
        <v>0.625</v>
      </c>
      <c r="C50" s="32">
        <v>10</v>
      </c>
      <c r="D50" s="32">
        <v>30</v>
      </c>
      <c r="E50" s="32">
        <v>5</v>
      </c>
      <c r="F50" s="32">
        <v>1</v>
      </c>
      <c r="G50" s="6">
        <f t="shared" si="8"/>
        <v>1</v>
      </c>
      <c r="H50" s="6">
        <f t="shared" si="9"/>
        <v>35</v>
      </c>
      <c r="I50" s="6">
        <f t="shared" si="10"/>
        <v>22</v>
      </c>
      <c r="J50" s="7">
        <f t="shared" si="11"/>
        <v>0.9709552526473999</v>
      </c>
      <c r="K50" s="6">
        <f t="shared" si="12"/>
        <v>50</v>
      </c>
      <c r="L50" s="7">
        <f t="shared" si="13"/>
        <v>6.2930002212524414</v>
      </c>
      <c r="M50" s="9">
        <f t="shared" si="14"/>
        <v>7</v>
      </c>
      <c r="N50" s="9">
        <f t="shared" si="15"/>
        <v>284</v>
      </c>
      <c r="O50" s="9">
        <f t="shared" si="16"/>
        <v>660</v>
      </c>
      <c r="P50" s="10">
        <f t="shared" si="17"/>
        <v>0.52946555614471436</v>
      </c>
      <c r="Q50" s="10">
        <f t="shared" si="18"/>
        <v>11.670000076293945</v>
      </c>
      <c r="R50" s="47">
        <f t="shared" si="19"/>
        <v>12</v>
      </c>
      <c r="S50" s="47">
        <f t="shared" si="20"/>
        <v>332</v>
      </c>
      <c r="T50" s="47">
        <f t="shared" si="21"/>
        <v>515</v>
      </c>
      <c r="U50" s="52">
        <f t="shared" si="22"/>
        <v>0.82742041349411011</v>
      </c>
      <c r="V50" s="52">
        <f t="shared" si="23"/>
        <v>10.699999809265137</v>
      </c>
      <c r="W50" s="57">
        <f t="shared" si="24"/>
        <v>2</v>
      </c>
      <c r="X50" s="60">
        <f t="array" ref="X50:Z50">fb_pine_ensemble(E50,AA50,F50,$Z$2)</f>
        <v>107.09740447998047</v>
      </c>
      <c r="Y50" s="60">
        <v>36.509998321533203</v>
      </c>
      <c r="Z50" s="61">
        <v>0.45644903182983398</v>
      </c>
      <c r="AA50" s="61">
        <f t="shared" si="25"/>
        <v>7.6956000328063965</v>
      </c>
    </row>
    <row r="51" spans="1:27" x14ac:dyDescent="0.3">
      <c r="A51" s="30">
        <v>22695</v>
      </c>
      <c r="B51" s="31">
        <v>0.625</v>
      </c>
      <c r="C51" s="32">
        <v>15</v>
      </c>
      <c r="D51" s="32">
        <v>30</v>
      </c>
      <c r="E51" s="32">
        <v>5</v>
      </c>
      <c r="F51" s="32">
        <v>1</v>
      </c>
      <c r="G51" s="6">
        <f t="shared" si="8"/>
        <v>1</v>
      </c>
      <c r="H51" s="6">
        <f t="shared" si="9"/>
        <v>36</v>
      </c>
      <c r="I51" s="6">
        <f t="shared" si="10"/>
        <v>22</v>
      </c>
      <c r="J51" s="7">
        <f t="shared" si="11"/>
        <v>0.99093401432037354</v>
      </c>
      <c r="K51" s="6">
        <f t="shared" si="12"/>
        <v>50</v>
      </c>
      <c r="L51" s="7">
        <f t="shared" si="13"/>
        <v>6.1995000839233398</v>
      </c>
      <c r="M51" s="9">
        <f t="shared" si="14"/>
        <v>7</v>
      </c>
      <c r="N51" s="9">
        <f t="shared" si="15"/>
        <v>317</v>
      </c>
      <c r="O51" s="9">
        <f t="shared" si="16"/>
        <v>737</v>
      </c>
      <c r="P51" s="10">
        <f t="shared" si="17"/>
        <v>0.54691678285598755</v>
      </c>
      <c r="Q51" s="10">
        <f t="shared" si="18"/>
        <v>10.645000457763672</v>
      </c>
      <c r="R51" s="47">
        <f t="shared" si="19"/>
        <v>12</v>
      </c>
      <c r="S51" s="47">
        <f t="shared" si="20"/>
        <v>369</v>
      </c>
      <c r="T51" s="47">
        <f t="shared" si="21"/>
        <v>572</v>
      </c>
      <c r="U51" s="52">
        <f t="shared" si="22"/>
        <v>0.88426804542541504</v>
      </c>
      <c r="V51" s="52">
        <f t="shared" si="23"/>
        <v>10.199999809265137</v>
      </c>
      <c r="W51" s="57">
        <f t="shared" si="24"/>
        <v>2</v>
      </c>
      <c r="X51" s="60">
        <f t="array" ref="X51:Z51">fb_pine_ensemble(E51,AA51,F51,$Z$2)</f>
        <v>108.050537109375</v>
      </c>
      <c r="Y51" s="60">
        <v>36.509998321533203</v>
      </c>
      <c r="Z51" s="61">
        <v>0.45744726061820984</v>
      </c>
      <c r="AA51" s="61">
        <f t="shared" si="25"/>
        <v>7.5900998115539551</v>
      </c>
    </row>
    <row r="52" spans="1:27" x14ac:dyDescent="0.3">
      <c r="A52" s="30">
        <v>22695</v>
      </c>
      <c r="B52" s="31">
        <v>0.625</v>
      </c>
      <c r="C52" s="32">
        <v>20</v>
      </c>
      <c r="D52" s="32">
        <v>30</v>
      </c>
      <c r="E52" s="32">
        <v>5</v>
      </c>
      <c r="F52" s="32">
        <v>1</v>
      </c>
      <c r="G52" s="6">
        <f t="shared" si="8"/>
        <v>1</v>
      </c>
      <c r="H52" s="6">
        <f t="shared" si="9"/>
        <v>37</v>
      </c>
      <c r="I52" s="6">
        <f t="shared" si="10"/>
        <v>27</v>
      </c>
      <c r="J52" s="7">
        <f t="shared" si="11"/>
        <v>1.0107595920562744</v>
      </c>
      <c r="K52" s="6">
        <f t="shared" si="12"/>
        <v>50</v>
      </c>
      <c r="L52" s="7">
        <f t="shared" si="13"/>
        <v>6.1059999465942383</v>
      </c>
      <c r="M52" s="9">
        <f t="shared" si="14"/>
        <v>7</v>
      </c>
      <c r="N52" s="9">
        <f t="shared" si="15"/>
        <v>354</v>
      </c>
      <c r="O52" s="9">
        <f t="shared" si="16"/>
        <v>823</v>
      </c>
      <c r="P52" s="10">
        <f t="shared" si="17"/>
        <v>0.56502121686935425</v>
      </c>
      <c r="Q52" s="10">
        <f t="shared" si="18"/>
        <v>9.619999885559082</v>
      </c>
      <c r="R52" s="47">
        <f t="shared" si="19"/>
        <v>12</v>
      </c>
      <c r="S52" s="47">
        <f t="shared" si="20"/>
        <v>408</v>
      </c>
      <c r="T52" s="47">
        <f t="shared" si="21"/>
        <v>632</v>
      </c>
      <c r="U52" s="52">
        <f t="shared" si="22"/>
        <v>0.94190299510955811</v>
      </c>
      <c r="V52" s="52">
        <f t="shared" si="23"/>
        <v>9.6999998092651367</v>
      </c>
      <c r="W52" s="57">
        <f t="shared" si="24"/>
        <v>2</v>
      </c>
      <c r="X52" s="60">
        <f t="array" ref="X52:Z52">fb_pine_ensemble(E52,AA52,F52,$Z$2)</f>
        <v>109.01386260986328</v>
      </c>
      <c r="Y52" s="60">
        <v>36.509998321533203</v>
      </c>
      <c r="Z52" s="61">
        <v>0.45843756198883057</v>
      </c>
      <c r="AA52" s="61">
        <f t="shared" si="25"/>
        <v>7.4846000671386719</v>
      </c>
    </row>
    <row r="53" spans="1:27" x14ac:dyDescent="0.3">
      <c r="A53" s="30">
        <v>22695</v>
      </c>
      <c r="B53" s="31">
        <v>0.625</v>
      </c>
      <c r="C53" s="32">
        <v>25</v>
      </c>
      <c r="D53" s="32">
        <v>30</v>
      </c>
      <c r="E53" s="32">
        <v>5</v>
      </c>
      <c r="F53" s="32">
        <v>1</v>
      </c>
      <c r="G53" s="6">
        <f t="shared" si="8"/>
        <v>1</v>
      </c>
      <c r="H53" s="6">
        <f t="shared" si="9"/>
        <v>38</v>
      </c>
      <c r="I53" s="6">
        <f t="shared" si="10"/>
        <v>27</v>
      </c>
      <c r="J53" s="7">
        <f t="shared" si="11"/>
        <v>1.0304372310638428</v>
      </c>
      <c r="K53" s="6">
        <f t="shared" si="12"/>
        <v>50</v>
      </c>
      <c r="L53" s="7">
        <f t="shared" si="13"/>
        <v>6.0124998092651367</v>
      </c>
      <c r="M53" s="9">
        <f t="shared" si="14"/>
        <v>7</v>
      </c>
      <c r="N53" s="9">
        <f t="shared" si="15"/>
        <v>395</v>
      </c>
      <c r="O53" s="9">
        <f t="shared" si="16"/>
        <v>918</v>
      </c>
      <c r="P53" s="10">
        <f t="shared" si="17"/>
        <v>0.58358609676361084</v>
      </c>
      <c r="Q53" s="10">
        <f t="shared" si="18"/>
        <v>8.5950002670288086</v>
      </c>
      <c r="R53" s="47">
        <f t="shared" si="19"/>
        <v>12</v>
      </c>
      <c r="S53" s="47">
        <f t="shared" si="20"/>
        <v>447</v>
      </c>
      <c r="T53" s="47">
        <f t="shared" si="21"/>
        <v>693</v>
      </c>
      <c r="U53" s="52">
        <f t="shared" si="22"/>
        <v>0.99847316741943359</v>
      </c>
      <c r="V53" s="52">
        <f t="shared" si="23"/>
        <v>9.1999998092651367</v>
      </c>
      <c r="W53" s="57">
        <f t="shared" si="24"/>
        <v>2</v>
      </c>
      <c r="X53" s="60">
        <f t="array" ref="X53:Z53">fb_pine_ensemble(E53,AA53,F53,$Z$2)</f>
        <v>109.98760986328125</v>
      </c>
      <c r="Y53" s="60">
        <v>37.903999328613281</v>
      </c>
      <c r="Z53" s="61">
        <v>0.46453946828842163</v>
      </c>
      <c r="AA53" s="61">
        <f t="shared" si="25"/>
        <v>7.3790998458862305</v>
      </c>
    </row>
    <row r="54" spans="1:27" x14ac:dyDescent="0.3">
      <c r="A54" s="30">
        <v>22695</v>
      </c>
      <c r="B54" s="31">
        <v>0.625</v>
      </c>
      <c r="C54" s="32">
        <v>30</v>
      </c>
      <c r="D54" s="32">
        <v>30</v>
      </c>
      <c r="E54" s="32">
        <v>5</v>
      </c>
      <c r="F54" s="32">
        <v>1</v>
      </c>
      <c r="G54" s="6">
        <f t="shared" si="8"/>
        <v>1</v>
      </c>
      <c r="H54" s="6">
        <f t="shared" si="9"/>
        <v>39</v>
      </c>
      <c r="I54" s="6">
        <f t="shared" si="10"/>
        <v>28</v>
      </c>
      <c r="J54" s="7">
        <f t="shared" si="11"/>
        <v>1.0499720573425293</v>
      </c>
      <c r="K54" s="6">
        <f t="shared" si="12"/>
        <v>50</v>
      </c>
      <c r="L54" s="7">
        <f t="shared" si="13"/>
        <v>5.9190001487731934</v>
      </c>
      <c r="M54" s="9">
        <f t="shared" si="14"/>
        <v>7</v>
      </c>
      <c r="N54" s="9">
        <f t="shared" si="15"/>
        <v>441</v>
      </c>
      <c r="O54" s="9">
        <f t="shared" si="16"/>
        <v>1025</v>
      </c>
      <c r="P54" s="10">
        <f t="shared" si="17"/>
        <v>0.60286235809326172</v>
      </c>
      <c r="Q54" s="10">
        <f t="shared" si="18"/>
        <v>7.570000171661377</v>
      </c>
      <c r="R54" s="47">
        <f t="shared" si="19"/>
        <v>12</v>
      </c>
      <c r="S54" s="47">
        <f t="shared" si="20"/>
        <v>486</v>
      </c>
      <c r="T54" s="47">
        <f t="shared" si="21"/>
        <v>753</v>
      </c>
      <c r="U54" s="52">
        <f t="shared" si="22"/>
        <v>1.0523579120635986</v>
      </c>
      <c r="V54" s="52">
        <f t="shared" si="23"/>
        <v>8.6999998092651367</v>
      </c>
      <c r="W54" s="57">
        <f t="shared" si="24"/>
        <v>2</v>
      </c>
      <c r="X54" s="60">
        <f t="array" ref="X54:Z54">fb_pine_ensemble(E54,AA54,F54,$Z$2)</f>
        <v>110.97197723388672</v>
      </c>
      <c r="Y54" s="60">
        <v>37.903999328613281</v>
      </c>
      <c r="Z54" s="61">
        <v>0.46551430225372314</v>
      </c>
      <c r="AA54" s="61">
        <f t="shared" si="25"/>
        <v>7.2736001014709473</v>
      </c>
    </row>
    <row r="55" spans="1:27" x14ac:dyDescent="0.3">
      <c r="A55" s="30">
        <v>22695</v>
      </c>
      <c r="B55" s="31">
        <v>0.625</v>
      </c>
      <c r="C55" s="32">
        <v>35</v>
      </c>
      <c r="D55" s="32">
        <v>30</v>
      </c>
      <c r="E55" s="32">
        <v>5</v>
      </c>
      <c r="F55" s="32">
        <v>1</v>
      </c>
      <c r="G55" s="6">
        <f t="shared" si="8"/>
        <v>1</v>
      </c>
      <c r="H55" s="6">
        <f t="shared" si="9"/>
        <v>39</v>
      </c>
      <c r="I55" s="6">
        <f t="shared" si="10"/>
        <v>28</v>
      </c>
      <c r="J55" s="7">
        <f t="shared" si="11"/>
        <v>1.0499720573425293</v>
      </c>
      <c r="K55" s="6">
        <f t="shared" si="12"/>
        <v>50</v>
      </c>
      <c r="L55" s="7">
        <f t="shared" si="13"/>
        <v>5.8255000114440918</v>
      </c>
      <c r="M55" s="9">
        <f t="shared" si="14"/>
        <v>8</v>
      </c>
      <c r="N55" s="9">
        <f t="shared" si="15"/>
        <v>493</v>
      </c>
      <c r="O55" s="9">
        <f t="shared" si="16"/>
        <v>1146</v>
      </c>
      <c r="P55" s="10">
        <f t="shared" si="17"/>
        <v>0.62301516532897949</v>
      </c>
      <c r="Q55" s="10">
        <f t="shared" si="18"/>
        <v>6.5450000762939453</v>
      </c>
      <c r="R55" s="47">
        <f t="shared" si="19"/>
        <v>13</v>
      </c>
      <c r="S55" s="47">
        <f t="shared" si="20"/>
        <v>525</v>
      </c>
      <c r="T55" s="47">
        <f t="shared" si="21"/>
        <v>814</v>
      </c>
      <c r="U55" s="52">
        <f t="shared" si="22"/>
        <v>1.1055477857589722</v>
      </c>
      <c r="V55" s="52">
        <f t="shared" si="23"/>
        <v>8.1999998092651367</v>
      </c>
      <c r="W55" s="57">
        <f t="shared" si="24"/>
        <v>2</v>
      </c>
      <c r="X55" s="60">
        <f t="array" ref="X55:Z55">fb_pine_ensemble(E55,AA55,F55,$Z$2)</f>
        <v>111.96719360351563</v>
      </c>
      <c r="Y55" s="60">
        <v>38.994998931884766</v>
      </c>
      <c r="Z55" s="61">
        <v>0.46744450926780701</v>
      </c>
      <c r="AA55" s="61">
        <f t="shared" si="25"/>
        <v>7.1680998802185059</v>
      </c>
    </row>
    <row r="56" spans="1:27" x14ac:dyDescent="0.3">
      <c r="A56" s="30">
        <v>22695</v>
      </c>
      <c r="B56" s="31">
        <v>0.625</v>
      </c>
      <c r="C56" s="32">
        <v>40</v>
      </c>
      <c r="D56" s="32">
        <v>30</v>
      </c>
      <c r="E56" s="32">
        <v>5</v>
      </c>
      <c r="F56" s="32">
        <v>1</v>
      </c>
      <c r="G56" s="6">
        <f t="shared" si="8"/>
        <v>1</v>
      </c>
      <c r="H56" s="6">
        <f t="shared" si="9"/>
        <v>40</v>
      </c>
      <c r="I56" s="6">
        <f t="shared" si="10"/>
        <v>29</v>
      </c>
      <c r="J56" s="7">
        <f t="shared" si="11"/>
        <v>1.0693684816360474</v>
      </c>
      <c r="K56" s="6">
        <f t="shared" si="12"/>
        <v>50</v>
      </c>
      <c r="L56" s="7">
        <f t="shared" si="13"/>
        <v>5.7319998741149902</v>
      </c>
      <c r="M56" s="9">
        <f t="shared" si="14"/>
        <v>8</v>
      </c>
      <c r="N56" s="9">
        <f t="shared" si="15"/>
        <v>551</v>
      </c>
      <c r="O56" s="9">
        <f t="shared" si="16"/>
        <v>1281</v>
      </c>
      <c r="P56" s="10">
        <f t="shared" si="17"/>
        <v>0.64379632472991943</v>
      </c>
      <c r="Q56" s="10">
        <f t="shared" si="18"/>
        <v>5.5199999809265137</v>
      </c>
      <c r="R56" s="47">
        <f t="shared" si="19"/>
        <v>13</v>
      </c>
      <c r="S56" s="47">
        <f t="shared" si="20"/>
        <v>563</v>
      </c>
      <c r="T56" s="47">
        <f t="shared" si="21"/>
        <v>873</v>
      </c>
      <c r="U56" s="52">
        <f t="shared" si="22"/>
        <v>1.1556179523468018</v>
      </c>
      <c r="V56" s="52">
        <f t="shared" si="23"/>
        <v>7.6999998092651367</v>
      </c>
      <c r="W56" s="57">
        <f t="shared" si="24"/>
        <v>2</v>
      </c>
      <c r="X56" s="60">
        <f t="array" ref="X56:Z56">fb_pine_ensemble(E56,AA56,F56,$Z$2)</f>
        <v>112.97347259521484</v>
      </c>
      <c r="Y56" s="60">
        <v>38.994998931884766</v>
      </c>
      <c r="Z56" s="61">
        <v>0.46840447187423706</v>
      </c>
      <c r="AA56" s="61">
        <f t="shared" si="25"/>
        <v>7.0626001358032227</v>
      </c>
    </row>
    <row r="57" spans="1:27" x14ac:dyDescent="0.3">
      <c r="A57" s="30">
        <v>22695</v>
      </c>
      <c r="B57" s="31">
        <v>0.625</v>
      </c>
      <c r="C57" s="32">
        <v>45</v>
      </c>
      <c r="D57" s="32">
        <v>30</v>
      </c>
      <c r="E57" s="32">
        <v>5</v>
      </c>
      <c r="F57" s="32">
        <v>1</v>
      </c>
      <c r="G57" s="6">
        <f t="shared" si="8"/>
        <v>1</v>
      </c>
      <c r="H57" s="6">
        <f t="shared" si="9"/>
        <v>41</v>
      </c>
      <c r="I57" s="6">
        <f t="shared" si="10"/>
        <v>30</v>
      </c>
      <c r="J57" s="7">
        <f t="shared" si="11"/>
        <v>1.0886311531066895</v>
      </c>
      <c r="K57" s="6">
        <f t="shared" si="12"/>
        <v>50</v>
      </c>
      <c r="L57" s="7">
        <f t="shared" si="13"/>
        <v>5.6385002136230469</v>
      </c>
      <c r="M57" s="9">
        <f t="shared" si="14"/>
        <v>8</v>
      </c>
      <c r="N57" s="9">
        <f t="shared" si="15"/>
        <v>615</v>
      </c>
      <c r="O57" s="9">
        <f t="shared" si="16"/>
        <v>1430</v>
      </c>
      <c r="P57" s="10">
        <f t="shared" si="17"/>
        <v>0.66500812768936157</v>
      </c>
      <c r="Q57" s="10">
        <f t="shared" si="18"/>
        <v>4.494999885559082</v>
      </c>
      <c r="R57" s="47">
        <f t="shared" si="19"/>
        <v>13</v>
      </c>
      <c r="S57" s="47">
        <f t="shared" si="20"/>
        <v>602</v>
      </c>
      <c r="T57" s="47">
        <f t="shared" si="21"/>
        <v>933</v>
      </c>
      <c r="U57" s="52">
        <f t="shared" si="22"/>
        <v>1.2052782773971558</v>
      </c>
      <c r="V57" s="52">
        <f t="shared" si="23"/>
        <v>7.1999998092651367</v>
      </c>
      <c r="W57" s="57">
        <f t="shared" si="24"/>
        <v>2</v>
      </c>
      <c r="X57" s="60">
        <f t="array" ref="X57:Z57">fb_pine_ensemble(E57,AA57,F57,$Z$2)</f>
        <v>114.08203887939453</v>
      </c>
      <c r="Y57" s="60">
        <v>38.994998931884766</v>
      </c>
      <c r="Z57" s="61">
        <v>0.46954691410064697</v>
      </c>
      <c r="AA57" s="61">
        <f t="shared" si="25"/>
        <v>6.9570999145507813</v>
      </c>
    </row>
    <row r="58" spans="1:27" x14ac:dyDescent="0.3">
      <c r="A58" s="30">
        <v>22695</v>
      </c>
      <c r="B58" s="31">
        <v>0.625</v>
      </c>
      <c r="C58" s="32">
        <v>50</v>
      </c>
      <c r="D58" s="32">
        <v>30</v>
      </c>
      <c r="E58" s="32">
        <v>5</v>
      </c>
      <c r="F58" s="32">
        <v>1</v>
      </c>
      <c r="G58" s="6">
        <f t="shared" si="8"/>
        <v>1</v>
      </c>
      <c r="H58" s="6">
        <f t="shared" si="9"/>
        <v>43</v>
      </c>
      <c r="I58" s="6">
        <f t="shared" si="10"/>
        <v>31</v>
      </c>
      <c r="J58" s="7">
        <f t="shared" si="11"/>
        <v>1.126771092414856</v>
      </c>
      <c r="K58" s="6">
        <f t="shared" si="12"/>
        <v>50</v>
      </c>
      <c r="L58" s="7">
        <f t="shared" si="13"/>
        <v>5.5450000762939453</v>
      </c>
      <c r="M58" s="9">
        <f t="shared" si="14"/>
        <v>9</v>
      </c>
      <c r="N58" s="9">
        <f t="shared" si="15"/>
        <v>687</v>
      </c>
      <c r="O58" s="9">
        <f t="shared" si="16"/>
        <v>1597</v>
      </c>
      <c r="P58" s="10">
        <f t="shared" si="17"/>
        <v>0.68708586692810059</v>
      </c>
      <c r="Q58" s="10">
        <f t="shared" si="18"/>
        <v>3.4700000286102295</v>
      </c>
      <c r="R58" s="47">
        <f t="shared" si="19"/>
        <v>13</v>
      </c>
      <c r="S58" s="47">
        <f t="shared" si="20"/>
        <v>640</v>
      </c>
      <c r="T58" s="47">
        <f t="shared" si="21"/>
        <v>992</v>
      </c>
      <c r="U58" s="52">
        <f t="shared" si="22"/>
        <v>1.2529799938201904</v>
      </c>
      <c r="V58" s="52">
        <f t="shared" si="23"/>
        <v>6.6999998092651367</v>
      </c>
      <c r="W58" s="57">
        <f t="shared" si="24"/>
        <v>2</v>
      </c>
      <c r="X58" s="60">
        <f t="array" ref="X58:Z58">fb_pine_ensemble(E58,AA58,F58,$Z$2)</f>
        <v>115.11111450195313</v>
      </c>
      <c r="Y58" s="60">
        <v>39.994998931884766</v>
      </c>
      <c r="Z58" s="61">
        <v>0.47049111127853394</v>
      </c>
      <c r="AA58" s="61">
        <f t="shared" si="25"/>
        <v>6.851600170135498</v>
      </c>
    </row>
  </sheetData>
  <conditionalFormatting sqref="M15:M1048576">
    <cfRule type="expression" dxfId="53" priority="9">
      <formula>$M15&gt;=100</formula>
    </cfRule>
    <cfRule type="expression" dxfId="52" priority="10">
      <formula>$M15&gt;=50</formula>
    </cfRule>
    <cfRule type="expression" dxfId="51" priority="11">
      <formula>$M15&gt;=24</formula>
    </cfRule>
    <cfRule type="expression" dxfId="50" priority="12">
      <formula>$M15&gt;=12</formula>
    </cfRule>
  </conditionalFormatting>
  <conditionalFormatting sqref="G15:G1048576">
    <cfRule type="expression" dxfId="49" priority="13">
      <formula>$G15&gt;=100</formula>
    </cfRule>
    <cfRule type="expression" dxfId="48" priority="14">
      <formula>$G15&gt;50</formula>
    </cfRule>
    <cfRule type="expression" dxfId="47" priority="15">
      <formula>$G15&gt;=24</formula>
    </cfRule>
    <cfRule type="expression" dxfId="46" priority="16">
      <formula>$G15&gt;=12</formula>
    </cfRule>
  </conditionalFormatting>
  <conditionalFormatting sqref="R15:R58">
    <cfRule type="expression" dxfId="45" priority="8">
      <formula>$R15&gt;=12</formula>
    </cfRule>
  </conditionalFormatting>
  <conditionalFormatting sqref="R15:R58">
    <cfRule type="expression" dxfId="44" priority="5">
      <formula>$R15&gt;=100</formula>
    </cfRule>
    <cfRule type="expression" dxfId="43" priority="6">
      <formula>$R15&gt;=50</formula>
    </cfRule>
    <cfRule type="expression" dxfId="42" priority="7">
      <formula>$R15&gt;=24</formula>
    </cfRule>
  </conditionalFormatting>
  <conditionalFormatting sqref="W15:W58">
    <cfRule type="expression" dxfId="41" priority="4">
      <formula>$W15&gt;=12</formula>
    </cfRule>
  </conditionalFormatting>
  <conditionalFormatting sqref="W15:W58">
    <cfRule type="expression" dxfId="40" priority="1">
      <formula>$W15&gt;=100</formula>
    </cfRule>
    <cfRule type="expression" dxfId="39" priority="2">
      <formula>$W15&gt;=50</formula>
    </cfRule>
    <cfRule type="expression" dxfId="38" priority="3">
      <formula>$W15&gt;=24</formula>
    </cfRule>
  </conditionalFormatting>
  <dataValidations count="14">
    <dataValidation type="decimal" allowBlank="1" showInputMessage="1" showErrorMessage="1" errorTitle="Invalid Curing %" error="Choose a value between 0 and 100" promptTitle="Curing (%)" prompt="select a value betwen 0 and 100" sqref="O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 type="decimal" allowBlank="1" showInputMessage="1" showErrorMessage="1" errorTitle="Invalid Curing %" error="Choose a value between 0 and 100" promptTitle="Curing (%)" prompt="enter a value betwen 0 and 100" sqref="N4">
      <formula1>0</formula1>
      <formula2>100</formula2>
    </dataValidation>
    <dataValidation type="whole" allowBlank="1" showInputMessage="1" showErrorMessage="1" errorTitle="Invalid KBDI" error="enter a value between 0 and 200" promptTitle="KBDI" prompt="enter a value between 0 and 200_x000a_Keetch Byram Drought Index is the precipitation necessary to saturate the soil" sqref="Z2">
      <formula1>0</formula1>
      <formula2>200</formula2>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 type="list" showInputMessage="1" showErrorMessage="1">
          <x14:formula1>
            <xm:f>tables!$I$2:$I$3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8"/>
  <sheetViews>
    <sheetView workbookViewId="0">
      <selection activeCell="F11" sqref="F11"/>
    </sheetView>
  </sheetViews>
  <sheetFormatPr defaultRowHeight="14.4" x14ac:dyDescent="0.3"/>
  <sheetData>
    <row r="1" spans="1:12" x14ac:dyDescent="0.3">
      <c r="A1" s="41" t="s">
        <v>48</v>
      </c>
      <c r="B1" s="41">
        <f>COUNTIF(A:A,"Pass")</f>
        <v>3</v>
      </c>
    </row>
    <row r="2" spans="1:12" x14ac:dyDescent="0.3">
      <c r="A2" s="40" t="s">
        <v>49</v>
      </c>
      <c r="B2" s="40">
        <f>COUNTIF(A:A,"Fail")</f>
        <v>1</v>
      </c>
    </row>
    <row r="4" spans="1:12" ht="79.95" customHeight="1" x14ac:dyDescent="0.3">
      <c r="A4" s="53" t="s">
        <v>131</v>
      </c>
      <c r="B4" s="54"/>
      <c r="C4" s="54"/>
      <c r="D4" s="54"/>
      <c r="E4" s="54"/>
      <c r="F4" s="54"/>
      <c r="G4" s="54"/>
      <c r="H4" s="54"/>
      <c r="I4" s="54"/>
      <c r="J4" s="54"/>
      <c r="K4" s="54"/>
      <c r="L4" s="54"/>
    </row>
    <row r="5" spans="1:12" x14ac:dyDescent="0.3">
      <c r="A5" s="39" t="s">
        <v>34</v>
      </c>
      <c r="B5" s="39" t="s">
        <v>33</v>
      </c>
      <c r="C5" s="39" t="s">
        <v>43</v>
      </c>
      <c r="D5" s="39" t="s">
        <v>69</v>
      </c>
      <c r="E5" s="39" t="s">
        <v>70</v>
      </c>
      <c r="F5" s="39" t="s">
        <v>86</v>
      </c>
    </row>
    <row r="6" spans="1:12" x14ac:dyDescent="0.3">
      <c r="A6" t="str">
        <f>IF(ISBLANK(B6),"",IF(B6=C6,"Pass","Fail"))</f>
        <v>Pass</v>
      </c>
      <c r="B6">
        <v>7.38</v>
      </c>
      <c r="C6">
        <f>ROUND(FMC_pine(D6,E6),2)</f>
        <v>7.38</v>
      </c>
      <c r="D6">
        <v>25</v>
      </c>
      <c r="E6">
        <v>30</v>
      </c>
      <c r="F6" t="s">
        <v>88</v>
      </c>
    </row>
    <row r="7" spans="1:12" x14ac:dyDescent="0.3">
      <c r="A7" t="str">
        <f>IF(ISBLANK(B7),"",IF(B7=C7,"Pass","Fail"))</f>
        <v/>
      </c>
    </row>
    <row r="8" spans="1:12" ht="100.05" customHeight="1" x14ac:dyDescent="0.3">
      <c r="A8" s="53" t="s">
        <v>153</v>
      </c>
      <c r="B8" s="54"/>
      <c r="C8" s="54"/>
      <c r="D8" s="54"/>
      <c r="E8" s="54"/>
      <c r="F8" s="54"/>
      <c r="G8" s="54"/>
      <c r="H8" s="54"/>
      <c r="I8" s="54"/>
      <c r="J8" s="54"/>
      <c r="K8" s="54"/>
      <c r="L8" s="54"/>
    </row>
    <row r="9" spans="1:12" x14ac:dyDescent="0.3">
      <c r="A9" s="39" t="s">
        <v>34</v>
      </c>
      <c r="B9" s="39" t="s">
        <v>33</v>
      </c>
      <c r="C9" s="39" t="s">
        <v>43</v>
      </c>
      <c r="D9" s="39" t="s">
        <v>52</v>
      </c>
      <c r="E9" s="39" t="s">
        <v>154</v>
      </c>
      <c r="F9" s="39" t="s">
        <v>7</v>
      </c>
      <c r="G9" s="39" t="s">
        <v>86</v>
      </c>
    </row>
    <row r="10" spans="1:12" x14ac:dyDescent="0.3">
      <c r="A10" t="str">
        <f>IF(ISBLANK(B10),"",IF(B10=C10,"Pass","Fail"))</f>
        <v>Fail</v>
      </c>
      <c r="B10">
        <v>0.95</v>
      </c>
      <c r="C10">
        <f>ROUND(FA_pine(D10,E10,F10),2)</f>
        <v>0.74</v>
      </c>
      <c r="D10">
        <v>8</v>
      </c>
      <c r="E10">
        <v>100</v>
      </c>
      <c r="F10">
        <v>4</v>
      </c>
      <c r="G10" t="s">
        <v>88</v>
      </c>
    </row>
    <row r="12" spans="1:12" ht="79.95" customHeight="1" x14ac:dyDescent="0.3">
      <c r="A12" s="53" t="s">
        <v>156</v>
      </c>
      <c r="B12" s="54"/>
      <c r="C12" s="54"/>
      <c r="D12" s="54"/>
      <c r="E12" s="54"/>
      <c r="F12" s="54"/>
      <c r="G12" s="54"/>
      <c r="H12" s="54"/>
      <c r="I12" s="54"/>
      <c r="J12" s="54"/>
      <c r="K12" s="54"/>
      <c r="L12" s="54"/>
    </row>
    <row r="13" spans="1:12" x14ac:dyDescent="0.3">
      <c r="A13" s="39" t="s">
        <v>34</v>
      </c>
      <c r="B13" s="39" t="s">
        <v>33</v>
      </c>
      <c r="C13" s="39" t="s">
        <v>43</v>
      </c>
      <c r="D13" s="39" t="s">
        <v>63</v>
      </c>
      <c r="E13" s="39" t="s">
        <v>57</v>
      </c>
      <c r="F13" s="39" t="s">
        <v>86</v>
      </c>
    </row>
    <row r="14" spans="1:12" x14ac:dyDescent="0.3">
      <c r="A14" t="str">
        <f>IF(ISBLANK(B14),"",IF(B14=C14,"Pass","Fail"))</f>
        <v>Pass</v>
      </c>
      <c r="B14">
        <v>6.1</v>
      </c>
      <c r="C14">
        <f>ROUND(U_flame_height(D14,E14),2)</f>
        <v>6.1</v>
      </c>
      <c r="D14">
        <v>20</v>
      </c>
      <c r="E14">
        <v>15</v>
      </c>
      <c r="F14" t="s">
        <v>88</v>
      </c>
    </row>
    <row r="16" spans="1:12" ht="199.95" customHeight="1" x14ac:dyDescent="0.3">
      <c r="A16" s="53" t="s">
        <v>160</v>
      </c>
      <c r="B16" s="54"/>
      <c r="C16" s="54"/>
      <c r="D16" s="54"/>
      <c r="E16" s="54"/>
      <c r="F16" s="54"/>
      <c r="G16" s="54"/>
      <c r="H16" s="54"/>
      <c r="I16" s="54"/>
      <c r="J16" s="54"/>
      <c r="K16" s="54"/>
      <c r="L16" s="54"/>
    </row>
    <row r="17" spans="1:11" x14ac:dyDescent="0.3">
      <c r="A17" s="39" t="s">
        <v>34</v>
      </c>
      <c r="B17" s="39" t="s">
        <v>33</v>
      </c>
      <c r="C17" s="39" t="s">
        <v>43</v>
      </c>
      <c r="D17" s="39" t="s">
        <v>63</v>
      </c>
      <c r="E17" s="39" t="s">
        <v>105</v>
      </c>
      <c r="F17" s="39" t="s">
        <v>52</v>
      </c>
      <c r="G17" s="39" t="s">
        <v>154</v>
      </c>
      <c r="H17" s="39" t="s">
        <v>7</v>
      </c>
    </row>
    <row r="18" spans="1:11" x14ac:dyDescent="0.3">
      <c r="A18" t="str">
        <f>IF(ISBLANK(B18),"",IF(B18=C18,"Pass","Fail"))</f>
        <v>Pass</v>
      </c>
      <c r="B18">
        <v>462</v>
      </c>
      <c r="C18">
        <f>ROUND(ROS_pine(D18,E18,F18,G18),0)</f>
        <v>462</v>
      </c>
      <c r="D18">
        <v>20</v>
      </c>
      <c r="E18">
        <f>C6</f>
        <v>7.38</v>
      </c>
      <c r="F18">
        <v>8</v>
      </c>
      <c r="G18">
        <v>100</v>
      </c>
      <c r="H18">
        <v>5</v>
      </c>
      <c r="J18">
        <f>INDEX(fb_pine_ensemble(D18,E18,F18,G18),1)</f>
        <v>590.07440185546875</v>
      </c>
      <c r="K18">
        <f>INDEX(fire_behaviour_pine(D18,E18,F18,G18),1)</f>
        <v>461.67861938476563</v>
      </c>
    </row>
  </sheetData>
  <mergeCells count="4">
    <mergeCell ref="A4:L4"/>
    <mergeCell ref="A8:L8"/>
    <mergeCell ref="A12:L12"/>
    <mergeCell ref="A16:L16"/>
  </mergeCells>
  <conditionalFormatting sqref="A6:A7">
    <cfRule type="expression" dxfId="37" priority="11">
      <formula>$A6="Fail"</formula>
    </cfRule>
    <cfRule type="expression" dxfId="36" priority="12">
      <formula>$A$9="Pass"</formula>
    </cfRule>
  </conditionalFormatting>
  <conditionalFormatting sqref="A14">
    <cfRule type="expression" dxfId="35" priority="3">
      <formula>$A14="Fail"</formula>
    </cfRule>
    <cfRule type="expression" dxfId="34" priority="4">
      <formula>$A$9="Pass"</formula>
    </cfRule>
  </conditionalFormatting>
  <conditionalFormatting sqref="A10">
    <cfRule type="expression" dxfId="33" priority="5">
      <formula>$A10="Fail"</formula>
    </cfRule>
    <cfRule type="expression" dxfId="32" priority="6">
      <formula>$A$9="Pass"</formula>
    </cfRule>
  </conditionalFormatting>
  <conditionalFormatting sqref="A18">
    <cfRule type="expression" dxfId="31" priority="1">
      <formula>$A18="Fail"</formula>
    </cfRule>
    <cfRule type="expression" dxfId="30" priority="2">
      <formula>$A$9="Pass"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8"/>
  <sheetViews>
    <sheetView workbookViewId="0">
      <selection activeCell="D28" sqref="D28"/>
    </sheetView>
  </sheetViews>
  <sheetFormatPr defaultRowHeight="14.4" x14ac:dyDescent="0.3"/>
  <cols>
    <col min="2" max="2" width="9.77734375" bestFit="1" customWidth="1"/>
    <col min="4" max="4" width="28.77734375" bestFit="1" customWidth="1"/>
    <col min="6" max="7" width="12.109375" customWidth="1"/>
    <col min="9" max="9" width="17.33203125" customWidth="1"/>
  </cols>
  <sheetData>
    <row r="1" spans="1:12" x14ac:dyDescent="0.3">
      <c r="A1" s="39" t="s">
        <v>91</v>
      </c>
      <c r="F1" t="s">
        <v>23</v>
      </c>
      <c r="I1" t="s">
        <v>103</v>
      </c>
      <c r="J1" t="s">
        <v>109</v>
      </c>
      <c r="L1" t="s">
        <v>130</v>
      </c>
    </row>
    <row r="2" spans="1:12" x14ac:dyDescent="0.3">
      <c r="A2" s="39" t="s">
        <v>113</v>
      </c>
      <c r="B2" s="39" t="s">
        <v>111</v>
      </c>
      <c r="C2" s="39" t="s">
        <v>112</v>
      </c>
      <c r="D2" s="39" t="s">
        <v>116</v>
      </c>
      <c r="F2" t="s">
        <v>24</v>
      </c>
      <c r="I2" t="b">
        <v>1</v>
      </c>
      <c r="J2">
        <v>0.35</v>
      </c>
    </row>
    <row r="3" spans="1:12" x14ac:dyDescent="0.3">
      <c r="A3" t="s">
        <v>129</v>
      </c>
      <c r="B3" t="s">
        <v>70</v>
      </c>
      <c r="C3">
        <v>30</v>
      </c>
      <c r="D3" t="s">
        <v>132</v>
      </c>
      <c r="F3" t="s">
        <v>25</v>
      </c>
      <c r="I3" t="b">
        <v>0</v>
      </c>
      <c r="J3">
        <v>0.66700000000000004</v>
      </c>
    </row>
    <row r="4" spans="1:12" x14ac:dyDescent="0.3">
      <c r="A4" t="s">
        <v>129</v>
      </c>
      <c r="B4" t="s">
        <v>69</v>
      </c>
      <c r="C4">
        <v>25</v>
      </c>
      <c r="D4" t="s">
        <v>133</v>
      </c>
      <c r="F4" t="s">
        <v>26</v>
      </c>
    </row>
    <row r="5" spans="1:12" x14ac:dyDescent="0.3">
      <c r="A5" t="s">
        <v>129</v>
      </c>
      <c r="B5" t="s">
        <v>120</v>
      </c>
      <c r="C5">
        <v>25</v>
      </c>
      <c r="D5" t="s">
        <v>141</v>
      </c>
    </row>
    <row r="6" spans="1:12" x14ac:dyDescent="0.3">
      <c r="A6" t="s">
        <v>129</v>
      </c>
      <c r="B6" t="s">
        <v>63</v>
      </c>
      <c r="C6">
        <v>20</v>
      </c>
      <c r="D6" t="s">
        <v>142</v>
      </c>
    </row>
    <row r="7" spans="1:12" x14ac:dyDescent="0.3">
      <c r="A7" t="s">
        <v>47</v>
      </c>
      <c r="B7" t="s">
        <v>52</v>
      </c>
      <c r="C7">
        <v>8</v>
      </c>
      <c r="D7" t="s">
        <v>143</v>
      </c>
    </row>
    <row r="8" spans="1:12" x14ac:dyDescent="0.3">
      <c r="A8" t="s">
        <v>47</v>
      </c>
      <c r="B8" t="s">
        <v>66</v>
      </c>
      <c r="C8">
        <v>3</v>
      </c>
      <c r="D8" t="s">
        <v>134</v>
      </c>
    </row>
    <row r="9" spans="1:12" x14ac:dyDescent="0.3">
      <c r="A9" t="s">
        <v>47</v>
      </c>
      <c r="B9" t="s">
        <v>65</v>
      </c>
      <c r="C9">
        <v>3</v>
      </c>
      <c r="D9" t="s">
        <v>135</v>
      </c>
    </row>
    <row r="10" spans="1:12" x14ac:dyDescent="0.3">
      <c r="A10" t="s">
        <v>47</v>
      </c>
      <c r="B10" t="s">
        <v>55</v>
      </c>
      <c r="C10">
        <v>3</v>
      </c>
      <c r="D10" t="s">
        <v>136</v>
      </c>
    </row>
    <row r="11" spans="1:12" x14ac:dyDescent="0.3">
      <c r="A11" t="s">
        <v>47</v>
      </c>
      <c r="B11" t="s">
        <v>54</v>
      </c>
      <c r="C11">
        <v>3</v>
      </c>
      <c r="D11" t="s">
        <v>137</v>
      </c>
    </row>
    <row r="12" spans="1:12" x14ac:dyDescent="0.3">
      <c r="A12" t="s">
        <v>47</v>
      </c>
      <c r="B12" t="s">
        <v>56</v>
      </c>
      <c r="C12">
        <v>4.5</v>
      </c>
      <c r="D12" t="s">
        <v>138</v>
      </c>
    </row>
    <row r="13" spans="1:12" x14ac:dyDescent="0.3">
      <c r="A13" t="s">
        <v>47</v>
      </c>
      <c r="B13" t="s">
        <v>53</v>
      </c>
      <c r="C13">
        <v>10</v>
      </c>
      <c r="D13" t="s">
        <v>139</v>
      </c>
    </row>
    <row r="14" spans="1:12" x14ac:dyDescent="0.3">
      <c r="A14" t="s">
        <v>47</v>
      </c>
      <c r="B14" t="s">
        <v>67</v>
      </c>
      <c r="C14">
        <v>20</v>
      </c>
      <c r="D14" t="s">
        <v>140</v>
      </c>
    </row>
    <row r="15" spans="1:12" x14ac:dyDescent="0.3">
      <c r="A15" t="s">
        <v>47</v>
      </c>
      <c r="B15" t="s">
        <v>57</v>
      </c>
      <c r="C15">
        <v>20</v>
      </c>
      <c r="D15" t="s">
        <v>146</v>
      </c>
    </row>
    <row r="16" spans="1:12" x14ac:dyDescent="0.3">
      <c r="A16" t="s">
        <v>47</v>
      </c>
      <c r="B16" t="s">
        <v>7</v>
      </c>
      <c r="C16">
        <v>3</v>
      </c>
      <c r="D16" t="s">
        <v>147</v>
      </c>
    </row>
    <row r="17" spans="1:4" x14ac:dyDescent="0.3">
      <c r="A17" t="s">
        <v>85</v>
      </c>
      <c r="B17" t="s">
        <v>77</v>
      </c>
      <c r="C17">
        <v>100</v>
      </c>
      <c r="D17" t="s">
        <v>148</v>
      </c>
    </row>
    <row r="18" spans="1:4" x14ac:dyDescent="0.3">
      <c r="A18" t="s">
        <v>85</v>
      </c>
      <c r="B18" t="s">
        <v>32</v>
      </c>
      <c r="C18" t="s">
        <v>25</v>
      </c>
      <c r="D18" t="s">
        <v>149</v>
      </c>
    </row>
    <row r="19" spans="1:4" x14ac:dyDescent="0.3">
      <c r="A19" t="s">
        <v>114</v>
      </c>
      <c r="B19" t="s">
        <v>124</v>
      </c>
      <c r="C19">
        <v>20</v>
      </c>
      <c r="D19" t="s">
        <v>144</v>
      </c>
    </row>
    <row r="20" spans="1:4" x14ac:dyDescent="0.3">
      <c r="A20" t="s">
        <v>114</v>
      </c>
      <c r="B20" t="s">
        <v>115</v>
      </c>
      <c r="C20">
        <v>2</v>
      </c>
      <c r="D20" t="s">
        <v>145</v>
      </c>
    </row>
    <row r="21" spans="1:4" x14ac:dyDescent="0.3">
      <c r="A21" t="s">
        <v>114</v>
      </c>
      <c r="B21" t="s">
        <v>93</v>
      </c>
      <c r="C21">
        <v>48</v>
      </c>
      <c r="D21" t="s">
        <v>150</v>
      </c>
    </row>
    <row r="22" spans="1:4" x14ac:dyDescent="0.3">
      <c r="A22" t="s">
        <v>114</v>
      </c>
      <c r="B22" t="s">
        <v>121</v>
      </c>
      <c r="C22">
        <v>0.2</v>
      </c>
      <c r="D22" t="s">
        <v>122</v>
      </c>
    </row>
    <row r="23" spans="1:4" x14ac:dyDescent="0.3">
      <c r="A23" t="s">
        <v>114</v>
      </c>
      <c r="B23" t="s">
        <v>106</v>
      </c>
      <c r="C23" t="b">
        <v>0</v>
      </c>
      <c r="D23" t="s">
        <v>118</v>
      </c>
    </row>
    <row r="24" spans="1:4" x14ac:dyDescent="0.3">
      <c r="A24" t="s">
        <v>114</v>
      </c>
      <c r="B24" t="s">
        <v>92</v>
      </c>
    </row>
    <row r="25" spans="1:4" x14ac:dyDescent="0.3">
      <c r="A25" t="s">
        <v>151</v>
      </c>
      <c r="B25" t="s">
        <v>52</v>
      </c>
      <c r="C25">
        <v>8</v>
      </c>
      <c r="D25" t="s">
        <v>143</v>
      </c>
    </row>
    <row r="26" spans="1:4" x14ac:dyDescent="0.3">
      <c r="A26" t="s">
        <v>151</v>
      </c>
      <c r="B26" t="s">
        <v>7</v>
      </c>
      <c r="C26">
        <v>5</v>
      </c>
      <c r="D26" t="s">
        <v>152</v>
      </c>
    </row>
    <row r="27" spans="1:4" x14ac:dyDescent="0.3">
      <c r="A27" t="s">
        <v>151</v>
      </c>
      <c r="B27" t="s">
        <v>154</v>
      </c>
      <c r="C27">
        <v>100</v>
      </c>
      <c r="D27" t="s">
        <v>155</v>
      </c>
    </row>
    <row r="28" spans="1:4" x14ac:dyDescent="0.3">
      <c r="A28" t="s">
        <v>157</v>
      </c>
      <c r="B28" t="s">
        <v>53</v>
      </c>
      <c r="C28">
        <v>1.05</v>
      </c>
      <c r="D28" t="s">
        <v>139</v>
      </c>
    </row>
  </sheetData>
  <sortState ref="A3:D24">
    <sortCondition ref="A3:A24"/>
    <sortCondition ref="B3:B24"/>
  </sortState>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61"/>
  <sheetViews>
    <sheetView workbookViewId="0"/>
  </sheetViews>
  <sheetFormatPr defaultRowHeight="14.4" x14ac:dyDescent="0.3"/>
  <sheetData>
    <row r="1" spans="1:12" x14ac:dyDescent="0.3">
      <c r="A1" s="41" t="s">
        <v>48</v>
      </c>
      <c r="B1" s="41">
        <f>COUNTIF(A:A,"Pass")</f>
        <v>41</v>
      </c>
    </row>
    <row r="2" spans="1:12" x14ac:dyDescent="0.3">
      <c r="A2" s="40" t="s">
        <v>49</v>
      </c>
      <c r="B2" s="40">
        <f>COUNTIF(A:A,"Fail")</f>
        <v>0</v>
      </c>
    </row>
    <row r="4" spans="1:12" ht="100.05" customHeight="1" x14ac:dyDescent="0.3">
      <c r="A4" s="53" t="s">
        <v>44</v>
      </c>
      <c r="B4" s="54"/>
      <c r="C4" s="54"/>
      <c r="D4" s="54"/>
      <c r="E4" s="54"/>
      <c r="F4" s="54"/>
      <c r="G4" s="54"/>
      <c r="H4" s="54"/>
      <c r="I4" s="54"/>
      <c r="J4" s="54"/>
      <c r="K4" s="54"/>
      <c r="L4" s="54"/>
    </row>
    <row r="5" spans="1:12" x14ac:dyDescent="0.3">
      <c r="A5" s="39" t="s">
        <v>34</v>
      </c>
      <c r="B5" s="39" t="s">
        <v>33</v>
      </c>
      <c r="C5" s="39" t="s">
        <v>43</v>
      </c>
      <c r="D5" s="39" t="s">
        <v>45</v>
      </c>
      <c r="E5" s="39" t="s">
        <v>46</v>
      </c>
      <c r="F5" s="39" t="s">
        <v>86</v>
      </c>
    </row>
    <row r="6" spans="1:12" x14ac:dyDescent="0.3">
      <c r="A6" t="str">
        <f>IF(ISBLANK(B6),"",IF(B6=C6,"Pass","Fail"))</f>
        <v>Pass</v>
      </c>
      <c r="B6">
        <v>0</v>
      </c>
      <c r="C6">
        <f>fbi(D6,E6)</f>
        <v>0</v>
      </c>
      <c r="D6">
        <v>0</v>
      </c>
      <c r="E6" t="s">
        <v>47</v>
      </c>
      <c r="F6" t="s">
        <v>87</v>
      </c>
    </row>
    <row r="7" spans="1:12" x14ac:dyDescent="0.3">
      <c r="A7" t="str">
        <f t="shared" ref="A7:A39" si="0">IF(ISBLANK(B7),"",IF(B7=C7,"Pass","Fail"))</f>
        <v>Pass</v>
      </c>
      <c r="B7">
        <v>3</v>
      </c>
      <c r="C7">
        <f t="shared" ref="C7:C18" si="1">fbi(D7,E7)</f>
        <v>3</v>
      </c>
      <c r="D7">
        <v>50</v>
      </c>
      <c r="E7" t="s">
        <v>47</v>
      </c>
      <c r="F7" t="s">
        <v>87</v>
      </c>
    </row>
    <row r="8" spans="1:12" x14ac:dyDescent="0.3">
      <c r="A8" t="str">
        <f t="shared" si="0"/>
        <v>Pass</v>
      </c>
      <c r="B8">
        <v>6</v>
      </c>
      <c r="C8">
        <f t="shared" si="1"/>
        <v>6</v>
      </c>
      <c r="D8">
        <v>100</v>
      </c>
      <c r="E8" t="s">
        <v>47</v>
      </c>
      <c r="F8" t="s">
        <v>87</v>
      </c>
    </row>
    <row r="9" spans="1:12" x14ac:dyDescent="0.3">
      <c r="A9" t="str">
        <f t="shared" si="0"/>
        <v>Pass</v>
      </c>
      <c r="B9">
        <v>9</v>
      </c>
      <c r="C9">
        <f t="shared" si="1"/>
        <v>9</v>
      </c>
      <c r="D9">
        <v>425</v>
      </c>
      <c r="E9" t="s">
        <v>47</v>
      </c>
      <c r="F9" t="s">
        <v>87</v>
      </c>
    </row>
    <row r="10" spans="1:12" x14ac:dyDescent="0.3">
      <c r="A10" t="str">
        <f t="shared" si="0"/>
        <v>Pass</v>
      </c>
      <c r="B10">
        <v>12</v>
      </c>
      <c r="C10">
        <f t="shared" si="1"/>
        <v>12</v>
      </c>
      <c r="D10">
        <v>750</v>
      </c>
      <c r="E10" t="s">
        <v>47</v>
      </c>
      <c r="F10" t="s">
        <v>87</v>
      </c>
    </row>
    <row r="11" spans="1:12" x14ac:dyDescent="0.3">
      <c r="A11" t="str">
        <f t="shared" si="0"/>
        <v>Pass</v>
      </c>
      <c r="B11">
        <v>18</v>
      </c>
      <c r="C11">
        <f t="shared" si="1"/>
        <v>18</v>
      </c>
      <c r="D11">
        <v>2375</v>
      </c>
      <c r="E11" t="s">
        <v>47</v>
      </c>
      <c r="F11" t="s">
        <v>87</v>
      </c>
    </row>
    <row r="12" spans="1:12" x14ac:dyDescent="0.3">
      <c r="A12" t="str">
        <f t="shared" si="0"/>
        <v>Pass</v>
      </c>
      <c r="B12">
        <v>24</v>
      </c>
      <c r="C12">
        <f t="shared" si="1"/>
        <v>24</v>
      </c>
      <c r="D12">
        <v>4000</v>
      </c>
      <c r="E12" t="s">
        <v>47</v>
      </c>
      <c r="F12" t="s">
        <v>87</v>
      </c>
    </row>
    <row r="13" spans="1:12" x14ac:dyDescent="0.3">
      <c r="A13" t="str">
        <f t="shared" si="0"/>
        <v>Pass</v>
      </c>
      <c r="B13">
        <v>37</v>
      </c>
      <c r="C13">
        <f t="shared" si="1"/>
        <v>37</v>
      </c>
      <c r="D13">
        <v>7000</v>
      </c>
      <c r="E13" t="s">
        <v>47</v>
      </c>
      <c r="F13" t="s">
        <v>87</v>
      </c>
    </row>
    <row r="14" spans="1:12" x14ac:dyDescent="0.3">
      <c r="A14" t="str">
        <f t="shared" si="0"/>
        <v>Pass</v>
      </c>
      <c r="B14">
        <v>50</v>
      </c>
      <c r="C14">
        <f t="shared" si="1"/>
        <v>50</v>
      </c>
      <c r="D14">
        <v>10000</v>
      </c>
      <c r="E14" t="s">
        <v>47</v>
      </c>
      <c r="F14" t="s">
        <v>87</v>
      </c>
    </row>
    <row r="15" spans="1:12" x14ac:dyDescent="0.3">
      <c r="A15" t="str">
        <f t="shared" si="0"/>
        <v>Pass</v>
      </c>
      <c r="B15">
        <v>75</v>
      </c>
      <c r="C15">
        <f t="shared" si="1"/>
        <v>75</v>
      </c>
      <c r="D15">
        <v>20000</v>
      </c>
      <c r="E15" t="s">
        <v>47</v>
      </c>
      <c r="F15" t="s">
        <v>87</v>
      </c>
    </row>
    <row r="16" spans="1:12" x14ac:dyDescent="0.3">
      <c r="A16" t="str">
        <f t="shared" si="0"/>
        <v>Pass</v>
      </c>
      <c r="B16">
        <v>100</v>
      </c>
      <c r="C16">
        <f t="shared" si="1"/>
        <v>100</v>
      </c>
      <c r="D16">
        <v>30000</v>
      </c>
      <c r="E16" t="s">
        <v>47</v>
      </c>
      <c r="F16" t="s">
        <v>87</v>
      </c>
    </row>
    <row r="17" spans="1:6" x14ac:dyDescent="0.3">
      <c r="A17" t="str">
        <f t="shared" si="0"/>
        <v>Pass</v>
      </c>
      <c r="B17">
        <v>150</v>
      </c>
      <c r="C17">
        <f t="shared" si="1"/>
        <v>150</v>
      </c>
      <c r="D17">
        <v>60000</v>
      </c>
      <c r="E17" t="s">
        <v>47</v>
      </c>
      <c r="F17" t="s">
        <v>87</v>
      </c>
    </row>
    <row r="18" spans="1:6" x14ac:dyDescent="0.3">
      <c r="A18" t="str">
        <f t="shared" si="0"/>
        <v>Pass</v>
      </c>
      <c r="B18">
        <v>200</v>
      </c>
      <c r="C18">
        <f t="shared" si="1"/>
        <v>200</v>
      </c>
      <c r="D18">
        <v>90000</v>
      </c>
      <c r="E18" t="s">
        <v>47</v>
      </c>
      <c r="F18" t="s">
        <v>87</v>
      </c>
    </row>
    <row r="19" spans="1:6" x14ac:dyDescent="0.3">
      <c r="A19" t="str">
        <f t="shared" ref="A19:A36" si="2">IF(ISBLANK(B19),"",IF(B19=C19,"Pass","Fail"))</f>
        <v>Pass</v>
      </c>
      <c r="B19">
        <v>0</v>
      </c>
      <c r="C19">
        <f t="shared" ref="C19:C36" si="3">fbi(D19,E19)</f>
        <v>0</v>
      </c>
      <c r="D19">
        <v>0</v>
      </c>
      <c r="E19" t="s">
        <v>85</v>
      </c>
      <c r="F19" t="s">
        <v>87</v>
      </c>
    </row>
    <row r="20" spans="1:6" x14ac:dyDescent="0.3">
      <c r="A20" t="str">
        <f t="shared" si="2"/>
        <v>Pass</v>
      </c>
      <c r="B20">
        <v>3</v>
      </c>
      <c r="C20">
        <f t="shared" si="3"/>
        <v>3</v>
      </c>
      <c r="D20">
        <v>50</v>
      </c>
      <c r="E20" t="s">
        <v>85</v>
      </c>
      <c r="F20" t="s">
        <v>87</v>
      </c>
    </row>
    <row r="21" spans="1:6" x14ac:dyDescent="0.3">
      <c r="A21" t="str">
        <f t="shared" si="2"/>
        <v>Pass</v>
      </c>
      <c r="B21">
        <v>6</v>
      </c>
      <c r="C21">
        <f t="shared" si="3"/>
        <v>6</v>
      </c>
      <c r="D21">
        <v>100</v>
      </c>
      <c r="E21" t="s">
        <v>85</v>
      </c>
      <c r="F21" t="s">
        <v>87</v>
      </c>
    </row>
    <row r="22" spans="1:6" x14ac:dyDescent="0.3">
      <c r="A22" t="str">
        <f t="shared" si="2"/>
        <v>Pass</v>
      </c>
      <c r="B22">
        <v>9</v>
      </c>
      <c r="C22">
        <f t="shared" si="3"/>
        <v>9</v>
      </c>
      <c r="D22">
        <v>1550</v>
      </c>
      <c r="E22" t="s">
        <v>85</v>
      </c>
      <c r="F22" t="s">
        <v>87</v>
      </c>
    </row>
    <row r="23" spans="1:6" x14ac:dyDescent="0.3">
      <c r="A23" t="str">
        <f t="shared" si="2"/>
        <v>Pass</v>
      </c>
      <c r="B23">
        <v>12</v>
      </c>
      <c r="C23">
        <f t="shared" si="3"/>
        <v>12</v>
      </c>
      <c r="D23">
        <v>3000</v>
      </c>
      <c r="E23" t="s">
        <v>85</v>
      </c>
      <c r="F23" t="s">
        <v>87</v>
      </c>
    </row>
    <row r="24" spans="1:6" x14ac:dyDescent="0.3">
      <c r="A24" t="str">
        <f t="shared" si="2"/>
        <v>Pass</v>
      </c>
      <c r="B24">
        <v>18</v>
      </c>
      <c r="C24">
        <f t="shared" si="3"/>
        <v>18</v>
      </c>
      <c r="D24">
        <v>6000</v>
      </c>
      <c r="E24" t="s">
        <v>85</v>
      </c>
      <c r="F24" t="s">
        <v>87</v>
      </c>
    </row>
    <row r="25" spans="1:6" x14ac:dyDescent="0.3">
      <c r="A25" t="str">
        <f t="shared" si="2"/>
        <v>Pass</v>
      </c>
      <c r="B25">
        <v>24</v>
      </c>
      <c r="C25">
        <f t="shared" si="3"/>
        <v>24</v>
      </c>
      <c r="D25">
        <v>9000</v>
      </c>
      <c r="E25" t="s">
        <v>85</v>
      </c>
      <c r="F25" t="s">
        <v>87</v>
      </c>
    </row>
    <row r="26" spans="1:6" x14ac:dyDescent="0.3">
      <c r="A26" t="str">
        <f t="shared" si="2"/>
        <v>Pass</v>
      </c>
      <c r="B26">
        <v>37</v>
      </c>
      <c r="C26">
        <f t="shared" si="3"/>
        <v>37</v>
      </c>
      <c r="D26">
        <v>13250</v>
      </c>
      <c r="E26" t="s">
        <v>85</v>
      </c>
      <c r="F26" t="s">
        <v>87</v>
      </c>
    </row>
    <row r="27" spans="1:6" x14ac:dyDescent="0.3">
      <c r="A27" t="str">
        <f t="shared" si="2"/>
        <v>Pass</v>
      </c>
      <c r="B27">
        <v>50</v>
      </c>
      <c r="C27">
        <f t="shared" si="3"/>
        <v>50</v>
      </c>
      <c r="D27">
        <v>17500</v>
      </c>
      <c r="E27" t="s">
        <v>85</v>
      </c>
      <c r="F27" t="s">
        <v>87</v>
      </c>
    </row>
    <row r="28" spans="1:6" x14ac:dyDescent="0.3">
      <c r="A28" t="str">
        <f t="shared" si="2"/>
        <v>Pass</v>
      </c>
      <c r="B28">
        <v>75</v>
      </c>
      <c r="C28">
        <f t="shared" si="3"/>
        <v>75</v>
      </c>
      <c r="D28">
        <v>21250</v>
      </c>
      <c r="E28" t="s">
        <v>85</v>
      </c>
      <c r="F28" t="s">
        <v>87</v>
      </c>
    </row>
    <row r="29" spans="1:6" x14ac:dyDescent="0.3">
      <c r="A29" t="str">
        <f t="shared" si="2"/>
        <v>Pass</v>
      </c>
      <c r="B29">
        <v>100</v>
      </c>
      <c r="C29">
        <f t="shared" si="3"/>
        <v>100</v>
      </c>
      <c r="D29">
        <v>25000</v>
      </c>
      <c r="E29" t="s">
        <v>85</v>
      </c>
      <c r="F29" t="s">
        <v>87</v>
      </c>
    </row>
    <row r="30" spans="1:6" x14ac:dyDescent="0.3">
      <c r="A30" t="str">
        <f t="shared" si="2"/>
        <v>Pass</v>
      </c>
      <c r="B30">
        <v>150</v>
      </c>
      <c r="C30">
        <f t="shared" si="3"/>
        <v>150</v>
      </c>
      <c r="D30">
        <v>57500</v>
      </c>
      <c r="E30" t="s">
        <v>85</v>
      </c>
      <c r="F30" t="s">
        <v>87</v>
      </c>
    </row>
    <row r="31" spans="1:6" x14ac:dyDescent="0.3">
      <c r="A31" t="str">
        <f t="shared" si="2"/>
        <v>Pass</v>
      </c>
      <c r="B31">
        <v>200</v>
      </c>
      <c r="C31">
        <f t="shared" si="3"/>
        <v>200</v>
      </c>
      <c r="D31">
        <v>90000</v>
      </c>
      <c r="E31" t="s">
        <v>85</v>
      </c>
      <c r="F31" t="s">
        <v>87</v>
      </c>
    </row>
    <row r="32" spans="1:6" x14ac:dyDescent="0.3">
      <c r="A32" t="str">
        <f t="shared" si="2"/>
        <v>Pass</v>
      </c>
      <c r="B32">
        <v>7</v>
      </c>
      <c r="C32">
        <f t="shared" si="3"/>
        <v>7</v>
      </c>
      <c r="D32">
        <v>223</v>
      </c>
      <c r="E32" t="s">
        <v>47</v>
      </c>
      <c r="F32" t="s">
        <v>97</v>
      </c>
    </row>
    <row r="33" spans="1:12" x14ac:dyDescent="0.3">
      <c r="A33" t="str">
        <f t="shared" si="2"/>
        <v>Pass</v>
      </c>
      <c r="B33">
        <v>6</v>
      </c>
      <c r="C33">
        <f t="shared" si="3"/>
        <v>6</v>
      </c>
      <c r="D33">
        <v>162</v>
      </c>
      <c r="E33" t="s">
        <v>47</v>
      </c>
      <c r="F33" t="s">
        <v>97</v>
      </c>
    </row>
    <row r="34" spans="1:12" x14ac:dyDescent="0.3">
      <c r="A34" t="str">
        <f t="shared" si="2"/>
        <v>Pass</v>
      </c>
      <c r="B34">
        <v>18</v>
      </c>
      <c r="C34">
        <f t="shared" si="3"/>
        <v>18</v>
      </c>
      <c r="D34">
        <v>2644.7080000000001</v>
      </c>
      <c r="E34" t="s">
        <v>47</v>
      </c>
      <c r="F34" t="s">
        <v>126</v>
      </c>
    </row>
    <row r="35" spans="1:12" x14ac:dyDescent="0.3">
      <c r="A35" t="str">
        <f t="shared" si="2"/>
        <v>Pass</v>
      </c>
      <c r="B35">
        <v>30</v>
      </c>
      <c r="C35">
        <f t="shared" si="3"/>
        <v>30</v>
      </c>
      <c r="D35">
        <v>5406.5439999999999</v>
      </c>
      <c r="E35" t="s">
        <v>47</v>
      </c>
      <c r="F35" t="s">
        <v>126</v>
      </c>
    </row>
    <row r="36" spans="1:12" x14ac:dyDescent="0.3">
      <c r="A36" t="str">
        <f t="shared" si="2"/>
        <v>Pass</v>
      </c>
      <c r="B36">
        <v>19</v>
      </c>
      <c r="C36" s="36">
        <f t="shared" si="3"/>
        <v>19</v>
      </c>
      <c r="D36">
        <v>2786.11</v>
      </c>
      <c r="E36" t="s">
        <v>47</v>
      </c>
      <c r="F36" t="s">
        <v>126</v>
      </c>
    </row>
    <row r="37" spans="1:12" x14ac:dyDescent="0.3">
      <c r="D37">
        <v>2786.11</v>
      </c>
    </row>
    <row r="39" spans="1:12" x14ac:dyDescent="0.3">
      <c r="A39" t="str">
        <f t="shared" si="0"/>
        <v/>
      </c>
    </row>
    <row r="40" spans="1:12" ht="100.05" customHeight="1" x14ac:dyDescent="0.3">
      <c r="A40" s="53" t="s">
        <v>60</v>
      </c>
      <c r="B40" s="54"/>
      <c r="C40" s="54"/>
      <c r="D40" s="54"/>
      <c r="E40" s="54"/>
      <c r="F40" s="54"/>
      <c r="G40" s="54"/>
      <c r="H40" s="54"/>
      <c r="I40" s="54"/>
      <c r="J40" s="54"/>
      <c r="K40" s="54"/>
      <c r="L40" s="54"/>
    </row>
    <row r="41" spans="1:12" s="39" customFormat="1" x14ac:dyDescent="0.3">
      <c r="A41" s="39" t="s">
        <v>34</v>
      </c>
      <c r="B41" s="39" t="s">
        <v>33</v>
      </c>
      <c r="C41" s="39" t="s">
        <v>43</v>
      </c>
      <c r="D41" s="39" t="s">
        <v>50</v>
      </c>
      <c r="E41" s="39" t="s">
        <v>51</v>
      </c>
      <c r="F41" s="39" t="s">
        <v>86</v>
      </c>
    </row>
    <row r="42" spans="1:12" x14ac:dyDescent="0.3">
      <c r="A42" t="str">
        <f t="shared" ref="A42:A53" si="4">IF(ISBLANK(B42),"",IF(B42=C42,"Pass","Fail"))</f>
        <v>Pass</v>
      </c>
      <c r="B42">
        <v>517</v>
      </c>
      <c r="C42">
        <f>Intensity(D42,E42)</f>
        <v>517</v>
      </c>
      <c r="D42">
        <v>200</v>
      </c>
      <c r="E42">
        <v>5</v>
      </c>
      <c r="F42" t="s">
        <v>82</v>
      </c>
    </row>
    <row r="43" spans="1:12" x14ac:dyDescent="0.3">
      <c r="A43" t="str">
        <f t="shared" si="4"/>
        <v>Pass</v>
      </c>
      <c r="B43">
        <v>5167</v>
      </c>
      <c r="C43">
        <f t="shared" ref="C43:C45" si="5">Intensity(D43,E43)</f>
        <v>5167</v>
      </c>
      <c r="D43">
        <v>2000</v>
      </c>
      <c r="E43">
        <v>5</v>
      </c>
      <c r="F43" t="s">
        <v>82</v>
      </c>
    </row>
    <row r="44" spans="1:12" x14ac:dyDescent="0.3">
      <c r="A44" t="str">
        <f t="shared" si="4"/>
        <v>Pass</v>
      </c>
      <c r="B44">
        <v>1550</v>
      </c>
      <c r="C44">
        <f t="shared" si="5"/>
        <v>1550</v>
      </c>
      <c r="D44">
        <v>200</v>
      </c>
      <c r="E44">
        <v>15</v>
      </c>
      <c r="F44" t="s">
        <v>82</v>
      </c>
    </row>
    <row r="45" spans="1:12" x14ac:dyDescent="0.3">
      <c r="A45" t="str">
        <f t="shared" si="4"/>
        <v>Pass</v>
      </c>
      <c r="B45">
        <v>15500</v>
      </c>
      <c r="C45">
        <f t="shared" si="5"/>
        <v>15500</v>
      </c>
      <c r="D45">
        <v>2000</v>
      </c>
      <c r="E45">
        <v>15</v>
      </c>
      <c r="F45" t="s">
        <v>82</v>
      </c>
    </row>
    <row r="53" spans="1:12" x14ac:dyDescent="0.3">
      <c r="A53" t="str">
        <f t="shared" si="4"/>
        <v/>
      </c>
    </row>
    <row r="54" spans="1:12" ht="100.05" customHeight="1" x14ac:dyDescent="0.3">
      <c r="A54" s="53" t="s">
        <v>123</v>
      </c>
      <c r="B54" s="54"/>
      <c r="C54" s="54"/>
      <c r="D54" s="54"/>
      <c r="E54" s="54"/>
      <c r="F54" s="54"/>
      <c r="G54" s="54"/>
      <c r="H54" s="54"/>
      <c r="I54" s="54"/>
      <c r="J54" s="54"/>
      <c r="K54" s="54"/>
      <c r="L54" s="54"/>
    </row>
    <row r="55" spans="1:12" x14ac:dyDescent="0.3">
      <c r="A55" s="39" t="s">
        <v>34</v>
      </c>
      <c r="B55" s="39" t="s">
        <v>33</v>
      </c>
      <c r="C55" s="39" t="s">
        <v>43</v>
      </c>
      <c r="D55" s="39" t="s">
        <v>124</v>
      </c>
      <c r="E55" s="39" t="s">
        <v>120</v>
      </c>
      <c r="F55" s="39" t="s">
        <v>121</v>
      </c>
      <c r="G55" s="39" t="s">
        <v>86</v>
      </c>
    </row>
    <row r="56" spans="1:12" x14ac:dyDescent="0.3">
      <c r="A56" t="str">
        <f t="shared" ref="A56:A61" si="6">IF(ISBLANK(B56),"",IF(B56=C56,"Pass","Fail"))</f>
        <v>Pass</v>
      </c>
      <c r="B56">
        <v>8</v>
      </c>
      <c r="C56">
        <f>ROUND(Fuel_load(D56,E56,F56),1)</f>
        <v>8</v>
      </c>
      <c r="D56">
        <v>12</v>
      </c>
      <c r="E56">
        <v>5</v>
      </c>
      <c r="F56">
        <v>0.2</v>
      </c>
    </row>
    <row r="57" spans="1:12" x14ac:dyDescent="0.3">
      <c r="A57" t="str">
        <f t="shared" si="6"/>
        <v>Pass</v>
      </c>
      <c r="B57">
        <v>10</v>
      </c>
      <c r="C57">
        <f t="shared" ref="C57:C61" si="7">ROUND(Fuel_load(D57,E57,F57),1)</f>
        <v>10</v>
      </c>
      <c r="D57">
        <v>12</v>
      </c>
      <c r="E57">
        <v>10</v>
      </c>
      <c r="F57">
        <v>0.2</v>
      </c>
    </row>
    <row r="58" spans="1:12" x14ac:dyDescent="0.3">
      <c r="A58" t="str">
        <f t="shared" si="6"/>
        <v>Pass</v>
      </c>
      <c r="B58">
        <v>11</v>
      </c>
      <c r="C58">
        <f t="shared" si="7"/>
        <v>11</v>
      </c>
      <c r="D58">
        <v>12</v>
      </c>
      <c r="E58">
        <v>15</v>
      </c>
      <c r="F58">
        <v>0.2</v>
      </c>
    </row>
    <row r="59" spans="1:12" x14ac:dyDescent="0.3">
      <c r="A59" t="str">
        <f t="shared" si="6"/>
        <v>Pass</v>
      </c>
      <c r="B59">
        <v>12</v>
      </c>
      <c r="C59">
        <f t="shared" si="7"/>
        <v>12</v>
      </c>
      <c r="D59">
        <v>12</v>
      </c>
      <c r="E59">
        <v>20</v>
      </c>
      <c r="F59">
        <v>0.2</v>
      </c>
    </row>
    <row r="60" spans="1:12" x14ac:dyDescent="0.3">
      <c r="A60" t="str">
        <f t="shared" si="6"/>
        <v>Pass</v>
      </c>
      <c r="B60">
        <v>12</v>
      </c>
      <c r="C60">
        <f t="shared" si="7"/>
        <v>12</v>
      </c>
      <c r="D60">
        <v>12</v>
      </c>
      <c r="E60">
        <v>25</v>
      </c>
      <c r="F60">
        <v>0.2</v>
      </c>
    </row>
    <row r="61" spans="1:12" x14ac:dyDescent="0.3">
      <c r="A61" t="str">
        <f t="shared" si="6"/>
        <v>Pass</v>
      </c>
      <c r="B61">
        <v>12</v>
      </c>
      <c r="C61">
        <f t="shared" si="7"/>
        <v>12</v>
      </c>
      <c r="D61">
        <v>12</v>
      </c>
      <c r="E61">
        <v>30</v>
      </c>
      <c r="F61">
        <v>0.2</v>
      </c>
    </row>
  </sheetData>
  <mergeCells count="3">
    <mergeCell ref="A54:L54"/>
    <mergeCell ref="A40:L40"/>
    <mergeCell ref="A4:L4"/>
  </mergeCells>
  <conditionalFormatting sqref="A6:A39">
    <cfRule type="expression" dxfId="29" priority="5">
      <formula>$A6="Fail"</formula>
    </cfRule>
    <cfRule type="expression" dxfId="28" priority="6">
      <formula>$A$6="Pass"</formula>
    </cfRule>
  </conditionalFormatting>
  <conditionalFormatting sqref="A42:A53">
    <cfRule type="expression" dxfId="27" priority="3">
      <formula>$A42="Fail"</formula>
    </cfRule>
    <cfRule type="expression" dxfId="26" priority="4">
      <formula>$A$6="Pass"</formula>
    </cfRule>
  </conditionalFormatting>
  <conditionalFormatting sqref="A56:A61">
    <cfRule type="expression" dxfId="25" priority="1">
      <formula>$A56="Fail"</formula>
    </cfRule>
    <cfRule type="expression" dxfId="24" priority="2">
      <formula>$A$6="Pass"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2"/>
  <sheetViews>
    <sheetView topLeftCell="A31" workbookViewId="0">
      <selection activeCell="A52" sqref="A52"/>
    </sheetView>
  </sheetViews>
  <sheetFormatPr defaultRowHeight="14.4" x14ac:dyDescent="0.3"/>
  <cols>
    <col min="6" max="6" width="10.5546875" bestFit="1" customWidth="1"/>
  </cols>
  <sheetData>
    <row r="1" spans="1:12" x14ac:dyDescent="0.3">
      <c r="A1" s="41" t="s">
        <v>48</v>
      </c>
      <c r="B1" s="41">
        <f>COUNTIF(A:A,"Pass")</f>
        <v>31</v>
      </c>
    </row>
    <row r="2" spans="1:12" x14ac:dyDescent="0.3">
      <c r="A2" s="40" t="s">
        <v>49</v>
      </c>
      <c r="B2" s="40">
        <f>COUNTIF(A:A,"Fail")</f>
        <v>7</v>
      </c>
    </row>
    <row r="4" spans="1:12" ht="199.95" customHeight="1" x14ac:dyDescent="0.3">
      <c r="A4" s="53" t="s">
        <v>59</v>
      </c>
      <c r="B4" s="54"/>
      <c r="C4" s="54"/>
      <c r="D4" s="54"/>
      <c r="E4" s="54"/>
      <c r="F4" s="54"/>
      <c r="G4" s="54"/>
      <c r="H4" s="54"/>
      <c r="I4" s="54"/>
      <c r="J4" s="54"/>
      <c r="K4" s="54"/>
      <c r="L4" s="54"/>
    </row>
    <row r="5" spans="1:12" x14ac:dyDescent="0.3">
      <c r="A5" s="39" t="s">
        <v>34</v>
      </c>
      <c r="B5" s="39" t="s">
        <v>33</v>
      </c>
      <c r="C5" s="39" t="s">
        <v>43</v>
      </c>
      <c r="D5" s="39" t="s">
        <v>50</v>
      </c>
      <c r="E5" s="39" t="s">
        <v>52</v>
      </c>
      <c r="F5" s="39" t="s">
        <v>58</v>
      </c>
      <c r="G5" s="39" t="s">
        <v>53</v>
      </c>
      <c r="H5" s="39" t="s">
        <v>54</v>
      </c>
      <c r="I5" s="39" t="s">
        <v>55</v>
      </c>
      <c r="J5" s="39" t="s">
        <v>56</v>
      </c>
      <c r="K5" s="39" t="s">
        <v>57</v>
      </c>
      <c r="L5" s="39" t="s">
        <v>86</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2"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2" spans="1:12" x14ac:dyDescent="0.3">
      <c r="A12" t="str">
        <f t="shared" si="0"/>
        <v/>
      </c>
    </row>
    <row r="13" spans="1:12" ht="100.05" customHeight="1" x14ac:dyDescent="0.3">
      <c r="A13" s="53" t="s">
        <v>61</v>
      </c>
      <c r="B13" s="54"/>
      <c r="C13" s="54"/>
      <c r="D13" s="54"/>
      <c r="E13" s="54"/>
      <c r="F13" s="54"/>
      <c r="G13" s="54"/>
      <c r="H13" s="54"/>
      <c r="I13" s="54"/>
      <c r="J13" s="54"/>
      <c r="K13" s="54"/>
      <c r="L13" s="54"/>
    </row>
    <row r="14" spans="1:12" x14ac:dyDescent="0.3">
      <c r="A14" s="39" t="s">
        <v>34</v>
      </c>
      <c r="B14" s="39" t="s">
        <v>33</v>
      </c>
      <c r="C14" s="39" t="s">
        <v>43</v>
      </c>
      <c r="D14" s="39" t="s">
        <v>50</v>
      </c>
      <c r="E14" s="39" t="s">
        <v>62</v>
      </c>
      <c r="F14" s="39" t="s">
        <v>86</v>
      </c>
    </row>
    <row r="15" spans="1:12" x14ac:dyDescent="0.3">
      <c r="A15" t="str">
        <f>IF(ISBLANK(B15),"",IF(B15=C15,"Pass","Fail"))</f>
        <v>Pass</v>
      </c>
      <c r="B15">
        <v>1.8</v>
      </c>
      <c r="C15" s="42">
        <f>ROUND(Flame_height_forest(D15,E15),1)</f>
        <v>1.8</v>
      </c>
      <c r="D15">
        <v>200</v>
      </c>
      <c r="E15">
        <v>1</v>
      </c>
    </row>
    <row r="16" spans="1:12" x14ac:dyDescent="0.3">
      <c r="A16" t="str">
        <f t="shared" ref="A16:A19" si="2">IF(ISBLANK(B16),"",IF(B16=C16,"Pass","Fail"))</f>
        <v>Pass</v>
      </c>
      <c r="B16">
        <v>9.5</v>
      </c>
      <c r="C16" s="42">
        <f t="shared" ref="C16:C18" si="3">ROUND(Flame_height_forest(D16,E16),1)</f>
        <v>9.5</v>
      </c>
      <c r="D16">
        <v>2000</v>
      </c>
      <c r="E16">
        <v>1</v>
      </c>
    </row>
    <row r="17" spans="1:22" x14ac:dyDescent="0.3">
      <c r="A17" t="str">
        <f t="shared" si="2"/>
        <v>Pass</v>
      </c>
      <c r="B17">
        <v>3.4</v>
      </c>
      <c r="C17" s="42">
        <f t="shared" si="3"/>
        <v>3.4</v>
      </c>
      <c r="D17">
        <v>200</v>
      </c>
      <c r="E17">
        <v>2</v>
      </c>
    </row>
    <row r="18" spans="1:22" x14ac:dyDescent="0.3">
      <c r="A18" t="str">
        <f t="shared" si="2"/>
        <v>Pass</v>
      </c>
      <c r="B18">
        <v>18.100000000000001</v>
      </c>
      <c r="C18" s="42">
        <f t="shared" si="3"/>
        <v>18.100000000000001</v>
      </c>
      <c r="D18">
        <v>2000</v>
      </c>
      <c r="E18">
        <v>2</v>
      </c>
    </row>
    <row r="19" spans="1:22" x14ac:dyDescent="0.3">
      <c r="A19" t="str">
        <f t="shared" si="2"/>
        <v/>
      </c>
      <c r="C19" s="42"/>
    </row>
    <row r="20" spans="1:22" ht="150" customHeight="1" x14ac:dyDescent="0.3">
      <c r="A20" s="53" t="s">
        <v>64</v>
      </c>
      <c r="B20" s="54"/>
      <c r="C20" s="54"/>
      <c r="D20" s="54"/>
      <c r="E20" s="54"/>
      <c r="F20" s="54"/>
      <c r="G20" s="54"/>
      <c r="H20" s="54"/>
      <c r="I20" s="54"/>
      <c r="J20" s="54"/>
      <c r="K20" s="54"/>
      <c r="L20" s="54"/>
    </row>
    <row r="21" spans="1:22" x14ac:dyDescent="0.3">
      <c r="A21" s="39" t="s">
        <v>34</v>
      </c>
      <c r="B21" s="39" t="s">
        <v>33</v>
      </c>
      <c r="C21" s="39" t="s">
        <v>43</v>
      </c>
      <c r="D21" s="39" t="s">
        <v>63</v>
      </c>
      <c r="E21" s="39" t="s">
        <v>65</v>
      </c>
      <c r="F21" s="39" t="s">
        <v>66</v>
      </c>
      <c r="G21" s="39" t="s">
        <v>67</v>
      </c>
      <c r="H21" s="39" t="s">
        <v>68</v>
      </c>
      <c r="I21" s="39" t="s">
        <v>52</v>
      </c>
      <c r="J21" s="39" t="s">
        <v>7</v>
      </c>
      <c r="K21" s="39" t="s">
        <v>86</v>
      </c>
    </row>
    <row r="22" spans="1:22" x14ac:dyDescent="0.3">
      <c r="A22" t="str">
        <f>IF(ISBLANK(B22),"",IF(B22=C22,"Pass","Fail"))</f>
        <v>Fail</v>
      </c>
      <c r="B22" s="45">
        <v>178</v>
      </c>
      <c r="C22">
        <f>ROS_forest(D22,E22,F22,G22,H22,I22,J22)</f>
        <v>135</v>
      </c>
      <c r="D22">
        <v>10</v>
      </c>
      <c r="E22">
        <v>2</v>
      </c>
      <c r="F22">
        <v>2</v>
      </c>
      <c r="G22">
        <v>20</v>
      </c>
      <c r="H22">
        <v>6.4</v>
      </c>
      <c r="I22">
        <v>8</v>
      </c>
      <c r="J22">
        <v>3</v>
      </c>
      <c r="K22" t="s">
        <v>82</v>
      </c>
      <c r="V22" s="44"/>
    </row>
    <row r="23" spans="1:22" x14ac:dyDescent="0.3">
      <c r="A23" t="str">
        <f t="shared" ref="A23:A29" si="4">IF(ISBLANK(B23),"",IF(B23=C23,"Pass","Fail"))</f>
        <v>Fail</v>
      </c>
      <c r="B23" s="45">
        <v>955</v>
      </c>
      <c r="C23">
        <f t="shared" ref="C23:C28" si="5">ROS_forest(D23,E23,F23,G23,H23,I23,J23)</f>
        <v>388</v>
      </c>
      <c r="D23">
        <v>20</v>
      </c>
      <c r="E23">
        <v>3</v>
      </c>
      <c r="F23">
        <v>3</v>
      </c>
      <c r="G23">
        <v>20</v>
      </c>
      <c r="H23">
        <v>7.8125</v>
      </c>
      <c r="I23">
        <v>8</v>
      </c>
      <c r="J23">
        <v>3</v>
      </c>
      <c r="K23" t="s">
        <v>82</v>
      </c>
      <c r="V23" s="44"/>
    </row>
    <row r="24" spans="1:22" x14ac:dyDescent="0.3">
      <c r="A24" t="str">
        <f t="shared" si="4"/>
        <v>Fail</v>
      </c>
      <c r="B24" s="45">
        <v>2726</v>
      </c>
      <c r="C24">
        <f t="shared" si="5"/>
        <v>588</v>
      </c>
      <c r="D24">
        <v>30</v>
      </c>
      <c r="E24">
        <v>3</v>
      </c>
      <c r="F24">
        <v>3</v>
      </c>
      <c r="G24">
        <v>20</v>
      </c>
      <c r="H24">
        <v>7.8125</v>
      </c>
      <c r="I24">
        <v>8</v>
      </c>
      <c r="J24">
        <v>3</v>
      </c>
      <c r="K24" t="s">
        <v>82</v>
      </c>
      <c r="V24" s="44"/>
    </row>
    <row r="25" spans="1:22" x14ac:dyDescent="0.3">
      <c r="A25" t="str">
        <f t="shared" si="4"/>
        <v>Fail</v>
      </c>
      <c r="B25" s="45">
        <v>2869</v>
      </c>
      <c r="C25">
        <f t="shared" si="5"/>
        <v>775</v>
      </c>
      <c r="D25">
        <v>40</v>
      </c>
      <c r="E25">
        <v>3</v>
      </c>
      <c r="F25">
        <v>3</v>
      </c>
      <c r="G25">
        <v>20</v>
      </c>
      <c r="H25">
        <v>7.8125</v>
      </c>
      <c r="I25">
        <v>8</v>
      </c>
      <c r="J25">
        <v>3</v>
      </c>
      <c r="K25" t="s">
        <v>82</v>
      </c>
    </row>
    <row r="26" spans="1:22" x14ac:dyDescent="0.3">
      <c r="A26" t="str">
        <f t="shared" si="4"/>
        <v>Fail</v>
      </c>
      <c r="B26" s="45">
        <v>354</v>
      </c>
      <c r="C26">
        <f t="shared" si="5"/>
        <v>955</v>
      </c>
      <c r="D26">
        <v>50</v>
      </c>
      <c r="E26">
        <v>3</v>
      </c>
      <c r="F26">
        <v>3</v>
      </c>
      <c r="G26">
        <v>20</v>
      </c>
      <c r="H26">
        <v>7.8125</v>
      </c>
      <c r="I26">
        <v>8</v>
      </c>
      <c r="J26">
        <v>3</v>
      </c>
      <c r="K26" t="s">
        <v>82</v>
      </c>
    </row>
    <row r="27" spans="1:22" x14ac:dyDescent="0.3">
      <c r="A27" t="str">
        <f t="shared" si="4"/>
        <v>Fail</v>
      </c>
      <c r="B27" s="45">
        <v>2566</v>
      </c>
      <c r="C27">
        <f t="shared" si="5"/>
        <v>1130</v>
      </c>
      <c r="D27">
        <v>60</v>
      </c>
      <c r="E27">
        <v>3</v>
      </c>
      <c r="F27">
        <v>3</v>
      </c>
      <c r="G27">
        <v>20</v>
      </c>
      <c r="H27">
        <v>7.8125</v>
      </c>
      <c r="I27">
        <v>8</v>
      </c>
      <c r="J27">
        <v>3</v>
      </c>
      <c r="K27" t="s">
        <v>82</v>
      </c>
    </row>
    <row r="28" spans="1:22" x14ac:dyDescent="0.3">
      <c r="A28" t="str">
        <f t="shared" si="4"/>
        <v>Fail</v>
      </c>
      <c r="B28" s="45">
        <v>3482</v>
      </c>
      <c r="C28">
        <f t="shared" si="5"/>
        <v>1300</v>
      </c>
      <c r="D28">
        <v>70</v>
      </c>
      <c r="E28">
        <v>3</v>
      </c>
      <c r="F28">
        <v>3</v>
      </c>
      <c r="G28">
        <v>20</v>
      </c>
      <c r="H28">
        <v>7.8125</v>
      </c>
      <c r="I28">
        <v>8</v>
      </c>
      <c r="J28">
        <v>3</v>
      </c>
      <c r="K28" t="s">
        <v>82</v>
      </c>
    </row>
    <row r="29" spans="1:22" x14ac:dyDescent="0.3">
      <c r="A29" t="str">
        <f t="shared" si="4"/>
        <v/>
      </c>
    </row>
    <row r="30" spans="1:22" ht="100.05" customHeight="1" x14ac:dyDescent="0.3">
      <c r="A30" s="53" t="s">
        <v>73</v>
      </c>
      <c r="B30" s="54"/>
      <c r="C30" s="54"/>
      <c r="D30" s="54"/>
      <c r="E30" s="54"/>
      <c r="F30" s="54"/>
      <c r="G30" s="54"/>
      <c r="H30" s="54"/>
      <c r="I30" s="54"/>
      <c r="J30" s="54"/>
      <c r="K30" s="54"/>
      <c r="L30" s="54"/>
    </row>
    <row r="31" spans="1:22" x14ac:dyDescent="0.3">
      <c r="A31" s="39" t="s">
        <v>34</v>
      </c>
      <c r="B31" s="39" t="s">
        <v>33</v>
      </c>
      <c r="C31" s="39" t="s">
        <v>43</v>
      </c>
      <c r="D31" s="39" t="s">
        <v>69</v>
      </c>
      <c r="E31" s="39" t="s">
        <v>70</v>
      </c>
      <c r="F31" s="39" t="s">
        <v>71</v>
      </c>
      <c r="G31" s="39" t="s">
        <v>72</v>
      </c>
      <c r="H31" s="39" t="s">
        <v>86</v>
      </c>
    </row>
    <row r="32" spans="1:22" x14ac:dyDescent="0.3">
      <c r="A32" t="str">
        <f>IF(ISBLANK(B32),"",IF(B32=C32,"Pass","Fail"))</f>
        <v>Pass</v>
      </c>
      <c r="B32">
        <v>4.5999999999999996</v>
      </c>
      <c r="C32">
        <f>ROUND(FMC_Forest(D32,E32,F32,G32),1)</f>
        <v>4.5999999999999996</v>
      </c>
      <c r="D32">
        <v>10</v>
      </c>
      <c r="E32">
        <v>10</v>
      </c>
      <c r="F32" s="43">
        <v>44813</v>
      </c>
      <c r="G32" s="44">
        <v>1.0416666666666666E-2</v>
      </c>
      <c r="H32" t="s">
        <v>88</v>
      </c>
    </row>
    <row r="33" spans="1:12" x14ac:dyDescent="0.3">
      <c r="A33" t="str">
        <f t="shared" ref="A33:A41" si="6">IF(ISBLANK(B33),"",IF(B33=C33,"Pass","Fail"))</f>
        <v>Pass</v>
      </c>
      <c r="B33">
        <v>4.0999999999999996</v>
      </c>
      <c r="C33">
        <f t="shared" ref="C33:C40" si="7">ROUND(FMC_Forest(D33,E33,F33,G33),1)</f>
        <v>4.0999999999999996</v>
      </c>
      <c r="D33">
        <v>20</v>
      </c>
      <c r="E33">
        <v>10</v>
      </c>
      <c r="F33" s="43">
        <v>44813</v>
      </c>
      <c r="G33" s="44">
        <v>1.0416666666666666E-2</v>
      </c>
      <c r="H33" t="s">
        <v>88</v>
      </c>
    </row>
    <row r="34" spans="1:12" x14ac:dyDescent="0.3">
      <c r="A34" t="str">
        <f t="shared" si="6"/>
        <v>Pass</v>
      </c>
      <c r="B34">
        <v>3.6</v>
      </c>
      <c r="C34">
        <f t="shared" si="7"/>
        <v>3.6</v>
      </c>
      <c r="D34">
        <v>30</v>
      </c>
      <c r="E34">
        <v>10</v>
      </c>
      <c r="F34" s="43">
        <v>44813</v>
      </c>
      <c r="G34" s="44">
        <v>1.0416666666666666E-2</v>
      </c>
      <c r="H34" t="s">
        <v>88</v>
      </c>
    </row>
    <row r="35" spans="1:12" x14ac:dyDescent="0.3">
      <c r="A35" t="str">
        <f t="shared" si="6"/>
        <v>Pass</v>
      </c>
      <c r="B35">
        <v>6.6</v>
      </c>
      <c r="C35">
        <f t="shared" si="7"/>
        <v>6.6</v>
      </c>
      <c r="D35">
        <v>10</v>
      </c>
      <c r="E35">
        <v>20</v>
      </c>
      <c r="F35" s="43">
        <v>44813</v>
      </c>
      <c r="G35" s="44">
        <v>1.0416666666666666E-2</v>
      </c>
      <c r="H35" t="s">
        <v>88</v>
      </c>
    </row>
    <row r="36" spans="1:12" x14ac:dyDescent="0.3">
      <c r="A36" t="str">
        <f t="shared" si="6"/>
        <v>Pass</v>
      </c>
      <c r="B36">
        <v>6.1</v>
      </c>
      <c r="C36">
        <f t="shared" si="7"/>
        <v>6.1</v>
      </c>
      <c r="D36">
        <v>20</v>
      </c>
      <c r="E36">
        <v>20</v>
      </c>
      <c r="F36" s="43">
        <v>44813</v>
      </c>
      <c r="G36" s="44">
        <v>1.0416666666666666E-2</v>
      </c>
      <c r="H36" t="s">
        <v>88</v>
      </c>
    </row>
    <row r="37" spans="1:12" x14ac:dyDescent="0.3">
      <c r="A37" t="str">
        <f t="shared" si="6"/>
        <v>Pass</v>
      </c>
      <c r="B37">
        <v>5.6</v>
      </c>
      <c r="C37">
        <f t="shared" si="7"/>
        <v>5.6</v>
      </c>
      <c r="D37">
        <v>30</v>
      </c>
      <c r="E37">
        <v>20</v>
      </c>
      <c r="F37" s="43">
        <v>44813</v>
      </c>
      <c r="G37" s="44">
        <v>1.0416666666666666E-2</v>
      </c>
      <c r="H37" t="s">
        <v>88</v>
      </c>
    </row>
    <row r="38" spans="1:12" x14ac:dyDescent="0.3">
      <c r="A38" t="str">
        <f t="shared" si="6"/>
        <v>Pass</v>
      </c>
      <c r="B38">
        <v>8.5</v>
      </c>
      <c r="C38">
        <f t="shared" si="7"/>
        <v>8.5</v>
      </c>
      <c r="D38">
        <v>10</v>
      </c>
      <c r="E38">
        <v>30</v>
      </c>
      <c r="F38" s="43">
        <v>44813</v>
      </c>
      <c r="G38" s="44">
        <v>1.0416666666666666E-2</v>
      </c>
      <c r="H38" t="s">
        <v>88</v>
      </c>
    </row>
    <row r="39" spans="1:12" x14ac:dyDescent="0.3">
      <c r="A39" t="str">
        <f t="shared" si="6"/>
        <v>Pass</v>
      </c>
      <c r="B39">
        <v>8.1</v>
      </c>
      <c r="C39">
        <f t="shared" si="7"/>
        <v>8.1</v>
      </c>
      <c r="D39">
        <v>20</v>
      </c>
      <c r="E39">
        <v>30</v>
      </c>
      <c r="F39" s="43">
        <v>44813</v>
      </c>
      <c r="G39" s="44">
        <v>1.0416666666666666E-2</v>
      </c>
      <c r="H39" t="s">
        <v>88</v>
      </c>
    </row>
    <row r="40" spans="1:12" x14ac:dyDescent="0.3">
      <c r="A40" t="str">
        <f t="shared" si="6"/>
        <v>Pass</v>
      </c>
      <c r="B40">
        <v>7.8</v>
      </c>
      <c r="C40">
        <f t="shared" si="7"/>
        <v>7.8</v>
      </c>
      <c r="D40">
        <v>25</v>
      </c>
      <c r="E40">
        <v>30</v>
      </c>
      <c r="F40" s="43">
        <v>44813</v>
      </c>
      <c r="G40" s="44">
        <v>0.17847222222222223</v>
      </c>
      <c r="H40" t="s">
        <v>88</v>
      </c>
    </row>
    <row r="41" spans="1:12" x14ac:dyDescent="0.3">
      <c r="A41" t="str">
        <f t="shared" si="6"/>
        <v/>
      </c>
      <c r="F41" s="43"/>
      <c r="G41" s="44"/>
    </row>
    <row r="42" spans="1:12" ht="100.05" customHeight="1" x14ac:dyDescent="0.3">
      <c r="A42" s="53" t="s">
        <v>74</v>
      </c>
      <c r="B42" s="54"/>
      <c r="C42" s="54"/>
      <c r="D42" s="54"/>
      <c r="E42" s="54"/>
      <c r="F42" s="54"/>
      <c r="G42" s="54"/>
      <c r="H42" s="54"/>
      <c r="I42" s="54"/>
      <c r="J42" s="54"/>
      <c r="K42" s="54"/>
      <c r="L42" s="54"/>
    </row>
    <row r="43" spans="1:12" x14ac:dyDescent="0.3">
      <c r="A43" s="39" t="s">
        <v>34</v>
      </c>
      <c r="B43" s="39" t="s">
        <v>33</v>
      </c>
      <c r="C43" s="39" t="s">
        <v>43</v>
      </c>
      <c r="D43" s="39" t="s">
        <v>68</v>
      </c>
      <c r="E43" s="39" t="s">
        <v>86</v>
      </c>
    </row>
    <row r="44" spans="1:12" x14ac:dyDescent="0.3">
      <c r="A44" t="str">
        <f>IF(ISBLANK(B44),"",IF(B44=C44,"Pass","Fail"))</f>
        <v>Pass</v>
      </c>
      <c r="B44">
        <v>1.87</v>
      </c>
      <c r="C44">
        <f>ROUND(Mf_forest(D44),2)</f>
        <v>1.87</v>
      </c>
      <c r="D44">
        <v>4.5999999999999996</v>
      </c>
    </row>
    <row r="45" spans="1:12" x14ac:dyDescent="0.3">
      <c r="A45" t="str">
        <f t="shared" ref="A45:A49" si="8">IF(ISBLANK(B45),"",IF(B45=C45,"Pass","Fail"))</f>
        <v>Pass</v>
      </c>
      <c r="B45">
        <v>2.23</v>
      </c>
      <c r="C45">
        <f t="shared" ref="C45:C48" si="9">ROUND(Mf_forest(D45),2)</f>
        <v>2.23</v>
      </c>
      <c r="D45">
        <v>4.0999999999999996</v>
      </c>
    </row>
    <row r="46" spans="1:12" x14ac:dyDescent="0.3">
      <c r="A46" t="str">
        <f t="shared" si="8"/>
        <v>Pass</v>
      </c>
      <c r="B46">
        <v>2.31</v>
      </c>
      <c r="C46">
        <f t="shared" si="9"/>
        <v>2.31</v>
      </c>
      <c r="D46">
        <v>3.6</v>
      </c>
    </row>
    <row r="47" spans="1:12" x14ac:dyDescent="0.3">
      <c r="A47" t="str">
        <f t="shared" si="8"/>
        <v>Pass</v>
      </c>
      <c r="B47">
        <v>1.0900000000000001</v>
      </c>
      <c r="C47">
        <f t="shared" si="9"/>
        <v>1.0900000000000001</v>
      </c>
      <c r="D47">
        <v>6.6</v>
      </c>
    </row>
    <row r="48" spans="1:12" x14ac:dyDescent="0.3">
      <c r="A48" t="str">
        <f t="shared" si="8"/>
        <v>Pass</v>
      </c>
      <c r="B48">
        <v>1.23</v>
      </c>
      <c r="C48">
        <f t="shared" si="9"/>
        <v>1.23</v>
      </c>
      <c r="D48">
        <v>6.1</v>
      </c>
    </row>
    <row r="49" spans="1:12" x14ac:dyDescent="0.3">
      <c r="A49" t="str">
        <f t="shared" si="8"/>
        <v/>
      </c>
    </row>
    <row r="50" spans="1:12" ht="100.05" customHeight="1" x14ac:dyDescent="0.3">
      <c r="A50" s="53" t="s">
        <v>99</v>
      </c>
      <c r="B50" s="54"/>
      <c r="C50" s="54"/>
      <c r="D50" s="54"/>
      <c r="E50" s="54"/>
      <c r="F50" s="54"/>
      <c r="G50" s="54"/>
      <c r="H50" s="54"/>
      <c r="I50" s="54"/>
      <c r="J50" s="54"/>
      <c r="K50" s="54"/>
      <c r="L50" s="54"/>
    </row>
    <row r="51" spans="1:12" x14ac:dyDescent="0.3">
      <c r="A51" s="39" t="s">
        <v>34</v>
      </c>
      <c r="B51" s="39" t="s">
        <v>33</v>
      </c>
      <c r="C51" s="39" t="s">
        <v>43</v>
      </c>
      <c r="D51" s="39" t="s">
        <v>50</v>
      </c>
      <c r="E51" s="39" t="s">
        <v>63</v>
      </c>
      <c r="F51" s="39" t="s">
        <v>65</v>
      </c>
      <c r="G51" s="39" t="s">
        <v>86</v>
      </c>
    </row>
    <row r="52" spans="1:12" x14ac:dyDescent="0.3">
      <c r="A52" t="str">
        <f>IF(ISBLANK(B52),"",IF(B52=C52,"Pass","Fail"))</f>
        <v>Pass</v>
      </c>
      <c r="B52" s="45">
        <v>699</v>
      </c>
      <c r="C52">
        <f>Spotting_forest(D52,E52,F52)</f>
        <v>699</v>
      </c>
      <c r="D52">
        <v>708.53710207539802</v>
      </c>
      <c r="E52">
        <v>20</v>
      </c>
      <c r="F52">
        <v>2</v>
      </c>
    </row>
    <row r="53" spans="1:12" x14ac:dyDescent="0.3">
      <c r="A53" t="str">
        <f t="shared" ref="A53:A56" si="10">IF(ISBLANK(B53),"",IF(B53=C53,"Pass","Fail"))</f>
        <v>Pass</v>
      </c>
      <c r="B53" s="45">
        <v>2174</v>
      </c>
      <c r="C53">
        <f t="shared" ref="C53:C56" si="11">Spotting_forest(D53,E53,F53)</f>
        <v>2174</v>
      </c>
      <c r="D53">
        <v>1734.8959411297028</v>
      </c>
      <c r="E53">
        <v>40</v>
      </c>
      <c r="F53">
        <v>2</v>
      </c>
    </row>
    <row r="54" spans="1:12" x14ac:dyDescent="0.3">
      <c r="A54" t="str">
        <f t="shared" si="10"/>
        <v>Pass</v>
      </c>
      <c r="B54" s="45">
        <v>3616</v>
      </c>
      <c r="C54">
        <f t="shared" si="11"/>
        <v>3616</v>
      </c>
      <c r="D54">
        <v>2768.6296605305874</v>
      </c>
      <c r="E54">
        <v>35</v>
      </c>
      <c r="F54">
        <v>2</v>
      </c>
    </row>
    <row r="55" spans="1:12" x14ac:dyDescent="0.3">
      <c r="A55" t="str">
        <f t="shared" si="10"/>
        <v>Pass</v>
      </c>
      <c r="B55" s="45">
        <v>272</v>
      </c>
      <c r="C55">
        <f t="shared" si="11"/>
        <v>272</v>
      </c>
      <c r="D55">
        <v>170</v>
      </c>
      <c r="E55">
        <v>4</v>
      </c>
      <c r="F55">
        <v>2</v>
      </c>
    </row>
    <row r="56" spans="1:12" x14ac:dyDescent="0.3">
      <c r="A56" t="str">
        <f t="shared" si="10"/>
        <v>Pass</v>
      </c>
      <c r="B56" s="45">
        <v>237</v>
      </c>
      <c r="C56">
        <f t="shared" si="11"/>
        <v>237</v>
      </c>
      <c r="D56">
        <v>160</v>
      </c>
      <c r="E56">
        <v>10</v>
      </c>
      <c r="F56">
        <v>2</v>
      </c>
    </row>
    <row r="57" spans="1:12" x14ac:dyDescent="0.3">
      <c r="A57" t="str">
        <f t="shared" ref="A57:A59" si="12">IF(ISBLANK(B57),"",IF(B57=C57,"Pass","Fail"))</f>
        <v>Pass</v>
      </c>
      <c r="B57" s="45">
        <v>203</v>
      </c>
      <c r="C57">
        <f t="shared" ref="C57:C59" si="13">Spotting_forest(D57,E57,F57)</f>
        <v>203</v>
      </c>
      <c r="D57">
        <v>150</v>
      </c>
      <c r="E57">
        <v>10</v>
      </c>
      <c r="F57">
        <v>2</v>
      </c>
    </row>
    <row r="58" spans="1:12" x14ac:dyDescent="0.3">
      <c r="A58" t="str">
        <f t="shared" si="12"/>
        <v>Pass</v>
      </c>
      <c r="B58" s="45">
        <v>50</v>
      </c>
      <c r="C58">
        <f t="shared" si="13"/>
        <v>50</v>
      </c>
      <c r="D58">
        <v>149</v>
      </c>
      <c r="E58">
        <v>10</v>
      </c>
      <c r="F58">
        <v>2</v>
      </c>
    </row>
    <row r="59" spans="1:12" x14ac:dyDescent="0.3">
      <c r="A59" t="str">
        <f t="shared" si="12"/>
        <v>Pass</v>
      </c>
      <c r="B59" s="45">
        <v>50</v>
      </c>
      <c r="C59">
        <f t="shared" si="13"/>
        <v>50</v>
      </c>
      <c r="D59">
        <v>46</v>
      </c>
      <c r="E59">
        <v>11</v>
      </c>
      <c r="F59">
        <v>3</v>
      </c>
      <c r="G59" t="s">
        <v>98</v>
      </c>
    </row>
    <row r="60" spans="1:12" x14ac:dyDescent="0.3">
      <c r="B60" s="45"/>
    </row>
    <row r="61" spans="1:12" x14ac:dyDescent="0.3">
      <c r="B61" s="45"/>
    </row>
    <row r="62" spans="1:12" x14ac:dyDescent="0.3">
      <c r="B62" s="45"/>
    </row>
  </sheetData>
  <mergeCells count="6">
    <mergeCell ref="A50:L50"/>
    <mergeCell ref="A4:L4"/>
    <mergeCell ref="A13:L13"/>
    <mergeCell ref="A20:L20"/>
    <mergeCell ref="A30:L30"/>
    <mergeCell ref="A42:L42"/>
  </mergeCells>
  <conditionalFormatting sqref="A6:A12">
    <cfRule type="expression" dxfId="23" priority="11">
      <formula>$A6="Fail"</formula>
    </cfRule>
    <cfRule type="expression" dxfId="22" priority="12">
      <formula>$A$9="Pass"</formula>
    </cfRule>
  </conditionalFormatting>
  <conditionalFormatting sqref="A15:A19">
    <cfRule type="expression" dxfId="21" priority="9">
      <formula>$A15="Fail"</formula>
    </cfRule>
    <cfRule type="expression" dxfId="20" priority="10">
      <formula>$A$9="Pass"</formula>
    </cfRule>
  </conditionalFormatting>
  <conditionalFormatting sqref="A22:A29">
    <cfRule type="expression" dxfId="19" priority="7">
      <formula>$A22="Fail"</formula>
    </cfRule>
    <cfRule type="expression" dxfId="18" priority="8">
      <formula>$A$9="Pass"</formula>
    </cfRule>
  </conditionalFormatting>
  <conditionalFormatting sqref="A32:A41">
    <cfRule type="expression" dxfId="17" priority="5">
      <formula>$A32="Fail"</formula>
    </cfRule>
    <cfRule type="expression" dxfId="16" priority="6">
      <formula>$A$9="Pass"</formula>
    </cfRule>
  </conditionalFormatting>
  <conditionalFormatting sqref="A44:A49">
    <cfRule type="expression" dxfId="15" priority="3">
      <formula>$A44="Fail"</formula>
    </cfRule>
    <cfRule type="expression" dxfId="14" priority="4">
      <formula>$A$9="Pass"</formula>
    </cfRule>
  </conditionalFormatting>
  <conditionalFormatting sqref="A52:A62">
    <cfRule type="expression" dxfId="13" priority="1">
      <formula>$A52="Fail"</formula>
    </cfRule>
    <cfRule type="expression" dxfId="12" priority="2">
      <formula>$A$9="Pass"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8"/>
  <sheetViews>
    <sheetView topLeftCell="A13" workbookViewId="0"/>
  </sheetViews>
  <sheetFormatPr defaultRowHeight="14.4" x14ac:dyDescent="0.3"/>
  <sheetData>
    <row r="1" spans="1:12" x14ac:dyDescent="0.3">
      <c r="A1" s="41" t="s">
        <v>48</v>
      </c>
      <c r="B1" s="41">
        <f>COUNTIF(A:A,"Pass")</f>
        <v>19</v>
      </c>
    </row>
    <row r="2" spans="1:12" x14ac:dyDescent="0.3">
      <c r="A2" s="40" t="s">
        <v>49</v>
      </c>
      <c r="B2" s="40">
        <f>COUNTIF(A:A,"Fail")</f>
        <v>1</v>
      </c>
    </row>
    <row r="4" spans="1:12" ht="100.05" customHeight="1" x14ac:dyDescent="0.3">
      <c r="A4" s="53" t="s">
        <v>75</v>
      </c>
      <c r="B4" s="54"/>
      <c r="C4" s="54"/>
      <c r="D4" s="54"/>
      <c r="E4" s="54"/>
      <c r="F4" s="54"/>
      <c r="G4" s="54"/>
      <c r="H4" s="54"/>
      <c r="I4" s="54"/>
      <c r="J4" s="54"/>
      <c r="K4" s="54"/>
      <c r="L4" s="54"/>
    </row>
    <row r="5" spans="1:12" x14ac:dyDescent="0.3">
      <c r="A5" s="39" t="s">
        <v>34</v>
      </c>
      <c r="B5" s="39" t="s">
        <v>33</v>
      </c>
      <c r="C5" s="39" t="s">
        <v>43</v>
      </c>
      <c r="D5" s="39" t="s">
        <v>69</v>
      </c>
      <c r="E5" s="39" t="s">
        <v>70</v>
      </c>
      <c r="F5" s="39" t="s">
        <v>86</v>
      </c>
    </row>
    <row r="6" spans="1:12" x14ac:dyDescent="0.3">
      <c r="A6" t="str">
        <f>IF(ISBLANK(B6),"",IF(B6=C6,"Pass","Fail"))</f>
        <v>Fail</v>
      </c>
      <c r="B6">
        <v>10.5</v>
      </c>
      <c r="C6">
        <f>ROUND(FMC_Grass(D6,E6),2)</f>
        <v>10.39</v>
      </c>
      <c r="D6">
        <v>25</v>
      </c>
      <c r="E6">
        <v>43</v>
      </c>
      <c r="F6" t="s">
        <v>84</v>
      </c>
    </row>
    <row r="7" spans="1:12" x14ac:dyDescent="0.3">
      <c r="A7" t="str">
        <f t="shared" ref="A7:A11" si="0">IF(ISBLANK(B7),"",IF(B7=C7,"Pass","Fail"))</f>
        <v>Pass</v>
      </c>
      <c r="B7">
        <v>8.73</v>
      </c>
      <c r="C7">
        <f t="shared" ref="C7:C10" si="1">ROUND(FMC_Grass(D7,E7),2)</f>
        <v>8.73</v>
      </c>
      <c r="D7">
        <v>23</v>
      </c>
      <c r="E7">
        <v>28</v>
      </c>
      <c r="F7" t="s">
        <v>84</v>
      </c>
    </row>
    <row r="8" spans="1:12" x14ac:dyDescent="0.3">
      <c r="A8" t="str">
        <f t="shared" si="0"/>
        <v>Pass</v>
      </c>
      <c r="B8">
        <v>4.47</v>
      </c>
      <c r="C8">
        <f t="shared" si="1"/>
        <v>4.47</v>
      </c>
      <c r="D8">
        <v>35</v>
      </c>
      <c r="E8">
        <v>15</v>
      </c>
      <c r="F8" t="s">
        <v>84</v>
      </c>
    </row>
    <row r="9" spans="1:12" x14ac:dyDescent="0.3">
      <c r="A9" t="str">
        <f t="shared" si="0"/>
        <v>Pass</v>
      </c>
      <c r="B9">
        <v>6.19</v>
      </c>
      <c r="C9">
        <f t="shared" si="1"/>
        <v>6.19</v>
      </c>
      <c r="D9">
        <v>30</v>
      </c>
      <c r="E9">
        <v>20</v>
      </c>
      <c r="F9" t="s">
        <v>84</v>
      </c>
    </row>
    <row r="10" spans="1:12" x14ac:dyDescent="0.3">
      <c r="A10" t="str">
        <f t="shared" si="0"/>
        <v>Pass</v>
      </c>
      <c r="B10">
        <v>20.98</v>
      </c>
      <c r="C10">
        <f t="shared" si="1"/>
        <v>20.98</v>
      </c>
      <c r="D10">
        <v>5</v>
      </c>
      <c r="E10">
        <v>90</v>
      </c>
      <c r="F10" t="s">
        <v>84</v>
      </c>
    </row>
    <row r="11" spans="1:12" x14ac:dyDescent="0.3">
      <c r="A11" t="str">
        <f t="shared" si="0"/>
        <v/>
      </c>
    </row>
    <row r="12" spans="1:12" ht="100.05" customHeight="1" x14ac:dyDescent="0.3">
      <c r="A12" s="53" t="s">
        <v>76</v>
      </c>
      <c r="B12" s="54"/>
      <c r="C12" s="54"/>
      <c r="D12" s="54"/>
      <c r="E12" s="54"/>
      <c r="F12" s="54"/>
      <c r="G12" s="54"/>
      <c r="H12" s="54"/>
      <c r="I12" s="54"/>
      <c r="J12" s="54"/>
      <c r="K12" s="54"/>
      <c r="L12" s="54"/>
    </row>
    <row r="13" spans="1:12" x14ac:dyDescent="0.3">
      <c r="A13" s="39" t="s">
        <v>34</v>
      </c>
      <c r="B13" s="39" t="s">
        <v>33</v>
      </c>
      <c r="C13" s="39" t="s">
        <v>43</v>
      </c>
      <c r="D13" s="39" t="s">
        <v>77</v>
      </c>
      <c r="E13" s="39" t="s">
        <v>86</v>
      </c>
    </row>
    <row r="14" spans="1:12" x14ac:dyDescent="0.3">
      <c r="A14" t="str">
        <f>IF(ISBLANK(B14),"",IF(B14=C14,"Pass","Fail"))</f>
        <v>Pass</v>
      </c>
      <c r="B14">
        <v>0.89</v>
      </c>
      <c r="C14">
        <f>ROUND(curing_coeff_grass(D14),2)</f>
        <v>0.89</v>
      </c>
      <c r="D14">
        <v>85</v>
      </c>
      <c r="E14" t="s">
        <v>82</v>
      </c>
    </row>
    <row r="15" spans="1:12" x14ac:dyDescent="0.3">
      <c r="A15" t="str">
        <f t="shared" ref="A15:A16" si="2">IF(ISBLANK(B15),"",IF(B15=C15,"Pass","Fail"))</f>
        <v>Pass</v>
      </c>
      <c r="B15">
        <v>0.98</v>
      </c>
      <c r="C15">
        <f>ROUND(curing_coeff_grass(D15),2)</f>
        <v>0.98</v>
      </c>
      <c r="D15">
        <v>95</v>
      </c>
      <c r="E15" t="s">
        <v>82</v>
      </c>
    </row>
    <row r="16" spans="1:12" x14ac:dyDescent="0.3">
      <c r="A16" t="str">
        <f t="shared" si="2"/>
        <v/>
      </c>
    </row>
    <row r="17" spans="1:12" ht="100.05" customHeight="1" x14ac:dyDescent="0.3">
      <c r="A17" s="53" t="s">
        <v>78</v>
      </c>
      <c r="B17" s="54"/>
      <c r="C17" s="54"/>
      <c r="D17" s="54"/>
      <c r="E17" s="54"/>
      <c r="F17" s="54"/>
      <c r="G17" s="54"/>
      <c r="H17" s="54"/>
      <c r="I17" s="54"/>
      <c r="J17" s="54"/>
      <c r="K17" s="54"/>
      <c r="L17" s="54"/>
    </row>
    <row r="18" spans="1:12" x14ac:dyDescent="0.3">
      <c r="A18" s="39" t="s">
        <v>34</v>
      </c>
      <c r="B18" s="39" t="s">
        <v>33</v>
      </c>
      <c r="C18" s="39" t="s">
        <v>43</v>
      </c>
      <c r="D18" s="39" t="s">
        <v>63</v>
      </c>
      <c r="E18" s="39" t="s">
        <v>68</v>
      </c>
      <c r="F18" s="39" t="s">
        <v>86</v>
      </c>
    </row>
    <row r="19" spans="1:12" x14ac:dyDescent="0.3">
      <c r="A19" t="str">
        <f>IF(ISBLANK(B19),"",IF(B19=C19,"Pass","Fail"))</f>
        <v>Pass</v>
      </c>
      <c r="B19">
        <v>0.52300000000000002</v>
      </c>
      <c r="C19">
        <f>ROUND(moist_coeff_grass(D19,E19),3)</f>
        <v>0.52300000000000002</v>
      </c>
      <c r="D19">
        <v>20</v>
      </c>
      <c r="E19">
        <v>6</v>
      </c>
      <c r="F19" t="s">
        <v>82</v>
      </c>
    </row>
    <row r="20" spans="1:12" x14ac:dyDescent="0.3">
      <c r="A20" t="str">
        <f t="shared" ref="A20:A24" si="3">IF(ISBLANK(B20),"",IF(B20=C20,"Pass","Fail"))</f>
        <v>Pass</v>
      </c>
      <c r="B20">
        <v>0.27300000000000002</v>
      </c>
      <c r="C20">
        <f t="shared" ref="C20:C23" si="4">ROUND(moist_coeff_grass(D20,E20),3)</f>
        <v>0.27300000000000002</v>
      </c>
      <c r="D20">
        <v>20</v>
      </c>
      <c r="E20">
        <v>12</v>
      </c>
      <c r="F20" t="s">
        <v>82</v>
      </c>
    </row>
    <row r="21" spans="1:12" x14ac:dyDescent="0.3">
      <c r="A21" t="str">
        <f t="shared" si="3"/>
        <v>Pass</v>
      </c>
      <c r="B21">
        <v>0.17100000000000001</v>
      </c>
      <c r="C21">
        <f t="shared" si="4"/>
        <v>0.17100000000000001</v>
      </c>
      <c r="D21">
        <v>5</v>
      </c>
      <c r="E21">
        <v>15</v>
      </c>
      <c r="F21" t="s">
        <v>82</v>
      </c>
    </row>
    <row r="22" spans="1:12" x14ac:dyDescent="0.3">
      <c r="A22" t="str">
        <f t="shared" si="3"/>
        <v>Pass</v>
      </c>
      <c r="B22">
        <v>0.17100000000000001</v>
      </c>
      <c r="C22">
        <f t="shared" si="4"/>
        <v>0.17100000000000001</v>
      </c>
      <c r="D22">
        <v>10</v>
      </c>
      <c r="E22">
        <v>15</v>
      </c>
      <c r="F22" t="s">
        <v>82</v>
      </c>
    </row>
    <row r="23" spans="1:12" x14ac:dyDescent="0.3">
      <c r="A23" t="str">
        <f t="shared" si="3"/>
        <v>Pass</v>
      </c>
      <c r="B23">
        <v>1E-3</v>
      </c>
      <c r="C23">
        <f t="shared" si="4"/>
        <v>1E-3</v>
      </c>
      <c r="D23">
        <v>15</v>
      </c>
      <c r="E23">
        <v>30</v>
      </c>
      <c r="F23" t="s">
        <v>82</v>
      </c>
    </row>
    <row r="24" spans="1:12" x14ac:dyDescent="0.3">
      <c r="A24" t="str">
        <f t="shared" si="3"/>
        <v/>
      </c>
    </row>
    <row r="25" spans="1:12" ht="100.05" customHeight="1" x14ac:dyDescent="0.3">
      <c r="A25" s="53" t="s">
        <v>79</v>
      </c>
      <c r="B25" s="54"/>
      <c r="C25" s="54"/>
      <c r="D25" s="54"/>
      <c r="E25" s="54"/>
      <c r="F25" s="54"/>
      <c r="G25" s="54"/>
      <c r="H25" s="54"/>
      <c r="I25" s="54"/>
      <c r="J25" s="54"/>
      <c r="K25" s="54"/>
      <c r="L25" s="54"/>
    </row>
    <row r="26" spans="1:12" x14ac:dyDescent="0.3">
      <c r="A26" s="39" t="s">
        <v>34</v>
      </c>
      <c r="B26" s="39" t="s">
        <v>33</v>
      </c>
      <c r="C26" s="39" t="s">
        <v>43</v>
      </c>
      <c r="D26" s="39" t="s">
        <v>80</v>
      </c>
      <c r="E26" s="39" t="s">
        <v>68</v>
      </c>
      <c r="F26" s="39" t="s">
        <v>77</v>
      </c>
      <c r="G26" s="39" t="s">
        <v>32</v>
      </c>
      <c r="H26" s="39" t="s">
        <v>86</v>
      </c>
    </row>
    <row r="27" spans="1:12" x14ac:dyDescent="0.3">
      <c r="A27" t="str">
        <f>IF(ISBLANK(B27),"",IF(B27=C27,"Pass","Fail"))</f>
        <v>Pass</v>
      </c>
      <c r="B27">
        <v>2981</v>
      </c>
      <c r="C27">
        <f>ROS_grass(D27,E27,F27,G27)</f>
        <v>2981</v>
      </c>
      <c r="D27">
        <v>20</v>
      </c>
      <c r="E27">
        <v>11</v>
      </c>
      <c r="F27">
        <v>95</v>
      </c>
      <c r="G27" t="s">
        <v>24</v>
      </c>
      <c r="H27" t="s">
        <v>81</v>
      </c>
    </row>
    <row r="28" spans="1:12" x14ac:dyDescent="0.3">
      <c r="A28" t="str">
        <f t="shared" ref="A28:A32" si="5">IF(ISBLANK(B28),"",IF(B28=C28,"Pass","Fail"))</f>
        <v>Pass</v>
      </c>
      <c r="B28">
        <v>2517</v>
      </c>
      <c r="C28">
        <f t="shared" ref="C28:C29" si="6">ROS_grass(D28,E28,F28,G28)</f>
        <v>2517</v>
      </c>
      <c r="D28">
        <v>20</v>
      </c>
      <c r="E28">
        <v>10.5</v>
      </c>
      <c r="F28">
        <v>95</v>
      </c>
      <c r="G28" t="s">
        <v>25</v>
      </c>
      <c r="H28" t="s">
        <v>81</v>
      </c>
    </row>
    <row r="29" spans="1:12" x14ac:dyDescent="0.3">
      <c r="A29" t="str">
        <f t="shared" si="5"/>
        <v>Pass</v>
      </c>
      <c r="B29">
        <v>1259</v>
      </c>
      <c r="C29">
        <f t="shared" si="6"/>
        <v>1259</v>
      </c>
      <c r="D29">
        <v>20</v>
      </c>
      <c r="E29">
        <v>10.5</v>
      </c>
      <c r="F29">
        <v>95</v>
      </c>
      <c r="G29" t="s">
        <v>26</v>
      </c>
      <c r="H29" t="s">
        <v>81</v>
      </c>
    </row>
    <row r="30" spans="1:12" x14ac:dyDescent="0.3">
      <c r="A30" t="str">
        <f t="shared" si="5"/>
        <v>Pass</v>
      </c>
      <c r="B30">
        <v>355</v>
      </c>
      <c r="C30">
        <f t="shared" ref="C30" si="7">ROS_grass(D30,E30,F30,G30)</f>
        <v>355</v>
      </c>
      <c r="D30">
        <v>20</v>
      </c>
      <c r="E30">
        <v>22</v>
      </c>
      <c r="F30">
        <v>95</v>
      </c>
      <c r="G30" t="s">
        <v>25</v>
      </c>
      <c r="H30" t="s">
        <v>81</v>
      </c>
    </row>
    <row r="31" spans="1:12" x14ac:dyDescent="0.3">
      <c r="A31" t="str">
        <f t="shared" ref="A31" si="8">IF(ISBLANK(B31),"",IF(B31=C31,"Pass","Fail"))</f>
        <v>Pass</v>
      </c>
      <c r="B31">
        <v>4</v>
      </c>
      <c r="C31">
        <f t="shared" ref="C31" si="9">ROS_grass(D31,E31,F31,G31)</f>
        <v>4</v>
      </c>
      <c r="D31">
        <v>10</v>
      </c>
      <c r="E31">
        <v>21</v>
      </c>
      <c r="F31">
        <v>95</v>
      </c>
      <c r="G31" t="s">
        <v>25</v>
      </c>
      <c r="H31" t="s">
        <v>81</v>
      </c>
    </row>
    <row r="32" spans="1:12" x14ac:dyDescent="0.3">
      <c r="A32" t="str">
        <f t="shared" si="5"/>
        <v/>
      </c>
    </row>
    <row r="33" spans="1:12" ht="100.05" customHeight="1" x14ac:dyDescent="0.3">
      <c r="A33" s="53" t="s">
        <v>83</v>
      </c>
      <c r="B33" s="54"/>
      <c r="C33" s="54"/>
      <c r="D33" s="54"/>
      <c r="E33" s="54"/>
      <c r="F33" s="54"/>
      <c r="G33" s="54"/>
      <c r="H33" s="54"/>
      <c r="I33" s="54"/>
      <c r="J33" s="54"/>
      <c r="K33" s="54"/>
      <c r="L33" s="54"/>
    </row>
    <row r="34" spans="1:12" x14ac:dyDescent="0.3">
      <c r="A34" s="39" t="s">
        <v>34</v>
      </c>
      <c r="B34" s="39" t="s">
        <v>33</v>
      </c>
      <c r="C34" s="39" t="s">
        <v>43</v>
      </c>
      <c r="D34" s="39" t="s">
        <v>50</v>
      </c>
      <c r="E34" s="39" t="s">
        <v>32</v>
      </c>
      <c r="F34" s="39" t="s">
        <v>86</v>
      </c>
    </row>
    <row r="35" spans="1:12" x14ac:dyDescent="0.3">
      <c r="A35" t="str">
        <f>IF(ISBLANK(B35),"",IF(B35=C35,"Pass","Fail"))</f>
        <v>Pass</v>
      </c>
      <c r="B35">
        <v>2.5</v>
      </c>
      <c r="C35">
        <f>ROUND(Flame_height_grass(D35,E35),1)</f>
        <v>2.5</v>
      </c>
      <c r="D35">
        <v>3033</v>
      </c>
      <c r="E35" t="s">
        <v>24</v>
      </c>
      <c r="F35" t="s">
        <v>88</v>
      </c>
    </row>
    <row r="36" spans="1:12" x14ac:dyDescent="0.3">
      <c r="A36" t="str">
        <f t="shared" ref="A36:A38" si="10">IF(ISBLANK(B36),"",IF(B36=C36,"Pass","Fail"))</f>
        <v>Pass</v>
      </c>
      <c r="B36">
        <v>1.3</v>
      </c>
      <c r="C36">
        <f t="shared" ref="C36:C37" si="11">ROUND(Flame_height_grass(D36,E36),1)</f>
        <v>1.3</v>
      </c>
      <c r="D36">
        <v>5813</v>
      </c>
      <c r="E36" t="s">
        <v>25</v>
      </c>
      <c r="F36" t="s">
        <v>88</v>
      </c>
    </row>
    <row r="37" spans="1:12" x14ac:dyDescent="0.3">
      <c r="A37" t="str">
        <f t="shared" si="10"/>
        <v>Pass</v>
      </c>
      <c r="B37">
        <v>1.4</v>
      </c>
      <c r="C37">
        <f t="shared" si="11"/>
        <v>1.4</v>
      </c>
      <c r="D37">
        <v>8041</v>
      </c>
      <c r="E37" t="s">
        <v>26</v>
      </c>
      <c r="F37" t="s">
        <v>88</v>
      </c>
    </row>
    <row r="38" spans="1:12" x14ac:dyDescent="0.3">
      <c r="A38" t="str">
        <f t="shared" si="10"/>
        <v/>
      </c>
    </row>
  </sheetData>
  <mergeCells count="5">
    <mergeCell ref="A4:L4"/>
    <mergeCell ref="A12:L12"/>
    <mergeCell ref="A17:L17"/>
    <mergeCell ref="A25:L25"/>
    <mergeCell ref="A33:L33"/>
  </mergeCells>
  <conditionalFormatting sqref="A6:A11 A27:A32">
    <cfRule type="expression" dxfId="11" priority="9">
      <formula>$A6="Fail"</formula>
    </cfRule>
    <cfRule type="expression" dxfId="10" priority="10">
      <formula>$A$9="Pass"</formula>
    </cfRule>
  </conditionalFormatting>
  <conditionalFormatting sqref="A14:A16">
    <cfRule type="expression" dxfId="9" priority="7">
      <formula>$A14="Fail"</formula>
    </cfRule>
    <cfRule type="expression" dxfId="8" priority="8">
      <formula>$A$9="Pass"</formula>
    </cfRule>
  </conditionalFormatting>
  <conditionalFormatting sqref="A19:A24">
    <cfRule type="expression" dxfId="7" priority="5">
      <formula>$A19="Fail"</formula>
    </cfRule>
    <cfRule type="expression" dxfId="6" priority="6">
      <formula>$A$9="Pass"</formula>
    </cfRule>
  </conditionalFormatting>
  <conditionalFormatting sqref="A35:A38">
    <cfRule type="expression" dxfId="5" priority="1">
      <formula>$A35="Fail"</formula>
    </cfRule>
    <cfRule type="expression" dxfId="4" priority="2">
      <formula>$A$9="Pass"</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9"/>
  <sheetViews>
    <sheetView topLeftCell="A4" workbookViewId="0"/>
  </sheetViews>
  <sheetFormatPr defaultRowHeight="14.4" x14ac:dyDescent="0.3"/>
  <cols>
    <col min="7" max="7" width="10.21875" customWidth="1"/>
  </cols>
  <sheetData>
    <row r="1" spans="1:12" x14ac:dyDescent="0.3">
      <c r="A1" s="41" t="s">
        <v>48</v>
      </c>
      <c r="B1" s="41">
        <f>COUNTIF(A:A,"Pass")</f>
        <v>15</v>
      </c>
    </row>
    <row r="2" spans="1:12" x14ac:dyDescent="0.3">
      <c r="A2" s="40" t="s">
        <v>49</v>
      </c>
      <c r="B2" s="40">
        <f>COUNTIF(A:A,"Fail")</f>
        <v>0</v>
      </c>
    </row>
    <row r="4" spans="1:12" ht="220.05" customHeight="1" x14ac:dyDescent="0.3">
      <c r="A4" s="53" t="s">
        <v>94</v>
      </c>
      <c r="B4" s="54"/>
      <c r="C4" s="54"/>
      <c r="D4" s="54"/>
      <c r="E4" s="54"/>
      <c r="F4" s="54"/>
      <c r="G4" s="54"/>
      <c r="H4" s="54"/>
      <c r="I4" s="54"/>
      <c r="J4" s="54"/>
      <c r="K4" s="54"/>
      <c r="L4" s="54"/>
    </row>
    <row r="5" spans="1:12" x14ac:dyDescent="0.3">
      <c r="A5" s="39" t="s">
        <v>34</v>
      </c>
      <c r="B5" s="39" t="s">
        <v>33</v>
      </c>
      <c r="C5" s="39" t="s">
        <v>43</v>
      </c>
      <c r="D5" s="39" t="s">
        <v>69</v>
      </c>
      <c r="E5" s="39" t="s">
        <v>70</v>
      </c>
      <c r="F5" s="39" t="s">
        <v>92</v>
      </c>
      <c r="G5" s="39" t="s">
        <v>93</v>
      </c>
      <c r="H5" s="39" t="s">
        <v>86</v>
      </c>
    </row>
    <row r="6" spans="1:12" x14ac:dyDescent="0.3">
      <c r="A6" t="str">
        <f>IF(ISBLANK(B6),"",IF(B6=C6,"Pass","Fail"))</f>
        <v>Pass</v>
      </c>
      <c r="B6">
        <v>59.5</v>
      </c>
      <c r="C6">
        <f>ROUND(FMC_heath(D6,E6,F6,G6),1)</f>
        <v>59.5</v>
      </c>
      <c r="D6">
        <v>25</v>
      </c>
      <c r="E6">
        <v>20</v>
      </c>
      <c r="F6">
        <v>5</v>
      </c>
      <c r="G6">
        <v>3</v>
      </c>
      <c r="H6" t="s">
        <v>88</v>
      </c>
    </row>
    <row r="7" spans="1:12" x14ac:dyDescent="0.3">
      <c r="A7" t="str">
        <f t="shared" ref="A7:A8" si="0">IF(ISBLANK(B7),"",IF(B7=C7,"Pass","Fail"))</f>
        <v>Pass</v>
      </c>
      <c r="B7">
        <v>64.400000000000006</v>
      </c>
      <c r="C7">
        <f>ROUND(FMC_heath(D7,E7,F7,G7),1)</f>
        <v>64.400000000000006</v>
      </c>
      <c r="D7">
        <v>25</v>
      </c>
      <c r="E7">
        <v>61</v>
      </c>
      <c r="F7">
        <v>5</v>
      </c>
      <c r="G7">
        <v>3</v>
      </c>
      <c r="H7" t="s">
        <v>88</v>
      </c>
    </row>
    <row r="8" spans="1:12" x14ac:dyDescent="0.3">
      <c r="A8" t="str">
        <f t="shared" si="0"/>
        <v>Pass</v>
      </c>
      <c r="B8">
        <v>6.3</v>
      </c>
      <c r="C8">
        <f>ROUND(FMC_heath(D8,E8,F8,G8),1)</f>
        <v>6.3</v>
      </c>
      <c r="D8">
        <v>30</v>
      </c>
      <c r="E8">
        <v>15</v>
      </c>
      <c r="F8">
        <v>0</v>
      </c>
      <c r="G8">
        <v>0</v>
      </c>
      <c r="H8" t="s">
        <v>88</v>
      </c>
    </row>
    <row r="10" spans="1:12" ht="100.05" customHeight="1" x14ac:dyDescent="0.3">
      <c r="A10" s="53" t="s">
        <v>107</v>
      </c>
      <c r="B10" s="54"/>
      <c r="C10" s="54"/>
      <c r="D10" s="54"/>
      <c r="E10" s="54"/>
      <c r="F10" s="54"/>
      <c r="G10" s="54"/>
      <c r="H10" s="54"/>
      <c r="I10" s="54"/>
      <c r="J10" s="54"/>
      <c r="K10" s="54"/>
      <c r="L10" s="54"/>
    </row>
    <row r="11" spans="1:12" x14ac:dyDescent="0.3">
      <c r="A11" s="39" t="s">
        <v>34</v>
      </c>
      <c r="B11" s="39" t="s">
        <v>33</v>
      </c>
      <c r="C11" s="39" t="s">
        <v>43</v>
      </c>
      <c r="D11" s="39" t="s">
        <v>105</v>
      </c>
      <c r="E11" s="39" t="s">
        <v>108</v>
      </c>
    </row>
    <row r="12" spans="1:12" x14ac:dyDescent="0.3">
      <c r="A12" t="str">
        <f>IF(ISBLANK(B12),"",IF(B12=C12,"Pass","Fail"))</f>
        <v>Pass</v>
      </c>
      <c r="B12">
        <v>0.73699999999999999</v>
      </c>
      <c r="C12">
        <f>ROUND(Mf_heath(D12),3)</f>
        <v>0.73699999999999999</v>
      </c>
      <c r="D12">
        <v>3</v>
      </c>
    </row>
    <row r="13" spans="1:12" x14ac:dyDescent="0.3">
      <c r="A13" t="str">
        <f t="shared" ref="A13:A17" si="1">IF(ISBLANK(B13),"",IF(B13=C13,"Pass","Fail"))</f>
        <v>Pass</v>
      </c>
      <c r="B13">
        <v>0.73699999999999999</v>
      </c>
      <c r="C13">
        <f t="shared" ref="C13:C17" si="2">ROUND(Mf_heath(D13),3)</f>
        <v>0.73699999999999999</v>
      </c>
      <c r="D13">
        <v>4</v>
      </c>
    </row>
    <row r="14" spans="1:12" x14ac:dyDescent="0.3">
      <c r="A14" t="str">
        <f t="shared" si="1"/>
        <v>Pass</v>
      </c>
      <c r="B14">
        <v>0.46700000000000003</v>
      </c>
      <c r="C14">
        <f t="shared" si="2"/>
        <v>0.46700000000000003</v>
      </c>
      <c r="D14">
        <v>10</v>
      </c>
    </row>
    <row r="15" spans="1:12" x14ac:dyDescent="0.3">
      <c r="A15" t="str">
        <f t="shared" si="1"/>
        <v>Pass</v>
      </c>
      <c r="B15">
        <v>0.23499999999999999</v>
      </c>
      <c r="C15">
        <f t="shared" si="2"/>
        <v>0.23499999999999999</v>
      </c>
      <c r="D15">
        <v>19</v>
      </c>
    </row>
    <row r="16" spans="1:12" x14ac:dyDescent="0.3">
      <c r="A16" t="str">
        <f t="shared" si="1"/>
        <v>Pass</v>
      </c>
      <c r="B16">
        <v>0.218</v>
      </c>
      <c r="C16">
        <f t="shared" si="2"/>
        <v>0.218</v>
      </c>
      <c r="D16">
        <v>20</v>
      </c>
    </row>
    <row r="17" spans="1:12" x14ac:dyDescent="0.3">
      <c r="A17" t="str">
        <f t="shared" si="1"/>
        <v>Pass</v>
      </c>
      <c r="B17">
        <v>0.05</v>
      </c>
      <c r="C17">
        <f t="shared" si="2"/>
        <v>0.05</v>
      </c>
      <c r="D17">
        <v>21</v>
      </c>
    </row>
    <row r="19" spans="1:12" ht="139.94999999999999" customHeight="1" x14ac:dyDescent="0.3">
      <c r="A19" s="53" t="s">
        <v>117</v>
      </c>
      <c r="B19" s="54"/>
      <c r="C19" s="54"/>
      <c r="D19" s="54"/>
      <c r="E19" s="54"/>
      <c r="F19" s="54"/>
      <c r="G19" s="54"/>
      <c r="H19" s="54"/>
      <c r="I19" s="54"/>
      <c r="J19" s="54"/>
      <c r="K19" s="54"/>
      <c r="L19" s="54"/>
    </row>
    <row r="20" spans="1:12" x14ac:dyDescent="0.3">
      <c r="A20" s="39" t="s">
        <v>34</v>
      </c>
      <c r="B20" s="39" t="s">
        <v>33</v>
      </c>
      <c r="C20" s="39" t="s">
        <v>43</v>
      </c>
      <c r="D20" s="39" t="s">
        <v>63</v>
      </c>
      <c r="E20" s="39" t="s">
        <v>104</v>
      </c>
      <c r="F20" s="39" t="s">
        <v>105</v>
      </c>
      <c r="G20" s="39" t="s">
        <v>106</v>
      </c>
      <c r="H20" s="39" t="s">
        <v>86</v>
      </c>
    </row>
    <row r="21" spans="1:12" x14ac:dyDescent="0.3">
      <c r="A21" t="str">
        <f>IF(ISBLANK(B21),"",IF(B21=C21,"Pass","Fail"))</f>
        <v>Pass</v>
      </c>
      <c r="B21">
        <v>927</v>
      </c>
      <c r="C21">
        <f>ROS_heath(D21,E21,F21,G21)</f>
        <v>927</v>
      </c>
      <c r="D21">
        <v>25</v>
      </c>
      <c r="E21">
        <v>2</v>
      </c>
      <c r="F21">
        <v>10</v>
      </c>
      <c r="G21" t="b">
        <v>1</v>
      </c>
      <c r="H21" t="s">
        <v>88</v>
      </c>
    </row>
    <row r="22" spans="1:12" x14ac:dyDescent="0.3">
      <c r="A22" t="str">
        <f>IF(ISBLANK(B22),"",IF(B22=C22,"Pass","Fail"))</f>
        <v>Pass</v>
      </c>
      <c r="B22">
        <v>1670</v>
      </c>
      <c r="C22">
        <f>ROS_heath(D22,E22,F22,G22)</f>
        <v>1670</v>
      </c>
      <c r="D22">
        <v>25</v>
      </c>
      <c r="E22">
        <v>2</v>
      </c>
      <c r="F22">
        <v>10</v>
      </c>
      <c r="G22" t="b">
        <v>0</v>
      </c>
      <c r="H22" t="s">
        <v>88</v>
      </c>
    </row>
    <row r="24" spans="1:12" ht="120" customHeight="1" x14ac:dyDescent="0.3">
      <c r="A24" s="53" t="s">
        <v>125</v>
      </c>
      <c r="B24" s="54"/>
      <c r="C24" s="54"/>
      <c r="D24" s="54"/>
      <c r="E24" s="54"/>
      <c r="F24" s="54"/>
      <c r="G24" s="54"/>
      <c r="H24" s="54"/>
      <c r="I24" s="54"/>
      <c r="J24" s="54"/>
      <c r="K24" s="54"/>
      <c r="L24" s="54"/>
    </row>
    <row r="25" spans="1:12" x14ac:dyDescent="0.3">
      <c r="A25" s="39" t="s">
        <v>34</v>
      </c>
      <c r="B25" s="39" t="s">
        <v>33</v>
      </c>
      <c r="C25" s="39" t="s">
        <v>43</v>
      </c>
      <c r="D25" s="39" t="s">
        <v>45</v>
      </c>
      <c r="E25" s="39" t="s">
        <v>86</v>
      </c>
    </row>
    <row r="26" spans="1:12" x14ac:dyDescent="0.3">
      <c r="A26" t="str">
        <f>IF(ISBLANK(B26),"",IF(B26=C26,"Pass","Fail"))</f>
        <v>Pass</v>
      </c>
      <c r="B26">
        <v>0</v>
      </c>
      <c r="C26">
        <f>ROUND(Flame_height_heath(D26),1)</f>
        <v>0</v>
      </c>
      <c r="D26">
        <v>0</v>
      </c>
    </row>
    <row r="27" spans="1:12" x14ac:dyDescent="0.3">
      <c r="A27" t="str">
        <f t="shared" ref="A27:A29" si="3">IF(ISBLANK(B27),"",IF(B27=C27,"Pass","Fail"))</f>
        <v>Pass</v>
      </c>
      <c r="B27">
        <v>1.2</v>
      </c>
      <c r="C27">
        <f t="shared" ref="C27:C29" si="4">ROUND(Flame_height_heath(D27),1)</f>
        <v>1.2</v>
      </c>
      <c r="D27">
        <v>900</v>
      </c>
    </row>
    <row r="28" spans="1:12" x14ac:dyDescent="0.3">
      <c r="A28" t="str">
        <f t="shared" si="3"/>
        <v>Pass</v>
      </c>
      <c r="B28">
        <v>5.0999999999999996</v>
      </c>
      <c r="C28">
        <f t="shared" si="4"/>
        <v>5.0999999999999996</v>
      </c>
      <c r="D28">
        <v>9000</v>
      </c>
    </row>
    <row r="29" spans="1:12" x14ac:dyDescent="0.3">
      <c r="A29" t="str">
        <f t="shared" si="3"/>
        <v>Pass</v>
      </c>
      <c r="B29">
        <v>21.7</v>
      </c>
      <c r="C29">
        <f t="shared" si="4"/>
        <v>21.7</v>
      </c>
      <c r="D29">
        <v>90000</v>
      </c>
    </row>
  </sheetData>
  <mergeCells count="4">
    <mergeCell ref="A4:L4"/>
    <mergeCell ref="A19:L19"/>
    <mergeCell ref="A10:L10"/>
    <mergeCell ref="A24:L24"/>
  </mergeCells>
  <conditionalFormatting sqref="A6:A8 A21:A22 A12:A17">
    <cfRule type="expression" dxfId="3" priority="7">
      <formula>$A6="Fail"</formula>
    </cfRule>
    <cfRule type="expression" dxfId="2" priority="8">
      <formula>$A$6="Pass"</formula>
    </cfRule>
  </conditionalFormatting>
  <conditionalFormatting sqref="A26:A29">
    <cfRule type="expression" dxfId="1" priority="1">
      <formula>$A26="Fail"</formula>
    </cfRule>
    <cfRule type="expression" dxfId="0" priority="2">
      <formula>$A$6="Pass"</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adbox"/>
  <dimension ref="A1:F9"/>
  <sheetViews>
    <sheetView workbookViewId="0"/>
  </sheetViews>
  <sheetFormatPr defaultRowHeight="14.4" x14ac:dyDescent="0.3"/>
  <cols>
    <col min="1" max="1" width="10.5546875" bestFit="1" customWidth="1"/>
    <col min="3" max="3" width="11.33203125" bestFit="1" customWidth="1"/>
  </cols>
  <sheetData>
    <row r="1" spans="1:6" x14ac:dyDescent="0.3">
      <c r="A1" t="s">
        <v>35</v>
      </c>
      <c r="B1" t="s">
        <v>36</v>
      </c>
      <c r="C1" s="1" t="s">
        <v>37</v>
      </c>
      <c r="D1" t="s">
        <v>38</v>
      </c>
    </row>
    <row r="2" spans="1:6" x14ac:dyDescent="0.3">
      <c r="A2" s="36">
        <v>2</v>
      </c>
      <c r="B2">
        <v>4</v>
      </c>
      <c r="C2" s="36">
        <f>A2+1</f>
        <v>3</v>
      </c>
      <c r="D2">
        <f>A2*B2</f>
        <v>8</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AFDRS</vt:lpstr>
      <vt:lpstr>tests_pine</vt:lpstr>
      <vt:lpstr>tables</vt:lpstr>
      <vt:lpstr>tests_general</vt:lpstr>
      <vt:lpstr>tests_forest</vt:lpstr>
      <vt:lpstr>tests_grass</vt:lpstr>
      <vt:lpstr>tests_heath</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2022-09-14T10:53:26Z</dcterms:modified>
</cp:coreProperties>
</file>