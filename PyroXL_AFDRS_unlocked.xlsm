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AFDRS!$H$15:$AM$15</definedName>
    <definedName name="overstorey_heath">AFDRS!$AC$4</definedName>
    <definedName name="rain_heath">AFDRS!$AC$2</definedName>
    <definedName name="rain_mallee">AFDRS!$AM$7</definedName>
    <definedName name="rh_row1">AFDRS!$D$15</definedName>
    <definedName name="state_grass">AFDRS!$P$3</definedName>
    <definedName name="submodel_forest">AFDRS!$M$10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r_heath">AFDRS!$AC$3</definedName>
    <definedName name="tsr_mallee">AFDRS!$AM$8</definedName>
    <definedName name="waf_forest">AFDRS!$J$2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AH17" i="1"/>
  <c r="N18" i="1"/>
  <c r="AC19" i="1"/>
  <c r="H20" i="1"/>
  <c r="AH21" i="1"/>
  <c r="N22" i="1"/>
  <c r="AC23" i="1"/>
  <c r="H24" i="1"/>
  <c r="AH25" i="1"/>
  <c r="N26" i="1"/>
  <c r="AC27" i="1"/>
  <c r="H28" i="1"/>
  <c r="AH29" i="1"/>
  <c r="N30" i="1"/>
  <c r="AM19" i="1"/>
  <c r="AM23" i="1"/>
  <c r="X17" i="1"/>
  <c r="X21" i="1"/>
  <c r="X25" i="1"/>
  <c r="X29" i="1"/>
  <c r="N28" i="1"/>
  <c r="H29" i="1"/>
  <c r="X18" i="1"/>
  <c r="U21" i="1"/>
  <c r="W21" i="1" s="1"/>
  <c r="S16" i="1"/>
  <c r="S20" i="1"/>
  <c r="S24" i="1"/>
  <c r="AM27" i="1"/>
  <c r="AM18" i="1"/>
  <c r="S19" i="1"/>
  <c r="AM22" i="1"/>
  <c r="S23" i="1"/>
  <c r="AM26" i="1"/>
  <c r="S27" i="1"/>
  <c r="AM30" i="1"/>
  <c r="AE29" i="1" a="1"/>
  <c r="X26" i="1"/>
  <c r="P27" i="1"/>
  <c r="R27" i="1" s="1"/>
  <c r="AH16" i="1"/>
  <c r="N17" i="1"/>
  <c r="AC18" i="1"/>
  <c r="Z18" i="1" s="1"/>
  <c r="H19" i="1"/>
  <c r="AH20" i="1"/>
  <c r="N21" i="1"/>
  <c r="AC22" i="1"/>
  <c r="Z22" i="1" s="1"/>
  <c r="H23" i="1"/>
  <c r="AH24" i="1"/>
  <c r="N25" i="1"/>
  <c r="AC26" i="1"/>
  <c r="Z26" i="1" s="1"/>
  <c r="H27" i="1"/>
  <c r="AH28" i="1"/>
  <c r="AE28" i="1" s="1" a="1"/>
  <c r="N29" i="1"/>
  <c r="AC30" i="1"/>
  <c r="Z30" i="1" s="1"/>
  <c r="AH26" i="1"/>
  <c r="X16" i="1"/>
  <c r="U16" i="1" s="1"/>
  <c r="X20" i="1"/>
  <c r="U20" i="1" s="1"/>
  <c r="X24" i="1"/>
  <c r="U24" i="1" s="1"/>
  <c r="X28" i="1"/>
  <c r="U28" i="1" s="1"/>
  <c r="AM29" i="1"/>
  <c r="H30" i="1"/>
  <c r="S29" i="1"/>
  <c r="AI26" i="1"/>
  <c r="U29" i="1"/>
  <c r="W29" i="1" s="1"/>
  <c r="AJ18" i="1"/>
  <c r="AK18" i="1" s="1"/>
  <c r="AL18" i="1" s="1"/>
  <c r="P23" i="1"/>
  <c r="R23" i="1" s="1"/>
  <c r="AJ26" i="1"/>
  <c r="AK26" i="1" s="1"/>
  <c r="AL26" i="1" s="1"/>
  <c r="AM17" i="1"/>
  <c r="S18" i="1"/>
  <c r="P18" i="1" s="1"/>
  <c r="R18" i="1" s="1"/>
  <c r="AM21" i="1"/>
  <c r="S22" i="1"/>
  <c r="P22" i="1" s="1"/>
  <c r="R22" i="1" s="1"/>
  <c r="AM25" i="1"/>
  <c r="S26" i="1"/>
  <c r="P26" i="1" s="1"/>
  <c r="R26" i="1" s="1"/>
  <c r="AE26" i="1" a="1"/>
  <c r="P29" i="1"/>
  <c r="S30" i="1"/>
  <c r="P30" i="1" s="1"/>
  <c r="R30" i="1" s="1"/>
  <c r="AH27" i="1"/>
  <c r="AE27" i="1" s="1" a="1"/>
  <c r="AC29" i="1"/>
  <c r="Z29" i="1" s="1"/>
  <c r="AM28" i="1"/>
  <c r="Z27" i="1"/>
  <c r="AI18" i="1"/>
  <c r="X22" i="1"/>
  <c r="AE20" i="1" a="1"/>
  <c r="AE24" i="1" a="1"/>
  <c r="S28" i="1"/>
  <c r="N16" i="1"/>
  <c r="AC17" i="1"/>
  <c r="Z17" i="1" s="1"/>
  <c r="H18" i="1"/>
  <c r="AH19" i="1"/>
  <c r="AE19" i="1" s="1" a="1"/>
  <c r="N20" i="1"/>
  <c r="AC21" i="1"/>
  <c r="Z21" i="1" s="1"/>
  <c r="H22" i="1"/>
  <c r="AH23" i="1"/>
  <c r="AE23" i="1" s="1" a="1"/>
  <c r="N24" i="1"/>
  <c r="AC25" i="1"/>
  <c r="Z25" i="1" s="1"/>
  <c r="H26" i="1"/>
  <c r="N27" i="1"/>
  <c r="AH30" i="1"/>
  <c r="AE30" i="1" s="1" a="1"/>
  <c r="AE16" i="1" a="1"/>
  <c r="AJ22" i="1"/>
  <c r="AK22" i="1" s="1"/>
  <c r="AL22" i="1" s="1"/>
  <c r="U18" i="1"/>
  <c r="X19" i="1"/>
  <c r="U19" i="1" s="1"/>
  <c r="U22" i="1"/>
  <c r="X23" i="1"/>
  <c r="U23" i="1" s="1"/>
  <c r="U26" i="1"/>
  <c r="W26" i="1" s="1"/>
  <c r="X27" i="1"/>
  <c r="U27" i="1" s="1"/>
  <c r="AI27" i="1"/>
  <c r="R29" i="1"/>
  <c r="H25" i="1"/>
  <c r="AI22" i="1"/>
  <c r="U25" i="1"/>
  <c r="W25" i="1" s="1"/>
  <c r="X30" i="1"/>
  <c r="U30" i="1" s="1"/>
  <c r="AJ30" i="1"/>
  <c r="AK30" i="1" s="1"/>
  <c r="AL30" i="1" s="1"/>
  <c r="P16" i="1"/>
  <c r="AM16" i="1"/>
  <c r="S17" i="1"/>
  <c r="P17" i="1" s="1"/>
  <c r="R17" i="1" s="1"/>
  <c r="AE17" i="1" a="1"/>
  <c r="V18" i="1"/>
  <c r="T18" i="1" s="1"/>
  <c r="AJ19" i="1"/>
  <c r="P20" i="1"/>
  <c r="R20" i="1" s="1"/>
  <c r="AM20" i="1"/>
  <c r="S21" i="1"/>
  <c r="P21" i="1" s="1"/>
  <c r="R21" i="1" s="1"/>
  <c r="AE21" i="1" a="1"/>
  <c r="V22" i="1"/>
  <c r="T22" i="1" s="1"/>
  <c r="AJ23" i="1"/>
  <c r="P24" i="1"/>
  <c r="AM24" i="1"/>
  <c r="S25" i="1"/>
  <c r="P25" i="1" s="1"/>
  <c r="R25" i="1" s="1"/>
  <c r="AE25" i="1" a="1"/>
  <c r="V26" i="1"/>
  <c r="T26" i="1" s="1"/>
  <c r="AJ27" i="1"/>
  <c r="AK27" i="1" s="1"/>
  <c r="P28" i="1"/>
  <c r="R28" i="1" s="1"/>
  <c r="AC28" i="1"/>
  <c r="Z28" i="1" s="1"/>
  <c r="U17" i="1"/>
  <c r="AL27" i="1"/>
  <c r="AI30" i="1"/>
  <c r="P19" i="1"/>
  <c r="R19" i="1" s="1"/>
  <c r="V21" i="1"/>
  <c r="V29" i="1"/>
  <c r="T29" i="1" s="1"/>
  <c r="AC16" i="1"/>
  <c r="Z16" i="1" s="1"/>
  <c r="H17" i="1"/>
  <c r="W18" i="1"/>
  <c r="AH18" i="1"/>
  <c r="AE18" i="1" s="1" a="1"/>
  <c r="N19" i="1"/>
  <c r="Z19" i="1"/>
  <c r="AK19" i="1"/>
  <c r="AC20" i="1"/>
  <c r="Z20" i="1" s="1"/>
  <c r="H21" i="1"/>
  <c r="T21" i="1"/>
  <c r="W22" i="1"/>
  <c r="AH22" i="1"/>
  <c r="AE22" i="1" s="1" a="1"/>
  <c r="N23" i="1"/>
  <c r="Z23" i="1"/>
  <c r="AK23" i="1"/>
  <c r="AC24" i="1"/>
  <c r="Z24" i="1" s="1"/>
  <c r="R16" i="1"/>
  <c r="R24" i="1"/>
  <c r="V25" i="1"/>
  <c r="T25" i="1" s="1"/>
  <c r="X15" i="1"/>
  <c r="J5" i="1"/>
  <c r="AH15" i="1"/>
  <c r="U15" i="1"/>
  <c r="AC15" i="1"/>
  <c r="Z15" i="1" s="1"/>
  <c r="V15" i="1"/>
  <c r="N15" i="1"/>
  <c r="AM15" i="1"/>
  <c r="AJ15" i="1" s="1"/>
  <c r="AC7" i="1"/>
  <c r="J4" i="1"/>
  <c r="J7" i="1"/>
  <c r="S15" i="1"/>
  <c r="Q3" i="1"/>
  <c r="J6" i="1"/>
  <c r="H15" i="1"/>
  <c r="P15" i="1"/>
  <c r="J15" i="1"/>
  <c r="T15" i="1"/>
  <c r="W15" i="1"/>
  <c r="Q15" i="1"/>
  <c r="R15" i="1"/>
  <c r="M15" i="1"/>
  <c r="W16" i="1"/>
  <c r="V16" i="1"/>
  <c r="T16" i="1" s="1"/>
  <c r="W20" i="1"/>
  <c r="V20" i="1"/>
  <c r="T20" i="1" s="1"/>
  <c r="W24" i="1"/>
  <c r="V24" i="1"/>
  <c r="T24" i="1" s="1"/>
  <c r="W28" i="1"/>
  <c r="V28" i="1"/>
  <c r="T28" i="1" s="1"/>
  <c r="AJ29" i="1"/>
  <c r="AK29" i="1" s="1"/>
  <c r="AJ17" i="1"/>
  <c r="AK17" i="1" s="1"/>
  <c r="AJ21" i="1"/>
  <c r="AK21" i="1" s="1"/>
  <c r="AJ25" i="1"/>
  <c r="AK25" i="1" s="1"/>
  <c r="AJ28" i="1"/>
  <c r="AK28" i="1"/>
  <c r="W19" i="1"/>
  <c r="V19" i="1"/>
  <c r="T19" i="1" s="1"/>
  <c r="W23" i="1"/>
  <c r="V23" i="1"/>
  <c r="T23" i="1" s="1"/>
  <c r="V27" i="1"/>
  <c r="T27" i="1" s="1"/>
  <c r="W27" i="1"/>
  <c r="V30" i="1"/>
  <c r="T30" i="1" s="1"/>
  <c r="W30" i="1"/>
  <c r="AJ16" i="1"/>
  <c r="AK16" i="1" s="1"/>
  <c r="AJ20" i="1"/>
  <c r="AK20" i="1" s="1"/>
  <c r="AJ24" i="1"/>
  <c r="AK24" i="1" s="1"/>
  <c r="V17" i="1"/>
  <c r="T17" i="1" s="1"/>
  <c r="W17" i="1"/>
  <c r="AI19" i="1"/>
  <c r="AL19" i="1"/>
  <c r="AL23" i="1"/>
  <c r="AI23" i="1"/>
  <c r="J29" i="1"/>
  <c r="J25" i="1"/>
  <c r="J30" i="1"/>
  <c r="J26" i="1"/>
  <c r="J22" i="1"/>
  <c r="J18" i="1"/>
  <c r="J21" i="1"/>
  <c r="J27" i="1"/>
  <c r="J23" i="1"/>
  <c r="J19" i="1"/>
  <c r="J17" i="1"/>
  <c r="J28" i="1"/>
  <c r="J24" i="1"/>
  <c r="J20" i="1"/>
  <c r="J16" i="1"/>
  <c r="AA27" i="1"/>
  <c r="AA24" i="1"/>
  <c r="AA23" i="1"/>
  <c r="AA20" i="1"/>
  <c r="AA19" i="1"/>
  <c r="AA16" i="1"/>
  <c r="AA28" i="1"/>
  <c r="AA25" i="1"/>
  <c r="AA21" i="1"/>
  <c r="AA17" i="1"/>
  <c r="AA29" i="1"/>
  <c r="AA30" i="1"/>
  <c r="AA26" i="1"/>
  <c r="AA22" i="1"/>
  <c r="AA18" i="1"/>
  <c r="AA15" i="1"/>
  <c r="Y15" i="1" s="1"/>
  <c r="Q28" i="1"/>
  <c r="O28" i="1" s="1"/>
  <c r="Q24" i="1"/>
  <c r="O24" i="1" s="1"/>
  <c r="Q20" i="1"/>
  <c r="O20" i="1" s="1"/>
  <c r="Q16" i="1"/>
  <c r="O16" i="1" s="1"/>
  <c r="Q25" i="1"/>
  <c r="O25" i="1" s="1"/>
  <c r="Q21" i="1"/>
  <c r="O21" i="1" s="1"/>
  <c r="Q17" i="1"/>
  <c r="O17" i="1" s="1"/>
  <c r="Q30" i="1"/>
  <c r="O30" i="1" s="1"/>
  <c r="Q26" i="1"/>
  <c r="O26" i="1" s="1"/>
  <c r="Q22" i="1"/>
  <c r="O22" i="1" s="1"/>
  <c r="Q18" i="1"/>
  <c r="O18" i="1" s="1"/>
  <c r="Q29" i="1"/>
  <c r="O29" i="1" s="1"/>
  <c r="Q27" i="1"/>
  <c r="O27" i="1" s="1"/>
  <c r="Q23" i="1"/>
  <c r="O23" i="1" s="1"/>
  <c r="Q19" i="1"/>
  <c r="O19" i="1" s="1"/>
  <c r="AL29" i="1"/>
  <c r="AI29" i="1"/>
  <c r="AL17" i="1"/>
  <c r="AI17" i="1"/>
  <c r="AL21" i="1"/>
  <c r="AI21" i="1"/>
  <c r="AL25" i="1"/>
  <c r="AI25" i="1"/>
  <c r="AL28" i="1"/>
  <c r="AI28" i="1"/>
  <c r="AL16" i="1"/>
  <c r="AI16" i="1"/>
  <c r="AL20" i="1"/>
  <c r="AI20" i="1"/>
  <c r="AL24" i="1"/>
  <c r="AI24" i="1"/>
  <c r="M29" i="1"/>
  <c r="L29" i="1"/>
  <c r="K29" i="1"/>
  <c r="I29" i="1" s="1"/>
  <c r="M25" i="1"/>
  <c r="L25" i="1"/>
  <c r="K25" i="1"/>
  <c r="I25" i="1" s="1"/>
  <c r="M30" i="1"/>
  <c r="L30" i="1"/>
  <c r="K30" i="1" s="1"/>
  <c r="I30" i="1" s="1"/>
  <c r="M26" i="1"/>
  <c r="L26" i="1"/>
  <c r="K26" i="1"/>
  <c r="I26" i="1" s="1"/>
  <c r="M22" i="1"/>
  <c r="L22" i="1"/>
  <c r="K22" i="1" s="1"/>
  <c r="I22" i="1" s="1"/>
  <c r="L18" i="1"/>
  <c r="K18" i="1" s="1"/>
  <c r="I18" i="1" s="1"/>
  <c r="M18" i="1"/>
  <c r="M21" i="1"/>
  <c r="L21" i="1"/>
  <c r="K21" i="1"/>
  <c r="I21" i="1" s="1"/>
  <c r="M27" i="1"/>
  <c r="L27" i="1"/>
  <c r="K27" i="1"/>
  <c r="I27" i="1" s="1"/>
  <c r="M23" i="1"/>
  <c r="L23" i="1"/>
  <c r="K23" i="1"/>
  <c r="I23" i="1" s="1"/>
  <c r="M19" i="1"/>
  <c r="L19" i="1"/>
  <c r="K19" i="1"/>
  <c r="I19" i="1" s="1"/>
  <c r="M17" i="1"/>
  <c r="L17" i="1"/>
  <c r="K17" i="1"/>
  <c r="I17" i="1" s="1"/>
  <c r="M28" i="1"/>
  <c r="L28" i="1"/>
  <c r="K28" i="1"/>
  <c r="I28" i="1" s="1"/>
  <c r="M24" i="1"/>
  <c r="L24" i="1"/>
  <c r="K24" i="1"/>
  <c r="I24" i="1" s="1"/>
  <c r="M20" i="1"/>
  <c r="L20" i="1"/>
  <c r="K20" i="1"/>
  <c r="I20" i="1" s="1"/>
  <c r="M16" i="1"/>
  <c r="L16" i="1"/>
  <c r="K16" i="1"/>
  <c r="I16" i="1" s="1"/>
  <c r="Y27" i="1"/>
  <c r="AB27" i="1"/>
  <c r="AB24" i="1"/>
  <c r="Y24" i="1"/>
  <c r="Y23" i="1"/>
  <c r="AB23" i="1"/>
  <c r="AB20" i="1"/>
  <c r="Y20" i="1"/>
  <c r="AB19" i="1"/>
  <c r="Y19" i="1"/>
  <c r="AB16" i="1"/>
  <c r="Y16" i="1"/>
  <c r="Y28" i="1"/>
  <c r="AB28" i="1"/>
  <c r="AB25" i="1"/>
  <c r="Y25" i="1"/>
  <c r="AB21" i="1"/>
  <c r="Y21" i="1"/>
  <c r="AB17" i="1"/>
  <c r="Y17" i="1"/>
  <c r="AB29" i="1"/>
  <c r="Y29" i="1"/>
  <c r="Y30" i="1"/>
  <c r="AB30" i="1"/>
  <c r="Y26" i="1"/>
  <c r="AB26" i="1"/>
  <c r="Y22" i="1"/>
  <c r="AB22" i="1"/>
  <c r="Y18" i="1"/>
  <c r="AB18" i="1"/>
  <c r="AE22" i="1" l="1"/>
  <c r="AF22" i="1"/>
  <c r="AG22" i="1"/>
  <c r="AE18" i="1"/>
  <c r="AF18" i="1"/>
  <c r="AG18" i="1"/>
  <c r="AG25" i="1"/>
  <c r="AF25" i="1"/>
  <c r="AE25" i="1"/>
  <c r="AG21" i="1"/>
  <c r="AF21" i="1"/>
  <c r="AE21" i="1"/>
  <c r="AF17" i="1"/>
  <c r="AG17" i="1"/>
  <c r="AE17" i="1"/>
  <c r="AE16" i="1"/>
  <c r="AF16" i="1"/>
  <c r="AG16" i="1"/>
  <c r="AG30" i="1"/>
  <c r="AE30" i="1"/>
  <c r="AF30" i="1"/>
  <c r="AE23" i="1"/>
  <c r="AF23" i="1"/>
  <c r="AG23" i="1"/>
  <c r="AE19" i="1"/>
  <c r="AF19" i="1"/>
  <c r="AG19" i="1"/>
  <c r="AE24" i="1"/>
  <c r="AF24" i="1"/>
  <c r="AG24" i="1"/>
  <c r="AE20" i="1"/>
  <c r="AF20" i="1"/>
  <c r="AG20" i="1"/>
  <c r="AE27" i="1"/>
  <c r="AF27" i="1"/>
  <c r="AG27" i="1"/>
  <c r="AE26" i="1"/>
  <c r="AF26" i="1"/>
  <c r="AG26" i="1"/>
  <c r="AE28" i="1"/>
  <c r="AF28" i="1"/>
  <c r="AG28" i="1"/>
  <c r="AF29" i="1"/>
  <c r="AE29" i="1"/>
  <c r="AG29" i="1"/>
  <c r="AD17" i="1"/>
  <c r="AD16" i="1"/>
  <c r="AD24" i="1"/>
  <c r="AD29" i="1"/>
  <c r="AD23" i="1"/>
  <c r="AD22" i="1"/>
  <c r="AD19" i="1"/>
  <c r="AD26" i="1"/>
  <c r="AD18" i="1"/>
  <c r="AD28" i="1"/>
  <c r="AD25" i="1"/>
  <c r="AD20" i="1"/>
  <c r="AD21" i="1"/>
  <c r="AD30" i="1"/>
  <c r="AD27" i="1"/>
  <c r="O15" i="1"/>
  <c r="AK15" i="1"/>
  <c r="L15" i="1"/>
  <c r="K15" i="1" s="1"/>
  <c r="AB15" i="1"/>
  <c r="AE15" i="1" a="1"/>
  <c r="AI15" i="1"/>
  <c r="AL15" i="1"/>
  <c r="AF15" i="1" l="1"/>
  <c r="AE15" i="1"/>
  <c r="AG15" i="1"/>
  <c r="AD15" i="1"/>
  <c r="I15" i="1"/>
</calcChain>
</file>

<file path=xl/sharedStrings.xml><?xml version="1.0" encoding="utf-8"?>
<sst xmlns="http://schemas.openxmlformats.org/spreadsheetml/2006/main" count="197" uniqueCount="132">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</sst>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0.0"/>
    <numFmt numFmtId="166" formatCode="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9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5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3" borderId="1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32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CD4AC"/>
      <color rgb="FFEBEFE5"/>
      <color rgb="FFC6D2B4"/>
      <color rgb="FF93C793"/>
      <color rgb="FFE3C3C3"/>
      <color rgb="FFF1E3E3"/>
      <color rgb="FFF4E8E8"/>
      <color rgb="FFDAAFAF"/>
      <color rgb="FFEFAFAF"/>
      <color rgb="FFE7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M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J12" sqref="J12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16384" width="8.88671875" style="9"/>
  </cols>
  <sheetData>
    <row r="1" spans="1:39" ht="18" x14ac:dyDescent="0.35">
      <c r="A1" s="90" t="s">
        <v>118</v>
      </c>
      <c r="B1" s="116"/>
      <c r="C1" s="117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</row>
    <row r="2" spans="1:39" x14ac:dyDescent="0.3">
      <c r="A2" s="90" t="s">
        <v>119</v>
      </c>
      <c r="B2" s="45">
        <v>44833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</row>
    <row r="3" spans="1:39" x14ac:dyDescent="0.3">
      <c r="A3" s="90" t="s">
        <v>120</v>
      </c>
      <c r="B3" s="46">
        <v>0.50690972222222219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03" t="s">
        <v>125</v>
      </c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</row>
    <row r="4" spans="1:39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2</v>
      </c>
      <c r="K4" s="24">
        <v>5</v>
      </c>
      <c r="O4" s="17" t="s">
        <v>21</v>
      </c>
      <c r="P4" s="25">
        <v>80</v>
      </c>
      <c r="Q4" s="7"/>
      <c r="V4" s="95" t="s">
        <v>123</v>
      </c>
      <c r="W4" s="103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</row>
    <row r="5" spans="1:39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1</v>
      </c>
      <c r="K5" s="24">
        <v>2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</row>
    <row r="6" spans="1:39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</row>
    <row r="7" spans="1:39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1</v>
      </c>
      <c r="K7" s="24">
        <v>1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</row>
    <row r="8" spans="1:39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</row>
    <row r="9" spans="1:39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39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39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3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39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39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</row>
    <row r="14" spans="1:39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</row>
    <row r="15" spans="1:39" s="70" customFormat="1" x14ac:dyDescent="0.3">
      <c r="A15" s="20">
        <v>43809</v>
      </c>
      <c r="B15" s="118">
        <v>0.41666666666666669</v>
      </c>
      <c r="C15" s="22">
        <v>28</v>
      </c>
      <c r="D15" s="22">
        <v>20</v>
      </c>
      <c r="E15" s="47">
        <v>315</v>
      </c>
      <c r="F15" s="22">
        <v>26</v>
      </c>
      <c r="G15" s="22">
        <v>10</v>
      </c>
      <c r="H15" s="82">
        <f>backbearing(E15)</f>
        <v>135</v>
      </c>
      <c r="I15" s="48">
        <f t="shared" ref="I15" si="1">fbi(K15,$I$1)</f>
        <v>16</v>
      </c>
      <c r="J15" s="49">
        <f>ROS_forest(F15,$J$4,$J$5,$J$10,N15,G15,$J$2,$G$13,$M$10)</f>
        <v>413.19362550679483</v>
      </c>
      <c r="K15" s="49">
        <f>Intensity_forest(J15,G15,L15,$K$4,$K$5,$K$6,$K$8,$J$12,$J$2,$G$13,$M$10)</f>
        <v>1921.3503077081934</v>
      </c>
      <c r="L15" s="50">
        <f>Flame_height_forest(J15,$J$11)</f>
        <v>10.971488952636719</v>
      </c>
      <c r="M15" s="48">
        <f>Spotting_forest(J15,F15,$J$4)</f>
        <v>48</v>
      </c>
      <c r="N15" s="50">
        <f>FMC_Forest(C15,D15,A15,B15)</f>
        <v>5.7200000000000006</v>
      </c>
      <c r="O15" s="51">
        <f>fbi(Q15,$O$1)</f>
        <v>26</v>
      </c>
      <c r="P15" s="52">
        <f>ROS_grass(F15,S15,$P$4,$P$3)</f>
        <v>4194.3173828125</v>
      </c>
      <c r="Q15" s="52">
        <f>Intensity(P15,$Q$3)</f>
        <v>9751.7876567049061</v>
      </c>
      <c r="R15" s="53">
        <f>Flame_height_grass(P15,$P$3)</f>
        <v>1.171639084815979</v>
      </c>
      <c r="S15" s="53">
        <f>FMC_Grass(C15,D15)</f>
        <v>6.5999999046325684</v>
      </c>
      <c r="T15" s="100">
        <f>fbi(V15,$T$1)</f>
        <v>15</v>
      </c>
      <c r="U15" s="101">
        <f t="shared" ref="U15" si="2">ROS_woodland(F15,X15,curing_woodland,subtype_woodland,fl_woodland,waf_woodland)</f>
        <v>2097.15869140625</v>
      </c>
      <c r="V15" s="101">
        <f t="shared" ref="V15" si="3">Intensity_woodland(U15,fl_woodland)</f>
        <v>4875.8938283524531</v>
      </c>
      <c r="W15" s="102">
        <f t="shared" ref="W15" si="4">Flame_height_woodland(U15,fl_woodland)</f>
        <v>0.95497065782546997</v>
      </c>
      <c r="X15" s="102">
        <f>FMC_woodland(C15,D15)</f>
        <v>6.5999999046325684</v>
      </c>
      <c r="Y15" s="54">
        <f>fbi(AA15,$Y$1)</f>
        <v>29</v>
      </c>
      <c r="Z15" s="55">
        <f>ROS_heath(F15,$AC$5,AC15,$AC$4)</f>
        <v>734.7096814291848</v>
      </c>
      <c r="AA15" s="55">
        <f>intensity_heath(Z15,tables!$C$19,$AC$7,0.2)</f>
        <v>7449.1490407575802</v>
      </c>
      <c r="AB15" s="56">
        <f>Flame_height_heath(AA15)</f>
        <v>4.4894772383429986</v>
      </c>
      <c r="AC15" s="56">
        <f>FMC_heath(C15,D15,$AC$2,$AC$3)</f>
        <v>6.75</v>
      </c>
      <c r="AD15" s="112">
        <f>fbi(AF15,$AD$1)</f>
        <v>49</v>
      </c>
      <c r="AE15" s="113">
        <f t="array" ref="AE15:AG15">fb_pine_ensemble(F15,AH15,G15,$G$13)</f>
        <v>1899.9783978813846</v>
      </c>
      <c r="AF15" s="113">
        <v>9954.713899942235</v>
      </c>
      <c r="AG15" s="114">
        <v>10.584225654602051</v>
      </c>
      <c r="AH15" s="114">
        <f>FMC_pine(C15,D15)</f>
        <v>6.1277999877929688</v>
      </c>
      <c r="AI15" s="79">
        <f>FBI_mallee(F15,AM15,$AM$4,AK15)</f>
        <v>9</v>
      </c>
      <c r="AJ15" s="88">
        <f>ROS_mallee(F15,AM15,$AM$4,$AM$5)</f>
        <v>830.34436924496549</v>
      </c>
      <c r="AK15" s="88">
        <f>Intensity(AJ15,fuel_load_mallee(F15,$AM$6,AM15,$AM$2,$AM$3))</f>
        <v>1347.8834935571131</v>
      </c>
      <c r="AL15" s="87">
        <f>flame_height_mallee(AK15)</f>
        <v>1.5213256813166676</v>
      </c>
      <c r="AM15" s="79">
        <f>FMC_mallee(C15,D15,A15,B15,$AM$7,$AM$8)</f>
        <v>7.95</v>
      </c>
    </row>
    <row r="16" spans="1:39" x14ac:dyDescent="0.3">
      <c r="A16" s="20">
        <v>43809</v>
      </c>
      <c r="B16" s="118">
        <v>0.45833333333333331</v>
      </c>
      <c r="C16" s="22">
        <v>30</v>
      </c>
      <c r="D16" s="22">
        <v>18</v>
      </c>
      <c r="E16" s="47">
        <v>315</v>
      </c>
      <c r="F16" s="22">
        <v>28</v>
      </c>
      <c r="G16" s="22">
        <v>10</v>
      </c>
      <c r="H16" s="82">
        <f t="shared" ref="H16:H30" si="5">backbearing(E16)</f>
        <v>135</v>
      </c>
      <c r="I16" s="48">
        <f t="shared" ref="I16:I30" si="6">fbi(K16,$I$1)</f>
        <v>17</v>
      </c>
      <c r="J16" s="49">
        <f t="shared" ref="J16:J30" si="7">ROS_forest(F16,$J$4,$J$5,$J$10,N16,G16,$J$2,$G$13,$M$10)</f>
        <v>498.10113738941686</v>
      </c>
      <c r="K16" s="49">
        <f t="shared" ref="K16:K30" si="8">Intensity_forest(J16,G16,L16,$K$4,$K$5,$K$6,$K$8,$J$12,$J$2,$G$13,$M$10)</f>
        <v>2316.1702275032294</v>
      </c>
      <c r="L16" s="50">
        <f t="shared" ref="L16:L30" si="9">Flame_height_forest(J16,$J$11)</f>
        <v>12.558769226074219</v>
      </c>
      <c r="M16" s="48">
        <f t="shared" ref="M16:M30" si="10">Spotting_forest(J16,F16,$J$4)</f>
        <v>114</v>
      </c>
      <c r="N16" s="50">
        <f t="shared" ref="N16:N30" si="11">FMC_Forest(C16,D16,A16,B16)</f>
        <v>5.2920000000000007</v>
      </c>
      <c r="O16" s="51">
        <f t="shared" ref="O16:O30" si="12">fbi(Q16,$O$1)</f>
        <v>30</v>
      </c>
      <c r="P16" s="52">
        <f t="shared" ref="P16:P30" si="13">ROS_grass(F16,S16,$P$4,$P$3)</f>
        <v>4839.3466796875</v>
      </c>
      <c r="Q16" s="52">
        <f t="shared" ref="Q16:Q30" si="14">Intensity(P16,$Q$3)</f>
        <v>11251.480732210979</v>
      </c>
      <c r="R16" s="53">
        <f t="shared" ref="R16:R30" si="15">Flame_height_grass(P16,$P$3)</f>
        <v>1.2221397161483765</v>
      </c>
      <c r="S16" s="53">
        <f t="shared" ref="S16:S30" si="16">FMC_Grass(C16,D16)</f>
        <v>5.9140000343322754</v>
      </c>
      <c r="T16" s="100">
        <f t="shared" ref="T16:T30" si="17">fbi(V16,$T$1)</f>
        <v>17</v>
      </c>
      <c r="U16" s="101">
        <f t="shared" ref="U16:U30" si="18">ROS_woodland(F16,X16,curing_woodland,subtype_woodland,fl_woodland,waf_woodland)</f>
        <v>2419.67333984375</v>
      </c>
      <c r="V16" s="101">
        <f t="shared" ref="V16:V30" si="19">Intensity_woodland(U16,fl_woodland)</f>
        <v>5625.7403661054896</v>
      </c>
      <c r="W16" s="102">
        <f t="shared" ref="W16:W30" si="20">Flame_height_woodland(U16,fl_woodland)</f>
        <v>0.99613231420516968</v>
      </c>
      <c r="X16" s="102">
        <f t="shared" ref="X16:X30" si="21">FMC_woodland(C16,D16)</f>
        <v>5.9140000343322754</v>
      </c>
      <c r="Y16" s="54">
        <f t="shared" ref="Y16:Y30" si="22">fbi(AA16,$Y$1)</f>
        <v>37</v>
      </c>
      <c r="Z16" s="55">
        <f t="shared" ref="Z16:Z30" si="23">ROS_heath(F16,$AC$5,AC16,$AC$4)</f>
        <v>1198.4367763743055</v>
      </c>
      <c r="AA16" s="55">
        <f>intensity_heath(Z16,tables!$C$19,$AC$7,0.2)</f>
        <v>12150.832347508313</v>
      </c>
      <c r="AB16" s="56">
        <f t="shared" ref="AB16:AB30" si="24">Flame_height_heath(AA16)</f>
        <v>6.1193863314817003</v>
      </c>
      <c r="AC16" s="56">
        <f t="shared" ref="AC16:AC30" si="25">FMC_heath(C16,D16,$AC$2,$AC$3)</f>
        <v>6.2820000000000009</v>
      </c>
      <c r="AD16" s="112">
        <f t="shared" ref="AD16:AD30" si="26">fbi(AF16,$AD$1)</f>
        <v>52</v>
      </c>
      <c r="AE16" s="113">
        <f t="array" ref="AE16:AG16">fb_pine_ensemble(F16,AH16,G16,$G$13)</f>
        <v>2130.5131487623348</v>
      </c>
      <c r="AF16" s="113">
        <v>11163.958498774025</v>
      </c>
      <c r="AG16" s="114">
        <v>10.815829277038574</v>
      </c>
      <c r="AH16" s="114">
        <f t="shared" ref="AH16:AH30" si="27">FMC_pine(C16,D16)</f>
        <v>5.8480000495910645</v>
      </c>
      <c r="AI16" s="79">
        <f t="shared" ref="AI16:AI30" si="28">FBI_mallee(F16,AM16,$AM$4,AK16)</f>
        <v>30</v>
      </c>
      <c r="AJ16" s="88">
        <f t="shared" ref="AJ16:AJ30" si="29">ROS_mallee(F16,AM16,$AM$4,$AM$5)</f>
        <v>2218.7029977207535</v>
      </c>
      <c r="AK16" s="88">
        <f>Intensity(AJ16,fuel_load_mallee(F16,$AM$6,AM16,$AM$2,$AM$3))</f>
        <v>4524.3292370048548</v>
      </c>
      <c r="AL16" s="87">
        <f t="shared" ref="AL16:AL30" si="30">flame_height_mallee(AK16)</f>
        <v>3.2742969630626018</v>
      </c>
      <c r="AM16" s="79">
        <f t="shared" ref="AM16:AM30" si="31">FMC_mallee(C16,D16,A16,B16,$AM$7,$AM$8)</f>
        <v>7.4039999999999999</v>
      </c>
    </row>
    <row r="17" spans="1:39" x14ac:dyDescent="0.3">
      <c r="A17" s="20">
        <v>43809</v>
      </c>
      <c r="B17" s="118">
        <v>0.5</v>
      </c>
      <c r="C17" s="22">
        <v>33</v>
      </c>
      <c r="D17" s="22">
        <v>16</v>
      </c>
      <c r="E17" s="47">
        <v>315</v>
      </c>
      <c r="F17" s="22">
        <v>32</v>
      </c>
      <c r="G17" s="22">
        <v>10</v>
      </c>
      <c r="H17" s="82">
        <f t="shared" si="5"/>
        <v>135</v>
      </c>
      <c r="I17" s="48">
        <f t="shared" si="6"/>
        <v>27</v>
      </c>
      <c r="J17" s="49">
        <f t="shared" si="7"/>
        <v>819.13051227344522</v>
      </c>
      <c r="K17" s="49">
        <f t="shared" si="8"/>
        <v>4867.0003595218222</v>
      </c>
      <c r="L17" s="50">
        <f t="shared" si="9"/>
        <v>17.994541168212891</v>
      </c>
      <c r="M17" s="48">
        <f t="shared" si="10"/>
        <v>744</v>
      </c>
      <c r="N17" s="50">
        <f t="shared" si="11"/>
        <v>4.1269</v>
      </c>
      <c r="O17" s="51">
        <f t="shared" si="12"/>
        <v>39</v>
      </c>
      <c r="P17" s="52">
        <f t="shared" si="13"/>
        <v>6024.34814453125</v>
      </c>
      <c r="Q17" s="52">
        <f t="shared" si="14"/>
        <v>14006.60906498672</v>
      </c>
      <c r="R17" s="53">
        <f t="shared" si="15"/>
        <v>1.3037137985229492</v>
      </c>
      <c r="S17" s="53">
        <f t="shared" si="16"/>
        <v>5.0229997634887695</v>
      </c>
      <c r="T17" s="100">
        <f t="shared" si="17"/>
        <v>20</v>
      </c>
      <c r="U17" s="101">
        <f t="shared" si="18"/>
        <v>3012.174072265625</v>
      </c>
      <c r="V17" s="101">
        <f t="shared" si="19"/>
        <v>7003.3045324933601</v>
      </c>
      <c r="W17" s="102">
        <f t="shared" si="20"/>
        <v>1.062620997428894</v>
      </c>
      <c r="X17" s="102">
        <f t="shared" si="21"/>
        <v>5.0229997634887695</v>
      </c>
      <c r="Y17" s="54">
        <f t="shared" si="22"/>
        <v>62</v>
      </c>
      <c r="Z17" s="55">
        <f t="shared" si="23"/>
        <v>2453.5886430985788</v>
      </c>
      <c r="AA17" s="55">
        <f>intensity_heath(Z17,tables!$C$19,$AC$7,0.2)</f>
        <v>24876.693405751888</v>
      </c>
      <c r="AB17" s="56">
        <f t="shared" si="24"/>
        <v>9.6313908167046645</v>
      </c>
      <c r="AC17" s="56">
        <f t="shared" si="25"/>
        <v>5.7139999999999995</v>
      </c>
      <c r="AD17" s="112">
        <f t="shared" si="26"/>
        <v>58</v>
      </c>
      <c r="AE17" s="113">
        <f t="array" ref="AE17:AG17">fb_pine_ensemble(F17,AH17,G17,$G$13)</f>
        <v>2542.3866653565774</v>
      </c>
      <c r="AF17" s="113">
        <v>13271.363565446491</v>
      </c>
      <c r="AG17" s="114">
        <v>11.197599411010742</v>
      </c>
      <c r="AH17" s="114">
        <f t="shared" si="27"/>
        <v>5.5471000671386719</v>
      </c>
      <c r="AI17" s="79">
        <f t="shared" si="28"/>
        <v>33</v>
      </c>
      <c r="AJ17" s="88">
        <f t="shared" si="29"/>
        <v>3191.6339927059148</v>
      </c>
      <c r="AK17" s="88">
        <f>Intensity(AJ17,fuel_load_mallee(F17,$AM$6,AM17,$AM$2,$AM$3))</f>
        <v>6596.0436832142659</v>
      </c>
      <c r="AL17" s="87">
        <f t="shared" si="30"/>
        <v>4.1567961400769642</v>
      </c>
      <c r="AM17" s="79">
        <f t="shared" si="31"/>
        <v>6.3259999999999996</v>
      </c>
    </row>
    <row r="18" spans="1:39" x14ac:dyDescent="0.3">
      <c r="A18" s="20">
        <v>43809</v>
      </c>
      <c r="B18" s="118">
        <v>0.54166666666666663</v>
      </c>
      <c r="C18" s="22">
        <v>34</v>
      </c>
      <c r="D18" s="22">
        <v>12</v>
      </c>
      <c r="E18" s="47">
        <v>315</v>
      </c>
      <c r="F18" s="22">
        <v>32</v>
      </c>
      <c r="G18" s="22">
        <v>10</v>
      </c>
      <c r="H18" s="82">
        <f t="shared" si="5"/>
        <v>135</v>
      </c>
      <c r="I18" s="48">
        <f t="shared" si="6"/>
        <v>28</v>
      </c>
      <c r="J18" s="49">
        <f t="shared" si="7"/>
        <v>858.39429730543679</v>
      </c>
      <c r="K18" s="49">
        <f t="shared" si="8"/>
        <v>5100.2926774169437</v>
      </c>
      <c r="L18" s="50">
        <f t="shared" si="9"/>
        <v>18.614101409912109</v>
      </c>
      <c r="M18" s="48">
        <f t="shared" si="10"/>
        <v>822</v>
      </c>
      <c r="N18" s="50">
        <f t="shared" si="11"/>
        <v>3.6121999999999992</v>
      </c>
      <c r="O18" s="51">
        <f t="shared" si="12"/>
        <v>39</v>
      </c>
      <c r="P18" s="52">
        <f t="shared" si="13"/>
        <v>6039.33056640625</v>
      </c>
      <c r="Q18" s="52">
        <f t="shared" si="14"/>
        <v>14041.443194923306</v>
      </c>
      <c r="R18" s="53">
        <f t="shared" si="15"/>
        <v>1.3046693801879883</v>
      </c>
      <c r="S18" s="53">
        <f t="shared" si="16"/>
        <v>5</v>
      </c>
      <c r="T18" s="100">
        <f t="shared" si="17"/>
        <v>20</v>
      </c>
      <c r="U18" s="101">
        <f t="shared" si="18"/>
        <v>3019.665283203125</v>
      </c>
      <c r="V18" s="101">
        <f t="shared" si="19"/>
        <v>7020.7215974616529</v>
      </c>
      <c r="W18" s="102">
        <f t="shared" si="20"/>
        <v>1.0633999109268188</v>
      </c>
      <c r="X18" s="102">
        <f t="shared" si="21"/>
        <v>5</v>
      </c>
      <c r="Y18" s="54">
        <f t="shared" si="22"/>
        <v>66</v>
      </c>
      <c r="Z18" s="55">
        <f t="shared" si="23"/>
        <v>2619.4690245326879</v>
      </c>
      <c r="AA18" s="55">
        <f>intensity_heath(Z18,tables!$C$19,$AC$7,0.2)</f>
        <v>26558.538242527047</v>
      </c>
      <c r="AB18" s="56">
        <f t="shared" si="24"/>
        <v>10.038607970502731</v>
      </c>
      <c r="AC18" s="56">
        <f t="shared" si="25"/>
        <v>5.0779999999999994</v>
      </c>
      <c r="AD18" s="112">
        <f t="shared" si="26"/>
        <v>61</v>
      </c>
      <c r="AE18" s="113">
        <f t="array" ref="AE18:AG18">fb_pine_ensemble(F18,AH18,G18,$G$13)</f>
        <v>2736.5405373872804</v>
      </c>
      <c r="AF18" s="113">
        <v>14413.256106607903</v>
      </c>
      <c r="AG18" s="114">
        <v>11.369119644165039</v>
      </c>
      <c r="AH18" s="114">
        <f t="shared" si="27"/>
        <v>5.0507998466491699</v>
      </c>
      <c r="AI18" s="79">
        <f t="shared" si="28"/>
        <v>34</v>
      </c>
      <c r="AJ18" s="88">
        <f t="shared" si="29"/>
        <v>3608.5679686995886</v>
      </c>
      <c r="AK18" s="88">
        <f>Intensity(AJ18,fuel_load_mallee(F18,$AM$6,AM18,$AM$2,$AM$3))</f>
        <v>7457.7072464409785</v>
      </c>
      <c r="AL18" s="87">
        <f t="shared" si="30"/>
        <v>4.4927414929109482</v>
      </c>
      <c r="AM18" s="79">
        <f t="shared" si="31"/>
        <v>5.6419999999999995</v>
      </c>
    </row>
    <row r="19" spans="1:39" x14ac:dyDescent="0.3">
      <c r="A19" s="20">
        <v>43809</v>
      </c>
      <c r="B19" s="118">
        <v>0.58333333333333337</v>
      </c>
      <c r="C19" s="22">
        <v>38</v>
      </c>
      <c r="D19" s="22">
        <v>10</v>
      </c>
      <c r="E19" s="47">
        <v>315</v>
      </c>
      <c r="F19" s="22">
        <v>35</v>
      </c>
      <c r="G19" s="22">
        <v>10</v>
      </c>
      <c r="H19" s="82">
        <f t="shared" si="5"/>
        <v>135</v>
      </c>
      <c r="I19" s="48">
        <f t="shared" si="6"/>
        <v>30</v>
      </c>
      <c r="J19" s="49">
        <f t="shared" si="7"/>
        <v>933.01513284486816</v>
      </c>
      <c r="K19" s="49">
        <f t="shared" si="8"/>
        <v>5543.6647993883853</v>
      </c>
      <c r="L19" s="50">
        <f t="shared" si="9"/>
        <v>19.770425796508789</v>
      </c>
      <c r="M19" s="48">
        <f t="shared" si="10"/>
        <v>927</v>
      </c>
      <c r="N19" s="50">
        <f t="shared" si="11"/>
        <v>3.2894000000000001</v>
      </c>
      <c r="O19" s="51">
        <f t="shared" si="12"/>
        <v>43</v>
      </c>
      <c r="P19" s="52">
        <f t="shared" si="13"/>
        <v>6552.11572265625</v>
      </c>
      <c r="Q19" s="52">
        <f t="shared" si="14"/>
        <v>15233.668651621367</v>
      </c>
      <c r="R19" s="53">
        <f t="shared" si="15"/>
        <v>1.3364150524139404</v>
      </c>
      <c r="S19" s="53">
        <f t="shared" si="16"/>
        <v>5</v>
      </c>
      <c r="T19" s="100">
        <f t="shared" si="17"/>
        <v>21</v>
      </c>
      <c r="U19" s="101">
        <f t="shared" si="18"/>
        <v>3276.057861328125</v>
      </c>
      <c r="V19" s="101">
        <f t="shared" si="19"/>
        <v>7616.8343258106834</v>
      </c>
      <c r="W19" s="102">
        <f t="shared" si="20"/>
        <v>1.0892748832702637</v>
      </c>
      <c r="X19" s="102">
        <f t="shared" si="21"/>
        <v>5</v>
      </c>
      <c r="Y19" s="54">
        <f t="shared" si="22"/>
        <v>96</v>
      </c>
      <c r="Z19" s="55">
        <f t="shared" si="23"/>
        <v>3806.0605284786698</v>
      </c>
      <c r="AA19" s="55">
        <f>intensity_heath(Z19,tables!$C$19,$AC$7,0.2)</f>
        <v>38589.27254045567</v>
      </c>
      <c r="AB19" s="56">
        <f t="shared" si="24"/>
        <v>12.717027441960123</v>
      </c>
      <c r="AC19" s="56">
        <f t="shared" si="25"/>
        <v>4.41</v>
      </c>
      <c r="AD19" s="112">
        <f t="shared" si="26"/>
        <v>66</v>
      </c>
      <c r="AE19" s="113">
        <f t="array" ref="AE19:AG19">fb_pine_ensemble(F19,AH19,G19,$G$13)</f>
        <v>3137.7934032893313</v>
      </c>
      <c r="AF19" s="113">
        <v>16514.950719843757</v>
      </c>
      <c r="AG19" s="114">
        <v>11.699270248413086</v>
      </c>
      <c r="AH19" s="114">
        <f t="shared" si="27"/>
        <v>4.7287998199462891</v>
      </c>
      <c r="AI19" s="79">
        <f t="shared" si="28"/>
        <v>36</v>
      </c>
      <c r="AJ19" s="88">
        <f t="shared" si="29"/>
        <v>4468.8770944131438</v>
      </c>
      <c r="AK19" s="88">
        <f>Intensity(AJ19,fuel_load_mallee(F19,$AM$6,AM19,$AM$2,$AM$3))</f>
        <v>9235.6794660761771</v>
      </c>
      <c r="AL19" s="87">
        <f t="shared" si="30"/>
        <v>5.1439180280736441</v>
      </c>
      <c r="AM19" s="79">
        <f t="shared" si="31"/>
        <v>4.9499999999999993</v>
      </c>
    </row>
    <row r="20" spans="1:39" x14ac:dyDescent="0.3">
      <c r="A20" s="20">
        <v>43809</v>
      </c>
      <c r="B20" s="118">
        <v>0.625</v>
      </c>
      <c r="C20" s="22">
        <v>34</v>
      </c>
      <c r="D20" s="22">
        <v>14</v>
      </c>
      <c r="E20" s="47">
        <v>315</v>
      </c>
      <c r="F20" s="22">
        <v>32</v>
      </c>
      <c r="G20" s="22">
        <v>10</v>
      </c>
      <c r="H20" s="82">
        <f t="shared" si="5"/>
        <v>135</v>
      </c>
      <c r="I20" s="48">
        <f t="shared" si="6"/>
        <v>28</v>
      </c>
      <c r="J20" s="49">
        <f t="shared" si="7"/>
        <v>858.39429730543679</v>
      </c>
      <c r="K20" s="49">
        <f t="shared" si="8"/>
        <v>5100.2926774169437</v>
      </c>
      <c r="L20" s="50">
        <f t="shared" si="9"/>
        <v>18.614101409912109</v>
      </c>
      <c r="M20" s="48">
        <f t="shared" si="10"/>
        <v>822</v>
      </c>
      <c r="N20" s="50">
        <f t="shared" si="11"/>
        <v>3.8601999999999994</v>
      </c>
      <c r="O20" s="51">
        <f t="shared" si="12"/>
        <v>39</v>
      </c>
      <c r="P20" s="52">
        <f t="shared" si="13"/>
        <v>6039.33056640625</v>
      </c>
      <c r="Q20" s="52">
        <f t="shared" si="14"/>
        <v>14041.443194923306</v>
      </c>
      <c r="R20" s="53">
        <f t="shared" si="15"/>
        <v>1.3046693801879883</v>
      </c>
      <c r="S20" s="53">
        <f t="shared" si="16"/>
        <v>5</v>
      </c>
      <c r="T20" s="100">
        <f t="shared" si="17"/>
        <v>20</v>
      </c>
      <c r="U20" s="101">
        <f t="shared" si="18"/>
        <v>3019.665283203125</v>
      </c>
      <c r="V20" s="101">
        <f t="shared" si="19"/>
        <v>7020.7215974616529</v>
      </c>
      <c r="W20" s="102">
        <f t="shared" si="20"/>
        <v>1.0633999109268188</v>
      </c>
      <c r="X20" s="102">
        <f t="shared" si="21"/>
        <v>5</v>
      </c>
      <c r="Y20" s="54">
        <f t="shared" si="22"/>
        <v>64</v>
      </c>
      <c r="Z20" s="55">
        <f t="shared" si="23"/>
        <v>2549.4870610822054</v>
      </c>
      <c r="AA20" s="55">
        <f>intensity_heath(Z20,tables!$C$19,$AC$7,0.2)</f>
        <v>25848.998013121833</v>
      </c>
      <c r="AB20" s="56">
        <f t="shared" si="24"/>
        <v>9.8679996721475423</v>
      </c>
      <c r="AC20" s="56">
        <f t="shared" si="25"/>
        <v>5.3460000000000001</v>
      </c>
      <c r="AD20" s="112">
        <f t="shared" si="26"/>
        <v>59</v>
      </c>
      <c r="AE20" s="113">
        <f t="array" ref="AE20:AG20">fb_pine_ensemble(F20,AH20,G20,$G$13)</f>
        <v>2641.5729506028301</v>
      </c>
      <c r="AF20" s="113">
        <v>13854.477467683264</v>
      </c>
      <c r="AG20" s="114">
        <v>11.286090850830078</v>
      </c>
      <c r="AH20" s="114">
        <f t="shared" si="27"/>
        <v>5.2884001731872559</v>
      </c>
      <c r="AI20" s="79">
        <f t="shared" si="28"/>
        <v>33</v>
      </c>
      <c r="AJ20" s="88">
        <f t="shared" si="29"/>
        <v>3424.2997870431477</v>
      </c>
      <c r="AK20" s="88">
        <f>Intensity(AJ20,fuel_load_mallee(F20,$AM$6,AM20,$AM$2,$AM$3))</f>
        <v>7076.8863320096616</v>
      </c>
      <c r="AL20" s="87">
        <f t="shared" si="30"/>
        <v>4.3461266837439743</v>
      </c>
      <c r="AM20" s="79">
        <f t="shared" si="31"/>
        <v>5.9339999999999993</v>
      </c>
    </row>
    <row r="21" spans="1:39" x14ac:dyDescent="0.3">
      <c r="A21" s="20">
        <v>43809</v>
      </c>
      <c r="B21" s="118">
        <v>0.64583333333333337</v>
      </c>
      <c r="C21" s="22">
        <v>28</v>
      </c>
      <c r="D21" s="22">
        <v>16</v>
      </c>
      <c r="E21" s="47">
        <v>270</v>
      </c>
      <c r="F21" s="22">
        <v>26</v>
      </c>
      <c r="G21" s="22">
        <v>10</v>
      </c>
      <c r="H21" s="82">
        <f t="shared" si="5"/>
        <v>90</v>
      </c>
      <c r="I21" s="48">
        <f t="shared" si="6"/>
        <v>23</v>
      </c>
      <c r="J21" s="49">
        <f t="shared" si="7"/>
        <v>650.96409549940961</v>
      </c>
      <c r="K21" s="49">
        <f t="shared" si="8"/>
        <v>3867.8115872379922</v>
      </c>
      <c r="L21" s="50">
        <f t="shared" si="9"/>
        <v>15.240114212036133</v>
      </c>
      <c r="M21" s="48">
        <f t="shared" si="10"/>
        <v>472</v>
      </c>
      <c r="N21" s="50">
        <f t="shared" si="11"/>
        <v>4.2203999999999997</v>
      </c>
      <c r="O21" s="51">
        <f t="shared" si="12"/>
        <v>28</v>
      </c>
      <c r="P21" s="52">
        <f t="shared" si="13"/>
        <v>4451.9697265625</v>
      </c>
      <c r="Q21" s="52">
        <f t="shared" si="14"/>
        <v>10350.829340054468</v>
      </c>
      <c r="R21" s="53">
        <f t="shared" si="15"/>
        <v>1.1924266815185547</v>
      </c>
      <c r="S21" s="53">
        <f t="shared" si="16"/>
        <v>6.0479998588562012</v>
      </c>
      <c r="T21" s="100">
        <f t="shared" si="17"/>
        <v>16</v>
      </c>
      <c r="U21" s="101">
        <f t="shared" si="18"/>
        <v>2225.98486328125</v>
      </c>
      <c r="V21" s="101">
        <f t="shared" si="19"/>
        <v>5175.414670027234</v>
      </c>
      <c r="W21" s="102">
        <f t="shared" si="20"/>
        <v>0.97191399335861206</v>
      </c>
      <c r="X21" s="102">
        <f t="shared" si="21"/>
        <v>6.0479998588562012</v>
      </c>
      <c r="Y21" s="54">
        <f t="shared" si="22"/>
        <v>30</v>
      </c>
      <c r="Z21" s="55">
        <f t="shared" si="23"/>
        <v>781.79793033534929</v>
      </c>
      <c r="AA21" s="55">
        <f>intensity_heath(Z21,tables!$C$19,$AC$7,0.2)</f>
        <v>7926.5721549977297</v>
      </c>
      <c r="AB21" s="56">
        <f t="shared" si="24"/>
        <v>4.6695316686792889</v>
      </c>
      <c r="AC21" s="56">
        <f t="shared" si="25"/>
        <v>6.2139999999999995</v>
      </c>
      <c r="AD21" s="112">
        <f t="shared" si="26"/>
        <v>51</v>
      </c>
      <c r="AE21" s="113">
        <f t="array" ref="AE21:AG21">fb_pine_ensemble(F21,AH21,G21,$G$13)</f>
        <v>2038.1322252868495</v>
      </c>
      <c r="AF21" s="113">
        <v>10772.873706345012</v>
      </c>
      <c r="AG21" s="114">
        <v>10.72673225402832</v>
      </c>
      <c r="AH21" s="114">
        <f t="shared" si="27"/>
        <v>5.6525998115539551</v>
      </c>
      <c r="AI21" s="79">
        <f t="shared" si="28"/>
        <v>30</v>
      </c>
      <c r="AJ21" s="88">
        <f t="shared" si="29"/>
        <v>2184.8469317994104</v>
      </c>
      <c r="AK21" s="88">
        <f>Intensity(AJ21,fuel_load_mallee(F21,$AM$6,AM21,$AM$2,$AM$3))</f>
        <v>4386.1325512242274</v>
      </c>
      <c r="AL21" s="87">
        <f t="shared" si="30"/>
        <v>3.2106281197155897</v>
      </c>
      <c r="AM21" s="79">
        <f t="shared" si="31"/>
        <v>6.8259999999999996</v>
      </c>
    </row>
    <row r="22" spans="1:39" x14ac:dyDescent="0.3">
      <c r="A22" s="20">
        <v>43809</v>
      </c>
      <c r="B22" s="118">
        <v>0.66666666666666663</v>
      </c>
      <c r="C22" s="22">
        <v>28</v>
      </c>
      <c r="D22" s="22">
        <v>18</v>
      </c>
      <c r="E22" s="47">
        <v>180</v>
      </c>
      <c r="F22" s="22">
        <v>50</v>
      </c>
      <c r="G22" s="22">
        <v>10</v>
      </c>
      <c r="H22" s="82">
        <f t="shared" si="5"/>
        <v>0</v>
      </c>
      <c r="I22" s="48">
        <f t="shared" si="6"/>
        <v>34</v>
      </c>
      <c r="J22" s="49">
        <f t="shared" si="7"/>
        <v>1094.8943620270361</v>
      </c>
      <c r="K22" s="49">
        <f t="shared" si="8"/>
        <v>6505.4971995050082</v>
      </c>
      <c r="L22" s="50">
        <f t="shared" si="9"/>
        <v>22.194869995117188</v>
      </c>
      <c r="M22" s="48">
        <f t="shared" si="10"/>
        <v>1055</v>
      </c>
      <c r="N22" s="50">
        <f t="shared" si="11"/>
        <v>4.4683999999999999</v>
      </c>
      <c r="O22" s="51">
        <f t="shared" si="12"/>
        <v>54</v>
      </c>
      <c r="P22" s="52">
        <f t="shared" si="13"/>
        <v>7810.7138671875</v>
      </c>
      <c r="Q22" s="52">
        <f t="shared" si="14"/>
        <v>18159.909260137618</v>
      </c>
      <c r="R22" s="53">
        <f t="shared" si="15"/>
        <v>1.4075133800506592</v>
      </c>
      <c r="S22" s="53">
        <f t="shared" si="16"/>
        <v>6.3239998817443848</v>
      </c>
      <c r="T22" s="100">
        <f t="shared" si="17"/>
        <v>24</v>
      </c>
      <c r="U22" s="101">
        <f t="shared" si="18"/>
        <v>3905.35693359375</v>
      </c>
      <c r="V22" s="101">
        <f t="shared" si="19"/>
        <v>9079.9546300688089</v>
      </c>
      <c r="W22" s="102">
        <f t="shared" si="20"/>
        <v>1.1472252607345581</v>
      </c>
      <c r="X22" s="102">
        <f t="shared" si="21"/>
        <v>6.3239998817443848</v>
      </c>
      <c r="Y22" s="54">
        <f t="shared" si="22"/>
        <v>128</v>
      </c>
      <c r="Z22" s="55">
        <f t="shared" si="23"/>
        <v>5337.4273545529268</v>
      </c>
      <c r="AA22" s="55">
        <f>intensity_heath(Z22,tables!$C$19,$AC$7,0.2)</f>
        <v>54115.649845446358</v>
      </c>
      <c r="AB22" s="56">
        <f t="shared" si="24"/>
        <v>15.752360335746456</v>
      </c>
      <c r="AC22" s="56">
        <f t="shared" si="25"/>
        <v>6.4820000000000011</v>
      </c>
      <c r="AD22" s="112">
        <f t="shared" si="26"/>
        <v>78</v>
      </c>
      <c r="AE22" s="113">
        <f t="array" ref="AE22:AG22">fb_pine_ensemble(F22,AH22,G22,$G$13)</f>
        <v>4109.0487693910927</v>
      </c>
      <c r="AF22" s="113">
        <v>21544.897056567763</v>
      </c>
      <c r="AG22" s="114">
        <v>14.072849273681641</v>
      </c>
      <c r="AH22" s="114">
        <f t="shared" si="27"/>
        <v>5.890200138092041</v>
      </c>
      <c r="AI22" s="79">
        <f t="shared" si="28"/>
        <v>36</v>
      </c>
      <c r="AJ22" s="88">
        <f t="shared" si="29"/>
        <v>4326.0553046792174</v>
      </c>
      <c r="AK22" s="88">
        <f>Intensity(AJ22,fuel_load_mallee(F22,$AM$6,AM22,$AM$2,$AM$3))</f>
        <v>8940.5144295610953</v>
      </c>
      <c r="AL22" s="87">
        <f t="shared" si="30"/>
        <v>5.039236300267528</v>
      </c>
      <c r="AM22" s="79">
        <f t="shared" si="31"/>
        <v>7.1180000000000003</v>
      </c>
    </row>
    <row r="23" spans="1:39" x14ac:dyDescent="0.3">
      <c r="A23" s="20">
        <v>43809</v>
      </c>
      <c r="B23" s="118">
        <v>0.6875</v>
      </c>
      <c r="C23" s="22">
        <v>28</v>
      </c>
      <c r="D23" s="22">
        <v>18</v>
      </c>
      <c r="E23" s="47">
        <v>180</v>
      </c>
      <c r="F23" s="22">
        <v>50</v>
      </c>
      <c r="G23" s="22">
        <v>10</v>
      </c>
      <c r="H23" s="82">
        <f t="shared" si="5"/>
        <v>0</v>
      </c>
      <c r="I23" s="48">
        <f t="shared" si="6"/>
        <v>34</v>
      </c>
      <c r="J23" s="49">
        <f t="shared" si="7"/>
        <v>1094.8943620270361</v>
      </c>
      <c r="K23" s="49">
        <f t="shared" si="8"/>
        <v>6505.4971995050082</v>
      </c>
      <c r="L23" s="50">
        <f t="shared" si="9"/>
        <v>22.194869995117188</v>
      </c>
      <c r="M23" s="48">
        <f t="shared" si="10"/>
        <v>1055</v>
      </c>
      <c r="N23" s="50">
        <f t="shared" si="11"/>
        <v>4.4683999999999999</v>
      </c>
      <c r="O23" s="51">
        <f t="shared" si="12"/>
        <v>54</v>
      </c>
      <c r="P23" s="52">
        <f t="shared" si="13"/>
        <v>7810.7138671875</v>
      </c>
      <c r="Q23" s="52">
        <f t="shared" si="14"/>
        <v>18159.909260137618</v>
      </c>
      <c r="R23" s="53">
        <f t="shared" si="15"/>
        <v>1.4075133800506592</v>
      </c>
      <c r="S23" s="53">
        <f t="shared" si="16"/>
        <v>6.3239998817443848</v>
      </c>
      <c r="T23" s="100">
        <f t="shared" si="17"/>
        <v>24</v>
      </c>
      <c r="U23" s="101">
        <f t="shared" si="18"/>
        <v>3905.35693359375</v>
      </c>
      <c r="V23" s="101">
        <f t="shared" si="19"/>
        <v>9079.9546300688089</v>
      </c>
      <c r="W23" s="102">
        <f t="shared" si="20"/>
        <v>1.1472252607345581</v>
      </c>
      <c r="X23" s="102">
        <f t="shared" si="21"/>
        <v>6.3239998817443848</v>
      </c>
      <c r="Y23" s="54">
        <f t="shared" si="22"/>
        <v>128</v>
      </c>
      <c r="Z23" s="55">
        <f t="shared" si="23"/>
        <v>5337.4273545529268</v>
      </c>
      <c r="AA23" s="55">
        <f>intensity_heath(Z23,tables!$C$19,$AC$7,0.2)</f>
        <v>54115.649845446358</v>
      </c>
      <c r="AB23" s="56">
        <f t="shared" si="24"/>
        <v>15.752360335746456</v>
      </c>
      <c r="AC23" s="56">
        <f t="shared" si="25"/>
        <v>6.4820000000000011</v>
      </c>
      <c r="AD23" s="112">
        <f t="shared" si="26"/>
        <v>78</v>
      </c>
      <c r="AE23" s="113">
        <f t="array" ref="AE23:AG23">fb_pine_ensemble(F23,AH23,G23,$G$13)</f>
        <v>4109.0487693910927</v>
      </c>
      <c r="AF23" s="113">
        <v>21544.897056567763</v>
      </c>
      <c r="AG23" s="114">
        <v>14.072849273681641</v>
      </c>
      <c r="AH23" s="114">
        <f t="shared" si="27"/>
        <v>5.890200138092041</v>
      </c>
      <c r="AI23" s="79">
        <f t="shared" si="28"/>
        <v>36</v>
      </c>
      <c r="AJ23" s="88">
        <f t="shared" si="29"/>
        <v>4326.0553046792174</v>
      </c>
      <c r="AK23" s="88">
        <f>Intensity(AJ23,fuel_load_mallee(F23,$AM$6,AM23,$AM$2,$AM$3))</f>
        <v>8940.5144295610953</v>
      </c>
      <c r="AL23" s="87">
        <f t="shared" si="30"/>
        <v>5.039236300267528</v>
      </c>
      <c r="AM23" s="79">
        <f t="shared" si="31"/>
        <v>7.1180000000000003</v>
      </c>
    </row>
    <row r="24" spans="1:39" x14ac:dyDescent="0.3">
      <c r="A24" s="20">
        <v>43809</v>
      </c>
      <c r="B24" s="118">
        <v>0.70833333333333337</v>
      </c>
      <c r="C24" s="22">
        <v>24</v>
      </c>
      <c r="D24" s="22">
        <v>28</v>
      </c>
      <c r="E24" s="47">
        <v>180</v>
      </c>
      <c r="F24" s="22">
        <v>30</v>
      </c>
      <c r="G24" s="22">
        <v>10</v>
      </c>
      <c r="H24" s="82">
        <f t="shared" si="5"/>
        <v>0</v>
      </c>
      <c r="I24" s="48">
        <f t="shared" si="6"/>
        <v>17</v>
      </c>
      <c r="J24" s="49">
        <f t="shared" si="7"/>
        <v>465.57632991509155</v>
      </c>
      <c r="K24" s="49">
        <f t="shared" si="8"/>
        <v>2164.9298767541181</v>
      </c>
      <c r="L24" s="50">
        <f t="shared" si="9"/>
        <v>11.960350036621094</v>
      </c>
      <c r="M24" s="48">
        <f t="shared" si="10"/>
        <v>28</v>
      </c>
      <c r="N24" s="50">
        <f t="shared" si="11"/>
        <v>5.783199999999999</v>
      </c>
      <c r="O24" s="51">
        <f t="shared" si="12"/>
        <v>24</v>
      </c>
      <c r="P24" s="52">
        <f t="shared" si="13"/>
        <v>3890.615234375</v>
      </c>
      <c r="Q24" s="52">
        <f t="shared" si="14"/>
        <v>9045.6801802931768</v>
      </c>
      <c r="R24" s="53">
        <f t="shared" si="15"/>
        <v>1.1459460258483887</v>
      </c>
      <c r="S24" s="53">
        <f t="shared" si="16"/>
        <v>8.5240001678466797</v>
      </c>
      <c r="T24" s="100">
        <f t="shared" si="17"/>
        <v>15</v>
      </c>
      <c r="U24" s="101">
        <f t="shared" si="18"/>
        <v>1945.3076171875</v>
      </c>
      <c r="V24" s="101">
        <f t="shared" si="19"/>
        <v>4522.8400901465884</v>
      </c>
      <c r="W24" s="102">
        <f t="shared" si="20"/>
        <v>0.93402892351150513</v>
      </c>
      <c r="X24" s="102">
        <f t="shared" si="21"/>
        <v>8.5240001678466797</v>
      </c>
      <c r="Y24" s="54">
        <f t="shared" si="22"/>
        <v>39</v>
      </c>
      <c r="Z24" s="55">
        <f t="shared" si="23"/>
        <v>1343.0001386688971</v>
      </c>
      <c r="AA24" s="55">
        <f>intensity_heath(Z24,tables!$C$19,$AC$7,0.2)</f>
        <v>13616.546028415132</v>
      </c>
      <c r="AB24" s="56">
        <f t="shared" si="24"/>
        <v>6.5768303700658874</v>
      </c>
      <c r="AC24" s="56">
        <f t="shared" si="25"/>
        <v>8.2219999999999995</v>
      </c>
      <c r="AD24" s="112">
        <f t="shared" si="26"/>
        <v>48</v>
      </c>
      <c r="AE24" s="113">
        <f t="array" ref="AE24:AG24">fb_pine_ensemble(F24,AH24,G24,$G$13)</f>
        <v>1885.5360285477009</v>
      </c>
      <c r="AF24" s="113">
        <v>9571.5303740376021</v>
      </c>
      <c r="AG24" s="114">
        <v>10.560721397399902</v>
      </c>
      <c r="AH24" s="114">
        <f t="shared" si="27"/>
        <v>7.162600040435791</v>
      </c>
      <c r="AI24" s="79" t="e">
        <f t="shared" si="28"/>
        <v>#VALUE!</v>
      </c>
      <c r="AJ24" s="88">
        <f t="shared" si="29"/>
        <v>1347.5402171767601</v>
      </c>
      <c r="AK24" s="88">
        <f>Intensity(AJ24,fuel_load_mallee(F24,$AM$6,AM24,$AM$2,$AM$3))</f>
        <v>2489.3076068373052</v>
      </c>
      <c r="AL24" s="87">
        <f t="shared" si="30"/>
        <v>2.2432102895174304</v>
      </c>
      <c r="AM24" s="79">
        <f t="shared" si="31"/>
        <v>8.9779999999999998</v>
      </c>
    </row>
    <row r="25" spans="1:39" x14ac:dyDescent="0.3">
      <c r="A25" s="20">
        <v>43809</v>
      </c>
      <c r="B25" s="118">
        <v>0.75</v>
      </c>
      <c r="C25" s="22">
        <v>16</v>
      </c>
      <c r="D25" s="22">
        <v>34</v>
      </c>
      <c r="E25" s="22">
        <v>180</v>
      </c>
      <c r="F25" s="22">
        <v>28</v>
      </c>
      <c r="G25" s="22">
        <v>10</v>
      </c>
      <c r="H25" s="82">
        <f t="shared" si="5"/>
        <v>0</v>
      </c>
      <c r="I25" s="48">
        <f t="shared" si="6"/>
        <v>13</v>
      </c>
      <c r="J25" s="49">
        <f t="shared" si="7"/>
        <v>239.93520976817641</v>
      </c>
      <c r="K25" s="49">
        <f t="shared" si="8"/>
        <v>1115.6986958660975</v>
      </c>
      <c r="L25" s="50">
        <f t="shared" si="9"/>
        <v>7.4061832427978516</v>
      </c>
      <c r="M25" s="48">
        <f t="shared" si="10"/>
        <v>278</v>
      </c>
      <c r="N25" s="50">
        <f t="shared" si="11"/>
        <v>8.6259999999999994</v>
      </c>
      <c r="O25" s="51">
        <f t="shared" si="12"/>
        <v>19</v>
      </c>
      <c r="P25" s="52">
        <f t="shared" si="13"/>
        <v>2796.464111328125</v>
      </c>
      <c r="Q25" s="52">
        <f t="shared" si="14"/>
        <v>6501.7788865995662</v>
      </c>
      <c r="R25" s="53">
        <f t="shared" si="15"/>
        <v>1.0395814180374146</v>
      </c>
      <c r="S25" s="53">
        <f t="shared" si="16"/>
        <v>10.991999626159668</v>
      </c>
      <c r="T25" s="100">
        <f t="shared" si="17"/>
        <v>12</v>
      </c>
      <c r="U25" s="101">
        <f t="shared" si="18"/>
        <v>1398.2320556640625</v>
      </c>
      <c r="V25" s="101">
        <f t="shared" si="19"/>
        <v>3250.8894432997831</v>
      </c>
      <c r="W25" s="102">
        <f t="shared" si="20"/>
        <v>0.84733402729034424</v>
      </c>
      <c r="X25" s="102">
        <f t="shared" si="21"/>
        <v>10.991999626159668</v>
      </c>
      <c r="Y25" s="54">
        <f t="shared" si="22"/>
        <v>29</v>
      </c>
      <c r="Z25" s="55">
        <f t="shared" si="23"/>
        <v>710.09784849020923</v>
      </c>
      <c r="AA25" s="55">
        <f>intensity_heath(Z25,tables!$C$19,$AC$7,0.2)</f>
        <v>7199.6120925414889</v>
      </c>
      <c r="AB25" s="56">
        <f t="shared" si="24"/>
        <v>4.3936849731628564</v>
      </c>
      <c r="AC25" s="56">
        <f t="shared" si="25"/>
        <v>9.8260000000000023</v>
      </c>
      <c r="AD25" s="112">
        <f t="shared" si="26"/>
        <v>40</v>
      </c>
      <c r="AE25" s="113">
        <f t="array" ref="AE25:AG25">fb_pine_ensemble(F25,AH25,G25,$G$13)</f>
        <v>1553.3047645178679</v>
      </c>
      <c r="AF25" s="113">
        <v>7768.815840507893</v>
      </c>
      <c r="AG25" s="114">
        <v>10.193905830383301</v>
      </c>
      <c r="AH25" s="114">
        <f t="shared" si="27"/>
        <v>8.0441999435424805</v>
      </c>
      <c r="AI25" s="79">
        <f t="shared" si="28"/>
        <v>2</v>
      </c>
      <c r="AJ25" s="88">
        <f t="shared" si="29"/>
        <v>0</v>
      </c>
      <c r="AK25" s="88">
        <f>Intensity(AJ25,fuel_load_mallee(F25,$AM$6,AM25,$AM$2,$AM$3))</f>
        <v>0</v>
      </c>
      <c r="AL25" s="87">
        <f t="shared" si="30"/>
        <v>0</v>
      </c>
      <c r="AM25" s="79">
        <f t="shared" si="31"/>
        <v>11.572000000000001</v>
      </c>
    </row>
    <row r="26" spans="1:39" x14ac:dyDescent="0.3">
      <c r="A26" s="20">
        <v>43809</v>
      </c>
      <c r="B26" s="118">
        <v>0.79166666666666663</v>
      </c>
      <c r="C26" s="22">
        <v>14</v>
      </c>
      <c r="D26" s="22">
        <v>45</v>
      </c>
      <c r="E26" s="22">
        <v>180</v>
      </c>
      <c r="F26" s="22">
        <v>24</v>
      </c>
      <c r="G26" s="22">
        <v>10</v>
      </c>
      <c r="H26" s="82">
        <f t="shared" si="5"/>
        <v>0</v>
      </c>
      <c r="I26" s="48">
        <f t="shared" si="6"/>
        <v>10</v>
      </c>
      <c r="J26" s="49">
        <f t="shared" si="7"/>
        <v>137.98976686138869</v>
      </c>
      <c r="K26" s="49">
        <f t="shared" si="8"/>
        <v>641.65239890747318</v>
      </c>
      <c r="L26" s="50">
        <f t="shared" si="9"/>
        <v>4.9647316932678223</v>
      </c>
      <c r="M26" s="48">
        <f t="shared" si="10"/>
        <v>50</v>
      </c>
      <c r="N26" s="50">
        <f t="shared" si="11"/>
        <v>11.313800000000001</v>
      </c>
      <c r="O26" s="51">
        <f t="shared" si="12"/>
        <v>15</v>
      </c>
      <c r="P26" s="52">
        <f t="shared" si="13"/>
        <v>2003.029541015625</v>
      </c>
      <c r="Q26" s="52">
        <f t="shared" si="14"/>
        <v>4657.0435594918017</v>
      </c>
      <c r="R26" s="53">
        <f t="shared" si="15"/>
        <v>0.94212073087692261</v>
      </c>
      <c r="S26" s="53">
        <f t="shared" si="16"/>
        <v>12.920000076293945</v>
      </c>
      <c r="T26" s="100">
        <f t="shared" si="17"/>
        <v>10</v>
      </c>
      <c r="U26" s="101">
        <f t="shared" si="18"/>
        <v>1001.5147705078125</v>
      </c>
      <c r="V26" s="101">
        <f t="shared" si="19"/>
        <v>2328.5217797459009</v>
      </c>
      <c r="W26" s="102">
        <f t="shared" si="20"/>
        <v>0.76789653301239014</v>
      </c>
      <c r="X26" s="102">
        <f t="shared" si="21"/>
        <v>12.920000076293945</v>
      </c>
      <c r="Y26" s="54">
        <f t="shared" si="22"/>
        <v>16</v>
      </c>
      <c r="Z26" s="55">
        <f t="shared" si="23"/>
        <v>192.58190397076774</v>
      </c>
      <c r="AA26" s="55">
        <f>intensity_heath(Z26,tables!$C$19,$AC$7,0.2)</f>
        <v>1952.5689418445272</v>
      </c>
      <c r="AB26" s="56">
        <f t="shared" si="24"/>
        <v>1.9235615730829798</v>
      </c>
      <c r="AC26" s="56">
        <f t="shared" si="25"/>
        <v>11.5</v>
      </c>
      <c r="AD26" s="112">
        <f t="shared" si="26"/>
        <v>30</v>
      </c>
      <c r="AE26" s="113">
        <f t="array" ref="AE26:AG26">fb_pine_ensemble(F26,AH26,G26,$G$13)</f>
        <v>1103.8886426225481</v>
      </c>
      <c r="AF26" s="113">
        <v>5403.1825328663972</v>
      </c>
      <c r="AG26" s="114">
        <v>9.6250286102294922</v>
      </c>
      <c r="AH26" s="114">
        <f t="shared" si="27"/>
        <v>9.3931999206542969</v>
      </c>
      <c r="AI26" s="79">
        <f t="shared" si="28"/>
        <v>0</v>
      </c>
      <c r="AJ26" s="88">
        <f t="shared" si="29"/>
        <v>0</v>
      </c>
      <c r="AK26" s="88">
        <f>Intensity(AJ26,fuel_load_mallee(F26,$AM$6,AM26,$AM$2,$AM$3))</f>
        <v>0</v>
      </c>
      <c r="AL26" s="87">
        <f t="shared" si="30"/>
        <v>0</v>
      </c>
      <c r="AM26" s="79">
        <f t="shared" si="31"/>
        <v>13.674999999999999</v>
      </c>
    </row>
    <row r="27" spans="1:39" x14ac:dyDescent="0.3">
      <c r="A27" s="20">
        <v>43809</v>
      </c>
      <c r="B27" s="118">
        <v>0.83333333333333337</v>
      </c>
      <c r="C27" s="22">
        <v>14</v>
      </c>
      <c r="D27" s="22">
        <v>50</v>
      </c>
      <c r="E27" s="22">
        <v>180</v>
      </c>
      <c r="F27" s="22">
        <v>25</v>
      </c>
      <c r="G27" s="22">
        <v>10</v>
      </c>
      <c r="H27" s="82">
        <f t="shared" si="5"/>
        <v>0</v>
      </c>
      <c r="I27" s="48">
        <f t="shared" si="6"/>
        <v>10</v>
      </c>
      <c r="J27" s="49">
        <f t="shared" si="7"/>
        <v>126.61913214616418</v>
      </c>
      <c r="K27" s="49">
        <f t="shared" si="8"/>
        <v>588.77894888234744</v>
      </c>
      <c r="L27" s="50">
        <f t="shared" si="9"/>
        <v>4.6654496192932129</v>
      </c>
      <c r="M27" s="48">
        <f t="shared" si="10"/>
        <v>50</v>
      </c>
      <c r="N27" s="50">
        <f t="shared" si="11"/>
        <v>12.303800000000001</v>
      </c>
      <c r="O27" s="51">
        <f t="shared" si="12"/>
        <v>15</v>
      </c>
      <c r="P27" s="52">
        <f t="shared" si="13"/>
        <v>1951.8477783203125</v>
      </c>
      <c r="Q27" s="52">
        <f t="shared" si="14"/>
        <v>4538.0459643775603</v>
      </c>
      <c r="R27" s="53">
        <f t="shared" si="15"/>
        <v>0.93495422601699829</v>
      </c>
      <c r="S27" s="53">
        <f t="shared" si="16"/>
        <v>13.609999656677246</v>
      </c>
      <c r="T27" s="100">
        <f t="shared" si="17"/>
        <v>10</v>
      </c>
      <c r="U27" s="101">
        <f t="shared" si="18"/>
        <v>975.92388916015625</v>
      </c>
      <c r="V27" s="101">
        <f t="shared" si="19"/>
        <v>2269.0229821887801</v>
      </c>
      <c r="W27" s="102">
        <f t="shared" si="20"/>
        <v>0.76205527782440186</v>
      </c>
      <c r="X27" s="102">
        <f t="shared" si="21"/>
        <v>13.609999656677246</v>
      </c>
      <c r="Y27" s="54">
        <f t="shared" si="22"/>
        <v>17</v>
      </c>
      <c r="Z27" s="55">
        <f t="shared" si="23"/>
        <v>207.20138425178919</v>
      </c>
      <c r="AA27" s="55">
        <f>intensity_heath(Z27,tables!$C$19,$AC$7,0.2)</f>
        <v>2100.7944113931298</v>
      </c>
      <c r="AB27" s="56">
        <f t="shared" si="24"/>
        <v>2.014749447147048</v>
      </c>
      <c r="AC27" s="56">
        <f t="shared" si="25"/>
        <v>12.170000000000002</v>
      </c>
      <c r="AD27" s="112">
        <f t="shared" si="26"/>
        <v>28</v>
      </c>
      <c r="AE27" s="113">
        <f t="array" ref="AE27:AG27">fb_pine_ensemble(F27,AH27,G27,$G$13)</f>
        <v>1062.0576374289572</v>
      </c>
      <c r="AF27" s="113">
        <v>5096.1593424945249</v>
      </c>
      <c r="AG27" s="114">
        <v>9.5608367919921875</v>
      </c>
      <c r="AH27" s="114">
        <f t="shared" si="27"/>
        <v>9.9871997833251953</v>
      </c>
      <c r="AI27" s="79">
        <f t="shared" si="28"/>
        <v>0</v>
      </c>
      <c r="AJ27" s="88">
        <f t="shared" si="29"/>
        <v>0</v>
      </c>
      <c r="AK27" s="88">
        <f>Intensity(AJ27,fuel_load_mallee(F27,$AM$6,AM27,$AM$2,$AM$3))</f>
        <v>0</v>
      </c>
      <c r="AL27" s="87">
        <f t="shared" si="30"/>
        <v>0</v>
      </c>
      <c r="AM27" s="79">
        <f t="shared" si="31"/>
        <v>14.539999999999997</v>
      </c>
    </row>
    <row r="28" spans="1:39" x14ac:dyDescent="0.3">
      <c r="A28" s="20">
        <v>43809</v>
      </c>
      <c r="B28" s="118">
        <v>0.875</v>
      </c>
      <c r="C28" s="22">
        <v>12</v>
      </c>
      <c r="D28" s="22">
        <v>60</v>
      </c>
      <c r="E28" s="22">
        <v>180</v>
      </c>
      <c r="F28" s="22">
        <v>20</v>
      </c>
      <c r="G28" s="22">
        <v>10</v>
      </c>
      <c r="H28" s="82">
        <f t="shared" si="5"/>
        <v>0</v>
      </c>
      <c r="I28" s="48">
        <f t="shared" si="6"/>
        <v>8</v>
      </c>
      <c r="J28" s="49">
        <f t="shared" si="7"/>
        <v>80.596471459046128</v>
      </c>
      <c r="K28" s="49">
        <f t="shared" si="8"/>
        <v>374.77358235645477</v>
      </c>
      <c r="L28" s="50">
        <f t="shared" si="9"/>
        <v>3.3655261993408203</v>
      </c>
      <c r="M28" s="48">
        <f t="shared" si="10"/>
        <v>50</v>
      </c>
      <c r="N28" s="50">
        <f t="shared" si="11"/>
        <v>14.380400000000002</v>
      </c>
      <c r="O28" s="51">
        <f t="shared" si="12"/>
        <v>12</v>
      </c>
      <c r="P28" s="52">
        <f t="shared" si="13"/>
        <v>1305.150634765625</v>
      </c>
      <c r="Q28" s="52">
        <f t="shared" si="14"/>
        <v>3034.475145443937</v>
      </c>
      <c r="R28" s="53">
        <f t="shared" si="15"/>
        <v>0.83028781414031982</v>
      </c>
      <c r="S28" s="53">
        <f t="shared" si="16"/>
        <v>15.399999618530273</v>
      </c>
      <c r="T28" s="100">
        <f t="shared" si="17"/>
        <v>8</v>
      </c>
      <c r="U28" s="101">
        <f t="shared" si="18"/>
        <v>652.5753173828125</v>
      </c>
      <c r="V28" s="101">
        <f t="shared" si="19"/>
        <v>1517.2375727219685</v>
      </c>
      <c r="W28" s="102">
        <f t="shared" si="20"/>
        <v>0.67674463987350464</v>
      </c>
      <c r="X28" s="102">
        <f t="shared" si="21"/>
        <v>15.399999618530273</v>
      </c>
      <c r="Y28" s="54">
        <f t="shared" si="22"/>
        <v>9</v>
      </c>
      <c r="Z28" s="55">
        <f t="shared" si="23"/>
        <v>32.503488704851591</v>
      </c>
      <c r="AA28" s="55">
        <f>intensity_heath(Z28,tables!$C$19,$AC$7,0.2)</f>
        <v>329.54966815740431</v>
      </c>
      <c r="AB28" s="56">
        <f t="shared" si="24"/>
        <v>0.62372933793683139</v>
      </c>
      <c r="AC28" s="56">
        <f t="shared" si="25"/>
        <v>13.710000000000003</v>
      </c>
      <c r="AD28" s="112">
        <f t="shared" si="26"/>
        <v>16</v>
      </c>
      <c r="AE28" s="113">
        <f t="array" ref="AE28:AG28">fb_pine_ensemble(F28,AH28,G28,$G$13)</f>
        <v>545.51286627894353</v>
      </c>
      <c r="AF28" s="113">
        <v>1879.6142918239927</v>
      </c>
      <c r="AG28" s="114">
        <v>4.2957282066345215</v>
      </c>
      <c r="AH28" s="114">
        <f t="shared" si="27"/>
        <v>11.217399597167969</v>
      </c>
      <c r="AI28" s="79">
        <f t="shared" si="28"/>
        <v>0</v>
      </c>
      <c r="AJ28" s="88">
        <f t="shared" si="29"/>
        <v>0</v>
      </c>
      <c r="AK28" s="88">
        <f>Intensity(AJ28,fuel_load_mallee(F28,$AM$6,AM28,$AM$2,$AM$3))</f>
        <v>0</v>
      </c>
      <c r="AL28" s="87">
        <f t="shared" si="30"/>
        <v>0</v>
      </c>
      <c r="AM28" s="79">
        <f t="shared" si="31"/>
        <v>16.47</v>
      </c>
    </row>
    <row r="29" spans="1:39" x14ac:dyDescent="0.3">
      <c r="A29" s="20">
        <v>43809</v>
      </c>
      <c r="B29" s="118">
        <v>0.91666666666666663</v>
      </c>
      <c r="C29" s="22">
        <v>10</v>
      </c>
      <c r="D29" s="22">
        <v>65</v>
      </c>
      <c r="E29" s="22">
        <v>180</v>
      </c>
      <c r="F29" s="22">
        <v>15</v>
      </c>
      <c r="G29" s="22">
        <v>10</v>
      </c>
      <c r="H29" s="82">
        <f t="shared" si="5"/>
        <v>0</v>
      </c>
      <c r="I29" s="48">
        <f t="shared" si="6"/>
        <v>7</v>
      </c>
      <c r="J29" s="49">
        <f t="shared" si="7"/>
        <v>53.745867413959971</v>
      </c>
      <c r="K29" s="49">
        <f t="shared" si="8"/>
        <v>249.91827685434032</v>
      </c>
      <c r="L29" s="50">
        <f t="shared" si="9"/>
        <v>2.5108802318572998</v>
      </c>
      <c r="M29" s="48">
        <f t="shared" si="10"/>
        <v>50</v>
      </c>
      <c r="N29" s="50">
        <f t="shared" si="11"/>
        <v>15.467000000000001</v>
      </c>
      <c r="O29" s="51">
        <f t="shared" si="12"/>
        <v>9</v>
      </c>
      <c r="P29" s="52">
        <f t="shared" si="13"/>
        <v>852.8604736328125</v>
      </c>
      <c r="Q29" s="52">
        <f t="shared" si="14"/>
        <v>1982.900548667362</v>
      </c>
      <c r="R29" s="53">
        <f t="shared" si="15"/>
        <v>0.73234850168228149</v>
      </c>
      <c r="S29" s="53">
        <f t="shared" si="16"/>
        <v>16.5</v>
      </c>
      <c r="T29" s="100">
        <f t="shared" si="17"/>
        <v>7</v>
      </c>
      <c r="U29" s="101">
        <f t="shared" si="18"/>
        <v>426.43023681640625</v>
      </c>
      <c r="V29" s="101">
        <f t="shared" si="19"/>
        <v>991.45027433368102</v>
      </c>
      <c r="W29" s="102">
        <f t="shared" si="20"/>
        <v>0.59691697359085083</v>
      </c>
      <c r="X29" s="102">
        <f t="shared" si="21"/>
        <v>16.5</v>
      </c>
      <c r="Y29" s="54">
        <f t="shared" si="22"/>
        <v>3</v>
      </c>
      <c r="Z29" s="55">
        <f t="shared" si="23"/>
        <v>2.5345954779811053</v>
      </c>
      <c r="AA29" s="55">
        <f>intensity_heath(Z29,tables!$C$19,$AC$7,0.2)</f>
        <v>25.69801371990123</v>
      </c>
      <c r="AB29" s="56">
        <f t="shared" si="24"/>
        <v>0.12405625749445706</v>
      </c>
      <c r="AC29" s="56">
        <f t="shared" si="25"/>
        <v>16.335000000000001</v>
      </c>
      <c r="AD29" s="112">
        <f t="shared" si="26"/>
        <v>11</v>
      </c>
      <c r="AE29" s="113">
        <f t="array" ref="AE29:AG29">fb_pine_ensemble(F29,AH29,G29,$G$13)</f>
        <v>315.9374924212126</v>
      </c>
      <c r="AF29" s="113">
        <v>659.56572011196056</v>
      </c>
      <c r="AG29" s="114">
        <v>1.3076916933059692</v>
      </c>
      <c r="AH29" s="114">
        <f t="shared" si="27"/>
        <v>11.853599548339844</v>
      </c>
      <c r="AI29" s="79">
        <f t="shared" si="28"/>
        <v>0</v>
      </c>
      <c r="AJ29" s="88">
        <f t="shared" si="29"/>
        <v>0</v>
      </c>
      <c r="AK29" s="88">
        <f>Intensity(AJ29,fuel_load_mallee(F29,$AM$6,AM29,$AM$2,$AM$3))</f>
        <v>0</v>
      </c>
      <c r="AL29" s="87">
        <f t="shared" si="30"/>
        <v>0</v>
      </c>
      <c r="AM29" s="79">
        <f t="shared" si="31"/>
        <v>17.535</v>
      </c>
    </row>
    <row r="30" spans="1:39" x14ac:dyDescent="0.3">
      <c r="A30" s="20">
        <v>43809</v>
      </c>
      <c r="B30" s="118">
        <v>0.95833333333333337</v>
      </c>
      <c r="C30" s="22">
        <v>10</v>
      </c>
      <c r="D30" s="22">
        <v>70</v>
      </c>
      <c r="E30" s="22">
        <v>180</v>
      </c>
      <c r="F30" s="22">
        <v>10</v>
      </c>
      <c r="G30" s="22">
        <v>10</v>
      </c>
      <c r="H30" s="82">
        <f t="shared" si="5"/>
        <v>0</v>
      </c>
      <c r="I30" s="48">
        <f t="shared" si="6"/>
        <v>6</v>
      </c>
      <c r="J30" s="49">
        <f t="shared" si="7"/>
        <v>30.780622800472852</v>
      </c>
      <c r="K30" s="49">
        <f t="shared" si="8"/>
        <v>143.12989223055138</v>
      </c>
      <c r="L30" s="50">
        <f t="shared" si="9"/>
        <v>1.6780737638473511</v>
      </c>
      <c r="M30" s="48">
        <f t="shared" si="10"/>
        <v>50</v>
      </c>
      <c r="N30" s="50">
        <f t="shared" si="11"/>
        <v>16.457000000000001</v>
      </c>
      <c r="O30" s="51">
        <f t="shared" si="12"/>
        <v>7</v>
      </c>
      <c r="P30" s="52">
        <f t="shared" si="13"/>
        <v>305.70745849609375</v>
      </c>
      <c r="Q30" s="52">
        <f t="shared" si="14"/>
        <v>710.76982217444731</v>
      </c>
      <c r="R30" s="53">
        <f t="shared" si="15"/>
        <v>0.54109567403793335</v>
      </c>
      <c r="S30" s="53">
        <f t="shared" si="16"/>
        <v>17.190000534057617</v>
      </c>
      <c r="T30" s="100">
        <f t="shared" si="17"/>
        <v>6</v>
      </c>
      <c r="U30" s="101">
        <f t="shared" si="18"/>
        <v>152.85372924804688</v>
      </c>
      <c r="V30" s="101">
        <f t="shared" si="19"/>
        <v>355.38491108722366</v>
      </c>
      <c r="W30" s="102">
        <f t="shared" si="20"/>
        <v>0.44103211164474487</v>
      </c>
      <c r="X30" s="102">
        <f t="shared" si="21"/>
        <v>17.190000534057617</v>
      </c>
      <c r="Y30" s="54">
        <f t="shared" si="22"/>
        <v>0</v>
      </c>
      <c r="Z30" s="55">
        <f t="shared" si="23"/>
        <v>0.33236092440804677</v>
      </c>
      <c r="AA30" s="55">
        <f>intensity_heath(Z30,tables!$C$19,$AC$7,0.2)</f>
        <v>3.3697746522455971</v>
      </c>
      <c r="AB30" s="56">
        <f t="shared" si="24"/>
        <v>3.428653518233412E-2</v>
      </c>
      <c r="AC30" s="56">
        <f t="shared" si="25"/>
        <v>17.14</v>
      </c>
      <c r="AD30" s="112">
        <f t="shared" si="26"/>
        <v>9</v>
      </c>
      <c r="AE30" s="113">
        <f t="array" ref="AE30:AG30">fb_pine_ensemble(F30,AH30,G30,$G$13)</f>
        <v>196.15473597016228</v>
      </c>
      <c r="AF30" s="113">
        <v>464.3407193102837</v>
      </c>
      <c r="AG30" s="114">
        <v>1.075542688369751</v>
      </c>
      <c r="AH30" s="114">
        <f t="shared" si="27"/>
        <v>12.447600364685059</v>
      </c>
      <c r="AI30" s="79">
        <f t="shared" si="28"/>
        <v>0</v>
      </c>
      <c r="AJ30" s="88">
        <f t="shared" si="29"/>
        <v>0</v>
      </c>
      <c r="AK30" s="88">
        <f>Intensity(AJ30,fuel_load_mallee(F30,$AM$6,AM30,$AM$2,$AM$3))</f>
        <v>0</v>
      </c>
      <c r="AL30" s="87">
        <f t="shared" si="30"/>
        <v>0</v>
      </c>
      <c r="AM30" s="79">
        <f t="shared" si="31"/>
        <v>18.399999999999999</v>
      </c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1">
    <mergeCell ref="B1:C1"/>
  </mergeCells>
  <conditionalFormatting sqref="O31:Q60 O15:O1048576">
    <cfRule type="expression" dxfId="31" priority="25">
      <formula>$O15&gt;=100</formula>
    </cfRule>
    <cfRule type="expression" dxfId="30" priority="26">
      <formula>$O15&gt;=50</formula>
    </cfRule>
    <cfRule type="expression" dxfId="29" priority="27">
      <formula>$O15&gt;=24</formula>
    </cfRule>
    <cfRule type="expression" dxfId="28" priority="28">
      <formula>$O15&gt;=12</formula>
    </cfRule>
  </conditionalFormatting>
  <conditionalFormatting sqref="I15:I1048576">
    <cfRule type="expression" dxfId="27" priority="29">
      <formula>$I15&gt;=100</formula>
    </cfRule>
    <cfRule type="expression" dxfId="26" priority="30">
      <formula>$I15&gt;50</formula>
    </cfRule>
    <cfRule type="expression" dxfId="25" priority="31">
      <formula>$I15&gt;=24</formula>
    </cfRule>
    <cfRule type="expression" dxfId="24" priority="32">
      <formula>$I15&gt;=12</formula>
    </cfRule>
  </conditionalFormatting>
  <conditionalFormatting sqref="Y60:Y179 Y15:Y30">
    <cfRule type="expression" dxfId="23" priority="24">
      <formula>$Y15&gt;=12</formula>
    </cfRule>
  </conditionalFormatting>
  <conditionalFormatting sqref="Y60:Y179 Y15:Y30">
    <cfRule type="expression" dxfId="22" priority="21">
      <formula>$Y15&gt;=100</formula>
    </cfRule>
    <cfRule type="expression" dxfId="21" priority="22">
      <formula>$Y15&gt;=50</formula>
    </cfRule>
    <cfRule type="expression" dxfId="20" priority="23">
      <formula>$Y15&gt;=24</formula>
    </cfRule>
  </conditionalFormatting>
  <conditionalFormatting sqref="AD57:AD179 AD15:AD30">
    <cfRule type="expression" dxfId="19" priority="20">
      <formula>$AD15&gt;=12</formula>
    </cfRule>
  </conditionalFormatting>
  <conditionalFormatting sqref="AD57:AD179 AD15:AD30">
    <cfRule type="expression" dxfId="18" priority="17">
      <formula>$AD15&gt;=100</formula>
    </cfRule>
    <cfRule type="expression" dxfId="17" priority="18">
      <formula>$AD15&gt;=50</formula>
    </cfRule>
    <cfRule type="expression" dxfId="16" priority="19">
      <formula>$AD15&gt;=24</formula>
    </cfRule>
  </conditionalFormatting>
  <conditionalFormatting sqref="AI15:AI30">
    <cfRule type="expression" dxfId="15" priority="16">
      <formula>AI15&gt;=12</formula>
    </cfRule>
  </conditionalFormatting>
  <conditionalFormatting sqref="AI15:AI30">
    <cfRule type="expression" dxfId="14" priority="13">
      <formula>AI15&gt;=100</formula>
    </cfRule>
    <cfRule type="expression" dxfId="13" priority="14">
      <formula>AI15&gt;=50</formula>
    </cfRule>
    <cfRule type="expression" dxfId="12" priority="15">
      <formula>AI15&gt;=24</formula>
    </cfRule>
  </conditionalFormatting>
  <conditionalFormatting sqref="Y31:AA59">
    <cfRule type="expression" dxfId="11" priority="12">
      <formula>$Y31&gt;=12</formula>
    </cfRule>
  </conditionalFormatting>
  <conditionalFormatting sqref="Y31:AA59">
    <cfRule type="expression" dxfId="10" priority="9">
      <formula>$Y31&gt;=100</formula>
    </cfRule>
    <cfRule type="expression" dxfId="9" priority="10">
      <formula>$Y31&gt;=50</formula>
    </cfRule>
    <cfRule type="expression" dxfId="8" priority="11">
      <formula>$Y31&gt;=24</formula>
    </cfRule>
  </conditionalFormatting>
  <conditionalFormatting sqref="AD31:AE56">
    <cfRule type="expression" dxfId="7" priority="8">
      <formula>$AD31&gt;=12</formula>
    </cfRule>
  </conditionalFormatting>
  <conditionalFormatting sqref="AD31:AE56">
    <cfRule type="expression" dxfId="6" priority="5">
      <formula>$AD31&gt;=100</formula>
    </cfRule>
    <cfRule type="expression" dxfId="5" priority="6">
      <formula>$AD31&gt;=50</formula>
    </cfRule>
    <cfRule type="expression" dxfId="4" priority="7">
      <formula>$AD31&gt;=24</formula>
    </cfRule>
  </conditionalFormatting>
  <conditionalFormatting sqref="T15:T30">
    <cfRule type="expression" dxfId="3" priority="1">
      <formula>$O15&gt;=100</formula>
    </cfRule>
    <cfRule type="expression" dxfId="2" priority="2">
      <formula>$O15&gt;=50</formula>
    </cfRule>
    <cfRule type="expression" dxfId="1" priority="3">
      <formula>$O15&gt;=24</formula>
    </cfRule>
    <cfRule type="expression" dxfId="0" priority="4">
      <formula>$O15&gt;=12</formula>
    </cfRule>
  </conditionalFormatting>
  <dataValidations count="23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tables!$M$2:$M$6</xm:f>
          </x14:formula1>
          <xm:sqref>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M28"/>
  <sheetViews>
    <sheetView workbookViewId="0">
      <selection activeCell="M7" sqref="M7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3" x14ac:dyDescent="0.3">
      <c r="A1" s="27" t="s">
        <v>47</v>
      </c>
      <c r="F1" t="s">
        <v>17</v>
      </c>
      <c r="H1" t="s">
        <v>54</v>
      </c>
      <c r="I1" t="s">
        <v>56</v>
      </c>
      <c r="K1" s="27" t="s">
        <v>101</v>
      </c>
      <c r="M1" s="27" t="s">
        <v>124</v>
      </c>
    </row>
    <row r="2" spans="1:13" x14ac:dyDescent="0.3">
      <c r="A2" s="27" t="s">
        <v>60</v>
      </c>
      <c r="B2" s="27" t="s">
        <v>58</v>
      </c>
      <c r="C2" s="27" t="s">
        <v>59</v>
      </c>
      <c r="D2" s="27" t="s">
        <v>63</v>
      </c>
      <c r="F2" t="s">
        <v>18</v>
      </c>
      <c r="H2" t="b">
        <v>1</v>
      </c>
      <c r="I2">
        <v>0.35</v>
      </c>
      <c r="K2" t="s">
        <v>102</v>
      </c>
      <c r="M2" t="s">
        <v>125</v>
      </c>
    </row>
    <row r="3" spans="1:13" x14ac:dyDescent="0.3">
      <c r="A3" t="s">
        <v>70</v>
      </c>
      <c r="B3" t="s">
        <v>42</v>
      </c>
      <c r="C3">
        <v>30</v>
      </c>
      <c r="D3" t="s">
        <v>71</v>
      </c>
      <c r="F3" t="s">
        <v>19</v>
      </c>
      <c r="H3" t="b">
        <v>0</v>
      </c>
      <c r="I3">
        <v>0.66700000000000004</v>
      </c>
      <c r="K3" t="s">
        <v>103</v>
      </c>
      <c r="M3" t="s">
        <v>126</v>
      </c>
    </row>
    <row r="4" spans="1:13" x14ac:dyDescent="0.3">
      <c r="A4" t="s">
        <v>70</v>
      </c>
      <c r="B4" t="s">
        <v>41</v>
      </c>
      <c r="C4">
        <v>25</v>
      </c>
      <c r="D4" t="s">
        <v>72</v>
      </c>
      <c r="F4" t="s">
        <v>20</v>
      </c>
      <c r="M4" t="s">
        <v>127</v>
      </c>
    </row>
    <row r="5" spans="1:13" x14ac:dyDescent="0.3">
      <c r="A5" t="s">
        <v>70</v>
      </c>
      <c r="B5" t="s">
        <v>66</v>
      </c>
      <c r="C5">
        <v>25</v>
      </c>
      <c r="D5" t="s">
        <v>80</v>
      </c>
      <c r="M5" t="s">
        <v>128</v>
      </c>
    </row>
    <row r="6" spans="1:13" x14ac:dyDescent="0.3">
      <c r="A6" t="s">
        <v>70</v>
      </c>
      <c r="B6" t="s">
        <v>37</v>
      </c>
      <c r="C6">
        <v>20</v>
      </c>
      <c r="D6" t="s">
        <v>81</v>
      </c>
      <c r="M6" t="s">
        <v>129</v>
      </c>
    </row>
    <row r="7" spans="1:13" x14ac:dyDescent="0.3">
      <c r="A7" t="s">
        <v>29</v>
      </c>
      <c r="B7" t="s">
        <v>31</v>
      </c>
      <c r="C7">
        <v>8</v>
      </c>
      <c r="D7" t="s">
        <v>82</v>
      </c>
    </row>
    <row r="8" spans="1:13" x14ac:dyDescent="0.3">
      <c r="A8" t="s">
        <v>29</v>
      </c>
      <c r="B8" t="s">
        <v>39</v>
      </c>
      <c r="C8">
        <v>3</v>
      </c>
      <c r="D8" t="s">
        <v>73</v>
      </c>
    </row>
    <row r="9" spans="1:13" x14ac:dyDescent="0.3">
      <c r="A9" t="s">
        <v>29</v>
      </c>
      <c r="B9" t="s">
        <v>38</v>
      </c>
      <c r="C9">
        <v>3</v>
      </c>
      <c r="D9" t="s">
        <v>74</v>
      </c>
    </row>
    <row r="10" spans="1:13" x14ac:dyDescent="0.3">
      <c r="A10" t="s">
        <v>29</v>
      </c>
      <c r="B10" t="s">
        <v>34</v>
      </c>
      <c r="C10">
        <v>3</v>
      </c>
      <c r="D10" t="s">
        <v>75</v>
      </c>
    </row>
    <row r="11" spans="1:13" x14ac:dyDescent="0.3">
      <c r="A11" t="s">
        <v>29</v>
      </c>
      <c r="B11" t="s">
        <v>33</v>
      </c>
      <c r="C11">
        <v>3</v>
      </c>
      <c r="D11" t="s">
        <v>76</v>
      </c>
    </row>
    <row r="12" spans="1:13" x14ac:dyDescent="0.3">
      <c r="A12" t="s">
        <v>29</v>
      </c>
      <c r="B12" t="s">
        <v>35</v>
      </c>
      <c r="C12">
        <v>4.5</v>
      </c>
      <c r="D12" t="s">
        <v>77</v>
      </c>
    </row>
    <row r="13" spans="1:13" x14ac:dyDescent="0.3">
      <c r="A13" t="s">
        <v>29</v>
      </c>
      <c r="B13" t="s">
        <v>32</v>
      </c>
      <c r="C13">
        <v>10</v>
      </c>
      <c r="D13" t="s">
        <v>78</v>
      </c>
    </row>
    <row r="14" spans="1:13" x14ac:dyDescent="0.3">
      <c r="A14" t="s">
        <v>29</v>
      </c>
      <c r="B14" t="s">
        <v>40</v>
      </c>
      <c r="C14">
        <v>20</v>
      </c>
      <c r="D14" t="s">
        <v>79</v>
      </c>
    </row>
    <row r="15" spans="1:13" x14ac:dyDescent="0.3">
      <c r="A15" t="s">
        <v>29</v>
      </c>
      <c r="B15" t="s">
        <v>36</v>
      </c>
      <c r="C15">
        <v>20</v>
      </c>
      <c r="D15" t="s">
        <v>85</v>
      </c>
    </row>
    <row r="16" spans="1:13" x14ac:dyDescent="0.3">
      <c r="A16" t="s">
        <v>29</v>
      </c>
      <c r="B16" t="s">
        <v>3</v>
      </c>
      <c r="C16">
        <v>3</v>
      </c>
      <c r="D16" t="s">
        <v>86</v>
      </c>
    </row>
    <row r="17" spans="1:4" x14ac:dyDescent="0.3">
      <c r="A17" t="s">
        <v>44</v>
      </c>
      <c r="B17" t="s">
        <v>43</v>
      </c>
      <c r="C17">
        <v>100</v>
      </c>
      <c r="D17" t="s">
        <v>87</v>
      </c>
    </row>
    <row r="18" spans="1:4" x14ac:dyDescent="0.3">
      <c r="A18" t="s">
        <v>44</v>
      </c>
      <c r="B18" t="s">
        <v>24</v>
      </c>
      <c r="C18" t="s">
        <v>19</v>
      </c>
      <c r="D18" t="s">
        <v>88</v>
      </c>
    </row>
    <row r="19" spans="1:4" x14ac:dyDescent="0.3">
      <c r="A19" t="s">
        <v>61</v>
      </c>
      <c r="B19" t="s">
        <v>98</v>
      </c>
      <c r="C19">
        <v>20</v>
      </c>
      <c r="D19" t="s">
        <v>83</v>
      </c>
    </row>
    <row r="20" spans="1:4" x14ac:dyDescent="0.3">
      <c r="A20" t="s">
        <v>61</v>
      </c>
      <c r="B20" t="s">
        <v>62</v>
      </c>
      <c r="C20">
        <v>2</v>
      </c>
      <c r="D20" t="s">
        <v>84</v>
      </c>
    </row>
    <row r="21" spans="1:4" x14ac:dyDescent="0.3">
      <c r="A21" t="s">
        <v>61</v>
      </c>
      <c r="B21" t="s">
        <v>49</v>
      </c>
      <c r="C21">
        <v>48</v>
      </c>
      <c r="D21" t="s">
        <v>89</v>
      </c>
    </row>
    <row r="22" spans="1:4" x14ac:dyDescent="0.3">
      <c r="A22" t="s">
        <v>61</v>
      </c>
      <c r="B22" t="s">
        <v>99</v>
      </c>
      <c r="C22">
        <v>0.2</v>
      </c>
      <c r="D22" t="s">
        <v>67</v>
      </c>
    </row>
    <row r="23" spans="1:4" x14ac:dyDescent="0.3">
      <c r="A23" t="s">
        <v>61</v>
      </c>
      <c r="B23" t="s">
        <v>55</v>
      </c>
      <c r="C23" t="b">
        <v>0</v>
      </c>
      <c r="D23" t="s">
        <v>64</v>
      </c>
    </row>
    <row r="24" spans="1:4" x14ac:dyDescent="0.3">
      <c r="A24" t="s">
        <v>61</v>
      </c>
      <c r="B24" t="s">
        <v>48</v>
      </c>
    </row>
    <row r="25" spans="1:4" x14ac:dyDescent="0.3">
      <c r="A25" t="s">
        <v>90</v>
      </c>
      <c r="B25" t="s">
        <v>31</v>
      </c>
      <c r="C25">
        <v>8</v>
      </c>
      <c r="D25" t="s">
        <v>82</v>
      </c>
    </row>
    <row r="26" spans="1:4" x14ac:dyDescent="0.3">
      <c r="A26" t="s">
        <v>90</v>
      </c>
      <c r="B26" t="s">
        <v>3</v>
      </c>
      <c r="C26">
        <v>5</v>
      </c>
      <c r="D26" t="s">
        <v>91</v>
      </c>
    </row>
    <row r="27" spans="1:4" x14ac:dyDescent="0.3">
      <c r="A27" t="s">
        <v>90</v>
      </c>
      <c r="B27" t="s">
        <v>92</v>
      </c>
      <c r="C27">
        <v>100</v>
      </c>
      <c r="D27" t="s">
        <v>93</v>
      </c>
    </row>
    <row r="28" spans="1:4" x14ac:dyDescent="0.3">
      <c r="A28" t="s">
        <v>94</v>
      </c>
      <c r="B28" t="s">
        <v>32</v>
      </c>
      <c r="C28">
        <v>1.05</v>
      </c>
      <c r="D28" t="s">
        <v>78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AFDRS</vt:lpstr>
      <vt:lpstr>tables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rain_heath</vt:lpstr>
      <vt:lpstr>rain_mallee</vt:lpstr>
      <vt:lpstr>rh_row1</vt:lpstr>
      <vt:lpstr>state_grass</vt:lpstr>
      <vt:lpstr>submodel_forest</vt:lpstr>
      <vt:lpstr>subtype_woodland</vt:lpstr>
      <vt:lpstr>temp_row1</vt:lpstr>
      <vt:lpstr>time_row1</vt:lpstr>
      <vt:lpstr>tsf_heath</vt:lpstr>
      <vt:lpstr>tsf_mallee</vt:lpstr>
      <vt:lpstr>tsr_heath</vt:lpstr>
      <vt:lpstr>tsr_mallee</vt:lpstr>
      <vt:lpstr>waf_forest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2022-09-29T02:19:42Z</dcterms:modified>
</cp:coreProperties>
</file>