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User Guide" sheetId="4" r:id="rId1"/>
    <sheet name="AFDRS" sheetId="1" r:id="rId2"/>
    <sheet name="List tables" sheetId="3" r:id="rId3"/>
    <sheet name="test" sheetId="2" r:id="rId4"/>
  </sheets>
  <functionGroups builtInGroupCount="18"/>
  <definedNames>
    <definedName name="curing">AFDRS!$N$4</definedName>
    <definedName name="FBI_forest">AFDRS!$G$13:$G$1048576</definedName>
    <definedName name="fh_e">AFDRS!$H$10</definedName>
    <definedName name="fh_ns">AFDRS!$H$9</definedName>
    <definedName name="fhs_ns">AFDRS!$H$5</definedName>
    <definedName name="fhs_s">AFDRS!$H$4</definedName>
    <definedName name="fl_b">AFDRS!$I$7</definedName>
    <definedName name="fl_e">AFDRS!$I$6</definedName>
    <definedName name="fl_grass">AFDRS!$N$3</definedName>
    <definedName name="fl_ns">AFDRS!$I$5</definedName>
    <definedName name="fl_s">AFDRS!$I$4</definedName>
    <definedName name="state_grass">AFDRS!$M$3</definedName>
    <definedName name="WAF">AFDRS!$H$2</definedName>
    <definedName name="weather">AFDRS!$A$13:$F$1048576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I5" i="1"/>
  <c r="I4" i="1"/>
  <c r="Q13" i="1"/>
  <c r="L13" i="1"/>
  <c r="N13" i="1"/>
  <c r="H13" i="1"/>
  <c r="B1" i="2"/>
  <c r="O13" i="1"/>
  <c r="M13" i="1" s="1"/>
  <c r="K13" i="1"/>
  <c r="J13" i="1"/>
  <c r="I13" i="1" s="1"/>
  <c r="P13" i="1"/>
  <c r="G13" i="1"/>
</calcChain>
</file>

<file path=xl/sharedStrings.xml><?xml version="1.0" encoding="utf-8"?>
<sst xmlns="http://schemas.openxmlformats.org/spreadsheetml/2006/main" count="41" uniqueCount="33">
  <si>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</si>
  <si>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</si>
  <si>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</si>
  <si>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</si>
  <si>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</si>
  <si>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</si>
  <si>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</si>
  <si>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</si>
  <si>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</si>
  <si>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</si>
  <si>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</si>
  <si>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</si>
  <si>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</si>
  <si>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</si>
  <si>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</si>
  <si>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</si>
  <si>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</si>
  <si>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</si>
  <si>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</si>
  <si>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</si>
  <si>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</si>
  <si>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</si>
  <si>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</si>
  <si>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State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</si>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</sst>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20" fontId="0" fillId="0" borderId="0" xfId="0" applyNumberFormat="1"/>
    <xf numFmtId="166" fontId="0" fillId="0" borderId="0" xfId="0" applyNumberFormat="1"/>
    <xf numFmtId="164" fontId="0" fillId="3" borderId="1" xfId="0" applyNumberFormat="1" applyFill="1" applyBorder="1"/>
    <xf numFmtId="165" fontId="0" fillId="3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1" fillId="0" borderId="1" xfId="0" applyFont="1" applyBorder="1" applyAlignment="1">
      <alignment horizontal="center" wrapText="1"/>
    </xf>
    <xf numFmtId="0" fontId="0" fillId="4" borderId="1" xfId="0" applyFill="1" applyBorder="1" applyAlignment="1">
      <alignment wrapText="1"/>
    </xf>
    <xf numFmtId="0" fontId="2" fillId="5" borderId="1" xfId="0" applyFont="1" applyFill="1" applyBorder="1"/>
    <xf numFmtId="0" fontId="0" fillId="5" borderId="1" xfId="0" applyFill="1" applyBorder="1"/>
    <xf numFmtId="167" fontId="0" fillId="5" borderId="1" xfId="0" applyNumberFormat="1" applyFill="1" applyBorder="1"/>
    <xf numFmtId="0" fontId="1" fillId="5" borderId="1" xfId="0" applyFont="1" applyFill="1" applyBorder="1"/>
    <xf numFmtId="0" fontId="0" fillId="5" borderId="1" xfId="0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5" borderId="1" xfId="0" applyFont="1" applyFill="1" applyBorder="1" applyAlignment="1">
      <alignment horizontal="center" wrapText="1"/>
    </xf>
    <xf numFmtId="167" fontId="1" fillId="5" borderId="1" xfId="0" applyNumberFormat="1" applyFont="1" applyFill="1" applyBorder="1" applyAlignment="1">
      <alignment horizontal="center" wrapText="1"/>
    </xf>
    <xf numFmtId="164" fontId="2" fillId="2" borderId="1" xfId="0" applyNumberFormat="1" applyFont="1" applyFill="1" applyBorder="1"/>
    <xf numFmtId="165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center" wrapText="1"/>
    </xf>
    <xf numFmtId="165" fontId="1" fillId="2" borderId="1" xfId="0" applyNumberFormat="1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0" fillId="6" borderId="1" xfId="0" applyFill="1" applyBorder="1"/>
    <xf numFmtId="167" fontId="0" fillId="6" borderId="1" xfId="0" applyNumberFormat="1" applyFill="1" applyBorder="1"/>
    <xf numFmtId="0" fontId="1" fillId="6" borderId="1" xfId="0" applyFont="1" applyFill="1" applyBorder="1" applyAlignment="1">
      <alignment horizontal="center" wrapText="1"/>
    </xf>
    <xf numFmtId="167" fontId="1" fillId="6" borderId="1" xfId="0" applyNumberFormat="1" applyFont="1" applyFill="1" applyBorder="1" applyAlignment="1">
      <alignment horizontal="center" wrapText="1"/>
    </xf>
    <xf numFmtId="0" fontId="0" fillId="7" borderId="1" xfId="0" applyFill="1" applyBorder="1"/>
    <xf numFmtId="0" fontId="1" fillId="6" borderId="1" xfId="0" applyFont="1" applyFill="1" applyBorder="1"/>
    <xf numFmtId="0" fontId="1" fillId="5" borderId="1" xfId="0" applyFont="1" applyFill="1" applyBorder="1" applyAlignment="1"/>
    <xf numFmtId="0" fontId="1" fillId="5" borderId="1" xfId="0" applyFont="1" applyFill="1" applyBorder="1" applyAlignment="1">
      <alignment horizontal="right"/>
    </xf>
    <xf numFmtId="0" fontId="2" fillId="6" borderId="1" xfId="0" applyFont="1" applyFill="1" applyBorder="1"/>
  </cellXfs>
  <cellStyles count="1"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274320</xdr:colOff>
      <xdr:row>0</xdr:row>
      <xdr:rowOff>160020</xdr:rowOff>
    </xdr:from>
    <xdr:ext cx="6101670" cy="1125693"/>
    <xdr:sp macro="" textlink="">
      <xdr:nvSpPr>
        <xdr:cNvPr id="2" name="TextBox 1"/>
        <xdr:cNvSpPr txBox="1"/>
      </xdr:nvSpPr>
      <xdr:spPr>
        <a:xfrm>
          <a:off x="274320" y="160020"/>
          <a:ext cx="6101670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 b="1"/>
            <a:t>PyroXL_AFDRS_20220909a</a:t>
          </a:r>
        </a:p>
        <a:p>
          <a:r>
            <a:rPr lang="en-AU" sz="1100"/>
            <a:t>This</a:t>
          </a:r>
          <a:r>
            <a:rPr lang="en-AU" sz="1100" baseline="0"/>
            <a:t> is very much a protoype. Nothing is locked so you can potentially break everything.</a:t>
          </a:r>
        </a:p>
        <a:p>
          <a:r>
            <a:rPr lang="en-AU" sz="1100" baseline="0"/>
            <a:t>Light coloured cells are for data entry. Darker cells are for outputs and should not be edited by the user</a:t>
          </a:r>
        </a:p>
        <a:p>
          <a:endParaRPr lang="en-AU" sz="1100"/>
        </a:p>
        <a:p>
          <a:r>
            <a:rPr lang="en-AU" sz="1100" b="1"/>
            <a:t>Release Notes</a:t>
          </a:r>
        </a:p>
        <a:p>
          <a:r>
            <a:rPr lang="en-AU" sz="1100" b="0"/>
            <a:t>PyroXL_AFDRS_20220909a: initial test release with forest and grass models only.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_grass_state" displayName="Table_grass_state" comment="lists acceptable grass states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3"/>
  <sheetViews>
    <sheetView zoomScale="120" zoomScaleNormal="120" workbookViewId="0">
      <pane xSplit="6" ySplit="12" topLeftCell="G13" activePane="bottomRight" state="frozen"/>
      <selection pane="topRight" activeCell="H1" sqref="H1"/>
      <selection pane="bottomLeft" activeCell="A12" sqref="A12"/>
      <selection pane="bottomRight" activeCell="P9" sqref="P9"/>
    </sheetView>
  </sheetViews>
  <sheetFormatPr defaultRowHeight="14.4" x14ac:dyDescent="0.3"/>
  <cols>
    <col min="1" max="1" width="13.77734375" style="4" customWidth="1"/>
    <col min="2" max="2" width="10.77734375" style="5" customWidth="1"/>
    <col min="3" max="6" width="10.77734375" style="6" customWidth="1"/>
    <col min="7" max="9" width="8.88671875" style="12"/>
    <col min="10" max="10" width="8.88671875" style="13"/>
    <col min="11" max="11" width="8.88671875" style="12"/>
    <col min="12" max="12" width="8.88671875" style="13"/>
    <col min="13" max="15" width="8.88671875" style="26"/>
    <col min="16" max="17" width="8.88671875" style="27"/>
    <col min="18" max="16384" width="8.88671875" style="8"/>
  </cols>
  <sheetData>
    <row r="1" spans="1:17" ht="18" x14ac:dyDescent="0.35">
      <c r="A1" s="19" t="s">
        <v>5</v>
      </c>
      <c r="B1" s="20"/>
      <c r="C1" s="21"/>
      <c r="D1" s="21"/>
      <c r="E1" s="21"/>
      <c r="F1" s="21"/>
      <c r="G1" s="11" t="s">
        <v>6</v>
      </c>
      <c r="M1" s="34" t="s">
        <v>22</v>
      </c>
    </row>
    <row r="2" spans="1:17" x14ac:dyDescent="0.3">
      <c r="A2" s="22"/>
      <c r="B2" s="20"/>
      <c r="C2" s="21"/>
      <c r="D2" s="21"/>
      <c r="E2" s="21"/>
      <c r="F2" s="21"/>
      <c r="G2" s="14" t="s">
        <v>7</v>
      </c>
      <c r="H2" s="7">
        <v>3</v>
      </c>
      <c r="I2" s="14" t="s">
        <v>14</v>
      </c>
      <c r="M2" s="31" t="s">
        <v>23</v>
      </c>
      <c r="N2" s="31" t="s">
        <v>32</v>
      </c>
    </row>
    <row r="3" spans="1:17" x14ac:dyDescent="0.3">
      <c r="A3" s="22"/>
      <c r="B3" s="20"/>
      <c r="C3" s="21"/>
      <c r="D3" s="21"/>
      <c r="E3" s="21"/>
      <c r="F3" s="21"/>
      <c r="G3" s="15"/>
      <c r="H3" s="33" t="s">
        <v>31</v>
      </c>
      <c r="I3" s="32" t="s">
        <v>32</v>
      </c>
      <c r="M3" s="30" t="s">
        <v>26</v>
      </c>
      <c r="N3" s="26">
        <v>4.5</v>
      </c>
    </row>
    <row r="4" spans="1:17" x14ac:dyDescent="0.3">
      <c r="A4" s="22"/>
      <c r="B4" s="20"/>
      <c r="C4" s="21"/>
      <c r="D4" s="21"/>
      <c r="E4" s="21"/>
      <c r="F4" s="21"/>
      <c r="G4" s="16" t="s">
        <v>15</v>
      </c>
      <c r="H4" s="10">
        <v>3</v>
      </c>
      <c r="I4" s="15">
        <f>IF(H4=4,20,IF(H4=3.5,14,IF(H4=3,12,IF(H4=2,8,IF(H4=1,4,0)))))</f>
        <v>12</v>
      </c>
      <c r="M4" s="31" t="s">
        <v>28</v>
      </c>
      <c r="N4" s="30">
        <v>90</v>
      </c>
    </row>
    <row r="5" spans="1:17" ht="28.8" x14ac:dyDescent="0.3">
      <c r="A5" s="22"/>
      <c r="B5" s="20"/>
      <c r="C5" s="21"/>
      <c r="D5" s="21"/>
      <c r="E5" s="21"/>
      <c r="F5" s="21"/>
      <c r="G5" s="16" t="s">
        <v>16</v>
      </c>
      <c r="H5" s="10">
        <v>3</v>
      </c>
      <c r="I5" s="15">
        <f>IF(H5=4,4,IF(H5=3.5,3.5,IF(H5=3,3,IF(H5=2,2,IF(H5=1,1,0)))))</f>
        <v>3</v>
      </c>
    </row>
    <row r="6" spans="1:17" x14ac:dyDescent="0.3">
      <c r="A6" s="22"/>
      <c r="B6" s="20"/>
      <c r="C6" s="21"/>
      <c r="D6" s="21"/>
      <c r="E6" s="21"/>
      <c r="F6" s="21"/>
      <c r="G6" s="16" t="s">
        <v>17</v>
      </c>
      <c r="H6" s="10">
        <v>2</v>
      </c>
      <c r="I6" s="15">
        <f>IF(H6=4,6,IF(H6=3.5,4,IF(H6=3,3,IF(H6=2,2,IF(H6=1,1,0)))))</f>
        <v>2</v>
      </c>
    </row>
    <row r="7" spans="1:17" x14ac:dyDescent="0.3">
      <c r="A7" s="22"/>
      <c r="B7" s="20"/>
      <c r="C7" s="21"/>
      <c r="D7" s="21"/>
      <c r="E7" s="21"/>
      <c r="F7" s="21"/>
      <c r="G7" s="16" t="s">
        <v>18</v>
      </c>
      <c r="H7" s="10">
        <v>1</v>
      </c>
      <c r="I7" s="15">
        <f>IF(H7=4,7,IF(H7=3.5,6,IF(H7=3,5,IF(H7=2,2,IF(H7=1,1,0)))))</f>
        <v>1</v>
      </c>
    </row>
    <row r="8" spans="1:17" x14ac:dyDescent="0.3">
      <c r="A8" s="22"/>
      <c r="B8" s="20"/>
      <c r="C8" s="21"/>
      <c r="D8" s="21"/>
      <c r="E8" s="21"/>
      <c r="F8" s="21"/>
      <c r="G8" s="16"/>
      <c r="H8" s="32" t="s">
        <v>19</v>
      </c>
      <c r="I8" s="15"/>
    </row>
    <row r="9" spans="1:17" ht="28.8" x14ac:dyDescent="0.3">
      <c r="A9" s="22"/>
      <c r="B9" s="20"/>
      <c r="C9" s="21"/>
      <c r="D9" s="21"/>
      <c r="E9" s="21"/>
      <c r="F9" s="21"/>
      <c r="G9" s="16" t="s">
        <v>16</v>
      </c>
      <c r="H9" s="7">
        <v>25</v>
      </c>
      <c r="I9" s="14" t="s">
        <v>20</v>
      </c>
    </row>
    <row r="10" spans="1:17" x14ac:dyDescent="0.3">
      <c r="A10" s="22"/>
      <c r="B10" s="20"/>
      <c r="C10" s="21"/>
      <c r="D10" s="21"/>
      <c r="E10" s="21"/>
      <c r="F10" s="21"/>
      <c r="G10" s="16" t="s">
        <v>17</v>
      </c>
      <c r="H10" s="7">
        <v>0.8</v>
      </c>
      <c r="I10" s="14" t="s">
        <v>21</v>
      </c>
    </row>
    <row r="11" spans="1:17" x14ac:dyDescent="0.3">
      <c r="A11" s="22"/>
      <c r="B11" s="20"/>
      <c r="C11" s="21"/>
      <c r="D11" s="21"/>
      <c r="E11" s="21"/>
      <c r="F11" s="21"/>
    </row>
    <row r="12" spans="1:17" s="9" customFormat="1" ht="57.6" x14ac:dyDescent="0.3">
      <c r="A12" s="23" t="s">
        <v>0</v>
      </c>
      <c r="B12" s="24" t="s">
        <v>8</v>
      </c>
      <c r="C12" s="25" t="s">
        <v>1</v>
      </c>
      <c r="D12" s="25" t="s">
        <v>2</v>
      </c>
      <c r="E12" s="25" t="s">
        <v>3</v>
      </c>
      <c r="F12" s="25" t="s">
        <v>4</v>
      </c>
      <c r="G12" s="17" t="s">
        <v>30</v>
      </c>
      <c r="H12" s="17" t="s">
        <v>9</v>
      </c>
      <c r="I12" s="17" t="s">
        <v>10</v>
      </c>
      <c r="J12" s="18" t="s">
        <v>11</v>
      </c>
      <c r="K12" s="17" t="s">
        <v>12</v>
      </c>
      <c r="L12" s="18" t="s">
        <v>13</v>
      </c>
      <c r="M12" s="28" t="s">
        <v>29</v>
      </c>
      <c r="N12" s="28" t="s">
        <v>9</v>
      </c>
      <c r="O12" s="28" t="s">
        <v>10</v>
      </c>
      <c r="P12" s="29" t="s">
        <v>11</v>
      </c>
      <c r="Q12" s="29" t="s">
        <v>13</v>
      </c>
    </row>
    <row r="13" spans="1:17" x14ac:dyDescent="0.3">
      <c r="A13" s="4">
        <v>44180</v>
      </c>
      <c r="B13" s="5">
        <v>0.25</v>
      </c>
      <c r="C13" s="6">
        <v>20</v>
      </c>
      <c r="D13" s="6">
        <v>60</v>
      </c>
      <c r="E13" s="6">
        <v>5</v>
      </c>
      <c r="F13" s="6">
        <v>8</v>
      </c>
      <c r="G13" s="12">
        <f t="shared" ref="G13:G17" si="0">fbi(I13,$G$1)</f>
        <v>4</v>
      </c>
      <c r="H13" s="12">
        <f>ROS_Forest_AFDRS(E13,L13,WAF)</f>
        <v>11</v>
      </c>
      <c r="I13" s="12">
        <f>Intensity_forest_AFDRS(H13,F13,J13)</f>
        <v>59</v>
      </c>
      <c r="J13" s="13">
        <f>Flame_Height_AFDRS(H13)</f>
        <v>0.19508630037307739</v>
      </c>
      <c r="K13" s="12">
        <f>Spotting_Dist(H13,E13)</f>
        <v>23195</v>
      </c>
      <c r="L13" s="13">
        <f>FMC_Forest(C13,D13,A13,B13)</f>
        <v>13.994000434875488</v>
      </c>
      <c r="M13" s="26">
        <f>fbi(O13,$M$1)</f>
        <v>7</v>
      </c>
      <c r="N13" s="26">
        <f>ROS_Grass_AFDRS(E13,L13,curing,state_grass)</f>
        <v>194</v>
      </c>
      <c r="O13" s="26">
        <f>Intensity_AFDRS(N13,fl_grass)</f>
        <v>451</v>
      </c>
      <c r="P13" s="27">
        <f>Flame_H_Grass(N13)</f>
        <v>0.47316247224807739</v>
      </c>
      <c r="Q13" s="27">
        <f>FMC_Grass(C13,D13)</f>
        <v>13.760000228881836</v>
      </c>
    </row>
  </sheetData>
  <conditionalFormatting sqref="M13:M18">
    <cfRule type="expression" dxfId="7" priority="4">
      <formula>$M13&gt;=12</formula>
    </cfRule>
    <cfRule type="expression" dxfId="6" priority="3">
      <formula>$M13&gt;=24</formula>
    </cfRule>
    <cfRule type="expression" dxfId="5" priority="2">
      <formula>$M13&gt;=50</formula>
    </cfRule>
    <cfRule type="expression" dxfId="4" priority="1">
      <formula>$M13&gt;=100</formula>
    </cfRule>
  </conditionalFormatting>
  <conditionalFormatting sqref="G13:G18">
    <cfRule type="expression" dxfId="3" priority="5">
      <formula>$G13&gt;=100</formula>
    </cfRule>
    <cfRule type="expression" dxfId="2" priority="6">
      <formula>$G13&gt;50</formula>
    </cfRule>
    <cfRule type="expression" dxfId="1" priority="7">
      <formula>$G13&gt;=24</formula>
    </cfRule>
    <cfRule type="expression" dxfId="0" priority="8">
      <formula>$G13&gt;=12</formula>
    </cfRule>
  </conditionalFormatting>
  <dataValidations disablePrompts="1"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7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O2:P2 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24</v>
      </c>
    </row>
    <row r="2" spans="1:1" x14ac:dyDescent="0.3">
      <c r="A2" t="s">
        <v>25</v>
      </c>
    </row>
    <row r="3" spans="1:1" x14ac:dyDescent="0.3">
      <c r="A3" t="s">
        <v>26</v>
      </c>
    </row>
    <row r="4" spans="1:1" x14ac:dyDescent="0.3">
      <c r="A4" t="s">
        <v>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5546875" bestFit="1" customWidth="1"/>
    <col min="3" max="3" width="10.5546875" bestFit="1" customWidth="1"/>
  </cols>
  <sheetData>
    <row r="1" spans="1:3" x14ac:dyDescent="0.3">
      <c r="A1">
        <v>42</v>
      </c>
      <c r="B1" t="e">
        <f ca="1">FMC_AFDRS(A1,A2,A3,A4)</f>
        <v>#NAME?</v>
      </c>
      <c r="C1" s="3"/>
    </row>
    <row r="2" spans="1:3" x14ac:dyDescent="0.3">
      <c r="A2">
        <v>20</v>
      </c>
      <c r="C2" s="3"/>
    </row>
    <row r="3" spans="1:3" x14ac:dyDescent="0.3">
      <c r="A3" s="1">
        <v>43689</v>
      </c>
    </row>
    <row r="4" spans="1:3" x14ac:dyDescent="0.3">
      <c r="A4" s="2">
        <v>0.875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User Guide</vt:lpstr>
      <vt:lpstr>AFDRS</vt:lpstr>
      <vt:lpstr>List tables</vt:lpstr>
      <vt:lpstr>test</vt:lpstr>
      <vt:lpstr>curing</vt:lpstr>
      <vt:lpstr>FBI_forest</vt:lpstr>
      <vt:lpstr>fh_e</vt:lpstr>
      <vt:lpstr>fh_ns</vt:lpstr>
      <vt:lpstr>fhs_ns</vt:lpstr>
      <vt:lpstr>fhs_s</vt:lpstr>
      <vt:lpstr>fl_b</vt:lpstr>
      <vt:lpstr>fl_e</vt:lpstr>
      <vt:lpstr>fl_grass</vt:lpstr>
      <vt:lpstr>fl_ns</vt:lpstr>
      <vt:lpstr>fl_s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2022-09-08T23:18:27Z</dcterms:modified>
</cp:coreProperties>
</file>