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30720" windowHeight="13512"/>
  </bookViews>
  <sheets>
    <sheet name="AFDRS" sheetId="1" r:id="rId1"/>
    <sheet name="tables" sheetId="3" r:id="rId2"/>
    <sheet name="tests_general" sheetId="6" r:id="rId3"/>
    <sheet name="tests_forest" sheetId="7" r:id="rId4"/>
    <sheet name="tests_grass" sheetId="8" r:id="rId5"/>
    <sheet name="tests_heath" sheetId="9" r:id="rId6"/>
    <sheet name="sandbox" sheetId="2" r:id="rId7"/>
  </sheets>
  <functionGroups builtInGroupCount="18"/>
  <definedNames>
    <definedName name="curing">AFDRS!$N$4</definedName>
    <definedName name="FBI_forest">AFDRS!$G$15:$G$1048576</definedName>
    <definedName name="ffh_e" comment="forest fuel height elevated">AFDRS!$H$11</definedName>
    <definedName name="ffh_o" comment="forest fuel height canopy (overstorey)">AFDRS!$H$12</definedName>
    <definedName name="ffl_b" comment="forest fuel load bark">AFDRS!$I$7</definedName>
    <definedName name="ffl_e" comment="forest fuel load elevated">AFDRS!$I$6</definedName>
    <definedName name="ffl_ns" comment="forest fuel load near surface">AFDRS!$I$5</definedName>
    <definedName name="ffl_o" comment="forest fuel load canopy (overstorey)">AFDRS!$I$8</definedName>
    <definedName name="ffl_s" comment="forest fuel load surface">AFDRS!$I$4</definedName>
    <definedName name="fh_ns">AFDRS!$H$10</definedName>
    <definedName name="fhs_ns">AFDRS!$H$5</definedName>
    <definedName name="fhs_s">AFDRS!$H$4</definedName>
    <definedName name="fl_grass">AFDRS!$O$3</definedName>
    <definedName name="Outputs">AFDRS!$G$15:$Q$15</definedName>
    <definedName name="start_date">AFDRS!$A$15</definedName>
    <definedName name="state_grass">AFDRS!$N$3</definedName>
    <definedName name="WAF">AFDRS!$H$2</definedName>
    <definedName name="weather">AFDRS!$A$15:$F$1048576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7" i="9" l="1"/>
  <c r="A28" i="9"/>
  <c r="A29" i="9"/>
  <c r="C27" i="9"/>
  <c r="C28" i="9"/>
  <c r="C29" i="9"/>
  <c r="C26" i="9"/>
  <c r="V7" i="1"/>
  <c r="C45" i="6"/>
  <c r="C49" i="6"/>
  <c r="C46" i="6"/>
  <c r="C48" i="6"/>
  <c r="C47" i="6"/>
  <c r="C44" i="6"/>
  <c r="C13" i="9"/>
  <c r="C14" i="9"/>
  <c r="C17" i="9"/>
  <c r="C15" i="9"/>
  <c r="C16" i="9"/>
  <c r="C12" i="9"/>
  <c r="C22" i="9"/>
  <c r="C21" i="9"/>
  <c r="V16" i="1"/>
  <c r="S16" i="1" s="1"/>
  <c r="V17" i="1"/>
  <c r="S17" i="1" s="1"/>
  <c r="V18" i="1"/>
  <c r="S18" i="1" s="1"/>
  <c r="V20" i="1"/>
  <c r="S20" i="1" s="1"/>
  <c r="V19" i="1"/>
  <c r="S19" i="1" s="1"/>
  <c r="V15" i="1"/>
  <c r="S15" i="1" s="1"/>
  <c r="C58" i="7"/>
  <c r="C33" i="6"/>
  <c r="C32" i="6"/>
  <c r="C6" i="9"/>
  <c r="C8" i="9"/>
  <c r="C7" i="9"/>
  <c r="T15" i="1"/>
  <c r="T18" i="1"/>
  <c r="T20" i="1"/>
  <c r="T17" i="1"/>
  <c r="T19" i="1"/>
  <c r="T16" i="1"/>
  <c r="R15" i="1"/>
  <c r="U15" i="1"/>
  <c r="U18" i="1"/>
  <c r="R18" i="1"/>
  <c r="U20" i="1"/>
  <c r="R20" i="1"/>
  <c r="U17" i="1"/>
  <c r="R17" i="1"/>
  <c r="U19" i="1"/>
  <c r="R19" i="1"/>
  <c r="U16" i="1"/>
  <c r="R16" i="1"/>
  <c r="A26" i="9" l="1"/>
  <c r="A47" i="6"/>
  <c r="A48" i="6"/>
  <c r="A46" i="6"/>
  <c r="A49" i="6"/>
  <c r="A45" i="6"/>
  <c r="A44" i="6"/>
  <c r="A16" i="9"/>
  <c r="A15" i="9"/>
  <c r="A17" i="9"/>
  <c r="A14" i="9"/>
  <c r="A13" i="9"/>
  <c r="A12" i="9"/>
  <c r="A22" i="9"/>
  <c r="A21" i="9"/>
  <c r="A7" i="9"/>
  <c r="A8" i="9"/>
  <c r="A58" i="7"/>
  <c r="A33" i="6"/>
  <c r="A32" i="6"/>
  <c r="A16" i="8"/>
  <c r="A32" i="8"/>
  <c r="A38" i="8"/>
  <c r="A24" i="8"/>
  <c r="A11" i="8"/>
  <c r="Q18" i="1"/>
  <c r="C36" i="8"/>
  <c r="C30" i="8"/>
  <c r="C15" i="8"/>
  <c r="C31" i="6"/>
  <c r="Q20" i="1"/>
  <c r="C20" i="6"/>
  <c r="L18" i="1"/>
  <c r="H18" i="1" s="1"/>
  <c r="C37" i="8"/>
  <c r="C21" i="8"/>
  <c r="C53" i="7"/>
  <c r="C24" i="6"/>
  <c r="C51" i="7"/>
  <c r="C19" i="6"/>
  <c r="C9" i="8"/>
  <c r="Q15" i="1"/>
  <c r="C10" i="8"/>
  <c r="J18" i="1"/>
  <c r="C31" i="8"/>
  <c r="L20" i="1"/>
  <c r="C6" i="8"/>
  <c r="Q19" i="1"/>
  <c r="C25" i="6"/>
  <c r="C7" i="8"/>
  <c r="C19" i="8"/>
  <c r="C57" i="7"/>
  <c r="L17" i="1"/>
  <c r="C35" i="8"/>
  <c r="C14" i="8"/>
  <c r="C29" i="6"/>
  <c r="C30" i="6"/>
  <c r="C55" i="7"/>
  <c r="C21" i="6"/>
  <c r="C26" i="6"/>
  <c r="L19" i="1"/>
  <c r="Q16" i="1"/>
  <c r="C20" i="8"/>
  <c r="K18" i="1"/>
  <c r="C29" i="8"/>
  <c r="C22" i="8"/>
  <c r="C27" i="6"/>
  <c r="C22" i="6"/>
  <c r="L16" i="1"/>
  <c r="H16" i="1" s="1"/>
  <c r="C54" i="7"/>
  <c r="C23" i="6"/>
  <c r="C8" i="8"/>
  <c r="C28" i="8"/>
  <c r="C52" i="7"/>
  <c r="C27" i="8"/>
  <c r="C56" i="7"/>
  <c r="C23" i="8"/>
  <c r="Q17" i="1"/>
  <c r="C28" i="6"/>
  <c r="N16" i="1"/>
  <c r="O16" i="1"/>
  <c r="P16" i="1"/>
  <c r="K16" i="1"/>
  <c r="J16" i="1"/>
  <c r="A6" i="9" l="1"/>
  <c r="A30" i="6"/>
  <c r="A26" i="6"/>
  <c r="A20" i="6"/>
  <c r="A24" i="6"/>
  <c r="A21" i="6"/>
  <c r="A23" i="6"/>
  <c r="A28" i="6"/>
  <c r="A22" i="6"/>
  <c r="A27" i="6"/>
  <c r="A31" i="6"/>
  <c r="A25" i="6"/>
  <c r="A19" i="6"/>
  <c r="A29" i="6"/>
  <c r="A57" i="7"/>
  <c r="A56" i="7"/>
  <c r="A15" i="8"/>
  <c r="A31" i="8"/>
  <c r="A30" i="8"/>
  <c r="A37" i="8"/>
  <c r="A36" i="8"/>
  <c r="A35" i="8"/>
  <c r="A29" i="8"/>
  <c r="A28" i="8"/>
  <c r="A27" i="8"/>
  <c r="A23" i="8"/>
  <c r="A22" i="8"/>
  <c r="A21" i="8"/>
  <c r="A20" i="8"/>
  <c r="A19" i="8"/>
  <c r="A14" i="8"/>
  <c r="A55" i="7"/>
  <c r="A54" i="7"/>
  <c r="A53" i="7"/>
  <c r="A52" i="7"/>
  <c r="A10" i="8"/>
  <c r="A9" i="8"/>
  <c r="A8" i="8"/>
  <c r="A7" i="8"/>
  <c r="I16" i="1"/>
  <c r="G16" i="1"/>
  <c r="H19" i="1"/>
  <c r="H20" i="1"/>
  <c r="I18" i="1"/>
  <c r="G18" i="1"/>
  <c r="H17" i="1"/>
  <c r="N20" i="1"/>
  <c r="O20" i="1" s="1"/>
  <c r="N18" i="1"/>
  <c r="P18" i="1" s="1"/>
  <c r="N17" i="1"/>
  <c r="O17" i="1"/>
  <c r="N19" i="1"/>
  <c r="P20" i="1"/>
  <c r="M16" i="1"/>
  <c r="O18" i="1"/>
  <c r="P17" i="1"/>
  <c r="O19" i="1"/>
  <c r="P19" i="1"/>
  <c r="K19" i="1"/>
  <c r="J19" i="1"/>
  <c r="I19" i="1" s="1"/>
  <c r="J20" i="1"/>
  <c r="I20" i="1" s="1"/>
  <c r="K20" i="1"/>
  <c r="K17" i="1"/>
  <c r="J17" i="1"/>
  <c r="I17" i="1" s="1"/>
  <c r="B2" i="9" l="1"/>
  <c r="B1" i="9"/>
  <c r="A6" i="8"/>
  <c r="B2" i="8" s="1"/>
  <c r="A51" i="7"/>
  <c r="A48" i="7"/>
  <c r="C44" i="7"/>
  <c r="C47" i="7"/>
  <c r="G17" i="1"/>
  <c r="C45" i="7"/>
  <c r="G20" i="1"/>
  <c r="C46" i="7"/>
  <c r="G19" i="1"/>
  <c r="M20" i="1"/>
  <c r="M19" i="1"/>
  <c r="M18" i="1"/>
  <c r="M17" i="1"/>
  <c r="B1" i="8" l="1"/>
  <c r="A47" i="7"/>
  <c r="A46" i="7"/>
  <c r="A45" i="7"/>
  <c r="A44" i="7"/>
  <c r="C43" i="7"/>
  <c r="A43" i="7" l="1"/>
  <c r="A40" i="7"/>
  <c r="A28" i="7"/>
  <c r="A18" i="7"/>
  <c r="A11" i="7"/>
  <c r="A41" i="6"/>
  <c r="C23" i="7"/>
  <c r="C17" i="7"/>
  <c r="C38" i="6"/>
  <c r="C22" i="7"/>
  <c r="C31" i="7"/>
  <c r="C34" i="7"/>
  <c r="C39" i="7"/>
  <c r="C36" i="7"/>
  <c r="C25" i="7"/>
  <c r="C6" i="7"/>
  <c r="C33" i="7"/>
  <c r="C15" i="7"/>
  <c r="C40" i="6"/>
  <c r="C10" i="7"/>
  <c r="C14" i="7"/>
  <c r="C37" i="7"/>
  <c r="C37" i="6"/>
  <c r="C38" i="7"/>
  <c r="C35" i="7"/>
  <c r="C21" i="7"/>
  <c r="C39" i="6"/>
  <c r="C7" i="7"/>
  <c r="C8" i="7"/>
  <c r="C16" i="7"/>
  <c r="C26" i="7"/>
  <c r="C24" i="7"/>
  <c r="C32" i="7"/>
  <c r="C27" i="7"/>
  <c r="C9" i="7"/>
  <c r="A36" i="7" l="1"/>
  <c r="A35" i="7"/>
  <c r="A37" i="7"/>
  <c r="A34" i="7"/>
  <c r="A39" i="7"/>
  <c r="A33" i="7"/>
  <c r="A38" i="7"/>
  <c r="A32" i="7"/>
  <c r="A31" i="7"/>
  <c r="A24" i="7"/>
  <c r="A27" i="7"/>
  <c r="A25" i="7"/>
  <c r="A23" i="7"/>
  <c r="A26" i="7"/>
  <c r="A22" i="7"/>
  <c r="A21" i="7"/>
  <c r="A17" i="7"/>
  <c r="A16" i="7"/>
  <c r="A15" i="7"/>
  <c r="A14" i="7"/>
  <c r="A9" i="7"/>
  <c r="A8" i="7"/>
  <c r="A10" i="7"/>
  <c r="A7" i="7"/>
  <c r="A6" i="7"/>
  <c r="A37" i="6"/>
  <c r="A40" i="6"/>
  <c r="A39" i="6"/>
  <c r="A38" i="6"/>
  <c r="B2" i="7" l="1"/>
  <c r="B1" i="7"/>
  <c r="A34" i="6"/>
  <c r="C17" i="6"/>
  <c r="C18" i="6"/>
  <c r="C8" i="6"/>
  <c r="C14" i="6"/>
  <c r="C16" i="6"/>
  <c r="C6" i="6"/>
  <c r="C15" i="6"/>
  <c r="C11" i="6"/>
  <c r="C12" i="6"/>
  <c r="C10" i="6"/>
  <c r="C9" i="6"/>
  <c r="C13" i="6"/>
  <c r="C7" i="6"/>
  <c r="A13" i="6" l="1"/>
  <c r="A16" i="6"/>
  <c r="A10" i="6"/>
  <c r="A17" i="6"/>
  <c r="A14" i="6"/>
  <c r="A9" i="6"/>
  <c r="A8" i="6"/>
  <c r="A18" i="6"/>
  <c r="A15" i="6"/>
  <c r="A12" i="6"/>
  <c r="A11" i="6"/>
  <c r="A7" i="6"/>
  <c r="A6" i="6"/>
  <c r="C3" i="2"/>
  <c r="D3" i="2"/>
  <c r="C4" i="2"/>
  <c r="D4" i="2"/>
  <c r="B2" i="6" l="1"/>
  <c r="B1" i="6"/>
  <c r="D2" i="2"/>
  <c r="C2" i="2"/>
  <c r="L15" i="1"/>
  <c r="H15" i="1"/>
  <c r="K15" i="1"/>
  <c r="N15" i="1"/>
  <c r="O15" i="1"/>
  <c r="M15" i="1" s="1"/>
  <c r="P15" i="1"/>
  <c r="J15" i="1"/>
  <c r="I15" i="1" s="1"/>
  <c r="G15" i="1"/>
</calcChain>
</file>

<file path=xl/sharedStrings.xml><?xml version="1.0" encoding="utf-8"?>
<sst xmlns="http://schemas.openxmlformats.org/spreadsheetml/2006/main" count="353" uniqueCount="131">
  <si>
    <t>Date
(dd-mm-yyyy)</t>
  </si>
  <si>
    <t>Temp
(°C)</t>
  </si>
  <si>
    <t>Relative Humidity
(%)</t>
  </si>
  <si>
    <t>Wind Speed
(10m km/h)</t>
  </si>
  <si>
    <t>Drought Factor</t>
  </si>
  <si>
    <t>Weather</t>
  </si>
  <si>
    <t>Forest</t>
  </si>
  <si>
    <t>WAF</t>
  </si>
  <si>
    <t>Time
(hh:mm)</t>
  </si>
  <si>
    <t>ROS
(m/h)</t>
  </si>
  <si>
    <t>Intensity
(kW/m)</t>
  </si>
  <si>
    <t>Flame Height
(m)</t>
  </si>
  <si>
    <t>Spotting Distance
(m)</t>
  </si>
  <si>
    <t>FMC
(%)</t>
  </si>
  <si>
    <t>Wind adjustment factor</t>
  </si>
  <si>
    <t>surface</t>
  </si>
  <si>
    <t>near surface</t>
  </si>
  <si>
    <t>elevated</t>
  </si>
  <si>
    <t>bark</t>
  </si>
  <si>
    <t>Fuel Height</t>
  </si>
  <si>
    <t>(cm)</t>
  </si>
  <si>
    <t>(m)</t>
  </si>
  <si>
    <t>Grass</t>
  </si>
  <si>
    <t>Grass State</t>
  </si>
  <si>
    <t>natural</t>
  </si>
  <si>
    <t>grazed</t>
  </si>
  <si>
    <t>eaten-out</t>
  </si>
  <si>
    <t>curing (%)</t>
  </si>
  <si>
    <t>FBI
grass</t>
  </si>
  <si>
    <t>FBI
forest</t>
  </si>
  <si>
    <t xml:space="preserve">Hazard Score </t>
  </si>
  <si>
    <t xml:space="preserve"> Fine Fuel Load t/ha</t>
  </si>
  <si>
    <t>canopy</t>
  </si>
  <si>
    <t>state</t>
  </si>
  <si>
    <t>Expected</t>
  </si>
  <si>
    <t>Result</t>
  </si>
  <si>
    <t>input1</t>
  </si>
  <si>
    <t>input2</t>
  </si>
  <si>
    <t>output1</t>
  </si>
  <si>
    <t>output2</t>
  </si>
  <si>
    <t>Instructions</t>
  </si>
  <si>
    <t>Use inputs are light colored cells</t>
  </si>
  <si>
    <t>Darker cells are locked to protect formulae</t>
  </si>
  <si>
    <t>Users can unlock the sheet (no password) but be careful you may break things</t>
  </si>
  <si>
    <t>feedback and bug reports to fab@rfs.nsw.gov.au</t>
  </si>
  <si>
    <t>If using copy and paste, right click and choose 'Paste Values'</t>
  </si>
  <si>
    <t>Output</t>
  </si>
  <si>
    <t>Public Function FBI(ByVal intensity As Double, Optional fuel As String = "forest") As Integer
    ' returns FBI.
    'args
    '  intensity: file line intensity (kW/m)
    '  fuel: the fuel type</t>
  </si>
  <si>
    <t>intensity</t>
  </si>
  <si>
    <t>fuel</t>
  </si>
  <si>
    <t>forest</t>
  </si>
  <si>
    <t>Passed</t>
  </si>
  <si>
    <t>Failed</t>
  </si>
  <si>
    <t>ROS</t>
  </si>
  <si>
    <t>fuel load</t>
  </si>
  <si>
    <t>DF</t>
  </si>
  <si>
    <t>fl_s</t>
  </si>
  <si>
    <t>fl_ns</t>
  </si>
  <si>
    <t>fl_e</t>
  </si>
  <si>
    <t>fl_o</t>
  </si>
  <si>
    <t>h_o</t>
  </si>
  <si>
    <t>flame_h</t>
  </si>
  <si>
    <t>Public Function Intensity_forest(ROS, DF, flame_h As Double, fl_s, fl_ns, fl_e, fl_o, h_o As Single) As Long
    'return the intensity based on fuel load and ROS
    'note AFDRS caps surface fuel load at 10 t/ha (1 kg/m)
    'args
    '  ROS: forward rate of spread (km/h)
    '  DF: drought (fuel availability) factor (1-10)
    '  flame_h: flame height (m)
    '  fl_s: surface fuel load (t/ha)
    '  fl_ns: near surface fuel load (t/ha)
    '  fl_e: elevated fuel load (t/ha)
    '  fl_o: overstorey (canopy) fuel load (t/ha)
    '  h_o: overstorey (canopy) height (m)</t>
  </si>
  <si>
    <t>Public Function Intensity(ByVal ROS As Double, ByVal fuel_load As Single) As Long
    'calculates the fireline intensity (kW/m) based on Byram 1959
    'args:
    '  ROS: forward rate of spread (km/h)
    '  fuel_load: fine fuel load (t/ha)</t>
  </si>
  <si>
    <t>Public Function Flame_height_forest(ROS As Double, fh_e As Single) As Single
    'return the flame height
    'args
    '  ROS - forward rate of spread (m/h)
    '  fh_e - elevated fuel height (m)</t>
  </si>
  <si>
    <t>fh_e</t>
  </si>
  <si>
    <t>U_10</t>
  </si>
  <si>
    <t>Public Function ROS_forest(U_10, fhs_s, fhs_ns, h_ns, fmc, DF, WAF As Single) As Integer
    'return the forward ROS (m/h) ignoring slope
    'args
    '  U_10: 10 m wind speed (km/h)
    '  fhs_s: surface fuel hazard score
    '  fhs_ns: near surface fuel hazard score
    '  h_ns: near surface fuel height (cm)
    '  fmc: fuel moisture content (%)
    '  DF: drought factor (0-10)
    '  WAF: wind adjustment factor</t>
  </si>
  <si>
    <t>fhs_s</t>
  </si>
  <si>
    <t>fhs_ns</t>
  </si>
  <si>
    <t>h_ns</t>
  </si>
  <si>
    <t>fmc</t>
  </si>
  <si>
    <t>temp</t>
  </si>
  <si>
    <t>rh</t>
  </si>
  <si>
    <t>date_</t>
  </si>
  <si>
    <t>time</t>
  </si>
  <si>
    <t>Public Function FMC_forest(temp, rh As Single, date_, time As Date) As Single
    'return the fine fuel moisture content (%)
    'args
    '  temp: air temperature (C)
    '  rh: relative humidity (%)
    '  date_: (underscore due to VBA Date objects)
    '  time:</t>
  </si>
  <si>
    <t>Public Function Mf_forest(ByVal fmc As Single) As Single
    'returns the forest fuel moisture factor
    'args
    '  fmc: fine fule moisture content (%)</t>
  </si>
  <si>
    <t>Public Function FMC_grass(temp, rh As Single) As Single
    'calculate the grass fuel moisture content as % based on McArthur (1966)
    'args
    '  temp: air temperature (C)
    '  rh: relative humidity (%)</t>
  </si>
  <si>
    <t>Public Function curing_coeff_grass(curing As Single) As Single
    'return the curing coefficient based on Cruz et al. (2015)
    'args
    '  curing: degree of grass curing (%)</t>
  </si>
  <si>
    <t>curing</t>
  </si>
  <si>
    <t>Public Function moist_coeff_grass(fmc As Single) As Single
    'calculate the grass moisture coefficient
    'args
    '  fmc: fuel moisture content (%)</t>
  </si>
  <si>
    <t>Public Function ROS_grass(U_10, fmc, curing As Single, state As String) As Integer
    'return the forward ROS (m/h) ignoring slope
    'Args:
    '  U_10: 10 m wind speed (km/h)
    '  fmc: fuel moisture content (%)
    '  curing: degree of grass curing (%)
    '  state: grass state (natural, grazed, eaten-out)</t>
  </si>
  <si>
    <t>U-10</t>
  </si>
  <si>
    <t>pocket-book calculator</t>
  </si>
  <si>
    <t>FireBehaviourCalcs_Australia</t>
  </si>
  <si>
    <t>Public Function Flame_height_grass(ROS As Single, state As String) As Single
    'calculate the flame height (m) based on M. Plucinski, pers. comm.
    'args
    '  ROS: forward rate of spread (m/h)
    '  state: grass state (natural, grazed, eaten-out)</t>
  </si>
  <si>
    <t>pocketbook</t>
  </si>
  <si>
    <t>grass</t>
  </si>
  <si>
    <t>validation source</t>
  </si>
  <si>
    <t>fire-behaviour-index-technical-guide v1.1</t>
  </si>
  <si>
    <t>unvalidated</t>
  </si>
  <si>
    <t>to contribute to testing please use the development version (no date suffix) in the repository</t>
  </si>
  <si>
    <t>https://github.com/Geoffysicist/PyroXL</t>
  </si>
  <si>
    <t>Default values</t>
  </si>
  <si>
    <t>rain</t>
  </si>
  <si>
    <t>hours</t>
  </si>
  <si>
    <t>Public Function FMC_heath(temp, rh, rain, hours As Single) As Single
    'return fuel moisture content (%). Based on:
    '  Cruz, M., et al. (2010). Fire dynamics in mallee-heath: fuel, weather
    '  and fire behaviour prediction in south Australian semi-arid shrublands.
    '  Bushfire CRC Program A Rep 1(01).
    '
    'In addition, a fuel moisture modifier based on recent rainfall was used. Marsden-Smedley, J. B.,
    'et al. (1999). Buttongrass moorland fire-behaviour prediction
    'and management. Tasforests 11: 87-107.
    'Precipitation in mm. Time_since_rain in hours.
    'args
    '  temp: air temperature (C)
    '  rh: relative humidity (%)
    '  rain: precipitation in the last 48 hours (mm)
    '  hours: time since rain or dewfall stopped (h)</t>
  </si>
  <si>
    <t>Heath</t>
  </si>
  <si>
    <t>time since precipitation (h)</t>
  </si>
  <si>
    <t>AFDRS viewer</t>
  </si>
  <si>
    <t>AFDRS Viewer</t>
  </si>
  <si>
    <t>Public Function Spotting_forest(ROS, U_10, fhs_s As Single) As Integer
    'calculates the spotting distance in m
    'args
    '  ROS: forward rate of spread (m/h)
    '  U_10: 10m wind speed (km/h)
    '  fhs_s: fuel hazard score surface</t>
  </si>
  <si>
    <t>FBI
heath</t>
  </si>
  <si>
    <t>precipitation in last 48 hours (mm)</t>
  </si>
  <si>
    <t>woodland overstory?</t>
  </si>
  <si>
    <t>Heath overstorey</t>
  </si>
  <si>
    <t>h_e</t>
  </si>
  <si>
    <t>mc</t>
  </si>
  <si>
    <t>overstorey</t>
  </si>
  <si>
    <t>Public Function Mf_heath(mc As Single) As Single
    'returns the heathland moisture function
    'args
    '  mc: fuel moisture content (%)</t>
  </si>
  <si>
    <t>validation_source</t>
  </si>
  <si>
    <t>WRF</t>
  </si>
  <si>
    <t>elevated fuel height (m)</t>
  </si>
  <si>
    <t>parameter</t>
  </si>
  <si>
    <t>value</t>
  </si>
  <si>
    <t>model</t>
  </si>
  <si>
    <t>heath</t>
  </si>
  <si>
    <t>h_el</t>
  </si>
  <si>
    <t>description</t>
  </si>
  <si>
    <t>Public Function ROS_heath(U_10, h_el, mc As Single, overstorey As Boolean) As Integer
    'return forward rate of spread in m/h [range: 0-6000 m/h]
    'Anderson, W. R., et al. (2015). "A generic, empirical-based model for predicting rate of fire
    'spread in shrublands." International Journal of Wildland Fire 24(4): 443-460.
    'args
    '  U_10: 10 m wind speed (km/h)
    '  h_el: elevated fuel height (m)
    '  mc: fuel moisture content (%)
    '  overstorey: presence or absence of woodland overstorey (true/false)</t>
  </si>
  <si>
    <t>10 m wind speed (km/h)</t>
  </si>
  <si>
    <t>presence of woodland overstorey</t>
  </si>
  <si>
    <t>time since fire (y)</t>
  </si>
  <si>
    <t>tsf</t>
  </si>
  <si>
    <t>k</t>
  </si>
  <si>
    <t>fuel accumulation parameter</t>
  </si>
  <si>
    <t>Public Function Fuel_load(fl_max, tsf, k) As Single
    'returns the fuel load (t/ha) based on time since fire and fuel accumulation curve parameter
    'args
    '  fl_max: the steady state fuel load (t/ha)
    '  tsf: time since fire (y)
    '  k: fuel accumulation curve parameter</t>
  </si>
  <si>
    <t>fl_max</t>
  </si>
  <si>
    <t>steady state fuel load (t/ha)</t>
  </si>
  <si>
    <t>Public Function Flame_height_heath(intensity As Single) As Single
    'returns flame height (m)
    'No equation for flame height was given in the Anderson et al. paper (2015).
    'Here we use the flame height calculation for mallee-heath shrublands (Cruz, M. G., et al. (2013).
    '"Fire behaviour modelling in semi-arid mallee-heath shrublands of southern Australia.
    'Environmental Modelling &amp; Software 40: 21-34).
    'args
    '  intensity: fire line intensity (kW/m)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</si>
</sst>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dd\-mm\-yyyy"/>
    <numFmt numFmtId="165" formatCode="hh:mm"/>
    <numFmt numFmtId="166" formatCode="[$-F400]h:mm:ss\ AM/PM"/>
    <numFmt numFmtId="167" formatCode="0.0"/>
  </numFmts>
  <fonts count="7" x14ac:knownFonts="1">
    <font>
      <sz val="11"/>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1"/>
      <color rgb="FFFF0000"/>
      <name val="Calibri"/>
      <family val="2"/>
      <scheme val="minor"/>
    </font>
    <font>
      <b/>
      <sz val="11"/>
      <color rgb="FF00B050"/>
      <name val="Calibri"/>
      <family val="2"/>
      <scheme val="minor"/>
    </font>
    <font>
      <u/>
      <sz val="11"/>
      <color theme="10"/>
      <name val="Calibri"/>
      <family val="2"/>
      <scheme val="minor"/>
    </font>
  </fonts>
  <fills count="10">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79998168889431442"/>
        <bgColor indexed="64"/>
      </patternFill>
    </fill>
  </fills>
  <borders count="2">
    <border>
      <left/>
      <right/>
      <top/>
      <bottom/>
      <diagonal/>
    </border>
    <border>
      <left style="hair">
        <color auto="1"/>
      </left>
      <right style="hair">
        <color auto="1"/>
      </right>
      <top style="hair">
        <color auto="1"/>
      </top>
      <bottom style="hair">
        <color auto="1"/>
      </bottom>
      <diagonal/>
    </border>
  </borders>
  <cellStyleXfs count="2">
    <xf numFmtId="0" fontId="0" fillId="0" borderId="0"/>
    <xf numFmtId="0" fontId="6" fillId="0" borderId="0" applyNumberFormat="0" applyFill="0" applyBorder="0" applyAlignment="0" applyProtection="0"/>
  </cellStyleXfs>
  <cellXfs count="55">
    <xf numFmtId="0" fontId="0" fillId="0" borderId="0" xfId="0"/>
    <xf numFmtId="166" fontId="0" fillId="0" borderId="0" xfId="0" applyNumberFormat="1"/>
    <xf numFmtId="164" fontId="2" fillId="2" borderId="1" xfId="0" applyNumberFormat="1" applyFont="1" applyFill="1" applyBorder="1" applyProtection="1"/>
    <xf numFmtId="165" fontId="0" fillId="2" borderId="1" xfId="0" applyNumberFormat="1" applyFill="1" applyBorder="1" applyProtection="1"/>
    <xf numFmtId="0" fontId="0" fillId="2" borderId="1" xfId="0" applyFill="1" applyBorder="1" applyProtection="1"/>
    <xf numFmtId="0" fontId="2" fillId="5" borderId="1" xfId="0" applyFont="1" applyFill="1" applyBorder="1" applyProtection="1"/>
    <xf numFmtId="0" fontId="0" fillId="5" borderId="1" xfId="0" applyFill="1" applyBorder="1" applyProtection="1"/>
    <xf numFmtId="167" fontId="0" fillId="5" borderId="1" xfId="0" applyNumberFormat="1" applyFill="1" applyBorder="1" applyProtection="1"/>
    <xf numFmtId="0" fontId="2" fillId="6" borderId="1" xfId="0" applyFont="1" applyFill="1" applyBorder="1" applyProtection="1"/>
    <xf numFmtId="0" fontId="0" fillId="6" borderId="1" xfId="0" applyFill="1" applyBorder="1" applyProtection="1"/>
    <xf numFmtId="167" fontId="0" fillId="6" borderId="1" xfId="0" applyNumberFormat="1" applyFill="1" applyBorder="1" applyProtection="1"/>
    <xf numFmtId="0" fontId="0" fillId="0" borderId="1" xfId="0" applyBorder="1" applyProtection="1"/>
    <xf numFmtId="164" fontId="0" fillId="2" borderId="1" xfId="0" applyNumberFormat="1" applyFill="1" applyBorder="1" applyProtection="1"/>
    <xf numFmtId="0" fontId="1" fillId="5" borderId="1" xfId="0" applyFont="1" applyFill="1" applyBorder="1" applyAlignment="1" applyProtection="1">
      <alignment horizontal="right" indent="1"/>
    </xf>
    <xf numFmtId="0" fontId="1" fillId="5" borderId="1" xfId="0" applyFont="1" applyFill="1" applyBorder="1" applyProtection="1"/>
    <xf numFmtId="0" fontId="1" fillId="6" borderId="1" xfId="0" applyFont="1" applyFill="1" applyBorder="1" applyProtection="1"/>
    <xf numFmtId="0" fontId="0" fillId="5" borderId="1" xfId="0" applyFill="1" applyBorder="1" applyAlignment="1" applyProtection="1">
      <alignment horizontal="right" wrapText="1" indent="1"/>
    </xf>
    <xf numFmtId="0" fontId="1" fillId="5" borderId="1" xfId="0" applyFont="1" applyFill="1" applyBorder="1" applyAlignment="1" applyProtection="1">
      <alignment horizontal="right"/>
    </xf>
    <xf numFmtId="0" fontId="1" fillId="5" borderId="1" xfId="0" applyFont="1" applyFill="1" applyBorder="1" applyAlignment="1" applyProtection="1"/>
    <xf numFmtId="0" fontId="1" fillId="6" borderId="1" xfId="0" applyFont="1" applyFill="1" applyBorder="1" applyAlignment="1" applyProtection="1">
      <alignment horizontal="right"/>
    </xf>
    <xf numFmtId="0" fontId="1" fillId="5" borderId="1" xfId="0" applyFont="1" applyFill="1" applyBorder="1" applyAlignment="1" applyProtection="1">
      <alignment horizontal="right" wrapText="1"/>
    </xf>
    <xf numFmtId="0" fontId="0" fillId="5" borderId="1" xfId="0" applyFill="1" applyBorder="1" applyAlignment="1" applyProtection="1">
      <alignment wrapText="1"/>
    </xf>
    <xf numFmtId="164" fontId="1" fillId="2" borderId="1" xfId="0" applyNumberFormat="1" applyFont="1" applyFill="1" applyBorder="1" applyAlignment="1" applyProtection="1">
      <alignment horizontal="center" wrapText="1"/>
    </xf>
    <xf numFmtId="165" fontId="1" fillId="2" borderId="1" xfId="0" applyNumberFormat="1" applyFont="1" applyFill="1" applyBorder="1" applyAlignment="1" applyProtection="1">
      <alignment horizontal="center" wrapText="1"/>
    </xf>
    <xf numFmtId="0" fontId="1" fillId="2" borderId="1" xfId="0" applyFont="1" applyFill="1" applyBorder="1" applyAlignment="1" applyProtection="1">
      <alignment horizontal="center" wrapText="1"/>
    </xf>
    <xf numFmtId="0" fontId="1" fillId="5" borderId="1" xfId="0" applyFont="1" applyFill="1" applyBorder="1" applyAlignment="1" applyProtection="1">
      <alignment horizontal="center" wrapText="1"/>
    </xf>
    <xf numFmtId="167" fontId="1" fillId="5" borderId="1" xfId="0" applyNumberFormat="1" applyFont="1" applyFill="1" applyBorder="1" applyAlignment="1" applyProtection="1">
      <alignment horizontal="center" wrapText="1"/>
    </xf>
    <xf numFmtId="0" fontId="1" fillId="6" borderId="1" xfId="0" applyFont="1" applyFill="1" applyBorder="1" applyAlignment="1" applyProtection="1">
      <alignment horizontal="center" wrapText="1"/>
    </xf>
    <xf numFmtId="167" fontId="1" fillId="6" borderId="1" xfId="0" applyNumberFormat="1" applyFont="1" applyFill="1" applyBorder="1" applyAlignment="1" applyProtection="1">
      <alignment horizontal="center" wrapText="1"/>
    </xf>
    <xf numFmtId="0" fontId="1" fillId="0" borderId="1" xfId="0" applyFont="1" applyBorder="1" applyAlignment="1" applyProtection="1">
      <alignment horizontal="center" wrapText="1"/>
    </xf>
    <xf numFmtId="164" fontId="0" fillId="3" borderId="1" xfId="0" applyNumberFormat="1" applyFill="1" applyBorder="1" applyProtection="1">
      <protection locked="0"/>
    </xf>
    <xf numFmtId="165" fontId="0" fillId="3" borderId="1" xfId="0" applyNumberFormat="1" applyFill="1" applyBorder="1" applyProtection="1">
      <protection locked="0"/>
    </xf>
    <xf numFmtId="0" fontId="0" fillId="3" borderId="1" xfId="0" applyFill="1" applyBorder="1" applyProtection="1">
      <protection locked="0"/>
    </xf>
    <xf numFmtId="0" fontId="0" fillId="4" borderId="1" xfId="0" applyFill="1" applyBorder="1" applyProtection="1">
      <protection locked="0"/>
    </xf>
    <xf numFmtId="0" fontId="0" fillId="4" borderId="1" xfId="0" applyFill="1" applyBorder="1" applyAlignment="1" applyProtection="1">
      <alignment wrapText="1"/>
      <protection locked="0"/>
    </xf>
    <xf numFmtId="0" fontId="0" fillId="7" borderId="1" xfId="0" applyFill="1" applyBorder="1" applyProtection="1">
      <protection locked="0"/>
    </xf>
    <xf numFmtId="0" fontId="0" fillId="0" borderId="0" xfId="0" applyNumberFormat="1"/>
    <xf numFmtId="0" fontId="1" fillId="2" borderId="1" xfId="0" applyFont="1" applyFill="1" applyBorder="1" applyAlignment="1">
      <alignment horizontal="center" wrapText="1"/>
    </xf>
    <xf numFmtId="164" fontId="3" fillId="2" borderId="1" xfId="0" applyNumberFormat="1" applyFont="1" applyFill="1" applyBorder="1" applyProtection="1"/>
    <xf numFmtId="0" fontId="1" fillId="0" borderId="0" xfId="0" applyFont="1"/>
    <xf numFmtId="0" fontId="4" fillId="0" borderId="0" xfId="0" applyFont="1"/>
    <xf numFmtId="0" fontId="5" fillId="0" borderId="0" xfId="0" applyFont="1"/>
    <xf numFmtId="167" fontId="0" fillId="0" borderId="0" xfId="0" applyNumberFormat="1"/>
    <xf numFmtId="14" fontId="0" fillId="0" borderId="0" xfId="0" applyNumberFormat="1"/>
    <xf numFmtId="20" fontId="0" fillId="0" borderId="0" xfId="0" applyNumberFormat="1"/>
    <xf numFmtId="1" fontId="0" fillId="0" borderId="0" xfId="0" applyNumberFormat="1"/>
    <xf numFmtId="164" fontId="6" fillId="2" borderId="1" xfId="1" applyNumberFormat="1" applyFill="1" applyBorder="1" applyProtection="1"/>
    <xf numFmtId="0" fontId="0" fillId="8" borderId="1" xfId="0" applyFill="1" applyBorder="1" applyProtection="1"/>
    <xf numFmtId="0" fontId="1" fillId="8" borderId="1" xfId="0" applyFont="1" applyFill="1" applyBorder="1" applyAlignment="1" applyProtection="1">
      <alignment horizontal="center" wrapText="1"/>
    </xf>
    <xf numFmtId="0" fontId="0" fillId="9" borderId="1" xfId="0" applyFill="1" applyBorder="1" applyProtection="1">
      <protection locked="0"/>
    </xf>
    <xf numFmtId="0" fontId="2" fillId="8" borderId="1" xfId="0" applyFont="1" applyFill="1" applyBorder="1" applyProtection="1"/>
    <xf numFmtId="0" fontId="1" fillId="8" borderId="1" xfId="0" applyFont="1" applyFill="1" applyBorder="1" applyAlignment="1" applyProtection="1">
      <alignment horizontal="right"/>
    </xf>
    <xf numFmtId="167" fontId="0" fillId="8" borderId="1" xfId="0" applyNumberFormat="1" applyFill="1" applyBorder="1" applyProtection="1"/>
    <xf numFmtId="0" fontId="0" fillId="0" borderId="0" xfId="0" applyAlignment="1">
      <alignment wrapText="1"/>
    </xf>
    <xf numFmtId="0" fontId="0" fillId="0" borderId="0" xfId="0" applyAlignment="1"/>
  </cellXfs>
  <cellStyles count="2">
    <cellStyle name="Hyperlink" xfId="1" builtinId="8"/>
    <cellStyle name="Normal" xfId="0" builtinId="0"/>
  </cellStyles>
  <dxfs count="42">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id="1" name="Table_grass_state" displayName="Table_grass_state" comment="lists acceptable grass states" ref="F1:F4" totalsRowShown="0">
  <autoFilter ref="F1:F4"/>
  <tableColumns count="1">
    <tableColumn id="1" name="Grass State"/>
  </tableColumns>
  <tableStyleInfo name="TableStyleMedium2" showFirstColumn="0" showLastColumn="0" showRowStripes="1" showColumnStripes="0"/>
</table>
</file>

<file path=xl/tables/table2.xml><?xml version="1.0" encoding="utf-8"?>
<table xmlns="http://schemas.openxmlformats.org/spreadsheetml/2006/main" id="2" name="Table_heath_overstorey" displayName="Table_heath_overstorey" ref="H1:I3" totalsRowShown="0">
  <autoFilter ref="H1:I3"/>
  <tableColumns count="2">
    <tableColumn id="1" name="Heath overstorey"/>
    <tableColumn id="2" name="WRF"/>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Geoffysicist/PyroX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FDRS"/>
  <dimension ref="A1:V20"/>
  <sheetViews>
    <sheetView tabSelected="1" workbookViewId="0">
      <selection activeCell="V26" sqref="V26"/>
    </sheetView>
  </sheetViews>
  <sheetFormatPr defaultRowHeight="14.4" x14ac:dyDescent="0.3"/>
  <cols>
    <col min="1" max="1" width="13.77734375" style="30" customWidth="1"/>
    <col min="2" max="2" width="10.77734375" style="31" customWidth="1"/>
    <col min="3" max="6" width="10.77734375" style="32" customWidth="1"/>
    <col min="7" max="7" width="12.77734375" style="6" customWidth="1"/>
    <col min="8" max="9" width="8.88671875" style="6"/>
    <col min="10" max="10" width="8.88671875" style="7"/>
    <col min="11" max="11" width="8.88671875" style="6"/>
    <col min="12" max="12" width="8.88671875" style="7"/>
    <col min="13" max="15" width="8.88671875" style="9"/>
    <col min="16" max="17" width="8.88671875" style="10"/>
    <col min="18" max="20" width="8.88671875" style="47"/>
    <col min="21" max="22" width="8.88671875" style="52"/>
    <col min="23" max="16384" width="8.88671875" style="11"/>
  </cols>
  <sheetData>
    <row r="1" spans="1:22" ht="18" x14ac:dyDescent="0.35">
      <c r="A1" s="2" t="s">
        <v>40</v>
      </c>
      <c r="B1" s="3"/>
      <c r="C1" s="4"/>
      <c r="D1" s="4"/>
      <c r="E1" s="4"/>
      <c r="F1" s="4"/>
      <c r="G1" s="5" t="s">
        <v>6</v>
      </c>
      <c r="M1" s="8" t="s">
        <v>22</v>
      </c>
      <c r="R1" s="50" t="s">
        <v>98</v>
      </c>
      <c r="U1" s="47"/>
      <c r="V1" s="47"/>
    </row>
    <row r="2" spans="1:22" x14ac:dyDescent="0.3">
      <c r="A2" s="12" t="s">
        <v>41</v>
      </c>
      <c r="B2" s="3"/>
      <c r="C2" s="4"/>
      <c r="D2" s="4"/>
      <c r="E2" s="4"/>
      <c r="F2" s="4"/>
      <c r="G2" s="13" t="s">
        <v>7</v>
      </c>
      <c r="H2" s="33">
        <v>3</v>
      </c>
      <c r="I2" s="14" t="s">
        <v>14</v>
      </c>
      <c r="M2" s="15"/>
      <c r="O2" s="15" t="s">
        <v>31</v>
      </c>
      <c r="U2" s="51" t="s">
        <v>104</v>
      </c>
      <c r="V2" s="49">
        <v>0</v>
      </c>
    </row>
    <row r="3" spans="1:22" x14ac:dyDescent="0.3">
      <c r="A3" s="12" t="s">
        <v>42</v>
      </c>
      <c r="B3" s="3"/>
      <c r="C3" s="4"/>
      <c r="D3" s="4"/>
      <c r="E3" s="4"/>
      <c r="F3" s="4"/>
      <c r="G3" s="16"/>
      <c r="H3" s="17" t="s">
        <v>30</v>
      </c>
      <c r="I3" s="18" t="s">
        <v>31</v>
      </c>
      <c r="M3" s="19" t="s">
        <v>33</v>
      </c>
      <c r="N3" s="35" t="s">
        <v>25</v>
      </c>
      <c r="O3" s="9">
        <v>4.5</v>
      </c>
      <c r="U3" s="51" t="s">
        <v>99</v>
      </c>
      <c r="V3" s="49">
        <v>48</v>
      </c>
    </row>
    <row r="4" spans="1:22" x14ac:dyDescent="0.3">
      <c r="A4" s="12" t="s">
        <v>45</v>
      </c>
      <c r="B4" s="3"/>
      <c r="C4" s="4"/>
      <c r="D4" s="4"/>
      <c r="E4" s="4"/>
      <c r="F4" s="4"/>
      <c r="G4" s="20" t="s">
        <v>15</v>
      </c>
      <c r="H4" s="34">
        <v>3</v>
      </c>
      <c r="I4" s="34">
        <v>10</v>
      </c>
      <c r="M4" s="19" t="s">
        <v>27</v>
      </c>
      <c r="N4" s="35">
        <v>80</v>
      </c>
      <c r="U4" s="51" t="s">
        <v>105</v>
      </c>
      <c r="V4" s="49" t="b">
        <v>0</v>
      </c>
    </row>
    <row r="5" spans="1:22" x14ac:dyDescent="0.3">
      <c r="A5" s="12" t="s">
        <v>43</v>
      </c>
      <c r="B5" s="3"/>
      <c r="C5" s="4"/>
      <c r="D5" s="4"/>
      <c r="E5" s="4"/>
      <c r="F5" s="4"/>
      <c r="G5" s="20" t="s">
        <v>16</v>
      </c>
      <c r="H5" s="34">
        <v>3</v>
      </c>
      <c r="I5" s="34">
        <v>2</v>
      </c>
      <c r="U5" s="51" t="s">
        <v>113</v>
      </c>
      <c r="V5" s="49">
        <v>2</v>
      </c>
    </row>
    <row r="6" spans="1:22" x14ac:dyDescent="0.3">
      <c r="A6" s="38"/>
      <c r="B6" s="3"/>
      <c r="C6" s="4"/>
      <c r="D6" s="4"/>
      <c r="E6" s="4"/>
      <c r="F6" s="4"/>
      <c r="G6" s="20" t="s">
        <v>17</v>
      </c>
      <c r="H6" s="34">
        <v>2</v>
      </c>
      <c r="I6" s="34">
        <v>2</v>
      </c>
      <c r="U6" s="51" t="s">
        <v>123</v>
      </c>
      <c r="V6" s="49">
        <v>25</v>
      </c>
    </row>
    <row r="7" spans="1:22" x14ac:dyDescent="0.3">
      <c r="A7" s="12" t="s">
        <v>44</v>
      </c>
      <c r="B7" s="3"/>
      <c r="C7" s="4"/>
      <c r="D7" s="4"/>
      <c r="E7" s="4"/>
      <c r="F7" s="4"/>
      <c r="G7" s="20" t="s">
        <v>18</v>
      </c>
      <c r="H7" s="34">
        <v>1</v>
      </c>
      <c r="I7" s="34">
        <v>2</v>
      </c>
      <c r="U7" s="51" t="s">
        <v>54</v>
      </c>
      <c r="V7" s="47">
        <f>Fuel_load(tables!$C$9,AFDRS!$V$6,tables!$C$8)</f>
        <v>20</v>
      </c>
    </row>
    <row r="8" spans="1:22" x14ac:dyDescent="0.3">
      <c r="A8" s="12"/>
      <c r="B8" s="3"/>
      <c r="C8" s="4"/>
      <c r="D8" s="4"/>
      <c r="E8" s="4"/>
      <c r="F8" s="4"/>
      <c r="G8" s="20" t="s">
        <v>32</v>
      </c>
      <c r="H8" s="21"/>
      <c r="I8" s="34">
        <v>4.5</v>
      </c>
      <c r="U8" s="47"/>
      <c r="V8" s="47"/>
    </row>
    <row r="9" spans="1:22" x14ac:dyDescent="0.3">
      <c r="A9" s="38" t="s">
        <v>92</v>
      </c>
      <c r="B9" s="3"/>
      <c r="C9" s="4"/>
      <c r="D9" s="4"/>
      <c r="E9" s="4"/>
      <c r="F9" s="4"/>
      <c r="G9" s="20"/>
      <c r="H9" s="18" t="s">
        <v>19</v>
      </c>
      <c r="I9" s="21"/>
      <c r="U9" s="47"/>
      <c r="V9" s="47"/>
    </row>
    <row r="10" spans="1:22" x14ac:dyDescent="0.3">
      <c r="A10" s="46" t="s">
        <v>93</v>
      </c>
      <c r="B10" s="3"/>
      <c r="C10" s="4"/>
      <c r="D10" s="4"/>
      <c r="E10" s="4"/>
      <c r="F10" s="4"/>
      <c r="G10" s="20" t="s">
        <v>16</v>
      </c>
      <c r="H10" s="33">
        <v>20</v>
      </c>
      <c r="I10" s="14" t="s">
        <v>20</v>
      </c>
      <c r="U10" s="47"/>
      <c r="V10" s="47"/>
    </row>
    <row r="11" spans="1:22" x14ac:dyDescent="0.3">
      <c r="A11" s="12"/>
      <c r="B11" s="3"/>
      <c r="C11" s="4"/>
      <c r="D11" s="4"/>
      <c r="E11" s="4"/>
      <c r="F11" s="4"/>
      <c r="G11" s="20" t="s">
        <v>17</v>
      </c>
      <c r="H11" s="33">
        <v>2</v>
      </c>
      <c r="I11" s="14" t="s">
        <v>21</v>
      </c>
      <c r="U11" s="47"/>
      <c r="V11" s="47"/>
    </row>
    <row r="12" spans="1:22" x14ac:dyDescent="0.3">
      <c r="A12" s="38"/>
      <c r="B12" s="3"/>
      <c r="C12" s="4"/>
      <c r="D12" s="4"/>
      <c r="E12" s="4"/>
      <c r="F12" s="4"/>
      <c r="G12" s="20" t="s">
        <v>32</v>
      </c>
      <c r="H12" s="33">
        <v>20</v>
      </c>
      <c r="I12" s="14" t="s">
        <v>21</v>
      </c>
      <c r="U12" s="47"/>
      <c r="V12" s="47"/>
    </row>
    <row r="13" spans="1:22" ht="18" x14ac:dyDescent="0.35">
      <c r="A13" s="2" t="s">
        <v>5</v>
      </c>
      <c r="B13" s="3"/>
      <c r="C13" s="4"/>
      <c r="D13" s="4"/>
      <c r="E13" s="4"/>
      <c r="F13" s="4"/>
      <c r="U13" s="47"/>
      <c r="V13" s="47"/>
    </row>
    <row r="14" spans="1:22" s="29" customFormat="1" ht="60" customHeight="1" x14ac:dyDescent="0.3">
      <c r="A14" s="22" t="s">
        <v>0</v>
      </c>
      <c r="B14" s="23" t="s">
        <v>8</v>
      </c>
      <c r="C14" s="37" t="s">
        <v>1</v>
      </c>
      <c r="D14" s="37" t="s">
        <v>2</v>
      </c>
      <c r="E14" s="24" t="s">
        <v>3</v>
      </c>
      <c r="F14" s="24" t="s">
        <v>4</v>
      </c>
      <c r="G14" s="25" t="s">
        <v>29</v>
      </c>
      <c r="H14" s="25" t="s">
        <v>9</v>
      </c>
      <c r="I14" s="25" t="s">
        <v>10</v>
      </c>
      <c r="J14" s="26" t="s">
        <v>11</v>
      </c>
      <c r="K14" s="25" t="s">
        <v>12</v>
      </c>
      <c r="L14" s="26" t="s">
        <v>13</v>
      </c>
      <c r="M14" s="27" t="s">
        <v>28</v>
      </c>
      <c r="N14" s="27" t="s">
        <v>9</v>
      </c>
      <c r="O14" s="27" t="s">
        <v>10</v>
      </c>
      <c r="P14" s="28" t="s">
        <v>11</v>
      </c>
      <c r="Q14" s="28" t="s">
        <v>13</v>
      </c>
      <c r="R14" s="48" t="s">
        <v>103</v>
      </c>
      <c r="S14" s="48" t="s">
        <v>9</v>
      </c>
      <c r="T14" s="48" t="s">
        <v>10</v>
      </c>
      <c r="U14" s="48" t="s">
        <v>11</v>
      </c>
      <c r="V14" s="48" t="s">
        <v>13</v>
      </c>
    </row>
    <row r="15" spans="1:22" x14ac:dyDescent="0.3">
      <c r="A15" s="30">
        <v>22695</v>
      </c>
      <c r="B15" s="31">
        <v>0.625</v>
      </c>
      <c r="C15" s="32">
        <v>30</v>
      </c>
      <c r="D15" s="32">
        <v>10</v>
      </c>
      <c r="E15" s="32">
        <v>20</v>
      </c>
      <c r="F15" s="32">
        <v>9</v>
      </c>
      <c r="G15" s="6">
        <f t="shared" ref="G15" si="0">fbi(I15,$G$1)</f>
        <v>42</v>
      </c>
      <c r="H15" s="6">
        <f t="shared" ref="H15:H20" si="1">ROS_forest(E15,fhs_s,fhs_ns,fh_ns,L15,F15,WAF)</f>
        <v>1254</v>
      </c>
      <c r="I15" s="6">
        <f t="shared" ref="I15:I20" si="2">Intensity_forest(H15,F15,J15,ffl_s,ffl_ns,ffl_e,ffl_o,ffh_o)</f>
        <v>8164</v>
      </c>
      <c r="J15" s="7">
        <f t="shared" ref="J15:J20" si="3">Flame_height_forest(H15,ffh_e)</f>
        <v>12.909432411193848</v>
      </c>
      <c r="K15" s="6">
        <f t="shared" ref="K15:K20" si="4">Spotting_forest(H15,E15,fhs_s)</f>
        <v>2404</v>
      </c>
      <c r="L15" s="7">
        <f>FMC_Forest(C15,D15,A15,B15)</f>
        <v>3.4389998912811279</v>
      </c>
      <c r="M15" s="9">
        <f>fbi(O15,$M$1)</f>
        <v>24</v>
      </c>
      <c r="N15" s="9">
        <f t="shared" ref="N15:N20" si="5">ROS_grass(E15,Q15,curing,state_grass)</f>
        <v>3900</v>
      </c>
      <c r="O15" s="9">
        <f t="shared" ref="O15:O20" si="6">Intensity(N15,fl_grass)</f>
        <v>9067</v>
      </c>
      <c r="P15" s="10">
        <f t="shared" ref="P15:P20" si="7">Flame_height_grass(N15,state_grass)</f>
        <v>1.1467608213424683</v>
      </c>
      <c r="Q15" s="10">
        <f>FMC_Grass(C15,D15)</f>
        <v>4.809999942779541</v>
      </c>
      <c r="R15" s="47">
        <f>fbi(T15,$R$1)</f>
        <v>67</v>
      </c>
      <c r="S15" s="47">
        <f>ROS_heath(E15,$V$5,V15,$V$4)</f>
        <v>2595</v>
      </c>
      <c r="T15" s="47">
        <f>Intensity(S15,$V$7)</f>
        <v>26815</v>
      </c>
      <c r="U15" s="52">
        <f>Flame_height_heath(T15)</f>
        <v>10.099861145019531</v>
      </c>
      <c r="V15" s="52">
        <f>FMC_heath(C15,D15,$V$2,$V$3)</f>
        <v>5.4800000190734863</v>
      </c>
    </row>
    <row r="16" spans="1:22" x14ac:dyDescent="0.3">
      <c r="A16" s="30">
        <v>44180</v>
      </c>
      <c r="B16" s="31">
        <v>0.58333333333333337</v>
      </c>
      <c r="C16" s="32">
        <v>25</v>
      </c>
      <c r="D16" s="32">
        <v>33</v>
      </c>
      <c r="E16" s="32">
        <v>15</v>
      </c>
      <c r="F16" s="32">
        <v>8</v>
      </c>
      <c r="G16" s="6">
        <f t="shared" ref="G16:G20" si="8">fbi(I16,$G$1)</f>
        <v>17</v>
      </c>
      <c r="H16" s="6">
        <f t="shared" si="1"/>
        <v>380</v>
      </c>
      <c r="I16" s="6">
        <f t="shared" si="2"/>
        <v>2199</v>
      </c>
      <c r="J16" s="7">
        <f t="shared" si="3"/>
        <v>5.4452967643737793</v>
      </c>
      <c r="K16" s="6">
        <f t="shared" si="4"/>
        <v>251</v>
      </c>
      <c r="L16" s="7">
        <f t="shared" ref="L16:L20" si="9">FMC_Forest(C16,D16,A16,B16)</f>
        <v>6.3845000267028809</v>
      </c>
      <c r="M16" s="9">
        <f t="shared" ref="M16:M20" si="10">fbi(O16,$M$1)</f>
        <v>15</v>
      </c>
      <c r="N16" s="9">
        <f t="shared" si="5"/>
        <v>1859</v>
      </c>
      <c r="O16" s="9">
        <f t="shared" si="6"/>
        <v>4322</v>
      </c>
      <c r="P16" s="10">
        <f t="shared" si="7"/>
        <v>0.92160791158676147</v>
      </c>
      <c r="Q16" s="10">
        <f t="shared" ref="Q16:Q20" si="11">FMC_Grass(C16,D16)</f>
        <v>9.0089998245239258</v>
      </c>
      <c r="R16" s="47">
        <f t="shared" ref="R16:R20" si="12">fbi(T16,$R$1)</f>
        <v>36</v>
      </c>
      <c r="S16" s="47">
        <f t="shared" ref="S16:S20" si="13">ROS_heath(E16,$V$5,V16,$V$4)</f>
        <v>1115</v>
      </c>
      <c r="T16" s="47">
        <f t="shared" ref="T16:T20" si="14">Intensity(S16,$V$7)</f>
        <v>11522</v>
      </c>
      <c r="U16" s="52">
        <f t="shared" ref="U16:U20" si="15">Flame_height_heath(T16)</f>
        <v>5.9169702529907227</v>
      </c>
      <c r="V16" s="52">
        <f t="shared" ref="V16:V20" si="16">FMC_heath(C16,D16,$V$2,$V$3)</f>
        <v>9.6829996109008789</v>
      </c>
    </row>
    <row r="17" spans="1:22" x14ac:dyDescent="0.3">
      <c r="A17" s="30">
        <v>44181</v>
      </c>
      <c r="B17" s="31">
        <v>0.625</v>
      </c>
      <c r="C17" s="32">
        <v>23</v>
      </c>
      <c r="D17" s="32">
        <v>28</v>
      </c>
      <c r="E17" s="32">
        <v>40</v>
      </c>
      <c r="F17" s="32">
        <v>8</v>
      </c>
      <c r="G17" s="6">
        <f t="shared" si="8"/>
        <v>37</v>
      </c>
      <c r="H17" s="6">
        <f t="shared" si="1"/>
        <v>1209</v>
      </c>
      <c r="I17" s="6">
        <f t="shared" si="2"/>
        <v>6996</v>
      </c>
      <c r="J17" s="7">
        <f t="shared" si="3"/>
        <v>12.572806358337402</v>
      </c>
      <c r="K17" s="6">
        <f t="shared" si="4"/>
        <v>1881</v>
      </c>
      <c r="L17" s="7">
        <f t="shared" si="9"/>
        <v>5.8018999099731445</v>
      </c>
      <c r="M17" s="9">
        <f t="shared" si="10"/>
        <v>31</v>
      </c>
      <c r="N17" s="9">
        <f t="shared" si="5"/>
        <v>4789</v>
      </c>
      <c r="O17" s="9">
        <f t="shared" si="6"/>
        <v>11134</v>
      </c>
      <c r="P17" s="10">
        <f t="shared" si="7"/>
        <v>1.2183750867843628</v>
      </c>
      <c r="Q17" s="10">
        <f t="shared" si="11"/>
        <v>8.7290000915527344</v>
      </c>
      <c r="R17" s="47">
        <f t="shared" si="12"/>
        <v>79</v>
      </c>
      <c r="S17" s="47">
        <f t="shared" si="13"/>
        <v>3040</v>
      </c>
      <c r="T17" s="47">
        <f t="shared" si="14"/>
        <v>31413</v>
      </c>
      <c r="U17" s="52">
        <f t="shared" si="15"/>
        <v>11.164069175720215</v>
      </c>
      <c r="V17" s="52">
        <f t="shared" si="16"/>
        <v>9.0780000686645508</v>
      </c>
    </row>
    <row r="18" spans="1:22" x14ac:dyDescent="0.3">
      <c r="A18" s="30">
        <v>44182</v>
      </c>
      <c r="B18" s="31">
        <v>0.625</v>
      </c>
      <c r="C18" s="32">
        <v>35</v>
      </c>
      <c r="D18" s="32">
        <v>15</v>
      </c>
      <c r="E18" s="32">
        <v>35</v>
      </c>
      <c r="F18" s="32">
        <v>10</v>
      </c>
      <c r="G18" s="6">
        <f t="shared" si="8"/>
        <v>80</v>
      </c>
      <c r="H18" s="6">
        <f t="shared" si="1"/>
        <v>2603</v>
      </c>
      <c r="I18" s="6">
        <f t="shared" si="2"/>
        <v>21854</v>
      </c>
      <c r="J18" s="7">
        <f t="shared" si="3"/>
        <v>21.888996124267578</v>
      </c>
      <c r="K18" s="6">
        <f t="shared" si="4"/>
        <v>4231</v>
      </c>
      <c r="L18" s="7">
        <f t="shared" si="9"/>
        <v>3.9655001163482666</v>
      </c>
      <c r="M18" s="9">
        <f t="shared" si="10"/>
        <v>47</v>
      </c>
      <c r="N18" s="9">
        <f t="shared" si="5"/>
        <v>7077</v>
      </c>
      <c r="O18" s="9">
        <f t="shared" si="6"/>
        <v>16454</v>
      </c>
      <c r="P18" s="10">
        <f t="shared" si="7"/>
        <v>1.3671441078186035</v>
      </c>
      <c r="Q18" s="10">
        <f t="shared" si="11"/>
        <v>4.4749999046325684</v>
      </c>
      <c r="R18" s="47">
        <f t="shared" si="12"/>
        <v>107</v>
      </c>
      <c r="S18" s="47">
        <f t="shared" si="13"/>
        <v>4187</v>
      </c>
      <c r="T18" s="47">
        <f t="shared" si="14"/>
        <v>43266</v>
      </c>
      <c r="U18" s="52">
        <f t="shared" si="15"/>
        <v>13.67203426361084</v>
      </c>
      <c r="V18" s="52">
        <f t="shared" si="16"/>
        <v>5.7849998474121094</v>
      </c>
    </row>
    <row r="19" spans="1:22" x14ac:dyDescent="0.3">
      <c r="A19" s="30">
        <v>44183</v>
      </c>
      <c r="B19" s="31">
        <v>0.625</v>
      </c>
      <c r="C19" s="32">
        <v>35</v>
      </c>
      <c r="D19" s="32">
        <v>5</v>
      </c>
      <c r="E19" s="32">
        <v>55</v>
      </c>
      <c r="F19" s="32">
        <v>10</v>
      </c>
      <c r="G19" s="6">
        <f t="shared" si="8"/>
        <v>106</v>
      </c>
      <c r="H19" s="6">
        <f t="shared" si="1"/>
        <v>3996</v>
      </c>
      <c r="I19" s="6">
        <f t="shared" si="2"/>
        <v>33550</v>
      </c>
      <c r="J19" s="7">
        <f t="shared" si="3"/>
        <v>29.840991973876953</v>
      </c>
      <c r="K19" s="6">
        <f t="shared" si="4"/>
        <v>5461</v>
      </c>
      <c r="L19" s="7">
        <f t="shared" si="9"/>
        <v>2.7255001068115234</v>
      </c>
      <c r="M19" s="9">
        <f t="shared" si="10"/>
        <v>106</v>
      </c>
      <c r="N19" s="9">
        <f t="shared" si="5"/>
        <v>12321</v>
      </c>
      <c r="O19" s="9">
        <f t="shared" si="6"/>
        <v>28646</v>
      </c>
      <c r="P19" s="10">
        <f t="shared" si="7"/>
        <v>1.6100870370864868</v>
      </c>
      <c r="Q19" s="10">
        <f t="shared" si="11"/>
        <v>3.0950000286102295</v>
      </c>
      <c r="R19" s="47">
        <f t="shared" si="12"/>
        <v>173</v>
      </c>
      <c r="S19" s="47">
        <f t="shared" si="13"/>
        <v>7418</v>
      </c>
      <c r="T19" s="47">
        <f t="shared" si="14"/>
        <v>76653</v>
      </c>
      <c r="U19" s="52">
        <f t="shared" si="15"/>
        <v>19.636280059814453</v>
      </c>
      <c r="V19" s="52">
        <f t="shared" si="16"/>
        <v>4.1750001907348633</v>
      </c>
    </row>
    <row r="20" spans="1:22" x14ac:dyDescent="0.3">
      <c r="A20" s="30">
        <v>44001</v>
      </c>
      <c r="B20" s="31">
        <v>0.16666666666666666</v>
      </c>
      <c r="C20" s="32">
        <v>5</v>
      </c>
      <c r="D20" s="32">
        <v>90</v>
      </c>
      <c r="E20" s="32">
        <v>10</v>
      </c>
      <c r="F20" s="32">
        <v>10</v>
      </c>
      <c r="G20" s="6">
        <f t="shared" si="8"/>
        <v>0</v>
      </c>
      <c r="H20" s="6">
        <f t="shared" si="1"/>
        <v>0</v>
      </c>
      <c r="I20" s="6">
        <f t="shared" si="2"/>
        <v>0</v>
      </c>
      <c r="J20" s="7">
        <f t="shared" si="3"/>
        <v>0</v>
      </c>
      <c r="K20" s="6">
        <f t="shared" si="4"/>
        <v>50</v>
      </c>
      <c r="L20" s="7">
        <f t="shared" si="9"/>
        <v>20.658500671386719</v>
      </c>
      <c r="M20" s="9">
        <f t="shared" si="10"/>
        <v>0</v>
      </c>
      <c r="N20" s="9">
        <f t="shared" si="5"/>
        <v>3</v>
      </c>
      <c r="O20" s="9">
        <f t="shared" si="6"/>
        <v>7</v>
      </c>
      <c r="P20" s="10">
        <f t="shared" si="7"/>
        <v>0.13831190764904022</v>
      </c>
      <c r="Q20" s="10">
        <f t="shared" si="11"/>
        <v>20.975000381469727</v>
      </c>
      <c r="R20" s="47">
        <f t="shared" si="12"/>
        <v>11</v>
      </c>
      <c r="S20" s="47">
        <f t="shared" si="13"/>
        <v>39</v>
      </c>
      <c r="T20" s="47">
        <f t="shared" si="14"/>
        <v>403</v>
      </c>
      <c r="U20" s="52">
        <f t="shared" si="15"/>
        <v>0.70845186710357666</v>
      </c>
      <c r="V20" s="52">
        <f t="shared" si="16"/>
        <v>18.430000305175781</v>
      </c>
    </row>
  </sheetData>
  <conditionalFormatting sqref="M15:M1048576">
    <cfRule type="expression" dxfId="41" priority="5">
      <formula>$M15&gt;=100</formula>
    </cfRule>
    <cfRule type="expression" dxfId="40" priority="6">
      <formula>$M15&gt;=50</formula>
    </cfRule>
    <cfRule type="expression" dxfId="39" priority="7">
      <formula>$M15&gt;=24</formula>
    </cfRule>
    <cfRule type="expression" dxfId="38" priority="8">
      <formula>$M15&gt;=12</formula>
    </cfRule>
  </conditionalFormatting>
  <conditionalFormatting sqref="G15:G1048576">
    <cfRule type="expression" dxfId="37" priority="9">
      <formula>$G15&gt;=100</formula>
    </cfRule>
    <cfRule type="expression" dxfId="36" priority="10">
      <formula>$G15&gt;50</formula>
    </cfRule>
    <cfRule type="expression" dxfId="35" priority="11">
      <formula>$G15&gt;=24</formula>
    </cfRule>
    <cfRule type="expression" dxfId="34" priority="12">
      <formula>$G15&gt;=12</formula>
    </cfRule>
  </conditionalFormatting>
  <conditionalFormatting sqref="R15:R20">
    <cfRule type="expression" dxfId="33" priority="4">
      <formula>$R15&gt;=12</formula>
    </cfRule>
  </conditionalFormatting>
  <conditionalFormatting sqref="R15:R20">
    <cfRule type="expression" dxfId="32" priority="1">
      <formula>$R15&gt;=100</formula>
    </cfRule>
    <cfRule type="expression" dxfId="31" priority="2">
      <formula>$R15&gt;=50</formula>
    </cfRule>
    <cfRule type="expression" dxfId="30" priority="3">
      <formula>$R15&gt;=24</formula>
    </cfRule>
  </conditionalFormatting>
  <dataValidations disablePrompts="1" count="4">
    <dataValidation type="decimal" allowBlank="1" showInputMessage="1" showErrorMessage="1" errorTitle="Invalid Curing %" error="Choose a value between 0 and 100" promptTitle="Curing (%)" prompt="select a value betwen 0 and 100" sqref="N4:P4">
      <formula1>0</formula1>
      <formula2>100</formula2>
    </dataValidation>
    <dataValidation type="decimal" errorStyle="warning" allowBlank="1" showInputMessage="1" showErrorMessage="1" errorTitle="Invalid" promptTitle="WAF" prompt="Entera number between 1 and 6. The default for dry sclerophyll is 3" sqref="H2">
      <formula1>1</formula1>
      <formula2>6</formula2>
    </dataValidation>
    <dataValidation type="decimal" allowBlank="1" showInputMessage="1" showErrorMessage="1" errorTitle="Invalid Hazard Score" promptTitle="Fuel Hazard Score" prompt="input a value between 0 and 4_x000a_see Hines et al. 2010, Cheney et al. 2012" sqref="H4:H8">
      <formula1>0</formula1>
      <formula2>4</formula2>
    </dataValidation>
    <dataValidation type="list" allowBlank="1" showInputMessage="1" showErrorMessage="1" errorTitle="please select a valid grass stat" promptTitle="Grass State" prompt="natural: fuel load ≥ 6 t/ha_x000a_grazed: fuel load between 3 and 6 t/ha_x000a_eaten-out: fuel load &lt; 3 t/ha" sqref="P2">
      <formula1>$B$2:$B$4</formula1>
    </dataValidation>
  </dataValidations>
  <hyperlinks>
    <hyperlink ref="A10" r:id="rId1"/>
  </hyperlinks>
  <pageMargins left="0.7" right="0.7" top="0.75" bottom="0.75" header="0.3" footer="0.3"/>
  <pageSetup paperSize="9" orientation="portrait" r:id="rId2"/>
  <extLst>
    <ext xmlns:x14="http://schemas.microsoft.com/office/spreadsheetml/2009/9/main" uri="{CCE6A557-97BC-4b89-ADB6-D9C93CAAB3DF}">
      <x14:dataValidations xmlns:xm="http://schemas.microsoft.com/office/excel/2006/main" disablePrompts="1" count="2">
        <x14:dataValidation type="list" showInputMessage="1" showErrorMessage="1" errorTitle="please select a valid grass stat" promptTitle="Grass State" prompt="natural: fuel load ≥ 6 t/ha_x000a_grazed: fuel load between 3 and 6 t/ha_x000a_eaten-out: fuel load &lt; 3 t/ha">
          <x14:formula1>
            <xm:f>tables!$F$2:$F$4</xm:f>
          </x14:formula1>
          <xm:sqref>N3</xm:sqref>
        </x14:dataValidation>
        <x14:dataValidation type="list" showInputMessage="1" showErrorMessage="1">
          <x14:formula1>
            <xm:f>tables!$H$2:$H$3</xm:f>
          </x14:formula1>
          <xm:sqref>V4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9"/>
  <sheetViews>
    <sheetView workbookViewId="0">
      <selection activeCell="D11" sqref="D11"/>
    </sheetView>
  </sheetViews>
  <sheetFormatPr defaultRowHeight="14.4" x14ac:dyDescent="0.3"/>
  <cols>
    <col min="2" max="2" width="9.77734375" bestFit="1" customWidth="1"/>
    <col min="4" max="4" width="28.77734375" bestFit="1" customWidth="1"/>
    <col min="6" max="6" width="12.109375" customWidth="1"/>
    <col min="8" max="8" width="17.33203125" customWidth="1"/>
  </cols>
  <sheetData>
    <row r="1" spans="1:9" x14ac:dyDescent="0.3">
      <c r="A1" s="39" t="s">
        <v>94</v>
      </c>
      <c r="F1" t="s">
        <v>23</v>
      </c>
      <c r="H1" t="s">
        <v>106</v>
      </c>
      <c r="I1" t="s">
        <v>112</v>
      </c>
    </row>
    <row r="2" spans="1:9" x14ac:dyDescent="0.3">
      <c r="A2" s="39" t="s">
        <v>116</v>
      </c>
      <c r="B2" s="39" t="s">
        <v>114</v>
      </c>
      <c r="C2" s="39" t="s">
        <v>115</v>
      </c>
      <c r="D2" s="39" t="s">
        <v>119</v>
      </c>
      <c r="F2" t="s">
        <v>24</v>
      </c>
      <c r="H2" t="b">
        <v>1</v>
      </c>
      <c r="I2">
        <v>0.35</v>
      </c>
    </row>
    <row r="3" spans="1:9" x14ac:dyDescent="0.3">
      <c r="A3" t="s">
        <v>117</v>
      </c>
      <c r="B3" t="s">
        <v>118</v>
      </c>
      <c r="C3">
        <v>2</v>
      </c>
      <c r="D3" t="s">
        <v>113</v>
      </c>
      <c r="F3" t="s">
        <v>25</v>
      </c>
      <c r="H3" t="b">
        <v>0</v>
      </c>
      <c r="I3">
        <v>0.66700000000000004</v>
      </c>
    </row>
    <row r="4" spans="1:9" x14ac:dyDescent="0.3">
      <c r="B4" t="s">
        <v>72</v>
      </c>
      <c r="C4">
        <v>25</v>
      </c>
      <c r="F4" t="s">
        <v>26</v>
      </c>
    </row>
    <row r="5" spans="1:9" x14ac:dyDescent="0.3">
      <c r="B5" t="s">
        <v>66</v>
      </c>
      <c r="C5">
        <v>20</v>
      </c>
      <c r="D5" t="s">
        <v>121</v>
      </c>
    </row>
    <row r="6" spans="1:9" x14ac:dyDescent="0.3">
      <c r="A6" t="s">
        <v>117</v>
      </c>
      <c r="B6" t="s">
        <v>109</v>
      </c>
      <c r="C6" t="b">
        <v>0</v>
      </c>
      <c r="D6" t="s">
        <v>122</v>
      </c>
    </row>
    <row r="7" spans="1:9" x14ac:dyDescent="0.3">
      <c r="B7" t="s">
        <v>124</v>
      </c>
      <c r="C7">
        <v>25</v>
      </c>
      <c r="D7" t="s">
        <v>123</v>
      </c>
    </row>
    <row r="8" spans="1:9" x14ac:dyDescent="0.3">
      <c r="A8" t="s">
        <v>117</v>
      </c>
      <c r="B8" t="s">
        <v>125</v>
      </c>
      <c r="C8">
        <v>0.2</v>
      </c>
      <c r="D8" t="s">
        <v>126</v>
      </c>
    </row>
    <row r="9" spans="1:9" x14ac:dyDescent="0.3">
      <c r="A9" t="s">
        <v>117</v>
      </c>
      <c r="B9" t="s">
        <v>128</v>
      </c>
      <c r="C9">
        <v>20</v>
      </c>
      <c r="D9" t="s">
        <v>129</v>
      </c>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49"/>
  <sheetViews>
    <sheetView topLeftCell="A19" workbookViewId="0">
      <selection activeCell="I48" sqref="I48"/>
    </sheetView>
  </sheetViews>
  <sheetFormatPr defaultRowHeight="14.4" x14ac:dyDescent="0.3"/>
  <sheetData>
    <row r="1" spans="1:12" x14ac:dyDescent="0.3">
      <c r="A1" s="41" t="s">
        <v>51</v>
      </c>
      <c r="B1" s="41">
        <f>COUNTIF(A:A,"Pass")</f>
        <v>37</v>
      </c>
    </row>
    <row r="2" spans="1:12" x14ac:dyDescent="0.3">
      <c r="A2" s="40" t="s">
        <v>52</v>
      </c>
      <c r="B2" s="40">
        <f>COUNTIF(A:A,"Fail")</f>
        <v>1</v>
      </c>
    </row>
    <row r="4" spans="1:12" ht="100.05" customHeight="1" x14ac:dyDescent="0.3">
      <c r="A4" s="53" t="s">
        <v>47</v>
      </c>
      <c r="B4" s="54"/>
      <c r="C4" s="54"/>
      <c r="D4" s="54"/>
      <c r="E4" s="54"/>
      <c r="F4" s="54"/>
      <c r="G4" s="54"/>
      <c r="H4" s="54"/>
      <c r="I4" s="54"/>
      <c r="J4" s="54"/>
      <c r="K4" s="54"/>
      <c r="L4" s="54"/>
    </row>
    <row r="5" spans="1:12" x14ac:dyDescent="0.3">
      <c r="A5" s="39" t="s">
        <v>35</v>
      </c>
      <c r="B5" s="39" t="s">
        <v>34</v>
      </c>
      <c r="C5" s="39" t="s">
        <v>46</v>
      </c>
      <c r="D5" s="39" t="s">
        <v>48</v>
      </c>
      <c r="E5" s="39" t="s">
        <v>49</v>
      </c>
      <c r="F5" s="39" t="s">
        <v>89</v>
      </c>
    </row>
    <row r="6" spans="1:12" x14ac:dyDescent="0.3">
      <c r="A6" t="str">
        <f>IF(ISBLANK(B6),"",IF(B6=C6,"Pass","Fail"))</f>
        <v>Pass</v>
      </c>
      <c r="B6">
        <v>0</v>
      </c>
      <c r="C6">
        <f>fbi(D6,E6)</f>
        <v>0</v>
      </c>
      <c r="D6">
        <v>0</v>
      </c>
      <c r="E6" t="s">
        <v>50</v>
      </c>
      <c r="F6" t="s">
        <v>90</v>
      </c>
    </row>
    <row r="7" spans="1:12" x14ac:dyDescent="0.3">
      <c r="A7" t="str">
        <f t="shared" ref="A7:A34" si="0">IF(ISBLANK(B7),"",IF(B7=C7,"Pass","Fail"))</f>
        <v>Pass</v>
      </c>
      <c r="B7">
        <v>3</v>
      </c>
      <c r="C7">
        <f t="shared" ref="C7:C18" si="1">fbi(D7,E7)</f>
        <v>3</v>
      </c>
      <c r="D7">
        <v>50</v>
      </c>
      <c r="E7" t="s">
        <v>50</v>
      </c>
      <c r="F7" t="s">
        <v>90</v>
      </c>
    </row>
    <row r="8" spans="1:12" x14ac:dyDescent="0.3">
      <c r="A8" t="str">
        <f t="shared" si="0"/>
        <v>Pass</v>
      </c>
      <c r="B8">
        <v>6</v>
      </c>
      <c r="C8">
        <f t="shared" si="1"/>
        <v>6</v>
      </c>
      <c r="D8">
        <v>100</v>
      </c>
      <c r="E8" t="s">
        <v>50</v>
      </c>
      <c r="F8" t="s">
        <v>90</v>
      </c>
    </row>
    <row r="9" spans="1:12" x14ac:dyDescent="0.3">
      <c r="A9" t="str">
        <f t="shared" si="0"/>
        <v>Pass</v>
      </c>
      <c r="B9">
        <v>9</v>
      </c>
      <c r="C9">
        <f t="shared" si="1"/>
        <v>9</v>
      </c>
      <c r="D9">
        <v>425</v>
      </c>
      <c r="E9" t="s">
        <v>50</v>
      </c>
      <c r="F9" t="s">
        <v>90</v>
      </c>
    </row>
    <row r="10" spans="1:12" x14ac:dyDescent="0.3">
      <c r="A10" t="str">
        <f t="shared" si="0"/>
        <v>Pass</v>
      </c>
      <c r="B10">
        <v>12</v>
      </c>
      <c r="C10">
        <f t="shared" si="1"/>
        <v>12</v>
      </c>
      <c r="D10">
        <v>750</v>
      </c>
      <c r="E10" t="s">
        <v>50</v>
      </c>
      <c r="F10" t="s">
        <v>90</v>
      </c>
    </row>
    <row r="11" spans="1:12" x14ac:dyDescent="0.3">
      <c r="A11" t="str">
        <f t="shared" si="0"/>
        <v>Pass</v>
      </c>
      <c r="B11">
        <v>18</v>
      </c>
      <c r="C11">
        <f t="shared" si="1"/>
        <v>18</v>
      </c>
      <c r="D11">
        <v>2375</v>
      </c>
      <c r="E11" t="s">
        <v>50</v>
      </c>
      <c r="F11" t="s">
        <v>90</v>
      </c>
    </row>
    <row r="12" spans="1:12" x14ac:dyDescent="0.3">
      <c r="A12" t="str">
        <f t="shared" si="0"/>
        <v>Pass</v>
      </c>
      <c r="B12">
        <v>24</v>
      </c>
      <c r="C12">
        <f t="shared" si="1"/>
        <v>24</v>
      </c>
      <c r="D12">
        <v>4000</v>
      </c>
      <c r="E12" t="s">
        <v>50</v>
      </c>
      <c r="F12" t="s">
        <v>90</v>
      </c>
    </row>
    <row r="13" spans="1:12" x14ac:dyDescent="0.3">
      <c r="A13" t="str">
        <f t="shared" si="0"/>
        <v>Pass</v>
      </c>
      <c r="B13">
        <v>37</v>
      </c>
      <c r="C13">
        <f t="shared" si="1"/>
        <v>37</v>
      </c>
      <c r="D13">
        <v>7000</v>
      </c>
      <c r="E13" t="s">
        <v>50</v>
      </c>
      <c r="F13" t="s">
        <v>90</v>
      </c>
    </row>
    <row r="14" spans="1:12" x14ac:dyDescent="0.3">
      <c r="A14" t="str">
        <f t="shared" si="0"/>
        <v>Pass</v>
      </c>
      <c r="B14">
        <v>50</v>
      </c>
      <c r="C14">
        <f t="shared" si="1"/>
        <v>50</v>
      </c>
      <c r="D14">
        <v>10000</v>
      </c>
      <c r="E14" t="s">
        <v>50</v>
      </c>
      <c r="F14" t="s">
        <v>90</v>
      </c>
    </row>
    <row r="15" spans="1:12" x14ac:dyDescent="0.3">
      <c r="A15" t="str">
        <f t="shared" si="0"/>
        <v>Pass</v>
      </c>
      <c r="B15">
        <v>75</v>
      </c>
      <c r="C15">
        <f t="shared" si="1"/>
        <v>75</v>
      </c>
      <c r="D15">
        <v>20000</v>
      </c>
      <c r="E15" t="s">
        <v>50</v>
      </c>
      <c r="F15" t="s">
        <v>90</v>
      </c>
    </row>
    <row r="16" spans="1:12" x14ac:dyDescent="0.3">
      <c r="A16" t="str">
        <f t="shared" si="0"/>
        <v>Pass</v>
      </c>
      <c r="B16">
        <v>100</v>
      </c>
      <c r="C16">
        <f t="shared" si="1"/>
        <v>100</v>
      </c>
      <c r="D16">
        <v>30000</v>
      </c>
      <c r="E16" t="s">
        <v>50</v>
      </c>
      <c r="F16" t="s">
        <v>90</v>
      </c>
    </row>
    <row r="17" spans="1:6" x14ac:dyDescent="0.3">
      <c r="A17" t="str">
        <f t="shared" si="0"/>
        <v>Pass</v>
      </c>
      <c r="B17">
        <v>150</v>
      </c>
      <c r="C17">
        <f t="shared" si="1"/>
        <v>150</v>
      </c>
      <c r="D17">
        <v>60000</v>
      </c>
      <c r="E17" t="s">
        <v>50</v>
      </c>
      <c r="F17" t="s">
        <v>90</v>
      </c>
    </row>
    <row r="18" spans="1:6" x14ac:dyDescent="0.3">
      <c r="A18" t="str">
        <f t="shared" si="0"/>
        <v>Pass</v>
      </c>
      <c r="B18">
        <v>200</v>
      </c>
      <c r="C18">
        <f t="shared" si="1"/>
        <v>200</v>
      </c>
      <c r="D18">
        <v>90000</v>
      </c>
      <c r="E18" t="s">
        <v>50</v>
      </c>
      <c r="F18" t="s">
        <v>90</v>
      </c>
    </row>
    <row r="19" spans="1:6" x14ac:dyDescent="0.3">
      <c r="A19" t="str">
        <f t="shared" ref="A19:A33" si="2">IF(ISBLANK(B19),"",IF(B19=C19,"Pass","Fail"))</f>
        <v>Pass</v>
      </c>
      <c r="B19">
        <v>0</v>
      </c>
      <c r="C19">
        <f t="shared" ref="C19:C33" si="3">fbi(D19,E19)</f>
        <v>0</v>
      </c>
      <c r="D19">
        <v>0</v>
      </c>
      <c r="E19" t="s">
        <v>88</v>
      </c>
      <c r="F19" t="s">
        <v>90</v>
      </c>
    </row>
    <row r="20" spans="1:6" x14ac:dyDescent="0.3">
      <c r="A20" t="str">
        <f t="shared" si="2"/>
        <v>Pass</v>
      </c>
      <c r="B20">
        <v>3</v>
      </c>
      <c r="C20">
        <f t="shared" si="3"/>
        <v>3</v>
      </c>
      <c r="D20">
        <v>50</v>
      </c>
      <c r="E20" t="s">
        <v>88</v>
      </c>
      <c r="F20" t="s">
        <v>90</v>
      </c>
    </row>
    <row r="21" spans="1:6" x14ac:dyDescent="0.3">
      <c r="A21" t="str">
        <f t="shared" si="2"/>
        <v>Pass</v>
      </c>
      <c r="B21">
        <v>6</v>
      </c>
      <c r="C21">
        <f t="shared" si="3"/>
        <v>6</v>
      </c>
      <c r="D21">
        <v>100</v>
      </c>
      <c r="E21" t="s">
        <v>88</v>
      </c>
      <c r="F21" t="s">
        <v>90</v>
      </c>
    </row>
    <row r="22" spans="1:6" x14ac:dyDescent="0.3">
      <c r="A22" t="str">
        <f t="shared" si="2"/>
        <v>Pass</v>
      </c>
      <c r="B22">
        <v>9</v>
      </c>
      <c r="C22">
        <f t="shared" si="3"/>
        <v>9</v>
      </c>
      <c r="D22">
        <v>1450</v>
      </c>
      <c r="E22" t="s">
        <v>88</v>
      </c>
      <c r="F22" t="s">
        <v>90</v>
      </c>
    </row>
    <row r="23" spans="1:6" x14ac:dyDescent="0.3">
      <c r="A23" t="str">
        <f t="shared" si="2"/>
        <v>Pass</v>
      </c>
      <c r="B23">
        <v>12</v>
      </c>
      <c r="C23">
        <f t="shared" si="3"/>
        <v>12</v>
      </c>
      <c r="D23">
        <v>3000</v>
      </c>
      <c r="E23" t="s">
        <v>88</v>
      </c>
      <c r="F23" t="s">
        <v>90</v>
      </c>
    </row>
    <row r="24" spans="1:6" x14ac:dyDescent="0.3">
      <c r="A24" t="str">
        <f t="shared" si="2"/>
        <v>Pass</v>
      </c>
      <c r="B24">
        <v>18</v>
      </c>
      <c r="C24">
        <f t="shared" si="3"/>
        <v>18</v>
      </c>
      <c r="D24">
        <v>6000</v>
      </c>
      <c r="E24" t="s">
        <v>88</v>
      </c>
      <c r="F24" t="s">
        <v>90</v>
      </c>
    </row>
    <row r="25" spans="1:6" x14ac:dyDescent="0.3">
      <c r="A25" t="str">
        <f t="shared" si="2"/>
        <v>Pass</v>
      </c>
      <c r="B25">
        <v>24</v>
      </c>
      <c r="C25">
        <f t="shared" si="3"/>
        <v>24</v>
      </c>
      <c r="D25">
        <v>9000</v>
      </c>
      <c r="E25" t="s">
        <v>88</v>
      </c>
      <c r="F25" t="s">
        <v>90</v>
      </c>
    </row>
    <row r="26" spans="1:6" x14ac:dyDescent="0.3">
      <c r="A26" t="str">
        <f t="shared" si="2"/>
        <v>Pass</v>
      </c>
      <c r="B26">
        <v>37</v>
      </c>
      <c r="C26">
        <f t="shared" si="3"/>
        <v>37</v>
      </c>
      <c r="D26">
        <v>13250</v>
      </c>
      <c r="E26" t="s">
        <v>88</v>
      </c>
      <c r="F26" t="s">
        <v>90</v>
      </c>
    </row>
    <row r="27" spans="1:6" x14ac:dyDescent="0.3">
      <c r="A27" t="str">
        <f t="shared" si="2"/>
        <v>Pass</v>
      </c>
      <c r="B27">
        <v>50</v>
      </c>
      <c r="C27">
        <f t="shared" si="3"/>
        <v>50</v>
      </c>
      <c r="D27">
        <v>17500</v>
      </c>
      <c r="E27" t="s">
        <v>88</v>
      </c>
      <c r="F27" t="s">
        <v>90</v>
      </c>
    </row>
    <row r="28" spans="1:6" x14ac:dyDescent="0.3">
      <c r="A28" t="str">
        <f t="shared" si="2"/>
        <v>Pass</v>
      </c>
      <c r="B28">
        <v>75</v>
      </c>
      <c r="C28">
        <f t="shared" si="3"/>
        <v>75</v>
      </c>
      <c r="D28">
        <v>21250</v>
      </c>
      <c r="E28" t="s">
        <v>88</v>
      </c>
      <c r="F28" t="s">
        <v>90</v>
      </c>
    </row>
    <row r="29" spans="1:6" x14ac:dyDescent="0.3">
      <c r="A29" t="str">
        <f t="shared" si="2"/>
        <v>Pass</v>
      </c>
      <c r="B29">
        <v>100</v>
      </c>
      <c r="C29">
        <f t="shared" si="3"/>
        <v>100</v>
      </c>
      <c r="D29">
        <v>25000</v>
      </c>
      <c r="E29" t="s">
        <v>88</v>
      </c>
      <c r="F29" t="s">
        <v>90</v>
      </c>
    </row>
    <row r="30" spans="1:6" x14ac:dyDescent="0.3">
      <c r="A30" t="str">
        <f t="shared" si="2"/>
        <v>Pass</v>
      </c>
      <c r="B30">
        <v>150</v>
      </c>
      <c r="C30">
        <f t="shared" si="3"/>
        <v>150</v>
      </c>
      <c r="D30">
        <v>57500</v>
      </c>
      <c r="E30" t="s">
        <v>88</v>
      </c>
      <c r="F30" t="s">
        <v>90</v>
      </c>
    </row>
    <row r="31" spans="1:6" x14ac:dyDescent="0.3">
      <c r="A31" t="str">
        <f t="shared" si="2"/>
        <v>Pass</v>
      </c>
      <c r="B31">
        <v>200</v>
      </c>
      <c r="C31">
        <f t="shared" si="3"/>
        <v>200</v>
      </c>
      <c r="D31">
        <v>90000</v>
      </c>
      <c r="E31" t="s">
        <v>88</v>
      </c>
      <c r="F31" t="s">
        <v>90</v>
      </c>
    </row>
    <row r="32" spans="1:6" x14ac:dyDescent="0.3">
      <c r="A32" t="str">
        <f t="shared" si="2"/>
        <v>Pass</v>
      </c>
      <c r="B32">
        <v>7</v>
      </c>
      <c r="C32">
        <f t="shared" si="3"/>
        <v>7</v>
      </c>
      <c r="D32">
        <v>223</v>
      </c>
      <c r="E32" t="s">
        <v>50</v>
      </c>
      <c r="F32" t="s">
        <v>100</v>
      </c>
    </row>
    <row r="33" spans="1:12" x14ac:dyDescent="0.3">
      <c r="A33" t="str">
        <f t="shared" si="2"/>
        <v>Fail</v>
      </c>
      <c r="B33">
        <v>6</v>
      </c>
      <c r="C33">
        <f t="shared" si="3"/>
        <v>7</v>
      </c>
      <c r="D33">
        <v>162</v>
      </c>
      <c r="E33" t="s">
        <v>50</v>
      </c>
      <c r="F33" t="s">
        <v>100</v>
      </c>
    </row>
    <row r="34" spans="1:12" x14ac:dyDescent="0.3">
      <c r="A34" t="str">
        <f t="shared" si="0"/>
        <v/>
      </c>
    </row>
    <row r="35" spans="1:12" ht="100.05" customHeight="1" x14ac:dyDescent="0.3">
      <c r="A35" s="53" t="s">
        <v>63</v>
      </c>
      <c r="B35" s="54"/>
      <c r="C35" s="54"/>
      <c r="D35" s="54"/>
      <c r="E35" s="54"/>
      <c r="F35" s="54"/>
      <c r="G35" s="54"/>
      <c r="H35" s="54"/>
      <c r="I35" s="54"/>
      <c r="J35" s="54"/>
      <c r="K35" s="54"/>
      <c r="L35" s="54"/>
    </row>
    <row r="36" spans="1:12" s="39" customFormat="1" x14ac:dyDescent="0.3">
      <c r="A36" s="39" t="s">
        <v>35</v>
      </c>
      <c r="B36" s="39" t="s">
        <v>34</v>
      </c>
      <c r="C36" s="39" t="s">
        <v>46</v>
      </c>
      <c r="D36" s="39" t="s">
        <v>53</v>
      </c>
      <c r="E36" s="39" t="s">
        <v>54</v>
      </c>
      <c r="F36" s="39" t="s">
        <v>89</v>
      </c>
    </row>
    <row r="37" spans="1:12" x14ac:dyDescent="0.3">
      <c r="A37" t="str">
        <f t="shared" ref="A37:A41" si="4">IF(ISBLANK(B37),"",IF(B37=C37,"Pass","Fail"))</f>
        <v>Pass</v>
      </c>
      <c r="B37">
        <v>517</v>
      </c>
      <c r="C37">
        <f>Intensity(D37,E37)</f>
        <v>517</v>
      </c>
      <c r="D37">
        <v>200</v>
      </c>
      <c r="E37">
        <v>5</v>
      </c>
      <c r="F37" t="s">
        <v>85</v>
      </c>
    </row>
    <row r="38" spans="1:12" x14ac:dyDescent="0.3">
      <c r="A38" t="str">
        <f t="shared" si="4"/>
        <v>Pass</v>
      </c>
      <c r="B38">
        <v>5167</v>
      </c>
      <c r="C38">
        <f t="shared" ref="C38:C40" si="5">Intensity(D38,E38)</f>
        <v>5167</v>
      </c>
      <c r="D38">
        <v>2000</v>
      </c>
      <c r="E38">
        <v>5</v>
      </c>
      <c r="F38" t="s">
        <v>85</v>
      </c>
    </row>
    <row r="39" spans="1:12" x14ac:dyDescent="0.3">
      <c r="A39" t="str">
        <f t="shared" si="4"/>
        <v>Pass</v>
      </c>
      <c r="B39">
        <v>1550</v>
      </c>
      <c r="C39">
        <f t="shared" si="5"/>
        <v>1550</v>
      </c>
      <c r="D39">
        <v>200</v>
      </c>
      <c r="E39">
        <v>15</v>
      </c>
      <c r="F39" t="s">
        <v>85</v>
      </c>
    </row>
    <row r="40" spans="1:12" x14ac:dyDescent="0.3">
      <c r="A40" t="str">
        <f t="shared" si="4"/>
        <v>Pass</v>
      </c>
      <c r="B40">
        <v>15500</v>
      </c>
      <c r="C40">
        <f t="shared" si="5"/>
        <v>15500</v>
      </c>
      <c r="D40">
        <v>2000</v>
      </c>
      <c r="E40">
        <v>15</v>
      </c>
      <c r="F40" t="s">
        <v>85</v>
      </c>
    </row>
    <row r="41" spans="1:12" x14ac:dyDescent="0.3">
      <c r="A41" t="str">
        <f t="shared" si="4"/>
        <v/>
      </c>
    </row>
    <row r="42" spans="1:12" ht="100.05" customHeight="1" x14ac:dyDescent="0.3">
      <c r="A42" s="53" t="s">
        <v>127</v>
      </c>
      <c r="B42" s="54"/>
      <c r="C42" s="54"/>
      <c r="D42" s="54"/>
      <c r="E42" s="54"/>
      <c r="F42" s="54"/>
      <c r="G42" s="54"/>
      <c r="H42" s="54"/>
      <c r="I42" s="54"/>
      <c r="J42" s="54"/>
      <c r="K42" s="54"/>
      <c r="L42" s="54"/>
    </row>
    <row r="43" spans="1:12" x14ac:dyDescent="0.3">
      <c r="A43" s="39" t="s">
        <v>35</v>
      </c>
      <c r="B43" s="39" t="s">
        <v>34</v>
      </c>
      <c r="C43" s="39" t="s">
        <v>46</v>
      </c>
      <c r="D43" s="39" t="s">
        <v>128</v>
      </c>
      <c r="E43" s="39" t="s">
        <v>124</v>
      </c>
      <c r="F43" s="39" t="s">
        <v>125</v>
      </c>
      <c r="G43" s="39" t="s">
        <v>89</v>
      </c>
    </row>
    <row r="44" spans="1:12" x14ac:dyDescent="0.3">
      <c r="A44" t="str">
        <f t="shared" ref="A44:A49" si="6">IF(ISBLANK(B44),"",IF(B44=C44,"Pass","Fail"))</f>
        <v>Pass</v>
      </c>
      <c r="B44">
        <v>8</v>
      </c>
      <c r="C44">
        <f>ROUND(Fuel_load(D44,E44,F44),1)</f>
        <v>8</v>
      </c>
      <c r="D44">
        <v>12</v>
      </c>
      <c r="E44">
        <v>5</v>
      </c>
      <c r="F44">
        <v>0.2</v>
      </c>
    </row>
    <row r="45" spans="1:12" x14ac:dyDescent="0.3">
      <c r="A45" t="str">
        <f t="shared" si="6"/>
        <v>Pass</v>
      </c>
      <c r="B45">
        <v>10</v>
      </c>
      <c r="C45">
        <f t="shared" ref="C45:C49" si="7">ROUND(Fuel_load(D45,E45,F45),1)</f>
        <v>10</v>
      </c>
      <c r="D45">
        <v>12</v>
      </c>
      <c r="E45">
        <v>10</v>
      </c>
      <c r="F45">
        <v>0.2</v>
      </c>
    </row>
    <row r="46" spans="1:12" x14ac:dyDescent="0.3">
      <c r="A46" t="str">
        <f t="shared" si="6"/>
        <v>Pass</v>
      </c>
      <c r="B46">
        <v>11</v>
      </c>
      <c r="C46">
        <f t="shared" si="7"/>
        <v>11</v>
      </c>
      <c r="D46">
        <v>12</v>
      </c>
      <c r="E46">
        <v>15</v>
      </c>
      <c r="F46">
        <v>0.2</v>
      </c>
    </row>
    <row r="47" spans="1:12" x14ac:dyDescent="0.3">
      <c r="A47" t="str">
        <f t="shared" si="6"/>
        <v>Pass</v>
      </c>
      <c r="B47">
        <v>12</v>
      </c>
      <c r="C47">
        <f t="shared" si="7"/>
        <v>12</v>
      </c>
      <c r="D47">
        <v>12</v>
      </c>
      <c r="E47">
        <v>20</v>
      </c>
      <c r="F47">
        <v>0.2</v>
      </c>
    </row>
    <row r="48" spans="1:12" x14ac:dyDescent="0.3">
      <c r="A48" t="str">
        <f t="shared" si="6"/>
        <v>Pass</v>
      </c>
      <c r="B48">
        <v>12</v>
      </c>
      <c r="C48">
        <f t="shared" si="7"/>
        <v>12</v>
      </c>
      <c r="D48">
        <v>12</v>
      </c>
      <c r="E48">
        <v>25</v>
      </c>
      <c r="F48">
        <v>0.2</v>
      </c>
    </row>
    <row r="49" spans="1:6" x14ac:dyDescent="0.3">
      <c r="A49" t="str">
        <f t="shared" si="6"/>
        <v>Pass</v>
      </c>
      <c r="B49">
        <v>12</v>
      </c>
      <c r="C49">
        <f t="shared" si="7"/>
        <v>12</v>
      </c>
      <c r="D49">
        <v>12</v>
      </c>
      <c r="E49">
        <v>30</v>
      </c>
      <c r="F49">
        <v>0.2</v>
      </c>
    </row>
  </sheetData>
  <mergeCells count="3">
    <mergeCell ref="A42:L42"/>
    <mergeCell ref="A35:L35"/>
    <mergeCell ref="A4:L4"/>
  </mergeCells>
  <conditionalFormatting sqref="A6:A34">
    <cfRule type="expression" dxfId="29" priority="5">
      <formula>$A6="Fail"</formula>
    </cfRule>
    <cfRule type="expression" dxfId="28" priority="6">
      <formula>$A$6="Pass"</formula>
    </cfRule>
  </conditionalFormatting>
  <conditionalFormatting sqref="A37:A41">
    <cfRule type="expression" dxfId="27" priority="3">
      <formula>$A37="Fail"</formula>
    </cfRule>
    <cfRule type="expression" dxfId="26" priority="4">
      <formula>$A$6="Pass"</formula>
    </cfRule>
  </conditionalFormatting>
  <conditionalFormatting sqref="A44:A49">
    <cfRule type="expression" dxfId="25" priority="1">
      <formula>$A44="Fail"</formula>
    </cfRule>
    <cfRule type="expression" dxfId="24" priority="2">
      <formula>$A$6="Pass"</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61"/>
  <sheetViews>
    <sheetView topLeftCell="A7" workbookViewId="0">
      <selection activeCell="A12" sqref="A12:L12"/>
    </sheetView>
  </sheetViews>
  <sheetFormatPr defaultRowHeight="14.4" x14ac:dyDescent="0.3"/>
  <cols>
    <col min="6" max="6" width="10.5546875" bestFit="1" customWidth="1"/>
  </cols>
  <sheetData>
    <row r="1" spans="1:12" x14ac:dyDescent="0.3">
      <c r="A1" s="41" t="s">
        <v>51</v>
      </c>
      <c r="B1" s="41">
        <f>COUNTIF(A:A,"Pass")</f>
        <v>31</v>
      </c>
    </row>
    <row r="2" spans="1:12" x14ac:dyDescent="0.3">
      <c r="A2" s="40" t="s">
        <v>52</v>
      </c>
      <c r="B2" s="40">
        <f>COUNTIF(A:A,"Fail")</f>
        <v>7</v>
      </c>
    </row>
    <row r="4" spans="1:12" ht="199.95" customHeight="1" x14ac:dyDescent="0.3">
      <c r="A4" s="53" t="s">
        <v>62</v>
      </c>
      <c r="B4" s="54"/>
      <c r="C4" s="54"/>
      <c r="D4" s="54"/>
      <c r="E4" s="54"/>
      <c r="F4" s="54"/>
      <c r="G4" s="54"/>
      <c r="H4" s="54"/>
      <c r="I4" s="54"/>
      <c r="J4" s="54"/>
      <c r="K4" s="54"/>
      <c r="L4" s="54"/>
    </row>
    <row r="5" spans="1:12" x14ac:dyDescent="0.3">
      <c r="A5" s="39" t="s">
        <v>35</v>
      </c>
      <c r="B5" s="39" t="s">
        <v>34</v>
      </c>
      <c r="C5" s="39" t="s">
        <v>46</v>
      </c>
      <c r="D5" s="39" t="s">
        <v>53</v>
      </c>
      <c r="E5" s="39" t="s">
        <v>55</v>
      </c>
      <c r="F5" s="39" t="s">
        <v>61</v>
      </c>
      <c r="G5" s="39" t="s">
        <v>56</v>
      </c>
      <c r="H5" s="39" t="s">
        <v>57</v>
      </c>
      <c r="I5" s="39" t="s">
        <v>58</v>
      </c>
      <c r="J5" s="39" t="s">
        <v>59</v>
      </c>
      <c r="K5" s="39" t="s">
        <v>60</v>
      </c>
      <c r="L5" s="39" t="s">
        <v>89</v>
      </c>
    </row>
    <row r="6" spans="1:12" x14ac:dyDescent="0.3">
      <c r="A6" t="str">
        <f>IF(ISBLANK(B6),"",IF(B6=C6,"Pass","Fail"))</f>
        <v>Pass</v>
      </c>
      <c r="B6">
        <v>2199</v>
      </c>
      <c r="C6">
        <f>Intensity_forest(D6,E6,F6,G6,H6,I6,J6,K6)</f>
        <v>2199</v>
      </c>
      <c r="D6">
        <v>380.06799999999998</v>
      </c>
      <c r="E6">
        <v>8</v>
      </c>
      <c r="F6">
        <v>2.085</v>
      </c>
      <c r="G6">
        <v>10</v>
      </c>
      <c r="H6">
        <v>2</v>
      </c>
      <c r="I6">
        <v>2</v>
      </c>
      <c r="J6">
        <v>4.5</v>
      </c>
      <c r="K6">
        <v>20</v>
      </c>
    </row>
    <row r="7" spans="1:12" x14ac:dyDescent="0.3">
      <c r="A7" t="str">
        <f t="shared" ref="A7:A11" si="0">IF(ISBLANK(B7),"",IF(B7=C7,"Pass","Fail"))</f>
        <v>Pass</v>
      </c>
      <c r="B7">
        <v>1623</v>
      </c>
      <c r="C7">
        <f t="shared" ref="C7:C10" si="1">Intensity_forest(D7,E7,F7,G7,H7,I7,J7,K7)</f>
        <v>1623</v>
      </c>
      <c r="D7">
        <v>280.50900000000001</v>
      </c>
      <c r="E7">
        <v>8</v>
      </c>
      <c r="F7">
        <v>2.085</v>
      </c>
      <c r="G7">
        <v>10</v>
      </c>
      <c r="H7">
        <v>2</v>
      </c>
      <c r="I7">
        <v>2</v>
      </c>
      <c r="J7">
        <v>4.5</v>
      </c>
      <c r="K7">
        <v>20</v>
      </c>
    </row>
    <row r="8" spans="1:12" x14ac:dyDescent="0.3">
      <c r="A8" t="str">
        <f t="shared" si="0"/>
        <v>Pass</v>
      </c>
      <c r="B8">
        <v>635</v>
      </c>
      <c r="C8">
        <f t="shared" si="1"/>
        <v>635</v>
      </c>
      <c r="D8">
        <v>109.77200000000001</v>
      </c>
      <c r="E8">
        <v>8</v>
      </c>
      <c r="F8">
        <v>2.085</v>
      </c>
      <c r="G8">
        <v>10</v>
      </c>
      <c r="H8">
        <v>2</v>
      </c>
      <c r="I8">
        <v>2</v>
      </c>
      <c r="J8">
        <v>4.5</v>
      </c>
      <c r="K8">
        <v>20</v>
      </c>
    </row>
    <row r="9" spans="1:12" x14ac:dyDescent="0.3">
      <c r="A9" t="str">
        <f t="shared" si="0"/>
        <v>Pass</v>
      </c>
      <c r="B9">
        <v>15537</v>
      </c>
      <c r="C9">
        <f t="shared" si="1"/>
        <v>15537</v>
      </c>
      <c r="D9">
        <v>2685.0259999999998</v>
      </c>
      <c r="E9">
        <v>8</v>
      </c>
      <c r="F9">
        <v>2.085</v>
      </c>
      <c r="G9">
        <v>10</v>
      </c>
      <c r="H9">
        <v>2</v>
      </c>
      <c r="I9">
        <v>2</v>
      </c>
      <c r="J9">
        <v>4.5</v>
      </c>
      <c r="K9">
        <v>20</v>
      </c>
    </row>
    <row r="10" spans="1:12" x14ac:dyDescent="0.3">
      <c r="A10" t="str">
        <f t="shared" si="0"/>
        <v>Pass</v>
      </c>
      <c r="B10">
        <v>16613</v>
      </c>
      <c r="C10">
        <f t="shared" si="1"/>
        <v>16613</v>
      </c>
      <c r="D10">
        <v>2870.8879999999999</v>
      </c>
      <c r="E10">
        <v>8</v>
      </c>
      <c r="F10">
        <v>8.9960000000000004</v>
      </c>
      <c r="G10">
        <v>10</v>
      </c>
      <c r="H10">
        <v>2</v>
      </c>
      <c r="I10">
        <v>2</v>
      </c>
      <c r="J10">
        <v>4.5</v>
      </c>
      <c r="K10">
        <v>20</v>
      </c>
    </row>
    <row r="11" spans="1:12" x14ac:dyDescent="0.3">
      <c r="A11" t="str">
        <f t="shared" si="0"/>
        <v/>
      </c>
    </row>
    <row r="12" spans="1:12" ht="100.05" customHeight="1" x14ac:dyDescent="0.3">
      <c r="A12" s="53" t="s">
        <v>64</v>
      </c>
      <c r="B12" s="54"/>
      <c r="C12" s="54"/>
      <c r="D12" s="54"/>
      <c r="E12" s="54"/>
      <c r="F12" s="54"/>
      <c r="G12" s="54"/>
      <c r="H12" s="54"/>
      <c r="I12" s="54"/>
      <c r="J12" s="54"/>
      <c r="K12" s="54"/>
      <c r="L12" s="54"/>
    </row>
    <row r="13" spans="1:12" x14ac:dyDescent="0.3">
      <c r="A13" s="39" t="s">
        <v>35</v>
      </c>
      <c r="B13" s="39" t="s">
        <v>34</v>
      </c>
      <c r="C13" s="39" t="s">
        <v>46</v>
      </c>
      <c r="D13" s="39" t="s">
        <v>53</v>
      </c>
      <c r="E13" s="39" t="s">
        <v>65</v>
      </c>
      <c r="F13" s="39" t="s">
        <v>89</v>
      </c>
    </row>
    <row r="14" spans="1:12" x14ac:dyDescent="0.3">
      <c r="A14" t="str">
        <f>IF(ISBLANK(B14),"",IF(B14=C14,"Pass","Fail"))</f>
        <v>Pass</v>
      </c>
      <c r="B14">
        <v>1.8</v>
      </c>
      <c r="C14" s="42">
        <f>ROUND(Flame_height_forest(D14,E14),1)</f>
        <v>1.8</v>
      </c>
      <c r="D14">
        <v>200</v>
      </c>
      <c r="E14">
        <v>1</v>
      </c>
    </row>
    <row r="15" spans="1:12" x14ac:dyDescent="0.3">
      <c r="A15" t="str">
        <f t="shared" ref="A15:A18" si="2">IF(ISBLANK(B15),"",IF(B15=C15,"Pass","Fail"))</f>
        <v>Pass</v>
      </c>
      <c r="B15">
        <v>9.5</v>
      </c>
      <c r="C15" s="42">
        <f t="shared" ref="C15:C17" si="3">ROUND(Flame_height_forest(D15,E15),1)</f>
        <v>9.5</v>
      </c>
      <c r="D15">
        <v>2000</v>
      </c>
      <c r="E15">
        <v>1</v>
      </c>
    </row>
    <row r="16" spans="1:12" x14ac:dyDescent="0.3">
      <c r="A16" t="str">
        <f t="shared" si="2"/>
        <v>Pass</v>
      </c>
      <c r="B16">
        <v>3.4</v>
      </c>
      <c r="C16" s="42">
        <f t="shared" si="3"/>
        <v>3.4</v>
      </c>
      <c r="D16">
        <v>200</v>
      </c>
      <c r="E16">
        <v>2</v>
      </c>
    </row>
    <row r="17" spans="1:12" x14ac:dyDescent="0.3">
      <c r="A17" t="str">
        <f t="shared" si="2"/>
        <v>Pass</v>
      </c>
      <c r="B17">
        <v>18.100000000000001</v>
      </c>
      <c r="C17" s="42">
        <f t="shared" si="3"/>
        <v>18.100000000000001</v>
      </c>
      <c r="D17">
        <v>2000</v>
      </c>
      <c r="E17">
        <v>2</v>
      </c>
    </row>
    <row r="18" spans="1:12" x14ac:dyDescent="0.3">
      <c r="A18" t="str">
        <f t="shared" si="2"/>
        <v/>
      </c>
      <c r="C18" s="42"/>
    </row>
    <row r="19" spans="1:12" ht="150" customHeight="1" x14ac:dyDescent="0.3">
      <c r="A19" s="53" t="s">
        <v>67</v>
      </c>
      <c r="B19" s="54"/>
      <c r="C19" s="54"/>
      <c r="D19" s="54"/>
      <c r="E19" s="54"/>
      <c r="F19" s="54"/>
      <c r="G19" s="54"/>
      <c r="H19" s="54"/>
      <c r="I19" s="54"/>
      <c r="J19" s="54"/>
      <c r="K19" s="54"/>
      <c r="L19" s="54"/>
    </row>
    <row r="20" spans="1:12" x14ac:dyDescent="0.3">
      <c r="A20" s="39" t="s">
        <v>35</v>
      </c>
      <c r="B20" s="39" t="s">
        <v>34</v>
      </c>
      <c r="C20" s="39" t="s">
        <v>46</v>
      </c>
      <c r="D20" s="39" t="s">
        <v>66</v>
      </c>
      <c r="E20" s="39" t="s">
        <v>68</v>
      </c>
      <c r="F20" s="39" t="s">
        <v>69</v>
      </c>
      <c r="G20" s="39" t="s">
        <v>70</v>
      </c>
      <c r="H20" s="39" t="s">
        <v>71</v>
      </c>
      <c r="I20" s="39" t="s">
        <v>55</v>
      </c>
      <c r="J20" s="39" t="s">
        <v>7</v>
      </c>
      <c r="K20" s="39" t="s">
        <v>89</v>
      </c>
    </row>
    <row r="21" spans="1:12" x14ac:dyDescent="0.3">
      <c r="A21" t="str">
        <f>IF(ISBLANK(B21),"",IF(B21=C21,"Pass","Fail"))</f>
        <v>Fail</v>
      </c>
      <c r="B21" s="45">
        <v>325</v>
      </c>
      <c r="C21">
        <f>ROS_forest(D21,E21,F21,G21,H21,I21,J21)</f>
        <v>166</v>
      </c>
      <c r="D21">
        <v>10</v>
      </c>
      <c r="E21">
        <v>3</v>
      </c>
      <c r="F21">
        <v>3</v>
      </c>
      <c r="G21">
        <v>20</v>
      </c>
      <c r="H21">
        <v>7.8125</v>
      </c>
      <c r="I21">
        <v>8</v>
      </c>
      <c r="J21">
        <v>3</v>
      </c>
      <c r="K21" t="s">
        <v>85</v>
      </c>
    </row>
    <row r="22" spans="1:12" x14ac:dyDescent="0.3">
      <c r="A22" t="str">
        <f t="shared" ref="A22:A28" si="4">IF(ISBLANK(B22),"",IF(B22=C22,"Pass","Fail"))</f>
        <v>Fail</v>
      </c>
      <c r="B22" s="45">
        <v>955</v>
      </c>
      <c r="C22">
        <f t="shared" ref="C22:C27" si="5">ROS_forest(D22,E22,F22,G22,H22,I22,J22)</f>
        <v>388</v>
      </c>
      <c r="D22">
        <v>20</v>
      </c>
      <c r="E22">
        <v>3</v>
      </c>
      <c r="F22">
        <v>3</v>
      </c>
      <c r="G22">
        <v>20</v>
      </c>
      <c r="H22">
        <v>7.8125</v>
      </c>
      <c r="I22">
        <v>8</v>
      </c>
      <c r="J22">
        <v>3</v>
      </c>
      <c r="K22" t="s">
        <v>85</v>
      </c>
    </row>
    <row r="23" spans="1:12" x14ac:dyDescent="0.3">
      <c r="A23" t="str">
        <f t="shared" si="4"/>
        <v>Fail</v>
      </c>
      <c r="B23" s="45">
        <v>2726</v>
      </c>
      <c r="C23">
        <f t="shared" si="5"/>
        <v>588</v>
      </c>
      <c r="D23">
        <v>30</v>
      </c>
      <c r="E23">
        <v>3</v>
      </c>
      <c r="F23">
        <v>3</v>
      </c>
      <c r="G23">
        <v>20</v>
      </c>
      <c r="H23">
        <v>7.8125</v>
      </c>
      <c r="I23">
        <v>8</v>
      </c>
      <c r="J23">
        <v>3</v>
      </c>
      <c r="K23" t="s">
        <v>85</v>
      </c>
    </row>
    <row r="24" spans="1:12" x14ac:dyDescent="0.3">
      <c r="A24" t="str">
        <f t="shared" si="4"/>
        <v>Fail</v>
      </c>
      <c r="B24" s="45">
        <v>2869</v>
      </c>
      <c r="C24">
        <f t="shared" si="5"/>
        <v>775</v>
      </c>
      <c r="D24">
        <v>40</v>
      </c>
      <c r="E24">
        <v>3</v>
      </c>
      <c r="F24">
        <v>3</v>
      </c>
      <c r="G24">
        <v>20</v>
      </c>
      <c r="H24">
        <v>7.8125</v>
      </c>
      <c r="I24">
        <v>8</v>
      </c>
      <c r="J24">
        <v>3</v>
      </c>
      <c r="K24" t="s">
        <v>85</v>
      </c>
    </row>
    <row r="25" spans="1:12" x14ac:dyDescent="0.3">
      <c r="A25" t="str">
        <f t="shared" si="4"/>
        <v>Fail</v>
      </c>
      <c r="B25" s="45">
        <v>354</v>
      </c>
      <c r="C25">
        <f t="shared" si="5"/>
        <v>955</v>
      </c>
      <c r="D25">
        <v>50</v>
      </c>
      <c r="E25">
        <v>3</v>
      </c>
      <c r="F25">
        <v>3</v>
      </c>
      <c r="G25">
        <v>20</v>
      </c>
      <c r="H25">
        <v>7.8125</v>
      </c>
      <c r="I25">
        <v>8</v>
      </c>
      <c r="J25">
        <v>3</v>
      </c>
      <c r="K25" t="s">
        <v>85</v>
      </c>
    </row>
    <row r="26" spans="1:12" x14ac:dyDescent="0.3">
      <c r="A26" t="str">
        <f t="shared" si="4"/>
        <v>Fail</v>
      </c>
      <c r="B26" s="45">
        <v>2566</v>
      </c>
      <c r="C26">
        <f t="shared" si="5"/>
        <v>1130</v>
      </c>
      <c r="D26">
        <v>60</v>
      </c>
      <c r="E26">
        <v>3</v>
      </c>
      <c r="F26">
        <v>3</v>
      </c>
      <c r="G26">
        <v>20</v>
      </c>
      <c r="H26">
        <v>7.8125</v>
      </c>
      <c r="I26">
        <v>8</v>
      </c>
      <c r="J26">
        <v>3</v>
      </c>
      <c r="K26" t="s">
        <v>85</v>
      </c>
    </row>
    <row r="27" spans="1:12" x14ac:dyDescent="0.3">
      <c r="A27" t="str">
        <f t="shared" si="4"/>
        <v>Fail</v>
      </c>
      <c r="B27" s="45">
        <v>3482</v>
      </c>
      <c r="C27">
        <f t="shared" si="5"/>
        <v>1300</v>
      </c>
      <c r="D27">
        <v>70</v>
      </c>
      <c r="E27">
        <v>3</v>
      </c>
      <c r="F27">
        <v>3</v>
      </c>
      <c r="G27">
        <v>20</v>
      </c>
      <c r="H27">
        <v>7.8125</v>
      </c>
      <c r="I27">
        <v>8</v>
      </c>
      <c r="J27">
        <v>3</v>
      </c>
      <c r="K27" t="s">
        <v>85</v>
      </c>
    </row>
    <row r="28" spans="1:12" x14ac:dyDescent="0.3">
      <c r="A28" t="str">
        <f t="shared" si="4"/>
        <v/>
      </c>
    </row>
    <row r="29" spans="1:12" ht="100.05" customHeight="1" x14ac:dyDescent="0.3">
      <c r="A29" s="53" t="s">
        <v>76</v>
      </c>
      <c r="B29" s="54"/>
      <c r="C29" s="54"/>
      <c r="D29" s="54"/>
      <c r="E29" s="54"/>
      <c r="F29" s="54"/>
      <c r="G29" s="54"/>
      <c r="H29" s="54"/>
      <c r="I29" s="54"/>
      <c r="J29" s="54"/>
      <c r="K29" s="54"/>
      <c r="L29" s="54"/>
    </row>
    <row r="30" spans="1:12" x14ac:dyDescent="0.3">
      <c r="A30" s="39" t="s">
        <v>35</v>
      </c>
      <c r="B30" s="39" t="s">
        <v>34</v>
      </c>
      <c r="C30" s="39" t="s">
        <v>46</v>
      </c>
      <c r="D30" s="39" t="s">
        <v>72</v>
      </c>
      <c r="E30" s="39" t="s">
        <v>73</v>
      </c>
      <c r="F30" s="39" t="s">
        <v>74</v>
      </c>
      <c r="G30" s="39" t="s">
        <v>75</v>
      </c>
      <c r="H30" s="39" t="s">
        <v>89</v>
      </c>
    </row>
    <row r="31" spans="1:12" x14ac:dyDescent="0.3">
      <c r="A31" t="str">
        <f>IF(ISBLANK(B31),"",IF(B31=C31,"Pass","Fail"))</f>
        <v>Pass</v>
      </c>
      <c r="B31">
        <v>4.5999999999999996</v>
      </c>
      <c r="C31">
        <f>ROUND(FMC_Forest(D31,E31,F31,G31),1)</f>
        <v>4.5999999999999996</v>
      </c>
      <c r="D31">
        <v>10</v>
      </c>
      <c r="E31">
        <v>10</v>
      </c>
      <c r="F31" s="43">
        <v>44813</v>
      </c>
      <c r="G31" s="44">
        <v>1.0416666666666666E-2</v>
      </c>
      <c r="H31" t="s">
        <v>91</v>
      </c>
    </row>
    <row r="32" spans="1:12" x14ac:dyDescent="0.3">
      <c r="A32" t="str">
        <f t="shared" ref="A32:A40" si="6">IF(ISBLANK(B32),"",IF(B32=C32,"Pass","Fail"))</f>
        <v>Pass</v>
      </c>
      <c r="B32">
        <v>4.0999999999999996</v>
      </c>
      <c r="C32">
        <f t="shared" ref="C32:C39" si="7">ROUND(FMC_Forest(D32,E32,F32,G32),1)</f>
        <v>4.0999999999999996</v>
      </c>
      <c r="D32">
        <v>20</v>
      </c>
      <c r="E32">
        <v>10</v>
      </c>
      <c r="F32" s="43">
        <v>44813</v>
      </c>
      <c r="G32" s="44">
        <v>1.0416666666666666E-2</v>
      </c>
      <c r="H32" t="s">
        <v>91</v>
      </c>
    </row>
    <row r="33" spans="1:12" x14ac:dyDescent="0.3">
      <c r="A33" t="str">
        <f t="shared" si="6"/>
        <v>Pass</v>
      </c>
      <c r="B33">
        <v>3.6</v>
      </c>
      <c r="C33">
        <f t="shared" si="7"/>
        <v>3.6</v>
      </c>
      <c r="D33">
        <v>30</v>
      </c>
      <c r="E33">
        <v>10</v>
      </c>
      <c r="F33" s="43">
        <v>44813</v>
      </c>
      <c r="G33" s="44">
        <v>1.0416666666666666E-2</v>
      </c>
      <c r="H33" t="s">
        <v>91</v>
      </c>
    </row>
    <row r="34" spans="1:12" x14ac:dyDescent="0.3">
      <c r="A34" t="str">
        <f t="shared" si="6"/>
        <v>Pass</v>
      </c>
      <c r="B34">
        <v>6.6</v>
      </c>
      <c r="C34">
        <f t="shared" si="7"/>
        <v>6.6</v>
      </c>
      <c r="D34">
        <v>10</v>
      </c>
      <c r="E34">
        <v>20</v>
      </c>
      <c r="F34" s="43">
        <v>44813</v>
      </c>
      <c r="G34" s="44">
        <v>1.0416666666666666E-2</v>
      </c>
      <c r="H34" t="s">
        <v>91</v>
      </c>
    </row>
    <row r="35" spans="1:12" x14ac:dyDescent="0.3">
      <c r="A35" t="str">
        <f t="shared" si="6"/>
        <v>Pass</v>
      </c>
      <c r="B35">
        <v>6.1</v>
      </c>
      <c r="C35">
        <f t="shared" si="7"/>
        <v>6.1</v>
      </c>
      <c r="D35">
        <v>20</v>
      </c>
      <c r="E35">
        <v>20</v>
      </c>
      <c r="F35" s="43">
        <v>44813</v>
      </c>
      <c r="G35" s="44">
        <v>1.0416666666666666E-2</v>
      </c>
      <c r="H35" t="s">
        <v>91</v>
      </c>
    </row>
    <row r="36" spans="1:12" x14ac:dyDescent="0.3">
      <c r="A36" t="str">
        <f t="shared" si="6"/>
        <v>Pass</v>
      </c>
      <c r="B36">
        <v>5.6</v>
      </c>
      <c r="C36">
        <f t="shared" si="7"/>
        <v>5.6</v>
      </c>
      <c r="D36">
        <v>30</v>
      </c>
      <c r="E36">
        <v>20</v>
      </c>
      <c r="F36" s="43">
        <v>44813</v>
      </c>
      <c r="G36" s="44">
        <v>1.0416666666666666E-2</v>
      </c>
      <c r="H36" t="s">
        <v>91</v>
      </c>
    </row>
    <row r="37" spans="1:12" x14ac:dyDescent="0.3">
      <c r="A37" t="str">
        <f t="shared" si="6"/>
        <v>Pass</v>
      </c>
      <c r="B37">
        <v>8.5</v>
      </c>
      <c r="C37">
        <f t="shared" si="7"/>
        <v>8.5</v>
      </c>
      <c r="D37">
        <v>10</v>
      </c>
      <c r="E37">
        <v>30</v>
      </c>
      <c r="F37" s="43">
        <v>44813</v>
      </c>
      <c r="G37" s="44">
        <v>1.0416666666666666E-2</v>
      </c>
      <c r="H37" t="s">
        <v>91</v>
      </c>
    </row>
    <row r="38" spans="1:12" x14ac:dyDescent="0.3">
      <c r="A38" t="str">
        <f t="shared" si="6"/>
        <v>Pass</v>
      </c>
      <c r="B38">
        <v>8.1</v>
      </c>
      <c r="C38">
        <f t="shared" si="7"/>
        <v>8.1</v>
      </c>
      <c r="D38">
        <v>20</v>
      </c>
      <c r="E38">
        <v>30</v>
      </c>
      <c r="F38" s="43">
        <v>44813</v>
      </c>
      <c r="G38" s="44">
        <v>1.0416666666666666E-2</v>
      </c>
      <c r="H38" t="s">
        <v>91</v>
      </c>
    </row>
    <row r="39" spans="1:12" x14ac:dyDescent="0.3">
      <c r="A39" t="str">
        <f t="shared" si="6"/>
        <v>Pass</v>
      </c>
      <c r="B39">
        <v>7.8</v>
      </c>
      <c r="C39">
        <f t="shared" si="7"/>
        <v>7.8</v>
      </c>
      <c r="D39">
        <v>25</v>
      </c>
      <c r="E39">
        <v>30</v>
      </c>
      <c r="F39" s="43">
        <v>44813</v>
      </c>
      <c r="G39" s="44">
        <v>0.17847222222222223</v>
      </c>
      <c r="H39" t="s">
        <v>91</v>
      </c>
    </row>
    <row r="40" spans="1:12" x14ac:dyDescent="0.3">
      <c r="A40" t="str">
        <f t="shared" si="6"/>
        <v/>
      </c>
      <c r="F40" s="43"/>
      <c r="G40" s="44"/>
    </row>
    <row r="41" spans="1:12" ht="100.05" customHeight="1" x14ac:dyDescent="0.3">
      <c r="A41" s="53" t="s">
        <v>77</v>
      </c>
      <c r="B41" s="54"/>
      <c r="C41" s="54"/>
      <c r="D41" s="54"/>
      <c r="E41" s="54"/>
      <c r="F41" s="54"/>
      <c r="G41" s="54"/>
      <c r="H41" s="54"/>
      <c r="I41" s="54"/>
      <c r="J41" s="54"/>
      <c r="K41" s="54"/>
      <c r="L41" s="54"/>
    </row>
    <row r="42" spans="1:12" x14ac:dyDescent="0.3">
      <c r="A42" s="39" t="s">
        <v>35</v>
      </c>
      <c r="B42" s="39" t="s">
        <v>34</v>
      </c>
      <c r="C42" s="39" t="s">
        <v>46</v>
      </c>
      <c r="D42" s="39" t="s">
        <v>71</v>
      </c>
      <c r="E42" s="39" t="s">
        <v>89</v>
      </c>
    </row>
    <row r="43" spans="1:12" x14ac:dyDescent="0.3">
      <c r="A43" t="str">
        <f>IF(ISBLANK(B43),"",IF(B43=C43,"Pass","Fail"))</f>
        <v>Pass</v>
      </c>
      <c r="B43">
        <v>1.87</v>
      </c>
      <c r="C43">
        <f>ROUND(Mf_forest(D43),2)</f>
        <v>1.87</v>
      </c>
      <c r="D43">
        <v>4.5999999999999996</v>
      </c>
    </row>
    <row r="44" spans="1:12" x14ac:dyDescent="0.3">
      <c r="A44" t="str">
        <f t="shared" ref="A44:A48" si="8">IF(ISBLANK(B44),"",IF(B44=C44,"Pass","Fail"))</f>
        <v>Pass</v>
      </c>
      <c r="B44">
        <v>2.23</v>
      </c>
      <c r="C44">
        <f t="shared" ref="C44:C47" si="9">ROUND(Mf_forest(D44),2)</f>
        <v>2.23</v>
      </c>
      <c r="D44">
        <v>4.0999999999999996</v>
      </c>
    </row>
    <row r="45" spans="1:12" x14ac:dyDescent="0.3">
      <c r="A45" t="str">
        <f t="shared" si="8"/>
        <v>Pass</v>
      </c>
      <c r="B45">
        <v>2.31</v>
      </c>
      <c r="C45">
        <f t="shared" si="9"/>
        <v>2.31</v>
      </c>
      <c r="D45">
        <v>3.6</v>
      </c>
    </row>
    <row r="46" spans="1:12" x14ac:dyDescent="0.3">
      <c r="A46" t="str">
        <f t="shared" si="8"/>
        <v>Pass</v>
      </c>
      <c r="B46">
        <v>1.0900000000000001</v>
      </c>
      <c r="C46">
        <f t="shared" si="9"/>
        <v>1.0900000000000001</v>
      </c>
      <c r="D46">
        <v>6.6</v>
      </c>
    </row>
    <row r="47" spans="1:12" x14ac:dyDescent="0.3">
      <c r="A47" t="str">
        <f t="shared" si="8"/>
        <v>Pass</v>
      </c>
      <c r="B47">
        <v>1.23</v>
      </c>
      <c r="C47">
        <f t="shared" si="9"/>
        <v>1.23</v>
      </c>
      <c r="D47">
        <v>6.1</v>
      </c>
    </row>
    <row r="48" spans="1:12" x14ac:dyDescent="0.3">
      <c r="A48" t="str">
        <f t="shared" si="8"/>
        <v/>
      </c>
    </row>
    <row r="49" spans="1:12" ht="100.05" customHeight="1" x14ac:dyDescent="0.3">
      <c r="A49" s="53" t="s">
        <v>102</v>
      </c>
      <c r="B49" s="54"/>
      <c r="C49" s="54"/>
      <c r="D49" s="54"/>
      <c r="E49" s="54"/>
      <c r="F49" s="54"/>
      <c r="G49" s="54"/>
      <c r="H49" s="54"/>
      <c r="I49" s="54"/>
      <c r="J49" s="54"/>
      <c r="K49" s="54"/>
      <c r="L49" s="54"/>
    </row>
    <row r="50" spans="1:12" x14ac:dyDescent="0.3">
      <c r="A50" s="39" t="s">
        <v>35</v>
      </c>
      <c r="B50" s="39" t="s">
        <v>34</v>
      </c>
      <c r="C50" s="39" t="s">
        <v>46</v>
      </c>
      <c r="D50" s="39" t="s">
        <v>53</v>
      </c>
      <c r="E50" s="39" t="s">
        <v>66</v>
      </c>
      <c r="F50" s="39" t="s">
        <v>68</v>
      </c>
      <c r="G50" s="39" t="s">
        <v>89</v>
      </c>
    </row>
    <row r="51" spans="1:12" x14ac:dyDescent="0.3">
      <c r="A51" t="str">
        <f>IF(ISBLANK(B51),"",IF(B51=C51,"Pass","Fail"))</f>
        <v>Pass</v>
      </c>
      <c r="B51" s="45">
        <v>699</v>
      </c>
      <c r="C51">
        <f>Spotting_forest(D51,E51,F51)</f>
        <v>699</v>
      </c>
      <c r="D51">
        <v>708.53710207539802</v>
      </c>
      <c r="E51">
        <v>20</v>
      </c>
      <c r="F51">
        <v>2</v>
      </c>
    </row>
    <row r="52" spans="1:12" x14ac:dyDescent="0.3">
      <c r="A52" t="str">
        <f t="shared" ref="A52:A55" si="10">IF(ISBLANK(B52),"",IF(B52=C52,"Pass","Fail"))</f>
        <v>Pass</v>
      </c>
      <c r="B52" s="45">
        <v>2174</v>
      </c>
      <c r="C52">
        <f t="shared" ref="C52:C55" si="11">Spotting_forest(D52,E52,F52)</f>
        <v>2174</v>
      </c>
      <c r="D52">
        <v>1734.8959411297028</v>
      </c>
      <c r="E52">
        <v>40</v>
      </c>
      <c r="F52">
        <v>2</v>
      </c>
    </row>
    <row r="53" spans="1:12" x14ac:dyDescent="0.3">
      <c r="A53" t="str">
        <f t="shared" si="10"/>
        <v>Pass</v>
      </c>
      <c r="B53" s="45">
        <v>3616</v>
      </c>
      <c r="C53">
        <f t="shared" si="11"/>
        <v>3616</v>
      </c>
      <c r="D53">
        <v>2768.6296605305874</v>
      </c>
      <c r="E53">
        <v>35</v>
      </c>
      <c r="F53">
        <v>2</v>
      </c>
    </row>
    <row r="54" spans="1:12" x14ac:dyDescent="0.3">
      <c r="A54" t="str">
        <f t="shared" si="10"/>
        <v>Pass</v>
      </c>
      <c r="B54" s="45">
        <v>272</v>
      </c>
      <c r="C54">
        <f t="shared" si="11"/>
        <v>272</v>
      </c>
      <c r="D54">
        <v>170</v>
      </c>
      <c r="E54">
        <v>4</v>
      </c>
      <c r="F54">
        <v>2</v>
      </c>
    </row>
    <row r="55" spans="1:12" x14ac:dyDescent="0.3">
      <c r="A55" t="str">
        <f t="shared" si="10"/>
        <v>Pass</v>
      </c>
      <c r="B55" s="45">
        <v>237</v>
      </c>
      <c r="C55">
        <f t="shared" si="11"/>
        <v>237</v>
      </c>
      <c r="D55">
        <v>160</v>
      </c>
      <c r="E55">
        <v>10</v>
      </c>
      <c r="F55">
        <v>2</v>
      </c>
    </row>
    <row r="56" spans="1:12" x14ac:dyDescent="0.3">
      <c r="A56" t="str">
        <f t="shared" ref="A56:A58" si="12">IF(ISBLANK(B56),"",IF(B56=C56,"Pass","Fail"))</f>
        <v>Pass</v>
      </c>
      <c r="B56" s="45">
        <v>203</v>
      </c>
      <c r="C56">
        <f t="shared" ref="C56:C58" si="13">Spotting_forest(D56,E56,F56)</f>
        <v>203</v>
      </c>
      <c r="D56">
        <v>150</v>
      </c>
      <c r="E56">
        <v>10</v>
      </c>
      <c r="F56">
        <v>2</v>
      </c>
    </row>
    <row r="57" spans="1:12" x14ac:dyDescent="0.3">
      <c r="A57" t="str">
        <f t="shared" si="12"/>
        <v>Pass</v>
      </c>
      <c r="B57" s="45">
        <v>50</v>
      </c>
      <c r="C57">
        <f t="shared" si="13"/>
        <v>50</v>
      </c>
      <c r="D57">
        <v>149</v>
      </c>
      <c r="E57">
        <v>10</v>
      </c>
      <c r="F57">
        <v>2</v>
      </c>
    </row>
    <row r="58" spans="1:12" x14ac:dyDescent="0.3">
      <c r="A58" t="str">
        <f t="shared" si="12"/>
        <v>Pass</v>
      </c>
      <c r="B58" s="45">
        <v>50</v>
      </c>
      <c r="C58">
        <f t="shared" si="13"/>
        <v>50</v>
      </c>
      <c r="D58">
        <v>46</v>
      </c>
      <c r="E58">
        <v>11</v>
      </c>
      <c r="F58">
        <v>3</v>
      </c>
      <c r="G58" t="s">
        <v>101</v>
      </c>
    </row>
    <row r="59" spans="1:12" x14ac:dyDescent="0.3">
      <c r="B59" s="45"/>
    </row>
    <row r="60" spans="1:12" x14ac:dyDescent="0.3">
      <c r="B60" s="45"/>
    </row>
    <row r="61" spans="1:12" x14ac:dyDescent="0.3">
      <c r="B61" s="45"/>
    </row>
  </sheetData>
  <mergeCells count="6">
    <mergeCell ref="A49:L49"/>
    <mergeCell ref="A4:L4"/>
    <mergeCell ref="A12:L12"/>
    <mergeCell ref="A19:L19"/>
    <mergeCell ref="A29:L29"/>
    <mergeCell ref="A41:L41"/>
  </mergeCells>
  <conditionalFormatting sqref="A6:A11">
    <cfRule type="expression" dxfId="23" priority="11">
      <formula>$A6="Fail"</formula>
    </cfRule>
    <cfRule type="expression" dxfId="22" priority="12">
      <formula>$A$9="Pass"</formula>
    </cfRule>
  </conditionalFormatting>
  <conditionalFormatting sqref="A14:A18">
    <cfRule type="expression" dxfId="21" priority="9">
      <formula>$A14="Fail"</formula>
    </cfRule>
    <cfRule type="expression" dxfId="20" priority="10">
      <formula>$A$9="Pass"</formula>
    </cfRule>
  </conditionalFormatting>
  <conditionalFormatting sqref="A21:A28">
    <cfRule type="expression" dxfId="19" priority="7">
      <formula>$A21="Fail"</formula>
    </cfRule>
    <cfRule type="expression" dxfId="18" priority="8">
      <formula>$A$9="Pass"</formula>
    </cfRule>
  </conditionalFormatting>
  <conditionalFormatting sqref="A31:A40">
    <cfRule type="expression" dxfId="17" priority="5">
      <formula>$A31="Fail"</formula>
    </cfRule>
    <cfRule type="expression" dxfId="16" priority="6">
      <formula>$A$9="Pass"</formula>
    </cfRule>
  </conditionalFormatting>
  <conditionalFormatting sqref="A43:A48">
    <cfRule type="expression" dxfId="15" priority="3">
      <formula>$A43="Fail"</formula>
    </cfRule>
    <cfRule type="expression" dxfId="14" priority="4">
      <formula>$A$9="Pass"</formula>
    </cfRule>
  </conditionalFormatting>
  <conditionalFormatting sqref="A51:A61">
    <cfRule type="expression" dxfId="13" priority="1">
      <formula>$A51="Fail"</formula>
    </cfRule>
    <cfRule type="expression" dxfId="12" priority="2">
      <formula>$A$9="Pass"</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38"/>
  <sheetViews>
    <sheetView workbookViewId="0">
      <selection activeCell="F11" sqref="F11"/>
    </sheetView>
  </sheetViews>
  <sheetFormatPr defaultRowHeight="14.4" x14ac:dyDescent="0.3"/>
  <sheetData>
    <row r="1" spans="1:12" x14ac:dyDescent="0.3">
      <c r="A1" s="41" t="s">
        <v>51</v>
      </c>
      <c r="B1" s="41">
        <f>COUNTIF(A:A,"Pass")</f>
        <v>19</v>
      </c>
    </row>
    <row r="2" spans="1:12" x14ac:dyDescent="0.3">
      <c r="A2" s="40" t="s">
        <v>52</v>
      </c>
      <c r="B2" s="40">
        <f>COUNTIF(A:A,"Fail")</f>
        <v>1</v>
      </c>
    </row>
    <row r="4" spans="1:12" ht="100.05" customHeight="1" x14ac:dyDescent="0.3">
      <c r="A4" s="53" t="s">
        <v>78</v>
      </c>
      <c r="B4" s="54"/>
      <c r="C4" s="54"/>
      <c r="D4" s="54"/>
      <c r="E4" s="54"/>
      <c r="F4" s="54"/>
      <c r="G4" s="54"/>
      <c r="H4" s="54"/>
      <c r="I4" s="54"/>
      <c r="J4" s="54"/>
      <c r="K4" s="54"/>
      <c r="L4" s="54"/>
    </row>
    <row r="5" spans="1:12" x14ac:dyDescent="0.3">
      <c r="A5" s="39" t="s">
        <v>35</v>
      </c>
      <c r="B5" s="39" t="s">
        <v>34</v>
      </c>
      <c r="C5" s="39" t="s">
        <v>46</v>
      </c>
      <c r="D5" s="39" t="s">
        <v>72</v>
      </c>
      <c r="E5" s="39" t="s">
        <v>73</v>
      </c>
      <c r="F5" s="39" t="s">
        <v>89</v>
      </c>
    </row>
    <row r="6" spans="1:12" x14ac:dyDescent="0.3">
      <c r="A6" t="str">
        <f>IF(ISBLANK(B6),"",IF(B6=C6,"Pass","Fail"))</f>
        <v>Fail</v>
      </c>
      <c r="B6">
        <v>10.5</v>
      </c>
      <c r="C6">
        <f>ROUND(FMC_Grass(D6,E6),2)</f>
        <v>10.39</v>
      </c>
      <c r="D6">
        <v>25</v>
      </c>
      <c r="E6">
        <v>43</v>
      </c>
      <c r="F6" t="s">
        <v>87</v>
      </c>
    </row>
    <row r="7" spans="1:12" x14ac:dyDescent="0.3">
      <c r="A7" t="str">
        <f t="shared" ref="A7:A11" si="0">IF(ISBLANK(B7),"",IF(B7=C7,"Pass","Fail"))</f>
        <v>Pass</v>
      </c>
      <c r="B7">
        <v>8.73</v>
      </c>
      <c r="C7">
        <f t="shared" ref="C7:C10" si="1">ROUND(FMC_Grass(D7,E7),2)</f>
        <v>8.73</v>
      </c>
      <c r="D7">
        <v>23</v>
      </c>
      <c r="E7">
        <v>28</v>
      </c>
      <c r="F7" t="s">
        <v>87</v>
      </c>
    </row>
    <row r="8" spans="1:12" x14ac:dyDescent="0.3">
      <c r="A8" t="str">
        <f t="shared" si="0"/>
        <v>Pass</v>
      </c>
      <c r="B8">
        <v>4.47</v>
      </c>
      <c r="C8">
        <f t="shared" si="1"/>
        <v>4.47</v>
      </c>
      <c r="D8">
        <v>35</v>
      </c>
      <c r="E8">
        <v>15</v>
      </c>
      <c r="F8" t="s">
        <v>87</v>
      </c>
    </row>
    <row r="9" spans="1:12" x14ac:dyDescent="0.3">
      <c r="A9" t="str">
        <f t="shared" si="0"/>
        <v>Pass</v>
      </c>
      <c r="B9">
        <v>6.19</v>
      </c>
      <c r="C9">
        <f t="shared" si="1"/>
        <v>6.19</v>
      </c>
      <c r="D9">
        <v>30</v>
      </c>
      <c r="E9">
        <v>20</v>
      </c>
      <c r="F9" t="s">
        <v>87</v>
      </c>
    </row>
    <row r="10" spans="1:12" x14ac:dyDescent="0.3">
      <c r="A10" t="str">
        <f t="shared" si="0"/>
        <v>Pass</v>
      </c>
      <c r="B10">
        <v>20.98</v>
      </c>
      <c r="C10">
        <f t="shared" si="1"/>
        <v>20.98</v>
      </c>
      <c r="D10">
        <v>5</v>
      </c>
      <c r="E10">
        <v>90</v>
      </c>
      <c r="F10" t="s">
        <v>87</v>
      </c>
    </row>
    <row r="11" spans="1:12" x14ac:dyDescent="0.3">
      <c r="A11" t="str">
        <f t="shared" si="0"/>
        <v/>
      </c>
    </row>
    <row r="12" spans="1:12" ht="100.05" customHeight="1" x14ac:dyDescent="0.3">
      <c r="A12" s="53" t="s">
        <v>79</v>
      </c>
      <c r="B12" s="54"/>
      <c r="C12" s="54"/>
      <c r="D12" s="54"/>
      <c r="E12" s="54"/>
      <c r="F12" s="54"/>
      <c r="G12" s="54"/>
      <c r="H12" s="54"/>
      <c r="I12" s="54"/>
      <c r="J12" s="54"/>
      <c r="K12" s="54"/>
      <c r="L12" s="54"/>
    </row>
    <row r="13" spans="1:12" x14ac:dyDescent="0.3">
      <c r="A13" s="39" t="s">
        <v>35</v>
      </c>
      <c r="B13" s="39" t="s">
        <v>34</v>
      </c>
      <c r="C13" s="39" t="s">
        <v>46</v>
      </c>
      <c r="D13" s="39" t="s">
        <v>80</v>
      </c>
      <c r="E13" s="39" t="s">
        <v>89</v>
      </c>
    </row>
    <row r="14" spans="1:12" x14ac:dyDescent="0.3">
      <c r="A14" t="str">
        <f>IF(ISBLANK(B14),"",IF(B14=C14,"Pass","Fail"))</f>
        <v>Pass</v>
      </c>
      <c r="B14">
        <v>0.89</v>
      </c>
      <c r="C14">
        <f>ROUND(curing_coeff_grass(D14),2)</f>
        <v>0.89</v>
      </c>
      <c r="D14">
        <v>85</v>
      </c>
      <c r="E14" t="s">
        <v>85</v>
      </c>
    </row>
    <row r="15" spans="1:12" x14ac:dyDescent="0.3">
      <c r="A15" t="str">
        <f t="shared" ref="A15:A16" si="2">IF(ISBLANK(B15),"",IF(B15=C15,"Pass","Fail"))</f>
        <v>Pass</v>
      </c>
      <c r="B15">
        <v>0.98</v>
      </c>
      <c r="C15">
        <f>ROUND(curing_coeff_grass(D15),2)</f>
        <v>0.98</v>
      </c>
      <c r="D15">
        <v>95</v>
      </c>
      <c r="E15" t="s">
        <v>85</v>
      </c>
    </row>
    <row r="16" spans="1:12" x14ac:dyDescent="0.3">
      <c r="A16" t="str">
        <f t="shared" si="2"/>
        <v/>
      </c>
    </row>
    <row r="17" spans="1:12" ht="100.05" customHeight="1" x14ac:dyDescent="0.3">
      <c r="A17" s="53" t="s">
        <v>81</v>
      </c>
      <c r="B17" s="54"/>
      <c r="C17" s="54"/>
      <c r="D17" s="54"/>
      <c r="E17" s="54"/>
      <c r="F17" s="54"/>
      <c r="G17" s="54"/>
      <c r="H17" s="54"/>
      <c r="I17" s="54"/>
      <c r="J17" s="54"/>
      <c r="K17" s="54"/>
      <c r="L17" s="54"/>
    </row>
    <row r="18" spans="1:12" x14ac:dyDescent="0.3">
      <c r="A18" s="39" t="s">
        <v>35</v>
      </c>
      <c r="B18" s="39" t="s">
        <v>34</v>
      </c>
      <c r="C18" s="39" t="s">
        <v>46</v>
      </c>
      <c r="D18" s="39" t="s">
        <v>66</v>
      </c>
      <c r="E18" s="39" t="s">
        <v>71</v>
      </c>
      <c r="F18" s="39" t="s">
        <v>89</v>
      </c>
    </row>
    <row r="19" spans="1:12" x14ac:dyDescent="0.3">
      <c r="A19" t="str">
        <f>IF(ISBLANK(B19),"",IF(B19=C19,"Pass","Fail"))</f>
        <v>Pass</v>
      </c>
      <c r="B19">
        <v>0.52300000000000002</v>
      </c>
      <c r="C19">
        <f>ROUND(moist_coeff_grass(D19,E19),3)</f>
        <v>0.52300000000000002</v>
      </c>
      <c r="D19">
        <v>20</v>
      </c>
      <c r="E19">
        <v>6</v>
      </c>
      <c r="F19" t="s">
        <v>85</v>
      </c>
    </row>
    <row r="20" spans="1:12" x14ac:dyDescent="0.3">
      <c r="A20" t="str">
        <f t="shared" ref="A20:A24" si="3">IF(ISBLANK(B20),"",IF(B20=C20,"Pass","Fail"))</f>
        <v>Pass</v>
      </c>
      <c r="B20">
        <v>0.27300000000000002</v>
      </c>
      <c r="C20">
        <f t="shared" ref="C20:C23" si="4">ROUND(moist_coeff_grass(D20,E20),3)</f>
        <v>0.27300000000000002</v>
      </c>
      <c r="D20">
        <v>20</v>
      </c>
      <c r="E20">
        <v>12</v>
      </c>
      <c r="F20" t="s">
        <v>85</v>
      </c>
    </row>
    <row r="21" spans="1:12" x14ac:dyDescent="0.3">
      <c r="A21" t="str">
        <f t="shared" si="3"/>
        <v>Pass</v>
      </c>
      <c r="B21">
        <v>0.17100000000000001</v>
      </c>
      <c r="C21">
        <f t="shared" si="4"/>
        <v>0.17100000000000001</v>
      </c>
      <c r="D21">
        <v>5</v>
      </c>
      <c r="E21">
        <v>15</v>
      </c>
      <c r="F21" t="s">
        <v>85</v>
      </c>
    </row>
    <row r="22" spans="1:12" x14ac:dyDescent="0.3">
      <c r="A22" t="str">
        <f t="shared" si="3"/>
        <v>Pass</v>
      </c>
      <c r="B22">
        <v>0.17100000000000001</v>
      </c>
      <c r="C22">
        <f t="shared" si="4"/>
        <v>0.17100000000000001</v>
      </c>
      <c r="D22">
        <v>10</v>
      </c>
      <c r="E22">
        <v>15</v>
      </c>
      <c r="F22" t="s">
        <v>85</v>
      </c>
    </row>
    <row r="23" spans="1:12" x14ac:dyDescent="0.3">
      <c r="A23" t="str">
        <f t="shared" si="3"/>
        <v>Pass</v>
      </c>
      <c r="B23">
        <v>1E-3</v>
      </c>
      <c r="C23">
        <f t="shared" si="4"/>
        <v>1E-3</v>
      </c>
      <c r="D23">
        <v>15</v>
      </c>
      <c r="E23">
        <v>30</v>
      </c>
      <c r="F23" t="s">
        <v>85</v>
      </c>
    </row>
    <row r="24" spans="1:12" x14ac:dyDescent="0.3">
      <c r="A24" t="str">
        <f t="shared" si="3"/>
        <v/>
      </c>
    </row>
    <row r="25" spans="1:12" ht="100.05" customHeight="1" x14ac:dyDescent="0.3">
      <c r="A25" s="53" t="s">
        <v>82</v>
      </c>
      <c r="B25" s="54"/>
      <c r="C25" s="54"/>
      <c r="D25" s="54"/>
      <c r="E25" s="54"/>
      <c r="F25" s="54"/>
      <c r="G25" s="54"/>
      <c r="H25" s="54"/>
      <c r="I25" s="54"/>
      <c r="J25" s="54"/>
      <c r="K25" s="54"/>
      <c r="L25" s="54"/>
    </row>
    <row r="26" spans="1:12" x14ac:dyDescent="0.3">
      <c r="A26" s="39" t="s">
        <v>35</v>
      </c>
      <c r="B26" s="39" t="s">
        <v>34</v>
      </c>
      <c r="C26" s="39" t="s">
        <v>46</v>
      </c>
      <c r="D26" s="39" t="s">
        <v>83</v>
      </c>
      <c r="E26" s="39" t="s">
        <v>71</v>
      </c>
      <c r="F26" s="39" t="s">
        <v>80</v>
      </c>
      <c r="G26" s="39" t="s">
        <v>33</v>
      </c>
      <c r="H26" s="39" t="s">
        <v>89</v>
      </c>
    </row>
    <row r="27" spans="1:12" x14ac:dyDescent="0.3">
      <c r="A27" t="str">
        <f>IF(ISBLANK(B27),"",IF(B27=C27,"Pass","Fail"))</f>
        <v>Pass</v>
      </c>
      <c r="B27">
        <v>2981</v>
      </c>
      <c r="C27">
        <f>ROS_grass(D27,E27,F27,G27)</f>
        <v>2981</v>
      </c>
      <c r="D27">
        <v>20</v>
      </c>
      <c r="E27">
        <v>11</v>
      </c>
      <c r="F27">
        <v>95</v>
      </c>
      <c r="G27" t="s">
        <v>24</v>
      </c>
      <c r="H27" t="s">
        <v>84</v>
      </c>
    </row>
    <row r="28" spans="1:12" x14ac:dyDescent="0.3">
      <c r="A28" t="str">
        <f t="shared" ref="A28:A32" si="5">IF(ISBLANK(B28),"",IF(B28=C28,"Pass","Fail"))</f>
        <v>Pass</v>
      </c>
      <c r="B28">
        <v>2517</v>
      </c>
      <c r="C28">
        <f t="shared" ref="C28:C29" si="6">ROS_grass(D28,E28,F28,G28)</f>
        <v>2517</v>
      </c>
      <c r="D28">
        <v>20</v>
      </c>
      <c r="E28">
        <v>10.5</v>
      </c>
      <c r="F28">
        <v>95</v>
      </c>
      <c r="G28" t="s">
        <v>25</v>
      </c>
      <c r="H28" t="s">
        <v>84</v>
      </c>
    </row>
    <row r="29" spans="1:12" x14ac:dyDescent="0.3">
      <c r="A29" t="str">
        <f t="shared" si="5"/>
        <v>Pass</v>
      </c>
      <c r="B29">
        <v>1259</v>
      </c>
      <c r="C29">
        <f t="shared" si="6"/>
        <v>1259</v>
      </c>
      <c r="D29">
        <v>20</v>
      </c>
      <c r="E29">
        <v>10.5</v>
      </c>
      <c r="F29">
        <v>95</v>
      </c>
      <c r="G29" t="s">
        <v>26</v>
      </c>
      <c r="H29" t="s">
        <v>84</v>
      </c>
    </row>
    <row r="30" spans="1:12" x14ac:dyDescent="0.3">
      <c r="A30" t="str">
        <f t="shared" si="5"/>
        <v>Pass</v>
      </c>
      <c r="B30">
        <v>355</v>
      </c>
      <c r="C30">
        <f t="shared" ref="C30" si="7">ROS_grass(D30,E30,F30,G30)</f>
        <v>355</v>
      </c>
      <c r="D30">
        <v>20</v>
      </c>
      <c r="E30">
        <v>22</v>
      </c>
      <c r="F30">
        <v>95</v>
      </c>
      <c r="G30" t="s">
        <v>25</v>
      </c>
      <c r="H30" t="s">
        <v>84</v>
      </c>
    </row>
    <row r="31" spans="1:12" x14ac:dyDescent="0.3">
      <c r="A31" t="str">
        <f t="shared" ref="A31" si="8">IF(ISBLANK(B31),"",IF(B31=C31,"Pass","Fail"))</f>
        <v>Pass</v>
      </c>
      <c r="B31">
        <v>4</v>
      </c>
      <c r="C31">
        <f t="shared" ref="C31" si="9">ROS_grass(D31,E31,F31,G31)</f>
        <v>4</v>
      </c>
      <c r="D31">
        <v>10</v>
      </c>
      <c r="E31">
        <v>21</v>
      </c>
      <c r="F31">
        <v>95</v>
      </c>
      <c r="G31" t="s">
        <v>25</v>
      </c>
      <c r="H31" t="s">
        <v>84</v>
      </c>
    </row>
    <row r="32" spans="1:12" x14ac:dyDescent="0.3">
      <c r="A32" t="str">
        <f t="shared" si="5"/>
        <v/>
      </c>
    </row>
    <row r="33" spans="1:12" ht="100.05" customHeight="1" x14ac:dyDescent="0.3">
      <c r="A33" s="53" t="s">
        <v>86</v>
      </c>
      <c r="B33" s="54"/>
      <c r="C33" s="54"/>
      <c r="D33" s="54"/>
      <c r="E33" s="54"/>
      <c r="F33" s="54"/>
      <c r="G33" s="54"/>
      <c r="H33" s="54"/>
      <c r="I33" s="54"/>
      <c r="J33" s="54"/>
      <c r="K33" s="54"/>
      <c r="L33" s="54"/>
    </row>
    <row r="34" spans="1:12" x14ac:dyDescent="0.3">
      <c r="A34" s="39" t="s">
        <v>35</v>
      </c>
      <c r="B34" s="39" t="s">
        <v>34</v>
      </c>
      <c r="C34" s="39" t="s">
        <v>46</v>
      </c>
      <c r="D34" s="39" t="s">
        <v>53</v>
      </c>
      <c r="E34" s="39" t="s">
        <v>33</v>
      </c>
      <c r="F34" s="39" t="s">
        <v>89</v>
      </c>
    </row>
    <row r="35" spans="1:12" x14ac:dyDescent="0.3">
      <c r="A35" t="str">
        <f>IF(ISBLANK(B35),"",IF(B35=C35,"Pass","Fail"))</f>
        <v>Pass</v>
      </c>
      <c r="B35">
        <v>2.5</v>
      </c>
      <c r="C35">
        <f>ROUND(Flame_height_grass(D35,E35),1)</f>
        <v>2.5</v>
      </c>
      <c r="D35">
        <v>3033</v>
      </c>
      <c r="E35" t="s">
        <v>24</v>
      </c>
      <c r="F35" t="s">
        <v>91</v>
      </c>
    </row>
    <row r="36" spans="1:12" x14ac:dyDescent="0.3">
      <c r="A36" t="str">
        <f t="shared" ref="A36:A38" si="10">IF(ISBLANK(B36),"",IF(B36=C36,"Pass","Fail"))</f>
        <v>Pass</v>
      </c>
      <c r="B36">
        <v>1.3</v>
      </c>
      <c r="C36">
        <f t="shared" ref="C36:C37" si="11">ROUND(Flame_height_grass(D36,E36),1)</f>
        <v>1.3</v>
      </c>
      <c r="D36">
        <v>5813</v>
      </c>
      <c r="E36" t="s">
        <v>25</v>
      </c>
      <c r="F36" t="s">
        <v>91</v>
      </c>
    </row>
    <row r="37" spans="1:12" x14ac:dyDescent="0.3">
      <c r="A37" t="str">
        <f t="shared" si="10"/>
        <v>Pass</v>
      </c>
      <c r="B37">
        <v>1.4</v>
      </c>
      <c r="C37">
        <f t="shared" si="11"/>
        <v>1.4</v>
      </c>
      <c r="D37">
        <v>8041</v>
      </c>
      <c r="E37" t="s">
        <v>26</v>
      </c>
      <c r="F37" t="s">
        <v>91</v>
      </c>
    </row>
    <row r="38" spans="1:12" x14ac:dyDescent="0.3">
      <c r="A38" t="str">
        <f t="shared" si="10"/>
        <v/>
      </c>
    </row>
  </sheetData>
  <mergeCells count="5">
    <mergeCell ref="A4:L4"/>
    <mergeCell ref="A12:L12"/>
    <mergeCell ref="A17:L17"/>
    <mergeCell ref="A25:L25"/>
    <mergeCell ref="A33:L33"/>
  </mergeCells>
  <conditionalFormatting sqref="A6:A11 A27:A32">
    <cfRule type="expression" dxfId="11" priority="9">
      <formula>$A6="Fail"</formula>
    </cfRule>
    <cfRule type="expression" dxfId="10" priority="10">
      <formula>$A$9="Pass"</formula>
    </cfRule>
  </conditionalFormatting>
  <conditionalFormatting sqref="A14:A16">
    <cfRule type="expression" dxfId="9" priority="7">
      <formula>$A14="Fail"</formula>
    </cfRule>
    <cfRule type="expression" dxfId="8" priority="8">
      <formula>$A$9="Pass"</formula>
    </cfRule>
  </conditionalFormatting>
  <conditionalFormatting sqref="A19:A24">
    <cfRule type="expression" dxfId="7" priority="5">
      <formula>$A19="Fail"</formula>
    </cfRule>
    <cfRule type="expression" dxfId="6" priority="6">
      <formula>$A$9="Pass"</formula>
    </cfRule>
  </conditionalFormatting>
  <conditionalFormatting sqref="A35:A38">
    <cfRule type="expression" dxfId="5" priority="1">
      <formula>$A35="Fail"</formula>
    </cfRule>
    <cfRule type="expression" dxfId="4" priority="2">
      <formula>$A$9="Pass"</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29"/>
  <sheetViews>
    <sheetView topLeftCell="A7" workbookViewId="0">
      <selection activeCell="A24" sqref="A24:L24"/>
    </sheetView>
  </sheetViews>
  <sheetFormatPr defaultRowHeight="14.4" x14ac:dyDescent="0.3"/>
  <cols>
    <col min="7" max="7" width="10.21875" customWidth="1"/>
  </cols>
  <sheetData>
    <row r="1" spans="1:12" x14ac:dyDescent="0.3">
      <c r="A1" s="41" t="s">
        <v>51</v>
      </c>
      <c r="B1" s="41">
        <f>COUNTIF(A:A,"Pass")</f>
        <v>15</v>
      </c>
    </row>
    <row r="2" spans="1:12" x14ac:dyDescent="0.3">
      <c r="A2" s="40" t="s">
        <v>52</v>
      </c>
      <c r="B2" s="40">
        <f>COUNTIF(A:A,"Fail")</f>
        <v>0</v>
      </c>
    </row>
    <row r="4" spans="1:12" ht="220.05" customHeight="1" x14ac:dyDescent="0.3">
      <c r="A4" s="53" t="s">
        <v>97</v>
      </c>
      <c r="B4" s="54"/>
      <c r="C4" s="54"/>
      <c r="D4" s="54"/>
      <c r="E4" s="54"/>
      <c r="F4" s="54"/>
      <c r="G4" s="54"/>
      <c r="H4" s="54"/>
      <c r="I4" s="54"/>
      <c r="J4" s="54"/>
      <c r="K4" s="54"/>
      <c r="L4" s="54"/>
    </row>
    <row r="5" spans="1:12" x14ac:dyDescent="0.3">
      <c r="A5" s="39" t="s">
        <v>35</v>
      </c>
      <c r="B5" s="39" t="s">
        <v>34</v>
      </c>
      <c r="C5" s="39" t="s">
        <v>46</v>
      </c>
      <c r="D5" s="39" t="s">
        <v>72</v>
      </c>
      <c r="E5" s="39" t="s">
        <v>73</v>
      </c>
      <c r="F5" s="39" t="s">
        <v>95</v>
      </c>
      <c r="G5" s="39" t="s">
        <v>96</v>
      </c>
      <c r="H5" s="39" t="s">
        <v>89</v>
      </c>
    </row>
    <row r="6" spans="1:12" x14ac:dyDescent="0.3">
      <c r="A6" t="str">
        <f>IF(ISBLANK(B6),"",IF(B6=C6,"Pass","Fail"))</f>
        <v>Pass</v>
      </c>
      <c r="B6">
        <v>59.5</v>
      </c>
      <c r="C6">
        <f>ROUND(FMC_heath(D6,E6,F6,G6),1)</f>
        <v>59.5</v>
      </c>
      <c r="D6">
        <v>25</v>
      </c>
      <c r="E6">
        <v>20</v>
      </c>
      <c r="F6">
        <v>5</v>
      </c>
      <c r="G6">
        <v>3</v>
      </c>
      <c r="H6" t="s">
        <v>91</v>
      </c>
    </row>
    <row r="7" spans="1:12" x14ac:dyDescent="0.3">
      <c r="A7" t="str">
        <f t="shared" ref="A7:A8" si="0">IF(ISBLANK(B7),"",IF(B7=C7,"Pass","Fail"))</f>
        <v>Pass</v>
      </c>
      <c r="B7">
        <v>64.400000000000006</v>
      </c>
      <c r="C7">
        <f>ROUND(FMC_heath(D7,E7,F7,G7),1)</f>
        <v>64.400000000000006</v>
      </c>
      <c r="D7">
        <v>25</v>
      </c>
      <c r="E7">
        <v>61</v>
      </c>
      <c r="F7">
        <v>5</v>
      </c>
      <c r="G7">
        <v>3</v>
      </c>
      <c r="H7" t="s">
        <v>91</v>
      </c>
    </row>
    <row r="8" spans="1:12" x14ac:dyDescent="0.3">
      <c r="A8" t="str">
        <f t="shared" si="0"/>
        <v>Pass</v>
      </c>
      <c r="B8">
        <v>6.3</v>
      </c>
      <c r="C8">
        <f>ROUND(FMC_heath(D8,E8,F8,G8),1)</f>
        <v>6.3</v>
      </c>
      <c r="D8">
        <v>30</v>
      </c>
      <c r="E8">
        <v>15</v>
      </c>
      <c r="F8">
        <v>0</v>
      </c>
      <c r="G8">
        <v>0</v>
      </c>
      <c r="H8" t="s">
        <v>91</v>
      </c>
    </row>
    <row r="10" spans="1:12" ht="100.05" customHeight="1" x14ac:dyDescent="0.3">
      <c r="A10" s="53" t="s">
        <v>110</v>
      </c>
      <c r="B10" s="54"/>
      <c r="C10" s="54"/>
      <c r="D10" s="54"/>
      <c r="E10" s="54"/>
      <c r="F10" s="54"/>
      <c r="G10" s="54"/>
      <c r="H10" s="54"/>
      <c r="I10" s="54"/>
      <c r="J10" s="54"/>
      <c r="K10" s="54"/>
      <c r="L10" s="54"/>
    </row>
    <row r="11" spans="1:12" x14ac:dyDescent="0.3">
      <c r="A11" s="39" t="s">
        <v>35</v>
      </c>
      <c r="B11" s="39" t="s">
        <v>34</v>
      </c>
      <c r="C11" s="39" t="s">
        <v>46</v>
      </c>
      <c r="D11" s="39" t="s">
        <v>108</v>
      </c>
      <c r="E11" s="39" t="s">
        <v>111</v>
      </c>
    </row>
    <row r="12" spans="1:12" x14ac:dyDescent="0.3">
      <c r="A12" t="str">
        <f>IF(ISBLANK(B12),"",IF(B12=C12,"Pass","Fail"))</f>
        <v>Pass</v>
      </c>
      <c r="B12">
        <v>0.73699999999999999</v>
      </c>
      <c r="C12">
        <f>ROUND(Mf_heath(D12),3)</f>
        <v>0.73699999999999999</v>
      </c>
      <c r="D12">
        <v>3</v>
      </c>
    </row>
    <row r="13" spans="1:12" x14ac:dyDescent="0.3">
      <c r="A13" t="str">
        <f t="shared" ref="A13:A17" si="1">IF(ISBLANK(B13),"",IF(B13=C13,"Pass","Fail"))</f>
        <v>Pass</v>
      </c>
      <c r="B13">
        <v>0.73699999999999999</v>
      </c>
      <c r="C13">
        <f t="shared" ref="C13:C17" si="2">ROUND(Mf_heath(D13),3)</f>
        <v>0.73699999999999999</v>
      </c>
      <c r="D13">
        <v>4</v>
      </c>
    </row>
    <row r="14" spans="1:12" x14ac:dyDescent="0.3">
      <c r="A14" t="str">
        <f t="shared" si="1"/>
        <v>Pass</v>
      </c>
      <c r="B14">
        <v>0.46700000000000003</v>
      </c>
      <c r="C14">
        <f t="shared" si="2"/>
        <v>0.46700000000000003</v>
      </c>
      <c r="D14">
        <v>10</v>
      </c>
    </row>
    <row r="15" spans="1:12" x14ac:dyDescent="0.3">
      <c r="A15" t="str">
        <f t="shared" si="1"/>
        <v>Pass</v>
      </c>
      <c r="B15">
        <v>0.23499999999999999</v>
      </c>
      <c r="C15">
        <f t="shared" si="2"/>
        <v>0.23499999999999999</v>
      </c>
      <c r="D15">
        <v>19</v>
      </c>
    </row>
    <row r="16" spans="1:12" x14ac:dyDescent="0.3">
      <c r="A16" t="str">
        <f t="shared" si="1"/>
        <v>Pass</v>
      </c>
      <c r="B16">
        <v>0.218</v>
      </c>
      <c r="C16">
        <f t="shared" si="2"/>
        <v>0.218</v>
      </c>
      <c r="D16">
        <v>20</v>
      </c>
    </row>
    <row r="17" spans="1:12" x14ac:dyDescent="0.3">
      <c r="A17" t="str">
        <f t="shared" si="1"/>
        <v>Pass</v>
      </c>
      <c r="B17">
        <v>0.05</v>
      </c>
      <c r="C17">
        <f t="shared" si="2"/>
        <v>0.05</v>
      </c>
      <c r="D17">
        <v>21</v>
      </c>
    </row>
    <row r="19" spans="1:12" ht="139.94999999999999" customHeight="1" x14ac:dyDescent="0.3">
      <c r="A19" s="53" t="s">
        <v>120</v>
      </c>
      <c r="B19" s="54"/>
      <c r="C19" s="54"/>
      <c r="D19" s="54"/>
      <c r="E19" s="54"/>
      <c r="F19" s="54"/>
      <c r="G19" s="54"/>
      <c r="H19" s="54"/>
      <c r="I19" s="54"/>
      <c r="J19" s="54"/>
      <c r="K19" s="54"/>
      <c r="L19" s="54"/>
    </row>
    <row r="20" spans="1:12" x14ac:dyDescent="0.3">
      <c r="A20" s="39" t="s">
        <v>35</v>
      </c>
      <c r="B20" s="39" t="s">
        <v>34</v>
      </c>
      <c r="C20" s="39" t="s">
        <v>46</v>
      </c>
      <c r="D20" s="39" t="s">
        <v>66</v>
      </c>
      <c r="E20" s="39" t="s">
        <v>107</v>
      </c>
      <c r="F20" s="39" t="s">
        <v>108</v>
      </c>
      <c r="G20" s="39" t="s">
        <v>109</v>
      </c>
      <c r="H20" s="39" t="s">
        <v>89</v>
      </c>
    </row>
    <row r="21" spans="1:12" x14ac:dyDescent="0.3">
      <c r="A21" t="str">
        <f>IF(ISBLANK(B21),"",IF(B21=C21,"Pass","Fail"))</f>
        <v>Pass</v>
      </c>
      <c r="B21">
        <v>927</v>
      </c>
      <c r="C21">
        <f>ROS_heath(D21,E21,F21,G21)</f>
        <v>927</v>
      </c>
      <c r="D21">
        <v>25</v>
      </c>
      <c r="E21">
        <v>2</v>
      </c>
      <c r="F21">
        <v>10</v>
      </c>
      <c r="G21" t="b">
        <v>1</v>
      </c>
      <c r="H21" t="s">
        <v>91</v>
      </c>
    </row>
    <row r="22" spans="1:12" x14ac:dyDescent="0.3">
      <c r="A22" t="str">
        <f>IF(ISBLANK(B22),"",IF(B22=C22,"Pass","Fail"))</f>
        <v>Pass</v>
      </c>
      <c r="B22">
        <v>1670</v>
      </c>
      <c r="C22">
        <f>ROS_heath(D22,E22,F22,G22)</f>
        <v>1670</v>
      </c>
      <c r="D22">
        <v>25</v>
      </c>
      <c r="E22">
        <v>2</v>
      </c>
      <c r="F22">
        <v>10</v>
      </c>
      <c r="G22" t="b">
        <v>0</v>
      </c>
      <c r="H22" t="s">
        <v>91</v>
      </c>
    </row>
    <row r="24" spans="1:12" ht="120" customHeight="1" x14ac:dyDescent="0.3">
      <c r="A24" s="53" t="s">
        <v>130</v>
      </c>
      <c r="B24" s="54"/>
      <c r="C24" s="54"/>
      <c r="D24" s="54"/>
      <c r="E24" s="54"/>
      <c r="F24" s="54"/>
      <c r="G24" s="54"/>
      <c r="H24" s="54"/>
      <c r="I24" s="54"/>
      <c r="J24" s="54"/>
      <c r="K24" s="54"/>
      <c r="L24" s="54"/>
    </row>
    <row r="25" spans="1:12" x14ac:dyDescent="0.3">
      <c r="A25" s="39" t="s">
        <v>35</v>
      </c>
      <c r="B25" s="39" t="s">
        <v>34</v>
      </c>
      <c r="C25" s="39" t="s">
        <v>46</v>
      </c>
      <c r="D25" s="39" t="s">
        <v>48</v>
      </c>
      <c r="E25" s="39" t="s">
        <v>89</v>
      </c>
    </row>
    <row r="26" spans="1:12" x14ac:dyDescent="0.3">
      <c r="A26" t="str">
        <f>IF(ISBLANK(B26),"",IF(B26=C26,"Pass","Fail"))</f>
        <v>Pass</v>
      </c>
      <c r="B26">
        <v>0</v>
      </c>
      <c r="C26">
        <f>ROUND(Flame_height_heath(D26),1)</f>
        <v>0</v>
      </c>
      <c r="D26">
        <v>0</v>
      </c>
    </row>
    <row r="27" spans="1:12" x14ac:dyDescent="0.3">
      <c r="A27" t="str">
        <f t="shared" ref="A27:A29" si="3">IF(ISBLANK(B27),"",IF(B27=C27,"Pass","Fail"))</f>
        <v>Pass</v>
      </c>
      <c r="B27">
        <v>1.2</v>
      </c>
      <c r="C27">
        <f t="shared" ref="C27:C29" si="4">ROUND(Flame_height_heath(D27),1)</f>
        <v>1.2</v>
      </c>
      <c r="D27">
        <v>900</v>
      </c>
    </row>
    <row r="28" spans="1:12" x14ac:dyDescent="0.3">
      <c r="A28" t="str">
        <f t="shared" si="3"/>
        <v>Pass</v>
      </c>
      <c r="B28">
        <v>5.0999999999999996</v>
      </c>
      <c r="C28">
        <f t="shared" si="4"/>
        <v>5.0999999999999996</v>
      </c>
      <c r="D28">
        <v>9000</v>
      </c>
    </row>
    <row r="29" spans="1:12" x14ac:dyDescent="0.3">
      <c r="A29" t="str">
        <f t="shared" si="3"/>
        <v>Pass</v>
      </c>
      <c r="B29">
        <v>21.7</v>
      </c>
      <c r="C29">
        <f t="shared" si="4"/>
        <v>21.7</v>
      </c>
      <c r="D29">
        <v>90000</v>
      </c>
    </row>
  </sheetData>
  <mergeCells count="4">
    <mergeCell ref="A4:L4"/>
    <mergeCell ref="A19:L19"/>
    <mergeCell ref="A10:L10"/>
    <mergeCell ref="A24:L24"/>
  </mergeCells>
  <conditionalFormatting sqref="A6:A8 A21:A22 A12:A17">
    <cfRule type="expression" dxfId="3" priority="7">
      <formula>$A6="Fail"</formula>
    </cfRule>
    <cfRule type="expression" dxfId="2" priority="8">
      <formula>$A$6="Pass"</formula>
    </cfRule>
  </conditionalFormatting>
  <conditionalFormatting sqref="A26:A29">
    <cfRule type="expression" dxfId="1" priority="1">
      <formula>$A26="Fail"</formula>
    </cfRule>
    <cfRule type="expression" dxfId="0" priority="2">
      <formula>$A$6="Pass"</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st"/>
  <dimension ref="A1:F9"/>
  <sheetViews>
    <sheetView workbookViewId="0"/>
  </sheetViews>
  <sheetFormatPr defaultRowHeight="14.4" x14ac:dyDescent="0.3"/>
  <cols>
    <col min="1" max="1" width="10.5546875" bestFit="1" customWidth="1"/>
    <col min="3" max="3" width="11.33203125" bestFit="1" customWidth="1"/>
  </cols>
  <sheetData>
    <row r="1" spans="1:6" x14ac:dyDescent="0.3">
      <c r="A1" t="s">
        <v>36</v>
      </c>
      <c r="B1" t="s">
        <v>37</v>
      </c>
      <c r="C1" s="1" t="s">
        <v>38</v>
      </c>
      <c r="D1" t="s">
        <v>39</v>
      </c>
    </row>
    <row r="2" spans="1:6" x14ac:dyDescent="0.3">
      <c r="A2" s="36">
        <v>1</v>
      </c>
      <c r="B2">
        <v>4</v>
      </c>
      <c r="C2" s="36">
        <f>A2+1</f>
        <v>2</v>
      </c>
      <c r="D2">
        <f>A2*B2</f>
        <v>4</v>
      </c>
    </row>
    <row r="3" spans="1:6" x14ac:dyDescent="0.3">
      <c r="A3" s="36">
        <v>2</v>
      </c>
      <c r="B3">
        <v>8</v>
      </c>
      <c r="C3" s="36">
        <f t="shared" ref="C3:C4" si="0">A3+1</f>
        <v>3</v>
      </c>
      <c r="D3">
        <f t="shared" ref="D3:D4" si="1">A3*B3</f>
        <v>16</v>
      </c>
    </row>
    <row r="4" spans="1:6" x14ac:dyDescent="0.3">
      <c r="A4" s="36">
        <v>4</v>
      </c>
      <c r="B4">
        <v>16</v>
      </c>
      <c r="C4" s="36">
        <f t="shared" si="0"/>
        <v>5</v>
      </c>
      <c r="D4">
        <f t="shared" si="1"/>
        <v>64</v>
      </c>
    </row>
    <row r="5" spans="1:6" x14ac:dyDescent="0.3">
      <c r="A5" s="36"/>
      <c r="C5" s="36"/>
    </row>
    <row r="6" spans="1:6" x14ac:dyDescent="0.3">
      <c r="A6" s="36"/>
      <c r="C6" s="36"/>
    </row>
    <row r="9" spans="1:6" x14ac:dyDescent="0.3">
      <c r="A9">
        <v>44813</v>
      </c>
      <c r="B9">
        <v>0.40486111111111112</v>
      </c>
      <c r="C9">
        <v>20</v>
      </c>
      <c r="D9">
        <v>60</v>
      </c>
      <c r="E9">
        <v>20</v>
      </c>
      <c r="F9">
        <v>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18</vt:i4>
      </vt:variant>
    </vt:vector>
  </HeadingPairs>
  <TitlesOfParts>
    <vt:vector size="25" baseType="lpstr">
      <vt:lpstr>AFDRS</vt:lpstr>
      <vt:lpstr>tables</vt:lpstr>
      <vt:lpstr>tests_general</vt:lpstr>
      <vt:lpstr>tests_forest</vt:lpstr>
      <vt:lpstr>tests_grass</vt:lpstr>
      <vt:lpstr>tests_heath</vt:lpstr>
      <vt:lpstr>sandbox</vt:lpstr>
      <vt:lpstr>curing</vt:lpstr>
      <vt:lpstr>FBI_forest</vt:lpstr>
      <vt:lpstr>ffh_e</vt:lpstr>
      <vt:lpstr>ffh_o</vt:lpstr>
      <vt:lpstr>ffl_b</vt:lpstr>
      <vt:lpstr>ffl_e</vt:lpstr>
      <vt:lpstr>ffl_ns</vt:lpstr>
      <vt:lpstr>ffl_o</vt:lpstr>
      <vt:lpstr>ffl_s</vt:lpstr>
      <vt:lpstr>fh_ns</vt:lpstr>
      <vt:lpstr>fhs_ns</vt:lpstr>
      <vt:lpstr>fhs_s</vt:lpstr>
      <vt:lpstr>fl_grass</vt:lpstr>
      <vt:lpstr>Outputs</vt:lpstr>
      <vt:lpstr>start_date</vt:lpstr>
      <vt:lpstr>state_grass</vt:lpstr>
      <vt:lpstr>WAF</vt:lpstr>
      <vt:lpstr>weather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2022-09-12T03:33:10Z</dcterms:modified>
</cp:coreProperties>
</file>