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8" activeTab="1"/>
  </bookViews>
  <sheets>
    <sheet name="User Guide" sheetId="4" r:id="rId1"/>
    <sheet name="AFDRS" sheetId="1" r:id="rId2"/>
    <sheet name="List tables" sheetId="3" r:id="rId3"/>
    <sheet name="unit tests" sheetId="5" r:id="rId4"/>
    <sheet name="test" sheetId="2" r:id="rId5"/>
  </sheets>
  <functionGroups builtInGroupCount="18"/>
  <definedNames>
    <definedName name="curing">AFDRS!$N$4</definedName>
    <definedName name="FBI_forest">AFDRS!$G$15:$G$1048576</definedName>
    <definedName name="ffh_e" comment="forest fuel height elevated">AFDRS!$H$11</definedName>
    <definedName name="ffh_o" comment="forest fuel height canopy (overstorey)">AFDRS!$H$12</definedName>
    <definedName name="ffl_b" comment="forest fuel load bark">AFDRS!$I$7</definedName>
    <definedName name="ffl_e" comment="forest fuel load elevated">AFDRS!$I$6</definedName>
    <definedName name="ffl_ns" comment="forest fuel load near surface">AFDRS!$I$5</definedName>
    <definedName name="ffl_o" comment="forest fuel load canopy (overstorey)">AFDRS!$I$8</definedName>
    <definedName name="ffl_s" comment="forest fuel load surface">AFDRS!$I$4</definedName>
    <definedName name="fh_ns">AFDRS!$H$10</definedName>
    <definedName name="fhs_ns">AFDRS!$H$5</definedName>
    <definedName name="fhs_s">AFDRS!$H$4</definedName>
    <definedName name="fl_grass">AFDRS!$O$3</definedName>
    <definedName name="Outputs">AFDRS!$G$15:$Q$15</definedName>
    <definedName name="start_date">AFDRS!$A$15</definedName>
    <definedName name="state_grass">AFDRS!$N$3</definedName>
    <definedName name="WAF">AFDRS!$H$2</definedName>
    <definedName name="weather">AFDRS!$A$15:$F$1048576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7" i="1" l="1"/>
  <c r="H17" i="1" s="1"/>
  <c r="K17" i="1" s="1"/>
  <c r="N17" i="1"/>
  <c r="O17" i="1"/>
  <c r="M17" i="1" s="1"/>
  <c r="Q18" i="1"/>
  <c r="J17" i="1"/>
  <c r="I17" i="1" s="1"/>
  <c r="G17" i="1" s="1"/>
  <c r="L19" i="1"/>
  <c r="L18" i="1"/>
  <c r="L16" i="1"/>
  <c r="N18" i="1"/>
  <c r="P18" i="1"/>
  <c r="P17" i="1"/>
  <c r="Q16" i="1"/>
  <c r="H18" i="1"/>
  <c r="Q17" i="1"/>
  <c r="O18" i="1"/>
  <c r="M18" i="1" s="1"/>
  <c r="Q19" i="1"/>
  <c r="Q15" i="1"/>
  <c r="L15" i="1"/>
  <c r="H15" i="1" s="1"/>
  <c r="K15" i="1" s="1"/>
  <c r="N15" i="1"/>
  <c r="B1" i="2"/>
  <c r="J15" i="1"/>
  <c r="I15" i="1" s="1"/>
  <c r="G15" i="1" s="1"/>
  <c r="O15" i="1"/>
  <c r="M15" i="1" s="1"/>
  <c r="P15" i="1"/>
  <c r="H19" i="1"/>
  <c r="N19" i="1"/>
  <c r="H16" i="1"/>
  <c r="N16" i="1"/>
  <c r="K18" i="1"/>
  <c r="J18" i="1"/>
  <c r="I18" i="1" s="1"/>
  <c r="G18" i="1" s="1"/>
  <c r="K19" i="1"/>
  <c r="J19" i="1"/>
  <c r="I19" i="1" s="1"/>
  <c r="G19" i="1" s="1"/>
  <c r="P19" i="1"/>
  <c r="O19" i="1"/>
  <c r="M19" i="1" s="1"/>
  <c r="K16" i="1"/>
  <c r="J16" i="1"/>
  <c r="I16" i="1" s="1"/>
  <c r="G16" i="1" s="1"/>
  <c r="O16" i="1"/>
  <c r="M16" i="1" s="1"/>
  <c r="P16" i="1"/>
</calcChain>
</file>

<file path=xl/sharedStrings.xml><?xml version="1.0" encoding="utf-8"?>
<sst xmlns="http://schemas.openxmlformats.org/spreadsheetml/2006/main" count="48" uniqueCount="37">
  <si>
    <t>Date
(dd-mm-yyyy)</t>
  </si>
  <si>
    <t>Temp
(°C)</t>
  </si>
  <si>
    <t>Relative Humidity
(%)</t>
  </si>
  <si>
    <t>Wind Speed
(10m km/h)</t>
  </si>
  <si>
    <t>Drought Factor</t>
  </si>
  <si>
    <t>Weather</t>
  </si>
  <si>
    <t>Forest</t>
  </si>
  <si>
    <t>WAF</t>
  </si>
  <si>
    <t>Time
(hh:mm)</t>
  </si>
  <si>
    <t>ROS
(m/h)</t>
  </si>
  <si>
    <t>Intensity
(kW/m)</t>
  </si>
  <si>
    <t>Flame Height
(m)</t>
  </si>
  <si>
    <t>Spotting Distance
(m)</t>
  </si>
  <si>
    <t>FMC
(%)</t>
  </si>
  <si>
    <t>Wind adjustment factor</t>
  </si>
  <si>
    <t>surface</t>
  </si>
  <si>
    <t>near surface</t>
  </si>
  <si>
    <t>elevated</t>
  </si>
  <si>
    <t>bark</t>
  </si>
  <si>
    <t>Fuel Height</t>
  </si>
  <si>
    <t>(cm)</t>
  </si>
  <si>
    <t>(m)</t>
  </si>
  <si>
    <t>Grass</t>
  </si>
  <si>
    <t>Grass State</t>
  </si>
  <si>
    <t>natural</t>
  </si>
  <si>
    <t>grazed</t>
  </si>
  <si>
    <t>eaten-out</t>
  </si>
  <si>
    <t>curing (%)</t>
  </si>
  <si>
    <t>FBI
grass</t>
  </si>
  <si>
    <t>FBI
forest</t>
  </si>
  <si>
    <t xml:space="preserve">Hazard Score </t>
  </si>
  <si>
    <t xml:space="preserve"> Fine Fuel Load t/ha</t>
  </si>
  <si>
    <t>canopy</t>
  </si>
  <si>
    <t>state</t>
  </si>
  <si>
    <t>FMC</t>
  </si>
  <si>
    <t>Expected</t>
  </si>
  <si>
    <t>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</si>
</sst>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\-mm\-yyyy"/>
    <numFmt numFmtId="165" formatCode="hh:mm"/>
    <numFmt numFmtId="166" formatCode="[$-F400]h:mm:ss\ AM/PM"/>
    <numFmt numFmtId="167" formatCode="0.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/>
  </cellStyleXfs>
  <cellXfs count="38">
    <xf numFmtId="0" fontId="0" fillId="0" borderId="0" xfId="0"/>
    <xf numFmtId="14" fontId="0" fillId="0" borderId="0" xfId="0" applyNumberFormat="1"/>
    <xf numFmtId="20" fontId="0" fillId="0" borderId="0" xfId="0" applyNumberFormat="1"/>
    <xf numFmtId="166" fontId="0" fillId="0" borderId="0" xfId="0" applyNumberFormat="1"/>
    <xf numFmtId="164" fontId="2" fillId="2" borderId="1" xfId="0" applyNumberFormat="1" applyFont="1" applyFill="1" applyBorder="1" applyProtection="1"/>
    <xf numFmtId="165" fontId="0" fillId="2" borderId="1" xfId="0" applyNumberFormat="1" applyFill="1" applyBorder="1" applyProtection="1"/>
    <xf numFmtId="0" fontId="0" fillId="2" borderId="1" xfId="0" applyFill="1" applyBorder="1" applyProtection="1"/>
    <xf numFmtId="0" fontId="2" fillId="5" borderId="1" xfId="0" applyFont="1" applyFill="1" applyBorder="1" applyProtection="1"/>
    <xf numFmtId="0" fontId="0" fillId="5" borderId="1" xfId="0" applyFill="1" applyBorder="1" applyProtection="1"/>
    <xf numFmtId="167" fontId="0" fillId="5" borderId="1" xfId="0" applyNumberFormat="1" applyFill="1" applyBorder="1" applyProtection="1"/>
    <xf numFmtId="0" fontId="2" fillId="6" borderId="1" xfId="0" applyFont="1" applyFill="1" applyBorder="1" applyProtection="1"/>
    <xf numFmtId="0" fontId="0" fillId="6" borderId="1" xfId="0" applyFill="1" applyBorder="1" applyProtection="1"/>
    <xf numFmtId="167" fontId="0" fillId="6" borderId="1" xfId="0" applyNumberFormat="1" applyFill="1" applyBorder="1" applyProtection="1"/>
    <xf numFmtId="0" fontId="0" fillId="0" borderId="1" xfId="0" applyBorder="1" applyProtection="1"/>
    <xf numFmtId="164" fontId="0" fillId="2" borderId="1" xfId="0" applyNumberFormat="1" applyFill="1" applyBorder="1" applyProtection="1"/>
    <xf numFmtId="0" fontId="1" fillId="5" borderId="1" xfId="0" applyFont="1" applyFill="1" applyBorder="1" applyAlignment="1" applyProtection="1">
      <alignment horizontal="right" indent="1"/>
    </xf>
    <xf numFmtId="0" fontId="1" fillId="5" borderId="1" xfId="0" applyFont="1" applyFill="1" applyBorder="1" applyProtection="1"/>
    <xf numFmtId="0" fontId="1" fillId="6" borderId="1" xfId="0" applyFont="1" applyFill="1" applyBorder="1" applyProtection="1"/>
    <xf numFmtId="0" fontId="0" fillId="5" borderId="1" xfId="0" applyFill="1" applyBorder="1" applyAlignment="1" applyProtection="1">
      <alignment horizontal="right" wrapText="1" indent="1"/>
    </xf>
    <xf numFmtId="0" fontId="1" fillId="5" borderId="1" xfId="0" applyFont="1" applyFill="1" applyBorder="1" applyAlignment="1" applyProtection="1">
      <alignment horizontal="right"/>
    </xf>
    <xf numFmtId="0" fontId="1" fillId="5" borderId="1" xfId="0" applyFont="1" applyFill="1" applyBorder="1" applyAlignment="1" applyProtection="1"/>
    <xf numFmtId="0" fontId="1" fillId="6" borderId="1" xfId="0" applyFont="1" applyFill="1" applyBorder="1" applyAlignment="1" applyProtection="1">
      <alignment horizontal="right"/>
    </xf>
    <xf numFmtId="0" fontId="1" fillId="5" borderId="1" xfId="0" applyFont="1" applyFill="1" applyBorder="1" applyAlignment="1" applyProtection="1">
      <alignment horizontal="right" wrapText="1"/>
    </xf>
    <xf numFmtId="0" fontId="0" fillId="5" borderId="1" xfId="0" applyFill="1" applyBorder="1" applyAlignment="1" applyProtection="1">
      <alignment wrapText="1"/>
    </xf>
    <xf numFmtId="164" fontId="1" fillId="2" borderId="1" xfId="0" applyNumberFormat="1" applyFont="1" applyFill="1" applyBorder="1" applyAlignment="1" applyProtection="1">
      <alignment horizontal="center" wrapText="1"/>
    </xf>
    <xf numFmtId="165" fontId="1" fillId="2" borderId="1" xfId="0" applyNumberFormat="1" applyFont="1" applyFill="1" applyBorder="1" applyAlignment="1" applyProtection="1">
      <alignment horizontal="center" wrapText="1"/>
    </xf>
    <xf numFmtId="0" fontId="1" fillId="2" borderId="1" xfId="0" applyFont="1" applyFill="1" applyBorder="1" applyAlignment="1" applyProtection="1">
      <alignment horizontal="center" wrapText="1"/>
    </xf>
    <xf numFmtId="0" fontId="1" fillId="5" borderId="1" xfId="0" applyFont="1" applyFill="1" applyBorder="1" applyAlignment="1" applyProtection="1">
      <alignment horizontal="center" wrapText="1"/>
    </xf>
    <xf numFmtId="167" fontId="1" fillId="5" borderId="1" xfId="0" applyNumberFormat="1" applyFont="1" applyFill="1" applyBorder="1" applyAlignment="1" applyProtection="1">
      <alignment horizontal="center" wrapText="1"/>
    </xf>
    <xf numFmtId="0" fontId="1" fillId="6" borderId="1" xfId="0" applyFont="1" applyFill="1" applyBorder="1" applyAlignment="1" applyProtection="1">
      <alignment horizontal="center" wrapText="1"/>
    </xf>
    <xf numFmtId="167" fontId="1" fillId="6" borderId="1" xfId="0" applyNumberFormat="1" applyFont="1" applyFill="1" applyBorder="1" applyAlignment="1" applyProtection="1">
      <alignment horizontal="center" wrapText="1"/>
    </xf>
    <xf numFmtId="0" fontId="1" fillId="0" borderId="1" xfId="0" applyFont="1" applyBorder="1" applyAlignment="1" applyProtection="1">
      <alignment horizontal="center" wrapText="1"/>
    </xf>
    <xf numFmtId="164" fontId="0" fillId="3" borderId="1" xfId="0" applyNumberFormat="1" applyFill="1" applyBorder="1" applyProtection="1">
      <protection locked="0"/>
    </xf>
    <xf numFmtId="165" fontId="0" fillId="3" borderId="1" xfId="0" applyNumberFormat="1" applyFill="1" applyBorder="1" applyProtection="1">
      <protection locked="0"/>
    </xf>
    <xf numFmtId="0" fontId="0" fillId="3" borderId="1" xfId="0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4" borderId="1" xfId="0" applyFill="1" applyBorder="1" applyAlignment="1" applyProtection="1">
      <alignment wrapText="1"/>
      <protection locked="0"/>
    </xf>
    <xf numFmtId="0" fontId="0" fillId="7" borderId="1" xfId="0" applyFill="1" applyBorder="1" applyProtection="1">
      <protection locked="0"/>
    </xf>
  </cellXfs>
  <cellStyles count="1">
    <cellStyle name="Normal" xfId="0" builtinId="0"/>
  </cellStyles>
  <dxfs count="8"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274320</xdr:colOff>
      <xdr:row>0</xdr:row>
      <xdr:rowOff>160020</xdr:rowOff>
    </xdr:from>
    <xdr:ext cx="6101670" cy="1125693"/>
    <xdr:sp macro="" textlink="">
      <xdr:nvSpPr>
        <xdr:cNvPr id="2" name="TextBox 1"/>
        <xdr:cNvSpPr txBox="1"/>
      </xdr:nvSpPr>
      <xdr:spPr>
        <a:xfrm>
          <a:off x="274320" y="160020"/>
          <a:ext cx="6101670" cy="11256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AU" sz="1100" b="1"/>
            <a:t>PyroXL_AFDRS_20220909a</a:t>
          </a:r>
        </a:p>
        <a:p>
          <a:r>
            <a:rPr lang="en-AU" sz="1100"/>
            <a:t>This</a:t>
          </a:r>
          <a:r>
            <a:rPr lang="en-AU" sz="1100" baseline="0"/>
            <a:t> is very much a protoype. Nothing is locked so you can potentially break everything.</a:t>
          </a:r>
        </a:p>
        <a:p>
          <a:r>
            <a:rPr lang="en-AU" sz="1100" baseline="0"/>
            <a:t>Light coloured cells are for data entry. Darker cells are for outputs and should not be edited by the user</a:t>
          </a:r>
        </a:p>
        <a:p>
          <a:endParaRPr lang="en-AU" sz="1100"/>
        </a:p>
        <a:p>
          <a:r>
            <a:rPr lang="en-AU" sz="1100" b="1"/>
            <a:t>Release Notes</a:t>
          </a:r>
        </a:p>
        <a:p>
          <a:r>
            <a:rPr lang="en-AU" sz="1100" b="0"/>
            <a:t>PyroXL_AFDRS_20220909a: initial test release with forest and grass models only.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id="1" name="Table_grass_state" displayName="Table_grass_state" comment="lists acceptable grass states" ref="A1:A4" totalsRowShown="0">
  <autoFilter ref="A1:A4"/>
  <tableColumns count="1">
    <tableColumn id="1" name="Grass Sta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FDRS"/>
  <dimension ref="A1:Q19"/>
  <sheetViews>
    <sheetView tabSelected="1" zoomScale="130" zoomScaleNormal="130" workbookViewId="0">
      <pane xSplit="6" ySplit="14" topLeftCell="G15" activePane="bottomRight" state="frozen"/>
      <selection pane="topRight" activeCell="H1" sqref="H1"/>
      <selection pane="bottomLeft" activeCell="A12" sqref="A12"/>
      <selection pane="bottomRight" activeCell="J17" sqref="J17"/>
    </sheetView>
  </sheetViews>
  <sheetFormatPr defaultRowHeight="14.4" x14ac:dyDescent="0.3"/>
  <cols>
    <col min="1" max="1" width="13.77734375" style="32" customWidth="1"/>
    <col min="2" max="2" width="10.77734375" style="33" customWidth="1"/>
    <col min="3" max="6" width="10.77734375" style="34" customWidth="1"/>
    <col min="7" max="7" width="12.77734375" style="8" customWidth="1"/>
    <col min="8" max="9" width="8.88671875" style="8"/>
    <col min="10" max="10" width="8.88671875" style="9"/>
    <col min="11" max="11" width="8.88671875" style="8"/>
    <col min="12" max="12" width="8.88671875" style="9"/>
    <col min="13" max="15" width="8.88671875" style="11"/>
    <col min="16" max="17" width="8.88671875" style="12"/>
    <col min="18" max="16384" width="8.88671875" style="13"/>
  </cols>
  <sheetData>
    <row r="1" spans="1:17" ht="18" x14ac:dyDescent="0.35">
      <c r="A1" s="4" t="s">
        <v>5</v>
      </c>
      <c r="B1" s="5"/>
      <c r="C1" s="6"/>
      <c r="D1" s="6"/>
      <c r="E1" s="6"/>
      <c r="F1" s="6"/>
      <c r="G1" s="7" t="s">
        <v>6</v>
      </c>
      <c r="M1" s="10" t="s">
        <v>22</v>
      </c>
    </row>
    <row r="2" spans="1:17" x14ac:dyDescent="0.3">
      <c r="A2" s="14"/>
      <c r="B2" s="5"/>
      <c r="C2" s="6"/>
      <c r="D2" s="6"/>
      <c r="E2" s="6"/>
      <c r="F2" s="6"/>
      <c r="G2" s="15" t="s">
        <v>7</v>
      </c>
      <c r="H2" s="35">
        <v>3</v>
      </c>
      <c r="I2" s="16" t="s">
        <v>14</v>
      </c>
      <c r="M2" s="17"/>
      <c r="O2" s="17" t="s">
        <v>31</v>
      </c>
    </row>
    <row r="3" spans="1:17" x14ac:dyDescent="0.3">
      <c r="A3" s="14"/>
      <c r="B3" s="5"/>
      <c r="C3" s="6"/>
      <c r="D3" s="6"/>
      <c r="E3" s="6"/>
      <c r="F3" s="6"/>
      <c r="G3" s="18"/>
      <c r="H3" s="19" t="s">
        <v>30</v>
      </c>
      <c r="I3" s="20" t="s">
        <v>31</v>
      </c>
      <c r="M3" s="21" t="s">
        <v>33</v>
      </c>
      <c r="N3" s="37" t="s">
        <v>24</v>
      </c>
      <c r="O3" s="11">
        <v>6</v>
      </c>
    </row>
    <row r="4" spans="1:17" x14ac:dyDescent="0.3">
      <c r="A4" s="14"/>
      <c r="B4" s="5"/>
      <c r="C4" s="6"/>
      <c r="D4" s="6"/>
      <c r="E4" s="6"/>
      <c r="F4" s="6"/>
      <c r="G4" s="22" t="s">
        <v>15</v>
      </c>
      <c r="H4" s="36">
        <v>3</v>
      </c>
      <c r="I4" s="36">
        <v>10</v>
      </c>
      <c r="M4" s="21" t="s">
        <v>27</v>
      </c>
      <c r="N4" s="37">
        <v>80</v>
      </c>
    </row>
    <row r="5" spans="1:17" x14ac:dyDescent="0.3">
      <c r="A5" s="14"/>
      <c r="B5" s="5"/>
      <c r="C5" s="6"/>
      <c r="D5" s="6"/>
      <c r="E5" s="6"/>
      <c r="F5" s="6"/>
      <c r="G5" s="22" t="s">
        <v>16</v>
      </c>
      <c r="H5" s="36">
        <v>3</v>
      </c>
      <c r="I5" s="36">
        <v>2</v>
      </c>
    </row>
    <row r="6" spans="1:17" x14ac:dyDescent="0.3">
      <c r="A6" s="14"/>
      <c r="B6" s="5"/>
      <c r="C6" s="6"/>
      <c r="D6" s="6"/>
      <c r="E6" s="6"/>
      <c r="F6" s="6"/>
      <c r="G6" s="22" t="s">
        <v>17</v>
      </c>
      <c r="H6" s="36">
        <v>2</v>
      </c>
      <c r="I6" s="36">
        <v>2</v>
      </c>
    </row>
    <row r="7" spans="1:17" x14ac:dyDescent="0.3">
      <c r="A7" s="14"/>
      <c r="B7" s="5"/>
      <c r="C7" s="6"/>
      <c r="D7" s="6"/>
      <c r="E7" s="6"/>
      <c r="F7" s="6"/>
      <c r="G7" s="22" t="s">
        <v>18</v>
      </c>
      <c r="H7" s="36">
        <v>1</v>
      </c>
      <c r="I7" s="36">
        <v>2</v>
      </c>
    </row>
    <row r="8" spans="1:17" x14ac:dyDescent="0.3">
      <c r="A8" s="14"/>
      <c r="B8" s="5"/>
      <c r="C8" s="6"/>
      <c r="D8" s="6"/>
      <c r="E8" s="6"/>
      <c r="F8" s="6"/>
      <c r="G8" s="22" t="s">
        <v>32</v>
      </c>
      <c r="H8" s="23"/>
      <c r="I8" s="36">
        <v>4.5</v>
      </c>
    </row>
    <row r="9" spans="1:17" x14ac:dyDescent="0.3">
      <c r="A9" s="14"/>
      <c r="B9" s="5"/>
      <c r="C9" s="6"/>
      <c r="D9" s="6"/>
      <c r="E9" s="6"/>
      <c r="F9" s="6"/>
      <c r="G9" s="22"/>
      <c r="H9" s="20" t="s">
        <v>19</v>
      </c>
      <c r="I9" s="23"/>
    </row>
    <row r="10" spans="1:17" x14ac:dyDescent="0.3">
      <c r="A10" s="14"/>
      <c r="B10" s="5"/>
      <c r="C10" s="6"/>
      <c r="D10" s="6"/>
      <c r="E10" s="6"/>
      <c r="F10" s="6"/>
      <c r="G10" s="22" t="s">
        <v>16</v>
      </c>
      <c r="H10" s="35">
        <v>20</v>
      </c>
      <c r="I10" s="16" t="s">
        <v>20</v>
      </c>
    </row>
    <row r="11" spans="1:17" x14ac:dyDescent="0.3">
      <c r="A11" s="14"/>
      <c r="B11" s="5"/>
      <c r="C11" s="6"/>
      <c r="D11" s="6"/>
      <c r="E11" s="6"/>
      <c r="F11" s="6"/>
      <c r="G11" s="22" t="s">
        <v>17</v>
      </c>
      <c r="H11" s="35">
        <v>2</v>
      </c>
      <c r="I11" s="16" t="s">
        <v>21</v>
      </c>
    </row>
    <row r="12" spans="1:17" x14ac:dyDescent="0.3">
      <c r="A12" s="14"/>
      <c r="B12" s="5"/>
      <c r="C12" s="6"/>
      <c r="D12" s="6"/>
      <c r="E12" s="6"/>
      <c r="F12" s="6"/>
      <c r="G12" s="22" t="s">
        <v>32</v>
      </c>
      <c r="H12" s="35">
        <v>20</v>
      </c>
      <c r="I12" s="16" t="s">
        <v>21</v>
      </c>
    </row>
    <row r="13" spans="1:17" x14ac:dyDescent="0.3">
      <c r="A13" s="14"/>
      <c r="B13" s="5"/>
      <c r="C13" s="6"/>
      <c r="D13" s="6"/>
      <c r="E13" s="6"/>
      <c r="F13" s="6"/>
    </row>
    <row r="14" spans="1:17" s="31" customFormat="1" ht="57.6" x14ac:dyDescent="0.3">
      <c r="A14" s="24" t="s">
        <v>0</v>
      </c>
      <c r="B14" s="25" t="s">
        <v>8</v>
      </c>
      <c r="C14" s="26" t="s">
        <v>1</v>
      </c>
      <c r="D14" s="26" t="s">
        <v>2</v>
      </c>
      <c r="E14" s="26" t="s">
        <v>3</v>
      </c>
      <c r="F14" s="26" t="s">
        <v>4</v>
      </c>
      <c r="G14" s="27" t="s">
        <v>29</v>
      </c>
      <c r="H14" s="27" t="s">
        <v>9</v>
      </c>
      <c r="I14" s="27" t="s">
        <v>10</v>
      </c>
      <c r="J14" s="28" t="s">
        <v>11</v>
      </c>
      <c r="K14" s="27" t="s">
        <v>12</v>
      </c>
      <c r="L14" s="28" t="s">
        <v>13</v>
      </c>
      <c r="M14" s="29" t="s">
        <v>28</v>
      </c>
      <c r="N14" s="29" t="s">
        <v>9</v>
      </c>
      <c r="O14" s="29" t="s">
        <v>10</v>
      </c>
      <c r="P14" s="30" t="s">
        <v>11</v>
      </c>
      <c r="Q14" s="30" t="s">
        <v>13</v>
      </c>
    </row>
    <row r="15" spans="1:17" x14ac:dyDescent="0.3">
      <c r="A15" s="32">
        <v>44813</v>
      </c>
      <c r="B15" s="33">
        <v>0.40486111111111112</v>
      </c>
      <c r="C15" s="34">
        <v>25</v>
      </c>
      <c r="D15" s="34">
        <v>30</v>
      </c>
      <c r="E15" s="34">
        <v>20</v>
      </c>
      <c r="F15" s="34">
        <v>8</v>
      </c>
      <c r="G15" s="8">
        <f t="shared" ref="G15" si="0">fbi(I15,$G$1)</f>
        <v>18</v>
      </c>
      <c r="H15" s="8">
        <f>ROS_Forest_AFDRS(E15,fhs_s,fhs_ns,fh_ns,L15,F15,WAF)</f>
        <v>409</v>
      </c>
      <c r="I15" s="8">
        <f>Intensity_forest_AFDRS(H15,F15,J15,ffl_s,ffl_ns,ffl_e,ffl_b,ffl_o,ffh_o)</f>
        <v>2367</v>
      </c>
      <c r="J15" s="9">
        <f>Flame_Height_AFDRS(H15,ffh_e)</f>
        <v>5.7426714897155762</v>
      </c>
      <c r="K15" s="8">
        <f>Forest_spotting(H15,E15,fhs_s)</f>
        <v>253</v>
      </c>
      <c r="L15" s="9">
        <f>FMC_Forest(C15,D15,A15,B15)</f>
        <v>7.5450000762939453</v>
      </c>
      <c r="M15" s="11">
        <f>fbi(O15,$M$1)</f>
        <v>31</v>
      </c>
      <c r="N15" s="11">
        <f>ROS_Grass_AFDRS(E15,L15,curing,state_grass)</f>
        <v>3628</v>
      </c>
      <c r="O15" s="11">
        <f>Intensity_AFDRS(N15,fl_grass)</f>
        <v>11247</v>
      </c>
      <c r="P15" s="12">
        <f>Flame_H_Grass(N15)</f>
        <v>2.6660866737365723</v>
      </c>
      <c r="Q15" s="12">
        <f>FMC_Grass(C15,D15)</f>
        <v>8.5950002670288086</v>
      </c>
    </row>
    <row r="16" spans="1:17" x14ac:dyDescent="0.3">
      <c r="A16" s="32">
        <v>44813</v>
      </c>
      <c r="B16" s="33">
        <v>0.40486111111111112</v>
      </c>
      <c r="C16" s="34">
        <v>25</v>
      </c>
      <c r="D16" s="34">
        <v>10</v>
      </c>
      <c r="E16" s="34">
        <v>50</v>
      </c>
      <c r="F16" s="34">
        <v>8</v>
      </c>
      <c r="G16" s="8">
        <f t="shared" ref="G16:G19" si="1">fbi(I16,$G$1)</f>
        <v>66</v>
      </c>
      <c r="H16" s="8">
        <f>ROS_Forest_AFDRS(E16,fhs_s,fhs_ns,fh_ns,L16,F16,WAF)</f>
        <v>2446</v>
      </c>
      <c r="I16" s="8">
        <f>Intensity_forest_AFDRS(H16,F16,J16,ffl_s,ffl_ns,ffl_e,ffl_b,ffl_o,ffh_o)</f>
        <v>16429</v>
      </c>
      <c r="J16" s="9">
        <f>Flame_Height_AFDRS(H16,ffh_e)</f>
        <v>20.926280975341797</v>
      </c>
      <c r="K16" s="8">
        <f>Forest_spotting(H16,E16,fhs_s)</f>
        <v>3708</v>
      </c>
      <c r="L16" s="9">
        <f t="shared" ref="L16:L19" si="2">FMC_Forest(C16,D16,A16,B16)</f>
        <v>4.1649999618530273</v>
      </c>
      <c r="M16" s="11">
        <f t="shared" ref="M16:M19" si="3">fbi(O16,$M$1)</f>
        <v>116</v>
      </c>
      <c r="N16" s="11">
        <f>ROS_Grass_AFDRS(E16,L16,curing,state_grass)</f>
        <v>11499</v>
      </c>
      <c r="O16" s="11">
        <f>Intensity_AFDRS(N16,fl_grass)</f>
        <v>35647</v>
      </c>
      <c r="P16" s="12">
        <f t="shared" ref="P16:P19" si="4">Flame_H_Grass(N16)</f>
        <v>3.7468569278717041</v>
      </c>
      <c r="Q16" s="12">
        <f t="shared" ref="Q16:Q19" si="5">FMC_Grass(C16,D16)</f>
        <v>5.8350000381469727</v>
      </c>
    </row>
    <row r="17" spans="1:17" x14ac:dyDescent="0.3">
      <c r="A17" s="32">
        <v>44813</v>
      </c>
      <c r="B17" s="33">
        <v>0.40486111111111112</v>
      </c>
      <c r="C17" s="34">
        <v>32</v>
      </c>
      <c r="D17" s="34">
        <v>5</v>
      </c>
      <c r="E17" s="34">
        <v>40</v>
      </c>
      <c r="F17" s="34">
        <v>8</v>
      </c>
      <c r="G17" s="8">
        <f t="shared" si="1"/>
        <v>60</v>
      </c>
      <c r="H17" s="8">
        <f>ROS_Forest_AFDRS(E17,fhs_s,fhs_ns,fh_ns,L17,F17,WAF)</f>
        <v>2109</v>
      </c>
      <c r="I17" s="8">
        <f>Intensity_forest_AFDRS(H17,F17,J17,ffl_s,ffl_ns,ffl_e,ffl_b,ffl_o,ffh_o)</f>
        <v>14165</v>
      </c>
      <c r="J17" s="9">
        <f>Flame_Height_AFDRS(H17,ffh_e)</f>
        <v>18.799461364746094</v>
      </c>
      <c r="K17" s="8">
        <f>Forest_spotting(H17,E17,fhs_s)</f>
        <v>3408</v>
      </c>
      <c r="L17" s="9">
        <f t="shared" si="2"/>
        <v>3.005000114440918</v>
      </c>
      <c r="M17" s="11">
        <f t="shared" si="3"/>
        <v>112</v>
      </c>
      <c r="N17" s="11">
        <f>ROS_Grass_AFDRS(E17,L17,curing,state_grass)</f>
        <v>10664</v>
      </c>
      <c r="O17" s="11">
        <f>Intensity_AFDRS(N17,fl_grass)</f>
        <v>33058</v>
      </c>
      <c r="P17" s="12">
        <f t="shared" si="4"/>
        <v>3.6644504070281982</v>
      </c>
      <c r="Q17" s="12">
        <f t="shared" si="5"/>
        <v>3.7100000381469727</v>
      </c>
    </row>
    <row r="18" spans="1:17" x14ac:dyDescent="0.3">
      <c r="A18" s="32">
        <v>44814</v>
      </c>
      <c r="B18" s="33">
        <v>0.44652777777777802</v>
      </c>
      <c r="C18" s="34">
        <v>30</v>
      </c>
      <c r="D18" s="34">
        <v>5</v>
      </c>
      <c r="E18" s="34">
        <v>40</v>
      </c>
      <c r="F18" s="34">
        <v>8</v>
      </c>
      <c r="G18" s="8">
        <f t="shared" si="1"/>
        <v>60</v>
      </c>
      <c r="H18" s="8">
        <f>ROS_Forest_AFDRS(E18,fhs_s,fhs_ns,fh_ns,L18,F18,WAF)</f>
        <v>2109</v>
      </c>
      <c r="I18" s="8">
        <f>Intensity_forest_AFDRS(H18,F18,J18,ffl_s,ffl_ns,ffl_e,ffl_b,ffl_o,ffh_o)</f>
        <v>14165</v>
      </c>
      <c r="J18" s="9">
        <f>Flame_Height_AFDRS(H18,ffh_e)</f>
        <v>18.799461364746094</v>
      </c>
      <c r="K18" s="8">
        <f>Forest_spotting(H18,E18,fhs_s)</f>
        <v>3408</v>
      </c>
      <c r="L18" s="9">
        <f t="shared" si="2"/>
        <v>3.0950000286102295</v>
      </c>
      <c r="M18" s="11">
        <f t="shared" si="3"/>
        <v>112</v>
      </c>
      <c r="N18" s="11">
        <f>ROS_Grass_AFDRS(E18,L18,curing,state_grass)</f>
        <v>10561</v>
      </c>
      <c r="O18" s="11">
        <f>Intensity_AFDRS(N18,fl_grass)</f>
        <v>32739</v>
      </c>
      <c r="P18" s="12">
        <f t="shared" si="4"/>
        <v>3.6539733409881592</v>
      </c>
      <c r="Q18" s="12">
        <f t="shared" si="5"/>
        <v>4.119999885559082</v>
      </c>
    </row>
    <row r="19" spans="1:17" x14ac:dyDescent="0.3">
      <c r="A19" s="32">
        <v>44815</v>
      </c>
      <c r="B19" s="33">
        <v>0.48819444444444399</v>
      </c>
      <c r="C19" s="34">
        <v>30</v>
      </c>
      <c r="D19" s="34">
        <v>5</v>
      </c>
      <c r="E19" s="34">
        <v>40</v>
      </c>
      <c r="F19" s="34">
        <v>8</v>
      </c>
      <c r="G19" s="8">
        <f t="shared" si="1"/>
        <v>60</v>
      </c>
      <c r="H19" s="8">
        <f>ROS_Forest_AFDRS(E19,fhs_s,fhs_ns,fh_ns,L19,F19,WAF)</f>
        <v>2109</v>
      </c>
      <c r="I19" s="8">
        <f>Intensity_forest_AFDRS(H19,F19,J19,ffl_s,ffl_ns,ffl_e,ffl_b,ffl_o,ffh_o)</f>
        <v>14165</v>
      </c>
      <c r="J19" s="9">
        <f>Flame_Height_AFDRS(H19,ffh_e)</f>
        <v>18.799461364746094</v>
      </c>
      <c r="K19" s="8">
        <f>Forest_spotting(H19,E19,fhs_s)</f>
        <v>3408</v>
      </c>
      <c r="L19" s="9">
        <f t="shared" si="2"/>
        <v>3.0950000286102295</v>
      </c>
      <c r="M19" s="11">
        <f t="shared" si="3"/>
        <v>112</v>
      </c>
      <c r="N19" s="11">
        <f>ROS_Grass_AFDRS(E19,L19,curing,state_grass)</f>
        <v>10561</v>
      </c>
      <c r="O19" s="11">
        <f>Intensity_AFDRS(N19,fl_grass)</f>
        <v>32739</v>
      </c>
      <c r="P19" s="12">
        <f t="shared" si="4"/>
        <v>3.6539733409881592</v>
      </c>
      <c r="Q19" s="12">
        <f t="shared" si="5"/>
        <v>4.119999885559082</v>
      </c>
    </row>
  </sheetData>
  <conditionalFormatting sqref="M15:M20">
    <cfRule type="expression" dxfId="7" priority="1">
      <formula>$M15&gt;=100</formula>
    </cfRule>
    <cfRule type="expression" dxfId="6" priority="2">
      <formula>$M15&gt;=50</formula>
    </cfRule>
    <cfRule type="expression" dxfId="5" priority="3">
      <formula>$M15&gt;=24</formula>
    </cfRule>
    <cfRule type="expression" dxfId="4" priority="4">
      <formula>$M15&gt;=12</formula>
    </cfRule>
  </conditionalFormatting>
  <conditionalFormatting sqref="G15:G20">
    <cfRule type="expression" dxfId="3" priority="5">
      <formula>$G15&gt;=100</formula>
    </cfRule>
    <cfRule type="expression" dxfId="2" priority="6">
      <formula>$G15&gt;50</formula>
    </cfRule>
    <cfRule type="expression" dxfId="1" priority="7">
      <formula>$G15&gt;=24</formula>
    </cfRule>
    <cfRule type="expression" dxfId="0" priority="8">
      <formula>$G15&gt;=12</formula>
    </cfRule>
  </conditionalFormatting>
  <dataValidations count="3">
    <dataValidation type="decimal" allowBlank="1" showInputMessage="1" showErrorMessage="1" errorTitle="Invalid Curing %" error="Choose a value between 0 and 100" promptTitle="Curing (%)" prompt="select a value betwen 0 and 100" sqref="N4:P4">
      <formula1>0</formula1>
      <formula2>100</formula2>
    </dataValidation>
    <dataValidation type="decimal" errorStyle="warning" allowBlank="1" showInputMessage="1" showErrorMessage="1" errorTitle="Invalid" promptTitle="WAF" prompt="Entera number between 1 and 6. The default for dry sclerophyll is 3" sqref="H2">
      <formula1>1</formula1>
      <formula2>6</formula2>
    </dataValidation>
    <dataValidation type="decimal" allowBlank="1" showInputMessage="1" showErrorMessage="1" errorTitle="Invalid Hazard Score" promptTitle="Fuel Hazard Score" prompt="input a value between 0 and 4_x000a_see Hines et al. 2010, Cheney et al. 2012" sqref="H4:H8">
      <formula1>0</formula1>
      <formula2>4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please select a valid grass stat" promptTitle="Grass State" prompt="natural: fuel load ≥ 6 t/ha_x000a_grazed: fuel load between 3 and 6 t/ha_x000a_eaten-out: fuel load &lt; 3 t/ha">
          <x14:formula1>
            <xm:f>'List tables'!$A$2:$A$4</xm:f>
          </x14:formula1>
          <xm:sqref>N3 P2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4"/>
  <sheetViews>
    <sheetView workbookViewId="0">
      <selection activeCell="D14" sqref="D14"/>
    </sheetView>
  </sheetViews>
  <sheetFormatPr defaultRowHeight="14.4" x14ac:dyDescent="0.3"/>
  <cols>
    <col min="1" max="1" width="12.109375" customWidth="1"/>
  </cols>
  <sheetData>
    <row r="1" spans="1:1" x14ac:dyDescent="0.3">
      <c r="A1" t="s">
        <v>23</v>
      </c>
    </row>
    <row r="2" spans="1:1" x14ac:dyDescent="0.3">
      <c r="A2" t="s">
        <v>24</v>
      </c>
    </row>
    <row r="3" spans="1:1" x14ac:dyDescent="0.3">
      <c r="A3" t="s">
        <v>25</v>
      </c>
    </row>
    <row r="4" spans="1:1" x14ac:dyDescent="0.3">
      <c r="A4" t="s">
        <v>26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3"/>
  <sheetViews>
    <sheetView workbookViewId="0">
      <selection activeCell="B1" sqref="B1:B1048576"/>
    </sheetView>
  </sheetViews>
  <sheetFormatPr defaultRowHeight="14.4" x14ac:dyDescent="0.3"/>
  <sheetData>
    <row r="1" spans="1:3" x14ac:dyDescent="0.3">
      <c r="A1" t="s">
        <v>6</v>
      </c>
    </row>
    <row r="2" spans="1:3" x14ac:dyDescent="0.3">
      <c r="B2" t="s">
        <v>35</v>
      </c>
      <c r="C2" t="s">
        <v>36</v>
      </c>
    </row>
    <row r="3" spans="1:3" x14ac:dyDescent="0.3">
      <c r="A3" t="s">
        <v>34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"/>
  <sheetViews>
    <sheetView workbookViewId="0">
      <selection activeCell="A5" sqref="A5"/>
    </sheetView>
  </sheetViews>
  <sheetFormatPr defaultRowHeight="14.4" x14ac:dyDescent="0.3"/>
  <cols>
    <col min="1" max="1" width="10.5546875" bestFit="1" customWidth="1"/>
    <col min="3" max="3" width="10.5546875" bestFit="1" customWidth="1"/>
  </cols>
  <sheetData>
    <row r="1" spans="1:3" x14ac:dyDescent="0.3">
      <c r="A1">
        <v>42</v>
      </c>
      <c r="B1" t="e">
        <f ca="1">FMC_AFDRS(A1,A2,A3,A4)</f>
        <v>#NAME?</v>
      </c>
      <c r="C1" s="3"/>
    </row>
    <row r="2" spans="1:3" x14ac:dyDescent="0.3">
      <c r="A2">
        <v>20</v>
      </c>
      <c r="C2" s="3"/>
    </row>
    <row r="3" spans="1:3" x14ac:dyDescent="0.3">
      <c r="A3" s="1">
        <v>43689</v>
      </c>
    </row>
    <row r="4" spans="1:3" x14ac:dyDescent="0.3">
      <c r="A4" s="2">
        <v>0.875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18</vt:i4>
      </vt:variant>
    </vt:vector>
  </HeadingPairs>
  <TitlesOfParts>
    <vt:vector size="23" baseType="lpstr">
      <vt:lpstr>User Guide</vt:lpstr>
      <vt:lpstr>AFDRS</vt:lpstr>
      <vt:lpstr>List tables</vt:lpstr>
      <vt:lpstr>unit tests</vt:lpstr>
      <vt:lpstr>test</vt:lpstr>
      <vt:lpstr>curing</vt:lpstr>
      <vt:lpstr>FBI_forest</vt:lpstr>
      <vt:lpstr>ffh_e</vt:lpstr>
      <vt:lpstr>ffh_o</vt:lpstr>
      <vt:lpstr>ffl_b</vt:lpstr>
      <vt:lpstr>ffl_e</vt:lpstr>
      <vt:lpstr>ffl_ns</vt:lpstr>
      <vt:lpstr>ffl_o</vt:lpstr>
      <vt:lpstr>ffl_s</vt:lpstr>
      <vt:lpstr>fh_ns</vt:lpstr>
      <vt:lpstr>fhs_ns</vt:lpstr>
      <vt:lpstr>fhs_s</vt:lpstr>
      <vt:lpstr>fl_grass</vt:lpstr>
      <vt:lpstr>Outputs</vt:lpstr>
      <vt:lpstr>start_date</vt:lpstr>
      <vt:lpstr>state_grass</vt:lpstr>
      <vt:lpstr>WAF</vt:lpstr>
      <vt:lpstr>weather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2022-09-09T08:31:57Z</dcterms:modified>
</cp:coreProperties>
</file>