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User Guide" sheetId="4" r:id="rId1"/>
    <sheet name="AFDRS" sheetId="1" r:id="rId2"/>
    <sheet name="List tables" sheetId="3" r:id="rId3"/>
    <sheet name="unit tests" sheetId="5" r:id="rId4"/>
    <sheet name="test" sheetId="2" r:id="rId5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C4" i="2"/>
  <c r="D4" i="2"/>
  <c r="D2" i="2" l="1"/>
  <c r="C2" i="2"/>
  <c r="Q15" i="1"/>
  <c r="L15" i="1"/>
  <c r="N15" i="1"/>
  <c r="O15" i="1" s="1"/>
  <c r="P15" i="1"/>
  <c r="M15" i="1"/>
  <c r="H15" i="1"/>
  <c r="J15" i="1"/>
  <c r="I15" i="1"/>
  <c r="K15" i="1"/>
  <c r="G15" i="1"/>
</calcChain>
</file>

<file path=xl/sharedStrings.xml><?xml version="1.0" encoding="utf-8"?>
<sst xmlns="http://schemas.openxmlformats.org/spreadsheetml/2006/main" count="58" uniqueCount="47">
  <si>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</si>
  <si>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</si>
  <si>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</si>
  <si>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</si>
  <si>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</si>
  <si>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</si>
  <si>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</si>
  <si>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</si>
  <si>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</si>
  <si>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</si>
  <si>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</si>
  <si>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</si>
  <si>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</si>
  <si>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</si>
  <si>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</si>
  <si>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</si>
  <si>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</si>
  <si>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</si>
  <si>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</si>
  <si>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</si>
  <si>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</si>
  <si>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</si>
  <si>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</si>
  <si>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</si>
  <si>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</si>
  <si>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</si>
  <si>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</si>
  <si>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</si>
  <si>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</si>
  <si>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</si>
  <si>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</si>
  <si>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</si>
  <si>
    <t>canopy</t>
  </si>
  <si>
    <t>state</t>
  </si>
  <si>
    <t>FMC</t>
  </si>
  <si>
    <t>Expected</t>
  </si>
  <si>
    <t>Result</t>
  </si>
  <si>
    <t>input1</t>
  </si>
  <si>
    <t>input2</t>
  </si>
  <si>
    <t>output1</t>
  </si>
  <si>
    <t>output2</t>
  </si>
  <si>
    <t>Instructions</t>
  </si>
  <si>
    <t>Use inputs are light colored cells</t>
  </si>
  <si>
    <t>Darker cells are locked to protect formulae</t>
  </si>
  <si>
    <t>Users can unlock the sheet (no password) but be careful you may break things</t>
  </si>
  <si>
    <t>feedback and bug reports to fab@rfs.nsw.gov.au</t>
  </si>
  <si>
    <t>repository https://github.com/Geoffysicist/PyroXL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</si>
</sst>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166" fontId="0" fillId="0" borderId="0" xfId="0" applyNumberFormat="1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0" borderId="0" xfId="0" applyNumberFormat="1"/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</cellXfs>
  <cellStyles count="1"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274320</xdr:colOff>
      <xdr:row>0</xdr:row>
      <xdr:rowOff>160020</xdr:rowOff>
    </xdr:from>
    <xdr:ext cx="6101670" cy="1125693"/>
    <xdr:sp macro="" textlink="">
      <xdr:nvSpPr>
        <xdr:cNvPr id="2" name="TextBox 1"/>
        <xdr:cNvSpPr txBox="1"/>
      </xdr:nvSpPr>
      <xdr:spPr>
        <a:xfrm>
          <a:off x="274320" y="160020"/>
          <a:ext cx="6101670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 b="1"/>
            <a:t>PyroXL_AFDRS_20220909a</a:t>
          </a:r>
        </a:p>
        <a:p>
          <a:r>
            <a:rPr lang="en-AU" sz="1100"/>
            <a:t>This</a:t>
          </a:r>
          <a:r>
            <a:rPr lang="en-AU" sz="1100" baseline="0"/>
            <a:t> is very much a protoype. Nothing is locked so you can potentially break everything.</a:t>
          </a:r>
        </a:p>
        <a:p>
          <a:r>
            <a:rPr lang="en-AU" sz="1100" baseline="0"/>
            <a:t>Light coloured cells are for data entry. Darker cells are for outputs and should not be edited by the user</a:t>
          </a:r>
        </a:p>
        <a:p>
          <a:endParaRPr lang="en-AU" sz="1100"/>
        </a:p>
        <a:p>
          <a:r>
            <a:rPr lang="en-AU" sz="1100" b="1"/>
            <a:t>Release Notes</a:t>
          </a:r>
        </a:p>
        <a:p>
          <a:r>
            <a:rPr lang="en-AU" sz="1100" b="0"/>
            <a:t>PyroXL_AFDRS_20220909a: initial test release with forest and grass models only.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_grass_state" displayName="Table_grass_state" comment="lists acceptable grass states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15"/>
  <sheetViews>
    <sheetView tabSelected="1" zoomScale="130" zoomScaleNormal="130" workbookViewId="0">
      <pane xSplit="6" ySplit="14" topLeftCell="G15" activePane="bottomRight" state="frozen"/>
      <selection pane="topRight" activeCell="H1" sqref="H1"/>
      <selection pane="bottomLeft" activeCell="A12" sqref="A12"/>
      <selection pane="bottomRight" activeCell="B10" sqref="B10"/>
    </sheetView>
  </sheetViews>
  <sheetFormatPr defaultRowHeight="14.4" x14ac:dyDescent="0.3"/>
  <cols>
    <col min="1" max="1" width="13.77734375" style="30" customWidth="1"/>
    <col min="2" max="2" width="10.77734375" style="31" customWidth="1"/>
    <col min="3" max="6" width="10.77734375" style="32" customWidth="1"/>
    <col min="7" max="7" width="12.77734375" style="6" customWidth="1"/>
    <col min="8" max="9" width="8.88671875" style="6"/>
    <col min="10" max="10" width="8.88671875" style="7"/>
    <col min="11" max="11" width="8.88671875" style="6"/>
    <col min="12" max="12" width="8.88671875" style="7"/>
    <col min="13" max="15" width="8.88671875" style="9"/>
    <col min="16" max="17" width="8.88671875" style="10"/>
    <col min="18" max="16384" width="8.88671875" style="11"/>
  </cols>
  <sheetData>
    <row r="1" spans="1:17" ht="18" x14ac:dyDescent="0.35">
      <c r="A1" s="2" t="s">
        <v>41</v>
      </c>
      <c r="B1" s="3"/>
      <c r="C1" s="4"/>
      <c r="D1" s="4"/>
      <c r="E1" s="4"/>
      <c r="F1" s="4"/>
      <c r="G1" s="5" t="s">
        <v>6</v>
      </c>
      <c r="M1" s="8" t="s">
        <v>22</v>
      </c>
    </row>
    <row r="2" spans="1:17" x14ac:dyDescent="0.3">
      <c r="A2" s="12" t="s">
        <v>42</v>
      </c>
      <c r="B2" s="3"/>
      <c r="C2" s="4"/>
      <c r="D2" s="4"/>
      <c r="E2" s="4"/>
      <c r="F2" s="4"/>
      <c r="G2" s="13" t="s">
        <v>7</v>
      </c>
      <c r="H2" s="33">
        <v>3</v>
      </c>
      <c r="I2" s="14" t="s">
        <v>14</v>
      </c>
      <c r="M2" s="15"/>
      <c r="O2" s="15" t="s">
        <v>31</v>
      </c>
    </row>
    <row r="3" spans="1:17" x14ac:dyDescent="0.3">
      <c r="A3" s="12" t="s">
        <v>43</v>
      </c>
      <c r="B3" s="3"/>
      <c r="C3" s="4"/>
      <c r="D3" s="4"/>
      <c r="E3" s="4"/>
      <c r="F3" s="4"/>
      <c r="G3" s="16"/>
      <c r="H3" s="17" t="s">
        <v>30</v>
      </c>
      <c r="I3" s="18" t="s">
        <v>31</v>
      </c>
      <c r="M3" s="19" t="s">
        <v>33</v>
      </c>
      <c r="N3" s="35" t="s">
        <v>24</v>
      </c>
      <c r="O3" s="9">
        <v>6</v>
      </c>
    </row>
    <row r="4" spans="1:17" x14ac:dyDescent="0.3">
      <c r="A4" s="12" t="s">
        <v>44</v>
      </c>
      <c r="B4" s="3"/>
      <c r="C4" s="4"/>
      <c r="D4" s="4"/>
      <c r="E4" s="4"/>
      <c r="F4" s="4"/>
      <c r="G4" s="20" t="s">
        <v>15</v>
      </c>
      <c r="H4" s="34">
        <v>3</v>
      </c>
      <c r="I4" s="34">
        <v>10</v>
      </c>
      <c r="M4" s="19" t="s">
        <v>27</v>
      </c>
      <c r="N4" s="35">
        <v>80</v>
      </c>
    </row>
    <row r="5" spans="1:17" x14ac:dyDescent="0.3">
      <c r="A5" s="12" t="s">
        <v>45</v>
      </c>
      <c r="B5" s="3"/>
      <c r="C5" s="4"/>
      <c r="D5" s="4"/>
      <c r="E5" s="4"/>
      <c r="F5" s="4"/>
      <c r="G5" s="20" t="s">
        <v>16</v>
      </c>
      <c r="H5" s="34">
        <v>3</v>
      </c>
      <c r="I5" s="34">
        <v>2</v>
      </c>
    </row>
    <row r="6" spans="1:17" x14ac:dyDescent="0.3">
      <c r="A6" s="12"/>
      <c r="B6" s="3"/>
      <c r="C6" s="4"/>
      <c r="D6" s="4"/>
      <c r="E6" s="4"/>
      <c r="F6" s="4"/>
      <c r="G6" s="20" t="s">
        <v>17</v>
      </c>
      <c r="H6" s="34">
        <v>2</v>
      </c>
      <c r="I6" s="34">
        <v>2</v>
      </c>
    </row>
    <row r="7" spans="1:17" x14ac:dyDescent="0.3">
      <c r="A7" s="38" t="s">
        <v>46</v>
      </c>
      <c r="B7" s="3"/>
      <c r="C7" s="4"/>
      <c r="D7" s="4"/>
      <c r="E7" s="4"/>
      <c r="F7" s="4"/>
      <c r="G7" s="20" t="s">
        <v>18</v>
      </c>
      <c r="H7" s="34">
        <v>1</v>
      </c>
      <c r="I7" s="34">
        <v>2</v>
      </c>
    </row>
    <row r="8" spans="1:17" x14ac:dyDescent="0.3">
      <c r="A8" s="12"/>
      <c r="B8" s="3"/>
      <c r="C8" s="4"/>
      <c r="D8" s="4"/>
      <c r="E8" s="4"/>
      <c r="F8" s="4"/>
      <c r="G8" s="20" t="s">
        <v>32</v>
      </c>
      <c r="H8" s="21"/>
      <c r="I8" s="34">
        <v>4.5</v>
      </c>
    </row>
    <row r="9" spans="1:17" x14ac:dyDescent="0.3">
      <c r="A9" s="12"/>
      <c r="B9" s="3"/>
      <c r="C9" s="4"/>
      <c r="D9" s="4"/>
      <c r="E9" s="4"/>
      <c r="F9" s="4"/>
      <c r="G9" s="20"/>
      <c r="H9" s="18" t="s">
        <v>19</v>
      </c>
      <c r="I9" s="21"/>
    </row>
    <row r="10" spans="1:17" x14ac:dyDescent="0.3">
      <c r="A10" s="12"/>
      <c r="B10" s="3"/>
      <c r="C10" s="4"/>
      <c r="D10" s="4"/>
      <c r="E10" s="4"/>
      <c r="F10" s="4"/>
      <c r="G10" s="20" t="s">
        <v>16</v>
      </c>
      <c r="H10" s="33">
        <v>20</v>
      </c>
      <c r="I10" s="14" t="s">
        <v>20</v>
      </c>
    </row>
    <row r="11" spans="1:17" x14ac:dyDescent="0.3">
      <c r="A11" s="12"/>
      <c r="B11" s="3"/>
      <c r="C11" s="4"/>
      <c r="D11" s="4"/>
      <c r="E11" s="4"/>
      <c r="F11" s="4"/>
      <c r="G11" s="20" t="s">
        <v>17</v>
      </c>
      <c r="H11" s="33">
        <v>2</v>
      </c>
      <c r="I11" s="14" t="s">
        <v>21</v>
      </c>
    </row>
    <row r="12" spans="1:17" x14ac:dyDescent="0.3">
      <c r="A12" s="12"/>
      <c r="B12" s="3"/>
      <c r="C12" s="4"/>
      <c r="D12" s="4"/>
      <c r="E12" s="4"/>
      <c r="F12" s="4"/>
      <c r="G12" s="20" t="s">
        <v>32</v>
      </c>
      <c r="H12" s="33">
        <v>20</v>
      </c>
      <c r="I12" s="14" t="s">
        <v>21</v>
      </c>
    </row>
    <row r="13" spans="1:17" ht="18" x14ac:dyDescent="0.35">
      <c r="A13" s="2" t="s">
        <v>5</v>
      </c>
      <c r="B13" s="3"/>
      <c r="C13" s="4"/>
      <c r="D13" s="4"/>
      <c r="E13" s="4"/>
      <c r="F13" s="4"/>
    </row>
    <row r="14" spans="1:17" s="29" customFormat="1" ht="49.95" customHeight="1" x14ac:dyDescent="0.3">
      <c r="A14" s="22" t="s">
        <v>0</v>
      </c>
      <c r="B14" s="23" t="s">
        <v>8</v>
      </c>
      <c r="C14" s="37" t="s">
        <v>1</v>
      </c>
      <c r="D14" s="37" t="s">
        <v>2</v>
      </c>
      <c r="E14" s="24" t="s">
        <v>3</v>
      </c>
      <c r="F14" s="24" t="s">
        <v>4</v>
      </c>
      <c r="G14" s="25" t="s">
        <v>29</v>
      </c>
      <c r="H14" s="25" t="s">
        <v>9</v>
      </c>
      <c r="I14" s="25" t="s">
        <v>10</v>
      </c>
      <c r="J14" s="26" t="s">
        <v>11</v>
      </c>
      <c r="K14" s="25" t="s">
        <v>12</v>
      </c>
      <c r="L14" s="26" t="s">
        <v>13</v>
      </c>
      <c r="M14" s="27" t="s">
        <v>28</v>
      </c>
      <c r="N14" s="27" t="s">
        <v>9</v>
      </c>
      <c r="O14" s="27" t="s">
        <v>10</v>
      </c>
      <c r="P14" s="28" t="s">
        <v>11</v>
      </c>
      <c r="Q14" s="28" t="s">
        <v>13</v>
      </c>
    </row>
    <row r="15" spans="1:17" x14ac:dyDescent="0.3">
      <c r="A15" s="30">
        <v>44813</v>
      </c>
      <c r="B15" s="31">
        <v>0.40486111111111112</v>
      </c>
      <c r="C15" s="32">
        <v>20</v>
      </c>
      <c r="D15" s="32">
        <v>60</v>
      </c>
      <c r="E15" s="32">
        <v>20</v>
      </c>
      <c r="F15" s="32">
        <v>8</v>
      </c>
      <c r="G15" s="6">
        <f t="shared" ref="G15" si="0">fbi(I15,$G$1)</f>
        <v>13</v>
      </c>
      <c r="H15" s="6">
        <f>ROS_Forest_AFDRS(E15,fhs_s,fhs_ns,fh_ns,L15,F15,WAF)</f>
        <v>185</v>
      </c>
      <c r="I15" s="6">
        <f>Intensity_forest_AFDRS(H15,F15,J15,ffl_s,ffl_ns,ffl_e,ffl_b,ffl_o,ffh_o)</f>
        <v>1071</v>
      </c>
      <c r="J15" s="7">
        <f>Flame_Height_AFDRS(H15,ffh_e)</f>
        <v>3.2359602451324463</v>
      </c>
      <c r="K15" s="6">
        <f>Forest_spotting(H15,E15,fhs_s)</f>
        <v>309</v>
      </c>
      <c r="L15" s="7">
        <f>FMC_Forest(C15,D15,A15,B15)</f>
        <v>12.840000152587891</v>
      </c>
      <c r="M15" s="9">
        <f>fbi(O15,$M$1)</f>
        <v>18</v>
      </c>
      <c r="N15" s="9">
        <f>ROS_Grass_AFDRS(E15,L15,curing,state_grass)</f>
        <v>2007</v>
      </c>
      <c r="O15" s="9">
        <f>Intensity_AFDRS(N15,fl_grass)</f>
        <v>6222</v>
      </c>
      <c r="P15" s="10">
        <f>Flame_H_Grass(N15)</f>
        <v>2.2388441562652588</v>
      </c>
      <c r="Q15" s="10">
        <f>FMC_Grass(C15,D15)</f>
        <v>13.760000228881836</v>
      </c>
    </row>
  </sheetData>
  <sheetProtection sheet="1" objects="1" scenarios="1"/>
  <conditionalFormatting sqref="M15:M1048576">
    <cfRule type="expression" dxfId="7" priority="1">
      <formula>$M15&gt;=100</formula>
    </cfRule>
    <cfRule type="expression" dxfId="6" priority="2">
      <formula>$M15&gt;=50</formula>
    </cfRule>
    <cfRule type="expression" dxfId="5" priority="3">
      <formula>$M15&gt;=24</formula>
    </cfRule>
    <cfRule type="expression" dxfId="4" priority="4">
      <formula>$M15&gt;=12</formula>
    </cfRule>
  </conditionalFormatting>
  <conditionalFormatting sqref="G15:G1048576">
    <cfRule type="expression" dxfId="3" priority="5">
      <formula>$G15&gt;=100</formula>
    </cfRule>
    <cfRule type="expression" dxfId="2" priority="6">
      <formula>$G15&gt;50</formula>
    </cfRule>
    <cfRule type="expression" dxfId="1" priority="7">
      <formula>$G15&gt;=24</formula>
    </cfRule>
    <cfRule type="expression" dxfId="0" priority="8">
      <formula>$G15&gt;=12</formula>
    </cfRule>
  </conditionalFormatting>
  <dataValidations disablePrompts="1"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8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N3 P2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23</v>
      </c>
    </row>
    <row r="2" spans="1:1" x14ac:dyDescent="0.3">
      <c r="A2" t="s">
        <v>24</v>
      </c>
    </row>
    <row r="3" spans="1:1" x14ac:dyDescent="0.3">
      <c r="A3" t="s">
        <v>25</v>
      </c>
    </row>
    <row r="4" spans="1:1" x14ac:dyDescent="0.3">
      <c r="A4" t="s">
        <v>26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selection activeCell="B1" sqref="B1:B1048576"/>
    </sheetView>
  </sheetViews>
  <sheetFormatPr defaultRowHeight="14.4" x14ac:dyDescent="0.3"/>
  <sheetData>
    <row r="1" spans="1:3" x14ac:dyDescent="0.3">
      <c r="A1" t="s">
        <v>6</v>
      </c>
    </row>
    <row r="2" spans="1:3" x14ac:dyDescent="0.3">
      <c r="B2" t="s">
        <v>35</v>
      </c>
      <c r="C2" t="s">
        <v>36</v>
      </c>
    </row>
    <row r="3" spans="1:3" x14ac:dyDescent="0.3">
      <c r="A3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st"/>
  <dimension ref="A1:F9"/>
  <sheetViews>
    <sheetView workbookViewId="0">
      <selection activeCell="A9" sqref="A9:F9"/>
    </sheetView>
  </sheetViews>
  <sheetFormatPr defaultRowHeight="14.4" x14ac:dyDescent="0.3"/>
  <cols>
    <col min="1" max="1" width="10.5546875" bestFit="1" customWidth="1"/>
    <col min="3" max="3" width="11.33203125" bestFit="1" customWidth="1"/>
  </cols>
  <sheetData>
    <row r="1" spans="1:6" x14ac:dyDescent="0.3">
      <c r="A1" t="s">
        <v>37</v>
      </c>
      <c r="B1" t="s">
        <v>38</v>
      </c>
      <c r="C1" s="1" t="s">
        <v>39</v>
      </c>
      <c r="D1" t="s">
        <v>40</v>
      </c>
    </row>
    <row r="2" spans="1:6" x14ac:dyDescent="0.3">
      <c r="A2" s="36">
        <v>1</v>
      </c>
      <c r="B2">
        <v>4</v>
      </c>
      <c r="C2" s="36">
        <f>A2+1</f>
        <v>2</v>
      </c>
      <c r="D2">
        <f>A2*B2</f>
        <v>4</v>
      </c>
    </row>
    <row r="3" spans="1:6" x14ac:dyDescent="0.3">
      <c r="A3" s="36">
        <v>2</v>
      </c>
      <c r="B3">
        <v>8</v>
      </c>
      <c r="C3" s="36">
        <f t="shared" ref="C3:C4" si="0">A3+1</f>
        <v>3</v>
      </c>
      <c r="D3">
        <f t="shared" ref="D3:D4" si="1">A3*B3</f>
        <v>16</v>
      </c>
    </row>
    <row r="4" spans="1:6" x14ac:dyDescent="0.3">
      <c r="A4" s="36">
        <v>4</v>
      </c>
      <c r="B4">
        <v>16</v>
      </c>
      <c r="C4" s="36">
        <f t="shared" si="0"/>
        <v>5</v>
      </c>
      <c r="D4">
        <f t="shared" si="1"/>
        <v>64</v>
      </c>
    </row>
    <row r="5" spans="1:6" x14ac:dyDescent="0.3">
      <c r="A5" s="36"/>
      <c r="C5" s="36"/>
    </row>
    <row r="6" spans="1:6" x14ac:dyDescent="0.3">
      <c r="A6" s="36"/>
      <c r="C6" s="36"/>
    </row>
    <row r="9" spans="1:6" x14ac:dyDescent="0.3">
      <c r="A9">
        <v>44813</v>
      </c>
      <c r="B9">
        <v>0.40486111111111112</v>
      </c>
      <c r="C9">
        <v>20</v>
      </c>
      <c r="D9">
        <v>60</v>
      </c>
      <c r="E9">
        <v>20</v>
      </c>
      <c r="F9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User Guide</vt:lpstr>
      <vt:lpstr>AFDRS</vt:lpstr>
      <vt:lpstr>List tables</vt:lpstr>
      <vt:lpstr>unit tests</vt:lpstr>
      <vt:lpstr>test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2022-09-10T07:50:14Z</dcterms:modified>
</cp:coreProperties>
</file>