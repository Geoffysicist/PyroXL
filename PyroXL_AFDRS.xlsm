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activeTab="7"/>
  </bookViews>
  <sheets>
    <sheet name="AFDRS" sheetId="1" r:id="rId1"/>
    <sheet name="tables" sheetId="3" r:id="rId2"/>
    <sheet name="tests_general" sheetId="6" r:id="rId3"/>
    <sheet name="tests_forest" sheetId="7" r:id="rId4"/>
    <sheet name="tests_grass" sheetId="11" r:id="rId5"/>
    <sheet name="tests_heath" sheetId="12" r:id="rId6"/>
    <sheet name="tests_pine_" sheetId="10" r:id="rId7"/>
    <sheet name="tests_pine" sheetId="13" r:id="rId8"/>
    <sheet name="sandbox" sheetId="2" r:id="rId9"/>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7" i="13" l="1"/>
  <c r="N13" i="13"/>
  <c r="N19" i="13"/>
  <c r="N25" i="13"/>
  <c r="N31" i="13"/>
  <c r="N37" i="13"/>
  <c r="N43" i="13"/>
  <c r="N49" i="13"/>
  <c r="N55" i="13"/>
  <c r="N61" i="13"/>
  <c r="N67" i="13"/>
  <c r="N73" i="13"/>
  <c r="N79" i="13"/>
  <c r="N85" i="13"/>
  <c r="N91" i="13"/>
  <c r="N97" i="13"/>
  <c r="N103" i="13"/>
  <c r="N109" i="13"/>
  <c r="N121" i="13"/>
  <c r="N127" i="13"/>
  <c r="N133" i="13"/>
  <c r="N139" i="13"/>
  <c r="N145" i="13"/>
  <c r="N151" i="13"/>
  <c r="N157" i="13"/>
  <c r="N163" i="13"/>
  <c r="N169" i="13"/>
  <c r="N181" i="13"/>
  <c r="N187" i="13"/>
  <c r="N193" i="13"/>
  <c r="N205" i="13"/>
  <c r="N217" i="13"/>
  <c r="N229" i="13"/>
  <c r="N241" i="13"/>
  <c r="N253" i="13"/>
  <c r="N265" i="13"/>
  <c r="N277" i="13"/>
  <c r="N243" i="13"/>
  <c r="N28" i="13"/>
  <c r="N64" i="13"/>
  <c r="N88" i="13"/>
  <c r="N118" i="13"/>
  <c r="N154" i="13"/>
  <c r="N196" i="13"/>
  <c r="N226" i="13"/>
  <c r="N274" i="13"/>
  <c r="N115" i="13"/>
  <c r="N175" i="13"/>
  <c r="N199" i="13"/>
  <c r="N211" i="13"/>
  <c r="N223" i="13"/>
  <c r="N235" i="13"/>
  <c r="N247" i="13"/>
  <c r="N259" i="13"/>
  <c r="N271" i="13"/>
  <c r="N255" i="13"/>
  <c r="N279" i="13"/>
  <c r="N10" i="13"/>
  <c r="N70" i="13"/>
  <c r="N106" i="13"/>
  <c r="N136" i="13"/>
  <c r="N172" i="13"/>
  <c r="N214" i="13"/>
  <c r="N244" i="13"/>
  <c r="N280" i="13"/>
  <c r="N80" i="13"/>
  <c r="N128" i="13"/>
  <c r="N146" i="13"/>
  <c r="N164" i="13"/>
  <c r="N176" i="13"/>
  <c r="N188" i="13"/>
  <c r="N194" i="13"/>
  <c r="N206" i="13"/>
  <c r="N212" i="13"/>
  <c r="N224" i="13"/>
  <c r="N230" i="13"/>
  <c r="N242" i="13"/>
  <c r="N254" i="13"/>
  <c r="N260" i="13"/>
  <c r="N272" i="13"/>
  <c r="N219" i="13"/>
  <c r="N249" i="13"/>
  <c r="N273" i="13"/>
  <c r="N40" i="13"/>
  <c r="N52" i="13"/>
  <c r="N82" i="13"/>
  <c r="N112" i="13"/>
  <c r="N142" i="13"/>
  <c r="N178" i="13"/>
  <c r="N208" i="13"/>
  <c r="N238" i="13"/>
  <c r="N268" i="13"/>
  <c r="N8" i="13"/>
  <c r="N14" i="13"/>
  <c r="N20" i="13"/>
  <c r="N26" i="13"/>
  <c r="N32" i="13"/>
  <c r="N38" i="13"/>
  <c r="N44" i="13"/>
  <c r="N50" i="13"/>
  <c r="N56" i="13"/>
  <c r="N62" i="13"/>
  <c r="N68" i="13"/>
  <c r="N74" i="13"/>
  <c r="N86" i="13"/>
  <c r="N92" i="13"/>
  <c r="N98" i="13"/>
  <c r="N104" i="13"/>
  <c r="N110" i="13"/>
  <c r="N116" i="13"/>
  <c r="N122" i="13"/>
  <c r="N134" i="13"/>
  <c r="N140" i="13"/>
  <c r="N152" i="13"/>
  <c r="N158" i="13"/>
  <c r="N170" i="13"/>
  <c r="N182" i="13"/>
  <c r="N200" i="13"/>
  <c r="N218" i="13"/>
  <c r="N236" i="13"/>
  <c r="N248" i="13"/>
  <c r="N266" i="13"/>
  <c r="N278" i="13"/>
  <c r="N231" i="13"/>
  <c r="N261" i="13"/>
  <c r="N22" i="13"/>
  <c r="N58" i="13"/>
  <c r="N94" i="13"/>
  <c r="N148" i="13"/>
  <c r="N184" i="13"/>
  <c r="N232" i="13"/>
  <c r="N207" i="13"/>
  <c r="N46" i="13"/>
  <c r="N130" i="13"/>
  <c r="N202" i="13"/>
  <c r="N256" i="13"/>
  <c r="N9" i="13"/>
  <c r="N15" i="13"/>
  <c r="N21" i="13"/>
  <c r="N27" i="13"/>
  <c r="N33" i="13"/>
  <c r="N39" i="13"/>
  <c r="N45" i="13"/>
  <c r="N51" i="13"/>
  <c r="N57" i="13"/>
  <c r="N63" i="13"/>
  <c r="N69" i="13"/>
  <c r="N75" i="13"/>
  <c r="N81" i="13"/>
  <c r="N87" i="13"/>
  <c r="N93" i="13"/>
  <c r="N99" i="13"/>
  <c r="N105" i="13"/>
  <c r="N111" i="13"/>
  <c r="N117" i="13"/>
  <c r="N123" i="13"/>
  <c r="N129" i="13"/>
  <c r="N135" i="13"/>
  <c r="N141" i="13"/>
  <c r="N147" i="13"/>
  <c r="N153" i="13"/>
  <c r="N159" i="13"/>
  <c r="N165" i="13"/>
  <c r="N171" i="13"/>
  <c r="N177" i="13"/>
  <c r="N183" i="13"/>
  <c r="N189" i="13"/>
  <c r="N195" i="13"/>
  <c r="N201" i="13"/>
  <c r="N213" i="13"/>
  <c r="N225" i="13"/>
  <c r="N237" i="13"/>
  <c r="N267" i="13"/>
  <c r="N16" i="13"/>
  <c r="N76" i="13"/>
  <c r="N100" i="13"/>
  <c r="N124" i="13"/>
  <c r="N160" i="13"/>
  <c r="N190" i="13"/>
  <c r="N220" i="13"/>
  <c r="N262" i="13"/>
  <c r="N34" i="13"/>
  <c r="N166" i="13"/>
  <c r="N250" i="13"/>
  <c r="N11" i="13"/>
  <c r="N17" i="13"/>
  <c r="N23" i="13"/>
  <c r="N29" i="13"/>
  <c r="N35" i="13"/>
  <c r="N41" i="13"/>
  <c r="N47" i="13"/>
  <c r="N53" i="13"/>
  <c r="N59" i="13"/>
  <c r="N65" i="13"/>
  <c r="N71" i="13"/>
  <c r="N77" i="13"/>
  <c r="N83" i="13"/>
  <c r="N89" i="13"/>
  <c r="N95" i="13"/>
  <c r="N101" i="13"/>
  <c r="N107" i="13"/>
  <c r="N113" i="13"/>
  <c r="N119" i="13"/>
  <c r="N125" i="13"/>
  <c r="N131" i="13"/>
  <c r="N137" i="13"/>
  <c r="N143" i="13"/>
  <c r="N149" i="13"/>
  <c r="N155" i="13"/>
  <c r="N161" i="13"/>
  <c r="N167" i="13"/>
  <c r="N173" i="13"/>
  <c r="N179" i="13"/>
  <c r="N185" i="13"/>
  <c r="N191" i="13"/>
  <c r="N197" i="13"/>
  <c r="N203" i="13"/>
  <c r="N209" i="13"/>
  <c r="N215" i="13"/>
  <c r="N221" i="13"/>
  <c r="N227" i="13"/>
  <c r="N252" i="13"/>
  <c r="N90" i="13"/>
  <c r="N276" i="13"/>
  <c r="N60" i="13"/>
  <c r="N239" i="13"/>
  <c r="N174" i="13"/>
  <c r="N245" i="13"/>
  <c r="N114" i="13"/>
  <c r="N12" i="13"/>
  <c r="N48" i="13"/>
  <c r="N84" i="13"/>
  <c r="N120" i="13"/>
  <c r="N156" i="13"/>
  <c r="N192" i="13"/>
  <c r="N228" i="13"/>
  <c r="N275" i="13"/>
  <c r="N233" i="13"/>
  <c r="N257" i="13"/>
  <c r="N54" i="13"/>
  <c r="N162" i="13"/>
  <c r="N234" i="13"/>
  <c r="N24" i="13"/>
  <c r="N96" i="13"/>
  <c r="N263" i="13"/>
  <c r="N66" i="13"/>
  <c r="N240" i="13"/>
  <c r="N72" i="13"/>
  <c r="N186" i="13"/>
  <c r="N126" i="13"/>
  <c r="N204" i="13"/>
  <c r="N138" i="13"/>
  <c r="N216" i="13"/>
  <c r="N269" i="13"/>
  <c r="N246" i="13"/>
  <c r="N222" i="13"/>
  <c r="N18" i="13"/>
  <c r="N198" i="13"/>
  <c r="N168" i="13"/>
  <c r="N102" i="13"/>
  <c r="N180" i="13"/>
  <c r="N251" i="13"/>
  <c r="N258" i="13"/>
  <c r="N264" i="13"/>
  <c r="N144" i="13"/>
  <c r="N150" i="13"/>
  <c r="N132" i="13"/>
  <c r="N210" i="13"/>
  <c r="N108" i="13"/>
  <c r="N78" i="13"/>
  <c r="N30" i="13"/>
  <c r="N36" i="13"/>
  <c r="N42" i="13"/>
  <c r="N270" i="13"/>
  <c r="N6" i="13"/>
  <c r="B13" i="13"/>
  <c r="B31" i="13"/>
  <c r="B43" i="13"/>
  <c r="B55" i="13"/>
  <c r="B14" i="13"/>
  <c r="B38" i="13"/>
  <c r="B56" i="13"/>
  <c r="B21" i="13"/>
  <c r="B39" i="13"/>
  <c r="B28" i="13"/>
  <c r="B23" i="13"/>
  <c r="B53" i="13"/>
  <c r="B36" i="13"/>
  <c r="B54" i="13"/>
  <c r="B7" i="13"/>
  <c r="B19" i="13"/>
  <c r="B25" i="13"/>
  <c r="B37" i="13"/>
  <c r="B49" i="13"/>
  <c r="B26" i="13"/>
  <c r="B44" i="13"/>
  <c r="B15" i="13"/>
  <c r="B51" i="13"/>
  <c r="B22" i="13"/>
  <c r="B58" i="13"/>
  <c r="B35" i="13"/>
  <c r="B59" i="13"/>
  <c r="B24" i="13"/>
  <c r="B20" i="13"/>
  <c r="B33" i="13"/>
  <c r="B34" i="13"/>
  <c r="B11" i="13"/>
  <c r="B47" i="13"/>
  <c r="B42" i="13"/>
  <c r="B8" i="13"/>
  <c r="B32" i="13"/>
  <c r="B50" i="13"/>
  <c r="B27" i="13"/>
  <c r="B45" i="13"/>
  <c r="B40" i="13"/>
  <c r="B29" i="13"/>
  <c r="B30" i="13"/>
  <c r="B46" i="13"/>
  <c r="B18" i="13"/>
  <c r="B9" i="13"/>
  <c r="B57" i="13"/>
  <c r="B16" i="13"/>
  <c r="B52" i="13"/>
  <c r="B17" i="13"/>
  <c r="B41" i="13"/>
  <c r="B12" i="13"/>
  <c r="B48" i="13"/>
  <c r="B10" i="13"/>
  <c r="B60" i="13"/>
  <c r="B6" i="13"/>
  <c r="M270" i="13" l="1"/>
  <c r="M42" i="13"/>
  <c r="M36" i="13"/>
  <c r="M30" i="13"/>
  <c r="M78" i="13"/>
  <c r="M108" i="13"/>
  <c r="M210" i="13"/>
  <c r="M132" i="13"/>
  <c r="M150" i="13"/>
  <c r="M144" i="13"/>
  <c r="M264" i="13"/>
  <c r="M258" i="13"/>
  <c r="M251" i="13"/>
  <c r="M180" i="13"/>
  <c r="M102" i="13"/>
  <c r="M168" i="13"/>
  <c r="M198" i="13"/>
  <c r="M18" i="13"/>
  <c r="M222" i="13"/>
  <c r="M246" i="13"/>
  <c r="M269" i="13"/>
  <c r="M216" i="13"/>
  <c r="M138" i="13"/>
  <c r="M204" i="13"/>
  <c r="M126" i="13"/>
  <c r="M186" i="13"/>
  <c r="M72" i="13"/>
  <c r="M240" i="13"/>
  <c r="M66" i="13"/>
  <c r="M263" i="13"/>
  <c r="M96" i="13"/>
  <c r="M24" i="13"/>
  <c r="M234" i="13"/>
  <c r="M162" i="13"/>
  <c r="M54" i="13"/>
  <c r="M257" i="13"/>
  <c r="M233" i="13"/>
  <c r="M275" i="13"/>
  <c r="M228" i="13"/>
  <c r="M192" i="13"/>
  <c r="M156" i="13"/>
  <c r="M120" i="13"/>
  <c r="M84" i="13"/>
  <c r="M48" i="13"/>
  <c r="M12" i="13"/>
  <c r="M114" i="13"/>
  <c r="M245" i="13"/>
  <c r="M174" i="13"/>
  <c r="M239" i="13"/>
  <c r="M60" i="13"/>
  <c r="M276" i="13"/>
  <c r="M90" i="13"/>
  <c r="M252" i="13"/>
  <c r="M227" i="13"/>
  <c r="M221" i="13"/>
  <c r="M215" i="13"/>
  <c r="M209" i="13"/>
  <c r="M203" i="13"/>
  <c r="M197" i="13"/>
  <c r="M191" i="13"/>
  <c r="M185" i="13"/>
  <c r="M179" i="13"/>
  <c r="M173" i="13"/>
  <c r="M167" i="13"/>
  <c r="M161" i="13"/>
  <c r="M155" i="13"/>
  <c r="M149" i="13"/>
  <c r="M143" i="13"/>
  <c r="M137" i="13"/>
  <c r="M131" i="13"/>
  <c r="M125" i="13"/>
  <c r="M119" i="13"/>
  <c r="M113" i="13"/>
  <c r="M107" i="13"/>
  <c r="M101" i="13"/>
  <c r="M95" i="13"/>
  <c r="M89" i="13"/>
  <c r="M83" i="13"/>
  <c r="M77" i="13"/>
  <c r="M71" i="13"/>
  <c r="M65" i="13"/>
  <c r="M59" i="13"/>
  <c r="M53" i="13"/>
  <c r="M47" i="13"/>
  <c r="M41" i="13"/>
  <c r="M35" i="13"/>
  <c r="M29" i="13"/>
  <c r="M23" i="13"/>
  <c r="M17" i="13"/>
  <c r="M11" i="13"/>
  <c r="M250" i="13"/>
  <c r="M166" i="13"/>
  <c r="M34" i="13"/>
  <c r="M262" i="13"/>
  <c r="M220" i="13"/>
  <c r="M190" i="13"/>
  <c r="M160" i="13"/>
  <c r="M124" i="13"/>
  <c r="M100" i="13"/>
  <c r="M76" i="13"/>
  <c r="M16" i="13"/>
  <c r="M267" i="13"/>
  <c r="M237" i="13"/>
  <c r="M225" i="13"/>
  <c r="M213" i="13"/>
  <c r="M201" i="13"/>
  <c r="M195" i="13"/>
  <c r="M189" i="13"/>
  <c r="M183" i="13"/>
  <c r="M177" i="13"/>
  <c r="M171" i="13"/>
  <c r="M165" i="13"/>
  <c r="M159" i="13"/>
  <c r="M153" i="13"/>
  <c r="M147" i="13"/>
  <c r="M141" i="13"/>
  <c r="M135" i="13"/>
  <c r="M129" i="13"/>
  <c r="M123" i="13"/>
  <c r="M117" i="13"/>
  <c r="M111" i="13"/>
  <c r="M105" i="13"/>
  <c r="M99" i="13"/>
  <c r="M93" i="13"/>
  <c r="M87" i="13"/>
  <c r="M81" i="13"/>
  <c r="M75" i="13"/>
  <c r="M69" i="13"/>
  <c r="M63" i="13"/>
  <c r="M57" i="13"/>
  <c r="M51" i="13"/>
  <c r="M45" i="13"/>
  <c r="M39" i="13"/>
  <c r="M33" i="13"/>
  <c r="M27" i="13"/>
  <c r="M21" i="13"/>
  <c r="M15" i="13"/>
  <c r="M9" i="13"/>
  <c r="M256" i="13"/>
  <c r="M202" i="13"/>
  <c r="M130" i="13"/>
  <c r="M46" i="13"/>
  <c r="M207" i="13"/>
  <c r="M232" i="13"/>
  <c r="M184" i="13"/>
  <c r="M148" i="13"/>
  <c r="M94" i="13"/>
  <c r="M58" i="13"/>
  <c r="M22" i="13"/>
  <c r="M261" i="13"/>
  <c r="M231" i="13"/>
  <c r="M278" i="13"/>
  <c r="M266" i="13"/>
  <c r="M248" i="13"/>
  <c r="M236" i="13"/>
  <c r="M218" i="13"/>
  <c r="M200" i="13"/>
  <c r="M182" i="13"/>
  <c r="M170" i="13"/>
  <c r="M158" i="13"/>
  <c r="M152" i="13"/>
  <c r="M140" i="13"/>
  <c r="M134" i="13"/>
  <c r="M122" i="13"/>
  <c r="M116" i="13"/>
  <c r="M110" i="13"/>
  <c r="M104" i="13"/>
  <c r="M98" i="13"/>
  <c r="M92" i="13"/>
  <c r="M86" i="13"/>
  <c r="M74" i="13"/>
  <c r="M68" i="13"/>
  <c r="M62" i="13"/>
  <c r="M56" i="13"/>
  <c r="M50" i="13"/>
  <c r="M44" i="13"/>
  <c r="M38" i="13"/>
  <c r="M32" i="13"/>
  <c r="M26" i="13"/>
  <c r="M20" i="13"/>
  <c r="M14" i="13"/>
  <c r="M8" i="13"/>
  <c r="M268" i="13"/>
  <c r="M238" i="13"/>
  <c r="M208" i="13"/>
  <c r="M178" i="13"/>
  <c r="M142" i="13"/>
  <c r="M112" i="13"/>
  <c r="M82" i="13"/>
  <c r="M52" i="13"/>
  <c r="M40" i="13"/>
  <c r="M273" i="13"/>
  <c r="M249" i="13"/>
  <c r="M219" i="13"/>
  <c r="M272" i="13"/>
  <c r="M260" i="13"/>
  <c r="M254" i="13"/>
  <c r="M242" i="13"/>
  <c r="M230" i="13"/>
  <c r="M224" i="13"/>
  <c r="M212" i="13"/>
  <c r="M206" i="13"/>
  <c r="M194" i="13"/>
  <c r="M188" i="13"/>
  <c r="M176" i="13"/>
  <c r="M164" i="13"/>
  <c r="M146" i="13"/>
  <c r="M128" i="13"/>
  <c r="M80" i="13"/>
  <c r="M280" i="13"/>
  <c r="M244" i="13"/>
  <c r="M214" i="13"/>
  <c r="M172" i="13"/>
  <c r="M136" i="13"/>
  <c r="M106" i="13"/>
  <c r="M70" i="13"/>
  <c r="M10" i="13"/>
  <c r="M279" i="13"/>
  <c r="M255" i="13"/>
  <c r="M271" i="13"/>
  <c r="M259" i="13"/>
  <c r="M247" i="13"/>
  <c r="M235" i="13"/>
  <c r="M223" i="13"/>
  <c r="M211" i="13"/>
  <c r="M199" i="13"/>
  <c r="M175" i="13"/>
  <c r="M115" i="13"/>
  <c r="M274" i="13"/>
  <c r="M226" i="13"/>
  <c r="M196" i="13"/>
  <c r="M154" i="13"/>
  <c r="M118" i="13"/>
  <c r="M88" i="13"/>
  <c r="M64" i="13"/>
  <c r="M28" i="13"/>
  <c r="M243" i="13"/>
  <c r="M277" i="13"/>
  <c r="M265" i="13"/>
  <c r="M253" i="13"/>
  <c r="M241" i="13"/>
  <c r="M229" i="13"/>
  <c r="M217" i="13"/>
  <c r="M205" i="13"/>
  <c r="M193" i="13"/>
  <c r="M187" i="13"/>
  <c r="M181" i="13"/>
  <c r="M169" i="13"/>
  <c r="M163" i="13"/>
  <c r="M157" i="13"/>
  <c r="M151" i="13"/>
  <c r="M145" i="13"/>
  <c r="M139" i="13"/>
  <c r="M133" i="13"/>
  <c r="M127" i="13"/>
  <c r="M121" i="13"/>
  <c r="M109" i="13"/>
  <c r="M103" i="13"/>
  <c r="M97" i="13"/>
  <c r="M91" i="13"/>
  <c r="M85" i="13"/>
  <c r="M79" i="13"/>
  <c r="M73" i="13"/>
  <c r="M67" i="13"/>
  <c r="M61" i="13"/>
  <c r="M55" i="13"/>
  <c r="M49" i="13"/>
  <c r="M43" i="13"/>
  <c r="M37" i="13"/>
  <c r="M31" i="13"/>
  <c r="M25" i="13"/>
  <c r="M19" i="13"/>
  <c r="M13" i="13"/>
  <c r="M7" i="13"/>
  <c r="M6" i="13"/>
  <c r="A60" i="13"/>
  <c r="A10" i="13"/>
  <c r="A48" i="13"/>
  <c r="A12" i="13"/>
  <c r="A41" i="13"/>
  <c r="A17" i="13"/>
  <c r="A52" i="13"/>
  <c r="A16" i="13"/>
  <c r="A57" i="13"/>
  <c r="A9" i="13"/>
  <c r="A18" i="13"/>
  <c r="A46" i="13"/>
  <c r="A30" i="13"/>
  <c r="A29" i="13"/>
  <c r="A40" i="13"/>
  <c r="A45" i="13"/>
  <c r="A27" i="13"/>
  <c r="A50" i="13"/>
  <c r="A32" i="13"/>
  <c r="A8" i="13"/>
  <c r="A42" i="13"/>
  <c r="A47" i="13"/>
  <c r="A11" i="13"/>
  <c r="A34" i="13"/>
  <c r="A33" i="13"/>
  <c r="A20" i="13"/>
  <c r="A24" i="13"/>
  <c r="A59" i="13"/>
  <c r="A35" i="13"/>
  <c r="A58" i="13"/>
  <c r="A22" i="13"/>
  <c r="A51" i="13"/>
  <c r="A15" i="13"/>
  <c r="A44" i="13"/>
  <c r="A26" i="13"/>
  <c r="A49" i="13"/>
  <c r="A37" i="13"/>
  <c r="A25" i="13"/>
  <c r="A19" i="13"/>
  <c r="A7" i="13"/>
  <c r="A54" i="13"/>
  <c r="A36" i="13"/>
  <c r="A53" i="13"/>
  <c r="A23" i="13"/>
  <c r="A28" i="13"/>
  <c r="A39" i="13"/>
  <c r="A21" i="13"/>
  <c r="A56" i="13"/>
  <c r="A38" i="13"/>
  <c r="A14" i="13"/>
  <c r="A55" i="13"/>
  <c r="A43" i="13"/>
  <c r="A31" i="13"/>
  <c r="A13" i="13"/>
  <c r="A6" i="13"/>
  <c r="AI6" i="12"/>
  <c r="AL397" i="12"/>
  <c r="AL212" i="12"/>
  <c r="AL230" i="12"/>
  <c r="AL248" i="12"/>
  <c r="AL260" i="12"/>
  <c r="AL278" i="12"/>
  <c r="AL296" i="12"/>
  <c r="AL314" i="12"/>
  <c r="AL332" i="12"/>
  <c r="AL350" i="12"/>
  <c r="AL368" i="12"/>
  <c r="AL386" i="12"/>
  <c r="AL404" i="12"/>
  <c r="AL388" i="12"/>
  <c r="AL299" i="12"/>
  <c r="AL347" i="12"/>
  <c r="AL395" i="12"/>
  <c r="AL7" i="12"/>
  <c r="AL13" i="12"/>
  <c r="AL19" i="12"/>
  <c r="AL25" i="12"/>
  <c r="AL31" i="12"/>
  <c r="AL37" i="12"/>
  <c r="AL43" i="12"/>
  <c r="AL49" i="12"/>
  <c r="AL55" i="12"/>
  <c r="AL61" i="12"/>
  <c r="AL67" i="12"/>
  <c r="AL73" i="12"/>
  <c r="AL79" i="12"/>
  <c r="AL85" i="12"/>
  <c r="AL91" i="12"/>
  <c r="AL97" i="12"/>
  <c r="AL103" i="12"/>
  <c r="AL109" i="12"/>
  <c r="AL115" i="12"/>
  <c r="AL121" i="12"/>
  <c r="AL127" i="12"/>
  <c r="AL133" i="12"/>
  <c r="AL139" i="12"/>
  <c r="AL145" i="12"/>
  <c r="AL151" i="12"/>
  <c r="AL157" i="12"/>
  <c r="AL163" i="12"/>
  <c r="AL169" i="12"/>
  <c r="AL175" i="12"/>
  <c r="AL181" i="12"/>
  <c r="AL187" i="12"/>
  <c r="AL193" i="12"/>
  <c r="AL199" i="12"/>
  <c r="AL205" i="12"/>
  <c r="AL211" i="12"/>
  <c r="AL217" i="12"/>
  <c r="AL223" i="12"/>
  <c r="AL229" i="12"/>
  <c r="AL235" i="12"/>
  <c r="AL241" i="12"/>
  <c r="AL247" i="12"/>
  <c r="AL253" i="12"/>
  <c r="AL259" i="12"/>
  <c r="AL265" i="12"/>
  <c r="AL271" i="12"/>
  <c r="AL277" i="12"/>
  <c r="AL283" i="12"/>
  <c r="AL289" i="12"/>
  <c r="AL295" i="12"/>
  <c r="AL301" i="12"/>
  <c r="AL307" i="12"/>
  <c r="AL313" i="12"/>
  <c r="AL319" i="12"/>
  <c r="AL325" i="12"/>
  <c r="AL331" i="12"/>
  <c r="AL337" i="12"/>
  <c r="AL343" i="12"/>
  <c r="AL349" i="12"/>
  <c r="AL355" i="12"/>
  <c r="AL361" i="12"/>
  <c r="AL367" i="12"/>
  <c r="AL373" i="12"/>
  <c r="AL379" i="12"/>
  <c r="AL385" i="12"/>
  <c r="AL391" i="12"/>
  <c r="AL403" i="12"/>
  <c r="AL206" i="12"/>
  <c r="AL218" i="12"/>
  <c r="AL224" i="12"/>
  <c r="AL236" i="12"/>
  <c r="AL254" i="12"/>
  <c r="AL272" i="12"/>
  <c r="AL290" i="12"/>
  <c r="AL308" i="12"/>
  <c r="AL326" i="12"/>
  <c r="AL338" i="12"/>
  <c r="AL356" i="12"/>
  <c r="AL374" i="12"/>
  <c r="AL398" i="12"/>
  <c r="AL376" i="12"/>
  <c r="AL400" i="12"/>
  <c r="AL341" i="12"/>
  <c r="AL371" i="12"/>
  <c r="AL200" i="12"/>
  <c r="AL242" i="12"/>
  <c r="AL266" i="12"/>
  <c r="AL284" i="12"/>
  <c r="AL302" i="12"/>
  <c r="AL320" i="12"/>
  <c r="AL344" i="12"/>
  <c r="AL362" i="12"/>
  <c r="AL380" i="12"/>
  <c r="AL392" i="12"/>
  <c r="AL370" i="12"/>
  <c r="AL406" i="12"/>
  <c r="AL329" i="12"/>
  <c r="AL389" i="12"/>
  <c r="AL8" i="12"/>
  <c r="AL14" i="12"/>
  <c r="AL20" i="12"/>
  <c r="AL26" i="12"/>
  <c r="AL32" i="12"/>
  <c r="AL38" i="12"/>
  <c r="AL44" i="12"/>
  <c r="AL50" i="12"/>
  <c r="AL56" i="12"/>
  <c r="AL62" i="12"/>
  <c r="AL68" i="12"/>
  <c r="AL74" i="12"/>
  <c r="AL80" i="12"/>
  <c r="AL86" i="12"/>
  <c r="AL92" i="12"/>
  <c r="AL98" i="12"/>
  <c r="AL104" i="12"/>
  <c r="AL110" i="12"/>
  <c r="AL116" i="12"/>
  <c r="AL122" i="12"/>
  <c r="AL128" i="12"/>
  <c r="AL134" i="12"/>
  <c r="AL140" i="12"/>
  <c r="AL146" i="12"/>
  <c r="AL152" i="12"/>
  <c r="AL158" i="12"/>
  <c r="AL164" i="12"/>
  <c r="AL170" i="12"/>
  <c r="AL176" i="12"/>
  <c r="AL182" i="12"/>
  <c r="AL188" i="12"/>
  <c r="AL194" i="12"/>
  <c r="AL340" i="12"/>
  <c r="AL9" i="12"/>
  <c r="AL15" i="12"/>
  <c r="AL21" i="12"/>
  <c r="AL27" i="12"/>
  <c r="AL33" i="12"/>
  <c r="AL39" i="12"/>
  <c r="AL45" i="12"/>
  <c r="AL51" i="12"/>
  <c r="AL57" i="12"/>
  <c r="AL63" i="12"/>
  <c r="AL69" i="12"/>
  <c r="AL75" i="12"/>
  <c r="AL81" i="12"/>
  <c r="AL87" i="12"/>
  <c r="AL93" i="12"/>
  <c r="AL99" i="12"/>
  <c r="AL105" i="12"/>
  <c r="AL111" i="12"/>
  <c r="AL117" i="12"/>
  <c r="AL123" i="12"/>
  <c r="AL129" i="12"/>
  <c r="AL135" i="12"/>
  <c r="AL141" i="12"/>
  <c r="AL147" i="12"/>
  <c r="AL153" i="12"/>
  <c r="AL159" i="12"/>
  <c r="AL165" i="12"/>
  <c r="AL171" i="12"/>
  <c r="AL177" i="12"/>
  <c r="AL183" i="12"/>
  <c r="AL189" i="12"/>
  <c r="AL195" i="12"/>
  <c r="AL201" i="12"/>
  <c r="AL207" i="12"/>
  <c r="AL213" i="12"/>
  <c r="AL219" i="12"/>
  <c r="AL225" i="12"/>
  <c r="AL231" i="12"/>
  <c r="AL237" i="12"/>
  <c r="AL243" i="12"/>
  <c r="AL249" i="12"/>
  <c r="AL255" i="12"/>
  <c r="AL261" i="12"/>
  <c r="AL267" i="12"/>
  <c r="AL273" i="12"/>
  <c r="AL279" i="12"/>
  <c r="AL285" i="12"/>
  <c r="AL291" i="12"/>
  <c r="AL297" i="12"/>
  <c r="AL303" i="12"/>
  <c r="AL309" i="12"/>
  <c r="AL315" i="12"/>
  <c r="AL321" i="12"/>
  <c r="AL327" i="12"/>
  <c r="AL333" i="12"/>
  <c r="AL339" i="12"/>
  <c r="AL345" i="12"/>
  <c r="AL351" i="12"/>
  <c r="AL357" i="12"/>
  <c r="AL363" i="12"/>
  <c r="AL369" i="12"/>
  <c r="AL375" i="12"/>
  <c r="AL381" i="12"/>
  <c r="AL387" i="12"/>
  <c r="AL393" i="12"/>
  <c r="AL399" i="12"/>
  <c r="AL405" i="12"/>
  <c r="AL298" i="12"/>
  <c r="AL322" i="12"/>
  <c r="AL334" i="12"/>
  <c r="AL352" i="12"/>
  <c r="AL382" i="12"/>
  <c r="AL305" i="12"/>
  <c r="AL359" i="12"/>
  <c r="AL304" i="12"/>
  <c r="AL358" i="12"/>
  <c r="AL311" i="12"/>
  <c r="AL365" i="12"/>
  <c r="AL10" i="12"/>
  <c r="AL16" i="12"/>
  <c r="AL22" i="12"/>
  <c r="AL28" i="12"/>
  <c r="AL34" i="12"/>
  <c r="AL40" i="12"/>
  <c r="AL46" i="12"/>
  <c r="AL52" i="12"/>
  <c r="AL58" i="12"/>
  <c r="AL64" i="12"/>
  <c r="AL70" i="12"/>
  <c r="AL76" i="12"/>
  <c r="AL82" i="12"/>
  <c r="AL88" i="12"/>
  <c r="AL94" i="12"/>
  <c r="AL100" i="12"/>
  <c r="AL106" i="12"/>
  <c r="AL112" i="12"/>
  <c r="AL118" i="12"/>
  <c r="AL124" i="12"/>
  <c r="AL130" i="12"/>
  <c r="AL136" i="12"/>
  <c r="AL142" i="12"/>
  <c r="AL148" i="12"/>
  <c r="AL154" i="12"/>
  <c r="AL160" i="12"/>
  <c r="AL166" i="12"/>
  <c r="AL172" i="12"/>
  <c r="AL178" i="12"/>
  <c r="AL184" i="12"/>
  <c r="AL190" i="12"/>
  <c r="AL196" i="12"/>
  <c r="AL202" i="12"/>
  <c r="AL208" i="12"/>
  <c r="AL214" i="12"/>
  <c r="AL220" i="12"/>
  <c r="AL226" i="12"/>
  <c r="AL232" i="12"/>
  <c r="AL238" i="12"/>
  <c r="AL244" i="12"/>
  <c r="AL250" i="12"/>
  <c r="AL256" i="12"/>
  <c r="AL262" i="12"/>
  <c r="AL268" i="12"/>
  <c r="AL274" i="12"/>
  <c r="AL280" i="12"/>
  <c r="AL286" i="12"/>
  <c r="AL292" i="12"/>
  <c r="AL310" i="12"/>
  <c r="AL316" i="12"/>
  <c r="AL328" i="12"/>
  <c r="AL346" i="12"/>
  <c r="AL364" i="12"/>
  <c r="AL394" i="12"/>
  <c r="AL317" i="12"/>
  <c r="AL353" i="12"/>
  <c r="AL401" i="12"/>
  <c r="AL227" i="12"/>
  <c r="AL275" i="12"/>
  <c r="AL293" i="12"/>
  <c r="AL335" i="12"/>
  <c r="AL377" i="12"/>
  <c r="AL11" i="12"/>
  <c r="AL17" i="12"/>
  <c r="AL23" i="12"/>
  <c r="AL29" i="12"/>
  <c r="AL35" i="12"/>
  <c r="AL41" i="12"/>
  <c r="AL47" i="12"/>
  <c r="AL53" i="12"/>
  <c r="AL59" i="12"/>
  <c r="AL65" i="12"/>
  <c r="AL71" i="12"/>
  <c r="AL77" i="12"/>
  <c r="AL83" i="12"/>
  <c r="AL89" i="12"/>
  <c r="AL95" i="12"/>
  <c r="AL101" i="12"/>
  <c r="AL107" i="12"/>
  <c r="AL113" i="12"/>
  <c r="AL119" i="12"/>
  <c r="AL125" i="12"/>
  <c r="AL131" i="12"/>
  <c r="AL137" i="12"/>
  <c r="AL143" i="12"/>
  <c r="AL149" i="12"/>
  <c r="AL155" i="12"/>
  <c r="AL161" i="12"/>
  <c r="AL167" i="12"/>
  <c r="AL173" i="12"/>
  <c r="AL179" i="12"/>
  <c r="AL185" i="12"/>
  <c r="AL191" i="12"/>
  <c r="AL197" i="12"/>
  <c r="AL203" i="12"/>
  <c r="AL209" i="12"/>
  <c r="AL215" i="12"/>
  <c r="AL221" i="12"/>
  <c r="AL233" i="12"/>
  <c r="AL239" i="12"/>
  <c r="AL245" i="12"/>
  <c r="AL251" i="12"/>
  <c r="AL257" i="12"/>
  <c r="AL263" i="12"/>
  <c r="AL269" i="12"/>
  <c r="AL281" i="12"/>
  <c r="AL287" i="12"/>
  <c r="AL323" i="12"/>
  <c r="AL383" i="12"/>
  <c r="AL12" i="12"/>
  <c r="AL18" i="12"/>
  <c r="AL24" i="12"/>
  <c r="AL30" i="12"/>
  <c r="AL36" i="12"/>
  <c r="AL42" i="12"/>
  <c r="AL48" i="12"/>
  <c r="AL54" i="12"/>
  <c r="AL60" i="12"/>
  <c r="AL66" i="12"/>
  <c r="AL72" i="12"/>
  <c r="AL78" i="12"/>
  <c r="AL84" i="12"/>
  <c r="AL90" i="12"/>
  <c r="AL96" i="12"/>
  <c r="AL102" i="12"/>
  <c r="AL108" i="12"/>
  <c r="AL114" i="12"/>
  <c r="AL120" i="12"/>
  <c r="AL126" i="12"/>
  <c r="AL132" i="12"/>
  <c r="AL138" i="12"/>
  <c r="AL144" i="12"/>
  <c r="AL150" i="12"/>
  <c r="AL156" i="12"/>
  <c r="AL162" i="12"/>
  <c r="AL168" i="12"/>
  <c r="AL174" i="12"/>
  <c r="AL180" i="12"/>
  <c r="AL186" i="12"/>
  <c r="AL192" i="12"/>
  <c r="AL198" i="12"/>
  <c r="AL204" i="12"/>
  <c r="AL210" i="12"/>
  <c r="AL216" i="12"/>
  <c r="AL222" i="12"/>
  <c r="AL228" i="12"/>
  <c r="AL234" i="12"/>
  <c r="AL240" i="12"/>
  <c r="AL246" i="12"/>
  <c r="AL252" i="12"/>
  <c r="AL258" i="12"/>
  <c r="AL264" i="12"/>
  <c r="AL270" i="12"/>
  <c r="AL276" i="12"/>
  <c r="AL282" i="12"/>
  <c r="AL288" i="12"/>
  <c r="AL294" i="12"/>
  <c r="AL300" i="12"/>
  <c r="AL306" i="12"/>
  <c r="AL312" i="12"/>
  <c r="AL318" i="12"/>
  <c r="AL324" i="12"/>
  <c r="AL330" i="12"/>
  <c r="AL336" i="12"/>
  <c r="AL342" i="12"/>
  <c r="AL348" i="12"/>
  <c r="AL354" i="12"/>
  <c r="AL360" i="12"/>
  <c r="AL366" i="12"/>
  <c r="AL372" i="12"/>
  <c r="AL378" i="12"/>
  <c r="AL384" i="12"/>
  <c r="AL390" i="12"/>
  <c r="AL396" i="12"/>
  <c r="AL402" i="12"/>
  <c r="AL6" i="12"/>
  <c r="Z7" i="12"/>
  <c r="Z19" i="12"/>
  <c r="Z31" i="12"/>
  <c r="Z43" i="12"/>
  <c r="Z55" i="12"/>
  <c r="Z67" i="12"/>
  <c r="Z79" i="12"/>
  <c r="Z91" i="12"/>
  <c r="Z103" i="12"/>
  <c r="Z115" i="12"/>
  <c r="Z127" i="12"/>
  <c r="Z139" i="12"/>
  <c r="Z151" i="12"/>
  <c r="Z163" i="12"/>
  <c r="Z175" i="12"/>
  <c r="Z187" i="12"/>
  <c r="Z199" i="12"/>
  <c r="Z211" i="12"/>
  <c r="Z223" i="12"/>
  <c r="Z235" i="12"/>
  <c r="Z247" i="12"/>
  <c r="Z259" i="12"/>
  <c r="Z271" i="12"/>
  <c r="Z283" i="12"/>
  <c r="Z295" i="12"/>
  <c r="Z307" i="12"/>
  <c r="Z319" i="12"/>
  <c r="Z331" i="12"/>
  <c r="Z343" i="12"/>
  <c r="Z355" i="12"/>
  <c r="Z367" i="12"/>
  <c r="Z379" i="12"/>
  <c r="Z391" i="12"/>
  <c r="Z403" i="12"/>
  <c r="Z415" i="12"/>
  <c r="Z427" i="12"/>
  <c r="Z439" i="12"/>
  <c r="Z451" i="12"/>
  <c r="Z463" i="12"/>
  <c r="Z475" i="12"/>
  <c r="Z487" i="12"/>
  <c r="Z499" i="12"/>
  <c r="Z511" i="12"/>
  <c r="Z523" i="12"/>
  <c r="Z535" i="12"/>
  <c r="Z547" i="12"/>
  <c r="Z559" i="12"/>
  <c r="Z571" i="12"/>
  <c r="Z583" i="12"/>
  <c r="Z595" i="12"/>
  <c r="Z607" i="12"/>
  <c r="Z619" i="12"/>
  <c r="Z631" i="12"/>
  <c r="Z643" i="12"/>
  <c r="Z655" i="12"/>
  <c r="Z667" i="12"/>
  <c r="Z679" i="12"/>
  <c r="Z691" i="12"/>
  <c r="Z703" i="12"/>
  <c r="Z715" i="12"/>
  <c r="Z727" i="12"/>
  <c r="Z739" i="12"/>
  <c r="Z751" i="12"/>
  <c r="Z763" i="12"/>
  <c r="Z775" i="12"/>
  <c r="Z787" i="12"/>
  <c r="Z799" i="12"/>
  <c r="Z811" i="12"/>
  <c r="Z823" i="12"/>
  <c r="Z835" i="12"/>
  <c r="Z847" i="12"/>
  <c r="Z859" i="12"/>
  <c r="Z871" i="12"/>
  <c r="Z883" i="12"/>
  <c r="Z895" i="12"/>
  <c r="Z907" i="12"/>
  <c r="Z919" i="12"/>
  <c r="Z931" i="12"/>
  <c r="Z943" i="12"/>
  <c r="Z955" i="12"/>
  <c r="Z967" i="12"/>
  <c r="Z979" i="12"/>
  <c r="Z991" i="12"/>
  <c r="Z1003" i="12"/>
  <c r="Z1015" i="12"/>
  <c r="Z1027" i="12"/>
  <c r="Z1039" i="12"/>
  <c r="Z1051" i="12"/>
  <c r="Z1063" i="12"/>
  <c r="Z1075" i="12"/>
  <c r="Z1087" i="12"/>
  <c r="Z1099" i="12"/>
  <c r="Z1111" i="12"/>
  <c r="Z1123" i="12"/>
  <c r="Z1135" i="12"/>
  <c r="Z1147" i="12"/>
  <c r="Z1159" i="12"/>
  <c r="Z1171" i="12"/>
  <c r="Z1183" i="12"/>
  <c r="Z1195" i="12"/>
  <c r="Z1207" i="12"/>
  <c r="Z1219" i="12"/>
  <c r="Z1231" i="12"/>
  <c r="Z1243" i="12"/>
  <c r="Z1255" i="12"/>
  <c r="Z1267" i="12"/>
  <c r="Z1279" i="12"/>
  <c r="Z1291" i="12"/>
  <c r="Z1303" i="12"/>
  <c r="Z1315" i="12"/>
  <c r="Z1304" i="12"/>
  <c r="Z1210" i="12"/>
  <c r="Z1270" i="12"/>
  <c r="Z1175" i="12"/>
  <c r="Z1235" i="12"/>
  <c r="Z1295" i="12"/>
  <c r="Z1157" i="12"/>
  <c r="Z1277" i="12"/>
  <c r="Z126" i="12"/>
  <c r="Z270" i="12"/>
  <c r="Z414" i="12"/>
  <c r="Z534" i="12"/>
  <c r="Z654" i="12"/>
  <c r="Z738" i="12"/>
  <c r="Z870" i="12"/>
  <c r="Z1014" i="12"/>
  <c r="Z1134" i="12"/>
  <c r="Z8" i="12"/>
  <c r="Z20" i="12"/>
  <c r="Z32" i="12"/>
  <c r="Z44" i="12"/>
  <c r="Z56" i="12"/>
  <c r="Z68" i="12"/>
  <c r="Z80" i="12"/>
  <c r="Z92" i="12"/>
  <c r="Z104" i="12"/>
  <c r="Z116" i="12"/>
  <c r="Z128" i="12"/>
  <c r="Z140" i="12"/>
  <c r="Z152" i="12"/>
  <c r="Z164" i="12"/>
  <c r="Z176" i="12"/>
  <c r="Z188" i="12"/>
  <c r="Z200" i="12"/>
  <c r="Z212" i="12"/>
  <c r="Z224" i="12"/>
  <c r="Z236" i="12"/>
  <c r="Z248" i="12"/>
  <c r="Z260" i="12"/>
  <c r="Z272" i="12"/>
  <c r="Z284" i="12"/>
  <c r="Z296" i="12"/>
  <c r="Z308" i="12"/>
  <c r="Z320" i="12"/>
  <c r="Z332" i="12"/>
  <c r="Z344" i="12"/>
  <c r="Z356" i="12"/>
  <c r="Z368" i="12"/>
  <c r="Z380" i="12"/>
  <c r="Z392" i="12"/>
  <c r="Z404" i="12"/>
  <c r="Z416" i="12"/>
  <c r="Z428" i="12"/>
  <c r="Z440" i="12"/>
  <c r="Z452" i="12"/>
  <c r="Z464" i="12"/>
  <c r="Z476" i="12"/>
  <c r="Z488" i="12"/>
  <c r="Z500" i="12"/>
  <c r="Z512" i="12"/>
  <c r="Z524" i="12"/>
  <c r="Z536" i="12"/>
  <c r="Z548" i="12"/>
  <c r="Z560" i="12"/>
  <c r="Z572" i="12"/>
  <c r="Z584" i="12"/>
  <c r="Z596" i="12"/>
  <c r="Z608" i="12"/>
  <c r="Z620" i="12"/>
  <c r="Z632" i="12"/>
  <c r="Z644" i="12"/>
  <c r="Z656" i="12"/>
  <c r="Z668" i="12"/>
  <c r="Z680" i="12"/>
  <c r="Z692" i="12"/>
  <c r="Z704" i="12"/>
  <c r="Z716" i="12"/>
  <c r="Z728" i="12"/>
  <c r="Z740" i="12"/>
  <c r="Z752" i="12"/>
  <c r="Z764" i="12"/>
  <c r="Z776" i="12"/>
  <c r="Z788" i="12"/>
  <c r="Z800" i="12"/>
  <c r="Z812" i="12"/>
  <c r="Z824" i="12"/>
  <c r="Z836" i="12"/>
  <c r="Z848" i="12"/>
  <c r="Z860" i="12"/>
  <c r="Z872" i="12"/>
  <c r="Z884" i="12"/>
  <c r="Z896" i="12"/>
  <c r="Z908" i="12"/>
  <c r="Z920" i="12"/>
  <c r="Z932" i="12"/>
  <c r="Z944" i="12"/>
  <c r="Z956" i="12"/>
  <c r="Z968" i="12"/>
  <c r="Z980" i="12"/>
  <c r="Z992" i="12"/>
  <c r="Z1004" i="12"/>
  <c r="Z1016" i="12"/>
  <c r="Z1028" i="12"/>
  <c r="Z1040" i="12"/>
  <c r="Z1052" i="12"/>
  <c r="Z1064" i="12"/>
  <c r="Z1076" i="12"/>
  <c r="Z1088" i="12"/>
  <c r="Z1100" i="12"/>
  <c r="Z1112" i="12"/>
  <c r="Z1124" i="12"/>
  <c r="Z1136" i="12"/>
  <c r="Z1148" i="12"/>
  <c r="Z1160" i="12"/>
  <c r="Z1172" i="12"/>
  <c r="Z1184" i="12"/>
  <c r="Z1196" i="12"/>
  <c r="Z1208" i="12"/>
  <c r="Z1220" i="12"/>
  <c r="Z1232" i="12"/>
  <c r="Z1244" i="12"/>
  <c r="Z1256" i="12"/>
  <c r="Z1268" i="12"/>
  <c r="Z1280" i="12"/>
  <c r="Z1292" i="12"/>
  <c r="Z1316" i="12"/>
  <c r="Z1222" i="12"/>
  <c r="Z1258" i="12"/>
  <c r="Z1306" i="12"/>
  <c r="Z1223" i="12"/>
  <c r="Z1271" i="12"/>
  <c r="Z1133" i="12"/>
  <c r="Z1301" i="12"/>
  <c r="Z138" i="12"/>
  <c r="Z258" i="12"/>
  <c r="Z402" i="12"/>
  <c r="Z558" i="12"/>
  <c r="Z702" i="12"/>
  <c r="Z834" i="12"/>
  <c r="Z966" i="12"/>
  <c r="Z1086" i="12"/>
  <c r="Z9" i="12"/>
  <c r="Z21" i="12"/>
  <c r="Z33" i="12"/>
  <c r="Z45" i="12"/>
  <c r="Z57" i="12"/>
  <c r="Z69" i="12"/>
  <c r="Z81" i="12"/>
  <c r="Z93" i="12"/>
  <c r="Z105" i="12"/>
  <c r="Z117" i="12"/>
  <c r="Z129" i="12"/>
  <c r="Z141" i="12"/>
  <c r="Z153" i="12"/>
  <c r="Z165" i="12"/>
  <c r="Z177" i="12"/>
  <c r="Z189" i="12"/>
  <c r="Z201" i="12"/>
  <c r="Z213" i="12"/>
  <c r="Z225" i="12"/>
  <c r="Z237" i="12"/>
  <c r="Z249" i="12"/>
  <c r="Z261" i="12"/>
  <c r="Z273" i="12"/>
  <c r="Z285" i="12"/>
  <c r="Z297" i="12"/>
  <c r="Z309" i="12"/>
  <c r="Z321" i="12"/>
  <c r="Z333" i="12"/>
  <c r="Z345" i="12"/>
  <c r="Z357" i="12"/>
  <c r="Z369" i="12"/>
  <c r="Z381" i="12"/>
  <c r="Z393" i="12"/>
  <c r="Z405" i="12"/>
  <c r="Z417" i="12"/>
  <c r="Z429" i="12"/>
  <c r="Z441" i="12"/>
  <c r="Z453" i="12"/>
  <c r="Z465" i="12"/>
  <c r="Z477" i="12"/>
  <c r="Z489" i="12"/>
  <c r="Z501" i="12"/>
  <c r="Z513" i="12"/>
  <c r="Z525" i="12"/>
  <c r="Z537" i="12"/>
  <c r="Z549" i="12"/>
  <c r="Z561" i="12"/>
  <c r="Z573" i="12"/>
  <c r="Z585" i="12"/>
  <c r="Z597" i="12"/>
  <c r="Z609" i="12"/>
  <c r="Z621" i="12"/>
  <c r="Z633" i="12"/>
  <c r="Z645" i="12"/>
  <c r="Z657" i="12"/>
  <c r="Z669" i="12"/>
  <c r="Z681" i="12"/>
  <c r="Z693" i="12"/>
  <c r="Z705" i="12"/>
  <c r="Z717" i="12"/>
  <c r="Z729" i="12"/>
  <c r="Z741" i="12"/>
  <c r="Z753" i="12"/>
  <c r="Z765" i="12"/>
  <c r="Z777" i="12"/>
  <c r="Z789" i="12"/>
  <c r="Z801" i="12"/>
  <c r="Z813" i="12"/>
  <c r="Z825" i="12"/>
  <c r="Z837" i="12"/>
  <c r="Z849" i="12"/>
  <c r="Z861" i="12"/>
  <c r="Z873" i="12"/>
  <c r="Z885" i="12"/>
  <c r="Z897" i="12"/>
  <c r="Z909" i="12"/>
  <c r="Z921" i="12"/>
  <c r="Z933" i="12"/>
  <c r="Z945" i="12"/>
  <c r="Z957" i="12"/>
  <c r="Z969" i="12"/>
  <c r="Z981" i="12"/>
  <c r="Z993" i="12"/>
  <c r="Z1005" i="12"/>
  <c r="Z1017" i="12"/>
  <c r="Z1029" i="12"/>
  <c r="Z1041" i="12"/>
  <c r="Z1053" i="12"/>
  <c r="Z1065" i="12"/>
  <c r="Z1077" i="12"/>
  <c r="Z1089" i="12"/>
  <c r="Z1101" i="12"/>
  <c r="Z1113" i="12"/>
  <c r="Z1125" i="12"/>
  <c r="Z1137" i="12"/>
  <c r="Z1149" i="12"/>
  <c r="Z1161" i="12"/>
  <c r="Z1173" i="12"/>
  <c r="Z1185" i="12"/>
  <c r="Z1197" i="12"/>
  <c r="Z1209" i="12"/>
  <c r="Z1221" i="12"/>
  <c r="Z1233" i="12"/>
  <c r="Z1245" i="12"/>
  <c r="Z1257" i="12"/>
  <c r="Z1269" i="12"/>
  <c r="Z1281" i="12"/>
  <c r="Z1293" i="12"/>
  <c r="Z1305" i="12"/>
  <c r="Z1317" i="12"/>
  <c r="Z1174" i="12"/>
  <c r="Z1234" i="12"/>
  <c r="Z1282" i="12"/>
  <c r="Z1318" i="12"/>
  <c r="Z1199" i="12"/>
  <c r="Z1259" i="12"/>
  <c r="Z1307" i="12"/>
  <c r="Z1241" i="12"/>
  <c r="Z42" i="12"/>
  <c r="Z318" i="12"/>
  <c r="Z498" i="12"/>
  <c r="Z642" i="12"/>
  <c r="Z786" i="12"/>
  <c r="Z906" i="12"/>
  <c r="Z1038" i="12"/>
  <c r="Z1158" i="12"/>
  <c r="Z10" i="12"/>
  <c r="Z22" i="12"/>
  <c r="Z34" i="12"/>
  <c r="Z46" i="12"/>
  <c r="Z58" i="12"/>
  <c r="Z70" i="12"/>
  <c r="Z82" i="12"/>
  <c r="Z94" i="12"/>
  <c r="Z106" i="12"/>
  <c r="Z118" i="12"/>
  <c r="Z130" i="12"/>
  <c r="Z142" i="12"/>
  <c r="Z154" i="12"/>
  <c r="Z166" i="12"/>
  <c r="Z178" i="12"/>
  <c r="Z190" i="12"/>
  <c r="Z202" i="12"/>
  <c r="Z214" i="12"/>
  <c r="Z226" i="12"/>
  <c r="Z238" i="12"/>
  <c r="Z250" i="12"/>
  <c r="Z262" i="12"/>
  <c r="Z274" i="12"/>
  <c r="Z286" i="12"/>
  <c r="Z298" i="12"/>
  <c r="Z310" i="12"/>
  <c r="Z322" i="12"/>
  <c r="Z334" i="12"/>
  <c r="Z346" i="12"/>
  <c r="Z358" i="12"/>
  <c r="Z370" i="12"/>
  <c r="Z382" i="12"/>
  <c r="Z394" i="12"/>
  <c r="Z406" i="12"/>
  <c r="Z418" i="12"/>
  <c r="Z430" i="12"/>
  <c r="Z442" i="12"/>
  <c r="Z454" i="12"/>
  <c r="Z466" i="12"/>
  <c r="Z478" i="12"/>
  <c r="Z490" i="12"/>
  <c r="Z502" i="12"/>
  <c r="Z514" i="12"/>
  <c r="Z526" i="12"/>
  <c r="Z538" i="12"/>
  <c r="Z550" i="12"/>
  <c r="Z562" i="12"/>
  <c r="Z574" i="12"/>
  <c r="Z586" i="12"/>
  <c r="Z598" i="12"/>
  <c r="Z610" i="12"/>
  <c r="Z622" i="12"/>
  <c r="Z634" i="12"/>
  <c r="Z646" i="12"/>
  <c r="Z658" i="12"/>
  <c r="Z670" i="12"/>
  <c r="Z682" i="12"/>
  <c r="Z694" i="12"/>
  <c r="Z706" i="12"/>
  <c r="Z718" i="12"/>
  <c r="Z730" i="12"/>
  <c r="Z742" i="12"/>
  <c r="Z754" i="12"/>
  <c r="Z766" i="12"/>
  <c r="Z778" i="12"/>
  <c r="Z790" i="12"/>
  <c r="Z802" i="12"/>
  <c r="Z814" i="12"/>
  <c r="Z826" i="12"/>
  <c r="Z838" i="12"/>
  <c r="Z850" i="12"/>
  <c r="Z862" i="12"/>
  <c r="Z874" i="12"/>
  <c r="Z886" i="12"/>
  <c r="Z898" i="12"/>
  <c r="Z910" i="12"/>
  <c r="Z922" i="12"/>
  <c r="Z934" i="12"/>
  <c r="Z946" i="12"/>
  <c r="Z958" i="12"/>
  <c r="Z970" i="12"/>
  <c r="Z982" i="12"/>
  <c r="Z994" i="12"/>
  <c r="Z1006" i="12"/>
  <c r="Z1018" i="12"/>
  <c r="Z1030" i="12"/>
  <c r="Z1042" i="12"/>
  <c r="Z1054" i="12"/>
  <c r="Z1066" i="12"/>
  <c r="Z1078" i="12"/>
  <c r="Z1090" i="12"/>
  <c r="Z1102" i="12"/>
  <c r="Z1114" i="12"/>
  <c r="Z1126" i="12"/>
  <c r="Z1138" i="12"/>
  <c r="Z1150" i="12"/>
  <c r="Z1162" i="12"/>
  <c r="Z1186" i="12"/>
  <c r="Z1198" i="12"/>
  <c r="Z1246" i="12"/>
  <c r="Z1294" i="12"/>
  <c r="Z1187" i="12"/>
  <c r="Z1283" i="12"/>
  <c r="Z1169" i="12"/>
  <c r="Z1313" i="12"/>
  <c r="Z114" i="12"/>
  <c r="Z330" i="12"/>
  <c r="Z486" i="12"/>
  <c r="Z618" i="12"/>
  <c r="Z762" i="12"/>
  <c r="Z894" i="12"/>
  <c r="Z1026" i="12"/>
  <c r="Z1170" i="12"/>
  <c r="Z11" i="12"/>
  <c r="Z23" i="12"/>
  <c r="Z35" i="12"/>
  <c r="Z47" i="12"/>
  <c r="Z59" i="12"/>
  <c r="Z71" i="12"/>
  <c r="Z83" i="12"/>
  <c r="Z95" i="12"/>
  <c r="Z107" i="12"/>
  <c r="Z119" i="12"/>
  <c r="Z131" i="12"/>
  <c r="Z143" i="12"/>
  <c r="Z155" i="12"/>
  <c r="Z167" i="12"/>
  <c r="Z179" i="12"/>
  <c r="Z191" i="12"/>
  <c r="Z203" i="12"/>
  <c r="Z215" i="12"/>
  <c r="Z227" i="12"/>
  <c r="Z239" i="12"/>
  <c r="Z251" i="12"/>
  <c r="Z263" i="12"/>
  <c r="Z275" i="12"/>
  <c r="Z287" i="12"/>
  <c r="Z299" i="12"/>
  <c r="Z311" i="12"/>
  <c r="Z323" i="12"/>
  <c r="Z335" i="12"/>
  <c r="Z347" i="12"/>
  <c r="Z359" i="12"/>
  <c r="Z371" i="12"/>
  <c r="Z383" i="12"/>
  <c r="Z395" i="12"/>
  <c r="Z407" i="12"/>
  <c r="Z419" i="12"/>
  <c r="Z431" i="12"/>
  <c r="Z443" i="12"/>
  <c r="Z455" i="12"/>
  <c r="Z467" i="12"/>
  <c r="Z479" i="12"/>
  <c r="Z491" i="12"/>
  <c r="Z503" i="12"/>
  <c r="Z515" i="12"/>
  <c r="Z527" i="12"/>
  <c r="Z539" i="12"/>
  <c r="Z551" i="12"/>
  <c r="Z563" i="12"/>
  <c r="Z575" i="12"/>
  <c r="Z587" i="12"/>
  <c r="Z599" i="12"/>
  <c r="Z611" i="12"/>
  <c r="Z623" i="12"/>
  <c r="Z635" i="12"/>
  <c r="Z647" i="12"/>
  <c r="Z659" i="12"/>
  <c r="Z671" i="12"/>
  <c r="Z683" i="12"/>
  <c r="Z695" i="12"/>
  <c r="Z707" i="12"/>
  <c r="Z719" i="12"/>
  <c r="Z731" i="12"/>
  <c r="Z743" i="12"/>
  <c r="Z755" i="12"/>
  <c r="Z767" i="12"/>
  <c r="Z779" i="12"/>
  <c r="Z791" i="12"/>
  <c r="Z803" i="12"/>
  <c r="Z815" i="12"/>
  <c r="Z827" i="12"/>
  <c r="Z839" i="12"/>
  <c r="Z851" i="12"/>
  <c r="Z863" i="12"/>
  <c r="Z875" i="12"/>
  <c r="Z887" i="12"/>
  <c r="Z899" i="12"/>
  <c r="Z911" i="12"/>
  <c r="Z923" i="12"/>
  <c r="Z935" i="12"/>
  <c r="Z947" i="12"/>
  <c r="Z959" i="12"/>
  <c r="Z971" i="12"/>
  <c r="Z983" i="12"/>
  <c r="Z995" i="12"/>
  <c r="Z1007" i="12"/>
  <c r="Z1019" i="12"/>
  <c r="Z1031" i="12"/>
  <c r="Z1043" i="12"/>
  <c r="Z1055" i="12"/>
  <c r="Z1067" i="12"/>
  <c r="Z1079" i="12"/>
  <c r="Z1091" i="12"/>
  <c r="Z1103" i="12"/>
  <c r="Z1115" i="12"/>
  <c r="Z1127" i="12"/>
  <c r="Z1139" i="12"/>
  <c r="Z1151" i="12"/>
  <c r="Z1163" i="12"/>
  <c r="Z1211" i="12"/>
  <c r="Z1247" i="12"/>
  <c r="Z1217" i="12"/>
  <c r="Z78" i="12"/>
  <c r="Z294" i="12"/>
  <c r="Z438" i="12"/>
  <c r="Z606" i="12"/>
  <c r="Z774" i="12"/>
  <c r="Z930" i="12"/>
  <c r="Z1110" i="12"/>
  <c r="Z12" i="12"/>
  <c r="Z24" i="12"/>
  <c r="Z36" i="12"/>
  <c r="Z48" i="12"/>
  <c r="Z60" i="12"/>
  <c r="Z72" i="12"/>
  <c r="Z84" i="12"/>
  <c r="Z96" i="12"/>
  <c r="Z108" i="12"/>
  <c r="Z120" i="12"/>
  <c r="Z132" i="12"/>
  <c r="Z144" i="12"/>
  <c r="Z156" i="12"/>
  <c r="Z168" i="12"/>
  <c r="Z180" i="12"/>
  <c r="Z192" i="12"/>
  <c r="Z204" i="12"/>
  <c r="Z216" i="12"/>
  <c r="Z228" i="12"/>
  <c r="Z240" i="12"/>
  <c r="Z252" i="12"/>
  <c r="Z264" i="12"/>
  <c r="Z276" i="12"/>
  <c r="Z288" i="12"/>
  <c r="Z300" i="12"/>
  <c r="Z312" i="12"/>
  <c r="Z324" i="12"/>
  <c r="Z336" i="12"/>
  <c r="Z348" i="12"/>
  <c r="Z360" i="12"/>
  <c r="Z372" i="12"/>
  <c r="Z384" i="12"/>
  <c r="Z396" i="12"/>
  <c r="Z408" i="12"/>
  <c r="Z420" i="12"/>
  <c r="Z432" i="12"/>
  <c r="Z444" i="12"/>
  <c r="Z456" i="12"/>
  <c r="Z468" i="12"/>
  <c r="Z480" i="12"/>
  <c r="Z492" i="12"/>
  <c r="Z504" i="12"/>
  <c r="Z516" i="12"/>
  <c r="Z528" i="12"/>
  <c r="Z540" i="12"/>
  <c r="Z552" i="12"/>
  <c r="Z564" i="12"/>
  <c r="Z576" i="12"/>
  <c r="Z588" i="12"/>
  <c r="Z600" i="12"/>
  <c r="Z612" i="12"/>
  <c r="Z624" i="12"/>
  <c r="Z636" i="12"/>
  <c r="Z648" i="12"/>
  <c r="Z660" i="12"/>
  <c r="Z672" i="12"/>
  <c r="Z684" i="12"/>
  <c r="Z696" i="12"/>
  <c r="Z708" i="12"/>
  <c r="Z720" i="12"/>
  <c r="Z732" i="12"/>
  <c r="Z744" i="12"/>
  <c r="Z756" i="12"/>
  <c r="Z768" i="12"/>
  <c r="Z780" i="12"/>
  <c r="Z792" i="12"/>
  <c r="Z804" i="12"/>
  <c r="Z816" i="12"/>
  <c r="Z828" i="12"/>
  <c r="Z840" i="12"/>
  <c r="Z852" i="12"/>
  <c r="Z864" i="12"/>
  <c r="Z876" i="12"/>
  <c r="Z888" i="12"/>
  <c r="Z900" i="12"/>
  <c r="Z912" i="12"/>
  <c r="Z924" i="12"/>
  <c r="Z936" i="12"/>
  <c r="Z948" i="12"/>
  <c r="Z960" i="12"/>
  <c r="Z972" i="12"/>
  <c r="Z984" i="12"/>
  <c r="Z996" i="12"/>
  <c r="Z1008" i="12"/>
  <c r="Z1020" i="12"/>
  <c r="Z1032" i="12"/>
  <c r="Z1044" i="12"/>
  <c r="Z1056" i="12"/>
  <c r="Z1068" i="12"/>
  <c r="Z1080" i="12"/>
  <c r="Z1092" i="12"/>
  <c r="Z1104" i="12"/>
  <c r="Z1116" i="12"/>
  <c r="Z1128" i="12"/>
  <c r="Z1140" i="12"/>
  <c r="Z1152" i="12"/>
  <c r="Z1164" i="12"/>
  <c r="Z1176" i="12"/>
  <c r="Z1188" i="12"/>
  <c r="Z1200" i="12"/>
  <c r="Z1212" i="12"/>
  <c r="Z1224" i="12"/>
  <c r="Z1236" i="12"/>
  <c r="Z1248" i="12"/>
  <c r="Z1260" i="12"/>
  <c r="Z1272" i="12"/>
  <c r="Z1284" i="12"/>
  <c r="Z1296" i="12"/>
  <c r="Z1308" i="12"/>
  <c r="Z1261" i="12"/>
  <c r="Z1297" i="12"/>
  <c r="Z1286" i="12"/>
  <c r="Z1203" i="12"/>
  <c r="Z1251" i="12"/>
  <c r="Z1299" i="12"/>
  <c r="Z1204" i="12"/>
  <c r="Z1240" i="12"/>
  <c r="Z1300" i="12"/>
  <c r="Z1205" i="12"/>
  <c r="Z1289" i="12"/>
  <c r="Z90" i="12"/>
  <c r="Z366" i="12"/>
  <c r="Z474" i="12"/>
  <c r="Z594" i="12"/>
  <c r="Z726" i="12"/>
  <c r="Z858" i="12"/>
  <c r="Z990" i="12"/>
  <c r="Z13" i="12"/>
  <c r="Z25" i="12"/>
  <c r="Z37" i="12"/>
  <c r="Z49" i="12"/>
  <c r="Z61" i="12"/>
  <c r="Z73" i="12"/>
  <c r="Z85" i="12"/>
  <c r="Z97" i="12"/>
  <c r="Z109" i="12"/>
  <c r="Z121" i="12"/>
  <c r="Z133" i="12"/>
  <c r="Z145" i="12"/>
  <c r="Z157" i="12"/>
  <c r="Z169" i="12"/>
  <c r="Z181" i="12"/>
  <c r="Z193" i="12"/>
  <c r="Z205" i="12"/>
  <c r="Z217" i="12"/>
  <c r="Z229" i="12"/>
  <c r="Z241" i="12"/>
  <c r="Z253" i="12"/>
  <c r="Z265" i="12"/>
  <c r="Z277" i="12"/>
  <c r="Z289" i="12"/>
  <c r="Z301" i="12"/>
  <c r="Z313" i="12"/>
  <c r="Z325" i="12"/>
  <c r="Z337" i="12"/>
  <c r="Z349" i="12"/>
  <c r="Z361" i="12"/>
  <c r="Z373" i="12"/>
  <c r="Z385" i="12"/>
  <c r="Z397" i="12"/>
  <c r="Z409" i="12"/>
  <c r="Z421" i="12"/>
  <c r="Z433" i="12"/>
  <c r="Z445" i="12"/>
  <c r="Z457" i="12"/>
  <c r="Z469" i="12"/>
  <c r="Z481" i="12"/>
  <c r="Z493" i="12"/>
  <c r="Z505" i="12"/>
  <c r="Z517" i="12"/>
  <c r="Z529" i="12"/>
  <c r="Z541" i="12"/>
  <c r="Z553" i="12"/>
  <c r="Z565" i="12"/>
  <c r="Z577" i="12"/>
  <c r="Z589" i="12"/>
  <c r="Z601" i="12"/>
  <c r="Z613" i="12"/>
  <c r="Z625" i="12"/>
  <c r="Z637" i="12"/>
  <c r="Z649" i="12"/>
  <c r="Z661" i="12"/>
  <c r="Z673" i="12"/>
  <c r="Z685" i="12"/>
  <c r="Z697" i="12"/>
  <c r="Z709" i="12"/>
  <c r="Z721" i="12"/>
  <c r="Z733" i="12"/>
  <c r="Z745" i="12"/>
  <c r="Z757" i="12"/>
  <c r="Z769" i="12"/>
  <c r="Z781" i="12"/>
  <c r="Z793" i="12"/>
  <c r="Z805" i="12"/>
  <c r="Z817" i="12"/>
  <c r="Z829" i="12"/>
  <c r="Z841" i="12"/>
  <c r="Z853" i="12"/>
  <c r="Z865" i="12"/>
  <c r="Z877" i="12"/>
  <c r="Z889" i="12"/>
  <c r="Z901" i="12"/>
  <c r="Z913" i="12"/>
  <c r="Z925" i="12"/>
  <c r="Z937" i="12"/>
  <c r="Z949" i="12"/>
  <c r="Z961" i="12"/>
  <c r="Z973" i="12"/>
  <c r="Z985" i="12"/>
  <c r="Z997" i="12"/>
  <c r="Z1009" i="12"/>
  <c r="Z1021" i="12"/>
  <c r="Z1033" i="12"/>
  <c r="Z1045" i="12"/>
  <c r="Z1057" i="12"/>
  <c r="Z1069" i="12"/>
  <c r="Z1081" i="12"/>
  <c r="Z1093" i="12"/>
  <c r="Z1105" i="12"/>
  <c r="Z1117" i="12"/>
  <c r="Z1129" i="12"/>
  <c r="Z1141" i="12"/>
  <c r="Z1153" i="12"/>
  <c r="Z1165" i="12"/>
  <c r="Z1177" i="12"/>
  <c r="Z1189" i="12"/>
  <c r="Z1201" i="12"/>
  <c r="Z1213" i="12"/>
  <c r="Z1225" i="12"/>
  <c r="Z1237" i="12"/>
  <c r="Z1249" i="12"/>
  <c r="Z1273" i="12"/>
  <c r="Z1285" i="12"/>
  <c r="Z1309" i="12"/>
  <c r="Z1310" i="12"/>
  <c r="Z1215" i="12"/>
  <c r="Z1263" i="12"/>
  <c r="Z1168" i="12"/>
  <c r="Z1228" i="12"/>
  <c r="Z1288" i="12"/>
  <c r="Z1181" i="12"/>
  <c r="Z30" i="12"/>
  <c r="Z342" i="12"/>
  <c r="Z510" i="12"/>
  <c r="Z630" i="12"/>
  <c r="Z750" i="12"/>
  <c r="Z882" i="12"/>
  <c r="Z1002" i="12"/>
  <c r="Z1146" i="12"/>
  <c r="Z14" i="12"/>
  <c r="Z26" i="12"/>
  <c r="Z38" i="12"/>
  <c r="Z50" i="12"/>
  <c r="Z62" i="12"/>
  <c r="Z74" i="12"/>
  <c r="Z86" i="12"/>
  <c r="Z98" i="12"/>
  <c r="Z110" i="12"/>
  <c r="Z122" i="12"/>
  <c r="Z134" i="12"/>
  <c r="Z146" i="12"/>
  <c r="Z158" i="12"/>
  <c r="Z170" i="12"/>
  <c r="Z182" i="12"/>
  <c r="Z194" i="12"/>
  <c r="Z206" i="12"/>
  <c r="Z218" i="12"/>
  <c r="Z230" i="12"/>
  <c r="Z242" i="12"/>
  <c r="Z254" i="12"/>
  <c r="Z266" i="12"/>
  <c r="Z278" i="12"/>
  <c r="Z290" i="12"/>
  <c r="Z302" i="12"/>
  <c r="Z314" i="12"/>
  <c r="Z326" i="12"/>
  <c r="Z338" i="12"/>
  <c r="Z350" i="12"/>
  <c r="Z362" i="12"/>
  <c r="Z374" i="12"/>
  <c r="Z386" i="12"/>
  <c r="Z398" i="12"/>
  <c r="Z410" i="12"/>
  <c r="Z422" i="12"/>
  <c r="Z434" i="12"/>
  <c r="Z446" i="12"/>
  <c r="Z458" i="12"/>
  <c r="Z470" i="12"/>
  <c r="Z482" i="12"/>
  <c r="Z494" i="12"/>
  <c r="Z506" i="12"/>
  <c r="Z518" i="12"/>
  <c r="Z530" i="12"/>
  <c r="Z542" i="12"/>
  <c r="Z554" i="12"/>
  <c r="Z566" i="12"/>
  <c r="Z578" i="12"/>
  <c r="Z590" i="12"/>
  <c r="Z602" i="12"/>
  <c r="Z614" i="12"/>
  <c r="Z626" i="12"/>
  <c r="Z638" i="12"/>
  <c r="Z650" i="12"/>
  <c r="Z662" i="12"/>
  <c r="Z674" i="12"/>
  <c r="Z686" i="12"/>
  <c r="Z698" i="12"/>
  <c r="Z710" i="12"/>
  <c r="Z722" i="12"/>
  <c r="Z734" i="12"/>
  <c r="Z746" i="12"/>
  <c r="Z758" i="12"/>
  <c r="Z770" i="12"/>
  <c r="Z782" i="12"/>
  <c r="Z794" i="12"/>
  <c r="Z806" i="12"/>
  <c r="Z818" i="12"/>
  <c r="Z830" i="12"/>
  <c r="Z842" i="12"/>
  <c r="Z854" i="12"/>
  <c r="Z866" i="12"/>
  <c r="Z878" i="12"/>
  <c r="Z890" i="12"/>
  <c r="Z902" i="12"/>
  <c r="Z914" i="12"/>
  <c r="Z926" i="12"/>
  <c r="Z938" i="12"/>
  <c r="Z950" i="12"/>
  <c r="Z962" i="12"/>
  <c r="Z974" i="12"/>
  <c r="Z986" i="12"/>
  <c r="Z998" i="12"/>
  <c r="Z1010" i="12"/>
  <c r="Z1022" i="12"/>
  <c r="Z1034" i="12"/>
  <c r="Z1046" i="12"/>
  <c r="Z1058" i="12"/>
  <c r="Z1070" i="12"/>
  <c r="Z1082" i="12"/>
  <c r="Z1094" i="12"/>
  <c r="Z1106" i="12"/>
  <c r="Z1118" i="12"/>
  <c r="Z1130" i="12"/>
  <c r="Z1142" i="12"/>
  <c r="Z1154" i="12"/>
  <c r="Z1166" i="12"/>
  <c r="Z1178" i="12"/>
  <c r="Z1190" i="12"/>
  <c r="Z1202" i="12"/>
  <c r="Z1214" i="12"/>
  <c r="Z1226" i="12"/>
  <c r="Z1238" i="12"/>
  <c r="Z1250" i="12"/>
  <c r="Z1262" i="12"/>
  <c r="Z1274" i="12"/>
  <c r="Z1298" i="12"/>
  <c r="Z1227" i="12"/>
  <c r="Z1275" i="12"/>
  <c r="Z1311" i="12"/>
  <c r="Z1216" i="12"/>
  <c r="Z1276" i="12"/>
  <c r="Z1145" i="12"/>
  <c r="Z1265" i="12"/>
  <c r="Z102" i="12"/>
  <c r="Z282" i="12"/>
  <c r="Z426" i="12"/>
  <c r="Z546" i="12"/>
  <c r="Z678" i="12"/>
  <c r="Z810" i="12"/>
  <c r="Z942" i="12"/>
  <c r="Z1074" i="12"/>
  <c r="Z15" i="12"/>
  <c r="Z27" i="12"/>
  <c r="Z39" i="12"/>
  <c r="Z51" i="12"/>
  <c r="Z63" i="12"/>
  <c r="Z75" i="12"/>
  <c r="Z87" i="12"/>
  <c r="Z99" i="12"/>
  <c r="Z111" i="12"/>
  <c r="Z123" i="12"/>
  <c r="Z135" i="12"/>
  <c r="Z147" i="12"/>
  <c r="Z159" i="12"/>
  <c r="Z171" i="12"/>
  <c r="Z183" i="12"/>
  <c r="Z195" i="12"/>
  <c r="Z207" i="12"/>
  <c r="Z219" i="12"/>
  <c r="Z231" i="12"/>
  <c r="Z243" i="12"/>
  <c r="Z255" i="12"/>
  <c r="Z267" i="12"/>
  <c r="Z279" i="12"/>
  <c r="Z291" i="12"/>
  <c r="Z303" i="12"/>
  <c r="Z315" i="12"/>
  <c r="Z327" i="12"/>
  <c r="Z339" i="12"/>
  <c r="Z351" i="12"/>
  <c r="Z363" i="12"/>
  <c r="Z375" i="12"/>
  <c r="Z387" i="12"/>
  <c r="Z399" i="12"/>
  <c r="Z411" i="12"/>
  <c r="Z423" i="12"/>
  <c r="Z435" i="12"/>
  <c r="Z447" i="12"/>
  <c r="Z459" i="12"/>
  <c r="Z471" i="12"/>
  <c r="Z483" i="12"/>
  <c r="Z495" i="12"/>
  <c r="Z507" i="12"/>
  <c r="Z519" i="12"/>
  <c r="Z531" i="12"/>
  <c r="Z543" i="12"/>
  <c r="Z555" i="12"/>
  <c r="Z567" i="12"/>
  <c r="Z579" i="12"/>
  <c r="Z591" i="12"/>
  <c r="Z603" i="12"/>
  <c r="Z615" i="12"/>
  <c r="Z627" i="12"/>
  <c r="Z639" i="12"/>
  <c r="Z651" i="12"/>
  <c r="Z663" i="12"/>
  <c r="Z675" i="12"/>
  <c r="Z687" i="12"/>
  <c r="Z699" i="12"/>
  <c r="Z711" i="12"/>
  <c r="Z723" i="12"/>
  <c r="Z735" i="12"/>
  <c r="Z747" i="12"/>
  <c r="Z759" i="12"/>
  <c r="Z771" i="12"/>
  <c r="Z783" i="12"/>
  <c r="Z795" i="12"/>
  <c r="Z807" i="12"/>
  <c r="Z819" i="12"/>
  <c r="Z831" i="12"/>
  <c r="Z843" i="12"/>
  <c r="Z855" i="12"/>
  <c r="Z867" i="12"/>
  <c r="Z879" i="12"/>
  <c r="Z891" i="12"/>
  <c r="Z903" i="12"/>
  <c r="Z915" i="12"/>
  <c r="Z927" i="12"/>
  <c r="Z939" i="12"/>
  <c r="Z951" i="12"/>
  <c r="Z963" i="12"/>
  <c r="Z975" i="12"/>
  <c r="Z987" i="12"/>
  <c r="Z999" i="12"/>
  <c r="Z1011" i="12"/>
  <c r="Z1023" i="12"/>
  <c r="Z1035" i="12"/>
  <c r="Z1047" i="12"/>
  <c r="Z1059" i="12"/>
  <c r="Z1071" i="12"/>
  <c r="Z1083" i="12"/>
  <c r="Z1095" i="12"/>
  <c r="Z1107" i="12"/>
  <c r="Z1119" i="12"/>
  <c r="Z1131" i="12"/>
  <c r="Z1143" i="12"/>
  <c r="Z1155" i="12"/>
  <c r="Z1167" i="12"/>
  <c r="Z1179" i="12"/>
  <c r="Z1191" i="12"/>
  <c r="Z1239" i="12"/>
  <c r="Z1287" i="12"/>
  <c r="Z1180" i="12"/>
  <c r="Z1264" i="12"/>
  <c r="Z1312" i="12"/>
  <c r="Z1253" i="12"/>
  <c r="Z18" i="12"/>
  <c r="Z354" i="12"/>
  <c r="Z522" i="12"/>
  <c r="Z666" i="12"/>
  <c r="Z798" i="12"/>
  <c r="Z918" i="12"/>
  <c r="Z1050" i="12"/>
  <c r="Z1182" i="12"/>
  <c r="Z16" i="12"/>
  <c r="Z28" i="12"/>
  <c r="Z40" i="12"/>
  <c r="Z52" i="12"/>
  <c r="Z64" i="12"/>
  <c r="Z76" i="12"/>
  <c r="Z88" i="12"/>
  <c r="Z100" i="12"/>
  <c r="Z112" i="12"/>
  <c r="Z124" i="12"/>
  <c r="Z136" i="12"/>
  <c r="Z148" i="12"/>
  <c r="Z160" i="12"/>
  <c r="Z172" i="12"/>
  <c r="Z184" i="12"/>
  <c r="Z196" i="12"/>
  <c r="Z208" i="12"/>
  <c r="Z220" i="12"/>
  <c r="Z232" i="12"/>
  <c r="Z244" i="12"/>
  <c r="Z256" i="12"/>
  <c r="Z268" i="12"/>
  <c r="Z280" i="12"/>
  <c r="Z292" i="12"/>
  <c r="Z304" i="12"/>
  <c r="Z316" i="12"/>
  <c r="Z328" i="12"/>
  <c r="Z340" i="12"/>
  <c r="Z352" i="12"/>
  <c r="Z364" i="12"/>
  <c r="Z376" i="12"/>
  <c r="Z388" i="12"/>
  <c r="Z400" i="12"/>
  <c r="Z412" i="12"/>
  <c r="Z424" i="12"/>
  <c r="Z436" i="12"/>
  <c r="Z448" i="12"/>
  <c r="Z460" i="12"/>
  <c r="Z472" i="12"/>
  <c r="Z484" i="12"/>
  <c r="Z496" i="12"/>
  <c r="Z508" i="12"/>
  <c r="Z520" i="12"/>
  <c r="Z532" i="12"/>
  <c r="Z544" i="12"/>
  <c r="Z556" i="12"/>
  <c r="Z568" i="12"/>
  <c r="Z580" i="12"/>
  <c r="Z592" i="12"/>
  <c r="Z604" i="12"/>
  <c r="Z616" i="12"/>
  <c r="Z628" i="12"/>
  <c r="Z640" i="12"/>
  <c r="Z652" i="12"/>
  <c r="Z664" i="12"/>
  <c r="Z676" i="12"/>
  <c r="Z688" i="12"/>
  <c r="Z700" i="12"/>
  <c r="Z712" i="12"/>
  <c r="Z724" i="12"/>
  <c r="Z736" i="12"/>
  <c r="Z748" i="12"/>
  <c r="Z760" i="12"/>
  <c r="Z772" i="12"/>
  <c r="Z784" i="12"/>
  <c r="Z796" i="12"/>
  <c r="Z808" i="12"/>
  <c r="Z820" i="12"/>
  <c r="Z832" i="12"/>
  <c r="Z844" i="12"/>
  <c r="Z856" i="12"/>
  <c r="Z868" i="12"/>
  <c r="Z880" i="12"/>
  <c r="Z892" i="12"/>
  <c r="Z904" i="12"/>
  <c r="Z916" i="12"/>
  <c r="Z928" i="12"/>
  <c r="Z940" i="12"/>
  <c r="Z952" i="12"/>
  <c r="Z964" i="12"/>
  <c r="Z976" i="12"/>
  <c r="Z988" i="12"/>
  <c r="Z1000" i="12"/>
  <c r="Z1012" i="12"/>
  <c r="Z1024" i="12"/>
  <c r="Z1036" i="12"/>
  <c r="Z1048" i="12"/>
  <c r="Z1060" i="12"/>
  <c r="Z1072" i="12"/>
  <c r="Z1084" i="12"/>
  <c r="Z1096" i="12"/>
  <c r="Z1108" i="12"/>
  <c r="Z1120" i="12"/>
  <c r="Z1132" i="12"/>
  <c r="Z1144" i="12"/>
  <c r="Z1156" i="12"/>
  <c r="Z1192" i="12"/>
  <c r="Z1252" i="12"/>
  <c r="Z1193" i="12"/>
  <c r="Z54" i="12"/>
  <c r="Z150" i="12"/>
  <c r="Z174" i="12"/>
  <c r="Z198" i="12"/>
  <c r="Z222" i="12"/>
  <c r="Z246" i="12"/>
  <c r="Z378" i="12"/>
  <c r="Z450" i="12"/>
  <c r="Z570" i="12"/>
  <c r="Z690" i="12"/>
  <c r="Z822" i="12"/>
  <c r="Z954" i="12"/>
  <c r="Z1062" i="12"/>
  <c r="Z17" i="12"/>
  <c r="Z29" i="12"/>
  <c r="Z41" i="12"/>
  <c r="Z53" i="12"/>
  <c r="Z65" i="12"/>
  <c r="Z77" i="12"/>
  <c r="Z89" i="12"/>
  <c r="Z101" i="12"/>
  <c r="Z113" i="12"/>
  <c r="Z125" i="12"/>
  <c r="Z137" i="12"/>
  <c r="Z149" i="12"/>
  <c r="Z161" i="12"/>
  <c r="Z173" i="12"/>
  <c r="Z185" i="12"/>
  <c r="Z197" i="12"/>
  <c r="Z209" i="12"/>
  <c r="Z221" i="12"/>
  <c r="Z233" i="12"/>
  <c r="Z245" i="12"/>
  <c r="Z257" i="12"/>
  <c r="Z269" i="12"/>
  <c r="Z281" i="12"/>
  <c r="Z293" i="12"/>
  <c r="Z305" i="12"/>
  <c r="Z317" i="12"/>
  <c r="Z329" i="12"/>
  <c r="Z341" i="12"/>
  <c r="Z353" i="12"/>
  <c r="Z365" i="12"/>
  <c r="Z377" i="12"/>
  <c r="Z389" i="12"/>
  <c r="Z401" i="12"/>
  <c r="Z413" i="12"/>
  <c r="Z425" i="12"/>
  <c r="Z437" i="12"/>
  <c r="Z449" i="12"/>
  <c r="Z461" i="12"/>
  <c r="Z473" i="12"/>
  <c r="Z485" i="12"/>
  <c r="Z497" i="12"/>
  <c r="Z509" i="12"/>
  <c r="Z521" i="12"/>
  <c r="Z533" i="12"/>
  <c r="Z545" i="12"/>
  <c r="Z557" i="12"/>
  <c r="Z569" i="12"/>
  <c r="Z581" i="12"/>
  <c r="Z593" i="12"/>
  <c r="Z605" i="12"/>
  <c r="Z617" i="12"/>
  <c r="Z629" i="12"/>
  <c r="Z641" i="12"/>
  <c r="Z653" i="12"/>
  <c r="Z665" i="12"/>
  <c r="Z677" i="12"/>
  <c r="Z689" i="12"/>
  <c r="Z701" i="12"/>
  <c r="Z713" i="12"/>
  <c r="Z725" i="12"/>
  <c r="Z737" i="12"/>
  <c r="Z749" i="12"/>
  <c r="Z761" i="12"/>
  <c r="Z773" i="12"/>
  <c r="Z785" i="12"/>
  <c r="Z797" i="12"/>
  <c r="Z809" i="12"/>
  <c r="Z821" i="12"/>
  <c r="Z833" i="12"/>
  <c r="Z845" i="12"/>
  <c r="Z857" i="12"/>
  <c r="Z869" i="12"/>
  <c r="Z881" i="12"/>
  <c r="Z893" i="12"/>
  <c r="Z905" i="12"/>
  <c r="Z917" i="12"/>
  <c r="Z929" i="12"/>
  <c r="Z941" i="12"/>
  <c r="Z953" i="12"/>
  <c r="Z965" i="12"/>
  <c r="Z977" i="12"/>
  <c r="Z989" i="12"/>
  <c r="Z1001" i="12"/>
  <c r="Z1013" i="12"/>
  <c r="Z1025" i="12"/>
  <c r="Z1037" i="12"/>
  <c r="Z1049" i="12"/>
  <c r="Z1061" i="12"/>
  <c r="Z1073" i="12"/>
  <c r="Z1085" i="12"/>
  <c r="Z1097" i="12"/>
  <c r="Z1109" i="12"/>
  <c r="Z1121" i="12"/>
  <c r="Z1229" i="12"/>
  <c r="Z66" i="12"/>
  <c r="Z162" i="12"/>
  <c r="Z186" i="12"/>
  <c r="Z210" i="12"/>
  <c r="Z234" i="12"/>
  <c r="Z306" i="12"/>
  <c r="Z390" i="12"/>
  <c r="Z462" i="12"/>
  <c r="Z582" i="12"/>
  <c r="Z714" i="12"/>
  <c r="Z846" i="12"/>
  <c r="Z978" i="12"/>
  <c r="Z1098" i="12"/>
  <c r="Z1122" i="12"/>
  <c r="Z1206" i="12"/>
  <c r="Z1218" i="12"/>
  <c r="Z1230" i="12"/>
  <c r="Z1254" i="12"/>
  <c r="Z1278" i="12"/>
  <c r="Z1314" i="12"/>
  <c r="Z1194" i="12"/>
  <c r="Z1266" i="12"/>
  <c r="Z1302" i="12"/>
  <c r="Z1242" i="12"/>
  <c r="Z1290" i="12"/>
  <c r="Z6" i="12"/>
  <c r="N7" i="12"/>
  <c r="N19" i="12"/>
  <c r="N31" i="12"/>
  <c r="N43" i="12"/>
  <c r="N55" i="12"/>
  <c r="N67" i="12"/>
  <c r="N79" i="12"/>
  <c r="N91" i="12"/>
  <c r="N103" i="12"/>
  <c r="N115" i="12"/>
  <c r="N127" i="12"/>
  <c r="N139" i="12"/>
  <c r="N151" i="12"/>
  <c r="N163" i="12"/>
  <c r="N175" i="12"/>
  <c r="N187" i="12"/>
  <c r="N199" i="12"/>
  <c r="N211" i="12"/>
  <c r="N223" i="12"/>
  <c r="N235" i="12"/>
  <c r="N247" i="12"/>
  <c r="N259" i="12"/>
  <c r="N271" i="12"/>
  <c r="N283" i="12"/>
  <c r="N295" i="12"/>
  <c r="N307" i="12"/>
  <c r="N319" i="12"/>
  <c r="N331" i="12"/>
  <c r="N343" i="12"/>
  <c r="N355" i="12"/>
  <c r="N367" i="12"/>
  <c r="N379" i="12"/>
  <c r="N391" i="12"/>
  <c r="N403" i="12"/>
  <c r="N415" i="12"/>
  <c r="N427" i="12"/>
  <c r="N439" i="12"/>
  <c r="N451" i="12"/>
  <c r="N463" i="12"/>
  <c r="N475" i="12"/>
  <c r="N487" i="12"/>
  <c r="N499" i="12"/>
  <c r="N511" i="12"/>
  <c r="N523" i="12"/>
  <c r="N535" i="12"/>
  <c r="N547" i="12"/>
  <c r="N559" i="12"/>
  <c r="N571" i="12"/>
  <c r="N583" i="12"/>
  <c r="N595" i="12"/>
  <c r="N607" i="12"/>
  <c r="N619" i="12"/>
  <c r="N631" i="12"/>
  <c r="N643" i="12"/>
  <c r="N655" i="12"/>
  <c r="N667" i="12"/>
  <c r="N679" i="12"/>
  <c r="N691" i="12"/>
  <c r="N703" i="12"/>
  <c r="N715" i="12"/>
  <c r="N727" i="12"/>
  <c r="N739" i="12"/>
  <c r="N751" i="12"/>
  <c r="N763" i="12"/>
  <c r="N775" i="12"/>
  <c r="N787" i="12"/>
  <c r="N799" i="12"/>
  <c r="N811" i="12"/>
  <c r="N823" i="12"/>
  <c r="N835" i="12"/>
  <c r="N847" i="12"/>
  <c r="N859" i="12"/>
  <c r="N871" i="12"/>
  <c r="N883" i="12"/>
  <c r="N895" i="12"/>
  <c r="N907" i="12"/>
  <c r="N919" i="12"/>
  <c r="N931" i="12"/>
  <c r="N943" i="12"/>
  <c r="N955" i="12"/>
  <c r="N967" i="12"/>
  <c r="N979" i="12"/>
  <c r="N991" i="12"/>
  <c r="N1003" i="12"/>
  <c r="N1015" i="12"/>
  <c r="N1027" i="12"/>
  <c r="N1039" i="12"/>
  <c r="N1051" i="12"/>
  <c r="N1063" i="12"/>
  <c r="N1075" i="12"/>
  <c r="N1087" i="12"/>
  <c r="N1099" i="12"/>
  <c r="N1111" i="12"/>
  <c r="N1123" i="12"/>
  <c r="N1135" i="12"/>
  <c r="N1147" i="12"/>
  <c r="N1159" i="12"/>
  <c r="N1171" i="12"/>
  <c r="N1183" i="12"/>
  <c r="N1195" i="12"/>
  <c r="N1207" i="12"/>
  <c r="N1219" i="12"/>
  <c r="N1231" i="12"/>
  <c r="N1243" i="12"/>
  <c r="N1255" i="12"/>
  <c r="N1267" i="12"/>
  <c r="N1279" i="12"/>
  <c r="N1291" i="12"/>
  <c r="N1303" i="12"/>
  <c r="N1315" i="12"/>
  <c r="N1327" i="12"/>
  <c r="N1339" i="12"/>
  <c r="N1351" i="12"/>
  <c r="N1363" i="12"/>
  <c r="N1375" i="12"/>
  <c r="N1387" i="12"/>
  <c r="N1399" i="12"/>
  <c r="N1411" i="12"/>
  <c r="N1423" i="12"/>
  <c r="N1435" i="12"/>
  <c r="N1412" i="12"/>
  <c r="N1436" i="12"/>
  <c r="N1426" i="12"/>
  <c r="N1391" i="12"/>
  <c r="N8" i="12"/>
  <c r="N20" i="12"/>
  <c r="N32" i="12"/>
  <c r="N44" i="12"/>
  <c r="N56" i="12"/>
  <c r="N68" i="12"/>
  <c r="N80" i="12"/>
  <c r="N92" i="12"/>
  <c r="N104" i="12"/>
  <c r="N116" i="12"/>
  <c r="N128" i="12"/>
  <c r="N140" i="12"/>
  <c r="N152" i="12"/>
  <c r="N164" i="12"/>
  <c r="N176" i="12"/>
  <c r="N188" i="12"/>
  <c r="N200" i="12"/>
  <c r="N212" i="12"/>
  <c r="N224" i="12"/>
  <c r="N236" i="12"/>
  <c r="N248" i="12"/>
  <c r="N260" i="12"/>
  <c r="N272" i="12"/>
  <c r="N284" i="12"/>
  <c r="N296" i="12"/>
  <c r="N308" i="12"/>
  <c r="N320" i="12"/>
  <c r="N332" i="12"/>
  <c r="N344" i="12"/>
  <c r="N356" i="12"/>
  <c r="N368" i="12"/>
  <c r="N380" i="12"/>
  <c r="N392" i="12"/>
  <c r="N404" i="12"/>
  <c r="N416" i="12"/>
  <c r="N428" i="12"/>
  <c r="N440" i="12"/>
  <c r="N452" i="12"/>
  <c r="N464" i="12"/>
  <c r="N476" i="12"/>
  <c r="N488" i="12"/>
  <c r="N500" i="12"/>
  <c r="N512" i="12"/>
  <c r="N524" i="12"/>
  <c r="N536" i="12"/>
  <c r="N548" i="12"/>
  <c r="N560" i="12"/>
  <c r="N572" i="12"/>
  <c r="N584" i="12"/>
  <c r="N596" i="12"/>
  <c r="N608" i="12"/>
  <c r="N620" i="12"/>
  <c r="N632" i="12"/>
  <c r="N644" i="12"/>
  <c r="N656" i="12"/>
  <c r="N668" i="12"/>
  <c r="N680" i="12"/>
  <c r="N692" i="12"/>
  <c r="N704" i="12"/>
  <c r="N716" i="12"/>
  <c r="N728" i="12"/>
  <c r="N740" i="12"/>
  <c r="N752" i="12"/>
  <c r="N764" i="12"/>
  <c r="N776" i="12"/>
  <c r="N788" i="12"/>
  <c r="N800" i="12"/>
  <c r="N812" i="12"/>
  <c r="N824" i="12"/>
  <c r="N836" i="12"/>
  <c r="N848" i="12"/>
  <c r="N860" i="12"/>
  <c r="N872" i="12"/>
  <c r="N884" i="12"/>
  <c r="N896" i="12"/>
  <c r="N908" i="12"/>
  <c r="N920" i="12"/>
  <c r="N932" i="12"/>
  <c r="N944" i="12"/>
  <c r="N956" i="12"/>
  <c r="N968" i="12"/>
  <c r="N980" i="12"/>
  <c r="N992" i="12"/>
  <c r="N1004" i="12"/>
  <c r="N1016" i="12"/>
  <c r="N1028" i="12"/>
  <c r="N1040" i="12"/>
  <c r="N1052" i="12"/>
  <c r="N1064" i="12"/>
  <c r="N1076" i="12"/>
  <c r="N1088" i="12"/>
  <c r="N1100" i="12"/>
  <c r="N1112" i="12"/>
  <c r="N1124" i="12"/>
  <c r="N1136" i="12"/>
  <c r="N1148" i="12"/>
  <c r="N1160" i="12"/>
  <c r="N1172" i="12"/>
  <c r="N1184" i="12"/>
  <c r="N1196" i="12"/>
  <c r="N1208" i="12"/>
  <c r="N1220" i="12"/>
  <c r="N1232" i="12"/>
  <c r="N1244" i="12"/>
  <c r="N1256" i="12"/>
  <c r="N1268" i="12"/>
  <c r="N1280" i="12"/>
  <c r="N1292" i="12"/>
  <c r="N1304" i="12"/>
  <c r="N1316" i="12"/>
  <c r="N1328" i="12"/>
  <c r="N1340" i="12"/>
  <c r="N1352" i="12"/>
  <c r="N1364" i="12"/>
  <c r="N1376" i="12"/>
  <c r="N1388" i="12"/>
  <c r="N1400" i="12"/>
  <c r="N1424" i="12"/>
  <c r="N1402" i="12"/>
  <c r="N1415" i="12"/>
  <c r="N51" i="12"/>
  <c r="N9" i="12"/>
  <c r="N21" i="12"/>
  <c r="N33" i="12"/>
  <c r="N45" i="12"/>
  <c r="N57" i="12"/>
  <c r="N69" i="12"/>
  <c r="N81" i="12"/>
  <c r="N93" i="12"/>
  <c r="N105" i="12"/>
  <c r="N117" i="12"/>
  <c r="N129" i="12"/>
  <c r="N141" i="12"/>
  <c r="N153" i="12"/>
  <c r="N165" i="12"/>
  <c r="N177" i="12"/>
  <c r="N189" i="12"/>
  <c r="N201" i="12"/>
  <c r="N213" i="12"/>
  <c r="N225" i="12"/>
  <c r="N237" i="12"/>
  <c r="N249" i="12"/>
  <c r="N261" i="12"/>
  <c r="N273" i="12"/>
  <c r="N285" i="12"/>
  <c r="N297" i="12"/>
  <c r="N309" i="12"/>
  <c r="N321" i="12"/>
  <c r="N333" i="12"/>
  <c r="N345" i="12"/>
  <c r="N357" i="12"/>
  <c r="N369" i="12"/>
  <c r="N381" i="12"/>
  <c r="N393" i="12"/>
  <c r="N405" i="12"/>
  <c r="N417" i="12"/>
  <c r="N429" i="12"/>
  <c r="N441" i="12"/>
  <c r="N453" i="12"/>
  <c r="N465" i="12"/>
  <c r="N477" i="12"/>
  <c r="N489" i="12"/>
  <c r="N501" i="12"/>
  <c r="N513" i="12"/>
  <c r="N525" i="12"/>
  <c r="N537" i="12"/>
  <c r="N549" i="12"/>
  <c r="N561" i="12"/>
  <c r="N573" i="12"/>
  <c r="N585" i="12"/>
  <c r="N597" i="12"/>
  <c r="N609" i="12"/>
  <c r="N621" i="12"/>
  <c r="N633" i="12"/>
  <c r="N645" i="12"/>
  <c r="N657" i="12"/>
  <c r="N669" i="12"/>
  <c r="N681" i="12"/>
  <c r="N693" i="12"/>
  <c r="N705" i="12"/>
  <c r="N717" i="12"/>
  <c r="N729" i="12"/>
  <c r="N741" i="12"/>
  <c r="N753" i="12"/>
  <c r="N765" i="12"/>
  <c r="N777" i="12"/>
  <c r="N789" i="12"/>
  <c r="N801" i="12"/>
  <c r="N813" i="12"/>
  <c r="N825" i="12"/>
  <c r="N837" i="12"/>
  <c r="N849" i="12"/>
  <c r="N861" i="12"/>
  <c r="N873" i="12"/>
  <c r="N885" i="12"/>
  <c r="N897" i="12"/>
  <c r="N909" i="12"/>
  <c r="N921" i="12"/>
  <c r="N933" i="12"/>
  <c r="N945" i="12"/>
  <c r="N957" i="12"/>
  <c r="N969" i="12"/>
  <c r="N981" i="12"/>
  <c r="N993" i="12"/>
  <c r="N1005" i="12"/>
  <c r="N1017" i="12"/>
  <c r="N1029" i="12"/>
  <c r="N1041" i="12"/>
  <c r="N1053" i="12"/>
  <c r="N1065" i="12"/>
  <c r="N1077" i="12"/>
  <c r="N1089" i="12"/>
  <c r="N1101" i="12"/>
  <c r="N1113" i="12"/>
  <c r="N1125" i="12"/>
  <c r="N1137" i="12"/>
  <c r="N1149" i="12"/>
  <c r="N1161" i="12"/>
  <c r="N1173" i="12"/>
  <c r="N1185" i="12"/>
  <c r="N1197" i="12"/>
  <c r="N1209" i="12"/>
  <c r="N1221" i="12"/>
  <c r="N1233" i="12"/>
  <c r="N1245" i="12"/>
  <c r="N1257" i="12"/>
  <c r="N1269" i="12"/>
  <c r="N1281" i="12"/>
  <c r="N1293" i="12"/>
  <c r="N1305" i="12"/>
  <c r="N1317" i="12"/>
  <c r="N1329" i="12"/>
  <c r="N1341" i="12"/>
  <c r="N1353" i="12"/>
  <c r="N1365" i="12"/>
  <c r="N1377" i="12"/>
  <c r="N1389" i="12"/>
  <c r="N1401" i="12"/>
  <c r="N1413" i="12"/>
  <c r="N1425" i="12"/>
  <c r="N1437" i="12"/>
  <c r="N1294" i="12"/>
  <c r="N1330" i="12"/>
  <c r="N1354" i="12"/>
  <c r="N1378" i="12"/>
  <c r="N1414" i="12"/>
  <c r="N1403" i="12"/>
  <c r="N1439" i="12"/>
  <c r="N10" i="12"/>
  <c r="N22" i="12"/>
  <c r="N34" i="12"/>
  <c r="N46" i="12"/>
  <c r="N58" i="12"/>
  <c r="N70" i="12"/>
  <c r="N82" i="12"/>
  <c r="N94" i="12"/>
  <c r="N106" i="12"/>
  <c r="N118" i="12"/>
  <c r="N130" i="12"/>
  <c r="N142" i="12"/>
  <c r="N154" i="12"/>
  <c r="N166" i="12"/>
  <c r="N178" i="12"/>
  <c r="N190" i="12"/>
  <c r="N202" i="12"/>
  <c r="N214" i="12"/>
  <c r="N226" i="12"/>
  <c r="N238" i="12"/>
  <c r="N250" i="12"/>
  <c r="N262" i="12"/>
  <c r="N274" i="12"/>
  <c r="N286" i="12"/>
  <c r="N298" i="12"/>
  <c r="N310" i="12"/>
  <c r="N322" i="12"/>
  <c r="N334" i="12"/>
  <c r="N346" i="12"/>
  <c r="N358" i="12"/>
  <c r="N370" i="12"/>
  <c r="N382" i="12"/>
  <c r="N394" i="12"/>
  <c r="N406" i="12"/>
  <c r="N418" i="12"/>
  <c r="N430" i="12"/>
  <c r="N442" i="12"/>
  <c r="N454" i="12"/>
  <c r="N466" i="12"/>
  <c r="N478" i="12"/>
  <c r="N490" i="12"/>
  <c r="N502" i="12"/>
  <c r="N514" i="12"/>
  <c r="N526" i="12"/>
  <c r="N538" i="12"/>
  <c r="N550" i="12"/>
  <c r="N562" i="12"/>
  <c r="N574" i="12"/>
  <c r="N586" i="12"/>
  <c r="N598" i="12"/>
  <c r="N610" i="12"/>
  <c r="N622" i="12"/>
  <c r="N634" i="12"/>
  <c r="N646" i="12"/>
  <c r="N658" i="12"/>
  <c r="N670" i="12"/>
  <c r="N682" i="12"/>
  <c r="N694" i="12"/>
  <c r="N706" i="12"/>
  <c r="N718" i="12"/>
  <c r="N730" i="12"/>
  <c r="N742" i="12"/>
  <c r="N754" i="12"/>
  <c r="N766" i="12"/>
  <c r="N778" i="12"/>
  <c r="N790" i="12"/>
  <c r="N802" i="12"/>
  <c r="N814" i="12"/>
  <c r="N826" i="12"/>
  <c r="N838" i="12"/>
  <c r="N850" i="12"/>
  <c r="N862" i="12"/>
  <c r="N874" i="12"/>
  <c r="N886" i="12"/>
  <c r="N898" i="12"/>
  <c r="N910" i="12"/>
  <c r="N922" i="12"/>
  <c r="N934" i="12"/>
  <c r="N946" i="12"/>
  <c r="N958" i="12"/>
  <c r="N970" i="12"/>
  <c r="N982" i="12"/>
  <c r="N994" i="12"/>
  <c r="N1006" i="12"/>
  <c r="N1018" i="12"/>
  <c r="N1030" i="12"/>
  <c r="N1042" i="12"/>
  <c r="N1054" i="12"/>
  <c r="N1066" i="12"/>
  <c r="N1078" i="12"/>
  <c r="N1090" i="12"/>
  <c r="N1102" i="12"/>
  <c r="N1114" i="12"/>
  <c r="N1126" i="12"/>
  <c r="N1138" i="12"/>
  <c r="N1150" i="12"/>
  <c r="N1162" i="12"/>
  <c r="N1174" i="12"/>
  <c r="N1186" i="12"/>
  <c r="N1198" i="12"/>
  <c r="N1210" i="12"/>
  <c r="N1222" i="12"/>
  <c r="N1234" i="12"/>
  <c r="N1246" i="12"/>
  <c r="N1258" i="12"/>
  <c r="N1270" i="12"/>
  <c r="N1282" i="12"/>
  <c r="N1306" i="12"/>
  <c r="N1318" i="12"/>
  <c r="N1342" i="12"/>
  <c r="N1366" i="12"/>
  <c r="N1390" i="12"/>
  <c r="N1438" i="12"/>
  <c r="N27" i="12"/>
  <c r="N111" i="12"/>
  <c r="N123" i="12"/>
  <c r="N135" i="12"/>
  <c r="N11" i="12"/>
  <c r="N23" i="12"/>
  <c r="N35" i="12"/>
  <c r="N47" i="12"/>
  <c r="N59" i="12"/>
  <c r="N71" i="12"/>
  <c r="N83" i="12"/>
  <c r="N95" i="12"/>
  <c r="N107" i="12"/>
  <c r="N119" i="12"/>
  <c r="N131" i="12"/>
  <c r="N143" i="12"/>
  <c r="N155" i="12"/>
  <c r="N167" i="12"/>
  <c r="N179" i="12"/>
  <c r="N191" i="12"/>
  <c r="N203" i="12"/>
  <c r="N215" i="12"/>
  <c r="N227" i="12"/>
  <c r="N239" i="12"/>
  <c r="N251" i="12"/>
  <c r="N263" i="12"/>
  <c r="N275" i="12"/>
  <c r="N287" i="12"/>
  <c r="N299" i="12"/>
  <c r="N311" i="12"/>
  <c r="N323" i="12"/>
  <c r="N335" i="12"/>
  <c r="N347" i="12"/>
  <c r="N359" i="12"/>
  <c r="N371" i="12"/>
  <c r="N383" i="12"/>
  <c r="N395" i="12"/>
  <c r="N407" i="12"/>
  <c r="N419" i="12"/>
  <c r="N431" i="12"/>
  <c r="N443" i="12"/>
  <c r="N455" i="12"/>
  <c r="N467" i="12"/>
  <c r="N479" i="12"/>
  <c r="N491" i="12"/>
  <c r="N503" i="12"/>
  <c r="N515" i="12"/>
  <c r="N527" i="12"/>
  <c r="N539" i="12"/>
  <c r="N551" i="12"/>
  <c r="N563" i="12"/>
  <c r="N575" i="12"/>
  <c r="N587" i="12"/>
  <c r="N599" i="12"/>
  <c r="N611" i="12"/>
  <c r="N623" i="12"/>
  <c r="N635" i="12"/>
  <c r="N647" i="12"/>
  <c r="N659" i="12"/>
  <c r="N671" i="12"/>
  <c r="N683" i="12"/>
  <c r="N695" i="12"/>
  <c r="N707" i="12"/>
  <c r="N719" i="12"/>
  <c r="N731" i="12"/>
  <c r="N743" i="12"/>
  <c r="N755" i="12"/>
  <c r="N767" i="12"/>
  <c r="N779" i="12"/>
  <c r="N791" i="12"/>
  <c r="N803" i="12"/>
  <c r="N815" i="12"/>
  <c r="N827" i="12"/>
  <c r="N839" i="12"/>
  <c r="N851" i="12"/>
  <c r="N863" i="12"/>
  <c r="N875" i="12"/>
  <c r="N887" i="12"/>
  <c r="N899" i="12"/>
  <c r="N911" i="12"/>
  <c r="N923" i="12"/>
  <c r="N935" i="12"/>
  <c r="N947" i="12"/>
  <c r="N959" i="12"/>
  <c r="N971" i="12"/>
  <c r="N983" i="12"/>
  <c r="N995" i="12"/>
  <c r="N1007" i="12"/>
  <c r="N1019" i="12"/>
  <c r="N1031" i="12"/>
  <c r="N1043" i="12"/>
  <c r="N1055" i="12"/>
  <c r="N1067" i="12"/>
  <c r="N1079" i="12"/>
  <c r="N1091" i="12"/>
  <c r="N1103" i="12"/>
  <c r="N1115" i="12"/>
  <c r="N1127" i="12"/>
  <c r="N1139" i="12"/>
  <c r="N1151" i="12"/>
  <c r="N1163" i="12"/>
  <c r="N1175" i="12"/>
  <c r="N1187" i="12"/>
  <c r="N1199" i="12"/>
  <c r="N1211" i="12"/>
  <c r="N1223" i="12"/>
  <c r="N1235" i="12"/>
  <c r="N1247" i="12"/>
  <c r="N1259" i="12"/>
  <c r="N1271" i="12"/>
  <c r="N1283" i="12"/>
  <c r="N1295" i="12"/>
  <c r="N1307" i="12"/>
  <c r="N1319" i="12"/>
  <c r="N1331" i="12"/>
  <c r="N1343" i="12"/>
  <c r="N1355" i="12"/>
  <c r="N1367" i="12"/>
  <c r="N1379" i="12"/>
  <c r="N1427" i="12"/>
  <c r="N99" i="12"/>
  <c r="N147" i="12"/>
  <c r="N12" i="12"/>
  <c r="N24" i="12"/>
  <c r="N36" i="12"/>
  <c r="N48" i="12"/>
  <c r="N60" i="12"/>
  <c r="N72" i="12"/>
  <c r="N84" i="12"/>
  <c r="N96" i="12"/>
  <c r="N108" i="12"/>
  <c r="N120" i="12"/>
  <c r="N132" i="12"/>
  <c r="N144" i="12"/>
  <c r="N156" i="12"/>
  <c r="N168" i="12"/>
  <c r="N180" i="12"/>
  <c r="N192" i="12"/>
  <c r="N204" i="12"/>
  <c r="N216" i="12"/>
  <c r="N228" i="12"/>
  <c r="N240" i="12"/>
  <c r="N252" i="12"/>
  <c r="N264" i="12"/>
  <c r="N276" i="12"/>
  <c r="N288" i="12"/>
  <c r="N300" i="12"/>
  <c r="N312" i="12"/>
  <c r="N324" i="12"/>
  <c r="N336" i="12"/>
  <c r="N348" i="12"/>
  <c r="N360" i="12"/>
  <c r="N372" i="12"/>
  <c r="N384" i="12"/>
  <c r="N396" i="12"/>
  <c r="N408" i="12"/>
  <c r="N420" i="12"/>
  <c r="N432" i="12"/>
  <c r="N444" i="12"/>
  <c r="N456" i="12"/>
  <c r="N468" i="12"/>
  <c r="N480" i="12"/>
  <c r="N492" i="12"/>
  <c r="N504" i="12"/>
  <c r="N516" i="12"/>
  <c r="N528" i="12"/>
  <c r="N540" i="12"/>
  <c r="N552" i="12"/>
  <c r="N564" i="12"/>
  <c r="N576" i="12"/>
  <c r="N588" i="12"/>
  <c r="N600" i="12"/>
  <c r="N612" i="12"/>
  <c r="N624" i="12"/>
  <c r="N636" i="12"/>
  <c r="N648" i="12"/>
  <c r="N660" i="12"/>
  <c r="N672" i="12"/>
  <c r="N684" i="12"/>
  <c r="N696" i="12"/>
  <c r="N708" i="12"/>
  <c r="N720" i="12"/>
  <c r="N732" i="12"/>
  <c r="N744" i="12"/>
  <c r="N756" i="12"/>
  <c r="N768" i="12"/>
  <c r="N780" i="12"/>
  <c r="N792" i="12"/>
  <c r="N804" i="12"/>
  <c r="N816" i="12"/>
  <c r="N828" i="12"/>
  <c r="N840" i="12"/>
  <c r="N852" i="12"/>
  <c r="N864" i="12"/>
  <c r="N876" i="12"/>
  <c r="N888" i="12"/>
  <c r="N900" i="12"/>
  <c r="N912" i="12"/>
  <c r="N924" i="12"/>
  <c r="N936" i="12"/>
  <c r="N948" i="12"/>
  <c r="N960" i="12"/>
  <c r="N972" i="12"/>
  <c r="N984" i="12"/>
  <c r="N996" i="12"/>
  <c r="N1008" i="12"/>
  <c r="N1020" i="12"/>
  <c r="N1032" i="12"/>
  <c r="N1044" i="12"/>
  <c r="N1056" i="12"/>
  <c r="N1068" i="12"/>
  <c r="N1080" i="12"/>
  <c r="N1092" i="12"/>
  <c r="N1104" i="12"/>
  <c r="N1116" i="12"/>
  <c r="N1128" i="12"/>
  <c r="N1140" i="12"/>
  <c r="N1152" i="12"/>
  <c r="N1164" i="12"/>
  <c r="N1176" i="12"/>
  <c r="N1188" i="12"/>
  <c r="N1200" i="12"/>
  <c r="N1212" i="12"/>
  <c r="N1224" i="12"/>
  <c r="N1236" i="12"/>
  <c r="N1248" i="12"/>
  <c r="N1260" i="12"/>
  <c r="N1272" i="12"/>
  <c r="N1284" i="12"/>
  <c r="N1296" i="12"/>
  <c r="N1308" i="12"/>
  <c r="N1320" i="12"/>
  <c r="N1332" i="12"/>
  <c r="N1344" i="12"/>
  <c r="N1356" i="12"/>
  <c r="N1368" i="12"/>
  <c r="N1380" i="12"/>
  <c r="N1392" i="12"/>
  <c r="N1404" i="12"/>
  <c r="N1416" i="12"/>
  <c r="N1428" i="12"/>
  <c r="N1440" i="12"/>
  <c r="N1441" i="12"/>
  <c r="N75" i="12"/>
  <c r="N13" i="12"/>
  <c r="N25" i="12"/>
  <c r="N37" i="12"/>
  <c r="N49" i="12"/>
  <c r="N61" i="12"/>
  <c r="N73" i="12"/>
  <c r="N85" i="12"/>
  <c r="N97" i="12"/>
  <c r="N109" i="12"/>
  <c r="N121" i="12"/>
  <c r="N133" i="12"/>
  <c r="N145" i="12"/>
  <c r="N157" i="12"/>
  <c r="N169" i="12"/>
  <c r="N181" i="12"/>
  <c r="N193" i="12"/>
  <c r="N205" i="12"/>
  <c r="N217" i="12"/>
  <c r="N229" i="12"/>
  <c r="N241" i="12"/>
  <c r="N253" i="12"/>
  <c r="N265" i="12"/>
  <c r="N277" i="12"/>
  <c r="N289" i="12"/>
  <c r="N301" i="12"/>
  <c r="N313" i="12"/>
  <c r="N325" i="12"/>
  <c r="N337" i="12"/>
  <c r="N349" i="12"/>
  <c r="N361" i="12"/>
  <c r="N373" i="12"/>
  <c r="N385" i="12"/>
  <c r="N397" i="12"/>
  <c r="N409" i="12"/>
  <c r="N421" i="12"/>
  <c r="N433" i="12"/>
  <c r="N445" i="12"/>
  <c r="N457" i="12"/>
  <c r="N469" i="12"/>
  <c r="N481" i="12"/>
  <c r="N493" i="12"/>
  <c r="N505" i="12"/>
  <c r="N517" i="12"/>
  <c r="N529" i="12"/>
  <c r="N541" i="12"/>
  <c r="N553" i="12"/>
  <c r="N565" i="12"/>
  <c r="N577" i="12"/>
  <c r="N589" i="12"/>
  <c r="N601" i="12"/>
  <c r="N613" i="12"/>
  <c r="N625" i="12"/>
  <c r="N637" i="12"/>
  <c r="N649" i="12"/>
  <c r="N661" i="12"/>
  <c r="N673" i="12"/>
  <c r="N685" i="12"/>
  <c r="N697" i="12"/>
  <c r="N709" i="12"/>
  <c r="N721" i="12"/>
  <c r="N733" i="12"/>
  <c r="N745" i="12"/>
  <c r="N757" i="12"/>
  <c r="N769" i="12"/>
  <c r="N781" i="12"/>
  <c r="N793" i="12"/>
  <c r="N805" i="12"/>
  <c r="N817" i="12"/>
  <c r="N829" i="12"/>
  <c r="N841" i="12"/>
  <c r="N853" i="12"/>
  <c r="N865" i="12"/>
  <c r="N877" i="12"/>
  <c r="N889" i="12"/>
  <c r="N901" i="12"/>
  <c r="N913" i="12"/>
  <c r="N925" i="12"/>
  <c r="N937" i="12"/>
  <c r="N949" i="12"/>
  <c r="N961" i="12"/>
  <c r="N973" i="12"/>
  <c r="N985" i="12"/>
  <c r="N997" i="12"/>
  <c r="N1009" i="12"/>
  <c r="N1021" i="12"/>
  <c r="N1033" i="12"/>
  <c r="N1045" i="12"/>
  <c r="N1057" i="12"/>
  <c r="N1069" i="12"/>
  <c r="N1081" i="12"/>
  <c r="N1093" i="12"/>
  <c r="N1105" i="12"/>
  <c r="N1117" i="12"/>
  <c r="N1129" i="12"/>
  <c r="N1141" i="12"/>
  <c r="N1153" i="12"/>
  <c r="N1165" i="12"/>
  <c r="N1177" i="12"/>
  <c r="N1189" i="12"/>
  <c r="N1201" i="12"/>
  <c r="N1213" i="12"/>
  <c r="N1225" i="12"/>
  <c r="N1237" i="12"/>
  <c r="N1249" i="12"/>
  <c r="N1261" i="12"/>
  <c r="N1273" i="12"/>
  <c r="N1285" i="12"/>
  <c r="N1297" i="12"/>
  <c r="N1309" i="12"/>
  <c r="N1321" i="12"/>
  <c r="N1333" i="12"/>
  <c r="N1345" i="12"/>
  <c r="N1357" i="12"/>
  <c r="N1369" i="12"/>
  <c r="N1381" i="12"/>
  <c r="N1393" i="12"/>
  <c r="N1405" i="12"/>
  <c r="N1417" i="12"/>
  <c r="N1429" i="12"/>
  <c r="N87" i="12"/>
  <c r="N14" i="12"/>
  <c r="N26" i="12"/>
  <c r="N38" i="12"/>
  <c r="N50" i="12"/>
  <c r="N62" i="12"/>
  <c r="N74" i="12"/>
  <c r="N86" i="12"/>
  <c r="N98" i="12"/>
  <c r="N110" i="12"/>
  <c r="N122" i="12"/>
  <c r="N134" i="12"/>
  <c r="N146" i="12"/>
  <c r="N158" i="12"/>
  <c r="N170" i="12"/>
  <c r="N182" i="12"/>
  <c r="N194" i="12"/>
  <c r="N206" i="12"/>
  <c r="N218" i="12"/>
  <c r="N230" i="12"/>
  <c r="N242" i="12"/>
  <c r="N254" i="12"/>
  <c r="N266" i="12"/>
  <c r="N278" i="12"/>
  <c r="N290" i="12"/>
  <c r="N302" i="12"/>
  <c r="N314" i="12"/>
  <c r="N326" i="12"/>
  <c r="N338" i="12"/>
  <c r="N350" i="12"/>
  <c r="N362" i="12"/>
  <c r="N374" i="12"/>
  <c r="N386" i="12"/>
  <c r="N398" i="12"/>
  <c r="N410" i="12"/>
  <c r="N422" i="12"/>
  <c r="N434" i="12"/>
  <c r="N446" i="12"/>
  <c r="N458" i="12"/>
  <c r="N470" i="12"/>
  <c r="N482" i="12"/>
  <c r="N494" i="12"/>
  <c r="N506" i="12"/>
  <c r="N518" i="12"/>
  <c r="N530" i="12"/>
  <c r="N542" i="12"/>
  <c r="N554" i="12"/>
  <c r="N566" i="12"/>
  <c r="N578" i="12"/>
  <c r="N590" i="12"/>
  <c r="N602" i="12"/>
  <c r="N614" i="12"/>
  <c r="N626" i="12"/>
  <c r="N638" i="12"/>
  <c r="N650" i="12"/>
  <c r="N662" i="12"/>
  <c r="N674" i="12"/>
  <c r="N686" i="12"/>
  <c r="N698" i="12"/>
  <c r="N710" i="12"/>
  <c r="N722" i="12"/>
  <c r="N734" i="12"/>
  <c r="N746" i="12"/>
  <c r="N758" i="12"/>
  <c r="N770" i="12"/>
  <c r="N782" i="12"/>
  <c r="N794" i="12"/>
  <c r="N806" i="12"/>
  <c r="N818" i="12"/>
  <c r="N830" i="12"/>
  <c r="N842" i="12"/>
  <c r="N854" i="12"/>
  <c r="N866" i="12"/>
  <c r="N878" i="12"/>
  <c r="N890" i="12"/>
  <c r="N902" i="12"/>
  <c r="N914" i="12"/>
  <c r="N926" i="12"/>
  <c r="N938" i="12"/>
  <c r="N950" i="12"/>
  <c r="N962" i="12"/>
  <c r="N974" i="12"/>
  <c r="N986" i="12"/>
  <c r="N998" i="12"/>
  <c r="N1010" i="12"/>
  <c r="N1022" i="12"/>
  <c r="N1034" i="12"/>
  <c r="N1046" i="12"/>
  <c r="N1058" i="12"/>
  <c r="N1070" i="12"/>
  <c r="N1082" i="12"/>
  <c r="N1094" i="12"/>
  <c r="N1106" i="12"/>
  <c r="N1118" i="12"/>
  <c r="N1130" i="12"/>
  <c r="N1142" i="12"/>
  <c r="N1154" i="12"/>
  <c r="N1166" i="12"/>
  <c r="N1178" i="12"/>
  <c r="N1190" i="12"/>
  <c r="N1202" i="12"/>
  <c r="N1214" i="12"/>
  <c r="N1226" i="12"/>
  <c r="N1238" i="12"/>
  <c r="N1250" i="12"/>
  <c r="N1262" i="12"/>
  <c r="N1274" i="12"/>
  <c r="N1286" i="12"/>
  <c r="N1298" i="12"/>
  <c r="N1310" i="12"/>
  <c r="N1322" i="12"/>
  <c r="N1334" i="12"/>
  <c r="N1346" i="12"/>
  <c r="N1358" i="12"/>
  <c r="N1370" i="12"/>
  <c r="N1382" i="12"/>
  <c r="N1394" i="12"/>
  <c r="N1406" i="12"/>
  <c r="N1418" i="12"/>
  <c r="N1430" i="12"/>
  <c r="N1442" i="12"/>
  <c r="N15" i="12"/>
  <c r="N16" i="12"/>
  <c r="N28" i="12"/>
  <c r="N40" i="12"/>
  <c r="N52" i="12"/>
  <c r="N64" i="12"/>
  <c r="N76" i="12"/>
  <c r="N88" i="12"/>
  <c r="N100" i="12"/>
  <c r="N112" i="12"/>
  <c r="N124" i="12"/>
  <c r="N136" i="12"/>
  <c r="N148" i="12"/>
  <c r="N160" i="12"/>
  <c r="N172" i="12"/>
  <c r="N184" i="12"/>
  <c r="N196" i="12"/>
  <c r="N208" i="12"/>
  <c r="N220" i="12"/>
  <c r="N232" i="12"/>
  <c r="N244" i="12"/>
  <c r="N256" i="12"/>
  <c r="N268" i="12"/>
  <c r="N280" i="12"/>
  <c r="N292" i="12"/>
  <c r="N304" i="12"/>
  <c r="N316" i="12"/>
  <c r="N328" i="12"/>
  <c r="N340" i="12"/>
  <c r="N352" i="12"/>
  <c r="N364" i="12"/>
  <c r="N376" i="12"/>
  <c r="N388" i="12"/>
  <c r="N400" i="12"/>
  <c r="N412" i="12"/>
  <c r="N424" i="12"/>
  <c r="N436" i="12"/>
  <c r="N448" i="12"/>
  <c r="N460" i="12"/>
  <c r="N472" i="12"/>
  <c r="N484" i="12"/>
  <c r="N496" i="12"/>
  <c r="N508" i="12"/>
  <c r="N520" i="12"/>
  <c r="N532" i="12"/>
  <c r="N544" i="12"/>
  <c r="N556" i="12"/>
  <c r="N568" i="12"/>
  <c r="N580" i="12"/>
  <c r="N592" i="12"/>
  <c r="N604" i="12"/>
  <c r="N616" i="12"/>
  <c r="N628" i="12"/>
  <c r="N640" i="12"/>
  <c r="N652" i="12"/>
  <c r="N664" i="12"/>
  <c r="N676" i="12"/>
  <c r="N688" i="12"/>
  <c r="N700" i="12"/>
  <c r="N712" i="12"/>
  <c r="N724" i="12"/>
  <c r="N736" i="12"/>
  <c r="N748" i="12"/>
  <c r="N760" i="12"/>
  <c r="N772" i="12"/>
  <c r="N784" i="12"/>
  <c r="N796" i="12"/>
  <c r="N808" i="12"/>
  <c r="N820" i="12"/>
  <c r="N832" i="12"/>
  <c r="N844" i="12"/>
  <c r="N856" i="12"/>
  <c r="N868" i="12"/>
  <c r="N880" i="12"/>
  <c r="N892" i="12"/>
  <c r="N904" i="12"/>
  <c r="N916" i="12"/>
  <c r="N928" i="12"/>
  <c r="N940" i="12"/>
  <c r="N952" i="12"/>
  <c r="N964" i="12"/>
  <c r="N976" i="12"/>
  <c r="N988" i="12"/>
  <c r="N1000" i="12"/>
  <c r="N1012" i="12"/>
  <c r="N1024" i="12"/>
  <c r="N1036" i="12"/>
  <c r="N1048" i="12"/>
  <c r="N1060" i="12"/>
  <c r="N1072" i="12"/>
  <c r="N1084" i="12"/>
  <c r="N1096" i="12"/>
  <c r="N1108" i="12"/>
  <c r="N1120" i="12"/>
  <c r="N1132" i="12"/>
  <c r="N1144" i="12"/>
  <c r="N1156" i="12"/>
  <c r="N1168" i="12"/>
  <c r="N1180" i="12"/>
  <c r="N1192" i="12"/>
  <c r="N1204" i="12"/>
  <c r="N1216" i="12"/>
  <c r="N1228" i="12"/>
  <c r="N1240" i="12"/>
  <c r="N1252" i="12"/>
  <c r="N1264" i="12"/>
  <c r="N1276" i="12"/>
  <c r="N1288" i="12"/>
  <c r="N1300" i="12"/>
  <c r="N1312" i="12"/>
  <c r="N1324" i="12"/>
  <c r="N1336" i="12"/>
  <c r="N1348" i="12"/>
  <c r="N1360" i="12"/>
  <c r="N1372" i="12"/>
  <c r="N1384" i="12"/>
  <c r="N1396" i="12"/>
  <c r="N1408" i="12"/>
  <c r="N1420" i="12"/>
  <c r="N1432" i="12"/>
  <c r="N1444" i="12"/>
  <c r="N1421" i="12"/>
  <c r="N1445" i="12"/>
  <c r="N17" i="12"/>
  <c r="N29" i="12"/>
  <c r="N41" i="12"/>
  <c r="N53" i="12"/>
  <c r="N65" i="12"/>
  <c r="N77" i="12"/>
  <c r="N89" i="12"/>
  <c r="N101" i="12"/>
  <c r="N113" i="12"/>
  <c r="N125" i="12"/>
  <c r="N137" i="12"/>
  <c r="N149" i="12"/>
  <c r="N161" i="12"/>
  <c r="N173" i="12"/>
  <c r="N185" i="12"/>
  <c r="N197" i="12"/>
  <c r="N209" i="12"/>
  <c r="N221" i="12"/>
  <c r="N233" i="12"/>
  <c r="N245" i="12"/>
  <c r="N257" i="12"/>
  <c r="N269" i="12"/>
  <c r="N281" i="12"/>
  <c r="N293" i="12"/>
  <c r="N305" i="12"/>
  <c r="N317" i="12"/>
  <c r="N329" i="12"/>
  <c r="N341" i="12"/>
  <c r="N353" i="12"/>
  <c r="N365" i="12"/>
  <c r="N377" i="12"/>
  <c r="N389" i="12"/>
  <c r="N401" i="12"/>
  <c r="N413" i="12"/>
  <c r="N425" i="12"/>
  <c r="N437" i="12"/>
  <c r="N449" i="12"/>
  <c r="N461" i="12"/>
  <c r="N473" i="12"/>
  <c r="N485" i="12"/>
  <c r="N497" i="12"/>
  <c r="N509" i="12"/>
  <c r="N521" i="12"/>
  <c r="N533" i="12"/>
  <c r="N545" i="12"/>
  <c r="N557" i="12"/>
  <c r="N569" i="12"/>
  <c r="N581" i="12"/>
  <c r="N593" i="12"/>
  <c r="N605" i="12"/>
  <c r="N617" i="12"/>
  <c r="N629" i="12"/>
  <c r="N641" i="12"/>
  <c r="N653" i="12"/>
  <c r="N665" i="12"/>
  <c r="N677" i="12"/>
  <c r="N689" i="12"/>
  <c r="N701" i="12"/>
  <c r="N713" i="12"/>
  <c r="N725" i="12"/>
  <c r="N737" i="12"/>
  <c r="N749" i="12"/>
  <c r="N761" i="12"/>
  <c r="N773" i="12"/>
  <c r="N785" i="12"/>
  <c r="N797" i="12"/>
  <c r="N809" i="12"/>
  <c r="N821" i="12"/>
  <c r="N833" i="12"/>
  <c r="N845" i="12"/>
  <c r="N857" i="12"/>
  <c r="N869" i="12"/>
  <c r="N881" i="12"/>
  <c r="N893" i="12"/>
  <c r="N905" i="12"/>
  <c r="N917" i="12"/>
  <c r="N929" i="12"/>
  <c r="N941" i="12"/>
  <c r="N953" i="12"/>
  <c r="N965" i="12"/>
  <c r="N977" i="12"/>
  <c r="N989" i="12"/>
  <c r="N1001" i="12"/>
  <c r="N1013" i="12"/>
  <c r="N1025" i="12"/>
  <c r="N1037" i="12"/>
  <c r="N1049" i="12"/>
  <c r="N1061" i="12"/>
  <c r="N1073" i="12"/>
  <c r="N1085" i="12"/>
  <c r="N1097" i="12"/>
  <c r="N1109" i="12"/>
  <c r="N1121" i="12"/>
  <c r="N1133" i="12"/>
  <c r="N1145" i="12"/>
  <c r="N1157" i="12"/>
  <c r="N1169" i="12"/>
  <c r="N1181" i="12"/>
  <c r="N1193" i="12"/>
  <c r="N1205" i="12"/>
  <c r="N1217" i="12"/>
  <c r="N1229" i="12"/>
  <c r="N1241" i="12"/>
  <c r="N1253" i="12"/>
  <c r="N1265" i="12"/>
  <c r="N1277" i="12"/>
  <c r="N1289" i="12"/>
  <c r="N1301" i="12"/>
  <c r="N1313" i="12"/>
  <c r="N1325" i="12"/>
  <c r="N1337" i="12"/>
  <c r="N1349" i="12"/>
  <c r="N1361" i="12"/>
  <c r="N1373" i="12"/>
  <c r="N1385" i="12"/>
  <c r="N1397" i="12"/>
  <c r="N1409" i="12"/>
  <c r="N1433" i="12"/>
  <c r="N18" i="12"/>
  <c r="N138" i="12"/>
  <c r="N219" i="12"/>
  <c r="N291" i="12"/>
  <c r="N363" i="12"/>
  <c r="N435" i="12"/>
  <c r="N507" i="12"/>
  <c r="N579" i="12"/>
  <c r="N651" i="12"/>
  <c r="N723" i="12"/>
  <c r="N795" i="12"/>
  <c r="N867" i="12"/>
  <c r="N939" i="12"/>
  <c r="N1011" i="12"/>
  <c r="N1083" i="12"/>
  <c r="N1155" i="12"/>
  <c r="N1227" i="12"/>
  <c r="N1299" i="12"/>
  <c r="N1371" i="12"/>
  <c r="N1443" i="12"/>
  <c r="N1326" i="12"/>
  <c r="N1191" i="12"/>
  <c r="N1335" i="12"/>
  <c r="N834" i="12"/>
  <c r="N1122" i="12"/>
  <c r="N411" i="12"/>
  <c r="N1059" i="12"/>
  <c r="N1350" i="12"/>
  <c r="N567" i="12"/>
  <c r="N1215" i="12"/>
  <c r="N714" i="12"/>
  <c r="N1290" i="12"/>
  <c r="N30" i="12"/>
  <c r="N150" i="12"/>
  <c r="N222" i="12"/>
  <c r="N294" i="12"/>
  <c r="N366" i="12"/>
  <c r="N438" i="12"/>
  <c r="N510" i="12"/>
  <c r="N582" i="12"/>
  <c r="N654" i="12"/>
  <c r="N726" i="12"/>
  <c r="N798" i="12"/>
  <c r="N870" i="12"/>
  <c r="N942" i="12"/>
  <c r="N1014" i="12"/>
  <c r="N1086" i="12"/>
  <c r="N1158" i="12"/>
  <c r="N1230" i="12"/>
  <c r="N1302" i="12"/>
  <c r="N1374" i="12"/>
  <c r="N1239" i="12"/>
  <c r="N1383" i="12"/>
  <c r="N1242" i="12"/>
  <c r="N1251" i="12"/>
  <c r="N1182" i="12"/>
  <c r="N1119" i="12"/>
  <c r="N618" i="12"/>
  <c r="N1410" i="12"/>
  <c r="N627" i="12"/>
  <c r="N771" i="12"/>
  <c r="N1275" i="12"/>
  <c r="N279" i="12"/>
  <c r="N999" i="12"/>
  <c r="N210" i="12"/>
  <c r="N1146" i="12"/>
  <c r="N39" i="12"/>
  <c r="N159" i="12"/>
  <c r="N231" i="12"/>
  <c r="N303" i="12"/>
  <c r="N375" i="12"/>
  <c r="N447" i="12"/>
  <c r="N519" i="12"/>
  <c r="N591" i="12"/>
  <c r="N663" i="12"/>
  <c r="N735" i="12"/>
  <c r="N807" i="12"/>
  <c r="N879" i="12"/>
  <c r="N951" i="12"/>
  <c r="N1023" i="12"/>
  <c r="N1095" i="12"/>
  <c r="N1167" i="12"/>
  <c r="N1311" i="12"/>
  <c r="N1386" i="12"/>
  <c r="N1395" i="12"/>
  <c r="N1398" i="12"/>
  <c r="N903" i="12"/>
  <c r="N1407" i="12"/>
  <c r="N978" i="12"/>
  <c r="N1050" i="12"/>
  <c r="N90" i="12"/>
  <c r="N1203" i="12"/>
  <c r="N207" i="12"/>
  <c r="N783" i="12"/>
  <c r="N1431" i="12"/>
  <c r="N642" i="12"/>
  <c r="N1002" i="12"/>
  <c r="N1434" i="12"/>
  <c r="N42" i="12"/>
  <c r="N162" i="12"/>
  <c r="N234" i="12"/>
  <c r="N306" i="12"/>
  <c r="N378" i="12"/>
  <c r="N450" i="12"/>
  <c r="N522" i="12"/>
  <c r="N594" i="12"/>
  <c r="N666" i="12"/>
  <c r="N738" i="12"/>
  <c r="N810" i="12"/>
  <c r="N882" i="12"/>
  <c r="N954" i="12"/>
  <c r="N1026" i="12"/>
  <c r="N1098" i="12"/>
  <c r="N1170" i="12"/>
  <c r="N1314" i="12"/>
  <c r="N1110" i="12"/>
  <c r="N1263" i="12"/>
  <c r="N690" i="12"/>
  <c r="N339" i="12"/>
  <c r="N843" i="12"/>
  <c r="N114" i="12"/>
  <c r="N1071" i="12"/>
  <c r="N570" i="12"/>
  <c r="N1362" i="12"/>
  <c r="N54" i="12"/>
  <c r="N171" i="12"/>
  <c r="N243" i="12"/>
  <c r="N315" i="12"/>
  <c r="N387" i="12"/>
  <c r="N459" i="12"/>
  <c r="N531" i="12"/>
  <c r="N603" i="12"/>
  <c r="N675" i="12"/>
  <c r="N747" i="12"/>
  <c r="N819" i="12"/>
  <c r="N891" i="12"/>
  <c r="N963" i="12"/>
  <c r="N1035" i="12"/>
  <c r="N1107" i="12"/>
  <c r="N1179" i="12"/>
  <c r="N1323" i="12"/>
  <c r="N1254" i="12"/>
  <c r="N1047" i="12"/>
  <c r="N762" i="12"/>
  <c r="N1266" i="12"/>
  <c r="N483" i="12"/>
  <c r="N987" i="12"/>
  <c r="N1422" i="12"/>
  <c r="N639" i="12"/>
  <c r="N1359" i="12"/>
  <c r="N426" i="12"/>
  <c r="N1218" i="12"/>
  <c r="N63" i="12"/>
  <c r="N174" i="12"/>
  <c r="N246" i="12"/>
  <c r="N318" i="12"/>
  <c r="N390" i="12"/>
  <c r="N462" i="12"/>
  <c r="N534" i="12"/>
  <c r="N606" i="12"/>
  <c r="N678" i="12"/>
  <c r="N750" i="12"/>
  <c r="N822" i="12"/>
  <c r="N894" i="12"/>
  <c r="N966" i="12"/>
  <c r="N1038" i="12"/>
  <c r="N546" i="12"/>
  <c r="N1194" i="12"/>
  <c r="N555" i="12"/>
  <c r="N915" i="12"/>
  <c r="N1419" i="12"/>
  <c r="N495" i="12"/>
  <c r="N1143" i="12"/>
  <c r="N498" i="12"/>
  <c r="N1074" i="12"/>
  <c r="N66" i="12"/>
  <c r="N183" i="12"/>
  <c r="N255" i="12"/>
  <c r="N327" i="12"/>
  <c r="N399" i="12"/>
  <c r="N471" i="12"/>
  <c r="N543" i="12"/>
  <c r="N615" i="12"/>
  <c r="N687" i="12"/>
  <c r="N759" i="12"/>
  <c r="N831" i="12"/>
  <c r="N975" i="12"/>
  <c r="N1338" i="12"/>
  <c r="N267" i="12"/>
  <c r="N1131" i="12"/>
  <c r="N351" i="12"/>
  <c r="N927" i="12"/>
  <c r="N354" i="12"/>
  <c r="N858" i="12"/>
  <c r="N78" i="12"/>
  <c r="N186" i="12"/>
  <c r="N258" i="12"/>
  <c r="N330" i="12"/>
  <c r="N402" i="12"/>
  <c r="N474" i="12"/>
  <c r="N906" i="12"/>
  <c r="N195" i="12"/>
  <c r="N699" i="12"/>
  <c r="N1347" i="12"/>
  <c r="N423" i="12"/>
  <c r="N855" i="12"/>
  <c r="N282" i="12"/>
  <c r="N786" i="12"/>
  <c r="N102" i="12"/>
  <c r="N198" i="12"/>
  <c r="N270" i="12"/>
  <c r="N342" i="12"/>
  <c r="N414" i="12"/>
  <c r="N486" i="12"/>
  <c r="N558" i="12"/>
  <c r="N630" i="12"/>
  <c r="N702" i="12"/>
  <c r="N774" i="12"/>
  <c r="N846" i="12"/>
  <c r="N918" i="12"/>
  <c r="N990" i="12"/>
  <c r="N1062" i="12"/>
  <c r="N1134" i="12"/>
  <c r="N1206" i="12"/>
  <c r="N1278" i="12"/>
  <c r="N711" i="12"/>
  <c r="N1287" i="12"/>
  <c r="N126" i="12"/>
  <c r="N930" i="12"/>
  <c r="N6" i="12"/>
  <c r="B7" i="12"/>
  <c r="B19" i="12"/>
  <c r="B31" i="12"/>
  <c r="B43" i="12"/>
  <c r="B55" i="12"/>
  <c r="B67" i="12"/>
  <c r="B79" i="12"/>
  <c r="B91" i="12"/>
  <c r="B103" i="12"/>
  <c r="B115" i="12"/>
  <c r="B127" i="12"/>
  <c r="B139" i="12"/>
  <c r="B151" i="12"/>
  <c r="B163" i="12"/>
  <c r="B175" i="12"/>
  <c r="B187" i="12"/>
  <c r="B199" i="12"/>
  <c r="B211" i="12"/>
  <c r="B223" i="12"/>
  <c r="B235" i="12"/>
  <c r="B247" i="12"/>
  <c r="B259" i="12"/>
  <c r="B271" i="12"/>
  <c r="B283" i="12"/>
  <c r="B295" i="12"/>
  <c r="B307" i="12"/>
  <c r="B319" i="12"/>
  <c r="B331" i="12"/>
  <c r="B343" i="12"/>
  <c r="B355" i="12"/>
  <c r="B367" i="12"/>
  <c r="B379" i="12"/>
  <c r="B391" i="12"/>
  <c r="B403" i="12"/>
  <c r="B415" i="12"/>
  <c r="B427" i="12"/>
  <c r="B439" i="12"/>
  <c r="B451" i="12"/>
  <c r="B463" i="12"/>
  <c r="B475" i="12"/>
  <c r="B487" i="12"/>
  <c r="B499" i="12"/>
  <c r="B511" i="12"/>
  <c r="B523" i="12"/>
  <c r="B535" i="12"/>
  <c r="B547" i="12"/>
  <c r="B559" i="12"/>
  <c r="B571" i="12"/>
  <c r="B583" i="12"/>
  <c r="B595" i="12"/>
  <c r="B607" i="12"/>
  <c r="B619" i="12"/>
  <c r="B631" i="12"/>
  <c r="B643" i="12"/>
  <c r="B655" i="12"/>
  <c r="B667" i="12"/>
  <c r="B679" i="12"/>
  <c r="B691" i="12"/>
  <c r="B703" i="12"/>
  <c r="B715" i="12"/>
  <c r="B727" i="12"/>
  <c r="B739" i="12"/>
  <c r="B751" i="12"/>
  <c r="B763" i="12"/>
  <c r="B775" i="12"/>
  <c r="B787" i="12"/>
  <c r="B799" i="12"/>
  <c r="B811" i="12"/>
  <c r="B823" i="12"/>
  <c r="B835" i="12"/>
  <c r="B847" i="12"/>
  <c r="B859" i="12"/>
  <c r="B871" i="12"/>
  <c r="B883" i="12"/>
  <c r="B895" i="12"/>
  <c r="B907" i="12"/>
  <c r="B919" i="12"/>
  <c r="B931" i="12"/>
  <c r="B943" i="12"/>
  <c r="B955" i="12"/>
  <c r="B967" i="12"/>
  <c r="B979" i="12"/>
  <c r="B991" i="12"/>
  <c r="B1003" i="12"/>
  <c r="B1015" i="12"/>
  <c r="B1027" i="12"/>
  <c r="B1039" i="12"/>
  <c r="B1051" i="12"/>
  <c r="B1063" i="12"/>
  <c r="B1075" i="12"/>
  <c r="B1087" i="12"/>
  <c r="B1099" i="12"/>
  <c r="B1111" i="12"/>
  <c r="B1123" i="12"/>
  <c r="B1135" i="12"/>
  <c r="B1147" i="12"/>
  <c r="B1159" i="12"/>
  <c r="B1171" i="12"/>
  <c r="B1183" i="12"/>
  <c r="B1195" i="12"/>
  <c r="B1207" i="12"/>
  <c r="B1219" i="12"/>
  <c r="B1231" i="12"/>
  <c r="B1243" i="12"/>
  <c r="B1255" i="12"/>
  <c r="B1267" i="12"/>
  <c r="B1279" i="12"/>
  <c r="B1291" i="12"/>
  <c r="B1303" i="12"/>
  <c r="B1315" i="12"/>
  <c r="B1327" i="12"/>
  <c r="B1339" i="12"/>
  <c r="B1351" i="12"/>
  <c r="B1363" i="12"/>
  <c r="B1375" i="12"/>
  <c r="B1387" i="12"/>
  <c r="B1399" i="12"/>
  <c r="B1411" i="12"/>
  <c r="B1423" i="12"/>
  <c r="B1435" i="12"/>
  <c r="B1447" i="12"/>
  <c r="B1459" i="12"/>
  <c r="B1471" i="12"/>
  <c r="B1483" i="12"/>
  <c r="B8" i="12"/>
  <c r="B20" i="12"/>
  <c r="B32" i="12"/>
  <c r="B44" i="12"/>
  <c r="B56" i="12"/>
  <c r="B68" i="12"/>
  <c r="B80" i="12"/>
  <c r="B92" i="12"/>
  <c r="B104" i="12"/>
  <c r="B116" i="12"/>
  <c r="B128" i="12"/>
  <c r="B140" i="12"/>
  <c r="B152" i="12"/>
  <c r="B164" i="12"/>
  <c r="B176" i="12"/>
  <c r="B188" i="12"/>
  <c r="B200" i="12"/>
  <c r="B212" i="12"/>
  <c r="B224" i="12"/>
  <c r="B236" i="12"/>
  <c r="B248" i="12"/>
  <c r="B260" i="12"/>
  <c r="B272" i="12"/>
  <c r="B284" i="12"/>
  <c r="B296" i="12"/>
  <c r="B308" i="12"/>
  <c r="B320" i="12"/>
  <c r="B332" i="12"/>
  <c r="B344" i="12"/>
  <c r="B356" i="12"/>
  <c r="B368" i="12"/>
  <c r="B380" i="12"/>
  <c r="B392" i="12"/>
  <c r="B404" i="12"/>
  <c r="B416" i="12"/>
  <c r="B428" i="12"/>
  <c r="B440" i="12"/>
  <c r="B452" i="12"/>
  <c r="B464" i="12"/>
  <c r="B476" i="12"/>
  <c r="B488" i="12"/>
  <c r="B500" i="12"/>
  <c r="B512" i="12"/>
  <c r="B524" i="12"/>
  <c r="B536" i="12"/>
  <c r="B548" i="12"/>
  <c r="B560" i="12"/>
  <c r="B572" i="12"/>
  <c r="B584" i="12"/>
  <c r="B596" i="12"/>
  <c r="B608" i="12"/>
  <c r="B620" i="12"/>
  <c r="B632" i="12"/>
  <c r="B644" i="12"/>
  <c r="B656" i="12"/>
  <c r="B668" i="12"/>
  <c r="B680" i="12"/>
  <c r="B692" i="12"/>
  <c r="B704" i="12"/>
  <c r="B716" i="12"/>
  <c r="B728" i="12"/>
  <c r="B740" i="12"/>
  <c r="B752" i="12"/>
  <c r="B764" i="12"/>
  <c r="B776" i="12"/>
  <c r="B788" i="12"/>
  <c r="B800" i="12"/>
  <c r="B812" i="12"/>
  <c r="B824" i="12"/>
  <c r="B836" i="12"/>
  <c r="B848" i="12"/>
  <c r="B860" i="12"/>
  <c r="B872" i="12"/>
  <c r="B884" i="12"/>
  <c r="B896" i="12"/>
  <c r="B908" i="12"/>
  <c r="B920" i="12"/>
  <c r="B932" i="12"/>
  <c r="B944" i="12"/>
  <c r="B956" i="12"/>
  <c r="B968" i="12"/>
  <c r="B980" i="12"/>
  <c r="B992" i="12"/>
  <c r="B1004" i="12"/>
  <c r="B1016" i="12"/>
  <c r="B1028" i="12"/>
  <c r="B1040" i="12"/>
  <c r="B1052" i="12"/>
  <c r="B1064" i="12"/>
  <c r="B1076" i="12"/>
  <c r="B1088" i="12"/>
  <c r="B1100" i="12"/>
  <c r="B1112" i="12"/>
  <c r="B1124" i="12"/>
  <c r="B1136" i="12"/>
  <c r="B1148" i="12"/>
  <c r="B1160" i="12"/>
  <c r="B1172" i="12"/>
  <c r="B1184" i="12"/>
  <c r="B1196" i="12"/>
  <c r="B1208" i="12"/>
  <c r="B1220" i="12"/>
  <c r="B1232" i="12"/>
  <c r="B1244" i="12"/>
  <c r="B1256" i="12"/>
  <c r="B1268" i="12"/>
  <c r="B1280" i="12"/>
  <c r="B1292" i="12"/>
  <c r="B1304" i="12"/>
  <c r="B1316" i="12"/>
  <c r="B1328" i="12"/>
  <c r="B1340" i="12"/>
  <c r="B1352" i="12"/>
  <c r="B1364" i="12"/>
  <c r="B1376" i="12"/>
  <c r="B1388" i="12"/>
  <c r="B1400" i="12"/>
  <c r="B1412" i="12"/>
  <c r="B1424" i="12"/>
  <c r="B1436" i="12"/>
  <c r="B1448" i="12"/>
  <c r="B1460" i="12"/>
  <c r="B1472" i="12"/>
  <c r="B9" i="12"/>
  <c r="B21" i="12"/>
  <c r="B33" i="12"/>
  <c r="B45" i="12"/>
  <c r="B57" i="12"/>
  <c r="B69" i="12"/>
  <c r="B81" i="12"/>
  <c r="B93" i="12"/>
  <c r="B105" i="12"/>
  <c r="B117" i="12"/>
  <c r="B129" i="12"/>
  <c r="B141" i="12"/>
  <c r="B153" i="12"/>
  <c r="B165" i="12"/>
  <c r="B177" i="12"/>
  <c r="B189" i="12"/>
  <c r="B201" i="12"/>
  <c r="B213" i="12"/>
  <c r="B225" i="12"/>
  <c r="B237" i="12"/>
  <c r="B249" i="12"/>
  <c r="B261" i="12"/>
  <c r="B273" i="12"/>
  <c r="B285" i="12"/>
  <c r="B297" i="12"/>
  <c r="B309" i="12"/>
  <c r="B321" i="12"/>
  <c r="B333" i="12"/>
  <c r="B345" i="12"/>
  <c r="B357" i="12"/>
  <c r="B369" i="12"/>
  <c r="B381" i="12"/>
  <c r="B393" i="12"/>
  <c r="B405" i="12"/>
  <c r="B417" i="12"/>
  <c r="B429" i="12"/>
  <c r="B441" i="12"/>
  <c r="B453" i="12"/>
  <c r="B465" i="12"/>
  <c r="B477" i="12"/>
  <c r="B489" i="12"/>
  <c r="B501" i="12"/>
  <c r="B513" i="12"/>
  <c r="B525" i="12"/>
  <c r="B537" i="12"/>
  <c r="B549" i="12"/>
  <c r="B561" i="12"/>
  <c r="B573" i="12"/>
  <c r="B585" i="12"/>
  <c r="B597" i="12"/>
  <c r="B609" i="12"/>
  <c r="B621" i="12"/>
  <c r="B633" i="12"/>
  <c r="B645" i="12"/>
  <c r="B657" i="12"/>
  <c r="B669" i="12"/>
  <c r="B681" i="12"/>
  <c r="B693" i="12"/>
  <c r="B705" i="12"/>
  <c r="B717" i="12"/>
  <c r="B729" i="12"/>
  <c r="B741" i="12"/>
  <c r="B753" i="12"/>
  <c r="B765" i="12"/>
  <c r="B777" i="12"/>
  <c r="B789" i="12"/>
  <c r="B801" i="12"/>
  <c r="B813" i="12"/>
  <c r="B825" i="12"/>
  <c r="B837" i="12"/>
  <c r="B849" i="12"/>
  <c r="B861" i="12"/>
  <c r="B873" i="12"/>
  <c r="B885" i="12"/>
  <c r="B897" i="12"/>
  <c r="B909" i="12"/>
  <c r="B921" i="12"/>
  <c r="B933" i="12"/>
  <c r="B945" i="12"/>
  <c r="B957" i="12"/>
  <c r="B969" i="12"/>
  <c r="B981" i="12"/>
  <c r="B993" i="12"/>
  <c r="B1005" i="12"/>
  <c r="B1017" i="12"/>
  <c r="B1029" i="12"/>
  <c r="B1041" i="12"/>
  <c r="B1053" i="12"/>
  <c r="B1065" i="12"/>
  <c r="B1077" i="12"/>
  <c r="B1089" i="12"/>
  <c r="B1101" i="12"/>
  <c r="B1113" i="12"/>
  <c r="B1125" i="12"/>
  <c r="B1137" i="12"/>
  <c r="B1149" i="12"/>
  <c r="B1161" i="12"/>
  <c r="B1173" i="12"/>
  <c r="B1185" i="12"/>
  <c r="B1197" i="12"/>
  <c r="B1209" i="12"/>
  <c r="B1221" i="12"/>
  <c r="B1233" i="12"/>
  <c r="B1245" i="12"/>
  <c r="B1257" i="12"/>
  <c r="B1269" i="12"/>
  <c r="B1281" i="12"/>
  <c r="B1293" i="12"/>
  <c r="B1305" i="12"/>
  <c r="B1317" i="12"/>
  <c r="B1329" i="12"/>
  <c r="B1341" i="12"/>
  <c r="B1353" i="12"/>
  <c r="B1365" i="12"/>
  <c r="B1377" i="12"/>
  <c r="B1389" i="12"/>
  <c r="B1401" i="12"/>
  <c r="B1413" i="12"/>
  <c r="B1425" i="12"/>
  <c r="B1437" i="12"/>
  <c r="B1449" i="12"/>
  <c r="B1461" i="12"/>
  <c r="B1473" i="12"/>
  <c r="B1485" i="12"/>
  <c r="B1497" i="12"/>
  <c r="B10" i="12"/>
  <c r="B22" i="12"/>
  <c r="B34" i="12"/>
  <c r="B46" i="12"/>
  <c r="B58" i="12"/>
  <c r="B70" i="12"/>
  <c r="B82" i="12"/>
  <c r="B94" i="12"/>
  <c r="B106" i="12"/>
  <c r="B118" i="12"/>
  <c r="B130" i="12"/>
  <c r="B142" i="12"/>
  <c r="B154" i="12"/>
  <c r="B166" i="12"/>
  <c r="B178" i="12"/>
  <c r="B190" i="12"/>
  <c r="B202" i="12"/>
  <c r="B214" i="12"/>
  <c r="B226" i="12"/>
  <c r="B238" i="12"/>
  <c r="B250" i="12"/>
  <c r="B262" i="12"/>
  <c r="B274" i="12"/>
  <c r="B286" i="12"/>
  <c r="B298" i="12"/>
  <c r="B310" i="12"/>
  <c r="B322" i="12"/>
  <c r="B334" i="12"/>
  <c r="B346" i="12"/>
  <c r="B358" i="12"/>
  <c r="B370" i="12"/>
  <c r="B382" i="12"/>
  <c r="B394" i="12"/>
  <c r="B406" i="12"/>
  <c r="B418" i="12"/>
  <c r="B430" i="12"/>
  <c r="B442" i="12"/>
  <c r="B454" i="12"/>
  <c r="B466" i="12"/>
  <c r="B478" i="12"/>
  <c r="B490" i="12"/>
  <c r="B502" i="12"/>
  <c r="B514" i="12"/>
  <c r="B526" i="12"/>
  <c r="B538" i="12"/>
  <c r="B550" i="12"/>
  <c r="B562" i="12"/>
  <c r="B574" i="12"/>
  <c r="B586" i="12"/>
  <c r="B598" i="12"/>
  <c r="B610" i="12"/>
  <c r="B622" i="12"/>
  <c r="B634" i="12"/>
  <c r="B646" i="12"/>
  <c r="B658" i="12"/>
  <c r="B670" i="12"/>
  <c r="B682" i="12"/>
  <c r="B694" i="12"/>
  <c r="B706" i="12"/>
  <c r="B718" i="12"/>
  <c r="B730" i="12"/>
  <c r="B742" i="12"/>
  <c r="B754" i="12"/>
  <c r="B766" i="12"/>
  <c r="B778" i="12"/>
  <c r="B790" i="12"/>
  <c r="B802" i="12"/>
  <c r="B814" i="12"/>
  <c r="B826" i="12"/>
  <c r="B838" i="12"/>
  <c r="B850" i="12"/>
  <c r="B862" i="12"/>
  <c r="B874" i="12"/>
  <c r="B886" i="12"/>
  <c r="B898" i="12"/>
  <c r="B910" i="12"/>
  <c r="B922" i="12"/>
  <c r="B934" i="12"/>
  <c r="B946" i="12"/>
  <c r="B958" i="12"/>
  <c r="B970" i="12"/>
  <c r="B982" i="12"/>
  <c r="B994" i="12"/>
  <c r="B1006" i="12"/>
  <c r="B1018" i="12"/>
  <c r="B1030" i="12"/>
  <c r="B1042" i="12"/>
  <c r="B1054" i="12"/>
  <c r="B1066" i="12"/>
  <c r="B1078" i="12"/>
  <c r="B1090" i="12"/>
  <c r="B1102" i="12"/>
  <c r="B1114" i="12"/>
  <c r="B1126" i="12"/>
  <c r="B1138" i="12"/>
  <c r="B1150" i="12"/>
  <c r="B1162" i="12"/>
  <c r="B1174" i="12"/>
  <c r="B1186" i="12"/>
  <c r="B1198" i="12"/>
  <c r="B1210" i="12"/>
  <c r="B1222" i="12"/>
  <c r="B1234" i="12"/>
  <c r="B1246" i="12"/>
  <c r="B1258" i="12"/>
  <c r="B1270" i="12"/>
  <c r="B1282" i="12"/>
  <c r="B1294" i="12"/>
  <c r="B1306" i="12"/>
  <c r="B1318" i="12"/>
  <c r="B1330" i="12"/>
  <c r="B1342" i="12"/>
  <c r="B1354" i="12"/>
  <c r="B1366" i="12"/>
  <c r="B1378" i="12"/>
  <c r="B1390" i="12"/>
  <c r="B1402" i="12"/>
  <c r="B1414" i="12"/>
  <c r="B1426" i="12"/>
  <c r="B1438" i="12"/>
  <c r="B1450" i="12"/>
  <c r="B1462" i="12"/>
  <c r="B1474" i="12"/>
  <c r="B1486" i="12"/>
  <c r="B1498" i="12"/>
  <c r="B11" i="12"/>
  <c r="B23" i="12"/>
  <c r="B35" i="12"/>
  <c r="B47" i="12"/>
  <c r="B59" i="12"/>
  <c r="B71" i="12"/>
  <c r="B83" i="12"/>
  <c r="B95" i="12"/>
  <c r="B107" i="12"/>
  <c r="B119" i="12"/>
  <c r="B131" i="12"/>
  <c r="B143" i="12"/>
  <c r="B155" i="12"/>
  <c r="B167" i="12"/>
  <c r="B179" i="12"/>
  <c r="B191" i="12"/>
  <c r="B203" i="12"/>
  <c r="B215" i="12"/>
  <c r="B227" i="12"/>
  <c r="B239" i="12"/>
  <c r="B251" i="12"/>
  <c r="B263" i="12"/>
  <c r="B275" i="12"/>
  <c r="B287" i="12"/>
  <c r="B299" i="12"/>
  <c r="B311" i="12"/>
  <c r="B323" i="12"/>
  <c r="B335" i="12"/>
  <c r="B347" i="12"/>
  <c r="B359" i="12"/>
  <c r="B371" i="12"/>
  <c r="B383" i="12"/>
  <c r="B395" i="12"/>
  <c r="B407" i="12"/>
  <c r="B419" i="12"/>
  <c r="B431" i="12"/>
  <c r="B443" i="12"/>
  <c r="B455" i="12"/>
  <c r="B467" i="12"/>
  <c r="B479" i="12"/>
  <c r="B491" i="12"/>
  <c r="B503" i="12"/>
  <c r="B515" i="12"/>
  <c r="B527" i="12"/>
  <c r="B539" i="12"/>
  <c r="B551" i="12"/>
  <c r="B563" i="12"/>
  <c r="B575" i="12"/>
  <c r="B587" i="12"/>
  <c r="B599" i="12"/>
  <c r="B611" i="12"/>
  <c r="B623" i="12"/>
  <c r="B635" i="12"/>
  <c r="B647" i="12"/>
  <c r="B659" i="12"/>
  <c r="B671" i="12"/>
  <c r="B683" i="12"/>
  <c r="B695" i="12"/>
  <c r="B707" i="12"/>
  <c r="B719" i="12"/>
  <c r="B731" i="12"/>
  <c r="B743" i="12"/>
  <c r="B755" i="12"/>
  <c r="B767" i="12"/>
  <c r="B779" i="12"/>
  <c r="B791" i="12"/>
  <c r="B803" i="12"/>
  <c r="B815" i="12"/>
  <c r="B827" i="12"/>
  <c r="B839" i="12"/>
  <c r="B851" i="12"/>
  <c r="B863" i="12"/>
  <c r="B875" i="12"/>
  <c r="B887" i="12"/>
  <c r="B899" i="12"/>
  <c r="B911" i="12"/>
  <c r="B923" i="12"/>
  <c r="B935" i="12"/>
  <c r="B947" i="12"/>
  <c r="B959" i="12"/>
  <c r="B971" i="12"/>
  <c r="B983" i="12"/>
  <c r="B995" i="12"/>
  <c r="B1007" i="12"/>
  <c r="B1019" i="12"/>
  <c r="B1031" i="12"/>
  <c r="B1043" i="12"/>
  <c r="B1055" i="12"/>
  <c r="B1067" i="12"/>
  <c r="B1079" i="12"/>
  <c r="B1091" i="12"/>
  <c r="B1103" i="12"/>
  <c r="B1115" i="12"/>
  <c r="B1127" i="12"/>
  <c r="B1139" i="12"/>
  <c r="B1151" i="12"/>
  <c r="B1163" i="12"/>
  <c r="B1175" i="12"/>
  <c r="B1187" i="12"/>
  <c r="B1199" i="12"/>
  <c r="B1211" i="12"/>
  <c r="B1223" i="12"/>
  <c r="B1235" i="12"/>
  <c r="B1247" i="12"/>
  <c r="B1259" i="12"/>
  <c r="B1271" i="12"/>
  <c r="B1283" i="12"/>
  <c r="B1295" i="12"/>
  <c r="B1307" i="12"/>
  <c r="B1319" i="12"/>
  <c r="B1331" i="12"/>
  <c r="B1343" i="12"/>
  <c r="B1355" i="12"/>
  <c r="B12" i="12"/>
  <c r="B24" i="12"/>
  <c r="B36" i="12"/>
  <c r="B48" i="12"/>
  <c r="B60" i="12"/>
  <c r="B72" i="12"/>
  <c r="B84" i="12"/>
  <c r="B96" i="12"/>
  <c r="B108" i="12"/>
  <c r="B120" i="12"/>
  <c r="B132" i="12"/>
  <c r="B144" i="12"/>
  <c r="B156" i="12"/>
  <c r="B168" i="12"/>
  <c r="B180" i="12"/>
  <c r="B192" i="12"/>
  <c r="B204" i="12"/>
  <c r="B216" i="12"/>
  <c r="B228" i="12"/>
  <c r="B240" i="12"/>
  <c r="B252" i="12"/>
  <c r="B264" i="12"/>
  <c r="B276" i="12"/>
  <c r="B288" i="12"/>
  <c r="B300" i="12"/>
  <c r="B312" i="12"/>
  <c r="B324" i="12"/>
  <c r="B336" i="12"/>
  <c r="B348" i="12"/>
  <c r="B360" i="12"/>
  <c r="B372" i="12"/>
  <c r="B384" i="12"/>
  <c r="B396" i="12"/>
  <c r="B408" i="12"/>
  <c r="B420" i="12"/>
  <c r="B432" i="12"/>
  <c r="B444" i="12"/>
  <c r="B456" i="12"/>
  <c r="B468" i="12"/>
  <c r="B480" i="12"/>
  <c r="B492" i="12"/>
  <c r="B504" i="12"/>
  <c r="B516" i="12"/>
  <c r="B528" i="12"/>
  <c r="B540" i="12"/>
  <c r="B552" i="12"/>
  <c r="B564" i="12"/>
  <c r="B576" i="12"/>
  <c r="B588" i="12"/>
  <c r="B600" i="12"/>
  <c r="B612" i="12"/>
  <c r="B624" i="12"/>
  <c r="B636" i="12"/>
  <c r="B648" i="12"/>
  <c r="B660" i="12"/>
  <c r="B672" i="12"/>
  <c r="B684" i="12"/>
  <c r="B696" i="12"/>
  <c r="B708" i="12"/>
  <c r="B720" i="12"/>
  <c r="B732" i="12"/>
  <c r="B744" i="12"/>
  <c r="B756" i="12"/>
  <c r="B768" i="12"/>
  <c r="B780" i="12"/>
  <c r="B792" i="12"/>
  <c r="B804" i="12"/>
  <c r="B816" i="12"/>
  <c r="B828" i="12"/>
  <c r="B840" i="12"/>
  <c r="B852" i="12"/>
  <c r="B864" i="12"/>
  <c r="B876" i="12"/>
  <c r="B888" i="12"/>
  <c r="B900" i="12"/>
  <c r="B912" i="12"/>
  <c r="B924" i="12"/>
  <c r="B936" i="12"/>
  <c r="B948" i="12"/>
  <c r="B960" i="12"/>
  <c r="B972" i="12"/>
  <c r="B984" i="12"/>
  <c r="B996" i="12"/>
  <c r="B1008" i="12"/>
  <c r="B1020" i="12"/>
  <c r="B1032" i="12"/>
  <c r="B1044" i="12"/>
  <c r="B1056" i="12"/>
  <c r="B1068" i="12"/>
  <c r="B1080" i="12"/>
  <c r="B1092" i="12"/>
  <c r="B1104" i="12"/>
  <c r="B1116" i="12"/>
  <c r="B1128" i="12"/>
  <c r="B1140" i="12"/>
  <c r="B1152" i="12"/>
  <c r="B1164" i="12"/>
  <c r="B1176" i="12"/>
  <c r="B1188" i="12"/>
  <c r="B1200" i="12"/>
  <c r="B1212" i="12"/>
  <c r="B1224" i="12"/>
  <c r="B1236" i="12"/>
  <c r="B1248" i="12"/>
  <c r="B1260" i="12"/>
  <c r="B1272" i="12"/>
  <c r="B1284" i="12"/>
  <c r="B1296" i="12"/>
  <c r="B1308" i="12"/>
  <c r="B1320" i="12"/>
  <c r="B1332" i="12"/>
  <c r="B1344" i="12"/>
  <c r="B1356" i="12"/>
  <c r="B1368" i="12"/>
  <c r="B1380" i="12"/>
  <c r="B1392" i="12"/>
  <c r="B1404" i="12"/>
  <c r="B1416" i="12"/>
  <c r="B1428" i="12"/>
  <c r="B1440" i="12"/>
  <c r="B1452" i="12"/>
  <c r="B1464" i="12"/>
  <c r="B1476" i="12"/>
  <c r="B1488" i="12"/>
  <c r="B1500" i="12"/>
  <c r="B1512" i="12"/>
  <c r="B1524" i="12"/>
  <c r="B13" i="12"/>
  <c r="B25" i="12"/>
  <c r="B37" i="12"/>
  <c r="B49" i="12"/>
  <c r="B61" i="12"/>
  <c r="B73" i="12"/>
  <c r="B85" i="12"/>
  <c r="B97" i="12"/>
  <c r="B109" i="12"/>
  <c r="B121" i="12"/>
  <c r="B133" i="12"/>
  <c r="B145" i="12"/>
  <c r="B157" i="12"/>
  <c r="B169" i="12"/>
  <c r="B181" i="12"/>
  <c r="B193" i="12"/>
  <c r="B205" i="12"/>
  <c r="B217" i="12"/>
  <c r="B229" i="12"/>
  <c r="B241" i="12"/>
  <c r="B253" i="12"/>
  <c r="B265" i="12"/>
  <c r="B277" i="12"/>
  <c r="B289" i="12"/>
  <c r="B301" i="12"/>
  <c r="B313" i="12"/>
  <c r="B325" i="12"/>
  <c r="B337" i="12"/>
  <c r="B349" i="12"/>
  <c r="B361" i="12"/>
  <c r="B373" i="12"/>
  <c r="B385" i="12"/>
  <c r="B397" i="12"/>
  <c r="B409" i="12"/>
  <c r="B421" i="12"/>
  <c r="B433" i="12"/>
  <c r="B445" i="12"/>
  <c r="B457" i="12"/>
  <c r="B469" i="12"/>
  <c r="B481" i="12"/>
  <c r="B493" i="12"/>
  <c r="B505" i="12"/>
  <c r="B517" i="12"/>
  <c r="B529" i="12"/>
  <c r="B541" i="12"/>
  <c r="B553" i="12"/>
  <c r="B565" i="12"/>
  <c r="B577" i="12"/>
  <c r="B589" i="12"/>
  <c r="B601" i="12"/>
  <c r="B613" i="12"/>
  <c r="B625" i="12"/>
  <c r="B637" i="12"/>
  <c r="B649" i="12"/>
  <c r="B661" i="12"/>
  <c r="B673" i="12"/>
  <c r="B685" i="12"/>
  <c r="B697" i="12"/>
  <c r="B709" i="12"/>
  <c r="B721" i="12"/>
  <c r="B733" i="12"/>
  <c r="B745" i="12"/>
  <c r="B757" i="12"/>
  <c r="B769" i="12"/>
  <c r="B781" i="12"/>
  <c r="B793" i="12"/>
  <c r="B805" i="12"/>
  <c r="B817" i="12"/>
  <c r="B829" i="12"/>
  <c r="B841" i="12"/>
  <c r="B853" i="12"/>
  <c r="B865" i="12"/>
  <c r="B877" i="12"/>
  <c r="B889" i="12"/>
  <c r="B901" i="12"/>
  <c r="B913" i="12"/>
  <c r="B925" i="12"/>
  <c r="B937" i="12"/>
  <c r="B949" i="12"/>
  <c r="B961" i="12"/>
  <c r="B973" i="12"/>
  <c r="B985" i="12"/>
  <c r="B997" i="12"/>
  <c r="B1009" i="12"/>
  <c r="B1021" i="12"/>
  <c r="B1033" i="12"/>
  <c r="B1045" i="12"/>
  <c r="B1057" i="12"/>
  <c r="B1069" i="12"/>
  <c r="B1081" i="12"/>
  <c r="B1093" i="12"/>
  <c r="B1105" i="12"/>
  <c r="B1117" i="12"/>
  <c r="B1129" i="12"/>
  <c r="B1141" i="12"/>
  <c r="B1153" i="12"/>
  <c r="B1165" i="12"/>
  <c r="B1177" i="12"/>
  <c r="B1189" i="12"/>
  <c r="B1201" i="12"/>
  <c r="B1213" i="12"/>
  <c r="B1225" i="12"/>
  <c r="B1237" i="12"/>
  <c r="B1249" i="12"/>
  <c r="B1261" i="12"/>
  <c r="B1273" i="12"/>
  <c r="B1285" i="12"/>
  <c r="B1297" i="12"/>
  <c r="B1309" i="12"/>
  <c r="B1321" i="12"/>
  <c r="B1333" i="12"/>
  <c r="B1345" i="12"/>
  <c r="B1357" i="12"/>
  <c r="B1369" i="12"/>
  <c r="B1381" i="12"/>
  <c r="B1393" i="12"/>
  <c r="B1405" i="12"/>
  <c r="B1417" i="12"/>
  <c r="B1429" i="12"/>
  <c r="B1441" i="12"/>
  <c r="B1453" i="12"/>
  <c r="B1465" i="12"/>
  <c r="B1477" i="12"/>
  <c r="B1489" i="12"/>
  <c r="B1501" i="12"/>
  <c r="B1513" i="12"/>
  <c r="B14" i="12"/>
  <c r="B15" i="12"/>
  <c r="B27" i="12"/>
  <c r="B39" i="12"/>
  <c r="B51" i="12"/>
  <c r="B63" i="12"/>
  <c r="B75" i="12"/>
  <c r="B87" i="12"/>
  <c r="B99" i="12"/>
  <c r="B111" i="12"/>
  <c r="B123" i="12"/>
  <c r="B135" i="12"/>
  <c r="B147" i="12"/>
  <c r="B159" i="12"/>
  <c r="B171" i="12"/>
  <c r="B183" i="12"/>
  <c r="B195" i="12"/>
  <c r="B207" i="12"/>
  <c r="B219" i="12"/>
  <c r="B231" i="12"/>
  <c r="B243" i="12"/>
  <c r="B255" i="12"/>
  <c r="B267" i="12"/>
  <c r="B279" i="12"/>
  <c r="B291" i="12"/>
  <c r="B303" i="12"/>
  <c r="B315" i="12"/>
  <c r="B327" i="12"/>
  <c r="B339" i="12"/>
  <c r="B351" i="12"/>
  <c r="B363" i="12"/>
  <c r="B375" i="12"/>
  <c r="B387" i="12"/>
  <c r="B399" i="12"/>
  <c r="B411" i="12"/>
  <c r="B423" i="12"/>
  <c r="B435" i="12"/>
  <c r="B447" i="12"/>
  <c r="B459" i="12"/>
  <c r="B471" i="12"/>
  <c r="B483" i="12"/>
  <c r="B495" i="12"/>
  <c r="B507" i="12"/>
  <c r="B519" i="12"/>
  <c r="B531" i="12"/>
  <c r="B543" i="12"/>
  <c r="B555" i="12"/>
  <c r="B567" i="12"/>
  <c r="B579" i="12"/>
  <c r="B591" i="12"/>
  <c r="B603" i="12"/>
  <c r="B615" i="12"/>
  <c r="B627" i="12"/>
  <c r="B639" i="12"/>
  <c r="B651" i="12"/>
  <c r="B663" i="12"/>
  <c r="B675" i="12"/>
  <c r="B687" i="12"/>
  <c r="B699" i="12"/>
  <c r="B711" i="12"/>
  <c r="B723" i="12"/>
  <c r="B735" i="12"/>
  <c r="B747" i="12"/>
  <c r="B759" i="12"/>
  <c r="B771" i="12"/>
  <c r="B783" i="12"/>
  <c r="B795" i="12"/>
  <c r="B807" i="12"/>
  <c r="B819" i="12"/>
  <c r="B831" i="12"/>
  <c r="B843" i="12"/>
  <c r="B855" i="12"/>
  <c r="B867" i="12"/>
  <c r="B879" i="12"/>
  <c r="B891" i="12"/>
  <c r="B903" i="12"/>
  <c r="B915" i="12"/>
  <c r="B927" i="12"/>
  <c r="B939" i="12"/>
  <c r="B951" i="12"/>
  <c r="B963" i="12"/>
  <c r="B975" i="12"/>
  <c r="B987" i="12"/>
  <c r="B999" i="12"/>
  <c r="B1011" i="12"/>
  <c r="B1023" i="12"/>
  <c r="B1035" i="12"/>
  <c r="B1047" i="12"/>
  <c r="B1059" i="12"/>
  <c r="B1071" i="12"/>
  <c r="B1083" i="12"/>
  <c r="B1095" i="12"/>
  <c r="B1107" i="12"/>
  <c r="B1119" i="12"/>
  <c r="B1131" i="12"/>
  <c r="B1143" i="12"/>
  <c r="B1155" i="12"/>
  <c r="B1167" i="12"/>
  <c r="B1179" i="12"/>
  <c r="B1191" i="12"/>
  <c r="B1203" i="12"/>
  <c r="B1215" i="12"/>
  <c r="B1227" i="12"/>
  <c r="B1239" i="12"/>
  <c r="B1251" i="12"/>
  <c r="B1263" i="12"/>
  <c r="B1275" i="12"/>
  <c r="B1287" i="12"/>
  <c r="B1299" i="12"/>
  <c r="B1311" i="12"/>
  <c r="B1323" i="12"/>
  <c r="B1335" i="12"/>
  <c r="B1347" i="12"/>
  <c r="B1359" i="12"/>
  <c r="B1371" i="12"/>
  <c r="B1383" i="12"/>
  <c r="B1395" i="12"/>
  <c r="B1407" i="12"/>
  <c r="B1419" i="12"/>
  <c r="B1431" i="12"/>
  <c r="B1443" i="12"/>
  <c r="B1455" i="12"/>
  <c r="B1467" i="12"/>
  <c r="B1479" i="12"/>
  <c r="B1491" i="12"/>
  <c r="B1503" i="12"/>
  <c r="B1515" i="12"/>
  <c r="B1527" i="12"/>
  <c r="B16" i="12"/>
  <c r="B52" i="12"/>
  <c r="B88" i="12"/>
  <c r="B124" i="12"/>
  <c r="B160" i="12"/>
  <c r="B196" i="12"/>
  <c r="B232" i="12"/>
  <c r="B268" i="12"/>
  <c r="B304" i="12"/>
  <c r="B340" i="12"/>
  <c r="B376" i="12"/>
  <c r="B412" i="12"/>
  <c r="B448" i="12"/>
  <c r="B484" i="12"/>
  <c r="B520" i="12"/>
  <c r="B556" i="12"/>
  <c r="B592" i="12"/>
  <c r="B628" i="12"/>
  <c r="B664" i="12"/>
  <c r="B700" i="12"/>
  <c r="B736" i="12"/>
  <c r="B772" i="12"/>
  <c r="B808" i="12"/>
  <c r="B844" i="12"/>
  <c r="B880" i="12"/>
  <c r="B916" i="12"/>
  <c r="B952" i="12"/>
  <c r="B988" i="12"/>
  <c r="B1024" i="12"/>
  <c r="B1060" i="12"/>
  <c r="B1096" i="12"/>
  <c r="B1132" i="12"/>
  <c r="B1168" i="12"/>
  <c r="B1204" i="12"/>
  <c r="B1240" i="12"/>
  <c r="B1276" i="12"/>
  <c r="B1312" i="12"/>
  <c r="B1348" i="12"/>
  <c r="B1379" i="12"/>
  <c r="B1408" i="12"/>
  <c r="B1434" i="12"/>
  <c r="B1466" i="12"/>
  <c r="B1492" i="12"/>
  <c r="B1509" i="12"/>
  <c r="B1525" i="12"/>
  <c r="B1538" i="12"/>
  <c r="B1550" i="12"/>
  <c r="B1562" i="12"/>
  <c r="B1574" i="12"/>
  <c r="B1586" i="12"/>
  <c r="B1598" i="12"/>
  <c r="B1610" i="12"/>
  <c r="B1622" i="12"/>
  <c r="B1634" i="12"/>
  <c r="B1646" i="12"/>
  <c r="B1658" i="12"/>
  <c r="B1670" i="12"/>
  <c r="B1682" i="12"/>
  <c r="B1694" i="12"/>
  <c r="B1706" i="12"/>
  <c r="B1718" i="12"/>
  <c r="B1730" i="12"/>
  <c r="B1742" i="12"/>
  <c r="B1754" i="12"/>
  <c r="B1766" i="12"/>
  <c r="B1778" i="12"/>
  <c r="B1790" i="12"/>
  <c r="B1802" i="12"/>
  <c r="B1814" i="12"/>
  <c r="B1826" i="12"/>
  <c r="B1838" i="12"/>
  <c r="B1850" i="12"/>
  <c r="B1862" i="12"/>
  <c r="B1874" i="12"/>
  <c r="B1886" i="12"/>
  <c r="B1898" i="12"/>
  <c r="B1910" i="12"/>
  <c r="B1922" i="12"/>
  <c r="B1934" i="12"/>
  <c r="B1946" i="12"/>
  <c r="B1958" i="12"/>
  <c r="B1970" i="12"/>
  <c r="B1982" i="12"/>
  <c r="B1994" i="12"/>
  <c r="B2006" i="12"/>
  <c r="B2018" i="12"/>
  <c r="B2030" i="12"/>
  <c r="B2042" i="12"/>
  <c r="B2054" i="12"/>
  <c r="B2066" i="12"/>
  <c r="B2078" i="12"/>
  <c r="B2090" i="12"/>
  <c r="B2102" i="12"/>
  <c r="B2114" i="12"/>
  <c r="B2126" i="12"/>
  <c r="B2138" i="12"/>
  <c r="B2150" i="12"/>
  <c r="B2162" i="12"/>
  <c r="B2174" i="12"/>
  <c r="B2186" i="12"/>
  <c r="B2198" i="12"/>
  <c r="B2210" i="12"/>
  <c r="B2222" i="12"/>
  <c r="B2234" i="12"/>
  <c r="B2246" i="12"/>
  <c r="B2258" i="12"/>
  <c r="B2270" i="12"/>
  <c r="B2282" i="12"/>
  <c r="B2294" i="12"/>
  <c r="B2306" i="12"/>
  <c r="B2318" i="12"/>
  <c r="B2330" i="12"/>
  <c r="B2342" i="12"/>
  <c r="B2354" i="12"/>
  <c r="B2366" i="12"/>
  <c r="B2378" i="12"/>
  <c r="B2390" i="12"/>
  <c r="B2402" i="12"/>
  <c r="B2414" i="12"/>
  <c r="B2426" i="12"/>
  <c r="B2438" i="12"/>
  <c r="B2450" i="12"/>
  <c r="B2462" i="12"/>
  <c r="B2474" i="12"/>
  <c r="B2486" i="12"/>
  <c r="B2498" i="12"/>
  <c r="B2510" i="12"/>
  <c r="B17" i="12"/>
  <c r="B53" i="12"/>
  <c r="B89" i="12"/>
  <c r="B125" i="12"/>
  <c r="B161" i="12"/>
  <c r="B197" i="12"/>
  <c r="B233" i="12"/>
  <c r="B269" i="12"/>
  <c r="B305" i="12"/>
  <c r="B341" i="12"/>
  <c r="B377" i="12"/>
  <c r="B413" i="12"/>
  <c r="B449" i="12"/>
  <c r="B485" i="12"/>
  <c r="B521" i="12"/>
  <c r="B557" i="12"/>
  <c r="B593" i="12"/>
  <c r="B629" i="12"/>
  <c r="B665" i="12"/>
  <c r="B701" i="12"/>
  <c r="B737" i="12"/>
  <c r="B773" i="12"/>
  <c r="B809" i="12"/>
  <c r="B845" i="12"/>
  <c r="B881" i="12"/>
  <c r="B917" i="12"/>
  <c r="B953" i="12"/>
  <c r="B989" i="12"/>
  <c r="B1025" i="12"/>
  <c r="B1061" i="12"/>
  <c r="B1097" i="12"/>
  <c r="B1133" i="12"/>
  <c r="B1169" i="12"/>
  <c r="B1205" i="12"/>
  <c r="B1241" i="12"/>
  <c r="B1277" i="12"/>
  <c r="B1313" i="12"/>
  <c r="B1349" i="12"/>
  <c r="B1382" i="12"/>
  <c r="B1409" i="12"/>
  <c r="B1439" i="12"/>
  <c r="B1468" i="12"/>
  <c r="B1493" i="12"/>
  <c r="B1510" i="12"/>
  <c r="B1526" i="12"/>
  <c r="B1539" i="12"/>
  <c r="B1551" i="12"/>
  <c r="B1563" i="12"/>
  <c r="B1575" i="12"/>
  <c r="B1587" i="12"/>
  <c r="B1599" i="12"/>
  <c r="B1611" i="12"/>
  <c r="B1623" i="12"/>
  <c r="B1635" i="12"/>
  <c r="B1647" i="12"/>
  <c r="B1659" i="12"/>
  <c r="B1671" i="12"/>
  <c r="B1683" i="12"/>
  <c r="B1695" i="12"/>
  <c r="B1707" i="12"/>
  <c r="B1719" i="12"/>
  <c r="B1731" i="12"/>
  <c r="B1743" i="12"/>
  <c r="B1755" i="12"/>
  <c r="B1767" i="12"/>
  <c r="B1779" i="12"/>
  <c r="B1791" i="12"/>
  <c r="B1803" i="12"/>
  <c r="B1815" i="12"/>
  <c r="B1827" i="12"/>
  <c r="B1839" i="12"/>
  <c r="B1851" i="12"/>
  <c r="B1863" i="12"/>
  <c r="B1875" i="12"/>
  <c r="B1887" i="12"/>
  <c r="B1899" i="12"/>
  <c r="B1911" i="12"/>
  <c r="B1923" i="12"/>
  <c r="B1935" i="12"/>
  <c r="B1947" i="12"/>
  <c r="B1959" i="12"/>
  <c r="B1971" i="12"/>
  <c r="B1983" i="12"/>
  <c r="B1995" i="12"/>
  <c r="B2007" i="12"/>
  <c r="B2019" i="12"/>
  <c r="B2031" i="12"/>
  <c r="B2043" i="12"/>
  <c r="B2055" i="12"/>
  <c r="B2067" i="12"/>
  <c r="B2079" i="12"/>
  <c r="B2091" i="12"/>
  <c r="B2103" i="12"/>
  <c r="B2115" i="12"/>
  <c r="B2127" i="12"/>
  <c r="B2139" i="12"/>
  <c r="B2151" i="12"/>
  <c r="B2163" i="12"/>
  <c r="B2175" i="12"/>
  <c r="B2187" i="12"/>
  <c r="B2199" i="12"/>
  <c r="B2211" i="12"/>
  <c r="B2223" i="12"/>
  <c r="B2235" i="12"/>
  <c r="B2247" i="12"/>
  <c r="B2259" i="12"/>
  <c r="B2271" i="12"/>
  <c r="B2283" i="12"/>
  <c r="B2295" i="12"/>
  <c r="B2307" i="12"/>
  <c r="B2319" i="12"/>
  <c r="B2331" i="12"/>
  <c r="B2343" i="12"/>
  <c r="B2355" i="12"/>
  <c r="B2367" i="12"/>
  <c r="B2379" i="12"/>
  <c r="B2391" i="12"/>
  <c r="B2403" i="12"/>
  <c r="B2415" i="12"/>
  <c r="B2427" i="12"/>
  <c r="B2439" i="12"/>
  <c r="B2451" i="12"/>
  <c r="B2463" i="12"/>
  <c r="B2475" i="12"/>
  <c r="B2487" i="12"/>
  <c r="B18" i="12"/>
  <c r="B54" i="12"/>
  <c r="B90" i="12"/>
  <c r="B126" i="12"/>
  <c r="B162" i="12"/>
  <c r="B198" i="12"/>
  <c r="B234" i="12"/>
  <c r="B270" i="12"/>
  <c r="B306" i="12"/>
  <c r="B342" i="12"/>
  <c r="B378" i="12"/>
  <c r="B414" i="12"/>
  <c r="B450" i="12"/>
  <c r="B486" i="12"/>
  <c r="B522" i="12"/>
  <c r="B558" i="12"/>
  <c r="B594" i="12"/>
  <c r="B630" i="12"/>
  <c r="B666" i="12"/>
  <c r="B702" i="12"/>
  <c r="B738" i="12"/>
  <c r="B774" i="12"/>
  <c r="B810" i="12"/>
  <c r="B846" i="12"/>
  <c r="B882" i="12"/>
  <c r="B918" i="12"/>
  <c r="B954" i="12"/>
  <c r="B990" i="12"/>
  <c r="B1026" i="12"/>
  <c r="B1062" i="12"/>
  <c r="B1098" i="12"/>
  <c r="B1134" i="12"/>
  <c r="B1170" i="12"/>
  <c r="B1206" i="12"/>
  <c r="B1242" i="12"/>
  <c r="B1278" i="12"/>
  <c r="B1314" i="12"/>
  <c r="B1350" i="12"/>
  <c r="B1384" i="12"/>
  <c r="B1410" i="12"/>
  <c r="B1442" i="12"/>
  <c r="B1469" i="12"/>
  <c r="B1494" i="12"/>
  <c r="B1511" i="12"/>
  <c r="B1528" i="12"/>
  <c r="B1540" i="12"/>
  <c r="B1552" i="12"/>
  <c r="B1564" i="12"/>
  <c r="B1576" i="12"/>
  <c r="B1588" i="12"/>
  <c r="B1600" i="12"/>
  <c r="B1612" i="12"/>
  <c r="B1624" i="12"/>
  <c r="B1636" i="12"/>
  <c r="B1648" i="12"/>
  <c r="B1660" i="12"/>
  <c r="B1672" i="12"/>
  <c r="B1684" i="12"/>
  <c r="B1696" i="12"/>
  <c r="B1708" i="12"/>
  <c r="B1720" i="12"/>
  <c r="B1732" i="12"/>
  <c r="B1744" i="12"/>
  <c r="B1756" i="12"/>
  <c r="B1768" i="12"/>
  <c r="B1780" i="12"/>
  <c r="B1792" i="12"/>
  <c r="B1804" i="12"/>
  <c r="B1816" i="12"/>
  <c r="B1828" i="12"/>
  <c r="B1840" i="12"/>
  <c r="B1852" i="12"/>
  <c r="B1864" i="12"/>
  <c r="B1876" i="12"/>
  <c r="B1888" i="12"/>
  <c r="B1900" i="12"/>
  <c r="B1912" i="12"/>
  <c r="B1924" i="12"/>
  <c r="B1936" i="12"/>
  <c r="B1948" i="12"/>
  <c r="B1960" i="12"/>
  <c r="B1972" i="12"/>
  <c r="B1984" i="12"/>
  <c r="B1996" i="12"/>
  <c r="B2008" i="12"/>
  <c r="B2020" i="12"/>
  <c r="B2032" i="12"/>
  <c r="B2044" i="12"/>
  <c r="B2056" i="12"/>
  <c r="B2068" i="12"/>
  <c r="B2080" i="12"/>
  <c r="B2092" i="12"/>
  <c r="B2104" i="12"/>
  <c r="B2116" i="12"/>
  <c r="B2128" i="12"/>
  <c r="B2140" i="12"/>
  <c r="B2152" i="12"/>
  <c r="B2164" i="12"/>
  <c r="B2176" i="12"/>
  <c r="B2188" i="12"/>
  <c r="B2200" i="12"/>
  <c r="B2212" i="12"/>
  <c r="B2224" i="12"/>
  <c r="B2236" i="12"/>
  <c r="B2248" i="12"/>
  <c r="B2260" i="12"/>
  <c r="B2272" i="12"/>
  <c r="B2284" i="12"/>
  <c r="B2296" i="12"/>
  <c r="B2308" i="12"/>
  <c r="B2320" i="12"/>
  <c r="B2332" i="12"/>
  <c r="B2344" i="12"/>
  <c r="B2356" i="12"/>
  <c r="B2368" i="12"/>
  <c r="B2380" i="12"/>
  <c r="B2392" i="12"/>
  <c r="B2404" i="12"/>
  <c r="B2416" i="12"/>
  <c r="B2428" i="12"/>
  <c r="B2440" i="12"/>
  <c r="B2452" i="12"/>
  <c r="B26" i="12"/>
  <c r="B62" i="12"/>
  <c r="B98" i="12"/>
  <c r="B134" i="12"/>
  <c r="B170" i="12"/>
  <c r="B206" i="12"/>
  <c r="B242" i="12"/>
  <c r="B278" i="12"/>
  <c r="B314" i="12"/>
  <c r="B350" i="12"/>
  <c r="B386" i="12"/>
  <c r="B422" i="12"/>
  <c r="B458" i="12"/>
  <c r="B494" i="12"/>
  <c r="B530" i="12"/>
  <c r="B566" i="12"/>
  <c r="B602" i="12"/>
  <c r="B638" i="12"/>
  <c r="B674" i="12"/>
  <c r="B710" i="12"/>
  <c r="B746" i="12"/>
  <c r="B782" i="12"/>
  <c r="B818" i="12"/>
  <c r="B854" i="12"/>
  <c r="B890" i="12"/>
  <c r="B926" i="12"/>
  <c r="B962" i="12"/>
  <c r="B998" i="12"/>
  <c r="B1034" i="12"/>
  <c r="B1070" i="12"/>
  <c r="B1106" i="12"/>
  <c r="B1142" i="12"/>
  <c r="B1178" i="12"/>
  <c r="B1214" i="12"/>
  <c r="B1250" i="12"/>
  <c r="B1286" i="12"/>
  <c r="B1322" i="12"/>
  <c r="B1358" i="12"/>
  <c r="B1385" i="12"/>
  <c r="B1415" i="12"/>
  <c r="B1444" i="12"/>
  <c r="B1470" i="12"/>
  <c r="B1495" i="12"/>
  <c r="B1514" i="12"/>
  <c r="B1529" i="12"/>
  <c r="B1541" i="12"/>
  <c r="B1553" i="12"/>
  <c r="B1565" i="12"/>
  <c r="B1577" i="12"/>
  <c r="B1589" i="12"/>
  <c r="B1601" i="12"/>
  <c r="B1613" i="12"/>
  <c r="B1625" i="12"/>
  <c r="B1637" i="12"/>
  <c r="B1649" i="12"/>
  <c r="B1661" i="12"/>
  <c r="B1673" i="12"/>
  <c r="B1685" i="12"/>
  <c r="B1697" i="12"/>
  <c r="B1709" i="12"/>
  <c r="B1721" i="12"/>
  <c r="B1733" i="12"/>
  <c r="B1745" i="12"/>
  <c r="B1757" i="12"/>
  <c r="B1769" i="12"/>
  <c r="B1781" i="12"/>
  <c r="B1793" i="12"/>
  <c r="B1805" i="12"/>
  <c r="B1817" i="12"/>
  <c r="B1829" i="12"/>
  <c r="B1841" i="12"/>
  <c r="B1853" i="12"/>
  <c r="B1865" i="12"/>
  <c r="B1877" i="12"/>
  <c r="B1889" i="12"/>
  <c r="B1901" i="12"/>
  <c r="B1913" i="12"/>
  <c r="B1925" i="12"/>
  <c r="B1937" i="12"/>
  <c r="B1949" i="12"/>
  <c r="B1961" i="12"/>
  <c r="B1973" i="12"/>
  <c r="B1985" i="12"/>
  <c r="B1997" i="12"/>
  <c r="B2009" i="12"/>
  <c r="B2021" i="12"/>
  <c r="B2033" i="12"/>
  <c r="B2045" i="12"/>
  <c r="B2057" i="12"/>
  <c r="B2069" i="12"/>
  <c r="B2081" i="12"/>
  <c r="B2093" i="12"/>
  <c r="B2105" i="12"/>
  <c r="B2117" i="12"/>
  <c r="B2129" i="12"/>
  <c r="B2141" i="12"/>
  <c r="B2153" i="12"/>
  <c r="B2165" i="12"/>
  <c r="B2177" i="12"/>
  <c r="B2189" i="12"/>
  <c r="B2201" i="12"/>
  <c r="B2213" i="12"/>
  <c r="B2225" i="12"/>
  <c r="B2237" i="12"/>
  <c r="B2249" i="12"/>
  <c r="B2261" i="12"/>
  <c r="B2273" i="12"/>
  <c r="B2285" i="12"/>
  <c r="B2297" i="12"/>
  <c r="B2309" i="12"/>
  <c r="B2321" i="12"/>
  <c r="B2333" i="12"/>
  <c r="B2345" i="12"/>
  <c r="B2357" i="12"/>
  <c r="B2369" i="12"/>
  <c r="B2381" i="12"/>
  <c r="B2393" i="12"/>
  <c r="B2405" i="12"/>
  <c r="B2417" i="12"/>
  <c r="B2429" i="12"/>
  <c r="B28" i="12"/>
  <c r="B64" i="12"/>
  <c r="B100" i="12"/>
  <c r="B136" i="12"/>
  <c r="B172" i="12"/>
  <c r="B208" i="12"/>
  <c r="B244" i="12"/>
  <c r="B280" i="12"/>
  <c r="B316" i="12"/>
  <c r="B352" i="12"/>
  <c r="B388" i="12"/>
  <c r="B424" i="12"/>
  <c r="B460" i="12"/>
  <c r="B496" i="12"/>
  <c r="B532" i="12"/>
  <c r="B568" i="12"/>
  <c r="B604" i="12"/>
  <c r="B640" i="12"/>
  <c r="B676" i="12"/>
  <c r="B712" i="12"/>
  <c r="B748" i="12"/>
  <c r="B784" i="12"/>
  <c r="B820" i="12"/>
  <c r="B856" i="12"/>
  <c r="B892" i="12"/>
  <c r="B928" i="12"/>
  <c r="B964" i="12"/>
  <c r="B1000" i="12"/>
  <c r="B1036" i="12"/>
  <c r="B1072" i="12"/>
  <c r="B1108" i="12"/>
  <c r="B1144" i="12"/>
  <c r="B1180" i="12"/>
  <c r="B1216" i="12"/>
  <c r="B1252" i="12"/>
  <c r="B1288" i="12"/>
  <c r="B1324" i="12"/>
  <c r="B1360" i="12"/>
  <c r="B1386" i="12"/>
  <c r="B1418" i="12"/>
  <c r="B1445" i="12"/>
  <c r="B1475" i="12"/>
  <c r="B1496" i="12"/>
  <c r="B1516" i="12"/>
  <c r="B1530" i="12"/>
  <c r="B1542" i="12"/>
  <c r="B1554" i="12"/>
  <c r="B1566" i="12"/>
  <c r="B1578" i="12"/>
  <c r="B1590" i="12"/>
  <c r="B1602" i="12"/>
  <c r="B1614" i="12"/>
  <c r="B1626" i="12"/>
  <c r="B1638" i="12"/>
  <c r="B1650" i="12"/>
  <c r="B1662" i="12"/>
  <c r="B1674" i="12"/>
  <c r="B1686" i="12"/>
  <c r="B1698" i="12"/>
  <c r="B1710" i="12"/>
  <c r="B1722" i="12"/>
  <c r="B1734" i="12"/>
  <c r="B1746" i="12"/>
  <c r="B1758" i="12"/>
  <c r="B1770" i="12"/>
  <c r="B1782" i="12"/>
  <c r="B1794" i="12"/>
  <c r="B1806" i="12"/>
  <c r="B1818" i="12"/>
  <c r="B1830" i="12"/>
  <c r="B1842" i="12"/>
  <c r="B1854" i="12"/>
  <c r="B1866" i="12"/>
  <c r="B1878" i="12"/>
  <c r="B1890" i="12"/>
  <c r="B1902" i="12"/>
  <c r="B1914" i="12"/>
  <c r="B1926" i="12"/>
  <c r="B1938" i="12"/>
  <c r="B1950" i="12"/>
  <c r="B1962" i="12"/>
  <c r="B1974" i="12"/>
  <c r="B1986" i="12"/>
  <c r="B1998" i="12"/>
  <c r="B2010" i="12"/>
  <c r="B2022" i="12"/>
  <c r="B2034" i="12"/>
  <c r="B2046" i="12"/>
  <c r="B2058" i="12"/>
  <c r="B2070" i="12"/>
  <c r="B2082" i="12"/>
  <c r="B2094" i="12"/>
  <c r="B2106" i="12"/>
  <c r="B2118" i="12"/>
  <c r="B2130" i="12"/>
  <c r="B2142" i="12"/>
  <c r="B2154" i="12"/>
  <c r="B2166" i="12"/>
  <c r="B2178" i="12"/>
  <c r="B2190" i="12"/>
  <c r="B2202" i="12"/>
  <c r="B2214" i="12"/>
  <c r="B2226" i="12"/>
  <c r="B2238" i="12"/>
  <c r="B2250" i="12"/>
  <c r="B2262" i="12"/>
  <c r="B29" i="12"/>
  <c r="B65" i="12"/>
  <c r="B101" i="12"/>
  <c r="B137" i="12"/>
  <c r="B173" i="12"/>
  <c r="B209" i="12"/>
  <c r="B245" i="12"/>
  <c r="B281" i="12"/>
  <c r="B317" i="12"/>
  <c r="B353" i="12"/>
  <c r="B389" i="12"/>
  <c r="B425" i="12"/>
  <c r="B461" i="12"/>
  <c r="B497" i="12"/>
  <c r="B533" i="12"/>
  <c r="B569" i="12"/>
  <c r="B605" i="12"/>
  <c r="B641" i="12"/>
  <c r="B677" i="12"/>
  <c r="B713" i="12"/>
  <c r="B749" i="12"/>
  <c r="B785" i="12"/>
  <c r="B821" i="12"/>
  <c r="B857" i="12"/>
  <c r="B893" i="12"/>
  <c r="B929" i="12"/>
  <c r="B965" i="12"/>
  <c r="B1001" i="12"/>
  <c r="B1037" i="12"/>
  <c r="B1073" i="12"/>
  <c r="B1109" i="12"/>
  <c r="B1145" i="12"/>
  <c r="B1181" i="12"/>
  <c r="B1217" i="12"/>
  <c r="B1253" i="12"/>
  <c r="B1289" i="12"/>
  <c r="B1325" i="12"/>
  <c r="B1361" i="12"/>
  <c r="B1391" i="12"/>
  <c r="B1420" i="12"/>
  <c r="B1446" i="12"/>
  <c r="B1478" i="12"/>
  <c r="B1499" i="12"/>
  <c r="B1517" i="12"/>
  <c r="B1531" i="12"/>
  <c r="B1543" i="12"/>
  <c r="B1555" i="12"/>
  <c r="B1567" i="12"/>
  <c r="B1579" i="12"/>
  <c r="B1591" i="12"/>
  <c r="B1603" i="12"/>
  <c r="B1615" i="12"/>
  <c r="B1627" i="12"/>
  <c r="B1639" i="12"/>
  <c r="B1651" i="12"/>
  <c r="B1663" i="12"/>
  <c r="B1675" i="12"/>
  <c r="B1687" i="12"/>
  <c r="B1699" i="12"/>
  <c r="B1711" i="12"/>
  <c r="B1723" i="12"/>
  <c r="B1735" i="12"/>
  <c r="B1747" i="12"/>
  <c r="B1759" i="12"/>
  <c r="B1771" i="12"/>
  <c r="B1783" i="12"/>
  <c r="B1795" i="12"/>
  <c r="B1807" i="12"/>
  <c r="B1819" i="12"/>
  <c r="B1831" i="12"/>
  <c r="B1843" i="12"/>
  <c r="B1855" i="12"/>
  <c r="B1867" i="12"/>
  <c r="B1879" i="12"/>
  <c r="B1891" i="12"/>
  <c r="B1903" i="12"/>
  <c r="B1915" i="12"/>
  <c r="B1927" i="12"/>
  <c r="B1939" i="12"/>
  <c r="B1951" i="12"/>
  <c r="B1963" i="12"/>
  <c r="B1975" i="12"/>
  <c r="B1987" i="12"/>
  <c r="B1999" i="12"/>
  <c r="B2011" i="12"/>
  <c r="B2023" i="12"/>
  <c r="B2035" i="12"/>
  <c r="B2047" i="12"/>
  <c r="B2059" i="12"/>
  <c r="B2071" i="12"/>
  <c r="B2083" i="12"/>
  <c r="B2095" i="12"/>
  <c r="B2107" i="12"/>
  <c r="B2119" i="12"/>
  <c r="B2131" i="12"/>
  <c r="B2143" i="12"/>
  <c r="B2155" i="12"/>
  <c r="B2167" i="12"/>
  <c r="B2179" i="12"/>
  <c r="B2191" i="12"/>
  <c r="B2203" i="12"/>
  <c r="B2215" i="12"/>
  <c r="B2227" i="12"/>
  <c r="B2239" i="12"/>
  <c r="B2251" i="12"/>
  <c r="B2263" i="12"/>
  <c r="B2275" i="12"/>
  <c r="B2287" i="12"/>
  <c r="B2299" i="12"/>
  <c r="B2311" i="12"/>
  <c r="B2323" i="12"/>
  <c r="B2335" i="12"/>
  <c r="B2347" i="12"/>
  <c r="B2359" i="12"/>
  <c r="B2371" i="12"/>
  <c r="B2383" i="12"/>
  <c r="B2395" i="12"/>
  <c r="B2407" i="12"/>
  <c r="B2419" i="12"/>
  <c r="B2431" i="12"/>
  <c r="B2443" i="12"/>
  <c r="B2455" i="12"/>
  <c r="B2467" i="12"/>
  <c r="B2479" i="12"/>
  <c r="B2491" i="12"/>
  <c r="B2503" i="12"/>
  <c r="B2515" i="12"/>
  <c r="B2527" i="12"/>
  <c r="B30" i="12"/>
  <c r="B66" i="12"/>
  <c r="B102" i="12"/>
  <c r="B138" i="12"/>
  <c r="B174" i="12"/>
  <c r="B210" i="12"/>
  <c r="B246" i="12"/>
  <c r="B282" i="12"/>
  <c r="B318" i="12"/>
  <c r="B354" i="12"/>
  <c r="B390" i="12"/>
  <c r="B426" i="12"/>
  <c r="B462" i="12"/>
  <c r="B498" i="12"/>
  <c r="B534" i="12"/>
  <c r="B570" i="12"/>
  <c r="B606" i="12"/>
  <c r="B642" i="12"/>
  <c r="B678" i="12"/>
  <c r="B714" i="12"/>
  <c r="B750" i="12"/>
  <c r="B786" i="12"/>
  <c r="B822" i="12"/>
  <c r="B858" i="12"/>
  <c r="B894" i="12"/>
  <c r="B930" i="12"/>
  <c r="B966" i="12"/>
  <c r="B1002" i="12"/>
  <c r="B1038" i="12"/>
  <c r="B1074" i="12"/>
  <c r="B1110" i="12"/>
  <c r="B1146" i="12"/>
  <c r="B1182" i="12"/>
  <c r="B1218" i="12"/>
  <c r="B1254" i="12"/>
  <c r="B1290" i="12"/>
  <c r="B1326" i="12"/>
  <c r="B1362" i="12"/>
  <c r="B1394" i="12"/>
  <c r="B1421" i="12"/>
  <c r="B1451" i="12"/>
  <c r="B1480" i="12"/>
  <c r="B1502" i="12"/>
  <c r="B1518" i="12"/>
  <c r="B1532" i="12"/>
  <c r="B1544" i="12"/>
  <c r="B1556" i="12"/>
  <c r="B1568" i="12"/>
  <c r="B1580" i="12"/>
  <c r="B1592" i="12"/>
  <c r="B1604" i="12"/>
  <c r="B1616" i="12"/>
  <c r="B1628" i="12"/>
  <c r="B38" i="12"/>
  <c r="B74" i="12"/>
  <c r="B110" i="12"/>
  <c r="B146" i="12"/>
  <c r="B182" i="12"/>
  <c r="B218" i="12"/>
  <c r="B254" i="12"/>
  <c r="B290" i="12"/>
  <c r="B326" i="12"/>
  <c r="B362" i="12"/>
  <c r="B398" i="12"/>
  <c r="B434" i="12"/>
  <c r="B470" i="12"/>
  <c r="B506" i="12"/>
  <c r="B542" i="12"/>
  <c r="B578" i="12"/>
  <c r="B614" i="12"/>
  <c r="B650" i="12"/>
  <c r="B686" i="12"/>
  <c r="B722" i="12"/>
  <c r="B758" i="12"/>
  <c r="B794" i="12"/>
  <c r="B830" i="12"/>
  <c r="B866" i="12"/>
  <c r="B902" i="12"/>
  <c r="B938" i="12"/>
  <c r="B974" i="12"/>
  <c r="B1010" i="12"/>
  <c r="B1046" i="12"/>
  <c r="B1082" i="12"/>
  <c r="B1118" i="12"/>
  <c r="B1154" i="12"/>
  <c r="B1190" i="12"/>
  <c r="B1226" i="12"/>
  <c r="B1262" i="12"/>
  <c r="B1298" i="12"/>
  <c r="B1334" i="12"/>
  <c r="B1367" i="12"/>
  <c r="B1396" i="12"/>
  <c r="B1422" i="12"/>
  <c r="B1454" i="12"/>
  <c r="B1481" i="12"/>
  <c r="B1504" i="12"/>
  <c r="B1519" i="12"/>
  <c r="B1533" i="12"/>
  <c r="B1545" i="12"/>
  <c r="B1557" i="12"/>
  <c r="B1569" i="12"/>
  <c r="B1581" i="12"/>
  <c r="B1593" i="12"/>
  <c r="B1605" i="12"/>
  <c r="B1617" i="12"/>
  <c r="B1629" i="12"/>
  <c r="B1641" i="12"/>
  <c r="B1653" i="12"/>
  <c r="B1665" i="12"/>
  <c r="B1677" i="12"/>
  <c r="B1689" i="12"/>
  <c r="B1701" i="12"/>
  <c r="B1713" i="12"/>
  <c r="B1725" i="12"/>
  <c r="B1737" i="12"/>
  <c r="B1749" i="12"/>
  <c r="B1761" i="12"/>
  <c r="B1773" i="12"/>
  <c r="B1785" i="12"/>
  <c r="B1797" i="12"/>
  <c r="B1809" i="12"/>
  <c r="B1821" i="12"/>
  <c r="B1833" i="12"/>
  <c r="B1845" i="12"/>
  <c r="B1857" i="12"/>
  <c r="B1869" i="12"/>
  <c r="B1881" i="12"/>
  <c r="B1893" i="12"/>
  <c r="B1905" i="12"/>
  <c r="B1917" i="12"/>
  <c r="B1929" i="12"/>
  <c r="B1941" i="12"/>
  <c r="B1953" i="12"/>
  <c r="B1965" i="12"/>
  <c r="B1977" i="12"/>
  <c r="B1989" i="12"/>
  <c r="B2001" i="12"/>
  <c r="B2013" i="12"/>
  <c r="B2025" i="12"/>
  <c r="B2037" i="12"/>
  <c r="B2049" i="12"/>
  <c r="B2061" i="12"/>
  <c r="B2073" i="12"/>
  <c r="B2085" i="12"/>
  <c r="B2097" i="12"/>
  <c r="B2109" i="12"/>
  <c r="B2121" i="12"/>
  <c r="B2133" i="12"/>
  <c r="B2145" i="12"/>
  <c r="B2157" i="12"/>
  <c r="B2169" i="12"/>
  <c r="B2181" i="12"/>
  <c r="B2193" i="12"/>
  <c r="B2205" i="12"/>
  <c r="B2217" i="12"/>
  <c r="B2229" i="12"/>
  <c r="B2241" i="12"/>
  <c r="B2253" i="12"/>
  <c r="B2265" i="12"/>
  <c r="B2277" i="12"/>
  <c r="B2289" i="12"/>
  <c r="B2301" i="12"/>
  <c r="B2313" i="12"/>
  <c r="B50" i="12"/>
  <c r="B86" i="12"/>
  <c r="B122" i="12"/>
  <c r="B158" i="12"/>
  <c r="B194" i="12"/>
  <c r="B230" i="12"/>
  <c r="B266" i="12"/>
  <c r="B302" i="12"/>
  <c r="B338" i="12"/>
  <c r="B374" i="12"/>
  <c r="B410" i="12"/>
  <c r="B446" i="12"/>
  <c r="B482" i="12"/>
  <c r="B518" i="12"/>
  <c r="B554" i="12"/>
  <c r="B590" i="12"/>
  <c r="B626" i="12"/>
  <c r="B662" i="12"/>
  <c r="B698" i="12"/>
  <c r="B734" i="12"/>
  <c r="B770" i="12"/>
  <c r="B806" i="12"/>
  <c r="B842" i="12"/>
  <c r="B878" i="12"/>
  <c r="B914" i="12"/>
  <c r="B950" i="12"/>
  <c r="B986" i="12"/>
  <c r="B1022" i="12"/>
  <c r="B1058" i="12"/>
  <c r="B1094" i="12"/>
  <c r="B1130" i="12"/>
  <c r="B1166" i="12"/>
  <c r="B1202" i="12"/>
  <c r="B1238" i="12"/>
  <c r="B1274" i="12"/>
  <c r="B1310" i="12"/>
  <c r="B1346" i="12"/>
  <c r="B1374" i="12"/>
  <c r="B1406" i="12"/>
  <c r="B1433" i="12"/>
  <c r="B1463" i="12"/>
  <c r="B1490" i="12"/>
  <c r="B1508" i="12"/>
  <c r="B1523" i="12"/>
  <c r="B1537" i="12"/>
  <c r="B1549" i="12"/>
  <c r="B1561" i="12"/>
  <c r="B1573" i="12"/>
  <c r="B1585" i="12"/>
  <c r="B1597" i="12"/>
  <c r="B1609" i="12"/>
  <c r="B1621" i="12"/>
  <c r="B1633" i="12"/>
  <c r="B1645" i="12"/>
  <c r="B1657" i="12"/>
  <c r="B1669" i="12"/>
  <c r="B1681" i="12"/>
  <c r="B1693" i="12"/>
  <c r="B1705" i="12"/>
  <c r="B1717" i="12"/>
  <c r="B1729" i="12"/>
  <c r="B1741" i="12"/>
  <c r="B1753" i="12"/>
  <c r="B1765" i="12"/>
  <c r="B1777" i="12"/>
  <c r="B1789" i="12"/>
  <c r="B1801" i="12"/>
  <c r="B1813" i="12"/>
  <c r="B1825" i="12"/>
  <c r="B1837" i="12"/>
  <c r="B1849" i="12"/>
  <c r="B1861" i="12"/>
  <c r="B1873" i="12"/>
  <c r="B1885" i="12"/>
  <c r="B1897" i="12"/>
  <c r="B1909" i="12"/>
  <c r="B1921" i="12"/>
  <c r="B1933" i="12"/>
  <c r="B1945" i="12"/>
  <c r="B1957" i="12"/>
  <c r="B1969" i="12"/>
  <c r="B1981" i="12"/>
  <c r="B1993" i="12"/>
  <c r="B2005" i="12"/>
  <c r="B2017" i="12"/>
  <c r="B2029" i="12"/>
  <c r="B2041" i="12"/>
  <c r="B2053" i="12"/>
  <c r="B2065" i="12"/>
  <c r="B2077" i="12"/>
  <c r="B2089" i="12"/>
  <c r="B2101" i="12"/>
  <c r="B2113" i="12"/>
  <c r="B2125" i="12"/>
  <c r="B2137" i="12"/>
  <c r="B2149" i="12"/>
  <c r="B2161" i="12"/>
  <c r="B2173" i="12"/>
  <c r="B2185" i="12"/>
  <c r="B2197" i="12"/>
  <c r="B2209" i="12"/>
  <c r="B2221" i="12"/>
  <c r="B40" i="12"/>
  <c r="B184" i="12"/>
  <c r="B328" i="12"/>
  <c r="B472" i="12"/>
  <c r="B616" i="12"/>
  <c r="B760" i="12"/>
  <c r="B904" i="12"/>
  <c r="B1048" i="12"/>
  <c r="B1192" i="12"/>
  <c r="B1336" i="12"/>
  <c r="B1456" i="12"/>
  <c r="B1534" i="12"/>
  <c r="B1582" i="12"/>
  <c r="B1630" i="12"/>
  <c r="B1666" i="12"/>
  <c r="B1702" i="12"/>
  <c r="B1738" i="12"/>
  <c r="B1774" i="12"/>
  <c r="B1810" i="12"/>
  <c r="B1846" i="12"/>
  <c r="B1882" i="12"/>
  <c r="B1918" i="12"/>
  <c r="B1954" i="12"/>
  <c r="B1990" i="12"/>
  <c r="B2026" i="12"/>
  <c r="B2062" i="12"/>
  <c r="B2098" i="12"/>
  <c r="B2134" i="12"/>
  <c r="B2170" i="12"/>
  <c r="B2206" i="12"/>
  <c r="B2240" i="12"/>
  <c r="B2267" i="12"/>
  <c r="B2291" i="12"/>
  <c r="B2315" i="12"/>
  <c r="B2337" i="12"/>
  <c r="B2358" i="12"/>
  <c r="B2376" i="12"/>
  <c r="B2398" i="12"/>
  <c r="B2420" i="12"/>
  <c r="B2437" i="12"/>
  <c r="B2457" i="12"/>
  <c r="B2472" i="12"/>
  <c r="B2489" i="12"/>
  <c r="B2504" i="12"/>
  <c r="B2518" i="12"/>
  <c r="B2531" i="12"/>
  <c r="B2543" i="12"/>
  <c r="B2555" i="12"/>
  <c r="B2567" i="12"/>
  <c r="B2579" i="12"/>
  <c r="B2591" i="12"/>
  <c r="B2603" i="12"/>
  <c r="B2615" i="12"/>
  <c r="B2627" i="12"/>
  <c r="B2639" i="12"/>
  <c r="B2651" i="12"/>
  <c r="B2663" i="12"/>
  <c r="B2675" i="12"/>
  <c r="B2687" i="12"/>
  <c r="B2699" i="12"/>
  <c r="B2711" i="12"/>
  <c r="B2723" i="12"/>
  <c r="B2735" i="12"/>
  <c r="B2747" i="12"/>
  <c r="B2759" i="12"/>
  <c r="B2771" i="12"/>
  <c r="B2783" i="12"/>
  <c r="B2795" i="12"/>
  <c r="B2807" i="12"/>
  <c r="B2819" i="12"/>
  <c r="B2831" i="12"/>
  <c r="B2843" i="12"/>
  <c r="B2855" i="12"/>
  <c r="B2867" i="12"/>
  <c r="B2879" i="12"/>
  <c r="B2891" i="12"/>
  <c r="B2903" i="12"/>
  <c r="B2915" i="12"/>
  <c r="B2927" i="12"/>
  <c r="B2939" i="12"/>
  <c r="B2951" i="12"/>
  <c r="B2963" i="12"/>
  <c r="B2975" i="12"/>
  <c r="B2987" i="12"/>
  <c r="B2999" i="12"/>
  <c r="B3011" i="12"/>
  <c r="B3023" i="12"/>
  <c r="B3035" i="12"/>
  <c r="B3047" i="12"/>
  <c r="B3059" i="12"/>
  <c r="B3071" i="12"/>
  <c r="B3083" i="12"/>
  <c r="B3095" i="12"/>
  <c r="B3107" i="12"/>
  <c r="B3119" i="12"/>
  <c r="B3131" i="12"/>
  <c r="B3143" i="12"/>
  <c r="B3155" i="12"/>
  <c r="B3167" i="12"/>
  <c r="B3179" i="12"/>
  <c r="B3191" i="12"/>
  <c r="B3203" i="12"/>
  <c r="B3215" i="12"/>
  <c r="B3227" i="12"/>
  <c r="B3239" i="12"/>
  <c r="B3251" i="12"/>
  <c r="B3263" i="12"/>
  <c r="B3275" i="12"/>
  <c r="B3287" i="12"/>
  <c r="B3299" i="12"/>
  <c r="B3311" i="12"/>
  <c r="B3323" i="12"/>
  <c r="B3335" i="12"/>
  <c r="B3347" i="12"/>
  <c r="B3359" i="12"/>
  <c r="B3371" i="12"/>
  <c r="B3383" i="12"/>
  <c r="B3395" i="12"/>
  <c r="B3407" i="12"/>
  <c r="B3419" i="12"/>
  <c r="B3431" i="12"/>
  <c r="B3443" i="12"/>
  <c r="B3455" i="12"/>
  <c r="B3467" i="12"/>
  <c r="B3479" i="12"/>
  <c r="B3491" i="12"/>
  <c r="B3503" i="12"/>
  <c r="B3515" i="12"/>
  <c r="B3527" i="12"/>
  <c r="B41" i="12"/>
  <c r="B185" i="12"/>
  <c r="B329" i="12"/>
  <c r="B473" i="12"/>
  <c r="B617" i="12"/>
  <c r="B761" i="12"/>
  <c r="B905" i="12"/>
  <c r="B1049" i="12"/>
  <c r="B1193" i="12"/>
  <c r="B1337" i="12"/>
  <c r="B1457" i="12"/>
  <c r="B1535" i="12"/>
  <c r="B1583" i="12"/>
  <c r="B1631" i="12"/>
  <c r="B1667" i="12"/>
  <c r="B1703" i="12"/>
  <c r="B1739" i="12"/>
  <c r="B1775" i="12"/>
  <c r="B1811" i="12"/>
  <c r="B1847" i="12"/>
  <c r="B1883" i="12"/>
  <c r="B1919" i="12"/>
  <c r="B1955" i="12"/>
  <c r="B1991" i="12"/>
  <c r="B2027" i="12"/>
  <c r="B2063" i="12"/>
  <c r="B2099" i="12"/>
  <c r="B2135" i="12"/>
  <c r="B2171" i="12"/>
  <c r="B2207" i="12"/>
  <c r="B2242" i="12"/>
  <c r="B2268" i="12"/>
  <c r="B2292" i="12"/>
  <c r="B2316" i="12"/>
  <c r="B2338" i="12"/>
  <c r="B2360" i="12"/>
  <c r="B2377" i="12"/>
  <c r="B2399" i="12"/>
  <c r="B2421" i="12"/>
  <c r="B2441" i="12"/>
  <c r="B2458" i="12"/>
  <c r="B2473" i="12"/>
  <c r="B2490" i="12"/>
  <c r="B2505" i="12"/>
  <c r="B2519" i="12"/>
  <c r="B2532" i="12"/>
  <c r="B2544" i="12"/>
  <c r="B2556" i="12"/>
  <c r="B2568" i="12"/>
  <c r="B2580" i="12"/>
  <c r="B2592" i="12"/>
  <c r="B2604" i="12"/>
  <c r="B2616" i="12"/>
  <c r="B2628" i="12"/>
  <c r="B2640" i="12"/>
  <c r="B2652" i="12"/>
  <c r="B2664" i="12"/>
  <c r="B2676" i="12"/>
  <c r="B2688" i="12"/>
  <c r="B2700" i="12"/>
  <c r="B2712" i="12"/>
  <c r="B2724" i="12"/>
  <c r="B2736" i="12"/>
  <c r="B2748" i="12"/>
  <c r="B2760" i="12"/>
  <c r="B2772" i="12"/>
  <c r="B2784" i="12"/>
  <c r="B2796" i="12"/>
  <c r="B2808" i="12"/>
  <c r="B2820" i="12"/>
  <c r="B2832" i="12"/>
  <c r="B2844" i="12"/>
  <c r="B2856" i="12"/>
  <c r="B2868" i="12"/>
  <c r="B2880" i="12"/>
  <c r="B2892" i="12"/>
  <c r="B2904" i="12"/>
  <c r="B2916" i="12"/>
  <c r="B2928" i="12"/>
  <c r="B2940" i="12"/>
  <c r="B2952" i="12"/>
  <c r="B2964" i="12"/>
  <c r="B2976" i="12"/>
  <c r="B2988" i="12"/>
  <c r="B3000" i="12"/>
  <c r="B3012" i="12"/>
  <c r="B3024" i="12"/>
  <c r="B3036" i="12"/>
  <c r="B3048" i="12"/>
  <c r="B3060" i="12"/>
  <c r="B3072" i="12"/>
  <c r="B3084" i="12"/>
  <c r="B3096" i="12"/>
  <c r="B3108" i="12"/>
  <c r="B3120" i="12"/>
  <c r="B3132" i="12"/>
  <c r="B3144" i="12"/>
  <c r="B3156" i="12"/>
  <c r="B3168" i="12"/>
  <c r="B3180" i="12"/>
  <c r="B3192" i="12"/>
  <c r="B3204" i="12"/>
  <c r="B3216" i="12"/>
  <c r="B3228" i="12"/>
  <c r="B3240" i="12"/>
  <c r="B3252" i="12"/>
  <c r="B3264" i="12"/>
  <c r="B3276" i="12"/>
  <c r="B3288" i="12"/>
  <c r="B3300" i="12"/>
  <c r="B3312" i="12"/>
  <c r="B3324" i="12"/>
  <c r="B3336" i="12"/>
  <c r="B3348" i="12"/>
  <c r="B3360" i="12"/>
  <c r="B3372" i="12"/>
  <c r="B3384" i="12"/>
  <c r="B3396" i="12"/>
  <c r="B3408" i="12"/>
  <c r="B3420" i="12"/>
  <c r="B3432" i="12"/>
  <c r="B3444" i="12"/>
  <c r="B3456" i="12"/>
  <c r="B42" i="12"/>
  <c r="B186" i="12"/>
  <c r="B330" i="12"/>
  <c r="B474" i="12"/>
  <c r="B618" i="12"/>
  <c r="B762" i="12"/>
  <c r="B906" i="12"/>
  <c r="B1050" i="12"/>
  <c r="B1194" i="12"/>
  <c r="B1338" i="12"/>
  <c r="B1458" i="12"/>
  <c r="B1536" i="12"/>
  <c r="B1584" i="12"/>
  <c r="B1632" i="12"/>
  <c r="B1668" i="12"/>
  <c r="B1704" i="12"/>
  <c r="B1740" i="12"/>
  <c r="B1776" i="12"/>
  <c r="B1812" i="12"/>
  <c r="B1848" i="12"/>
  <c r="B1884" i="12"/>
  <c r="B1920" i="12"/>
  <c r="B1956" i="12"/>
  <c r="B1992" i="12"/>
  <c r="B2028" i="12"/>
  <c r="B2064" i="12"/>
  <c r="B2100" i="12"/>
  <c r="B2136" i="12"/>
  <c r="B2172" i="12"/>
  <c r="B2208" i="12"/>
  <c r="B2243" i="12"/>
  <c r="B2269" i="12"/>
  <c r="B2293" i="12"/>
  <c r="B2317" i="12"/>
  <c r="B2339" i="12"/>
  <c r="B2361" i="12"/>
  <c r="B2382" i="12"/>
  <c r="B2400" i="12"/>
  <c r="B2422" i="12"/>
  <c r="B2442" i="12"/>
  <c r="B2459" i="12"/>
  <c r="B2476" i="12"/>
  <c r="B2492" i="12"/>
  <c r="B2506" i="12"/>
  <c r="B2520" i="12"/>
  <c r="B2533" i="12"/>
  <c r="B2545" i="12"/>
  <c r="B2557" i="12"/>
  <c r="B2569" i="12"/>
  <c r="B2581" i="12"/>
  <c r="B2593" i="12"/>
  <c r="B2605" i="12"/>
  <c r="B2617" i="12"/>
  <c r="B2629" i="12"/>
  <c r="B2641" i="12"/>
  <c r="B2653" i="12"/>
  <c r="B2665" i="12"/>
  <c r="B2677" i="12"/>
  <c r="B2689" i="12"/>
  <c r="B2701" i="12"/>
  <c r="B2713" i="12"/>
  <c r="B2725" i="12"/>
  <c r="B2737" i="12"/>
  <c r="B2749" i="12"/>
  <c r="B2761" i="12"/>
  <c r="B2773" i="12"/>
  <c r="B2785" i="12"/>
  <c r="B2797" i="12"/>
  <c r="B2809" i="12"/>
  <c r="B2821" i="12"/>
  <c r="B2833" i="12"/>
  <c r="B2845" i="12"/>
  <c r="B2857" i="12"/>
  <c r="B2869" i="12"/>
  <c r="B2881" i="12"/>
  <c r="B2893" i="12"/>
  <c r="B2905" i="12"/>
  <c r="B2917" i="12"/>
  <c r="B2929" i="12"/>
  <c r="B2941" i="12"/>
  <c r="B2953" i="12"/>
  <c r="B2965" i="12"/>
  <c r="B2977" i="12"/>
  <c r="B2989" i="12"/>
  <c r="B3001" i="12"/>
  <c r="B3013" i="12"/>
  <c r="B3025" i="12"/>
  <c r="B3037" i="12"/>
  <c r="B3049" i="12"/>
  <c r="B3061" i="12"/>
  <c r="B3073" i="12"/>
  <c r="B3085" i="12"/>
  <c r="B3097" i="12"/>
  <c r="B3109" i="12"/>
  <c r="B3121" i="12"/>
  <c r="B3133" i="12"/>
  <c r="B3145" i="12"/>
  <c r="B3157" i="12"/>
  <c r="B3169" i="12"/>
  <c r="B3181" i="12"/>
  <c r="B3193" i="12"/>
  <c r="B3205" i="12"/>
  <c r="B3217" i="12"/>
  <c r="B3229" i="12"/>
  <c r="B3241" i="12"/>
  <c r="B3253" i="12"/>
  <c r="B3265" i="12"/>
  <c r="B3277" i="12"/>
  <c r="B3289" i="12"/>
  <c r="B3301" i="12"/>
  <c r="B3313" i="12"/>
  <c r="B3325" i="12"/>
  <c r="B3337" i="12"/>
  <c r="B3349" i="12"/>
  <c r="B3361" i="12"/>
  <c r="B3373" i="12"/>
  <c r="B3385" i="12"/>
  <c r="B3397" i="12"/>
  <c r="B3409" i="12"/>
  <c r="B3421" i="12"/>
  <c r="B3433" i="12"/>
  <c r="B3445" i="12"/>
  <c r="B3457" i="12"/>
  <c r="B3469" i="12"/>
  <c r="B3481" i="12"/>
  <c r="B3493" i="12"/>
  <c r="B3505" i="12"/>
  <c r="B76" i="12"/>
  <c r="B220" i="12"/>
  <c r="B364" i="12"/>
  <c r="B508" i="12"/>
  <c r="B652" i="12"/>
  <c r="B796" i="12"/>
  <c r="B940" i="12"/>
  <c r="B1084" i="12"/>
  <c r="B1228" i="12"/>
  <c r="B1370" i="12"/>
  <c r="B1482" i="12"/>
  <c r="B1546" i="12"/>
  <c r="B1594" i="12"/>
  <c r="B1640" i="12"/>
  <c r="B1676" i="12"/>
  <c r="B1712" i="12"/>
  <c r="B1748" i="12"/>
  <c r="B1784" i="12"/>
  <c r="B1820" i="12"/>
  <c r="B1856" i="12"/>
  <c r="B1892" i="12"/>
  <c r="B1928" i="12"/>
  <c r="B1964" i="12"/>
  <c r="B2000" i="12"/>
  <c r="B2036" i="12"/>
  <c r="B2072" i="12"/>
  <c r="B2108" i="12"/>
  <c r="B2144" i="12"/>
  <c r="B2180" i="12"/>
  <c r="B2216" i="12"/>
  <c r="B2244" i="12"/>
  <c r="B2274" i="12"/>
  <c r="B2298" i="12"/>
  <c r="B2322" i="12"/>
  <c r="B2340" i="12"/>
  <c r="B2362" i="12"/>
  <c r="B2384" i="12"/>
  <c r="B2401" i="12"/>
  <c r="B2423" i="12"/>
  <c r="B2444" i="12"/>
  <c r="B2460" i="12"/>
  <c r="B2477" i="12"/>
  <c r="B2493" i="12"/>
  <c r="B2507" i="12"/>
  <c r="B2521" i="12"/>
  <c r="B2534" i="12"/>
  <c r="B2546" i="12"/>
  <c r="B2558" i="12"/>
  <c r="B2570" i="12"/>
  <c r="B2582" i="12"/>
  <c r="B2594" i="12"/>
  <c r="B2606" i="12"/>
  <c r="B2618" i="12"/>
  <c r="B2630" i="12"/>
  <c r="B2642" i="12"/>
  <c r="B2654" i="12"/>
  <c r="B2666" i="12"/>
  <c r="B2678" i="12"/>
  <c r="B2690" i="12"/>
  <c r="B2702" i="12"/>
  <c r="B2714" i="12"/>
  <c r="B2726" i="12"/>
  <c r="B2738" i="12"/>
  <c r="B2750" i="12"/>
  <c r="B2762" i="12"/>
  <c r="B2774" i="12"/>
  <c r="B2786" i="12"/>
  <c r="B2798" i="12"/>
  <c r="B2810" i="12"/>
  <c r="B2822" i="12"/>
  <c r="B2834" i="12"/>
  <c r="B2846" i="12"/>
  <c r="B2858" i="12"/>
  <c r="B2870" i="12"/>
  <c r="B2882" i="12"/>
  <c r="B2894" i="12"/>
  <c r="B2906" i="12"/>
  <c r="B2918" i="12"/>
  <c r="B2930" i="12"/>
  <c r="B2942" i="12"/>
  <c r="B2954" i="12"/>
  <c r="B2966" i="12"/>
  <c r="B2978" i="12"/>
  <c r="B2990" i="12"/>
  <c r="B3002" i="12"/>
  <c r="B3014" i="12"/>
  <c r="B3026" i="12"/>
  <c r="B3038" i="12"/>
  <c r="B3050" i="12"/>
  <c r="B3062" i="12"/>
  <c r="B3074" i="12"/>
  <c r="B3086" i="12"/>
  <c r="B3098" i="12"/>
  <c r="B3110" i="12"/>
  <c r="B3122" i="12"/>
  <c r="B3134" i="12"/>
  <c r="B3146" i="12"/>
  <c r="B3158" i="12"/>
  <c r="B3170" i="12"/>
  <c r="B3182" i="12"/>
  <c r="B3194" i="12"/>
  <c r="B3206" i="12"/>
  <c r="B3218" i="12"/>
  <c r="B3230" i="12"/>
  <c r="B3242" i="12"/>
  <c r="B3254" i="12"/>
  <c r="B3266" i="12"/>
  <c r="B3278" i="12"/>
  <c r="B3290" i="12"/>
  <c r="B3302" i="12"/>
  <c r="B3314" i="12"/>
  <c r="B3326" i="12"/>
  <c r="B3338" i="12"/>
  <c r="B3350" i="12"/>
  <c r="B3362" i="12"/>
  <c r="B3374" i="12"/>
  <c r="B77" i="12"/>
  <c r="B221" i="12"/>
  <c r="B365" i="12"/>
  <c r="B509" i="12"/>
  <c r="B653" i="12"/>
  <c r="B797" i="12"/>
  <c r="B941" i="12"/>
  <c r="B1085" i="12"/>
  <c r="B1229" i="12"/>
  <c r="B1372" i="12"/>
  <c r="B1484" i="12"/>
  <c r="B1547" i="12"/>
  <c r="B1595" i="12"/>
  <c r="B1642" i="12"/>
  <c r="B1678" i="12"/>
  <c r="B1714" i="12"/>
  <c r="B1750" i="12"/>
  <c r="B1786" i="12"/>
  <c r="B1822" i="12"/>
  <c r="B1858" i="12"/>
  <c r="B1894" i="12"/>
  <c r="B1930" i="12"/>
  <c r="B1966" i="12"/>
  <c r="B2002" i="12"/>
  <c r="B2038" i="12"/>
  <c r="B2074" i="12"/>
  <c r="B2110" i="12"/>
  <c r="B2146" i="12"/>
  <c r="B2182" i="12"/>
  <c r="B2218" i="12"/>
  <c r="B2245" i="12"/>
  <c r="B2276" i="12"/>
  <c r="B2300" i="12"/>
  <c r="B2324" i="12"/>
  <c r="B2341" i="12"/>
  <c r="B2363" i="12"/>
  <c r="B2385" i="12"/>
  <c r="B2406" i="12"/>
  <c r="B2424" i="12"/>
  <c r="B2445" i="12"/>
  <c r="B2461" i="12"/>
  <c r="B2478" i="12"/>
  <c r="B2494" i="12"/>
  <c r="B2508" i="12"/>
  <c r="B2522" i="12"/>
  <c r="B2535" i="12"/>
  <c r="B2547" i="12"/>
  <c r="B2559" i="12"/>
  <c r="B2571" i="12"/>
  <c r="B2583" i="12"/>
  <c r="B2595" i="12"/>
  <c r="B2607" i="12"/>
  <c r="B2619" i="12"/>
  <c r="B2631" i="12"/>
  <c r="B2643" i="12"/>
  <c r="B2655" i="12"/>
  <c r="B2667" i="12"/>
  <c r="B2679" i="12"/>
  <c r="B2691" i="12"/>
  <c r="B2703" i="12"/>
  <c r="B2715" i="12"/>
  <c r="B2727" i="12"/>
  <c r="B2739" i="12"/>
  <c r="B2751" i="12"/>
  <c r="B2763" i="12"/>
  <c r="B2775" i="12"/>
  <c r="B2787" i="12"/>
  <c r="B2799" i="12"/>
  <c r="B2811" i="12"/>
  <c r="B2823" i="12"/>
  <c r="B2835" i="12"/>
  <c r="B2847" i="12"/>
  <c r="B2859" i="12"/>
  <c r="B2871" i="12"/>
  <c r="B2883" i="12"/>
  <c r="B2895" i="12"/>
  <c r="B2907" i="12"/>
  <c r="B2919" i="12"/>
  <c r="B2931" i="12"/>
  <c r="B2943" i="12"/>
  <c r="B2955" i="12"/>
  <c r="B2967" i="12"/>
  <c r="B2979" i="12"/>
  <c r="B2991" i="12"/>
  <c r="B3003" i="12"/>
  <c r="B3015" i="12"/>
  <c r="B3027" i="12"/>
  <c r="B3039" i="12"/>
  <c r="B3051" i="12"/>
  <c r="B3063" i="12"/>
  <c r="B3075" i="12"/>
  <c r="B3087" i="12"/>
  <c r="B3099" i="12"/>
  <c r="B3111" i="12"/>
  <c r="B3123" i="12"/>
  <c r="B3135" i="12"/>
  <c r="B3147" i="12"/>
  <c r="B3159" i="12"/>
  <c r="B3171" i="12"/>
  <c r="B3183" i="12"/>
  <c r="B3195" i="12"/>
  <c r="B3207" i="12"/>
  <c r="B3219" i="12"/>
  <c r="B3231" i="12"/>
  <c r="B3243" i="12"/>
  <c r="B3255" i="12"/>
  <c r="B78" i="12"/>
  <c r="B222" i="12"/>
  <c r="B366" i="12"/>
  <c r="B510" i="12"/>
  <c r="B654" i="12"/>
  <c r="B798" i="12"/>
  <c r="B942" i="12"/>
  <c r="B1086" i="12"/>
  <c r="B1230" i="12"/>
  <c r="B1373" i="12"/>
  <c r="B1487" i="12"/>
  <c r="B1548" i="12"/>
  <c r="B1596" i="12"/>
  <c r="B1643" i="12"/>
  <c r="B1679" i="12"/>
  <c r="B1715" i="12"/>
  <c r="B1751" i="12"/>
  <c r="B1787" i="12"/>
  <c r="B1823" i="12"/>
  <c r="B1859" i="12"/>
  <c r="B1895" i="12"/>
  <c r="B1931" i="12"/>
  <c r="B1967" i="12"/>
  <c r="B2003" i="12"/>
  <c r="B2039" i="12"/>
  <c r="B2075" i="12"/>
  <c r="B2111" i="12"/>
  <c r="B2147" i="12"/>
  <c r="B2183" i="12"/>
  <c r="B2219" i="12"/>
  <c r="B2252" i="12"/>
  <c r="B2278" i="12"/>
  <c r="B2302" i="12"/>
  <c r="B2325" i="12"/>
  <c r="B2346" i="12"/>
  <c r="B2364" i="12"/>
  <c r="B2386" i="12"/>
  <c r="B2408" i="12"/>
  <c r="B2425" i="12"/>
  <c r="B2446" i="12"/>
  <c r="B2464" i="12"/>
  <c r="B2480" i="12"/>
  <c r="B2495" i="12"/>
  <c r="B2509" i="12"/>
  <c r="B2523" i="12"/>
  <c r="B2536" i="12"/>
  <c r="B2548" i="12"/>
  <c r="B2560" i="12"/>
  <c r="B2572" i="12"/>
  <c r="B2584" i="12"/>
  <c r="B2596" i="12"/>
  <c r="B2608" i="12"/>
  <c r="B2620" i="12"/>
  <c r="B2632" i="12"/>
  <c r="B2644" i="12"/>
  <c r="B2656" i="12"/>
  <c r="B2668" i="12"/>
  <c r="B2680" i="12"/>
  <c r="B2692" i="12"/>
  <c r="B2704" i="12"/>
  <c r="B2716" i="12"/>
  <c r="B2728" i="12"/>
  <c r="B2740" i="12"/>
  <c r="B2752" i="12"/>
  <c r="B2764" i="12"/>
  <c r="B2776" i="12"/>
  <c r="B2788" i="12"/>
  <c r="B2800" i="12"/>
  <c r="B2812" i="12"/>
  <c r="B2824" i="12"/>
  <c r="B2836" i="12"/>
  <c r="B2848" i="12"/>
  <c r="B2860" i="12"/>
  <c r="B2872" i="12"/>
  <c r="B2884" i="12"/>
  <c r="B2896" i="12"/>
  <c r="B2908" i="12"/>
  <c r="B2920" i="12"/>
  <c r="B2932" i="12"/>
  <c r="B2944" i="12"/>
  <c r="B2956" i="12"/>
  <c r="B2968" i="12"/>
  <c r="B2980" i="12"/>
  <c r="B2992" i="12"/>
  <c r="B3004" i="12"/>
  <c r="B3016" i="12"/>
  <c r="B3028" i="12"/>
  <c r="B3040" i="12"/>
  <c r="B3052" i="12"/>
  <c r="B3064" i="12"/>
  <c r="B3076" i="12"/>
  <c r="B3088" i="12"/>
  <c r="B3100" i="12"/>
  <c r="B3112" i="12"/>
  <c r="B3124" i="12"/>
  <c r="B3136" i="12"/>
  <c r="B3148" i="12"/>
  <c r="B3160" i="12"/>
  <c r="B3172" i="12"/>
  <c r="B3184" i="12"/>
  <c r="B3196" i="12"/>
  <c r="B3208" i="12"/>
  <c r="B3220" i="12"/>
  <c r="B3232" i="12"/>
  <c r="B3244" i="12"/>
  <c r="B3256" i="12"/>
  <c r="B3268" i="12"/>
  <c r="B3280" i="12"/>
  <c r="B3292" i="12"/>
  <c r="B3304" i="12"/>
  <c r="B3316" i="12"/>
  <c r="B3328" i="12"/>
  <c r="B3340" i="12"/>
  <c r="B3352" i="12"/>
  <c r="B3364" i="12"/>
  <c r="B3376" i="12"/>
  <c r="B3388" i="12"/>
  <c r="B3400" i="12"/>
  <c r="B3412" i="12"/>
  <c r="B3424" i="12"/>
  <c r="B3436" i="12"/>
  <c r="B3448" i="12"/>
  <c r="B3460" i="12"/>
  <c r="B3472" i="12"/>
  <c r="B3484" i="12"/>
  <c r="B3496" i="12"/>
  <c r="B3508" i="12"/>
  <c r="B112" i="12"/>
  <c r="B256" i="12"/>
  <c r="B400" i="12"/>
  <c r="B544" i="12"/>
  <c r="B688" i="12"/>
  <c r="B832" i="12"/>
  <c r="B976" i="12"/>
  <c r="B1120" i="12"/>
  <c r="B1264" i="12"/>
  <c r="B1397" i="12"/>
  <c r="B1505" i="12"/>
  <c r="B1558" i="12"/>
  <c r="B1606" i="12"/>
  <c r="B1644" i="12"/>
  <c r="B1680" i="12"/>
  <c r="B1716" i="12"/>
  <c r="B1752" i="12"/>
  <c r="B1788" i="12"/>
  <c r="B1824" i="12"/>
  <c r="B1860" i="12"/>
  <c r="B1896" i="12"/>
  <c r="B1932" i="12"/>
  <c r="B1968" i="12"/>
  <c r="B2004" i="12"/>
  <c r="B2040" i="12"/>
  <c r="B2076" i="12"/>
  <c r="B2112" i="12"/>
  <c r="B2148" i="12"/>
  <c r="B2184" i="12"/>
  <c r="B2220" i="12"/>
  <c r="B2254" i="12"/>
  <c r="B2279" i="12"/>
  <c r="B2303" i="12"/>
  <c r="B2326" i="12"/>
  <c r="B2348" i="12"/>
  <c r="B2365" i="12"/>
  <c r="B2387" i="12"/>
  <c r="B2409" i="12"/>
  <c r="B2430" i="12"/>
  <c r="B2447" i="12"/>
  <c r="B2465" i="12"/>
  <c r="B2481" i="12"/>
  <c r="B2496" i="12"/>
  <c r="B2511" i="12"/>
  <c r="B2524" i="12"/>
  <c r="B2537" i="12"/>
  <c r="B2549" i="12"/>
  <c r="B2561" i="12"/>
  <c r="B2573" i="12"/>
  <c r="B2585" i="12"/>
  <c r="B2597" i="12"/>
  <c r="B2609" i="12"/>
  <c r="B2621" i="12"/>
  <c r="B2633" i="12"/>
  <c r="B2645" i="12"/>
  <c r="B2657" i="12"/>
  <c r="B2669" i="12"/>
  <c r="B2681" i="12"/>
  <c r="B2693" i="12"/>
  <c r="B2705" i="12"/>
  <c r="B2717" i="12"/>
  <c r="B2729" i="12"/>
  <c r="B2741" i="12"/>
  <c r="B2753" i="12"/>
  <c r="B2765" i="12"/>
  <c r="B2777" i="12"/>
  <c r="B2789" i="12"/>
  <c r="B2801" i="12"/>
  <c r="B2813" i="12"/>
  <c r="B2825" i="12"/>
  <c r="B2837" i="12"/>
  <c r="B2849" i="12"/>
  <c r="B2861" i="12"/>
  <c r="B2873" i="12"/>
  <c r="B2885" i="12"/>
  <c r="B2897" i="12"/>
  <c r="B2909" i="12"/>
  <c r="B2921" i="12"/>
  <c r="B2933" i="12"/>
  <c r="B2945" i="12"/>
  <c r="B2957" i="12"/>
  <c r="B2969" i="12"/>
  <c r="B2981" i="12"/>
  <c r="B2993" i="12"/>
  <c r="B3005" i="12"/>
  <c r="B3017" i="12"/>
  <c r="B3029" i="12"/>
  <c r="B3041" i="12"/>
  <c r="B3053" i="12"/>
  <c r="B3065" i="12"/>
  <c r="B3077" i="12"/>
  <c r="B3089" i="12"/>
  <c r="B3101" i="12"/>
  <c r="B3113" i="12"/>
  <c r="B3125" i="12"/>
  <c r="B3137" i="12"/>
  <c r="B3149" i="12"/>
  <c r="B3161" i="12"/>
  <c r="B3173" i="12"/>
  <c r="B3185" i="12"/>
  <c r="B3197" i="12"/>
  <c r="B3209" i="12"/>
  <c r="B3221" i="12"/>
  <c r="B3233" i="12"/>
  <c r="B3245" i="12"/>
  <c r="B3257" i="12"/>
  <c r="B3269" i="12"/>
  <c r="B3281" i="12"/>
  <c r="B3293" i="12"/>
  <c r="B3305" i="12"/>
  <c r="B3317" i="12"/>
  <c r="B3329" i="12"/>
  <c r="B3341" i="12"/>
  <c r="B3353" i="12"/>
  <c r="B3365" i="12"/>
  <c r="B113" i="12"/>
  <c r="B257" i="12"/>
  <c r="B401" i="12"/>
  <c r="B545" i="12"/>
  <c r="B689" i="12"/>
  <c r="B833" i="12"/>
  <c r="B977" i="12"/>
  <c r="B1121" i="12"/>
  <c r="B1265" i="12"/>
  <c r="B1398" i="12"/>
  <c r="B1506" i="12"/>
  <c r="B1559" i="12"/>
  <c r="B1607" i="12"/>
  <c r="B1652" i="12"/>
  <c r="B1688" i="12"/>
  <c r="B1724" i="12"/>
  <c r="B1760" i="12"/>
  <c r="B1796" i="12"/>
  <c r="B1832" i="12"/>
  <c r="B1868" i="12"/>
  <c r="B1904" i="12"/>
  <c r="B1940" i="12"/>
  <c r="B1976" i="12"/>
  <c r="B2012" i="12"/>
  <c r="B2048" i="12"/>
  <c r="B2084" i="12"/>
  <c r="B2120" i="12"/>
  <c r="B2156" i="12"/>
  <c r="B2192" i="12"/>
  <c r="B2228" i="12"/>
  <c r="B2255" i="12"/>
  <c r="B2280" i="12"/>
  <c r="B2304" i="12"/>
  <c r="B2327" i="12"/>
  <c r="B2349" i="12"/>
  <c r="B2370" i="12"/>
  <c r="B2388" i="12"/>
  <c r="B2410" i="12"/>
  <c r="B2432" i="12"/>
  <c r="B2448" i="12"/>
  <c r="B2466" i="12"/>
  <c r="B2482" i="12"/>
  <c r="B2497" i="12"/>
  <c r="B2512" i="12"/>
  <c r="B2525" i="12"/>
  <c r="B2538" i="12"/>
  <c r="B2550" i="12"/>
  <c r="B2562" i="12"/>
  <c r="B2574" i="12"/>
  <c r="B2586" i="12"/>
  <c r="B2598" i="12"/>
  <c r="B2610" i="12"/>
  <c r="B2622" i="12"/>
  <c r="B2634" i="12"/>
  <c r="B2646" i="12"/>
  <c r="B2658" i="12"/>
  <c r="B2670" i="12"/>
  <c r="B2682" i="12"/>
  <c r="B2694" i="12"/>
  <c r="B2706" i="12"/>
  <c r="B2718" i="12"/>
  <c r="B2730" i="12"/>
  <c r="B2742" i="12"/>
  <c r="B2754" i="12"/>
  <c r="B2766" i="12"/>
  <c r="B2778" i="12"/>
  <c r="B2790" i="12"/>
  <c r="B2802" i="12"/>
  <c r="B2814" i="12"/>
  <c r="B2826" i="12"/>
  <c r="B2838" i="12"/>
  <c r="B2850" i="12"/>
  <c r="B2862" i="12"/>
  <c r="B2874" i="12"/>
  <c r="B2886" i="12"/>
  <c r="B2898" i="12"/>
  <c r="B2910" i="12"/>
  <c r="B2922" i="12"/>
  <c r="B2934" i="12"/>
  <c r="B2946" i="12"/>
  <c r="B2958" i="12"/>
  <c r="B2970" i="12"/>
  <c r="B2982" i="12"/>
  <c r="B2994" i="12"/>
  <c r="B3006" i="12"/>
  <c r="B3018" i="12"/>
  <c r="B3030" i="12"/>
  <c r="B3042" i="12"/>
  <c r="B3054" i="12"/>
  <c r="B3066" i="12"/>
  <c r="B3078" i="12"/>
  <c r="B3090" i="12"/>
  <c r="B3102" i="12"/>
  <c r="B3114" i="12"/>
  <c r="B3126" i="12"/>
  <c r="B3138" i="12"/>
  <c r="B3150" i="12"/>
  <c r="B3162" i="12"/>
  <c r="B3174" i="12"/>
  <c r="B3186" i="12"/>
  <c r="B3198" i="12"/>
  <c r="B3210" i="12"/>
  <c r="B3222" i="12"/>
  <c r="B3234" i="12"/>
  <c r="B3246" i="12"/>
  <c r="B3258" i="12"/>
  <c r="B3270" i="12"/>
  <c r="B3282" i="12"/>
  <c r="B3294" i="12"/>
  <c r="B114" i="12"/>
  <c r="B258" i="12"/>
  <c r="B402" i="12"/>
  <c r="B546" i="12"/>
  <c r="B690" i="12"/>
  <c r="B834" i="12"/>
  <c r="B978" i="12"/>
  <c r="B1122" i="12"/>
  <c r="B1266" i="12"/>
  <c r="B1403" i="12"/>
  <c r="B1507" i="12"/>
  <c r="B1560" i="12"/>
  <c r="B1608" i="12"/>
  <c r="B1654" i="12"/>
  <c r="B1690" i="12"/>
  <c r="B1726" i="12"/>
  <c r="B1762" i="12"/>
  <c r="B1798" i="12"/>
  <c r="B1834" i="12"/>
  <c r="B1870" i="12"/>
  <c r="B1906" i="12"/>
  <c r="B1942" i="12"/>
  <c r="B1978" i="12"/>
  <c r="B2014" i="12"/>
  <c r="B2050" i="12"/>
  <c r="B2086" i="12"/>
  <c r="B2122" i="12"/>
  <c r="B2158" i="12"/>
  <c r="B2194" i="12"/>
  <c r="B2230" i="12"/>
  <c r="B2256" i="12"/>
  <c r="B2281" i="12"/>
  <c r="B2305" i="12"/>
  <c r="B2328" i="12"/>
  <c r="B2350" i="12"/>
  <c r="B2372" i="12"/>
  <c r="B2389" i="12"/>
  <c r="B2411" i="12"/>
  <c r="B2433" i="12"/>
  <c r="B2449" i="12"/>
  <c r="B2468" i="12"/>
  <c r="B2483" i="12"/>
  <c r="B2499" i="12"/>
  <c r="B2513" i="12"/>
  <c r="B2526" i="12"/>
  <c r="B2539" i="12"/>
  <c r="B2551" i="12"/>
  <c r="B2563" i="12"/>
  <c r="B2575" i="12"/>
  <c r="B2587" i="12"/>
  <c r="B2599" i="12"/>
  <c r="B2611" i="12"/>
  <c r="B2623" i="12"/>
  <c r="B2635" i="12"/>
  <c r="B2647" i="12"/>
  <c r="B2659" i="12"/>
  <c r="B2671" i="12"/>
  <c r="B2683" i="12"/>
  <c r="B2695" i="12"/>
  <c r="B2707" i="12"/>
  <c r="B2719" i="12"/>
  <c r="B2731" i="12"/>
  <c r="B2743" i="12"/>
  <c r="B2755" i="12"/>
  <c r="B2767" i="12"/>
  <c r="B2779" i="12"/>
  <c r="B2791" i="12"/>
  <c r="B2803" i="12"/>
  <c r="B2815" i="12"/>
  <c r="B2827" i="12"/>
  <c r="B2839" i="12"/>
  <c r="B2851" i="12"/>
  <c r="B2863" i="12"/>
  <c r="B2875" i="12"/>
  <c r="B2887" i="12"/>
  <c r="B2899" i="12"/>
  <c r="B2911" i="12"/>
  <c r="B2923" i="12"/>
  <c r="B2935" i="12"/>
  <c r="B2947" i="12"/>
  <c r="B2959" i="12"/>
  <c r="B2971" i="12"/>
  <c r="B2983" i="12"/>
  <c r="B2995" i="12"/>
  <c r="B3007" i="12"/>
  <c r="B3019" i="12"/>
  <c r="B3031" i="12"/>
  <c r="B3043" i="12"/>
  <c r="B3055" i="12"/>
  <c r="B3067" i="12"/>
  <c r="B3079" i="12"/>
  <c r="B3091" i="12"/>
  <c r="B3103" i="12"/>
  <c r="B3115" i="12"/>
  <c r="B3127" i="12"/>
  <c r="B3139" i="12"/>
  <c r="B3151" i="12"/>
  <c r="B3163" i="12"/>
  <c r="B3175" i="12"/>
  <c r="B3187" i="12"/>
  <c r="B3199" i="12"/>
  <c r="B3211" i="12"/>
  <c r="B3223" i="12"/>
  <c r="B3235" i="12"/>
  <c r="B3247" i="12"/>
  <c r="B3259" i="12"/>
  <c r="B150" i="12"/>
  <c r="B294" i="12"/>
  <c r="B438" i="12"/>
  <c r="B582" i="12"/>
  <c r="B726" i="12"/>
  <c r="B870" i="12"/>
  <c r="B1014" i="12"/>
  <c r="B1158" i="12"/>
  <c r="B1302" i="12"/>
  <c r="B1432" i="12"/>
  <c r="B1522" i="12"/>
  <c r="B1572" i="12"/>
  <c r="B1620" i="12"/>
  <c r="B1664" i="12"/>
  <c r="B1700" i="12"/>
  <c r="B1736" i="12"/>
  <c r="B1772" i="12"/>
  <c r="B1808" i="12"/>
  <c r="B1844" i="12"/>
  <c r="B1880" i="12"/>
  <c r="B1916" i="12"/>
  <c r="B1952" i="12"/>
  <c r="B1988" i="12"/>
  <c r="B2024" i="12"/>
  <c r="B2060" i="12"/>
  <c r="B2096" i="12"/>
  <c r="B2132" i="12"/>
  <c r="B2168" i="12"/>
  <c r="B2204" i="12"/>
  <c r="B2233" i="12"/>
  <c r="B2266" i="12"/>
  <c r="B2290" i="12"/>
  <c r="B2314" i="12"/>
  <c r="B2336" i="12"/>
  <c r="B2353" i="12"/>
  <c r="B2375" i="12"/>
  <c r="B2397" i="12"/>
  <c r="B2418" i="12"/>
  <c r="B2436" i="12"/>
  <c r="B2456" i="12"/>
  <c r="B2471" i="12"/>
  <c r="B2488" i="12"/>
  <c r="B2502" i="12"/>
  <c r="B2517" i="12"/>
  <c r="B2530" i="12"/>
  <c r="B2542" i="12"/>
  <c r="B2554" i="12"/>
  <c r="B2566" i="12"/>
  <c r="B2578" i="12"/>
  <c r="B2590" i="12"/>
  <c r="B2602" i="12"/>
  <c r="B2614" i="12"/>
  <c r="B2626" i="12"/>
  <c r="B2638" i="12"/>
  <c r="B2650" i="12"/>
  <c r="B2662" i="12"/>
  <c r="B2674" i="12"/>
  <c r="B2686" i="12"/>
  <c r="B2698" i="12"/>
  <c r="B2710" i="12"/>
  <c r="B2722" i="12"/>
  <c r="B2734" i="12"/>
  <c r="B2746" i="12"/>
  <c r="B2758" i="12"/>
  <c r="B2770" i="12"/>
  <c r="B2782" i="12"/>
  <c r="B2794" i="12"/>
  <c r="B2806" i="12"/>
  <c r="B2818" i="12"/>
  <c r="B2830" i="12"/>
  <c r="B2842" i="12"/>
  <c r="B2854" i="12"/>
  <c r="B2866" i="12"/>
  <c r="B2878" i="12"/>
  <c r="B2890" i="12"/>
  <c r="B2902" i="12"/>
  <c r="B2914" i="12"/>
  <c r="B2926" i="12"/>
  <c r="B2938" i="12"/>
  <c r="B2950" i="12"/>
  <c r="B2962" i="12"/>
  <c r="B2974" i="12"/>
  <c r="B2986" i="12"/>
  <c r="B2998" i="12"/>
  <c r="B3010" i="12"/>
  <c r="B3022" i="12"/>
  <c r="B3034" i="12"/>
  <c r="B3046" i="12"/>
  <c r="B3058" i="12"/>
  <c r="B3070" i="12"/>
  <c r="B3082" i="12"/>
  <c r="B3094" i="12"/>
  <c r="B3106" i="12"/>
  <c r="B3118" i="12"/>
  <c r="B3130" i="12"/>
  <c r="B3142" i="12"/>
  <c r="B3154" i="12"/>
  <c r="B3166" i="12"/>
  <c r="B3178" i="12"/>
  <c r="B3190" i="12"/>
  <c r="B3202" i="12"/>
  <c r="B3214" i="12"/>
  <c r="B3226" i="12"/>
  <c r="B3238" i="12"/>
  <c r="B3250" i="12"/>
  <c r="B3262" i="12"/>
  <c r="B148" i="12"/>
  <c r="B1012" i="12"/>
  <c r="B1618" i="12"/>
  <c r="B1835" i="12"/>
  <c r="B2051" i="12"/>
  <c r="B2257" i="12"/>
  <c r="B2394" i="12"/>
  <c r="B2500" i="12"/>
  <c r="B2576" i="12"/>
  <c r="B2648" i="12"/>
  <c r="B2720" i="12"/>
  <c r="B2792" i="12"/>
  <c r="B2864" i="12"/>
  <c r="B2936" i="12"/>
  <c r="B3008" i="12"/>
  <c r="B3080" i="12"/>
  <c r="B3152" i="12"/>
  <c r="B3224" i="12"/>
  <c r="B3274" i="12"/>
  <c r="B3306" i="12"/>
  <c r="B3330" i="12"/>
  <c r="B3354" i="12"/>
  <c r="B3377" i="12"/>
  <c r="B3393" i="12"/>
  <c r="B3413" i="12"/>
  <c r="B3429" i="12"/>
  <c r="B3449" i="12"/>
  <c r="B3465" i="12"/>
  <c r="B3482" i="12"/>
  <c r="B3498" i="12"/>
  <c r="B3513" i="12"/>
  <c r="B3526" i="12"/>
  <c r="B3539" i="12"/>
  <c r="B3551" i="12"/>
  <c r="B3563" i="12"/>
  <c r="B3575" i="12"/>
  <c r="B3587" i="12"/>
  <c r="B3599" i="12"/>
  <c r="B3611" i="12"/>
  <c r="B3623" i="12"/>
  <c r="B3635" i="12"/>
  <c r="B3647" i="12"/>
  <c r="B3659" i="12"/>
  <c r="B3671" i="12"/>
  <c r="B3683" i="12"/>
  <c r="B3695" i="12"/>
  <c r="B3707" i="12"/>
  <c r="B3719" i="12"/>
  <c r="B3731" i="12"/>
  <c r="B3743" i="12"/>
  <c r="B3755" i="12"/>
  <c r="B3767" i="12"/>
  <c r="B3779" i="12"/>
  <c r="B3791" i="12"/>
  <c r="B3803" i="12"/>
  <c r="B3815" i="12"/>
  <c r="B3827" i="12"/>
  <c r="B3839" i="12"/>
  <c r="B3851" i="12"/>
  <c r="B3863" i="12"/>
  <c r="B3875" i="12"/>
  <c r="B3887" i="12"/>
  <c r="B3899" i="12"/>
  <c r="B3911" i="12"/>
  <c r="B3923" i="12"/>
  <c r="B3935" i="12"/>
  <c r="B3947" i="12"/>
  <c r="B3959" i="12"/>
  <c r="B3971" i="12"/>
  <c r="B3983" i="12"/>
  <c r="B3995" i="12"/>
  <c r="B4007" i="12"/>
  <c r="B4019" i="12"/>
  <c r="B4031" i="12"/>
  <c r="B4043" i="12"/>
  <c r="B4055" i="12"/>
  <c r="B4067" i="12"/>
  <c r="B4079" i="12"/>
  <c r="B4091" i="12"/>
  <c r="B4103" i="12"/>
  <c r="B4115" i="12"/>
  <c r="B4127" i="12"/>
  <c r="B4139" i="12"/>
  <c r="B4151" i="12"/>
  <c r="B4163" i="12"/>
  <c r="B4175" i="12"/>
  <c r="B4187" i="12"/>
  <c r="B4199" i="12"/>
  <c r="B4211" i="12"/>
  <c r="B4223" i="12"/>
  <c r="B4235" i="12"/>
  <c r="B4167" i="12"/>
  <c r="B4227" i="12"/>
  <c r="B4218" i="12"/>
  <c r="B4183" i="12"/>
  <c r="B3836" i="12"/>
  <c r="B4028" i="12"/>
  <c r="B4160" i="12"/>
  <c r="B2373" i="12"/>
  <c r="B3346" i="12"/>
  <c r="B3495" i="12"/>
  <c r="B3609" i="12"/>
  <c r="B3705" i="12"/>
  <c r="B3825" i="12"/>
  <c r="B3921" i="12"/>
  <c r="B4029" i="12"/>
  <c r="B4137" i="12"/>
  <c r="B1571" i="12"/>
  <c r="B3303" i="12"/>
  <c r="B3550" i="12"/>
  <c r="B3658" i="12"/>
  <c r="B3778" i="12"/>
  <c r="B3910" i="12"/>
  <c r="B4030" i="12"/>
  <c r="B4150" i="12"/>
  <c r="B149" i="12"/>
  <c r="B1013" i="12"/>
  <c r="B1619" i="12"/>
  <c r="B1836" i="12"/>
  <c r="B2052" i="12"/>
  <c r="B2264" i="12"/>
  <c r="B2396" i="12"/>
  <c r="B2501" i="12"/>
  <c r="B2577" i="12"/>
  <c r="B2649" i="12"/>
  <c r="B2721" i="12"/>
  <c r="B2793" i="12"/>
  <c r="B2865" i="12"/>
  <c r="B2937" i="12"/>
  <c r="B3009" i="12"/>
  <c r="B3081" i="12"/>
  <c r="B3153" i="12"/>
  <c r="B3225" i="12"/>
  <c r="B3279" i="12"/>
  <c r="B3307" i="12"/>
  <c r="B3331" i="12"/>
  <c r="B3355" i="12"/>
  <c r="B3378" i="12"/>
  <c r="B3394" i="12"/>
  <c r="B3414" i="12"/>
  <c r="B3430" i="12"/>
  <c r="B3450" i="12"/>
  <c r="B3466" i="12"/>
  <c r="B3483" i="12"/>
  <c r="B3499" i="12"/>
  <c r="B3514" i="12"/>
  <c r="B3528" i="12"/>
  <c r="B3540" i="12"/>
  <c r="B3552" i="12"/>
  <c r="B3564" i="12"/>
  <c r="B3576" i="12"/>
  <c r="B3588" i="12"/>
  <c r="B3600" i="12"/>
  <c r="B3612" i="12"/>
  <c r="B3624" i="12"/>
  <c r="B3636" i="12"/>
  <c r="B3648" i="12"/>
  <c r="B3660" i="12"/>
  <c r="B3672" i="12"/>
  <c r="B3684" i="12"/>
  <c r="B3696" i="12"/>
  <c r="B3708" i="12"/>
  <c r="B3720" i="12"/>
  <c r="B3732" i="12"/>
  <c r="B3744" i="12"/>
  <c r="B3756" i="12"/>
  <c r="B3768" i="12"/>
  <c r="B3780" i="12"/>
  <c r="B3792" i="12"/>
  <c r="B3804" i="12"/>
  <c r="B3816" i="12"/>
  <c r="B3828" i="12"/>
  <c r="B3840" i="12"/>
  <c r="B3852" i="12"/>
  <c r="B3864" i="12"/>
  <c r="B3876" i="12"/>
  <c r="B3888" i="12"/>
  <c r="B3900" i="12"/>
  <c r="B3912" i="12"/>
  <c r="B3924" i="12"/>
  <c r="B3936" i="12"/>
  <c r="B3948" i="12"/>
  <c r="B3960" i="12"/>
  <c r="B3972" i="12"/>
  <c r="B3984" i="12"/>
  <c r="B3996" i="12"/>
  <c r="B4008" i="12"/>
  <c r="B4020" i="12"/>
  <c r="B4032" i="12"/>
  <c r="B4044" i="12"/>
  <c r="B4056" i="12"/>
  <c r="B4068" i="12"/>
  <c r="B4080" i="12"/>
  <c r="B4092" i="12"/>
  <c r="B4104" i="12"/>
  <c r="B4116" i="12"/>
  <c r="B4128" i="12"/>
  <c r="B4140" i="12"/>
  <c r="B4152" i="12"/>
  <c r="B4164" i="12"/>
  <c r="B4176" i="12"/>
  <c r="B4188" i="12"/>
  <c r="B4200" i="12"/>
  <c r="B4212" i="12"/>
  <c r="B4224" i="12"/>
  <c r="B4236" i="12"/>
  <c r="B4155" i="12"/>
  <c r="B4215" i="12"/>
  <c r="B4147" i="12"/>
  <c r="B4231" i="12"/>
  <c r="B3896" i="12"/>
  <c r="B4004" i="12"/>
  <c r="B4124" i="12"/>
  <c r="B868" i="12"/>
  <c r="B3573" i="12"/>
  <c r="B3765" i="12"/>
  <c r="B3933" i="12"/>
  <c r="B4089" i="12"/>
  <c r="B4209" i="12"/>
  <c r="B2565" i="12"/>
  <c r="B2853" i="12"/>
  <c r="B3327" i="12"/>
  <c r="B3428" i="12"/>
  <c r="B3538" i="12"/>
  <c r="B3634" i="12"/>
  <c r="B3754" i="12"/>
  <c r="B3886" i="12"/>
  <c r="B4006" i="12"/>
  <c r="B4114" i="12"/>
  <c r="B4222" i="12"/>
  <c r="B292" i="12"/>
  <c r="B1156" i="12"/>
  <c r="B1655" i="12"/>
  <c r="B1871" i="12"/>
  <c r="B2087" i="12"/>
  <c r="B2286" i="12"/>
  <c r="B2412" i="12"/>
  <c r="B2514" i="12"/>
  <c r="B2588" i="12"/>
  <c r="B2660" i="12"/>
  <c r="B2732" i="12"/>
  <c r="B2804" i="12"/>
  <c r="B2876" i="12"/>
  <c r="B2948" i="12"/>
  <c r="B3020" i="12"/>
  <c r="B3092" i="12"/>
  <c r="B3164" i="12"/>
  <c r="B3236" i="12"/>
  <c r="B3283" i="12"/>
  <c r="B3308" i="12"/>
  <c r="B3332" i="12"/>
  <c r="B3356" i="12"/>
  <c r="B3379" i="12"/>
  <c r="B3398" i="12"/>
  <c r="B3415" i="12"/>
  <c r="B3434" i="12"/>
  <c r="B3451" i="12"/>
  <c r="B3468" i="12"/>
  <c r="B3485" i="12"/>
  <c r="B3500" i="12"/>
  <c r="B3516" i="12"/>
  <c r="B3529" i="12"/>
  <c r="B3541" i="12"/>
  <c r="B3553" i="12"/>
  <c r="B3565" i="12"/>
  <c r="B3577" i="12"/>
  <c r="B3589" i="12"/>
  <c r="B3601" i="12"/>
  <c r="B3613" i="12"/>
  <c r="B3625" i="12"/>
  <c r="B3637" i="12"/>
  <c r="B3649" i="12"/>
  <c r="B3661" i="12"/>
  <c r="B3673" i="12"/>
  <c r="B3685" i="12"/>
  <c r="B3697" i="12"/>
  <c r="B3709" i="12"/>
  <c r="B3721" i="12"/>
  <c r="B3733" i="12"/>
  <c r="B3745" i="12"/>
  <c r="B3757" i="12"/>
  <c r="B3769" i="12"/>
  <c r="B3781" i="12"/>
  <c r="B3793" i="12"/>
  <c r="B3805" i="12"/>
  <c r="B3817" i="12"/>
  <c r="B3829" i="12"/>
  <c r="B3841" i="12"/>
  <c r="B3853" i="12"/>
  <c r="B3865" i="12"/>
  <c r="B3877" i="12"/>
  <c r="B3889" i="12"/>
  <c r="B3901" i="12"/>
  <c r="B3913" i="12"/>
  <c r="B3925" i="12"/>
  <c r="B3937" i="12"/>
  <c r="B3949" i="12"/>
  <c r="B3961" i="12"/>
  <c r="B3973" i="12"/>
  <c r="B3985" i="12"/>
  <c r="B3997" i="12"/>
  <c r="B4009" i="12"/>
  <c r="B4021" i="12"/>
  <c r="B4033" i="12"/>
  <c r="B4045" i="12"/>
  <c r="B4057" i="12"/>
  <c r="B4069" i="12"/>
  <c r="B4081" i="12"/>
  <c r="B4093" i="12"/>
  <c r="B4105" i="12"/>
  <c r="B4117" i="12"/>
  <c r="B4129" i="12"/>
  <c r="B4141" i="12"/>
  <c r="B4153" i="12"/>
  <c r="B4165" i="12"/>
  <c r="B4177" i="12"/>
  <c r="B4189" i="12"/>
  <c r="B4201" i="12"/>
  <c r="B4213" i="12"/>
  <c r="B4225" i="12"/>
  <c r="B4237" i="12"/>
  <c r="B4143" i="12"/>
  <c r="B4203" i="12"/>
  <c r="B4206" i="12"/>
  <c r="B4171" i="12"/>
  <c r="B3848" i="12"/>
  <c r="B3992" i="12"/>
  <c r="B4112" i="12"/>
  <c r="B4232" i="12"/>
  <c r="B2708" i="12"/>
  <c r="B2780" i="12"/>
  <c r="B2924" i="12"/>
  <c r="B3068" i="12"/>
  <c r="B3391" i="12"/>
  <c r="B3478" i="12"/>
  <c r="B3585" i="12"/>
  <c r="B3681" i="12"/>
  <c r="B3789" i="12"/>
  <c r="B3885" i="12"/>
  <c r="B4041" i="12"/>
  <c r="B4173" i="12"/>
  <c r="B2016" i="12"/>
  <c r="B3141" i="12"/>
  <c r="B3464" i="12"/>
  <c r="B3586" i="12"/>
  <c r="B3706" i="12"/>
  <c r="B3814" i="12"/>
  <c r="B3934" i="12"/>
  <c r="B4042" i="12"/>
  <c r="B4186" i="12"/>
  <c r="B293" i="12"/>
  <c r="B1157" i="12"/>
  <c r="B1656" i="12"/>
  <c r="B1872" i="12"/>
  <c r="B2088" i="12"/>
  <c r="B2288" i="12"/>
  <c r="B2413" i="12"/>
  <c r="B2516" i="12"/>
  <c r="B2589" i="12"/>
  <c r="B2661" i="12"/>
  <c r="B2733" i="12"/>
  <c r="B2805" i="12"/>
  <c r="B2877" i="12"/>
  <c r="B2949" i="12"/>
  <c r="B3021" i="12"/>
  <c r="B3093" i="12"/>
  <c r="B3165" i="12"/>
  <c r="B3237" i="12"/>
  <c r="B3284" i="12"/>
  <c r="B3309" i="12"/>
  <c r="B3333" i="12"/>
  <c r="B3357" i="12"/>
  <c r="B3380" i="12"/>
  <c r="B3399" i="12"/>
  <c r="B3416" i="12"/>
  <c r="B3435" i="12"/>
  <c r="B3452" i="12"/>
  <c r="B3470" i="12"/>
  <c r="B3486" i="12"/>
  <c r="B3501" i="12"/>
  <c r="B3517" i="12"/>
  <c r="B3530" i="12"/>
  <c r="B3542" i="12"/>
  <c r="B3554" i="12"/>
  <c r="B3566" i="12"/>
  <c r="B3578" i="12"/>
  <c r="B3590" i="12"/>
  <c r="B3602" i="12"/>
  <c r="B3614" i="12"/>
  <c r="B3626" i="12"/>
  <c r="B3638" i="12"/>
  <c r="B3650" i="12"/>
  <c r="B3662" i="12"/>
  <c r="B3674" i="12"/>
  <c r="B3686" i="12"/>
  <c r="B3698" i="12"/>
  <c r="B3710" i="12"/>
  <c r="B3722" i="12"/>
  <c r="B3734" i="12"/>
  <c r="B3746" i="12"/>
  <c r="B3758" i="12"/>
  <c r="B3770" i="12"/>
  <c r="B3782" i="12"/>
  <c r="B3794" i="12"/>
  <c r="B3806" i="12"/>
  <c r="B3818" i="12"/>
  <c r="B3830" i="12"/>
  <c r="B3842" i="12"/>
  <c r="B3854" i="12"/>
  <c r="B3866" i="12"/>
  <c r="B3878" i="12"/>
  <c r="B3890" i="12"/>
  <c r="B3902" i="12"/>
  <c r="B3914" i="12"/>
  <c r="B3926" i="12"/>
  <c r="B3938" i="12"/>
  <c r="B3950" i="12"/>
  <c r="B3962" i="12"/>
  <c r="B3974" i="12"/>
  <c r="B3986" i="12"/>
  <c r="B3998" i="12"/>
  <c r="B4010" i="12"/>
  <c r="B4022" i="12"/>
  <c r="B4034" i="12"/>
  <c r="B4046" i="12"/>
  <c r="B4058" i="12"/>
  <c r="B4070" i="12"/>
  <c r="B4082" i="12"/>
  <c r="B4094" i="12"/>
  <c r="B4106" i="12"/>
  <c r="B4118" i="12"/>
  <c r="B4130" i="12"/>
  <c r="B4142" i="12"/>
  <c r="B4154" i="12"/>
  <c r="B4166" i="12"/>
  <c r="B4178" i="12"/>
  <c r="B4190" i="12"/>
  <c r="B4202" i="12"/>
  <c r="B4214" i="12"/>
  <c r="B4226" i="12"/>
  <c r="B4238" i="12"/>
  <c r="B4179" i="12"/>
  <c r="B4239" i="12"/>
  <c r="B4111" i="12"/>
  <c r="B3860" i="12"/>
  <c r="B4052" i="12"/>
  <c r="B4148" i="12"/>
  <c r="B1570" i="12"/>
  <c r="B3561" i="12"/>
  <c r="B3777" i="12"/>
  <c r="B3969" i="12"/>
  <c r="B4101" i="12"/>
  <c r="B4233" i="12"/>
  <c r="B2637" i="12"/>
  <c r="B2781" i="12"/>
  <c r="B3069" i="12"/>
  <c r="B3392" i="12"/>
  <c r="B3525" i="12"/>
  <c r="B3646" i="12"/>
  <c r="B3766" i="12"/>
  <c r="B3874" i="12"/>
  <c r="B3994" i="12"/>
  <c r="B4102" i="12"/>
  <c r="B4234" i="12"/>
  <c r="B436" i="12"/>
  <c r="B1300" i="12"/>
  <c r="B1691" i="12"/>
  <c r="B1907" i="12"/>
  <c r="B2123" i="12"/>
  <c r="B2310" i="12"/>
  <c r="B2434" i="12"/>
  <c r="B2528" i="12"/>
  <c r="B2600" i="12"/>
  <c r="B2672" i="12"/>
  <c r="B2744" i="12"/>
  <c r="B2816" i="12"/>
  <c r="B2888" i="12"/>
  <c r="B2960" i="12"/>
  <c r="B3032" i="12"/>
  <c r="B3104" i="12"/>
  <c r="B3176" i="12"/>
  <c r="B3248" i="12"/>
  <c r="B3285" i="12"/>
  <c r="B3310" i="12"/>
  <c r="B3334" i="12"/>
  <c r="B3358" i="12"/>
  <c r="B3381" i="12"/>
  <c r="B3401" i="12"/>
  <c r="B3417" i="12"/>
  <c r="B3437" i="12"/>
  <c r="B3453" i="12"/>
  <c r="B3471" i="12"/>
  <c r="B3487" i="12"/>
  <c r="B3502" i="12"/>
  <c r="B3518" i="12"/>
  <c r="B3531" i="12"/>
  <c r="B3543" i="12"/>
  <c r="B3555" i="12"/>
  <c r="B3567" i="12"/>
  <c r="B3579" i="12"/>
  <c r="B3591" i="12"/>
  <c r="B3603" i="12"/>
  <c r="B3615" i="12"/>
  <c r="B3627" i="12"/>
  <c r="B3639" i="12"/>
  <c r="B3651" i="12"/>
  <c r="B3663" i="12"/>
  <c r="B3675" i="12"/>
  <c r="B3687" i="12"/>
  <c r="B3699" i="12"/>
  <c r="B3711" i="12"/>
  <c r="B3723" i="12"/>
  <c r="B3735" i="12"/>
  <c r="B3747" i="12"/>
  <c r="B3759" i="12"/>
  <c r="B3771" i="12"/>
  <c r="B3783" i="12"/>
  <c r="B3795" i="12"/>
  <c r="B3807" i="12"/>
  <c r="B3819" i="12"/>
  <c r="B3831" i="12"/>
  <c r="B3843" i="12"/>
  <c r="B3855" i="12"/>
  <c r="B3867" i="12"/>
  <c r="B3879" i="12"/>
  <c r="B3891" i="12"/>
  <c r="B3903" i="12"/>
  <c r="B3915" i="12"/>
  <c r="B3927" i="12"/>
  <c r="B3939" i="12"/>
  <c r="B3951" i="12"/>
  <c r="B3963" i="12"/>
  <c r="B3975" i="12"/>
  <c r="B3987" i="12"/>
  <c r="B3999" i="12"/>
  <c r="B4011" i="12"/>
  <c r="B4023" i="12"/>
  <c r="B4035" i="12"/>
  <c r="B4047" i="12"/>
  <c r="B4059" i="12"/>
  <c r="B4071" i="12"/>
  <c r="B4083" i="12"/>
  <c r="B4095" i="12"/>
  <c r="B4107" i="12"/>
  <c r="B4119" i="12"/>
  <c r="B4131" i="12"/>
  <c r="B4191" i="12"/>
  <c r="B4135" i="12"/>
  <c r="B3872" i="12"/>
  <c r="B3980" i="12"/>
  <c r="B4136" i="12"/>
  <c r="B2484" i="12"/>
  <c r="B3212" i="12"/>
  <c r="B3446" i="12"/>
  <c r="B3657" i="12"/>
  <c r="B3813" i="12"/>
  <c r="B3993" i="12"/>
  <c r="B4125" i="12"/>
  <c r="B2374" i="12"/>
  <c r="B3273" i="12"/>
  <c r="B3512" i="12"/>
  <c r="B3670" i="12"/>
  <c r="B3826" i="12"/>
  <c r="B3982" i="12"/>
  <c r="B4126" i="12"/>
  <c r="B437" i="12"/>
  <c r="B1301" i="12"/>
  <c r="B1692" i="12"/>
  <c r="B1908" i="12"/>
  <c r="B2124" i="12"/>
  <c r="B2312" i="12"/>
  <c r="B2435" i="12"/>
  <c r="B2529" i="12"/>
  <c r="B2601" i="12"/>
  <c r="B2673" i="12"/>
  <c r="B2745" i="12"/>
  <c r="B2817" i="12"/>
  <c r="B2889" i="12"/>
  <c r="B2961" i="12"/>
  <c r="B3033" i="12"/>
  <c r="B3105" i="12"/>
  <c r="B3177" i="12"/>
  <c r="B3249" i="12"/>
  <c r="B3286" i="12"/>
  <c r="B3315" i="12"/>
  <c r="B3339" i="12"/>
  <c r="B3363" i="12"/>
  <c r="B3382" i="12"/>
  <c r="B3402" i="12"/>
  <c r="B3418" i="12"/>
  <c r="B3438" i="12"/>
  <c r="B3454" i="12"/>
  <c r="B3473" i="12"/>
  <c r="B3488" i="12"/>
  <c r="B3504" i="12"/>
  <c r="B3519" i="12"/>
  <c r="B3532" i="12"/>
  <c r="B3544" i="12"/>
  <c r="B3556" i="12"/>
  <c r="B3568" i="12"/>
  <c r="B3580" i="12"/>
  <c r="B3592" i="12"/>
  <c r="B3604" i="12"/>
  <c r="B3616" i="12"/>
  <c r="B3628" i="12"/>
  <c r="B3640" i="12"/>
  <c r="B3652" i="12"/>
  <c r="B3664" i="12"/>
  <c r="B3676" i="12"/>
  <c r="B3688" i="12"/>
  <c r="B3700" i="12"/>
  <c r="B3712" i="12"/>
  <c r="B3724" i="12"/>
  <c r="B3736" i="12"/>
  <c r="B3748" i="12"/>
  <c r="B3760" i="12"/>
  <c r="B3772" i="12"/>
  <c r="B3784" i="12"/>
  <c r="B3796" i="12"/>
  <c r="B3808" i="12"/>
  <c r="B3820" i="12"/>
  <c r="B3832" i="12"/>
  <c r="B3844" i="12"/>
  <c r="B3856" i="12"/>
  <c r="B3868" i="12"/>
  <c r="B3880" i="12"/>
  <c r="B3892" i="12"/>
  <c r="B3904" i="12"/>
  <c r="B3916" i="12"/>
  <c r="B3928" i="12"/>
  <c r="B3940" i="12"/>
  <c r="B3952" i="12"/>
  <c r="B3964" i="12"/>
  <c r="B3976" i="12"/>
  <c r="B3988" i="12"/>
  <c r="B4000" i="12"/>
  <c r="B4012" i="12"/>
  <c r="B4024" i="12"/>
  <c r="B4036" i="12"/>
  <c r="B4048" i="12"/>
  <c r="B4060" i="12"/>
  <c r="B4072" i="12"/>
  <c r="B4084" i="12"/>
  <c r="B4096" i="12"/>
  <c r="B4108" i="12"/>
  <c r="B4120" i="12"/>
  <c r="B4132" i="12"/>
  <c r="B4144" i="12"/>
  <c r="B4156" i="12"/>
  <c r="B4168" i="12"/>
  <c r="B4180" i="12"/>
  <c r="B4192" i="12"/>
  <c r="B4204" i="12"/>
  <c r="B4216" i="12"/>
  <c r="B4228" i="12"/>
  <c r="B4240" i="12"/>
  <c r="B4169" i="12"/>
  <c r="B4193" i="12"/>
  <c r="B4217" i="12"/>
  <c r="B4086" i="12"/>
  <c r="B4122" i="12"/>
  <c r="B4158" i="12"/>
  <c r="B4194" i="12"/>
  <c r="B4123" i="12"/>
  <c r="B4219" i="12"/>
  <c r="B3884" i="12"/>
  <c r="B3968" i="12"/>
  <c r="B4088" i="12"/>
  <c r="B4220" i="12"/>
  <c r="B2636" i="12"/>
  <c r="B3140" i="12"/>
  <c r="B3410" i="12"/>
  <c r="B3549" i="12"/>
  <c r="B3669" i="12"/>
  <c r="B3753" i="12"/>
  <c r="B3849" i="12"/>
  <c r="B3909" i="12"/>
  <c r="B4005" i="12"/>
  <c r="B4113" i="12"/>
  <c r="B4221" i="12"/>
  <c r="B2709" i="12"/>
  <c r="B3351" i="12"/>
  <c r="B3497" i="12"/>
  <c r="B3622" i="12"/>
  <c r="B3742" i="12"/>
  <c r="B3862" i="12"/>
  <c r="B3970" i="12"/>
  <c r="B4090" i="12"/>
  <c r="B4198" i="12"/>
  <c r="B580" i="12"/>
  <c r="B1427" i="12"/>
  <c r="B1727" i="12"/>
  <c r="B1943" i="12"/>
  <c r="B2159" i="12"/>
  <c r="B2329" i="12"/>
  <c r="B2453" i="12"/>
  <c r="B2540" i="12"/>
  <c r="B2612" i="12"/>
  <c r="B2684" i="12"/>
  <c r="B2756" i="12"/>
  <c r="B2828" i="12"/>
  <c r="B2900" i="12"/>
  <c r="B2972" i="12"/>
  <c r="B3044" i="12"/>
  <c r="B3116" i="12"/>
  <c r="B3188" i="12"/>
  <c r="B3260" i="12"/>
  <c r="B3291" i="12"/>
  <c r="B3318" i="12"/>
  <c r="B3342" i="12"/>
  <c r="B3366" i="12"/>
  <c r="B3386" i="12"/>
  <c r="B3403" i="12"/>
  <c r="B3422" i="12"/>
  <c r="B3439" i="12"/>
  <c r="B3458" i="12"/>
  <c r="B3474" i="12"/>
  <c r="B3489" i="12"/>
  <c r="B3506" i="12"/>
  <c r="B3520" i="12"/>
  <c r="B3533" i="12"/>
  <c r="B3545" i="12"/>
  <c r="B3557" i="12"/>
  <c r="B3569" i="12"/>
  <c r="B3581" i="12"/>
  <c r="B3593" i="12"/>
  <c r="B3605" i="12"/>
  <c r="B3617" i="12"/>
  <c r="B3629" i="12"/>
  <c r="B3641" i="12"/>
  <c r="B3653" i="12"/>
  <c r="B3665" i="12"/>
  <c r="B3677" i="12"/>
  <c r="B3689" i="12"/>
  <c r="B3701" i="12"/>
  <c r="B3713" i="12"/>
  <c r="B3725" i="12"/>
  <c r="B3737" i="12"/>
  <c r="B3749" i="12"/>
  <c r="B3761" i="12"/>
  <c r="B3773" i="12"/>
  <c r="B3785" i="12"/>
  <c r="B3797" i="12"/>
  <c r="B3809" i="12"/>
  <c r="B3821" i="12"/>
  <c r="B3833" i="12"/>
  <c r="B3845" i="12"/>
  <c r="B3857" i="12"/>
  <c r="B3869" i="12"/>
  <c r="B3881" i="12"/>
  <c r="B3893" i="12"/>
  <c r="B3905" i="12"/>
  <c r="B3917" i="12"/>
  <c r="B3929" i="12"/>
  <c r="B3941" i="12"/>
  <c r="B3953" i="12"/>
  <c r="B3965" i="12"/>
  <c r="B3977" i="12"/>
  <c r="B3989" i="12"/>
  <c r="B4001" i="12"/>
  <c r="B4013" i="12"/>
  <c r="B4025" i="12"/>
  <c r="B4037" i="12"/>
  <c r="B4049" i="12"/>
  <c r="B4061" i="12"/>
  <c r="B4073" i="12"/>
  <c r="B4085" i="12"/>
  <c r="B4097" i="12"/>
  <c r="B4109" i="12"/>
  <c r="B4121" i="12"/>
  <c r="B4133" i="12"/>
  <c r="B4145" i="12"/>
  <c r="B4157" i="12"/>
  <c r="B4181" i="12"/>
  <c r="B4205" i="12"/>
  <c r="B4229" i="12"/>
  <c r="B4098" i="12"/>
  <c r="B4134" i="12"/>
  <c r="B4170" i="12"/>
  <c r="B4230" i="12"/>
  <c r="B4195" i="12"/>
  <c r="B3824" i="12"/>
  <c r="B4040" i="12"/>
  <c r="B4172" i="12"/>
  <c r="B2231" i="12"/>
  <c r="B3370" i="12"/>
  <c r="B3524" i="12"/>
  <c r="B3633" i="12"/>
  <c r="B3729" i="12"/>
  <c r="B3861" i="12"/>
  <c r="B3957" i="12"/>
  <c r="B4053" i="12"/>
  <c r="B4149" i="12"/>
  <c r="B869" i="12"/>
  <c r="B3375" i="12"/>
  <c r="B3562" i="12"/>
  <c r="B3694" i="12"/>
  <c r="B3790" i="12"/>
  <c r="B3898" i="12"/>
  <c r="B4018" i="12"/>
  <c r="B4138" i="12"/>
  <c r="B581" i="12"/>
  <c r="B1430" i="12"/>
  <c r="B1728" i="12"/>
  <c r="B1944" i="12"/>
  <c r="B2160" i="12"/>
  <c r="B2334" i="12"/>
  <c r="B2454" i="12"/>
  <c r="B2541" i="12"/>
  <c r="B2613" i="12"/>
  <c r="B2685" i="12"/>
  <c r="B2757" i="12"/>
  <c r="B2829" i="12"/>
  <c r="B2901" i="12"/>
  <c r="B2973" i="12"/>
  <c r="B3045" i="12"/>
  <c r="B3117" i="12"/>
  <c r="B3189" i="12"/>
  <c r="B3261" i="12"/>
  <c r="B3295" i="12"/>
  <c r="B3319" i="12"/>
  <c r="B3343" i="12"/>
  <c r="B3367" i="12"/>
  <c r="B3387" i="12"/>
  <c r="B3404" i="12"/>
  <c r="B3423" i="12"/>
  <c r="B3440" i="12"/>
  <c r="B3459" i="12"/>
  <c r="B3475" i="12"/>
  <c r="B3490" i="12"/>
  <c r="B3507" i="12"/>
  <c r="B3521" i="12"/>
  <c r="B3534" i="12"/>
  <c r="B3546" i="12"/>
  <c r="B3558" i="12"/>
  <c r="B3570" i="12"/>
  <c r="B3582" i="12"/>
  <c r="B3594" i="12"/>
  <c r="B3606" i="12"/>
  <c r="B3618" i="12"/>
  <c r="B3630" i="12"/>
  <c r="B3642" i="12"/>
  <c r="B3654" i="12"/>
  <c r="B3666" i="12"/>
  <c r="B3678" i="12"/>
  <c r="B3690" i="12"/>
  <c r="B3702" i="12"/>
  <c r="B3714" i="12"/>
  <c r="B3726" i="12"/>
  <c r="B3738" i="12"/>
  <c r="B3750" i="12"/>
  <c r="B3762" i="12"/>
  <c r="B3774" i="12"/>
  <c r="B3786" i="12"/>
  <c r="B3798" i="12"/>
  <c r="B3810" i="12"/>
  <c r="B3822" i="12"/>
  <c r="B3834" i="12"/>
  <c r="B3846" i="12"/>
  <c r="B3858" i="12"/>
  <c r="B3870" i="12"/>
  <c r="B3882" i="12"/>
  <c r="B3894" i="12"/>
  <c r="B3906" i="12"/>
  <c r="B3918" i="12"/>
  <c r="B3930" i="12"/>
  <c r="B3942" i="12"/>
  <c r="B3954" i="12"/>
  <c r="B3966" i="12"/>
  <c r="B3978" i="12"/>
  <c r="B3990" i="12"/>
  <c r="B4002" i="12"/>
  <c r="B4014" i="12"/>
  <c r="B4026" i="12"/>
  <c r="B4038" i="12"/>
  <c r="B4050" i="12"/>
  <c r="B4062" i="12"/>
  <c r="B4074" i="12"/>
  <c r="B4110" i="12"/>
  <c r="B4146" i="12"/>
  <c r="B4182" i="12"/>
  <c r="B4159" i="12"/>
  <c r="B3812" i="12"/>
  <c r="B3932" i="12"/>
  <c r="B4076" i="12"/>
  <c r="B4184" i="12"/>
  <c r="B1799" i="12"/>
  <c r="B3322" i="12"/>
  <c r="B3511" i="12"/>
  <c r="B3645" i="12"/>
  <c r="B3741" i="12"/>
  <c r="B3837" i="12"/>
  <c r="B3945" i="12"/>
  <c r="B4065" i="12"/>
  <c r="B4185" i="12"/>
  <c r="B2232" i="12"/>
  <c r="B2997" i="12"/>
  <c r="B3447" i="12"/>
  <c r="B3598" i="12"/>
  <c r="B3718" i="12"/>
  <c r="B3838" i="12"/>
  <c r="B3958" i="12"/>
  <c r="B4078" i="12"/>
  <c r="B4174" i="12"/>
  <c r="B724" i="12"/>
  <c r="B1520" i="12"/>
  <c r="B1763" i="12"/>
  <c r="B1979" i="12"/>
  <c r="B2195" i="12"/>
  <c r="B2351" i="12"/>
  <c r="B2469" i="12"/>
  <c r="B2552" i="12"/>
  <c r="B2624" i="12"/>
  <c r="B2696" i="12"/>
  <c r="B2768" i="12"/>
  <c r="B2840" i="12"/>
  <c r="B2912" i="12"/>
  <c r="B2984" i="12"/>
  <c r="B3056" i="12"/>
  <c r="B3128" i="12"/>
  <c r="B3200" i="12"/>
  <c r="B3267" i="12"/>
  <c r="B3296" i="12"/>
  <c r="B3320" i="12"/>
  <c r="B3344" i="12"/>
  <c r="B3368" i="12"/>
  <c r="B3389" i="12"/>
  <c r="B3405" i="12"/>
  <c r="B3425" i="12"/>
  <c r="B3441" i="12"/>
  <c r="B3461" i="12"/>
  <c r="B3476" i="12"/>
  <c r="B3492" i="12"/>
  <c r="B3509" i="12"/>
  <c r="B3522" i="12"/>
  <c r="B3535" i="12"/>
  <c r="B3547" i="12"/>
  <c r="B3559" i="12"/>
  <c r="B3571" i="12"/>
  <c r="B3583" i="12"/>
  <c r="B3595" i="12"/>
  <c r="B3607" i="12"/>
  <c r="B3619" i="12"/>
  <c r="B3631" i="12"/>
  <c r="B3643" i="12"/>
  <c r="B3655" i="12"/>
  <c r="B3667" i="12"/>
  <c r="B3679" i="12"/>
  <c r="B3691" i="12"/>
  <c r="B3703" i="12"/>
  <c r="B3715" i="12"/>
  <c r="B3727" i="12"/>
  <c r="B3739" i="12"/>
  <c r="B3751" i="12"/>
  <c r="B3763" i="12"/>
  <c r="B3775" i="12"/>
  <c r="B3787" i="12"/>
  <c r="B3799" i="12"/>
  <c r="B3811" i="12"/>
  <c r="B3823" i="12"/>
  <c r="B3835" i="12"/>
  <c r="B3847" i="12"/>
  <c r="B3859" i="12"/>
  <c r="B3871" i="12"/>
  <c r="B3883" i="12"/>
  <c r="B3895" i="12"/>
  <c r="B3907" i="12"/>
  <c r="B3919" i="12"/>
  <c r="B3931" i="12"/>
  <c r="B3943" i="12"/>
  <c r="B3955" i="12"/>
  <c r="B3967" i="12"/>
  <c r="B3979" i="12"/>
  <c r="B3991" i="12"/>
  <c r="B4003" i="12"/>
  <c r="B4015" i="12"/>
  <c r="B4027" i="12"/>
  <c r="B4039" i="12"/>
  <c r="B4051" i="12"/>
  <c r="B4063" i="12"/>
  <c r="B4075" i="12"/>
  <c r="B4087" i="12"/>
  <c r="B4099" i="12"/>
  <c r="B4207" i="12"/>
  <c r="B3908" i="12"/>
  <c r="B3944" i="12"/>
  <c r="B4016" i="12"/>
  <c r="B4100" i="12"/>
  <c r="B4196" i="12"/>
  <c r="B2015" i="12"/>
  <c r="B3272" i="12"/>
  <c r="B3463" i="12"/>
  <c r="B3597" i="12"/>
  <c r="B3717" i="12"/>
  <c r="B3873" i="12"/>
  <c r="B3981" i="12"/>
  <c r="B4077" i="12"/>
  <c r="B4197" i="12"/>
  <c r="B1800" i="12"/>
  <c r="B3213" i="12"/>
  <c r="B3480" i="12"/>
  <c r="B3610" i="12"/>
  <c r="B3730" i="12"/>
  <c r="B3850" i="12"/>
  <c r="B3946" i="12"/>
  <c r="B4066" i="12"/>
  <c r="B4210" i="12"/>
  <c r="B725" i="12"/>
  <c r="B1521" i="12"/>
  <c r="B1764" i="12"/>
  <c r="B1980" i="12"/>
  <c r="B2196" i="12"/>
  <c r="B2352" i="12"/>
  <c r="B2470" i="12"/>
  <c r="B2553" i="12"/>
  <c r="B2625" i="12"/>
  <c r="B2697" i="12"/>
  <c r="B2769" i="12"/>
  <c r="B2841" i="12"/>
  <c r="B2913" i="12"/>
  <c r="B2985" i="12"/>
  <c r="B3057" i="12"/>
  <c r="B3129" i="12"/>
  <c r="B3201" i="12"/>
  <c r="B3271" i="12"/>
  <c r="B3297" i="12"/>
  <c r="B3321" i="12"/>
  <c r="B3345" i="12"/>
  <c r="B3369" i="12"/>
  <c r="B3390" i="12"/>
  <c r="B3406" i="12"/>
  <c r="B3426" i="12"/>
  <c r="B3442" i="12"/>
  <c r="B3462" i="12"/>
  <c r="B3477" i="12"/>
  <c r="B3494" i="12"/>
  <c r="B3510" i="12"/>
  <c r="B3523" i="12"/>
  <c r="B3536" i="12"/>
  <c r="B3548" i="12"/>
  <c r="B3560" i="12"/>
  <c r="B3572" i="12"/>
  <c r="B3584" i="12"/>
  <c r="B3596" i="12"/>
  <c r="B3608" i="12"/>
  <c r="B3620" i="12"/>
  <c r="B3632" i="12"/>
  <c r="B3644" i="12"/>
  <c r="B3656" i="12"/>
  <c r="B3668" i="12"/>
  <c r="B3680" i="12"/>
  <c r="B3692" i="12"/>
  <c r="B3704" i="12"/>
  <c r="B3716" i="12"/>
  <c r="B3728" i="12"/>
  <c r="B3740" i="12"/>
  <c r="B3752" i="12"/>
  <c r="B3764" i="12"/>
  <c r="B3776" i="12"/>
  <c r="B3788" i="12"/>
  <c r="B3800" i="12"/>
  <c r="B3920" i="12"/>
  <c r="B3956" i="12"/>
  <c r="B4064" i="12"/>
  <c r="B4208" i="12"/>
  <c r="B2564" i="12"/>
  <c r="B2852" i="12"/>
  <c r="B2996" i="12"/>
  <c r="B3298" i="12"/>
  <c r="B3427" i="12"/>
  <c r="B3537" i="12"/>
  <c r="B3621" i="12"/>
  <c r="B3693" i="12"/>
  <c r="B3801" i="12"/>
  <c r="B3897" i="12"/>
  <c r="B4017" i="12"/>
  <c r="B4161" i="12"/>
  <c r="B2485" i="12"/>
  <c r="B2925" i="12"/>
  <c r="B3411" i="12"/>
  <c r="B3574" i="12"/>
  <c r="B3682" i="12"/>
  <c r="B3802" i="12"/>
  <c r="B3922" i="12"/>
  <c r="B4054" i="12"/>
  <c r="B4162" i="12"/>
  <c r="B6" i="12"/>
  <c r="AL15" i="11"/>
  <c r="AL27" i="11"/>
  <c r="AL39" i="11"/>
  <c r="AL51" i="11"/>
  <c r="AL63" i="11"/>
  <c r="AL75" i="11"/>
  <c r="AL87" i="11"/>
  <c r="AL99" i="11"/>
  <c r="AL111" i="11"/>
  <c r="AL123" i="11"/>
  <c r="AL135" i="11"/>
  <c r="AL147" i="11"/>
  <c r="AL159" i="11"/>
  <c r="AL171" i="11"/>
  <c r="AL183" i="11"/>
  <c r="AL195" i="11"/>
  <c r="AL207" i="11"/>
  <c r="AL219" i="11"/>
  <c r="AL231" i="11"/>
  <c r="AL243" i="11"/>
  <c r="AL255" i="11"/>
  <c r="AL267" i="11"/>
  <c r="AL279" i="11"/>
  <c r="AL291" i="11"/>
  <c r="AL303" i="11"/>
  <c r="AL304" i="11"/>
  <c r="AL138" i="11"/>
  <c r="AL186" i="11"/>
  <c r="AL222" i="11"/>
  <c r="AL258" i="11"/>
  <c r="AL306" i="11"/>
  <c r="AL115" i="11"/>
  <c r="AL175" i="11"/>
  <c r="AL223" i="11"/>
  <c r="AL271" i="11"/>
  <c r="AL308" i="11"/>
  <c r="AL201" i="11"/>
  <c r="AL285" i="11"/>
  <c r="AL274" i="11"/>
  <c r="AL239" i="11"/>
  <c r="AL144" i="11"/>
  <c r="AL300" i="11"/>
  <c r="AL133" i="11"/>
  <c r="AL181" i="11"/>
  <c r="AL265" i="11"/>
  <c r="AL206" i="11"/>
  <c r="AL16" i="11"/>
  <c r="AL28" i="11"/>
  <c r="AL40" i="11"/>
  <c r="AL52" i="11"/>
  <c r="AL64" i="11"/>
  <c r="AL76" i="11"/>
  <c r="AL88" i="11"/>
  <c r="AL100" i="11"/>
  <c r="AL112" i="11"/>
  <c r="AL124" i="11"/>
  <c r="AL136" i="11"/>
  <c r="AL148" i="11"/>
  <c r="AL160" i="11"/>
  <c r="AL172" i="11"/>
  <c r="AL184" i="11"/>
  <c r="AL196" i="11"/>
  <c r="AL208" i="11"/>
  <c r="AL220" i="11"/>
  <c r="AL232" i="11"/>
  <c r="AL244" i="11"/>
  <c r="AL256" i="11"/>
  <c r="AL268" i="11"/>
  <c r="AL280" i="11"/>
  <c r="AL292" i="11"/>
  <c r="AL126" i="11"/>
  <c r="AL162" i="11"/>
  <c r="AL198" i="11"/>
  <c r="AL246" i="11"/>
  <c r="AL282" i="11"/>
  <c r="AL127" i="11"/>
  <c r="AL187" i="11"/>
  <c r="AL247" i="11"/>
  <c r="AL295" i="11"/>
  <c r="AL189" i="11"/>
  <c r="AL249" i="11"/>
  <c r="AL250" i="11"/>
  <c r="AL191" i="11"/>
  <c r="AL299" i="11"/>
  <c r="AL204" i="11"/>
  <c r="AL288" i="11"/>
  <c r="AL73" i="11"/>
  <c r="AL217" i="11"/>
  <c r="AL242" i="11"/>
  <c r="AL17" i="11"/>
  <c r="AL29" i="11"/>
  <c r="AL41" i="11"/>
  <c r="AL53" i="11"/>
  <c r="AL65" i="11"/>
  <c r="AL77" i="11"/>
  <c r="AL89" i="11"/>
  <c r="AL101" i="11"/>
  <c r="AL113" i="11"/>
  <c r="AL125" i="11"/>
  <c r="AL137" i="11"/>
  <c r="AL149" i="11"/>
  <c r="AL161" i="11"/>
  <c r="AL173" i="11"/>
  <c r="AL185" i="11"/>
  <c r="AL197" i="11"/>
  <c r="AL209" i="11"/>
  <c r="AL221" i="11"/>
  <c r="AL233" i="11"/>
  <c r="AL245" i="11"/>
  <c r="AL257" i="11"/>
  <c r="AL269" i="11"/>
  <c r="AL281" i="11"/>
  <c r="AL293" i="11"/>
  <c r="AL305" i="11"/>
  <c r="AL114" i="11"/>
  <c r="AL210" i="11"/>
  <c r="AL270" i="11"/>
  <c r="AL91" i="11"/>
  <c r="AL163" i="11"/>
  <c r="AL235" i="11"/>
  <c r="AL283" i="11"/>
  <c r="AL165" i="11"/>
  <c r="AL237" i="11"/>
  <c r="AL214" i="11"/>
  <c r="AL227" i="11"/>
  <c r="AL120" i="11"/>
  <c r="AL240" i="11"/>
  <c r="AL109" i="11"/>
  <c r="AL169" i="11"/>
  <c r="AL277" i="11"/>
  <c r="AL254" i="11"/>
  <c r="AL18" i="11"/>
  <c r="AL30" i="11"/>
  <c r="AL42" i="11"/>
  <c r="AL54" i="11"/>
  <c r="AL66" i="11"/>
  <c r="AL78" i="11"/>
  <c r="AL90" i="11"/>
  <c r="AL102" i="11"/>
  <c r="AL150" i="11"/>
  <c r="AL174" i="11"/>
  <c r="AL234" i="11"/>
  <c r="AL294" i="11"/>
  <c r="AL139" i="11"/>
  <c r="AL199" i="11"/>
  <c r="AL259" i="11"/>
  <c r="AL153" i="11"/>
  <c r="AL273" i="11"/>
  <c r="AL238" i="11"/>
  <c r="AL215" i="11"/>
  <c r="AL168" i="11"/>
  <c r="AL276" i="11"/>
  <c r="AL85" i="11"/>
  <c r="AL205" i="11"/>
  <c r="AL170" i="11"/>
  <c r="AL19" i="11"/>
  <c r="AL31" i="11"/>
  <c r="AL43" i="11"/>
  <c r="AL55" i="11"/>
  <c r="AL67" i="11"/>
  <c r="AL79" i="11"/>
  <c r="AL103" i="11"/>
  <c r="AL151" i="11"/>
  <c r="AL211" i="11"/>
  <c r="AL307" i="11"/>
  <c r="AL225" i="11"/>
  <c r="AL262" i="11"/>
  <c r="AL251" i="11"/>
  <c r="AL180" i="11"/>
  <c r="AL49" i="11"/>
  <c r="AL253" i="11"/>
  <c r="AL290" i="11"/>
  <c r="AL20" i="11"/>
  <c r="AL32" i="11"/>
  <c r="AL44" i="11"/>
  <c r="AL56" i="11"/>
  <c r="AL68" i="11"/>
  <c r="AL80" i="11"/>
  <c r="AL92" i="11"/>
  <c r="AL104" i="11"/>
  <c r="AL116" i="11"/>
  <c r="AL128" i="11"/>
  <c r="AL140" i="11"/>
  <c r="AL152" i="11"/>
  <c r="AL164" i="11"/>
  <c r="AL176" i="11"/>
  <c r="AL188" i="11"/>
  <c r="AL200" i="11"/>
  <c r="AL212" i="11"/>
  <c r="AL224" i="11"/>
  <c r="AL236" i="11"/>
  <c r="AL248" i="11"/>
  <c r="AL260" i="11"/>
  <c r="AL272" i="11"/>
  <c r="AL284" i="11"/>
  <c r="AL296" i="11"/>
  <c r="AL177" i="11"/>
  <c r="AL261" i="11"/>
  <c r="AL226" i="11"/>
  <c r="AL203" i="11"/>
  <c r="AL156" i="11"/>
  <c r="AL264" i="11"/>
  <c r="AL97" i="11"/>
  <c r="AL193" i="11"/>
  <c r="AL301" i="11"/>
  <c r="AL218" i="11"/>
  <c r="AL21" i="11"/>
  <c r="AL33" i="11"/>
  <c r="AL45" i="11"/>
  <c r="AL57" i="11"/>
  <c r="AL69" i="11"/>
  <c r="AL81" i="11"/>
  <c r="AL93" i="11"/>
  <c r="AL105" i="11"/>
  <c r="AL117" i="11"/>
  <c r="AL129" i="11"/>
  <c r="AL141" i="11"/>
  <c r="AL213" i="11"/>
  <c r="AL297" i="11"/>
  <c r="AL298" i="11"/>
  <c r="AL263" i="11"/>
  <c r="AL132" i="11"/>
  <c r="AL61" i="11"/>
  <c r="AL157" i="11"/>
  <c r="AL289" i="11"/>
  <c r="AL278" i="11"/>
  <c r="AL22" i="11"/>
  <c r="AL34" i="11"/>
  <c r="AL46" i="11"/>
  <c r="AL58" i="11"/>
  <c r="AL70" i="11"/>
  <c r="AL82" i="11"/>
  <c r="AL94" i="11"/>
  <c r="AL106" i="11"/>
  <c r="AL118" i="11"/>
  <c r="AL130" i="11"/>
  <c r="AL142" i="11"/>
  <c r="AL154" i="11"/>
  <c r="AL166" i="11"/>
  <c r="AL178" i="11"/>
  <c r="AL190" i="11"/>
  <c r="AL202" i="11"/>
  <c r="AL286" i="11"/>
  <c r="AL287" i="11"/>
  <c r="AL192" i="11"/>
  <c r="AL252" i="11"/>
  <c r="AL37" i="11"/>
  <c r="AL241" i="11"/>
  <c r="AL266" i="11"/>
  <c r="AL23" i="11"/>
  <c r="AL35" i="11"/>
  <c r="AL47" i="11"/>
  <c r="AL59" i="11"/>
  <c r="AL71" i="11"/>
  <c r="AL83" i="11"/>
  <c r="AL95" i="11"/>
  <c r="AL107" i="11"/>
  <c r="AL119" i="11"/>
  <c r="AL131" i="11"/>
  <c r="AL143" i="11"/>
  <c r="AL155" i="11"/>
  <c r="AL167" i="11"/>
  <c r="AL179" i="11"/>
  <c r="AL275" i="11"/>
  <c r="AL216" i="11"/>
  <c r="AL25" i="11"/>
  <c r="AL145" i="11"/>
  <c r="AL182" i="11"/>
  <c r="AL302" i="11"/>
  <c r="AL24" i="11"/>
  <c r="AL36" i="11"/>
  <c r="AL48" i="11"/>
  <c r="AL60" i="11"/>
  <c r="AL72" i="11"/>
  <c r="AL84" i="11"/>
  <c r="AL96" i="11"/>
  <c r="AL108" i="11"/>
  <c r="AL228" i="11"/>
  <c r="AL121" i="11"/>
  <c r="AL229" i="11"/>
  <c r="AL194" i="11"/>
  <c r="AL26" i="11"/>
  <c r="AL38" i="11"/>
  <c r="AL50" i="11"/>
  <c r="AL62" i="11"/>
  <c r="AL74" i="11"/>
  <c r="AL86" i="11"/>
  <c r="AL98" i="11"/>
  <c r="AL110" i="11"/>
  <c r="AL122" i="11"/>
  <c r="AL134" i="11"/>
  <c r="AL146" i="11"/>
  <c r="AL158" i="11"/>
  <c r="AL230" i="11"/>
  <c r="AL7" i="11"/>
  <c r="AL11" i="11"/>
  <c r="AL14" i="11"/>
  <c r="AL8" i="11"/>
  <c r="AL10" i="11"/>
  <c r="AL12" i="11"/>
  <c r="AL13" i="11"/>
  <c r="AL9" i="11"/>
  <c r="AL6" i="11"/>
  <c r="Z7" i="11"/>
  <c r="Z19" i="11"/>
  <c r="Z31" i="11"/>
  <c r="Z43" i="11"/>
  <c r="Z55" i="11"/>
  <c r="Z67" i="11"/>
  <c r="Z79" i="11"/>
  <c r="Z91" i="11"/>
  <c r="Z103" i="11"/>
  <c r="Z115" i="11"/>
  <c r="Z127" i="11"/>
  <c r="Z139" i="11"/>
  <c r="Z151" i="11"/>
  <c r="Z163" i="11"/>
  <c r="Z175" i="11"/>
  <c r="Z187" i="11"/>
  <c r="Z199" i="11"/>
  <c r="Z211" i="11"/>
  <c r="Z223" i="11"/>
  <c r="Z235" i="11"/>
  <c r="Z247" i="11"/>
  <c r="Z259" i="11"/>
  <c r="Z271" i="11"/>
  <c r="Z283" i="11"/>
  <c r="Z295" i="11"/>
  <c r="Z307" i="11"/>
  <c r="Z319" i="11"/>
  <c r="Z331" i="11"/>
  <c r="Z343" i="11"/>
  <c r="Z355" i="11"/>
  <c r="Z367" i="11"/>
  <c r="Z379" i="11"/>
  <c r="Z391" i="11"/>
  <c r="Z403" i="11"/>
  <c r="Z415" i="11"/>
  <c r="Z427" i="11"/>
  <c r="Z439" i="11"/>
  <c r="Z451" i="11"/>
  <c r="Z463" i="11"/>
  <c r="Z475" i="11"/>
  <c r="Z487" i="11"/>
  <c r="Z499" i="11"/>
  <c r="Z511" i="11"/>
  <c r="Z523" i="11"/>
  <c r="Z535" i="11"/>
  <c r="Z547" i="11"/>
  <c r="Z559" i="11"/>
  <c r="Z571" i="11"/>
  <c r="Z583" i="11"/>
  <c r="Z595" i="11"/>
  <c r="Z607" i="11"/>
  <c r="Z619" i="11"/>
  <c r="Z631" i="11"/>
  <c r="Z643" i="11"/>
  <c r="Z655" i="11"/>
  <c r="Z667" i="11"/>
  <c r="Z679" i="11"/>
  <c r="Z691" i="11"/>
  <c r="Z703" i="11"/>
  <c r="Z715" i="11"/>
  <c r="Z727" i="11"/>
  <c r="Z739" i="11"/>
  <c r="Z751" i="11"/>
  <c r="Z763" i="11"/>
  <c r="Z775" i="11"/>
  <c r="Z787" i="11"/>
  <c r="Z799" i="11"/>
  <c r="Z811" i="11"/>
  <c r="Z823" i="11"/>
  <c r="Z835" i="11"/>
  <c r="Z847" i="11"/>
  <c r="Z859" i="11"/>
  <c r="Z871" i="11"/>
  <c r="Z883" i="11"/>
  <c r="Z895" i="11"/>
  <c r="Z907" i="11"/>
  <c r="Z919" i="11"/>
  <c r="Z931" i="11"/>
  <c r="Z943" i="11"/>
  <c r="Z955" i="11"/>
  <c r="Z967" i="11"/>
  <c r="Z979" i="11"/>
  <c r="Z991" i="11"/>
  <c r="Z1003" i="11"/>
  <c r="Z1015" i="11"/>
  <c r="Z1027" i="11"/>
  <c r="Z1039" i="11"/>
  <c r="Z1051" i="11"/>
  <c r="Z1063" i="11"/>
  <c r="Z1075" i="11"/>
  <c r="Z1087" i="11"/>
  <c r="Z1099" i="11"/>
  <c r="Z1111" i="11"/>
  <c r="Z1123" i="11"/>
  <c r="Z1135" i="11"/>
  <c r="Z1147" i="11"/>
  <c r="Z1159" i="11"/>
  <c r="Z1171" i="11"/>
  <c r="Z1183" i="11"/>
  <c r="Z1195" i="11"/>
  <c r="Z1207" i="11"/>
  <c r="Z1219" i="11"/>
  <c r="Z1231" i="11"/>
  <c r="Z1243" i="11"/>
  <c r="Z1255" i="11"/>
  <c r="Z1267" i="11"/>
  <c r="Z1279" i="11"/>
  <c r="Z1291" i="11"/>
  <c r="Z1303" i="11"/>
  <c r="Z1315" i="11"/>
  <c r="Z1327" i="11"/>
  <c r="Z1339" i="11"/>
  <c r="Z1351" i="11"/>
  <c r="Z1363" i="11"/>
  <c r="Z1375" i="11"/>
  <c r="Z1387" i="11"/>
  <c r="Z1399" i="11"/>
  <c r="Z1411" i="11"/>
  <c r="Z1423" i="11"/>
  <c r="Z1435" i="11"/>
  <c r="Z1447" i="11"/>
  <c r="Z1459" i="11"/>
  <c r="Z1471" i="11"/>
  <c r="Z1483" i="11"/>
  <c r="Z8" i="11"/>
  <c r="Z20" i="11"/>
  <c r="Z32" i="11"/>
  <c r="Z44" i="11"/>
  <c r="Z56" i="11"/>
  <c r="Z68" i="11"/>
  <c r="Z80" i="11"/>
  <c r="Z92" i="11"/>
  <c r="Z104" i="11"/>
  <c r="Z116" i="11"/>
  <c r="Z128" i="11"/>
  <c r="Z140" i="11"/>
  <c r="Z152" i="11"/>
  <c r="Z164" i="11"/>
  <c r="Z176" i="11"/>
  <c r="Z188" i="11"/>
  <c r="Z200" i="11"/>
  <c r="Z212" i="11"/>
  <c r="Z224" i="11"/>
  <c r="Z236" i="11"/>
  <c r="Z248" i="11"/>
  <c r="Z260" i="11"/>
  <c r="Z272" i="11"/>
  <c r="Z284" i="11"/>
  <c r="Z296" i="11"/>
  <c r="Z308" i="11"/>
  <c r="Z320" i="11"/>
  <c r="Z332" i="11"/>
  <c r="Z344" i="11"/>
  <c r="Z356" i="11"/>
  <c r="Z368" i="11"/>
  <c r="Z380" i="11"/>
  <c r="Z392" i="11"/>
  <c r="Z404" i="11"/>
  <c r="Z416" i="11"/>
  <c r="Z428" i="11"/>
  <c r="Z440" i="11"/>
  <c r="Z452" i="11"/>
  <c r="Z464" i="11"/>
  <c r="Z476" i="11"/>
  <c r="Z488" i="11"/>
  <c r="Z500" i="11"/>
  <c r="Z512" i="11"/>
  <c r="Z524" i="11"/>
  <c r="Z536" i="11"/>
  <c r="Z548" i="11"/>
  <c r="Z560" i="11"/>
  <c r="Z572" i="11"/>
  <c r="Z584" i="11"/>
  <c r="Z596" i="11"/>
  <c r="Z608" i="11"/>
  <c r="Z620" i="11"/>
  <c r="Z632" i="11"/>
  <c r="Z644" i="11"/>
  <c r="Z656" i="11"/>
  <c r="Z668" i="11"/>
  <c r="Z680" i="11"/>
  <c r="Z692" i="11"/>
  <c r="Z704" i="11"/>
  <c r="Z716" i="11"/>
  <c r="Z728" i="11"/>
  <c r="Z740" i="11"/>
  <c r="Z752" i="11"/>
  <c r="Z764" i="11"/>
  <c r="Z776" i="11"/>
  <c r="Z788" i="11"/>
  <c r="Z800" i="11"/>
  <c r="Z812" i="11"/>
  <c r="Z824" i="11"/>
  <c r="Z836" i="11"/>
  <c r="Z848" i="11"/>
  <c r="Z860" i="11"/>
  <c r="Z872" i="11"/>
  <c r="Z884" i="11"/>
  <c r="Z896" i="11"/>
  <c r="Z908" i="11"/>
  <c r="Z920" i="11"/>
  <c r="Z932" i="11"/>
  <c r="Z944" i="11"/>
  <c r="Z956" i="11"/>
  <c r="Z968" i="11"/>
  <c r="Z980" i="11"/>
  <c r="Z992" i="11"/>
  <c r="Z1004" i="11"/>
  <c r="Z1016" i="11"/>
  <c r="Z1028" i="11"/>
  <c r="Z1040" i="11"/>
  <c r="Z1052" i="11"/>
  <c r="Z1064" i="11"/>
  <c r="Z1076" i="11"/>
  <c r="Z1088" i="11"/>
  <c r="Z1100" i="11"/>
  <c r="Z1112" i="11"/>
  <c r="Z1124" i="11"/>
  <c r="Z1136" i="11"/>
  <c r="Z1148" i="11"/>
  <c r="Z1160" i="11"/>
  <c r="Z1172" i="11"/>
  <c r="Z1184" i="11"/>
  <c r="Z1196" i="11"/>
  <c r="Z1208" i="11"/>
  <c r="Z1220" i="11"/>
  <c r="Z1232" i="11"/>
  <c r="Z1244" i="11"/>
  <c r="Z1256" i="11"/>
  <c r="Z1268" i="11"/>
  <c r="Z1280" i="11"/>
  <c r="Z1292" i="11"/>
  <c r="Z1304" i="11"/>
  <c r="Z1316" i="11"/>
  <c r="Z1328" i="11"/>
  <c r="Z1340" i="11"/>
  <c r="Z1352" i="11"/>
  <c r="Z1364" i="11"/>
  <c r="Z1376" i="11"/>
  <c r="Z1388" i="11"/>
  <c r="Z1400" i="11"/>
  <c r="Z1412" i="11"/>
  <c r="Z1424" i="11"/>
  <c r="Z1436" i="11"/>
  <c r="Z1448" i="11"/>
  <c r="Z1460" i="11"/>
  <c r="Z1472" i="11"/>
  <c r="Z1484" i="11"/>
  <c r="Z9" i="11"/>
  <c r="Z21" i="11"/>
  <c r="Z33" i="11"/>
  <c r="Z45" i="11"/>
  <c r="Z57" i="11"/>
  <c r="Z69" i="11"/>
  <c r="Z81" i="11"/>
  <c r="Z93" i="11"/>
  <c r="Z105" i="11"/>
  <c r="Z117" i="11"/>
  <c r="Z129" i="11"/>
  <c r="Z141" i="11"/>
  <c r="Z153" i="11"/>
  <c r="Z165" i="11"/>
  <c r="Z177" i="11"/>
  <c r="Z189" i="11"/>
  <c r="Z201" i="11"/>
  <c r="Z213" i="11"/>
  <c r="Z225" i="11"/>
  <c r="Z237" i="11"/>
  <c r="Z249" i="11"/>
  <c r="Z261" i="11"/>
  <c r="Z273" i="11"/>
  <c r="Z285" i="11"/>
  <c r="Z297" i="11"/>
  <c r="Z309" i="11"/>
  <c r="Z321" i="11"/>
  <c r="Z333" i="11"/>
  <c r="Z345" i="11"/>
  <c r="Z357" i="11"/>
  <c r="Z369" i="11"/>
  <c r="Z381" i="11"/>
  <c r="Z393" i="11"/>
  <c r="Z405" i="11"/>
  <c r="Z417" i="11"/>
  <c r="Z429" i="11"/>
  <c r="Z441" i="11"/>
  <c r="Z453" i="11"/>
  <c r="Z465" i="11"/>
  <c r="Z477" i="11"/>
  <c r="Z489" i="11"/>
  <c r="Z501" i="11"/>
  <c r="Z513" i="11"/>
  <c r="Z525" i="11"/>
  <c r="Z537" i="11"/>
  <c r="Z549" i="11"/>
  <c r="Z561" i="11"/>
  <c r="Z573" i="11"/>
  <c r="Z585" i="11"/>
  <c r="Z597" i="11"/>
  <c r="Z609" i="11"/>
  <c r="Z621" i="11"/>
  <c r="Z633" i="11"/>
  <c r="Z645" i="11"/>
  <c r="Z657" i="11"/>
  <c r="Z669" i="11"/>
  <c r="Z681" i="11"/>
  <c r="Z693" i="11"/>
  <c r="Z705" i="11"/>
  <c r="Z717" i="11"/>
  <c r="Z729" i="11"/>
  <c r="Z741" i="11"/>
  <c r="Z753" i="11"/>
  <c r="Z765" i="11"/>
  <c r="Z777" i="11"/>
  <c r="Z789" i="11"/>
  <c r="Z801" i="11"/>
  <c r="Z813" i="11"/>
  <c r="Z825" i="11"/>
  <c r="Z837" i="11"/>
  <c r="Z849" i="11"/>
  <c r="Z861" i="11"/>
  <c r="Z873" i="11"/>
  <c r="Z885" i="11"/>
  <c r="Z897" i="11"/>
  <c r="Z909" i="11"/>
  <c r="Z921" i="11"/>
  <c r="Z933" i="11"/>
  <c r="Z945" i="11"/>
  <c r="Z957" i="11"/>
  <c r="Z969" i="11"/>
  <c r="Z981" i="11"/>
  <c r="Z993" i="11"/>
  <c r="Z1005" i="11"/>
  <c r="Z1017" i="11"/>
  <c r="Z1029" i="11"/>
  <c r="Z1041" i="11"/>
  <c r="Z1053" i="11"/>
  <c r="Z1065" i="11"/>
  <c r="Z1077" i="11"/>
  <c r="Z1089" i="11"/>
  <c r="Z1101" i="11"/>
  <c r="Z1113" i="11"/>
  <c r="Z1125" i="11"/>
  <c r="Z1137" i="11"/>
  <c r="Z1149" i="11"/>
  <c r="Z1161" i="11"/>
  <c r="Z1173" i="11"/>
  <c r="Z1185" i="11"/>
  <c r="Z1197" i="11"/>
  <c r="Z1209" i="11"/>
  <c r="Z1221" i="11"/>
  <c r="Z1233" i="11"/>
  <c r="Z1245" i="11"/>
  <c r="Z1257" i="11"/>
  <c r="Z1269" i="11"/>
  <c r="Z1281" i="11"/>
  <c r="Z1293" i="11"/>
  <c r="Z1305" i="11"/>
  <c r="Z1317" i="11"/>
  <c r="Z1329" i="11"/>
  <c r="Z1341" i="11"/>
  <c r="Z1353" i="11"/>
  <c r="Z1365" i="11"/>
  <c r="Z1377" i="11"/>
  <c r="Z1389" i="11"/>
  <c r="Z1401" i="11"/>
  <c r="Z1413" i="11"/>
  <c r="Z1425" i="11"/>
  <c r="Z1437" i="11"/>
  <c r="Z1449" i="11"/>
  <c r="Z1461" i="11"/>
  <c r="Z1473" i="11"/>
  <c r="Z1485" i="11"/>
  <c r="Z1497" i="11"/>
  <c r="Z1509" i="11"/>
  <c r="Z1521" i="11"/>
  <c r="Z10" i="11"/>
  <c r="Z22" i="11"/>
  <c r="Z34" i="11"/>
  <c r="Z46" i="11"/>
  <c r="Z58" i="11"/>
  <c r="Z70" i="11"/>
  <c r="Z82" i="11"/>
  <c r="Z94" i="11"/>
  <c r="Z106" i="11"/>
  <c r="Z118" i="11"/>
  <c r="Z130" i="11"/>
  <c r="Z142" i="11"/>
  <c r="Z154" i="11"/>
  <c r="Z166" i="11"/>
  <c r="Z178" i="11"/>
  <c r="Z190" i="11"/>
  <c r="Z202" i="11"/>
  <c r="Z214" i="11"/>
  <c r="Z226" i="11"/>
  <c r="Z238" i="11"/>
  <c r="Z250" i="11"/>
  <c r="Z262" i="11"/>
  <c r="Z274" i="11"/>
  <c r="Z286" i="11"/>
  <c r="Z298" i="11"/>
  <c r="Z310" i="11"/>
  <c r="Z322" i="11"/>
  <c r="Z334" i="11"/>
  <c r="Z346" i="11"/>
  <c r="Z358" i="11"/>
  <c r="Z370" i="11"/>
  <c r="Z382" i="11"/>
  <c r="Z394" i="11"/>
  <c r="Z406" i="11"/>
  <c r="Z418" i="11"/>
  <c r="Z430" i="11"/>
  <c r="Z442" i="11"/>
  <c r="Z454" i="11"/>
  <c r="Z466" i="11"/>
  <c r="Z478" i="11"/>
  <c r="Z490" i="11"/>
  <c r="Z502" i="11"/>
  <c r="Z514" i="11"/>
  <c r="Z526" i="11"/>
  <c r="Z538" i="11"/>
  <c r="Z550" i="11"/>
  <c r="Z562" i="11"/>
  <c r="Z574" i="11"/>
  <c r="Z586" i="11"/>
  <c r="Z598" i="11"/>
  <c r="Z610" i="11"/>
  <c r="Z622" i="11"/>
  <c r="Z634" i="11"/>
  <c r="Z646" i="11"/>
  <c r="Z658" i="11"/>
  <c r="Z670" i="11"/>
  <c r="Z682" i="11"/>
  <c r="Z694" i="11"/>
  <c r="Z706" i="11"/>
  <c r="Z718" i="11"/>
  <c r="Z730" i="11"/>
  <c r="Z742" i="11"/>
  <c r="Z754" i="11"/>
  <c r="Z766" i="11"/>
  <c r="Z778" i="11"/>
  <c r="Z790" i="11"/>
  <c r="Z802" i="11"/>
  <c r="Z814" i="11"/>
  <c r="Z826" i="11"/>
  <c r="Z838" i="11"/>
  <c r="Z850" i="11"/>
  <c r="Z862" i="11"/>
  <c r="Z874" i="11"/>
  <c r="Z886" i="11"/>
  <c r="Z898" i="11"/>
  <c r="Z910" i="11"/>
  <c r="Z922" i="11"/>
  <c r="Z934" i="11"/>
  <c r="Z946" i="11"/>
  <c r="Z958" i="11"/>
  <c r="Z970" i="11"/>
  <c r="Z982" i="11"/>
  <c r="Z994" i="11"/>
  <c r="Z1006" i="11"/>
  <c r="Z1018" i="11"/>
  <c r="Z1030" i="11"/>
  <c r="Z1042" i="11"/>
  <c r="Z1054" i="11"/>
  <c r="Z1066" i="11"/>
  <c r="Z1078" i="11"/>
  <c r="Z1090" i="11"/>
  <c r="Z1102" i="11"/>
  <c r="Z1114" i="11"/>
  <c r="Z1126" i="11"/>
  <c r="Z1138" i="11"/>
  <c r="Z1150" i="11"/>
  <c r="Z1162" i="11"/>
  <c r="Z1174" i="11"/>
  <c r="Z1186" i="11"/>
  <c r="Z1198" i="11"/>
  <c r="Z1210" i="11"/>
  <c r="Z1222" i="11"/>
  <c r="Z1234" i="11"/>
  <c r="Z1246" i="11"/>
  <c r="Z1258" i="11"/>
  <c r="Z1270" i="11"/>
  <c r="Z1282" i="11"/>
  <c r="Z1294" i="11"/>
  <c r="Z1306" i="11"/>
  <c r="Z1318" i="11"/>
  <c r="Z11" i="11"/>
  <c r="Z23" i="11"/>
  <c r="Z35" i="11"/>
  <c r="Z47" i="11"/>
  <c r="Z59" i="11"/>
  <c r="Z71" i="11"/>
  <c r="Z83" i="11"/>
  <c r="Z95" i="11"/>
  <c r="Z107" i="11"/>
  <c r="Z119" i="11"/>
  <c r="Z131" i="11"/>
  <c r="Z143" i="11"/>
  <c r="Z155" i="11"/>
  <c r="Z167" i="11"/>
  <c r="Z179" i="11"/>
  <c r="Z191" i="11"/>
  <c r="Z203" i="11"/>
  <c r="Z215" i="11"/>
  <c r="Z227" i="11"/>
  <c r="Z239" i="11"/>
  <c r="Z251" i="11"/>
  <c r="Z263" i="11"/>
  <c r="Z275" i="11"/>
  <c r="Z287" i="11"/>
  <c r="Z299" i="11"/>
  <c r="Z311" i="11"/>
  <c r="Z323" i="11"/>
  <c r="Z335" i="11"/>
  <c r="Z347" i="11"/>
  <c r="Z359" i="11"/>
  <c r="Z371" i="11"/>
  <c r="Z383" i="11"/>
  <c r="Z395" i="11"/>
  <c r="Z407" i="11"/>
  <c r="Z419" i="11"/>
  <c r="Z431" i="11"/>
  <c r="Z443" i="11"/>
  <c r="Z455" i="11"/>
  <c r="Z467" i="11"/>
  <c r="Z479" i="11"/>
  <c r="Z491" i="11"/>
  <c r="Z503" i="11"/>
  <c r="Z515" i="11"/>
  <c r="Z527" i="11"/>
  <c r="Z539" i="11"/>
  <c r="Z551" i="11"/>
  <c r="Z563" i="11"/>
  <c r="Z575" i="11"/>
  <c r="Z587" i="11"/>
  <c r="Z599" i="11"/>
  <c r="Z611" i="11"/>
  <c r="Z623" i="11"/>
  <c r="Z635" i="11"/>
  <c r="Z647" i="11"/>
  <c r="Z659" i="11"/>
  <c r="Z671" i="11"/>
  <c r="Z683" i="11"/>
  <c r="Z695" i="11"/>
  <c r="Z707" i="11"/>
  <c r="Z719" i="11"/>
  <c r="Z731" i="11"/>
  <c r="Z743" i="11"/>
  <c r="Z755" i="11"/>
  <c r="Z767" i="11"/>
  <c r="Z779" i="11"/>
  <c r="Z791" i="11"/>
  <c r="Z803" i="11"/>
  <c r="Z815" i="11"/>
  <c r="Z827" i="11"/>
  <c r="Z839" i="11"/>
  <c r="Z851" i="11"/>
  <c r="Z863" i="11"/>
  <c r="Z875" i="11"/>
  <c r="Z887" i="11"/>
  <c r="Z899" i="11"/>
  <c r="Z911" i="11"/>
  <c r="Z923" i="11"/>
  <c r="Z935" i="11"/>
  <c r="Z947" i="11"/>
  <c r="Z959" i="11"/>
  <c r="Z971" i="11"/>
  <c r="Z983" i="11"/>
  <c r="Z995" i="11"/>
  <c r="Z1007" i="11"/>
  <c r="Z1019" i="11"/>
  <c r="Z1031" i="11"/>
  <c r="Z1043" i="11"/>
  <c r="Z1055" i="11"/>
  <c r="Z1067" i="11"/>
  <c r="Z1079" i="11"/>
  <c r="Z1091" i="11"/>
  <c r="Z1103" i="11"/>
  <c r="Z1115" i="11"/>
  <c r="Z1127" i="11"/>
  <c r="Z1139" i="11"/>
  <c r="Z1151" i="11"/>
  <c r="Z1163" i="11"/>
  <c r="Z1175" i="11"/>
  <c r="Z1187" i="11"/>
  <c r="Z1199" i="11"/>
  <c r="Z1211" i="11"/>
  <c r="Z1223" i="11"/>
  <c r="Z1235" i="11"/>
  <c r="Z1247" i="11"/>
  <c r="Z1259" i="11"/>
  <c r="Z1271" i="11"/>
  <c r="Z1283" i="11"/>
  <c r="Z1295" i="11"/>
  <c r="Z1307" i="11"/>
  <c r="Z1319" i="11"/>
  <c r="Z1331" i="11"/>
  <c r="Z1343" i="11"/>
  <c r="Z12" i="11"/>
  <c r="Z24" i="11"/>
  <c r="Z36" i="11"/>
  <c r="Z48" i="11"/>
  <c r="Z60" i="11"/>
  <c r="Z72" i="11"/>
  <c r="Z84" i="11"/>
  <c r="Z96" i="11"/>
  <c r="Z108" i="11"/>
  <c r="Z120" i="11"/>
  <c r="Z132" i="11"/>
  <c r="Z144" i="11"/>
  <c r="Z156" i="11"/>
  <c r="Z168" i="11"/>
  <c r="Z180" i="11"/>
  <c r="Z192" i="11"/>
  <c r="Z204" i="11"/>
  <c r="Z216" i="11"/>
  <c r="Z228" i="11"/>
  <c r="Z240" i="11"/>
  <c r="Z252" i="11"/>
  <c r="Z264" i="11"/>
  <c r="Z276" i="11"/>
  <c r="Z288" i="11"/>
  <c r="Z300" i="11"/>
  <c r="Z312" i="11"/>
  <c r="Z324" i="11"/>
  <c r="Z336" i="11"/>
  <c r="Z348" i="11"/>
  <c r="Z360" i="11"/>
  <c r="Z372" i="11"/>
  <c r="Z384" i="11"/>
  <c r="Z396" i="11"/>
  <c r="Z408" i="11"/>
  <c r="Z420" i="11"/>
  <c r="Z432" i="11"/>
  <c r="Z444" i="11"/>
  <c r="Z456" i="11"/>
  <c r="Z468" i="11"/>
  <c r="Z480" i="11"/>
  <c r="Z492" i="11"/>
  <c r="Z504" i="11"/>
  <c r="Z516" i="11"/>
  <c r="Z528" i="11"/>
  <c r="Z540" i="11"/>
  <c r="Z552" i="11"/>
  <c r="Z564" i="11"/>
  <c r="Z576" i="11"/>
  <c r="Z588" i="11"/>
  <c r="Z600" i="11"/>
  <c r="Z612" i="11"/>
  <c r="Z624" i="11"/>
  <c r="Z636" i="11"/>
  <c r="Z648" i="11"/>
  <c r="Z660" i="11"/>
  <c r="Z672" i="11"/>
  <c r="Z684" i="11"/>
  <c r="Z696" i="11"/>
  <c r="Z708" i="11"/>
  <c r="Z720" i="11"/>
  <c r="Z732" i="11"/>
  <c r="Z744" i="11"/>
  <c r="Z756" i="11"/>
  <c r="Z768" i="11"/>
  <c r="Z780" i="11"/>
  <c r="Z792" i="11"/>
  <c r="Z804" i="11"/>
  <c r="Z816" i="11"/>
  <c r="Z828" i="11"/>
  <c r="Z840" i="11"/>
  <c r="Z852" i="11"/>
  <c r="Z864" i="11"/>
  <c r="Z876" i="11"/>
  <c r="Z888" i="11"/>
  <c r="Z900" i="11"/>
  <c r="Z912" i="11"/>
  <c r="Z924" i="11"/>
  <c r="Z936" i="11"/>
  <c r="Z948" i="11"/>
  <c r="Z960" i="11"/>
  <c r="Z972" i="11"/>
  <c r="Z984" i="11"/>
  <c r="Z996" i="11"/>
  <c r="Z1008" i="11"/>
  <c r="Z1020" i="11"/>
  <c r="Z1032" i="11"/>
  <c r="Z1044" i="11"/>
  <c r="Z1056" i="11"/>
  <c r="Z1068" i="11"/>
  <c r="Z1080" i="11"/>
  <c r="Z1092" i="11"/>
  <c r="Z1104" i="11"/>
  <c r="Z1116" i="11"/>
  <c r="Z1128" i="11"/>
  <c r="Z1140" i="11"/>
  <c r="Z1152" i="11"/>
  <c r="Z1164" i="11"/>
  <c r="Z1176" i="11"/>
  <c r="Z1188" i="11"/>
  <c r="Z1200" i="11"/>
  <c r="Z1212" i="11"/>
  <c r="Z1224" i="11"/>
  <c r="Z1236" i="11"/>
  <c r="Z1248" i="11"/>
  <c r="Z1260" i="11"/>
  <c r="Z1272" i="11"/>
  <c r="Z1284" i="11"/>
  <c r="Z1296" i="11"/>
  <c r="Z1308" i="11"/>
  <c r="Z1320" i="11"/>
  <c r="Z1332" i="11"/>
  <c r="Z1344" i="11"/>
  <c r="Z1356" i="11"/>
  <c r="Z1368" i="11"/>
  <c r="Z1380" i="11"/>
  <c r="Z1392" i="11"/>
  <c r="Z1404" i="11"/>
  <c r="Z1416" i="11"/>
  <c r="Z1428" i="11"/>
  <c r="Z1440" i="11"/>
  <c r="Z1452" i="11"/>
  <c r="Z1464" i="11"/>
  <c r="Z13" i="11"/>
  <c r="Z25" i="11"/>
  <c r="Z37" i="11"/>
  <c r="Z49" i="11"/>
  <c r="Z61" i="11"/>
  <c r="Z73" i="11"/>
  <c r="Z85" i="11"/>
  <c r="Z97" i="11"/>
  <c r="Z109" i="11"/>
  <c r="Z121" i="11"/>
  <c r="Z133" i="11"/>
  <c r="Z145" i="11"/>
  <c r="Z157" i="11"/>
  <c r="Z169" i="11"/>
  <c r="Z181" i="11"/>
  <c r="Z193" i="11"/>
  <c r="Z205" i="11"/>
  <c r="Z217" i="11"/>
  <c r="Z229" i="11"/>
  <c r="Z241" i="11"/>
  <c r="Z253" i="11"/>
  <c r="Z265" i="11"/>
  <c r="Z277" i="11"/>
  <c r="Z289" i="11"/>
  <c r="Z301" i="11"/>
  <c r="Z313" i="11"/>
  <c r="Z325" i="11"/>
  <c r="Z337" i="11"/>
  <c r="Z349" i="11"/>
  <c r="Z361" i="11"/>
  <c r="Z373" i="11"/>
  <c r="Z385" i="11"/>
  <c r="Z397" i="11"/>
  <c r="Z409" i="11"/>
  <c r="Z421" i="11"/>
  <c r="Z433" i="11"/>
  <c r="Z445" i="11"/>
  <c r="Z457" i="11"/>
  <c r="Z469" i="11"/>
  <c r="Z481" i="11"/>
  <c r="Z493" i="11"/>
  <c r="Z505" i="11"/>
  <c r="Z517" i="11"/>
  <c r="Z529" i="11"/>
  <c r="Z541" i="11"/>
  <c r="Z553" i="11"/>
  <c r="Z565" i="11"/>
  <c r="Z577" i="11"/>
  <c r="Z589" i="11"/>
  <c r="Z601" i="11"/>
  <c r="Z613" i="11"/>
  <c r="Z625" i="11"/>
  <c r="Z637" i="11"/>
  <c r="Z649" i="11"/>
  <c r="Z661" i="11"/>
  <c r="Z673" i="11"/>
  <c r="Z685" i="11"/>
  <c r="Z697" i="11"/>
  <c r="Z709" i="11"/>
  <c r="Z721" i="11"/>
  <c r="Z733" i="11"/>
  <c r="Z745" i="11"/>
  <c r="Z757" i="11"/>
  <c r="Z769" i="11"/>
  <c r="Z781" i="11"/>
  <c r="Z793" i="11"/>
  <c r="Z805" i="11"/>
  <c r="Z817" i="11"/>
  <c r="Z829" i="11"/>
  <c r="Z841" i="11"/>
  <c r="Z853" i="11"/>
  <c r="Z865" i="11"/>
  <c r="Z877" i="11"/>
  <c r="Z889" i="11"/>
  <c r="Z901" i="11"/>
  <c r="Z913" i="11"/>
  <c r="Z925" i="11"/>
  <c r="Z937" i="11"/>
  <c r="Z949" i="11"/>
  <c r="Z961" i="11"/>
  <c r="Z973" i="11"/>
  <c r="Z985" i="11"/>
  <c r="Z997" i="11"/>
  <c r="Z1009" i="11"/>
  <c r="Z1021" i="11"/>
  <c r="Z1033" i="11"/>
  <c r="Z1045" i="11"/>
  <c r="Z1057" i="11"/>
  <c r="Z1069" i="11"/>
  <c r="Z1081" i="11"/>
  <c r="Z1093" i="11"/>
  <c r="Z1105" i="11"/>
  <c r="Z1117" i="11"/>
  <c r="Z1129" i="11"/>
  <c r="Z1141" i="11"/>
  <c r="Z1153" i="11"/>
  <c r="Z1165" i="11"/>
  <c r="Z1177" i="11"/>
  <c r="Z1189" i="11"/>
  <c r="Z1201" i="11"/>
  <c r="Z1213" i="11"/>
  <c r="Z1225" i="11"/>
  <c r="Z1237" i="11"/>
  <c r="Z1249" i="11"/>
  <c r="Z1261" i="11"/>
  <c r="Z1273" i="11"/>
  <c r="Z1285" i="11"/>
  <c r="Z1297" i="11"/>
  <c r="Z1309" i="11"/>
  <c r="Z1321" i="11"/>
  <c r="Z1333" i="11"/>
  <c r="Z1345" i="11"/>
  <c r="Z1357" i="11"/>
  <c r="Z1369" i="11"/>
  <c r="Z1381" i="11"/>
  <c r="Z1393" i="11"/>
  <c r="Z1405" i="11"/>
  <c r="Z1417" i="11"/>
  <c r="Z1429" i="11"/>
  <c r="Z1441" i="11"/>
  <c r="Z1453" i="11"/>
  <c r="Z1465" i="11"/>
  <c r="Z1477" i="11"/>
  <c r="Z1489" i="11"/>
  <c r="Z14" i="11"/>
  <c r="Z26" i="11"/>
  <c r="Z38" i="11"/>
  <c r="Z50" i="11"/>
  <c r="Z62" i="11"/>
  <c r="Z74" i="11"/>
  <c r="Z86" i="11"/>
  <c r="Z98" i="11"/>
  <c r="Z110" i="11"/>
  <c r="Z122" i="11"/>
  <c r="Z134" i="11"/>
  <c r="Z146" i="11"/>
  <c r="Z158" i="11"/>
  <c r="Z170" i="11"/>
  <c r="Z182" i="11"/>
  <c r="Z194" i="11"/>
  <c r="Z206" i="11"/>
  <c r="Z218" i="11"/>
  <c r="Z230" i="11"/>
  <c r="Z242" i="11"/>
  <c r="Z254" i="11"/>
  <c r="Z266" i="11"/>
  <c r="Z278" i="11"/>
  <c r="Z290" i="11"/>
  <c r="Z302" i="11"/>
  <c r="Z314" i="11"/>
  <c r="Z326" i="11"/>
  <c r="Z338" i="11"/>
  <c r="Z350" i="11"/>
  <c r="Z362" i="11"/>
  <c r="Z374" i="11"/>
  <c r="Z386" i="11"/>
  <c r="Z398" i="11"/>
  <c r="Z410" i="11"/>
  <c r="Z422" i="11"/>
  <c r="Z434" i="11"/>
  <c r="Z446" i="11"/>
  <c r="Z458" i="11"/>
  <c r="Z470" i="11"/>
  <c r="Z482" i="11"/>
  <c r="Z494" i="11"/>
  <c r="Z506" i="11"/>
  <c r="Z518" i="11"/>
  <c r="Z530" i="11"/>
  <c r="Z542" i="11"/>
  <c r="Z554" i="11"/>
  <c r="Z566" i="11"/>
  <c r="Z578" i="11"/>
  <c r="Z590" i="11"/>
  <c r="Z602" i="11"/>
  <c r="Z614" i="11"/>
  <c r="Z626" i="11"/>
  <c r="Z638" i="11"/>
  <c r="Z650" i="11"/>
  <c r="Z662" i="11"/>
  <c r="Z674" i="11"/>
  <c r="Z686" i="11"/>
  <c r="Z698" i="11"/>
  <c r="Z710" i="11"/>
  <c r="Z722" i="11"/>
  <c r="Z734" i="11"/>
  <c r="Z746" i="11"/>
  <c r="Z758" i="11"/>
  <c r="Z770" i="11"/>
  <c r="Z782" i="11"/>
  <c r="Z794" i="11"/>
  <c r="Z806" i="11"/>
  <c r="Z818" i="11"/>
  <c r="Z830" i="11"/>
  <c r="Z842" i="11"/>
  <c r="Z854" i="11"/>
  <c r="Z866" i="11"/>
  <c r="Z878" i="11"/>
  <c r="Z890" i="11"/>
  <c r="Z902" i="11"/>
  <c r="Z914" i="11"/>
  <c r="Z926" i="11"/>
  <c r="Z938" i="11"/>
  <c r="Z950" i="11"/>
  <c r="Z962" i="11"/>
  <c r="Z974" i="11"/>
  <c r="Z986" i="11"/>
  <c r="Z998" i="11"/>
  <c r="Z1010" i="11"/>
  <c r="Z1022" i="11"/>
  <c r="Z1034" i="11"/>
  <c r="Z1046" i="11"/>
  <c r="Z1058" i="11"/>
  <c r="Z1070" i="11"/>
  <c r="Z1082" i="11"/>
  <c r="Z1094" i="11"/>
  <c r="Z1106" i="11"/>
  <c r="Z1118" i="11"/>
  <c r="Z1130" i="11"/>
  <c r="Z1142" i="11"/>
  <c r="Z1154" i="11"/>
  <c r="Z1166" i="11"/>
  <c r="Z1178" i="11"/>
  <c r="Z1190" i="11"/>
  <c r="Z1202" i="11"/>
  <c r="Z1214" i="11"/>
  <c r="Z1226" i="11"/>
  <c r="Z1238" i="11"/>
  <c r="Z1250" i="11"/>
  <c r="Z1262" i="11"/>
  <c r="Z1274" i="11"/>
  <c r="Z1286" i="11"/>
  <c r="Z1298" i="11"/>
  <c r="Z1310" i="11"/>
  <c r="Z1322" i="11"/>
  <c r="Z1334" i="11"/>
  <c r="Z1346" i="11"/>
  <c r="Z1358" i="11"/>
  <c r="Z1370" i="11"/>
  <c r="Z1382" i="11"/>
  <c r="Z1394" i="11"/>
  <c r="Z1406" i="11"/>
  <c r="Z1418" i="11"/>
  <c r="Z1430" i="11"/>
  <c r="Z1442" i="11"/>
  <c r="Z15" i="11"/>
  <c r="Z27" i="11"/>
  <c r="Z39" i="11"/>
  <c r="Z51" i="11"/>
  <c r="Z63" i="11"/>
  <c r="Z75" i="11"/>
  <c r="Z87" i="11"/>
  <c r="Z99" i="11"/>
  <c r="Z111" i="11"/>
  <c r="Z123" i="11"/>
  <c r="Z135" i="11"/>
  <c r="Z147" i="11"/>
  <c r="Z159" i="11"/>
  <c r="Z171" i="11"/>
  <c r="Z183" i="11"/>
  <c r="Z195" i="11"/>
  <c r="Z207" i="11"/>
  <c r="Z219" i="11"/>
  <c r="Z231" i="11"/>
  <c r="Z243" i="11"/>
  <c r="Z255" i="11"/>
  <c r="Z267" i="11"/>
  <c r="Z279" i="11"/>
  <c r="Z291" i="11"/>
  <c r="Z303" i="11"/>
  <c r="Z315" i="11"/>
  <c r="Z327" i="11"/>
  <c r="Z339" i="11"/>
  <c r="Z351" i="11"/>
  <c r="Z363" i="11"/>
  <c r="Z375" i="11"/>
  <c r="Z387" i="11"/>
  <c r="Z399" i="11"/>
  <c r="Z411" i="11"/>
  <c r="Z423" i="11"/>
  <c r="Z435" i="11"/>
  <c r="Z447" i="11"/>
  <c r="Z459" i="11"/>
  <c r="Z471" i="11"/>
  <c r="Z483" i="11"/>
  <c r="Z495" i="11"/>
  <c r="Z507" i="11"/>
  <c r="Z519" i="11"/>
  <c r="Z531" i="11"/>
  <c r="Z543" i="11"/>
  <c r="Z555" i="11"/>
  <c r="Z567" i="11"/>
  <c r="Z579" i="11"/>
  <c r="Z591" i="11"/>
  <c r="Z603" i="11"/>
  <c r="Z615" i="11"/>
  <c r="Z627" i="11"/>
  <c r="Z639" i="11"/>
  <c r="Z651" i="11"/>
  <c r="Z663" i="11"/>
  <c r="Z675" i="11"/>
  <c r="Z687" i="11"/>
  <c r="Z699" i="11"/>
  <c r="Z711" i="11"/>
  <c r="Z723" i="11"/>
  <c r="Z735" i="11"/>
  <c r="Z747" i="11"/>
  <c r="Z759" i="11"/>
  <c r="Z771" i="11"/>
  <c r="Z783" i="11"/>
  <c r="Z795" i="11"/>
  <c r="Z807" i="11"/>
  <c r="Z819" i="11"/>
  <c r="Z831" i="11"/>
  <c r="Z843" i="11"/>
  <c r="Z855" i="11"/>
  <c r="Z867" i="11"/>
  <c r="Z879" i="11"/>
  <c r="Z891" i="11"/>
  <c r="Z903" i="11"/>
  <c r="Z915" i="11"/>
  <c r="Z927" i="11"/>
  <c r="Z939" i="11"/>
  <c r="Z951" i="11"/>
  <c r="Z963" i="11"/>
  <c r="Z975" i="11"/>
  <c r="Z987" i="11"/>
  <c r="Z999" i="11"/>
  <c r="Z1011" i="11"/>
  <c r="Z1023" i="11"/>
  <c r="Z1035" i="11"/>
  <c r="Z1047" i="11"/>
  <c r="Z1059" i="11"/>
  <c r="Z1071" i="11"/>
  <c r="Z1083" i="11"/>
  <c r="Z1095" i="11"/>
  <c r="Z1107" i="11"/>
  <c r="Z1119" i="11"/>
  <c r="Z1131" i="11"/>
  <c r="Z1143" i="11"/>
  <c r="Z1155" i="11"/>
  <c r="Z1167" i="11"/>
  <c r="Z1179" i="11"/>
  <c r="Z1191" i="11"/>
  <c r="Z1203" i="11"/>
  <c r="Z1215" i="11"/>
  <c r="Z1227" i="11"/>
  <c r="Z1239" i="11"/>
  <c r="Z1251" i="11"/>
  <c r="Z1263" i="11"/>
  <c r="Z1275" i="11"/>
  <c r="Z1287" i="11"/>
  <c r="Z1299" i="11"/>
  <c r="Z1311" i="11"/>
  <c r="Z1323" i="11"/>
  <c r="Z1335" i="11"/>
  <c r="Z1347" i="11"/>
  <c r="Z1359" i="11"/>
  <c r="Z1371" i="11"/>
  <c r="Z1383" i="11"/>
  <c r="Z16" i="11"/>
  <c r="Z28" i="11"/>
  <c r="Z40" i="11"/>
  <c r="Z52" i="11"/>
  <c r="Z64" i="11"/>
  <c r="Z76" i="11"/>
  <c r="Z88" i="11"/>
  <c r="Z100" i="11"/>
  <c r="Z112" i="11"/>
  <c r="Z124" i="11"/>
  <c r="Z136" i="11"/>
  <c r="Z148" i="11"/>
  <c r="Z160" i="11"/>
  <c r="Z172" i="11"/>
  <c r="Z184" i="11"/>
  <c r="Z196" i="11"/>
  <c r="Z208" i="11"/>
  <c r="Z220" i="11"/>
  <c r="Z232" i="11"/>
  <c r="Z244" i="11"/>
  <c r="Z256" i="11"/>
  <c r="Z268" i="11"/>
  <c r="Z280" i="11"/>
  <c r="Z292" i="11"/>
  <c r="Z304" i="11"/>
  <c r="Z316" i="11"/>
  <c r="Z328" i="11"/>
  <c r="Z340" i="11"/>
  <c r="Z352" i="11"/>
  <c r="Z364" i="11"/>
  <c r="Z376" i="11"/>
  <c r="Z388" i="11"/>
  <c r="Z400" i="11"/>
  <c r="Z412" i="11"/>
  <c r="Z424" i="11"/>
  <c r="Z436" i="11"/>
  <c r="Z448" i="11"/>
  <c r="Z460" i="11"/>
  <c r="Z472" i="11"/>
  <c r="Z484" i="11"/>
  <c r="Z496" i="11"/>
  <c r="Z508" i="11"/>
  <c r="Z520" i="11"/>
  <c r="Z532" i="11"/>
  <c r="Z544" i="11"/>
  <c r="Z556" i="11"/>
  <c r="Z568" i="11"/>
  <c r="Z580" i="11"/>
  <c r="Z592" i="11"/>
  <c r="Z604" i="11"/>
  <c r="Z616" i="11"/>
  <c r="Z628" i="11"/>
  <c r="Z640" i="11"/>
  <c r="Z652" i="11"/>
  <c r="Z664" i="11"/>
  <c r="Z676" i="11"/>
  <c r="Z688" i="11"/>
  <c r="Z700" i="11"/>
  <c r="Z712" i="11"/>
  <c r="Z724" i="11"/>
  <c r="Z736" i="11"/>
  <c r="Z748" i="11"/>
  <c r="Z760" i="11"/>
  <c r="Z772" i="11"/>
  <c r="Z784" i="11"/>
  <c r="Z796" i="11"/>
  <c r="Z808" i="11"/>
  <c r="Z820" i="11"/>
  <c r="Z832" i="11"/>
  <c r="Z844" i="11"/>
  <c r="Z856" i="11"/>
  <c r="Z868" i="11"/>
  <c r="Z880" i="11"/>
  <c r="Z892" i="11"/>
  <c r="Z904" i="11"/>
  <c r="Z916" i="11"/>
  <c r="Z928" i="11"/>
  <c r="Z940" i="11"/>
  <c r="Z952" i="11"/>
  <c r="Z964" i="11"/>
  <c r="Z976" i="11"/>
  <c r="Z988" i="11"/>
  <c r="Z1000" i="11"/>
  <c r="Z1012" i="11"/>
  <c r="Z1024" i="11"/>
  <c r="Z1036" i="11"/>
  <c r="Z1048" i="11"/>
  <c r="Z1060" i="11"/>
  <c r="Z1072" i="11"/>
  <c r="Z1084" i="11"/>
  <c r="Z1096" i="11"/>
  <c r="Z1108" i="11"/>
  <c r="Z1120" i="11"/>
  <c r="Z1132" i="11"/>
  <c r="Z1144" i="11"/>
  <c r="Z1156" i="11"/>
  <c r="Z1168" i="11"/>
  <c r="Z1180" i="11"/>
  <c r="Z1192" i="11"/>
  <c r="Z1204" i="11"/>
  <c r="Z1216" i="11"/>
  <c r="Z1228" i="11"/>
  <c r="Z1240" i="11"/>
  <c r="Z1252" i="11"/>
  <c r="Z1264" i="11"/>
  <c r="Z1276" i="11"/>
  <c r="Z1288" i="11"/>
  <c r="Z18" i="11"/>
  <c r="Z30" i="11"/>
  <c r="Z42" i="11"/>
  <c r="Z54" i="11"/>
  <c r="Z66" i="11"/>
  <c r="Z78" i="11"/>
  <c r="Z90" i="11"/>
  <c r="Z102" i="11"/>
  <c r="Z114" i="11"/>
  <c r="Z126" i="11"/>
  <c r="Z138" i="11"/>
  <c r="Z150" i="11"/>
  <c r="Z162" i="11"/>
  <c r="Z174" i="11"/>
  <c r="Z186" i="11"/>
  <c r="Z198" i="11"/>
  <c r="Z210" i="11"/>
  <c r="Z222" i="11"/>
  <c r="Z234" i="11"/>
  <c r="Z246" i="11"/>
  <c r="Z258" i="11"/>
  <c r="Z270" i="11"/>
  <c r="Z282" i="11"/>
  <c r="Z294" i="11"/>
  <c r="Z306" i="11"/>
  <c r="Z318" i="11"/>
  <c r="Z330" i="11"/>
  <c r="Z342" i="11"/>
  <c r="Z354" i="11"/>
  <c r="Z366" i="11"/>
  <c r="Z378" i="11"/>
  <c r="Z390" i="11"/>
  <c r="Z402" i="11"/>
  <c r="Z414" i="11"/>
  <c r="Z426" i="11"/>
  <c r="Z438" i="11"/>
  <c r="Z450" i="11"/>
  <c r="Z462" i="11"/>
  <c r="Z474" i="11"/>
  <c r="Z486" i="11"/>
  <c r="Z498" i="11"/>
  <c r="Z510" i="11"/>
  <c r="Z522" i="11"/>
  <c r="Z534" i="11"/>
  <c r="Z546" i="11"/>
  <c r="Z558" i="11"/>
  <c r="Z570" i="11"/>
  <c r="Z582" i="11"/>
  <c r="Z594" i="11"/>
  <c r="Z606" i="11"/>
  <c r="Z618" i="11"/>
  <c r="Z630" i="11"/>
  <c r="Z642" i="11"/>
  <c r="Z654" i="11"/>
  <c r="Z666" i="11"/>
  <c r="Z678" i="11"/>
  <c r="Z690" i="11"/>
  <c r="Z702" i="11"/>
  <c r="Z714" i="11"/>
  <c r="Z726" i="11"/>
  <c r="Z738" i="11"/>
  <c r="Z750" i="11"/>
  <c r="Z762" i="11"/>
  <c r="Z774" i="11"/>
  <c r="Z786" i="11"/>
  <c r="Z798" i="11"/>
  <c r="Z810" i="11"/>
  <c r="Z822" i="11"/>
  <c r="Z834" i="11"/>
  <c r="Z846" i="11"/>
  <c r="Z858" i="11"/>
  <c r="Z870" i="11"/>
  <c r="Z882" i="11"/>
  <c r="Z894" i="11"/>
  <c r="Z906" i="11"/>
  <c r="Z918" i="11"/>
  <c r="Z930" i="11"/>
  <c r="Z942" i="11"/>
  <c r="Z954" i="11"/>
  <c r="Z966" i="11"/>
  <c r="Z978" i="11"/>
  <c r="Z990" i="11"/>
  <c r="Z1002" i="11"/>
  <c r="Z1014" i="11"/>
  <c r="Z1026" i="11"/>
  <c r="Z1038" i="11"/>
  <c r="Z1050" i="11"/>
  <c r="Z1062" i="11"/>
  <c r="Z1074" i="11"/>
  <c r="Z1086" i="11"/>
  <c r="Z1098" i="11"/>
  <c r="Z1110" i="11"/>
  <c r="Z1122" i="11"/>
  <c r="Z1134" i="11"/>
  <c r="Z1146" i="11"/>
  <c r="Z1158" i="11"/>
  <c r="Z1170" i="11"/>
  <c r="Z1182" i="11"/>
  <c r="Z1194" i="11"/>
  <c r="Z1206" i="11"/>
  <c r="Z1218" i="11"/>
  <c r="Z1230" i="11"/>
  <c r="Z1242" i="11"/>
  <c r="Z1254" i="11"/>
  <c r="Z17" i="11"/>
  <c r="Z161" i="11"/>
  <c r="Z305" i="11"/>
  <c r="Z449" i="11"/>
  <c r="Z593" i="11"/>
  <c r="Z737" i="11"/>
  <c r="Z881" i="11"/>
  <c r="Z1025" i="11"/>
  <c r="Z1169" i="11"/>
  <c r="Z1289" i="11"/>
  <c r="Z1336" i="11"/>
  <c r="Z1366" i="11"/>
  <c r="Z1395" i="11"/>
  <c r="Z1419" i="11"/>
  <c r="Z1443" i="11"/>
  <c r="Z1463" i="11"/>
  <c r="Z1481" i="11"/>
  <c r="Z1498" i="11"/>
  <c r="Z1511" i="11"/>
  <c r="Z1524" i="11"/>
  <c r="Z1536" i="11"/>
  <c r="Z1548" i="11"/>
  <c r="Z1560" i="11"/>
  <c r="Z1572" i="11"/>
  <c r="Z1584" i="11"/>
  <c r="Z1538" i="11"/>
  <c r="Z1562" i="11"/>
  <c r="Z1551" i="11"/>
  <c r="Z1426" i="11"/>
  <c r="Z1540" i="11"/>
  <c r="Z1470" i="11"/>
  <c r="Z1553" i="11"/>
  <c r="Z1542" i="11"/>
  <c r="Z1579" i="11"/>
  <c r="Z1568" i="11"/>
  <c r="Z845" i="11"/>
  <c r="Z1434" i="11"/>
  <c r="Z1545" i="11"/>
  <c r="Z713" i="11"/>
  <c r="Z1390" i="11"/>
  <c r="Z1546" i="11"/>
  <c r="Z1571" i="11"/>
  <c r="Z29" i="11"/>
  <c r="Z173" i="11"/>
  <c r="Z317" i="11"/>
  <c r="Z461" i="11"/>
  <c r="Z605" i="11"/>
  <c r="Z749" i="11"/>
  <c r="Z893" i="11"/>
  <c r="Z1037" i="11"/>
  <c r="Z1181" i="11"/>
  <c r="Z1290" i="11"/>
  <c r="Z1337" i="11"/>
  <c r="Z1367" i="11"/>
  <c r="Z1396" i="11"/>
  <c r="Z1420" i="11"/>
  <c r="Z1444" i="11"/>
  <c r="Z1466" i="11"/>
  <c r="Z1482" i="11"/>
  <c r="Z1499" i="11"/>
  <c r="Z1512" i="11"/>
  <c r="Z1525" i="11"/>
  <c r="Z1537" i="11"/>
  <c r="Z1549" i="11"/>
  <c r="Z1561" i="11"/>
  <c r="Z1573" i="11"/>
  <c r="Z1585" i="11"/>
  <c r="Z1513" i="11"/>
  <c r="Z1574" i="11"/>
  <c r="Z1563" i="11"/>
  <c r="Z1450" i="11"/>
  <c r="Z1528" i="11"/>
  <c r="Z1588" i="11"/>
  <c r="Z1529" i="11"/>
  <c r="Z1589" i="11"/>
  <c r="Z1554" i="11"/>
  <c r="Z1567" i="11"/>
  <c r="Z413" i="11"/>
  <c r="Z1325" i="11"/>
  <c r="Z1494" i="11"/>
  <c r="Z137" i="11"/>
  <c r="Z1414" i="11"/>
  <c r="Z1570" i="11"/>
  <c r="Z41" i="11"/>
  <c r="Z185" i="11"/>
  <c r="Z329" i="11"/>
  <c r="Z473" i="11"/>
  <c r="Z617" i="11"/>
  <c r="Z761" i="11"/>
  <c r="Z905" i="11"/>
  <c r="Z1049" i="11"/>
  <c r="Z1193" i="11"/>
  <c r="Z1300" i="11"/>
  <c r="Z1338" i="11"/>
  <c r="Z1372" i="11"/>
  <c r="Z1397" i="11"/>
  <c r="Z1421" i="11"/>
  <c r="Z1445" i="11"/>
  <c r="Z1467" i="11"/>
  <c r="Z1486" i="11"/>
  <c r="Z1500" i="11"/>
  <c r="Z1526" i="11"/>
  <c r="Z1550" i="11"/>
  <c r="Z1586" i="11"/>
  <c r="Z1575" i="11"/>
  <c r="Z1469" i="11"/>
  <c r="Z1515" i="11"/>
  <c r="Z1576" i="11"/>
  <c r="Z1503" i="11"/>
  <c r="Z1565" i="11"/>
  <c r="Z1517" i="11"/>
  <c r="Z1555" i="11"/>
  <c r="Z1580" i="11"/>
  <c r="Z1133" i="11"/>
  <c r="Z1410" i="11"/>
  <c r="Z1557" i="11"/>
  <c r="Z569" i="11"/>
  <c r="Z1361" i="11"/>
  <c r="Z1534" i="11"/>
  <c r="Z1535" i="11"/>
  <c r="Z53" i="11"/>
  <c r="Z197" i="11"/>
  <c r="Z341" i="11"/>
  <c r="Z485" i="11"/>
  <c r="Z629" i="11"/>
  <c r="Z773" i="11"/>
  <c r="Z917" i="11"/>
  <c r="Z1061" i="11"/>
  <c r="Z1205" i="11"/>
  <c r="Z1301" i="11"/>
  <c r="Z1342" i="11"/>
  <c r="Z1373" i="11"/>
  <c r="Z1398" i="11"/>
  <c r="Z1422" i="11"/>
  <c r="Z1446" i="11"/>
  <c r="Z1468" i="11"/>
  <c r="Z1487" i="11"/>
  <c r="Z1501" i="11"/>
  <c r="Z1514" i="11"/>
  <c r="Z1527" i="11"/>
  <c r="Z1539" i="11"/>
  <c r="Z1587" i="11"/>
  <c r="Z1502" i="11"/>
  <c r="Z1552" i="11"/>
  <c r="Z1451" i="11"/>
  <c r="Z1541" i="11"/>
  <c r="Z1530" i="11"/>
  <c r="Z1543" i="11"/>
  <c r="Z269" i="11"/>
  <c r="Z1520" i="11"/>
  <c r="Z1001" i="11"/>
  <c r="Z1479" i="11"/>
  <c r="Z1582" i="11"/>
  <c r="Z65" i="11"/>
  <c r="Z209" i="11"/>
  <c r="Z353" i="11"/>
  <c r="Z497" i="11"/>
  <c r="Z641" i="11"/>
  <c r="Z785" i="11"/>
  <c r="Z929" i="11"/>
  <c r="Z1073" i="11"/>
  <c r="Z1217" i="11"/>
  <c r="Z1302" i="11"/>
  <c r="Z1348" i="11"/>
  <c r="Z1374" i="11"/>
  <c r="Z1402" i="11"/>
  <c r="Z1488" i="11"/>
  <c r="Z1564" i="11"/>
  <c r="Z1516" i="11"/>
  <c r="Z1504" i="11"/>
  <c r="Z1519" i="11"/>
  <c r="Z557" i="11"/>
  <c r="Z1507" i="11"/>
  <c r="Z1145" i="11"/>
  <c r="Z1495" i="11"/>
  <c r="Z1547" i="11"/>
  <c r="Z77" i="11"/>
  <c r="Z221" i="11"/>
  <c r="Z365" i="11"/>
  <c r="Z509" i="11"/>
  <c r="Z653" i="11"/>
  <c r="Z797" i="11"/>
  <c r="Z941" i="11"/>
  <c r="Z1085" i="11"/>
  <c r="Z1229" i="11"/>
  <c r="Z1312" i="11"/>
  <c r="Z1349" i="11"/>
  <c r="Z1378" i="11"/>
  <c r="Z1403" i="11"/>
  <c r="Z1427" i="11"/>
  <c r="Z1490" i="11"/>
  <c r="Z1577" i="11"/>
  <c r="Z1578" i="11"/>
  <c r="Z1532" i="11"/>
  <c r="Z701" i="11"/>
  <c r="Z1457" i="11"/>
  <c r="Z1581" i="11"/>
  <c r="Z857" i="11"/>
  <c r="Z1438" i="11"/>
  <c r="Z1558" i="11"/>
  <c r="Z1510" i="11"/>
  <c r="Z89" i="11"/>
  <c r="Z233" i="11"/>
  <c r="Z377" i="11"/>
  <c r="Z521" i="11"/>
  <c r="Z665" i="11"/>
  <c r="Z809" i="11"/>
  <c r="Z953" i="11"/>
  <c r="Z1097" i="11"/>
  <c r="Z1241" i="11"/>
  <c r="Z1313" i="11"/>
  <c r="Z1350" i="11"/>
  <c r="Z1379" i="11"/>
  <c r="Z1407" i="11"/>
  <c r="Z1431" i="11"/>
  <c r="Z1454" i="11"/>
  <c r="Z1474" i="11"/>
  <c r="Z1491" i="11"/>
  <c r="Z1566" i="11"/>
  <c r="Z125" i="11"/>
  <c r="Z1569" i="11"/>
  <c r="Z1277" i="11"/>
  <c r="Z1508" i="11"/>
  <c r="Z1523" i="11"/>
  <c r="Z101" i="11"/>
  <c r="Z245" i="11"/>
  <c r="Z389" i="11"/>
  <c r="Z533" i="11"/>
  <c r="Z677" i="11"/>
  <c r="Z821" i="11"/>
  <c r="Z965" i="11"/>
  <c r="Z1109" i="11"/>
  <c r="Z1253" i="11"/>
  <c r="Z1314" i="11"/>
  <c r="Z1354" i="11"/>
  <c r="Z1384" i="11"/>
  <c r="Z1408" i="11"/>
  <c r="Z1432" i="11"/>
  <c r="Z1455" i="11"/>
  <c r="Z1475" i="11"/>
  <c r="Z1492" i="11"/>
  <c r="Z1505" i="11"/>
  <c r="Z1518" i="11"/>
  <c r="Z1531" i="11"/>
  <c r="Z1544" i="11"/>
  <c r="Z989" i="11"/>
  <c r="Z1386" i="11"/>
  <c r="Z1533" i="11"/>
  <c r="Z425" i="11"/>
  <c r="Z1458" i="11"/>
  <c r="Z1496" i="11"/>
  <c r="Z113" i="11"/>
  <c r="Z257" i="11"/>
  <c r="Z401" i="11"/>
  <c r="Z545" i="11"/>
  <c r="Z689" i="11"/>
  <c r="Z833" i="11"/>
  <c r="Z977" i="11"/>
  <c r="Z1121" i="11"/>
  <c r="Z1265" i="11"/>
  <c r="Z1324" i="11"/>
  <c r="Z1355" i="11"/>
  <c r="Z1385" i="11"/>
  <c r="Z1409" i="11"/>
  <c r="Z1433" i="11"/>
  <c r="Z1456" i="11"/>
  <c r="Z1476" i="11"/>
  <c r="Z1493" i="11"/>
  <c r="Z1506" i="11"/>
  <c r="Z1556" i="11"/>
  <c r="Z1266" i="11"/>
  <c r="Z1360" i="11"/>
  <c r="Z1478" i="11"/>
  <c r="Z281" i="11"/>
  <c r="Z1326" i="11"/>
  <c r="Z1522" i="11"/>
  <c r="Z1559" i="11"/>
  <c r="Z149" i="11"/>
  <c r="Z293" i="11"/>
  <c r="Z437" i="11"/>
  <c r="Z581" i="11"/>
  <c r="Z725" i="11"/>
  <c r="Z869" i="11"/>
  <c r="Z1013" i="11"/>
  <c r="Z1157" i="11"/>
  <c r="Z1278" i="11"/>
  <c r="Z1330" i="11"/>
  <c r="Z1362" i="11"/>
  <c r="Z1391" i="11"/>
  <c r="Z1415" i="11"/>
  <c r="Z1439" i="11"/>
  <c r="Z1462" i="11"/>
  <c r="Z1480" i="11"/>
  <c r="Z1583" i="11"/>
  <c r="Z6" i="11"/>
  <c r="N7" i="11"/>
  <c r="N19" i="11"/>
  <c r="N31" i="11"/>
  <c r="N43" i="11"/>
  <c r="N22" i="11"/>
  <c r="N37" i="11"/>
  <c r="N38" i="11"/>
  <c r="N39" i="11"/>
  <c r="N17" i="11"/>
  <c r="N8" i="11"/>
  <c r="N20" i="11"/>
  <c r="N32" i="11"/>
  <c r="N44" i="11"/>
  <c r="N46" i="11"/>
  <c r="N35" i="11"/>
  <c r="N36" i="11"/>
  <c r="N49" i="11"/>
  <c r="N26" i="11"/>
  <c r="N28" i="11"/>
  <c r="N29" i="11"/>
  <c r="N9" i="11"/>
  <c r="N21" i="11"/>
  <c r="N33" i="11"/>
  <c r="N45" i="11"/>
  <c r="N34" i="11"/>
  <c r="N23" i="11"/>
  <c r="N48" i="11"/>
  <c r="N25" i="11"/>
  <c r="N50" i="11"/>
  <c r="N51" i="11"/>
  <c r="N16" i="11"/>
  <c r="N18" i="11"/>
  <c r="N10" i="11"/>
  <c r="N24" i="11"/>
  <c r="N27" i="11"/>
  <c r="N42" i="11"/>
  <c r="N11" i="11"/>
  <c r="N47" i="11"/>
  <c r="N15" i="11"/>
  <c r="N53" i="11"/>
  <c r="N12" i="11"/>
  <c r="N40" i="11"/>
  <c r="N30" i="11"/>
  <c r="N13" i="11"/>
  <c r="N14" i="11"/>
  <c r="N52" i="11"/>
  <c r="N41" i="11"/>
  <c r="N1" i="13" l="1"/>
  <c r="N2" i="13"/>
  <c r="AK402" i="12"/>
  <c r="AK396" i="12"/>
  <c r="AK390" i="12"/>
  <c r="AK384" i="12"/>
  <c r="AK378" i="12"/>
  <c r="AK372" i="12"/>
  <c r="AK366" i="12"/>
  <c r="AK360" i="12"/>
  <c r="AK354" i="12"/>
  <c r="AK348" i="12"/>
  <c r="AK342" i="12"/>
  <c r="AK336" i="12"/>
  <c r="AK330" i="12"/>
  <c r="AK324" i="12"/>
  <c r="AK318" i="12"/>
  <c r="AK312" i="12"/>
  <c r="AK306" i="12"/>
  <c r="AK300" i="12"/>
  <c r="AK294" i="12"/>
  <c r="AK288" i="12"/>
  <c r="AK282" i="12"/>
  <c r="AK276" i="12"/>
  <c r="AK270" i="12"/>
  <c r="AK264" i="12"/>
  <c r="AK258" i="12"/>
  <c r="AK252" i="12"/>
  <c r="AK246" i="12"/>
  <c r="AK240" i="12"/>
  <c r="AK234" i="12"/>
  <c r="AK228" i="12"/>
  <c r="AK222" i="12"/>
  <c r="AK216" i="12"/>
  <c r="AK210" i="12"/>
  <c r="AK204" i="12"/>
  <c r="AK198" i="12"/>
  <c r="AK192" i="12"/>
  <c r="AK186" i="12"/>
  <c r="AK180" i="12"/>
  <c r="AK174" i="12"/>
  <c r="AK168" i="12"/>
  <c r="AK162" i="12"/>
  <c r="AK156" i="12"/>
  <c r="AK150" i="12"/>
  <c r="AK144" i="12"/>
  <c r="AK138" i="12"/>
  <c r="AK132" i="12"/>
  <c r="AK126" i="12"/>
  <c r="AK120" i="12"/>
  <c r="AK114" i="12"/>
  <c r="AK108" i="12"/>
  <c r="AK102" i="12"/>
  <c r="AK96" i="12"/>
  <c r="AK90" i="12"/>
  <c r="AK84" i="12"/>
  <c r="AK78" i="12"/>
  <c r="AK72" i="12"/>
  <c r="AK66" i="12"/>
  <c r="AK60" i="12"/>
  <c r="AK54" i="12"/>
  <c r="AK48" i="12"/>
  <c r="AK42" i="12"/>
  <c r="AK36" i="12"/>
  <c r="AK30" i="12"/>
  <c r="AK24" i="12"/>
  <c r="AK18" i="12"/>
  <c r="AK12" i="12"/>
  <c r="AK383" i="12"/>
  <c r="AK323" i="12"/>
  <c r="AK287" i="12"/>
  <c r="AK281" i="12"/>
  <c r="AK269" i="12"/>
  <c r="AK263" i="12"/>
  <c r="AK257" i="12"/>
  <c r="AK251" i="12"/>
  <c r="AK245" i="12"/>
  <c r="AK239" i="12"/>
  <c r="AK233" i="12"/>
  <c r="AK221" i="12"/>
  <c r="AK215" i="12"/>
  <c r="AK209" i="12"/>
  <c r="AK203" i="12"/>
  <c r="AK197" i="12"/>
  <c r="AK191" i="12"/>
  <c r="AK185" i="12"/>
  <c r="AK179" i="12"/>
  <c r="AK173" i="12"/>
  <c r="AK167" i="12"/>
  <c r="AK161" i="12"/>
  <c r="AK155" i="12"/>
  <c r="AK149" i="12"/>
  <c r="AK143" i="12"/>
  <c r="AK137" i="12"/>
  <c r="AK131" i="12"/>
  <c r="AK125" i="12"/>
  <c r="AK119" i="12"/>
  <c r="AK113" i="12"/>
  <c r="AK107" i="12"/>
  <c r="AK101" i="12"/>
  <c r="AK95" i="12"/>
  <c r="AK89" i="12"/>
  <c r="AK83" i="12"/>
  <c r="AK77" i="12"/>
  <c r="AK71" i="12"/>
  <c r="AK65" i="12"/>
  <c r="AK59" i="12"/>
  <c r="AK53" i="12"/>
  <c r="AK47" i="12"/>
  <c r="AK41" i="12"/>
  <c r="AK35" i="12"/>
  <c r="AK29" i="12"/>
  <c r="AK23" i="12"/>
  <c r="AK17" i="12"/>
  <c r="AK11" i="12"/>
  <c r="AK377" i="12"/>
  <c r="AK335" i="12"/>
  <c r="AK293" i="12"/>
  <c r="AK275" i="12"/>
  <c r="AK227" i="12"/>
  <c r="AK401" i="12"/>
  <c r="AK353" i="12"/>
  <c r="AK317" i="12"/>
  <c r="AK394" i="12"/>
  <c r="AK364" i="12"/>
  <c r="AK346" i="12"/>
  <c r="AK328" i="12"/>
  <c r="AK316" i="12"/>
  <c r="AK310" i="12"/>
  <c r="AK292" i="12"/>
  <c r="AK286" i="12"/>
  <c r="AK280" i="12"/>
  <c r="AK274" i="12"/>
  <c r="AK268" i="12"/>
  <c r="AK262" i="12"/>
  <c r="AK256" i="12"/>
  <c r="AK250" i="12"/>
  <c r="AK244" i="12"/>
  <c r="AK238" i="12"/>
  <c r="AK232" i="12"/>
  <c r="AK226" i="12"/>
  <c r="AK220" i="12"/>
  <c r="AK214" i="12"/>
  <c r="AK208" i="12"/>
  <c r="AK202" i="12"/>
  <c r="AK196" i="12"/>
  <c r="AK190" i="12"/>
  <c r="AK184" i="12"/>
  <c r="AK178" i="12"/>
  <c r="AK172" i="12"/>
  <c r="AK166" i="12"/>
  <c r="AK160" i="12"/>
  <c r="AK154" i="12"/>
  <c r="AK148" i="12"/>
  <c r="AK142" i="12"/>
  <c r="AK136" i="12"/>
  <c r="AK130" i="12"/>
  <c r="AK124" i="12"/>
  <c r="AK118" i="12"/>
  <c r="AK112" i="12"/>
  <c r="AK106" i="12"/>
  <c r="AK100" i="12"/>
  <c r="AK94" i="12"/>
  <c r="AK88" i="12"/>
  <c r="AK82" i="12"/>
  <c r="AK76" i="12"/>
  <c r="AK70" i="12"/>
  <c r="AK64" i="12"/>
  <c r="AK58" i="12"/>
  <c r="AK52" i="12"/>
  <c r="AK46" i="12"/>
  <c r="AK40" i="12"/>
  <c r="AK34" i="12"/>
  <c r="AK28" i="12"/>
  <c r="AK22" i="12"/>
  <c r="AK16" i="12"/>
  <c r="AK10" i="12"/>
  <c r="AK365" i="12"/>
  <c r="AK311" i="12"/>
  <c r="AK358" i="12"/>
  <c r="AK304" i="12"/>
  <c r="AK359" i="12"/>
  <c r="AK305" i="12"/>
  <c r="AK382" i="12"/>
  <c r="AK352" i="12"/>
  <c r="AK334" i="12"/>
  <c r="AK322" i="12"/>
  <c r="AK298" i="12"/>
  <c r="AK405" i="12"/>
  <c r="AK399" i="12"/>
  <c r="AK393" i="12"/>
  <c r="AK387" i="12"/>
  <c r="AK381" i="12"/>
  <c r="AK375" i="12"/>
  <c r="AK369" i="12"/>
  <c r="AK363" i="12"/>
  <c r="AK357" i="12"/>
  <c r="AK351" i="12"/>
  <c r="AK345" i="12"/>
  <c r="AK339" i="12"/>
  <c r="AK333" i="12"/>
  <c r="AK327" i="12"/>
  <c r="AK321" i="12"/>
  <c r="AK315" i="12"/>
  <c r="AK309" i="12"/>
  <c r="AK303" i="12"/>
  <c r="AK297" i="12"/>
  <c r="AK291" i="12"/>
  <c r="AK285" i="12"/>
  <c r="AK279" i="12"/>
  <c r="AK273" i="12"/>
  <c r="AK267" i="12"/>
  <c r="AK261" i="12"/>
  <c r="AK255" i="12"/>
  <c r="AK249" i="12"/>
  <c r="AK243" i="12"/>
  <c r="AK237" i="12"/>
  <c r="AK231" i="12"/>
  <c r="AK225" i="12"/>
  <c r="AK219" i="12"/>
  <c r="AK213" i="12"/>
  <c r="AK207" i="12"/>
  <c r="AK201" i="12"/>
  <c r="AK195" i="12"/>
  <c r="AK189" i="12"/>
  <c r="AK183" i="12"/>
  <c r="AK177" i="12"/>
  <c r="AK171" i="12"/>
  <c r="AK165" i="12"/>
  <c r="AK159" i="12"/>
  <c r="AK153" i="12"/>
  <c r="AK147" i="12"/>
  <c r="AK141" i="12"/>
  <c r="AK135" i="12"/>
  <c r="AK129" i="12"/>
  <c r="AK123" i="12"/>
  <c r="AK117" i="12"/>
  <c r="AK111" i="12"/>
  <c r="AK105" i="12"/>
  <c r="AK99" i="12"/>
  <c r="AK93" i="12"/>
  <c r="AK87" i="12"/>
  <c r="AK81" i="12"/>
  <c r="AK75" i="12"/>
  <c r="AK69" i="12"/>
  <c r="AK63" i="12"/>
  <c r="AK57" i="12"/>
  <c r="AK51" i="12"/>
  <c r="AK45" i="12"/>
  <c r="AK39" i="12"/>
  <c r="AK33" i="12"/>
  <c r="AK27" i="12"/>
  <c r="AK21" i="12"/>
  <c r="AK15" i="12"/>
  <c r="AK9" i="12"/>
  <c r="AK340" i="12"/>
  <c r="AK194" i="12"/>
  <c r="AK188" i="12"/>
  <c r="AK182" i="12"/>
  <c r="AK176" i="12"/>
  <c r="AK170" i="12"/>
  <c r="AK164" i="12"/>
  <c r="AK158" i="12"/>
  <c r="AK152" i="12"/>
  <c r="AK146" i="12"/>
  <c r="AK140" i="12"/>
  <c r="AK134" i="12"/>
  <c r="AK128" i="12"/>
  <c r="AK122" i="12"/>
  <c r="AK116" i="12"/>
  <c r="AK110" i="12"/>
  <c r="AK104" i="12"/>
  <c r="AK98" i="12"/>
  <c r="AK92" i="12"/>
  <c r="AK86" i="12"/>
  <c r="AK80" i="12"/>
  <c r="AK74" i="12"/>
  <c r="AK68" i="12"/>
  <c r="AK62" i="12"/>
  <c r="AK56" i="12"/>
  <c r="AK50" i="12"/>
  <c r="AK44" i="12"/>
  <c r="AK38" i="12"/>
  <c r="AK32" i="12"/>
  <c r="AK26" i="12"/>
  <c r="AK20" i="12"/>
  <c r="AK14" i="12"/>
  <c r="AK8" i="12"/>
  <c r="AK389" i="12"/>
  <c r="AK329" i="12"/>
  <c r="AK406" i="12"/>
  <c r="AK370" i="12"/>
  <c r="AK392" i="12"/>
  <c r="AK380" i="12"/>
  <c r="AK362" i="12"/>
  <c r="AK344" i="12"/>
  <c r="AK320" i="12"/>
  <c r="AK302" i="12"/>
  <c r="AK284" i="12"/>
  <c r="AK266" i="12"/>
  <c r="AK242" i="12"/>
  <c r="AK200" i="12"/>
  <c r="AK371" i="12"/>
  <c r="AK341" i="12"/>
  <c r="AK400" i="12"/>
  <c r="AK376" i="12"/>
  <c r="AK398" i="12"/>
  <c r="AK374" i="12"/>
  <c r="AK356" i="12"/>
  <c r="AK338" i="12"/>
  <c r="AK326" i="12"/>
  <c r="AK308" i="12"/>
  <c r="AK290" i="12"/>
  <c r="AK272" i="12"/>
  <c r="AK254" i="12"/>
  <c r="AK236" i="12"/>
  <c r="AK224" i="12"/>
  <c r="AK218" i="12"/>
  <c r="AK206" i="12"/>
  <c r="AK403" i="12"/>
  <c r="AK391" i="12"/>
  <c r="AK385" i="12"/>
  <c r="AK379" i="12"/>
  <c r="AK373" i="12"/>
  <c r="AK367" i="12"/>
  <c r="AK361" i="12"/>
  <c r="AK355" i="12"/>
  <c r="AK349" i="12"/>
  <c r="AK343" i="12"/>
  <c r="AK337" i="12"/>
  <c r="AK331" i="12"/>
  <c r="AK325" i="12"/>
  <c r="AK319" i="12"/>
  <c r="AK313" i="12"/>
  <c r="AK307" i="12"/>
  <c r="AK301" i="12"/>
  <c r="AK295" i="12"/>
  <c r="AK289" i="12"/>
  <c r="AK283" i="12"/>
  <c r="AK277" i="12"/>
  <c r="AK271" i="12"/>
  <c r="AK265" i="12"/>
  <c r="AK259" i="12"/>
  <c r="AK253" i="12"/>
  <c r="AK247" i="12"/>
  <c r="AK241" i="12"/>
  <c r="AK235" i="12"/>
  <c r="AK229" i="12"/>
  <c r="AK223" i="12"/>
  <c r="AK217" i="12"/>
  <c r="AK211" i="12"/>
  <c r="AK205" i="12"/>
  <c r="AK199" i="12"/>
  <c r="AK193" i="12"/>
  <c r="AK187" i="12"/>
  <c r="AK181" i="12"/>
  <c r="AK175" i="12"/>
  <c r="AK169" i="12"/>
  <c r="AK163" i="12"/>
  <c r="AK157" i="12"/>
  <c r="AK151" i="12"/>
  <c r="AK145" i="12"/>
  <c r="AK139" i="12"/>
  <c r="AK133" i="12"/>
  <c r="AK127" i="12"/>
  <c r="AK121" i="12"/>
  <c r="AK115" i="12"/>
  <c r="AK109" i="12"/>
  <c r="AK103" i="12"/>
  <c r="AK97" i="12"/>
  <c r="AK91" i="12"/>
  <c r="AK85" i="12"/>
  <c r="AK79" i="12"/>
  <c r="AK73" i="12"/>
  <c r="AK67" i="12"/>
  <c r="AK61" i="12"/>
  <c r="AK55" i="12"/>
  <c r="AK49" i="12"/>
  <c r="AK43" i="12"/>
  <c r="AK37" i="12"/>
  <c r="AK31" i="12"/>
  <c r="AK25" i="12"/>
  <c r="AK19" i="12"/>
  <c r="AK13" i="12"/>
  <c r="AK7" i="12"/>
  <c r="AK395" i="12"/>
  <c r="AK347" i="12"/>
  <c r="AK299" i="12"/>
  <c r="AK388" i="12"/>
  <c r="AK404" i="12"/>
  <c r="AK386" i="12"/>
  <c r="AK368" i="12"/>
  <c r="AK350" i="12"/>
  <c r="AK332" i="12"/>
  <c r="AK314" i="12"/>
  <c r="AK296" i="12"/>
  <c r="AK278" i="12"/>
  <c r="AK260" i="12"/>
  <c r="AK248" i="12"/>
  <c r="AK230" i="12"/>
  <c r="AK212" i="12"/>
  <c r="AK397" i="12"/>
  <c r="Y6" i="12"/>
  <c r="Y1290" i="12"/>
  <c r="Y1242" i="12"/>
  <c r="Y1302" i="12"/>
  <c r="Y1266" i="12"/>
  <c r="Y1194" i="12"/>
  <c r="Y1314" i="12"/>
  <c r="Y1278" i="12"/>
  <c r="Y1254" i="12"/>
  <c r="Y1230" i="12"/>
  <c r="Y1218" i="12"/>
  <c r="Y1206" i="12"/>
  <c r="Y1122" i="12"/>
  <c r="Y1098" i="12"/>
  <c r="Y978" i="12"/>
  <c r="Y846" i="12"/>
  <c r="Y714" i="12"/>
  <c r="Y582" i="12"/>
  <c r="Y462" i="12"/>
  <c r="Y390" i="12"/>
  <c r="Y306" i="12"/>
  <c r="Y234" i="12"/>
  <c r="Y210" i="12"/>
  <c r="Y186" i="12"/>
  <c r="Y162" i="12"/>
  <c r="Y66" i="12"/>
  <c r="Y1229" i="12"/>
  <c r="Y1121" i="12"/>
  <c r="Y1109" i="12"/>
  <c r="Y1097" i="12"/>
  <c r="Y1085" i="12"/>
  <c r="Y1073" i="12"/>
  <c r="Y1061" i="12"/>
  <c r="Y1049" i="12"/>
  <c r="Y1037" i="12"/>
  <c r="Y1025" i="12"/>
  <c r="Y1013" i="12"/>
  <c r="Y1001" i="12"/>
  <c r="Y989" i="12"/>
  <c r="Y977" i="12"/>
  <c r="Y965" i="12"/>
  <c r="Y953" i="12"/>
  <c r="Y941" i="12"/>
  <c r="Y929" i="12"/>
  <c r="Y917" i="12"/>
  <c r="Y905" i="12"/>
  <c r="Y893" i="12"/>
  <c r="Y881" i="12"/>
  <c r="Y869" i="12"/>
  <c r="Y857" i="12"/>
  <c r="Y845" i="12"/>
  <c r="Y833" i="12"/>
  <c r="Y821" i="12"/>
  <c r="Y809" i="12"/>
  <c r="Y797" i="12"/>
  <c r="Y785" i="12"/>
  <c r="Y773" i="12"/>
  <c r="Y761" i="12"/>
  <c r="Y749" i="12"/>
  <c r="Y737" i="12"/>
  <c r="Y725" i="12"/>
  <c r="Y713" i="12"/>
  <c r="Y701" i="12"/>
  <c r="Y689" i="12"/>
  <c r="Y677" i="12"/>
  <c r="Y665" i="12"/>
  <c r="Y653" i="12"/>
  <c r="Y641" i="12"/>
  <c r="Y629" i="12"/>
  <c r="Y617" i="12"/>
  <c r="Y605" i="12"/>
  <c r="Y593" i="12"/>
  <c r="Y581" i="12"/>
  <c r="Y569" i="12"/>
  <c r="Y557" i="12"/>
  <c r="Y545" i="12"/>
  <c r="Y533" i="12"/>
  <c r="Y521" i="12"/>
  <c r="Y509" i="12"/>
  <c r="Y497" i="12"/>
  <c r="Y485" i="12"/>
  <c r="Y473" i="12"/>
  <c r="Y461" i="12"/>
  <c r="Y449" i="12"/>
  <c r="Y437" i="12"/>
  <c r="Y425" i="12"/>
  <c r="Y413" i="12"/>
  <c r="Y401" i="12"/>
  <c r="Y389" i="12"/>
  <c r="Y377" i="12"/>
  <c r="Y365" i="12"/>
  <c r="Y353" i="12"/>
  <c r="Y341" i="12"/>
  <c r="Y329" i="12"/>
  <c r="Y317" i="12"/>
  <c r="Y305" i="12"/>
  <c r="Y293" i="12"/>
  <c r="Y281" i="12"/>
  <c r="Y269" i="12"/>
  <c r="Y257" i="12"/>
  <c r="Y245" i="12"/>
  <c r="Y233" i="12"/>
  <c r="Y221" i="12"/>
  <c r="Y209" i="12"/>
  <c r="Y197" i="12"/>
  <c r="Y185" i="12"/>
  <c r="Y173" i="12"/>
  <c r="Y161" i="12"/>
  <c r="Y149" i="12"/>
  <c r="Y137" i="12"/>
  <c r="Y125" i="12"/>
  <c r="Y113" i="12"/>
  <c r="Y101" i="12"/>
  <c r="Y89" i="12"/>
  <c r="Y77" i="12"/>
  <c r="Y65" i="12"/>
  <c r="Y53" i="12"/>
  <c r="Y41" i="12"/>
  <c r="Y29" i="12"/>
  <c r="Y17" i="12"/>
  <c r="Y1062" i="12"/>
  <c r="Y954" i="12"/>
  <c r="Y822" i="12"/>
  <c r="Y690" i="12"/>
  <c r="Y570" i="12"/>
  <c r="Y450" i="12"/>
  <c r="Y378" i="12"/>
  <c r="Y246" i="12"/>
  <c r="Y222" i="12"/>
  <c r="Y198" i="12"/>
  <c r="Y174" i="12"/>
  <c r="Y150" i="12"/>
  <c r="Y54" i="12"/>
  <c r="Y1193" i="12"/>
  <c r="Y1252" i="12"/>
  <c r="Y1192" i="12"/>
  <c r="Y1156" i="12"/>
  <c r="Y1144" i="12"/>
  <c r="Y1132" i="12"/>
  <c r="Y1120" i="12"/>
  <c r="Y1108" i="12"/>
  <c r="Y1096" i="12"/>
  <c r="Y1084" i="12"/>
  <c r="Y1072" i="12"/>
  <c r="Y1060" i="12"/>
  <c r="Y1048" i="12"/>
  <c r="Y1036" i="12"/>
  <c r="Y1024" i="12"/>
  <c r="Y1012" i="12"/>
  <c r="Y1000" i="12"/>
  <c r="Y988" i="12"/>
  <c r="Y976" i="12"/>
  <c r="Y964" i="12"/>
  <c r="Y952" i="12"/>
  <c r="Y940" i="12"/>
  <c r="Y928" i="12"/>
  <c r="Y916" i="12"/>
  <c r="Y904" i="12"/>
  <c r="Y892" i="12"/>
  <c r="Y880" i="12"/>
  <c r="Y868" i="12"/>
  <c r="Y856" i="12"/>
  <c r="Y844" i="12"/>
  <c r="Y832" i="12"/>
  <c r="Y820" i="12"/>
  <c r="Y808" i="12"/>
  <c r="Y796" i="12"/>
  <c r="Y784" i="12"/>
  <c r="Y772" i="12"/>
  <c r="Y760" i="12"/>
  <c r="Y748" i="12"/>
  <c r="Y736" i="12"/>
  <c r="Y724" i="12"/>
  <c r="Y712" i="12"/>
  <c r="Y700" i="12"/>
  <c r="Y688" i="12"/>
  <c r="Y676" i="12"/>
  <c r="Y664" i="12"/>
  <c r="Y652" i="12"/>
  <c r="Y640" i="12"/>
  <c r="Y628" i="12"/>
  <c r="Y616" i="12"/>
  <c r="Y604" i="12"/>
  <c r="Y592" i="12"/>
  <c r="Y580" i="12"/>
  <c r="Y568" i="12"/>
  <c r="Y556" i="12"/>
  <c r="Y544" i="12"/>
  <c r="Y532" i="12"/>
  <c r="Y520" i="12"/>
  <c r="Y508" i="12"/>
  <c r="Y496" i="12"/>
  <c r="Y484" i="12"/>
  <c r="Y472" i="12"/>
  <c r="Y460" i="12"/>
  <c r="Y448" i="12"/>
  <c r="Y436" i="12"/>
  <c r="Y424" i="12"/>
  <c r="Y412" i="12"/>
  <c r="Y400" i="12"/>
  <c r="Y388" i="12"/>
  <c r="Y376" i="12"/>
  <c r="Y364" i="12"/>
  <c r="Y352" i="12"/>
  <c r="Y340" i="12"/>
  <c r="Y328" i="12"/>
  <c r="Y316" i="12"/>
  <c r="Y304" i="12"/>
  <c r="Y292" i="12"/>
  <c r="Y280" i="12"/>
  <c r="Y268" i="12"/>
  <c r="Y256" i="12"/>
  <c r="Y244" i="12"/>
  <c r="Y232" i="12"/>
  <c r="Y220" i="12"/>
  <c r="Y208" i="12"/>
  <c r="Y196" i="12"/>
  <c r="Y184" i="12"/>
  <c r="Y172" i="12"/>
  <c r="Y160" i="12"/>
  <c r="Y148" i="12"/>
  <c r="Y136" i="12"/>
  <c r="Y124" i="12"/>
  <c r="Y112" i="12"/>
  <c r="Y100" i="12"/>
  <c r="Y88" i="12"/>
  <c r="Y76" i="12"/>
  <c r="Y64" i="12"/>
  <c r="Y52" i="12"/>
  <c r="Y40" i="12"/>
  <c r="Y28" i="12"/>
  <c r="Y16" i="12"/>
  <c r="Y1182" i="12"/>
  <c r="Y1050" i="12"/>
  <c r="Y918" i="12"/>
  <c r="Y798" i="12"/>
  <c r="Y666" i="12"/>
  <c r="Y522" i="12"/>
  <c r="Y354" i="12"/>
  <c r="Y18" i="12"/>
  <c r="Y1253" i="12"/>
  <c r="Y1312" i="12"/>
  <c r="Y1264" i="12"/>
  <c r="Y1180" i="12"/>
  <c r="Y1287" i="12"/>
  <c r="Y1239" i="12"/>
  <c r="Y1191" i="12"/>
  <c r="Y1179" i="12"/>
  <c r="Y1167" i="12"/>
  <c r="Y1155" i="12"/>
  <c r="Y1143" i="12"/>
  <c r="Y1131" i="12"/>
  <c r="Y1119" i="12"/>
  <c r="Y1107" i="12"/>
  <c r="Y1095" i="12"/>
  <c r="Y1083" i="12"/>
  <c r="Y1071" i="12"/>
  <c r="Y1059" i="12"/>
  <c r="Y1047" i="12"/>
  <c r="Y1035" i="12"/>
  <c r="Y1023" i="12"/>
  <c r="Y1011" i="12"/>
  <c r="Y999" i="12"/>
  <c r="Y987" i="12"/>
  <c r="Y975" i="12"/>
  <c r="Y963" i="12"/>
  <c r="Y951" i="12"/>
  <c r="Y939" i="12"/>
  <c r="Y927" i="12"/>
  <c r="Y915" i="12"/>
  <c r="Y903" i="12"/>
  <c r="Y891" i="12"/>
  <c r="Y879" i="12"/>
  <c r="Y867" i="12"/>
  <c r="Y855" i="12"/>
  <c r="Y843" i="12"/>
  <c r="Y831" i="12"/>
  <c r="Y819" i="12"/>
  <c r="Y807" i="12"/>
  <c r="Y795" i="12"/>
  <c r="Y783" i="12"/>
  <c r="Y771" i="12"/>
  <c r="Y759" i="12"/>
  <c r="Y747" i="12"/>
  <c r="Y735" i="12"/>
  <c r="Y723" i="12"/>
  <c r="Y711" i="12"/>
  <c r="Y699" i="12"/>
  <c r="Y687" i="12"/>
  <c r="Y675" i="12"/>
  <c r="Y663" i="12"/>
  <c r="Y651" i="12"/>
  <c r="Y639" i="12"/>
  <c r="Y627" i="12"/>
  <c r="Y615" i="12"/>
  <c r="Y603" i="12"/>
  <c r="Y591" i="12"/>
  <c r="Y579" i="12"/>
  <c r="Y567" i="12"/>
  <c r="Y555" i="12"/>
  <c r="Y543" i="12"/>
  <c r="Y531" i="12"/>
  <c r="Y519" i="12"/>
  <c r="Y507" i="12"/>
  <c r="Y495" i="12"/>
  <c r="Y483" i="12"/>
  <c r="Y471" i="12"/>
  <c r="Y459" i="12"/>
  <c r="Y447" i="12"/>
  <c r="Y435" i="12"/>
  <c r="Y423" i="12"/>
  <c r="Y411" i="12"/>
  <c r="Y399" i="12"/>
  <c r="Y387" i="12"/>
  <c r="Y375" i="12"/>
  <c r="Y363" i="12"/>
  <c r="Y351" i="12"/>
  <c r="Y339" i="12"/>
  <c r="Y327" i="12"/>
  <c r="Y315" i="12"/>
  <c r="Y303" i="12"/>
  <c r="Y291" i="12"/>
  <c r="Y279" i="12"/>
  <c r="Y267" i="12"/>
  <c r="Y255" i="12"/>
  <c r="Y243" i="12"/>
  <c r="Y231" i="12"/>
  <c r="Y219" i="12"/>
  <c r="Y207" i="12"/>
  <c r="Y195" i="12"/>
  <c r="Y183" i="12"/>
  <c r="Y171" i="12"/>
  <c r="Y159" i="12"/>
  <c r="Y147" i="12"/>
  <c r="Y135" i="12"/>
  <c r="Y123" i="12"/>
  <c r="Y111" i="12"/>
  <c r="Y99" i="12"/>
  <c r="Y87" i="12"/>
  <c r="Y75" i="12"/>
  <c r="Y63" i="12"/>
  <c r="Y51" i="12"/>
  <c r="Y39" i="12"/>
  <c r="Y27" i="12"/>
  <c r="Y15" i="12"/>
  <c r="Y1074" i="12"/>
  <c r="Y942" i="12"/>
  <c r="Y810" i="12"/>
  <c r="Y678" i="12"/>
  <c r="Y546" i="12"/>
  <c r="Y426" i="12"/>
  <c r="Y282" i="12"/>
  <c r="Y102" i="12"/>
  <c r="Y1265" i="12"/>
  <c r="Y1145" i="12"/>
  <c r="Y1276" i="12"/>
  <c r="Y1216" i="12"/>
  <c r="Y1311" i="12"/>
  <c r="Y1275" i="12"/>
  <c r="Y1227" i="12"/>
  <c r="Y1298" i="12"/>
  <c r="Y1274" i="12"/>
  <c r="Y1262" i="12"/>
  <c r="Y1250" i="12"/>
  <c r="Y1238" i="12"/>
  <c r="Y1226" i="12"/>
  <c r="Y1214" i="12"/>
  <c r="Y1202" i="12"/>
  <c r="Y1190" i="12"/>
  <c r="Y1178" i="12"/>
  <c r="Y1166" i="12"/>
  <c r="Y1154" i="12"/>
  <c r="Y1142" i="12"/>
  <c r="Y1130" i="12"/>
  <c r="Y1118" i="12"/>
  <c r="Y1106" i="12"/>
  <c r="Y1094" i="12"/>
  <c r="Y1082" i="12"/>
  <c r="Y1070" i="12"/>
  <c r="Y1058" i="12"/>
  <c r="Y1046" i="12"/>
  <c r="Y1034" i="12"/>
  <c r="Y1022" i="12"/>
  <c r="Y1010" i="12"/>
  <c r="Y998" i="12"/>
  <c r="Y986" i="12"/>
  <c r="Y974" i="12"/>
  <c r="Y962" i="12"/>
  <c r="Y950" i="12"/>
  <c r="Y938" i="12"/>
  <c r="Y926" i="12"/>
  <c r="Y914" i="12"/>
  <c r="Y902" i="12"/>
  <c r="Y890" i="12"/>
  <c r="Y878" i="12"/>
  <c r="Y866" i="12"/>
  <c r="Y854" i="12"/>
  <c r="Y842" i="12"/>
  <c r="Y830" i="12"/>
  <c r="Y818" i="12"/>
  <c r="Y806" i="12"/>
  <c r="Y794" i="12"/>
  <c r="Y782" i="12"/>
  <c r="Y770" i="12"/>
  <c r="Y758" i="12"/>
  <c r="Y746" i="12"/>
  <c r="Y734" i="12"/>
  <c r="Y722" i="12"/>
  <c r="Y710" i="12"/>
  <c r="Y698" i="12"/>
  <c r="Y686" i="12"/>
  <c r="Y674" i="12"/>
  <c r="Y662" i="12"/>
  <c r="Y650" i="12"/>
  <c r="Y638" i="12"/>
  <c r="Y626" i="12"/>
  <c r="Y614" i="12"/>
  <c r="Y602" i="12"/>
  <c r="Y590" i="12"/>
  <c r="Y578" i="12"/>
  <c r="Y566" i="12"/>
  <c r="Y554" i="12"/>
  <c r="Y542" i="12"/>
  <c r="Y530" i="12"/>
  <c r="Y518" i="12"/>
  <c r="Y506" i="12"/>
  <c r="Y494" i="12"/>
  <c r="Y482" i="12"/>
  <c r="Y470" i="12"/>
  <c r="Y458" i="12"/>
  <c r="Y446" i="12"/>
  <c r="Y434" i="12"/>
  <c r="Y422" i="12"/>
  <c r="Y410" i="12"/>
  <c r="Y398" i="12"/>
  <c r="Y386" i="12"/>
  <c r="Y374" i="12"/>
  <c r="Y362" i="12"/>
  <c r="Y350" i="12"/>
  <c r="Y338" i="12"/>
  <c r="Y326" i="12"/>
  <c r="Y314" i="12"/>
  <c r="Y302" i="12"/>
  <c r="Y290" i="12"/>
  <c r="Y278" i="12"/>
  <c r="Y266" i="12"/>
  <c r="Y254" i="12"/>
  <c r="Y242" i="12"/>
  <c r="Y230" i="12"/>
  <c r="Y218" i="12"/>
  <c r="Y206" i="12"/>
  <c r="Y194" i="12"/>
  <c r="Y182" i="12"/>
  <c r="Y170" i="12"/>
  <c r="Y158" i="12"/>
  <c r="Y146" i="12"/>
  <c r="Y134" i="12"/>
  <c r="Y122" i="12"/>
  <c r="Y110" i="12"/>
  <c r="Y98" i="12"/>
  <c r="Y86" i="12"/>
  <c r="Y74" i="12"/>
  <c r="Y62" i="12"/>
  <c r="Y50" i="12"/>
  <c r="Y38" i="12"/>
  <c r="Y26" i="12"/>
  <c r="Y14" i="12"/>
  <c r="Y1146" i="12"/>
  <c r="Y1002" i="12"/>
  <c r="Y882" i="12"/>
  <c r="Y750" i="12"/>
  <c r="Y630" i="12"/>
  <c r="Y510" i="12"/>
  <c r="Y342" i="12"/>
  <c r="Y30" i="12"/>
  <c r="Y1181" i="12"/>
  <c r="Y1288" i="12"/>
  <c r="Y1228" i="12"/>
  <c r="Y1168" i="12"/>
  <c r="Y1263" i="12"/>
  <c r="Y1215" i="12"/>
  <c r="Y1310" i="12"/>
  <c r="Y1309" i="12"/>
  <c r="Y1285" i="12"/>
  <c r="Y1273" i="12"/>
  <c r="Y1249" i="12"/>
  <c r="Y1237" i="12"/>
  <c r="Y1225" i="12"/>
  <c r="Y1213" i="12"/>
  <c r="Y1201" i="12"/>
  <c r="Y1189" i="12"/>
  <c r="Y1177" i="12"/>
  <c r="Y1165" i="12"/>
  <c r="Y1153" i="12"/>
  <c r="Y1141" i="12"/>
  <c r="Y1129" i="12"/>
  <c r="Y1117" i="12"/>
  <c r="Y1105" i="12"/>
  <c r="Y1093" i="12"/>
  <c r="Y1081" i="12"/>
  <c r="Y1069" i="12"/>
  <c r="Y1057" i="12"/>
  <c r="Y1045" i="12"/>
  <c r="Y1033" i="12"/>
  <c r="Y1021" i="12"/>
  <c r="Y1009" i="12"/>
  <c r="Y997" i="12"/>
  <c r="Y985" i="12"/>
  <c r="Y973" i="12"/>
  <c r="Y961" i="12"/>
  <c r="Y949" i="12"/>
  <c r="Y937" i="12"/>
  <c r="Y925" i="12"/>
  <c r="Y913" i="12"/>
  <c r="Y901" i="12"/>
  <c r="Y889" i="12"/>
  <c r="Y877" i="12"/>
  <c r="Y865" i="12"/>
  <c r="Y853" i="12"/>
  <c r="Y841" i="12"/>
  <c r="Y829" i="12"/>
  <c r="Y817" i="12"/>
  <c r="Y805" i="12"/>
  <c r="Y793" i="12"/>
  <c r="Y781" i="12"/>
  <c r="Y769" i="12"/>
  <c r="Y757" i="12"/>
  <c r="Y745" i="12"/>
  <c r="Y733" i="12"/>
  <c r="Y721" i="12"/>
  <c r="Y709" i="12"/>
  <c r="Y697" i="12"/>
  <c r="Y685" i="12"/>
  <c r="Y673" i="12"/>
  <c r="Y661" i="12"/>
  <c r="Y649" i="12"/>
  <c r="Y637" i="12"/>
  <c r="Y625" i="12"/>
  <c r="Y613" i="12"/>
  <c r="Y601" i="12"/>
  <c r="Y589" i="12"/>
  <c r="Y577" i="12"/>
  <c r="Y565" i="12"/>
  <c r="Y553" i="12"/>
  <c r="Y541" i="12"/>
  <c r="Y529" i="12"/>
  <c r="Y517" i="12"/>
  <c r="Y505" i="12"/>
  <c r="Y493" i="12"/>
  <c r="Y481" i="12"/>
  <c r="Y469" i="12"/>
  <c r="Y457" i="12"/>
  <c r="Y445" i="12"/>
  <c r="Y433" i="12"/>
  <c r="Y421" i="12"/>
  <c r="Y409" i="12"/>
  <c r="Y397" i="12"/>
  <c r="Y385" i="12"/>
  <c r="Y373" i="12"/>
  <c r="Y361" i="12"/>
  <c r="Y349" i="12"/>
  <c r="Y337" i="12"/>
  <c r="Y325" i="12"/>
  <c r="Y313" i="12"/>
  <c r="Y301" i="12"/>
  <c r="Y289" i="12"/>
  <c r="Y277" i="12"/>
  <c r="Y265" i="12"/>
  <c r="Y253" i="12"/>
  <c r="Y241" i="12"/>
  <c r="Y229" i="12"/>
  <c r="Y217" i="12"/>
  <c r="Y205" i="12"/>
  <c r="Y193" i="12"/>
  <c r="Y181" i="12"/>
  <c r="Y169" i="12"/>
  <c r="Y157" i="12"/>
  <c r="Y145" i="12"/>
  <c r="Y133" i="12"/>
  <c r="Y121" i="12"/>
  <c r="Y109" i="12"/>
  <c r="Y97" i="12"/>
  <c r="Y85" i="12"/>
  <c r="Y73" i="12"/>
  <c r="Y61" i="12"/>
  <c r="Y49" i="12"/>
  <c r="Y37" i="12"/>
  <c r="Y25" i="12"/>
  <c r="Y13" i="12"/>
  <c r="Y990" i="12"/>
  <c r="Y858" i="12"/>
  <c r="Y726" i="12"/>
  <c r="Y594" i="12"/>
  <c r="Y474" i="12"/>
  <c r="Y366" i="12"/>
  <c r="Y90" i="12"/>
  <c r="Y1289" i="12"/>
  <c r="Y1205" i="12"/>
  <c r="Y1300" i="12"/>
  <c r="Y1240" i="12"/>
  <c r="Y1204" i="12"/>
  <c r="Y1299" i="12"/>
  <c r="Y1251" i="12"/>
  <c r="Y1203" i="12"/>
  <c r="Y1286" i="12"/>
  <c r="Y1297" i="12"/>
  <c r="Y1261" i="12"/>
  <c r="Y1308" i="12"/>
  <c r="Y1296" i="12"/>
  <c r="Y1284" i="12"/>
  <c r="Y1272" i="12"/>
  <c r="Y1260" i="12"/>
  <c r="Y1248" i="12"/>
  <c r="Y1236" i="12"/>
  <c r="Y1224" i="12"/>
  <c r="Y1212" i="12"/>
  <c r="Y1200" i="12"/>
  <c r="Y1188" i="12"/>
  <c r="Y1176" i="12"/>
  <c r="Y1164" i="12"/>
  <c r="Y1152" i="12"/>
  <c r="Y1140" i="12"/>
  <c r="Y1128" i="12"/>
  <c r="Y1116" i="12"/>
  <c r="Y1104" i="12"/>
  <c r="Y1092" i="12"/>
  <c r="Y1080" i="12"/>
  <c r="Y1068" i="12"/>
  <c r="Y1056" i="12"/>
  <c r="Y1044" i="12"/>
  <c r="Y1032" i="12"/>
  <c r="Y1020" i="12"/>
  <c r="Y1008" i="12"/>
  <c r="Y996" i="12"/>
  <c r="Y984" i="12"/>
  <c r="Y972" i="12"/>
  <c r="Y960" i="12"/>
  <c r="Y948" i="12"/>
  <c r="Y936" i="12"/>
  <c r="Y924" i="12"/>
  <c r="Y912" i="12"/>
  <c r="Y900" i="12"/>
  <c r="Y888" i="12"/>
  <c r="Y876" i="12"/>
  <c r="Y864" i="12"/>
  <c r="Y852" i="12"/>
  <c r="Y840" i="12"/>
  <c r="Y828" i="12"/>
  <c r="Y816" i="12"/>
  <c r="Y804" i="12"/>
  <c r="Y792" i="12"/>
  <c r="Y780" i="12"/>
  <c r="Y768" i="12"/>
  <c r="Y756" i="12"/>
  <c r="Y744" i="12"/>
  <c r="Y732" i="12"/>
  <c r="Y720" i="12"/>
  <c r="Y708" i="12"/>
  <c r="Y696" i="12"/>
  <c r="Y684" i="12"/>
  <c r="Y672" i="12"/>
  <c r="Y660" i="12"/>
  <c r="Y648" i="12"/>
  <c r="Y636" i="12"/>
  <c r="Y624" i="12"/>
  <c r="Y612" i="12"/>
  <c r="Y600" i="12"/>
  <c r="Y588" i="12"/>
  <c r="Y576" i="12"/>
  <c r="Y564" i="12"/>
  <c r="Y552" i="12"/>
  <c r="Y540" i="12"/>
  <c r="Y528" i="12"/>
  <c r="Y516" i="12"/>
  <c r="Y504" i="12"/>
  <c r="Y492" i="12"/>
  <c r="Y480" i="12"/>
  <c r="Y468" i="12"/>
  <c r="Y456" i="12"/>
  <c r="Y444" i="12"/>
  <c r="Y432" i="12"/>
  <c r="Y420" i="12"/>
  <c r="Y408" i="12"/>
  <c r="Y396" i="12"/>
  <c r="Y384" i="12"/>
  <c r="Y372" i="12"/>
  <c r="Y360" i="12"/>
  <c r="Y348" i="12"/>
  <c r="Y336" i="12"/>
  <c r="Y324" i="12"/>
  <c r="Y312" i="12"/>
  <c r="Y300" i="12"/>
  <c r="Y288" i="12"/>
  <c r="Y276" i="12"/>
  <c r="Y264" i="12"/>
  <c r="Y252" i="12"/>
  <c r="Y240" i="12"/>
  <c r="Y228" i="12"/>
  <c r="Y216" i="12"/>
  <c r="Y204" i="12"/>
  <c r="Y192" i="12"/>
  <c r="Y180" i="12"/>
  <c r="Y168" i="12"/>
  <c r="Y156" i="12"/>
  <c r="Y144" i="12"/>
  <c r="Y132" i="12"/>
  <c r="Y120" i="12"/>
  <c r="Y108" i="12"/>
  <c r="Y96" i="12"/>
  <c r="Y84" i="12"/>
  <c r="Y72" i="12"/>
  <c r="Y60" i="12"/>
  <c r="Y48" i="12"/>
  <c r="Y36" i="12"/>
  <c r="Y24" i="12"/>
  <c r="Y12" i="12"/>
  <c r="Y1110" i="12"/>
  <c r="Y930" i="12"/>
  <c r="Y774" i="12"/>
  <c r="Y606" i="12"/>
  <c r="Y438" i="12"/>
  <c r="Y294" i="12"/>
  <c r="Y78" i="12"/>
  <c r="Y1217" i="12"/>
  <c r="Y1247" i="12"/>
  <c r="Y1211" i="12"/>
  <c r="Y1163" i="12"/>
  <c r="Y1151" i="12"/>
  <c r="Y1139" i="12"/>
  <c r="Y1127" i="12"/>
  <c r="Y1115" i="12"/>
  <c r="Y1103" i="12"/>
  <c r="Y1091" i="12"/>
  <c r="Y1079" i="12"/>
  <c r="Y1067" i="12"/>
  <c r="Y1055" i="12"/>
  <c r="Y1043" i="12"/>
  <c r="Y1031" i="12"/>
  <c r="Y1019" i="12"/>
  <c r="Y1007" i="12"/>
  <c r="Y995" i="12"/>
  <c r="Y983" i="12"/>
  <c r="Y971" i="12"/>
  <c r="Y959" i="12"/>
  <c r="Y947" i="12"/>
  <c r="Y935" i="12"/>
  <c r="Y923" i="12"/>
  <c r="Y911" i="12"/>
  <c r="Y899" i="12"/>
  <c r="Y887" i="12"/>
  <c r="Y875" i="12"/>
  <c r="Y863" i="12"/>
  <c r="Y851" i="12"/>
  <c r="Y839" i="12"/>
  <c r="Y827" i="12"/>
  <c r="Y815" i="12"/>
  <c r="Y803" i="12"/>
  <c r="Y791" i="12"/>
  <c r="Y779" i="12"/>
  <c r="Y767" i="12"/>
  <c r="Y755" i="12"/>
  <c r="Y743" i="12"/>
  <c r="Y731" i="12"/>
  <c r="Y719" i="12"/>
  <c r="Y707" i="12"/>
  <c r="Y695" i="12"/>
  <c r="Y683" i="12"/>
  <c r="Y671" i="12"/>
  <c r="Y659" i="12"/>
  <c r="Y647" i="12"/>
  <c r="Y635" i="12"/>
  <c r="Y623" i="12"/>
  <c r="Y611" i="12"/>
  <c r="Y599" i="12"/>
  <c r="Y587" i="12"/>
  <c r="Y575" i="12"/>
  <c r="Y563" i="12"/>
  <c r="Y551" i="12"/>
  <c r="Y539" i="12"/>
  <c r="Y527" i="12"/>
  <c r="Y515" i="12"/>
  <c r="Y503" i="12"/>
  <c r="Y491" i="12"/>
  <c r="Y479" i="12"/>
  <c r="Y467" i="12"/>
  <c r="Y455" i="12"/>
  <c r="Y443" i="12"/>
  <c r="Y431" i="12"/>
  <c r="Y419" i="12"/>
  <c r="Y407" i="12"/>
  <c r="Y395" i="12"/>
  <c r="Y383" i="12"/>
  <c r="Y371" i="12"/>
  <c r="Y359" i="12"/>
  <c r="Y347" i="12"/>
  <c r="Y335" i="12"/>
  <c r="Y323" i="12"/>
  <c r="Y311" i="12"/>
  <c r="Y299" i="12"/>
  <c r="Y287" i="12"/>
  <c r="Y275" i="12"/>
  <c r="Y263" i="12"/>
  <c r="Y251" i="12"/>
  <c r="Y239" i="12"/>
  <c r="Y227" i="12"/>
  <c r="Y215" i="12"/>
  <c r="Y203" i="12"/>
  <c r="Y191" i="12"/>
  <c r="Y179" i="12"/>
  <c r="Y167" i="12"/>
  <c r="Y155" i="12"/>
  <c r="Y143" i="12"/>
  <c r="Y131" i="12"/>
  <c r="Y119" i="12"/>
  <c r="Y107" i="12"/>
  <c r="Y95" i="12"/>
  <c r="Y83" i="12"/>
  <c r="Y71" i="12"/>
  <c r="Y59" i="12"/>
  <c r="Y47" i="12"/>
  <c r="Y35" i="12"/>
  <c r="Y23" i="12"/>
  <c r="Y11" i="12"/>
  <c r="Y1170" i="12"/>
  <c r="Y1026" i="12"/>
  <c r="Y894" i="12"/>
  <c r="Y762" i="12"/>
  <c r="Y618" i="12"/>
  <c r="Y486" i="12"/>
  <c r="Y330" i="12"/>
  <c r="Y114" i="12"/>
  <c r="Y1313" i="12"/>
  <c r="Y1169" i="12"/>
  <c r="Y1283" i="12"/>
  <c r="Y1187" i="12"/>
  <c r="Y1294" i="12"/>
  <c r="Y1246" i="12"/>
  <c r="Y1198" i="12"/>
  <c r="Y1186" i="12"/>
  <c r="Y1162" i="12"/>
  <c r="Y1150" i="12"/>
  <c r="Y1138" i="12"/>
  <c r="Y1126" i="12"/>
  <c r="Y1114" i="12"/>
  <c r="Y1102" i="12"/>
  <c r="Y1090" i="12"/>
  <c r="Y1078" i="12"/>
  <c r="Y1066" i="12"/>
  <c r="Y1054" i="12"/>
  <c r="Y1042" i="12"/>
  <c r="Y1030" i="12"/>
  <c r="Y1018" i="12"/>
  <c r="Y1006" i="12"/>
  <c r="Y994" i="12"/>
  <c r="Y982" i="12"/>
  <c r="Y970" i="12"/>
  <c r="Y958" i="12"/>
  <c r="Y946" i="12"/>
  <c r="Y934" i="12"/>
  <c r="Y922" i="12"/>
  <c r="Y910" i="12"/>
  <c r="Y898" i="12"/>
  <c r="Y886" i="12"/>
  <c r="Y874" i="12"/>
  <c r="Y862" i="12"/>
  <c r="Y850" i="12"/>
  <c r="Y838" i="12"/>
  <c r="Y826" i="12"/>
  <c r="Y814" i="12"/>
  <c r="Y802" i="12"/>
  <c r="Y790" i="12"/>
  <c r="Y778" i="12"/>
  <c r="Y766" i="12"/>
  <c r="Y754" i="12"/>
  <c r="Y742" i="12"/>
  <c r="Y730" i="12"/>
  <c r="Y718" i="12"/>
  <c r="Y706" i="12"/>
  <c r="Y694" i="12"/>
  <c r="Y682" i="12"/>
  <c r="Y670" i="12"/>
  <c r="Y658" i="12"/>
  <c r="Y646" i="12"/>
  <c r="Y634" i="12"/>
  <c r="Y622" i="12"/>
  <c r="Y610" i="12"/>
  <c r="Y598" i="12"/>
  <c r="Y586" i="12"/>
  <c r="Y574" i="12"/>
  <c r="Y562" i="12"/>
  <c r="Y550" i="12"/>
  <c r="Y538" i="12"/>
  <c r="Y526" i="12"/>
  <c r="Y514" i="12"/>
  <c r="Y502" i="12"/>
  <c r="Y490" i="12"/>
  <c r="Y478" i="12"/>
  <c r="Y466" i="12"/>
  <c r="Y454" i="12"/>
  <c r="Y442" i="12"/>
  <c r="Y430" i="12"/>
  <c r="Y418" i="12"/>
  <c r="Y406" i="12"/>
  <c r="Y394" i="12"/>
  <c r="Y382" i="12"/>
  <c r="Y370" i="12"/>
  <c r="Y358" i="12"/>
  <c r="Y346" i="12"/>
  <c r="Y334" i="12"/>
  <c r="Y322" i="12"/>
  <c r="Y310" i="12"/>
  <c r="Y298" i="12"/>
  <c r="Y286" i="12"/>
  <c r="Y274" i="12"/>
  <c r="Y262" i="12"/>
  <c r="Y250" i="12"/>
  <c r="Y238" i="12"/>
  <c r="Y226" i="12"/>
  <c r="Y214" i="12"/>
  <c r="Y202" i="12"/>
  <c r="Y190" i="12"/>
  <c r="Y178" i="12"/>
  <c r="Y166" i="12"/>
  <c r="Y154" i="12"/>
  <c r="Y142" i="12"/>
  <c r="Y130" i="12"/>
  <c r="Y118" i="12"/>
  <c r="Y106" i="12"/>
  <c r="Y94" i="12"/>
  <c r="Y82" i="12"/>
  <c r="Y70" i="12"/>
  <c r="Y58" i="12"/>
  <c r="Y46" i="12"/>
  <c r="Y34" i="12"/>
  <c r="Y22" i="12"/>
  <c r="Y10" i="12"/>
  <c r="Y1158" i="12"/>
  <c r="Y1038" i="12"/>
  <c r="Y906" i="12"/>
  <c r="Y786" i="12"/>
  <c r="Y642" i="12"/>
  <c r="Y498" i="12"/>
  <c r="Y318" i="12"/>
  <c r="Y42" i="12"/>
  <c r="Y1241" i="12"/>
  <c r="Y1307" i="12"/>
  <c r="Y1259" i="12"/>
  <c r="Y1199" i="12"/>
  <c r="Y1318" i="12"/>
  <c r="Y1282" i="12"/>
  <c r="Y1234" i="12"/>
  <c r="Y1174" i="12"/>
  <c r="Y1317" i="12"/>
  <c r="Y1305" i="12"/>
  <c r="Y1293" i="12"/>
  <c r="Y1281" i="12"/>
  <c r="Y1269" i="12"/>
  <c r="Y1257" i="12"/>
  <c r="Y1245" i="12"/>
  <c r="Y1233" i="12"/>
  <c r="Y1221" i="12"/>
  <c r="Y1209" i="12"/>
  <c r="Y1197" i="12"/>
  <c r="Y1185" i="12"/>
  <c r="Y1173" i="12"/>
  <c r="Y1161" i="12"/>
  <c r="Y1149" i="12"/>
  <c r="Y1137" i="12"/>
  <c r="Y1125" i="12"/>
  <c r="Y1113" i="12"/>
  <c r="Y1101" i="12"/>
  <c r="Y1089" i="12"/>
  <c r="Y1077" i="12"/>
  <c r="Y1065" i="12"/>
  <c r="Y1053" i="12"/>
  <c r="Y1041" i="12"/>
  <c r="Y1029" i="12"/>
  <c r="Y1017" i="12"/>
  <c r="Y1005" i="12"/>
  <c r="Y993" i="12"/>
  <c r="Y981" i="12"/>
  <c r="Y969" i="12"/>
  <c r="Y957" i="12"/>
  <c r="Y945" i="12"/>
  <c r="Y933" i="12"/>
  <c r="Y921" i="12"/>
  <c r="Y909" i="12"/>
  <c r="Y897" i="12"/>
  <c r="Y885" i="12"/>
  <c r="Y873" i="12"/>
  <c r="Y861" i="12"/>
  <c r="Y849" i="12"/>
  <c r="Y837" i="12"/>
  <c r="Y825" i="12"/>
  <c r="Y813" i="12"/>
  <c r="Y801" i="12"/>
  <c r="Y789" i="12"/>
  <c r="Y777" i="12"/>
  <c r="Y765" i="12"/>
  <c r="Y753" i="12"/>
  <c r="Y741" i="12"/>
  <c r="Y729" i="12"/>
  <c r="Y717" i="12"/>
  <c r="Y705" i="12"/>
  <c r="Y693" i="12"/>
  <c r="Y681" i="12"/>
  <c r="Y669" i="12"/>
  <c r="Y657" i="12"/>
  <c r="Y645" i="12"/>
  <c r="Y633" i="12"/>
  <c r="Y621" i="12"/>
  <c r="Y609" i="12"/>
  <c r="Y597" i="12"/>
  <c r="Y585" i="12"/>
  <c r="Y573" i="12"/>
  <c r="Y561" i="12"/>
  <c r="Y549" i="12"/>
  <c r="Y537" i="12"/>
  <c r="Y525" i="12"/>
  <c r="Y513" i="12"/>
  <c r="Y501" i="12"/>
  <c r="Y489" i="12"/>
  <c r="Y477" i="12"/>
  <c r="Y465" i="12"/>
  <c r="Y453" i="12"/>
  <c r="Y441" i="12"/>
  <c r="Y429" i="12"/>
  <c r="Y417" i="12"/>
  <c r="Y405" i="12"/>
  <c r="Y393" i="12"/>
  <c r="Y381" i="12"/>
  <c r="Y369" i="12"/>
  <c r="Y357" i="12"/>
  <c r="Y345" i="12"/>
  <c r="Y333" i="12"/>
  <c r="Y321" i="12"/>
  <c r="Y309" i="12"/>
  <c r="Y297" i="12"/>
  <c r="Y285" i="12"/>
  <c r="Y273" i="12"/>
  <c r="Y261" i="12"/>
  <c r="Y249" i="12"/>
  <c r="Y237" i="12"/>
  <c r="Y225" i="12"/>
  <c r="Y213" i="12"/>
  <c r="Y201" i="12"/>
  <c r="Y189" i="12"/>
  <c r="Y177" i="12"/>
  <c r="Y165" i="12"/>
  <c r="Y153" i="12"/>
  <c r="Y141" i="12"/>
  <c r="Y129" i="12"/>
  <c r="Y117" i="12"/>
  <c r="Y105" i="12"/>
  <c r="Y93" i="12"/>
  <c r="Y81" i="12"/>
  <c r="Y69" i="12"/>
  <c r="Y57" i="12"/>
  <c r="Y45" i="12"/>
  <c r="Y33" i="12"/>
  <c r="Y21" i="12"/>
  <c r="Y9" i="12"/>
  <c r="Y1086" i="12"/>
  <c r="Y966" i="12"/>
  <c r="Y834" i="12"/>
  <c r="Y702" i="12"/>
  <c r="Y558" i="12"/>
  <c r="Y402" i="12"/>
  <c r="Y258" i="12"/>
  <c r="Y138" i="12"/>
  <c r="Y1301" i="12"/>
  <c r="Y1133" i="12"/>
  <c r="Y1271" i="12"/>
  <c r="Y1223" i="12"/>
  <c r="Y1306" i="12"/>
  <c r="Y1258" i="12"/>
  <c r="Y1222" i="12"/>
  <c r="Y1316" i="12"/>
  <c r="Y1292" i="12"/>
  <c r="Y1280" i="12"/>
  <c r="Y1268" i="12"/>
  <c r="Y1256" i="12"/>
  <c r="Y1244" i="12"/>
  <c r="Y1232" i="12"/>
  <c r="Y1220" i="12"/>
  <c r="Y1208" i="12"/>
  <c r="Y1196" i="12"/>
  <c r="Y1184" i="12"/>
  <c r="Y1172" i="12"/>
  <c r="Y1160" i="12"/>
  <c r="Y1148" i="12"/>
  <c r="Y1136" i="12"/>
  <c r="Y1124" i="12"/>
  <c r="Y1112" i="12"/>
  <c r="Y1100" i="12"/>
  <c r="Y1088" i="12"/>
  <c r="Y1076" i="12"/>
  <c r="Y1064" i="12"/>
  <c r="Y1052" i="12"/>
  <c r="Y1040" i="12"/>
  <c r="Y1028" i="12"/>
  <c r="Y1016" i="12"/>
  <c r="Y1004" i="12"/>
  <c r="Y992" i="12"/>
  <c r="Y980" i="12"/>
  <c r="Y968" i="12"/>
  <c r="Y956" i="12"/>
  <c r="Y944" i="12"/>
  <c r="Y932" i="12"/>
  <c r="Y920" i="12"/>
  <c r="Y908" i="12"/>
  <c r="Y896" i="12"/>
  <c r="Y884" i="12"/>
  <c r="Y872" i="12"/>
  <c r="Y860" i="12"/>
  <c r="Y848" i="12"/>
  <c r="Y836" i="12"/>
  <c r="Y824" i="12"/>
  <c r="Y812" i="12"/>
  <c r="Y800" i="12"/>
  <c r="Y788" i="12"/>
  <c r="Y776" i="12"/>
  <c r="Y764" i="12"/>
  <c r="Y752" i="12"/>
  <c r="Y740" i="12"/>
  <c r="Y728" i="12"/>
  <c r="Y716" i="12"/>
  <c r="Y704" i="12"/>
  <c r="Y692" i="12"/>
  <c r="Y680" i="12"/>
  <c r="Y668" i="12"/>
  <c r="Y656" i="12"/>
  <c r="Y644" i="12"/>
  <c r="Y632" i="12"/>
  <c r="Y620" i="12"/>
  <c r="Y608" i="12"/>
  <c r="Y596" i="12"/>
  <c r="Y584" i="12"/>
  <c r="Y572" i="12"/>
  <c r="Y560" i="12"/>
  <c r="Y548" i="12"/>
  <c r="Y536" i="12"/>
  <c r="Y524" i="12"/>
  <c r="Y512" i="12"/>
  <c r="Y500" i="12"/>
  <c r="Y488" i="12"/>
  <c r="Y476" i="12"/>
  <c r="Y464" i="12"/>
  <c r="Y452" i="12"/>
  <c r="Y440" i="12"/>
  <c r="Y428" i="12"/>
  <c r="Y416" i="12"/>
  <c r="Y404" i="12"/>
  <c r="Y392" i="12"/>
  <c r="Y380" i="12"/>
  <c r="Y368" i="12"/>
  <c r="Y356" i="12"/>
  <c r="Y344" i="12"/>
  <c r="Y332" i="12"/>
  <c r="Y320" i="12"/>
  <c r="Y308" i="12"/>
  <c r="Y296" i="12"/>
  <c r="Y284" i="12"/>
  <c r="Y272" i="12"/>
  <c r="Y260" i="12"/>
  <c r="Y248" i="12"/>
  <c r="Y236" i="12"/>
  <c r="Y224" i="12"/>
  <c r="Y212" i="12"/>
  <c r="Y200" i="12"/>
  <c r="Y188" i="12"/>
  <c r="Y176" i="12"/>
  <c r="Y164" i="12"/>
  <c r="Y152" i="12"/>
  <c r="Y140" i="12"/>
  <c r="Y128" i="12"/>
  <c r="Y116" i="12"/>
  <c r="Y104" i="12"/>
  <c r="Y92" i="12"/>
  <c r="Y80" i="12"/>
  <c r="Y68" i="12"/>
  <c r="Y56" i="12"/>
  <c r="Y44" i="12"/>
  <c r="Y32" i="12"/>
  <c r="Y20" i="12"/>
  <c r="Y8" i="12"/>
  <c r="Y1134" i="12"/>
  <c r="Y1014" i="12"/>
  <c r="Y870" i="12"/>
  <c r="Y738" i="12"/>
  <c r="Y654" i="12"/>
  <c r="Y534" i="12"/>
  <c r="Y414" i="12"/>
  <c r="Y270" i="12"/>
  <c r="Y126" i="12"/>
  <c r="Y1277" i="12"/>
  <c r="Y1157" i="12"/>
  <c r="Y1295" i="12"/>
  <c r="Y1235" i="12"/>
  <c r="Y1175" i="12"/>
  <c r="Y1270" i="12"/>
  <c r="Y1210" i="12"/>
  <c r="Y1304" i="12"/>
  <c r="Y1315" i="12"/>
  <c r="Y1303" i="12"/>
  <c r="Y1291" i="12"/>
  <c r="Y1279" i="12"/>
  <c r="Y1267" i="12"/>
  <c r="Y1255" i="12"/>
  <c r="Y1243" i="12"/>
  <c r="Y1231" i="12"/>
  <c r="Y1219" i="12"/>
  <c r="Y1207" i="12"/>
  <c r="Y1195" i="12"/>
  <c r="Y1183" i="12"/>
  <c r="Y1171" i="12"/>
  <c r="Y1159" i="12"/>
  <c r="Y1147" i="12"/>
  <c r="Y1135" i="12"/>
  <c r="Y1123" i="12"/>
  <c r="Y1111" i="12"/>
  <c r="Y1099" i="12"/>
  <c r="Y1087" i="12"/>
  <c r="Y1075" i="12"/>
  <c r="Y1063" i="12"/>
  <c r="Y1051" i="12"/>
  <c r="Y1039" i="12"/>
  <c r="Y1027" i="12"/>
  <c r="Y1015" i="12"/>
  <c r="Y1003" i="12"/>
  <c r="Y991" i="12"/>
  <c r="Y979" i="12"/>
  <c r="Y967" i="12"/>
  <c r="Y955" i="12"/>
  <c r="Y943" i="12"/>
  <c r="Y931" i="12"/>
  <c r="Y919" i="12"/>
  <c r="Y907" i="12"/>
  <c r="Y895" i="12"/>
  <c r="Y883" i="12"/>
  <c r="Y871" i="12"/>
  <c r="Y859" i="12"/>
  <c r="Y847" i="12"/>
  <c r="Y835" i="12"/>
  <c r="Y823" i="12"/>
  <c r="Y811" i="12"/>
  <c r="Y799" i="12"/>
  <c r="Y787" i="12"/>
  <c r="Y775" i="12"/>
  <c r="Y763" i="12"/>
  <c r="Y751" i="12"/>
  <c r="Y739" i="12"/>
  <c r="Y727" i="12"/>
  <c r="Y715" i="12"/>
  <c r="Y703" i="12"/>
  <c r="Y691" i="12"/>
  <c r="Y679" i="12"/>
  <c r="Y667" i="12"/>
  <c r="Y655" i="12"/>
  <c r="Y643" i="12"/>
  <c r="Y631" i="12"/>
  <c r="Y619" i="12"/>
  <c r="Y607" i="12"/>
  <c r="Y595" i="12"/>
  <c r="Y583" i="12"/>
  <c r="Y571" i="12"/>
  <c r="Y559" i="12"/>
  <c r="Y547" i="12"/>
  <c r="Y535" i="12"/>
  <c r="Y523" i="12"/>
  <c r="Y511" i="12"/>
  <c r="Y499" i="12"/>
  <c r="Y487" i="12"/>
  <c r="Y475" i="12"/>
  <c r="Y463" i="12"/>
  <c r="Y451" i="12"/>
  <c r="Y439" i="12"/>
  <c r="Y427" i="12"/>
  <c r="Y415" i="12"/>
  <c r="Y403" i="12"/>
  <c r="Y391" i="12"/>
  <c r="Y379" i="12"/>
  <c r="Y367" i="12"/>
  <c r="Y355" i="12"/>
  <c r="Y343" i="12"/>
  <c r="Y331" i="12"/>
  <c r="Y319" i="12"/>
  <c r="Y307" i="12"/>
  <c r="Y295" i="12"/>
  <c r="Y283" i="12"/>
  <c r="Y271" i="12"/>
  <c r="Y259" i="12"/>
  <c r="Y247" i="12"/>
  <c r="Y235" i="12"/>
  <c r="Y223" i="12"/>
  <c r="Y211" i="12"/>
  <c r="Y199" i="12"/>
  <c r="Y187" i="12"/>
  <c r="Y175" i="12"/>
  <c r="Y163" i="12"/>
  <c r="Y151" i="12"/>
  <c r="Y139" i="12"/>
  <c r="Y127" i="12"/>
  <c r="Y115" i="12"/>
  <c r="Y103" i="12"/>
  <c r="Y91" i="12"/>
  <c r="Y79" i="12"/>
  <c r="Y67" i="12"/>
  <c r="Y55" i="12"/>
  <c r="Y43" i="12"/>
  <c r="Y31" i="12"/>
  <c r="Y19" i="12"/>
  <c r="Y7" i="12"/>
  <c r="AK6" i="12"/>
  <c r="M1426" i="12"/>
  <c r="M1285" i="12"/>
  <c r="M1383" i="12"/>
  <c r="M1308" i="12"/>
  <c r="M1094" i="12"/>
  <c r="M986" i="12"/>
  <c r="M1425" i="12"/>
  <c r="M1299" i="12"/>
  <c r="M1275" i="12"/>
  <c r="M1267" i="12"/>
  <c r="M1257" i="12"/>
  <c r="M1248" i="12"/>
  <c r="M1237" i="12"/>
  <c r="M1225" i="12"/>
  <c r="M1213" i="12"/>
  <c r="M1201" i="12"/>
  <c r="M1184" i="12"/>
  <c r="M1160" i="12"/>
  <c r="M865" i="12"/>
  <c r="M819" i="12"/>
  <c r="M762" i="12"/>
  <c r="M666" i="12"/>
  <c r="M486" i="12"/>
  <c r="M1420" i="12"/>
  <c r="M1301" i="12"/>
  <c r="M1161" i="12"/>
  <c r="M827" i="12"/>
  <c r="M1362" i="12"/>
  <c r="M1300" i="12"/>
  <c r="M1249" i="12"/>
  <c r="M950" i="12"/>
  <c r="M1437" i="12"/>
  <c r="M1389" i="12"/>
  <c r="M1382" i="12"/>
  <c r="M1368" i="12"/>
  <c r="M1361" i="12"/>
  <c r="M1353" i="12"/>
  <c r="M1346" i="12"/>
  <c r="M1339" i="12"/>
  <c r="M1331" i="12"/>
  <c r="M1315" i="12"/>
  <c r="M1307" i="12"/>
  <c r="M1291" i="12"/>
  <c r="M1283" i="12"/>
  <c r="M1266" i="12"/>
  <c r="M1236" i="12"/>
  <c r="M1224" i="12"/>
  <c r="M1212" i="12"/>
  <c r="M1200" i="12"/>
  <c r="M1179" i="12"/>
  <c r="M1155" i="12"/>
  <c r="M1124" i="12"/>
  <c r="M1088" i="12"/>
  <c r="M1052" i="12"/>
  <c r="M1016" i="12"/>
  <c r="M980" i="12"/>
  <c r="M944" i="12"/>
  <c r="M908" i="12"/>
  <c r="M864" i="12"/>
  <c r="M1438" i="12"/>
  <c r="M1268" i="12"/>
  <c r="M527" i="12"/>
  <c r="M1340" i="12"/>
  <c r="M1238" i="12"/>
  <c r="M872" i="12"/>
  <c r="M1419" i="12"/>
  <c r="M1418" i="12"/>
  <c r="M1400" i="12"/>
  <c r="M1394" i="12"/>
  <c r="M1388" i="12"/>
  <c r="M1360" i="12"/>
  <c r="M1338" i="12"/>
  <c r="M1330" i="12"/>
  <c r="M1322" i="12"/>
  <c r="M1314" i="12"/>
  <c r="M1306" i="12"/>
  <c r="M1298" i="12"/>
  <c r="M1290" i="12"/>
  <c r="M1282" i="12"/>
  <c r="M1274" i="12"/>
  <c r="M1256" i="12"/>
  <c r="M1247" i="12"/>
  <c r="M1235" i="12"/>
  <c r="M1223" i="12"/>
  <c r="M1211" i="12"/>
  <c r="M1199" i="12"/>
  <c r="M901" i="12"/>
  <c r="M811" i="12"/>
  <c r="M749" i="12"/>
  <c r="M647" i="12"/>
  <c r="M443" i="12"/>
  <c r="M1396" i="12"/>
  <c r="M1333" i="12"/>
  <c r="M684" i="12"/>
  <c r="M1324" i="12"/>
  <c r="M1214" i="12"/>
  <c r="M1413" i="12"/>
  <c r="M1354" i="12"/>
  <c r="M1375" i="12"/>
  <c r="M1381" i="12"/>
  <c r="M1374" i="12"/>
  <c r="M1367" i="12"/>
  <c r="M1359" i="12"/>
  <c r="M1352" i="12"/>
  <c r="M1345" i="12"/>
  <c r="M1329" i="12"/>
  <c r="M1305" i="12"/>
  <c r="M1281" i="12"/>
  <c r="M1265" i="12"/>
  <c r="M1245" i="12"/>
  <c r="M1233" i="12"/>
  <c r="M1221" i="12"/>
  <c r="M1209" i="12"/>
  <c r="M1197" i="12"/>
  <c r="M1178" i="12"/>
  <c r="M1154" i="12"/>
  <c r="M1118" i="12"/>
  <c r="M1082" i="12"/>
  <c r="M1046" i="12"/>
  <c r="M1010" i="12"/>
  <c r="M974" i="12"/>
  <c r="M938" i="12"/>
  <c r="M900" i="12"/>
  <c r="M857" i="12"/>
  <c r="M810" i="12"/>
  <c r="M748" i="12"/>
  <c r="M642" i="12"/>
  <c r="M1408" i="12"/>
  <c r="M1325" i="12"/>
  <c r="M1347" i="12"/>
  <c r="M1284" i="12"/>
  <c r="M1022" i="12"/>
  <c r="M1431" i="12"/>
  <c r="M1406" i="12"/>
  <c r="M1411" i="12"/>
  <c r="M1405" i="12"/>
  <c r="M1399" i="12"/>
  <c r="M1393" i="12"/>
  <c r="M1387" i="12"/>
  <c r="M1366" i="12"/>
  <c r="M1337" i="12"/>
  <c r="M1321" i="12"/>
  <c r="M1313" i="12"/>
  <c r="M1297" i="12"/>
  <c r="M1289" i="12"/>
  <c r="M1273" i="12"/>
  <c r="M1263" i="12"/>
  <c r="M1255" i="12"/>
  <c r="M1173" i="12"/>
  <c r="M803" i="12"/>
  <c r="M734" i="12"/>
  <c r="M623" i="12"/>
  <c r="M400" i="12"/>
  <c r="M1402" i="12"/>
  <c r="M1250" i="12"/>
  <c r="M1369" i="12"/>
  <c r="M1276" i="12"/>
  <c r="M1058" i="12"/>
  <c r="M1443" i="12"/>
  <c r="M1412" i="12"/>
  <c r="M1441" i="12"/>
  <c r="M1373" i="12"/>
  <c r="M1344" i="12"/>
  <c r="M1336" i="12"/>
  <c r="M1328" i="12"/>
  <c r="M1320" i="12"/>
  <c r="M1312" i="12"/>
  <c r="M1304" i="12"/>
  <c r="M1296" i="12"/>
  <c r="M1288" i="12"/>
  <c r="M1280" i="12"/>
  <c r="M1272" i="12"/>
  <c r="M1254" i="12"/>
  <c r="M1244" i="12"/>
  <c r="M1232" i="12"/>
  <c r="M1220" i="12"/>
  <c r="M1208" i="12"/>
  <c r="M1196" i="12"/>
  <c r="M1148" i="12"/>
  <c r="M1112" i="12"/>
  <c r="M1076" i="12"/>
  <c r="M1040" i="12"/>
  <c r="M1004" i="12"/>
  <c r="M968" i="12"/>
  <c r="M932" i="12"/>
  <c r="M893" i="12"/>
  <c r="M850" i="12"/>
  <c r="M802" i="12"/>
  <c r="M732" i="12"/>
  <c r="M618" i="12"/>
  <c r="M393" i="12"/>
  <c r="M1444" i="12"/>
  <c r="M1309" i="12"/>
  <c r="M1185" i="12"/>
  <c r="M1376" i="12"/>
  <c r="M1292" i="12"/>
  <c r="M1130" i="12"/>
  <c r="M1323" i="12"/>
  <c r="M1424" i="12"/>
  <c r="M1417" i="12"/>
  <c r="M1380" i="12"/>
  <c r="M1440" i="12"/>
  <c r="M1410" i="12"/>
  <c r="M1392" i="12"/>
  <c r="M1311" i="12"/>
  <c r="M1287" i="12"/>
  <c r="M1262" i="12"/>
  <c r="M1243" i="12"/>
  <c r="M1231" i="12"/>
  <c r="M1219" i="12"/>
  <c r="M1207" i="12"/>
  <c r="M1194" i="12"/>
  <c r="M1172" i="12"/>
  <c r="M843" i="12"/>
  <c r="M794" i="12"/>
  <c r="M599" i="12"/>
  <c r="M341" i="12"/>
  <c r="M1432" i="12"/>
  <c r="M1277" i="12"/>
  <c r="M1316" i="12"/>
  <c r="M1202" i="12"/>
  <c r="M772" i="12"/>
  <c r="M1401" i="12"/>
  <c r="M1430" i="12"/>
  <c r="M1429" i="12"/>
  <c r="M1351" i="12"/>
  <c r="M1422" i="12"/>
  <c r="M1398" i="12"/>
  <c r="M1386" i="12"/>
  <c r="M1372" i="12"/>
  <c r="M1335" i="12"/>
  <c r="M1379" i="12"/>
  <c r="M1371" i="12"/>
  <c r="M1364" i="12"/>
  <c r="M1357" i="12"/>
  <c r="M1350" i="12"/>
  <c r="M1343" i="12"/>
  <c r="M1327" i="12"/>
  <c r="M1319" i="12"/>
  <c r="M1303" i="12"/>
  <c r="M1295" i="12"/>
  <c r="M1279" i="12"/>
  <c r="M1271" i="12"/>
  <c r="M1253" i="12"/>
  <c r="M1242" i="12"/>
  <c r="M1230" i="12"/>
  <c r="M1218" i="12"/>
  <c r="M1206" i="12"/>
  <c r="M1191" i="12"/>
  <c r="M1167" i="12"/>
  <c r="M1142" i="12"/>
  <c r="M1106" i="12"/>
  <c r="M1070" i="12"/>
  <c r="M1034" i="12"/>
  <c r="M998" i="12"/>
  <c r="M962" i="12"/>
  <c r="M926" i="12"/>
  <c r="M886" i="12"/>
  <c r="M792" i="12"/>
  <c r="M719" i="12"/>
  <c r="M1390" i="12"/>
  <c r="M773" i="12"/>
  <c r="M1332" i="12"/>
  <c r="M1226" i="12"/>
  <c r="M914" i="12"/>
  <c r="M1407" i="12"/>
  <c r="M1442" i="12"/>
  <c r="M1435" i="12"/>
  <c r="M1358" i="12"/>
  <c r="M1434" i="12"/>
  <c r="M1416" i="12"/>
  <c r="M1439" i="12"/>
  <c r="M1427" i="12"/>
  <c r="M1415" i="12"/>
  <c r="M1409" i="12"/>
  <c r="M1403" i="12"/>
  <c r="M1397" i="12"/>
  <c r="M1391" i="12"/>
  <c r="M1385" i="12"/>
  <c r="M1378" i="12"/>
  <c r="M1342" i="12"/>
  <c r="M1334" i="12"/>
  <c r="M1326" i="12"/>
  <c r="M1318" i="12"/>
  <c r="M1310" i="12"/>
  <c r="M1302" i="12"/>
  <c r="M1294" i="12"/>
  <c r="M1286" i="12"/>
  <c r="M1278" i="12"/>
  <c r="M1269" i="12"/>
  <c r="M1261" i="12"/>
  <c r="M1251" i="12"/>
  <c r="M1241" i="12"/>
  <c r="M1229" i="12"/>
  <c r="M1217" i="12"/>
  <c r="M1205" i="12"/>
  <c r="M835" i="12"/>
  <c r="M783" i="12"/>
  <c r="M702" i="12"/>
  <c r="M563" i="12"/>
  <c r="M257" i="12"/>
  <c r="M1414" i="12"/>
  <c r="M1348" i="12"/>
  <c r="M1355" i="12"/>
  <c r="M1259" i="12"/>
  <c r="M1395" i="12"/>
  <c r="M1436" i="12"/>
  <c r="M1423" i="12"/>
  <c r="M1365" i="12"/>
  <c r="M1428" i="12"/>
  <c r="M1404" i="12"/>
  <c r="M1445" i="12"/>
  <c r="M1433" i="12"/>
  <c r="M1421" i="12"/>
  <c r="M1384" i="12"/>
  <c r="M1377" i="12"/>
  <c r="M1370" i="12"/>
  <c r="M1363" i="12"/>
  <c r="M1356" i="12"/>
  <c r="M1349" i="12"/>
  <c r="M1341" i="12"/>
  <c r="M1317" i="12"/>
  <c r="M1293" i="12"/>
  <c r="M1260" i="12"/>
  <c r="M1239" i="12"/>
  <c r="M1227" i="12"/>
  <c r="M1215" i="12"/>
  <c r="M1203" i="12"/>
  <c r="M1190" i="12"/>
  <c r="M1166" i="12"/>
  <c r="M1136" i="12"/>
  <c r="M1100" i="12"/>
  <c r="M1064" i="12"/>
  <c r="M1028" i="12"/>
  <c r="M992" i="12"/>
  <c r="M956" i="12"/>
  <c r="M920" i="12"/>
  <c r="M879" i="12"/>
  <c r="M834" i="12"/>
  <c r="M234" i="12"/>
  <c r="M1149" i="12"/>
  <c r="M1143" i="12"/>
  <c r="M1137" i="12"/>
  <c r="M1131" i="12"/>
  <c r="M1125" i="12"/>
  <c r="M1119" i="12"/>
  <c r="M1113" i="12"/>
  <c r="M1107" i="12"/>
  <c r="M1101" i="12"/>
  <c r="M1095" i="12"/>
  <c r="M1089" i="12"/>
  <c r="M1083" i="12"/>
  <c r="M1077" i="12"/>
  <c r="M1071" i="12"/>
  <c r="M1065" i="12"/>
  <c r="M1059" i="12"/>
  <c r="M1053" i="12"/>
  <c r="M1047" i="12"/>
  <c r="M1041" i="12"/>
  <c r="M1035" i="12"/>
  <c r="M1029" i="12"/>
  <c r="M1023" i="12"/>
  <c r="M1017" i="12"/>
  <c r="M1011" i="12"/>
  <c r="M1005" i="12"/>
  <c r="M999" i="12"/>
  <c r="M993" i="12"/>
  <c r="M987" i="12"/>
  <c r="M981" i="12"/>
  <c r="M975" i="12"/>
  <c r="M969" i="12"/>
  <c r="M963" i="12"/>
  <c r="M957" i="12"/>
  <c r="M951" i="12"/>
  <c r="M945" i="12"/>
  <c r="M939" i="12"/>
  <c r="M933" i="12"/>
  <c r="M927" i="12"/>
  <c r="M921" i="12"/>
  <c r="M915" i="12"/>
  <c r="M909" i="12"/>
  <c r="M902" i="12"/>
  <c r="M894" i="12"/>
  <c r="M887" i="12"/>
  <c r="M880" i="12"/>
  <c r="M873" i="12"/>
  <c r="M866" i="12"/>
  <c r="M858" i="12"/>
  <c r="M851" i="12"/>
  <c r="M844" i="12"/>
  <c r="M836" i="12"/>
  <c r="M820" i="12"/>
  <c r="M812" i="12"/>
  <c r="M784" i="12"/>
  <c r="M764" i="12"/>
  <c r="M736" i="12"/>
  <c r="M720" i="12"/>
  <c r="M704" i="12"/>
  <c r="M686" i="12"/>
  <c r="M668" i="12"/>
  <c r="M487" i="12"/>
  <c r="M907" i="12"/>
  <c r="M871" i="12"/>
  <c r="M842" i="12"/>
  <c r="M826" i="12"/>
  <c r="M818" i="12"/>
  <c r="M801" i="12"/>
  <c r="M782" i="12"/>
  <c r="M771" i="12"/>
  <c r="M761" i="12"/>
  <c r="M746" i="12"/>
  <c r="M718" i="12"/>
  <c r="M701" i="12"/>
  <c r="M683" i="12"/>
  <c r="M665" i="12"/>
  <c r="M593" i="12"/>
  <c r="M557" i="12"/>
  <c r="M521" i="12"/>
  <c r="M479" i="12"/>
  <c r="M436" i="12"/>
  <c r="M329" i="12"/>
  <c r="M1195" i="12"/>
  <c r="M1189" i="12"/>
  <c r="M1183" i="12"/>
  <c r="M1177" i="12"/>
  <c r="M1171" i="12"/>
  <c r="M1165" i="12"/>
  <c r="M1159" i="12"/>
  <c r="M1153" i="12"/>
  <c r="M1147" i="12"/>
  <c r="M1141" i="12"/>
  <c r="M1135" i="12"/>
  <c r="M1129" i="12"/>
  <c r="M1123" i="12"/>
  <c r="M1117" i="12"/>
  <c r="M1111" i="12"/>
  <c r="M1105" i="12"/>
  <c r="M1099" i="12"/>
  <c r="M1093" i="12"/>
  <c r="M1087" i="12"/>
  <c r="M1081" i="12"/>
  <c r="M1075" i="12"/>
  <c r="M1069" i="12"/>
  <c r="M1063" i="12"/>
  <c r="M1057" i="12"/>
  <c r="M1051" i="12"/>
  <c r="M1045" i="12"/>
  <c r="M1039" i="12"/>
  <c r="M1033" i="12"/>
  <c r="M1027" i="12"/>
  <c r="M1021" i="12"/>
  <c r="M1015" i="12"/>
  <c r="M1009" i="12"/>
  <c r="M1003" i="12"/>
  <c r="M997" i="12"/>
  <c r="M991" i="12"/>
  <c r="M985" i="12"/>
  <c r="M979" i="12"/>
  <c r="M973" i="12"/>
  <c r="M967" i="12"/>
  <c r="M961" i="12"/>
  <c r="M955" i="12"/>
  <c r="M949" i="12"/>
  <c r="M943" i="12"/>
  <c r="M937" i="12"/>
  <c r="M931" i="12"/>
  <c r="M925" i="12"/>
  <c r="M919" i="12"/>
  <c r="M913" i="12"/>
  <c r="M906" i="12"/>
  <c r="M899" i="12"/>
  <c r="M892" i="12"/>
  <c r="M885" i="12"/>
  <c r="M878" i="12"/>
  <c r="M870" i="12"/>
  <c r="M863" i="12"/>
  <c r="M856" i="12"/>
  <c r="M849" i="12"/>
  <c r="M841" i="12"/>
  <c r="M833" i="12"/>
  <c r="M825" i="12"/>
  <c r="M817" i="12"/>
  <c r="M809" i="12"/>
  <c r="M791" i="12"/>
  <c r="M780" i="12"/>
  <c r="M760" i="12"/>
  <c r="M744" i="12"/>
  <c r="M731" i="12"/>
  <c r="M716" i="12"/>
  <c r="M698" i="12"/>
  <c r="M680" i="12"/>
  <c r="M662" i="12"/>
  <c r="M641" i="12"/>
  <c r="M617" i="12"/>
  <c r="M385" i="12"/>
  <c r="M210" i="12"/>
  <c r="M877" i="12"/>
  <c r="M840" i="12"/>
  <c r="M816" i="12"/>
  <c r="M800" i="12"/>
  <c r="M790" i="12"/>
  <c r="M770" i="12"/>
  <c r="M758" i="12"/>
  <c r="M730" i="12"/>
  <c r="M714" i="12"/>
  <c r="M696" i="12"/>
  <c r="M678" i="12"/>
  <c r="M660" i="12"/>
  <c r="M636" i="12"/>
  <c r="M612" i="12"/>
  <c r="M587" i="12"/>
  <c r="M551" i="12"/>
  <c r="M515" i="12"/>
  <c r="M472" i="12"/>
  <c r="M429" i="12"/>
  <c r="M384" i="12"/>
  <c r="M317" i="12"/>
  <c r="M1188" i="12"/>
  <c r="M1182" i="12"/>
  <c r="M1176" i="12"/>
  <c r="M1170" i="12"/>
  <c r="M1164" i="12"/>
  <c r="M1158" i="12"/>
  <c r="M1152" i="12"/>
  <c r="M1146" i="12"/>
  <c r="M1140" i="12"/>
  <c r="M1134" i="12"/>
  <c r="M1128" i="12"/>
  <c r="M1122" i="12"/>
  <c r="M1116" i="12"/>
  <c r="M1110" i="12"/>
  <c r="M1104" i="12"/>
  <c r="M1098" i="12"/>
  <c r="M1092" i="12"/>
  <c r="M1086" i="12"/>
  <c r="M1080" i="12"/>
  <c r="M1074" i="12"/>
  <c r="M1068" i="12"/>
  <c r="M1062" i="12"/>
  <c r="M1056" i="12"/>
  <c r="M1050" i="12"/>
  <c r="M1044" i="12"/>
  <c r="M1038" i="12"/>
  <c r="M1032" i="12"/>
  <c r="M1026" i="12"/>
  <c r="M1020" i="12"/>
  <c r="M1014" i="12"/>
  <c r="M1008" i="12"/>
  <c r="M1002" i="12"/>
  <c r="M996" i="12"/>
  <c r="M990" i="12"/>
  <c r="M984" i="12"/>
  <c r="M978" i="12"/>
  <c r="M972" i="12"/>
  <c r="M966" i="12"/>
  <c r="M960" i="12"/>
  <c r="M954" i="12"/>
  <c r="M948" i="12"/>
  <c r="M942" i="12"/>
  <c r="M936" i="12"/>
  <c r="M930" i="12"/>
  <c r="M924" i="12"/>
  <c r="M918" i="12"/>
  <c r="M912" i="12"/>
  <c r="M905" i="12"/>
  <c r="M898" i="12"/>
  <c r="M891" i="12"/>
  <c r="M884" i="12"/>
  <c r="M876" i="12"/>
  <c r="M869" i="12"/>
  <c r="M862" i="12"/>
  <c r="M855" i="12"/>
  <c r="M848" i="12"/>
  <c r="M832" i="12"/>
  <c r="M824" i="12"/>
  <c r="M808" i="12"/>
  <c r="M799" i="12"/>
  <c r="M789" i="12"/>
  <c r="M779" i="12"/>
  <c r="M768" i="12"/>
  <c r="M756" i="12"/>
  <c r="M743" i="12"/>
  <c r="M728" i="12"/>
  <c r="M377" i="12"/>
  <c r="M180" i="12"/>
  <c r="M883" i="12"/>
  <c r="M847" i="12"/>
  <c r="M839" i="12"/>
  <c r="M831" i="12"/>
  <c r="M823" i="12"/>
  <c r="M815" i="12"/>
  <c r="M807" i="12"/>
  <c r="M798" i="12"/>
  <c r="M778" i="12"/>
  <c r="M742" i="12"/>
  <c r="M726" i="12"/>
  <c r="M713" i="12"/>
  <c r="M695" i="12"/>
  <c r="M677" i="12"/>
  <c r="M659" i="12"/>
  <c r="M635" i="12"/>
  <c r="M611" i="12"/>
  <c r="M581" i="12"/>
  <c r="M545" i="12"/>
  <c r="M508" i="12"/>
  <c r="M465" i="12"/>
  <c r="M422" i="12"/>
  <c r="M376" i="12"/>
  <c r="M305" i="12"/>
  <c r="M1193" i="12"/>
  <c r="M1187" i="12"/>
  <c r="M1181" i="12"/>
  <c r="M1175" i="12"/>
  <c r="M1169" i="12"/>
  <c r="M1163" i="12"/>
  <c r="M1157" i="12"/>
  <c r="M1151" i="12"/>
  <c r="M1145" i="12"/>
  <c r="M1139" i="12"/>
  <c r="M1133" i="12"/>
  <c r="M1127" i="12"/>
  <c r="M1121" i="12"/>
  <c r="M1115" i="12"/>
  <c r="M1109" i="12"/>
  <c r="M1103" i="12"/>
  <c r="M1097" i="12"/>
  <c r="M1091" i="12"/>
  <c r="M1085" i="12"/>
  <c r="M1079" i="12"/>
  <c r="M1073" i="12"/>
  <c r="M1067" i="12"/>
  <c r="M1061" i="12"/>
  <c r="M1055" i="12"/>
  <c r="M1049" i="12"/>
  <c r="M1043" i="12"/>
  <c r="M1037" i="12"/>
  <c r="M1031" i="12"/>
  <c r="M1025" i="12"/>
  <c r="M1019" i="12"/>
  <c r="M1013" i="12"/>
  <c r="M1007" i="12"/>
  <c r="M1001" i="12"/>
  <c r="M995" i="12"/>
  <c r="M989" i="12"/>
  <c r="M983" i="12"/>
  <c r="M977" i="12"/>
  <c r="M971" i="12"/>
  <c r="M965" i="12"/>
  <c r="M959" i="12"/>
  <c r="M953" i="12"/>
  <c r="M947" i="12"/>
  <c r="M941" i="12"/>
  <c r="M935" i="12"/>
  <c r="M929" i="12"/>
  <c r="M923" i="12"/>
  <c r="M917" i="12"/>
  <c r="M911" i="12"/>
  <c r="M904" i="12"/>
  <c r="M897" i="12"/>
  <c r="M890" i="12"/>
  <c r="M882" i="12"/>
  <c r="M875" i="12"/>
  <c r="M868" i="12"/>
  <c r="M861" i="12"/>
  <c r="M854" i="12"/>
  <c r="M846" i="12"/>
  <c r="M822" i="12"/>
  <c r="M788" i="12"/>
  <c r="M777" i="12"/>
  <c r="M767" i="12"/>
  <c r="M755" i="12"/>
  <c r="M740" i="12"/>
  <c r="M710" i="12"/>
  <c r="M692" i="12"/>
  <c r="M674" i="12"/>
  <c r="M654" i="12"/>
  <c r="M630" i="12"/>
  <c r="M606" i="12"/>
  <c r="M415" i="12"/>
  <c r="M292" i="12"/>
  <c r="M889" i="12"/>
  <c r="M853" i="12"/>
  <c r="M838" i="12"/>
  <c r="M830" i="12"/>
  <c r="M814" i="12"/>
  <c r="M806" i="12"/>
  <c r="M797" i="12"/>
  <c r="M786" i="12"/>
  <c r="M766" i="12"/>
  <c r="M754" i="12"/>
  <c r="M738" i="12"/>
  <c r="M725" i="12"/>
  <c r="M708" i="12"/>
  <c r="M690" i="12"/>
  <c r="M672" i="12"/>
  <c r="M575" i="12"/>
  <c r="M539" i="12"/>
  <c r="M501" i="12"/>
  <c r="M458" i="12"/>
  <c r="M414" i="12"/>
  <c r="M365" i="12"/>
  <c r="M290" i="12"/>
  <c r="M1270" i="12"/>
  <c r="M1264" i="12"/>
  <c r="M1258" i="12"/>
  <c r="M1252" i="12"/>
  <c r="M1246" i="12"/>
  <c r="M1240" i="12"/>
  <c r="M1234" i="12"/>
  <c r="M1228" i="12"/>
  <c r="M1222" i="12"/>
  <c r="M1216" i="12"/>
  <c r="M1210" i="12"/>
  <c r="M1204" i="12"/>
  <c r="M1198" i="12"/>
  <c r="M1192" i="12"/>
  <c r="M1186" i="12"/>
  <c r="M1180" i="12"/>
  <c r="M1174" i="12"/>
  <c r="M1168" i="12"/>
  <c r="M1162" i="12"/>
  <c r="M1156" i="12"/>
  <c r="M1150" i="12"/>
  <c r="M1144" i="12"/>
  <c r="M1138" i="12"/>
  <c r="M1132" i="12"/>
  <c r="M1126" i="12"/>
  <c r="M1120" i="12"/>
  <c r="M1114" i="12"/>
  <c r="M1108" i="12"/>
  <c r="M1102" i="12"/>
  <c r="M1096" i="12"/>
  <c r="M1090" i="12"/>
  <c r="M1084" i="12"/>
  <c r="M1078" i="12"/>
  <c r="M1072" i="12"/>
  <c r="M1066" i="12"/>
  <c r="M1060" i="12"/>
  <c r="M1054" i="12"/>
  <c r="M1048" i="12"/>
  <c r="M1042" i="12"/>
  <c r="M1036" i="12"/>
  <c r="M1030" i="12"/>
  <c r="M1024" i="12"/>
  <c r="M1018" i="12"/>
  <c r="M1012" i="12"/>
  <c r="M1006" i="12"/>
  <c r="M1000" i="12"/>
  <c r="M994" i="12"/>
  <c r="M988" i="12"/>
  <c r="M982" i="12"/>
  <c r="M976" i="12"/>
  <c r="M970" i="12"/>
  <c r="M964" i="12"/>
  <c r="M958" i="12"/>
  <c r="M952" i="12"/>
  <c r="M946" i="12"/>
  <c r="M940" i="12"/>
  <c r="M934" i="12"/>
  <c r="M928" i="12"/>
  <c r="M922" i="12"/>
  <c r="M916" i="12"/>
  <c r="M910" i="12"/>
  <c r="M903" i="12"/>
  <c r="M896" i="12"/>
  <c r="M888" i="12"/>
  <c r="M881" i="12"/>
  <c r="M874" i="12"/>
  <c r="M867" i="12"/>
  <c r="M860" i="12"/>
  <c r="M852" i="12"/>
  <c r="M845" i="12"/>
  <c r="M837" i="12"/>
  <c r="M829" i="12"/>
  <c r="M821" i="12"/>
  <c r="M813" i="12"/>
  <c r="M805" i="12"/>
  <c r="M796" i="12"/>
  <c r="M776" i="12"/>
  <c r="M765" i="12"/>
  <c r="M752" i="12"/>
  <c r="M724" i="12"/>
  <c r="M653" i="12"/>
  <c r="M629" i="12"/>
  <c r="M605" i="12"/>
  <c r="M451" i="12"/>
  <c r="M895" i="12"/>
  <c r="M859" i="12"/>
  <c r="M828" i="12"/>
  <c r="M804" i="12"/>
  <c r="M795" i="12"/>
  <c r="M785" i="12"/>
  <c r="M774" i="12"/>
  <c r="M750" i="12"/>
  <c r="M737" i="12"/>
  <c r="M722" i="12"/>
  <c r="M707" i="12"/>
  <c r="M689" i="12"/>
  <c r="M671" i="12"/>
  <c r="M648" i="12"/>
  <c r="M624" i="12"/>
  <c r="M600" i="12"/>
  <c r="M569" i="12"/>
  <c r="M533" i="12"/>
  <c r="M494" i="12"/>
  <c r="M450" i="12"/>
  <c r="M407" i="12"/>
  <c r="M353" i="12"/>
  <c r="M275" i="12"/>
  <c r="M594" i="12"/>
  <c r="M588" i="12"/>
  <c r="M582" i="12"/>
  <c r="M576" i="12"/>
  <c r="M570" i="12"/>
  <c r="M564" i="12"/>
  <c r="M558" i="12"/>
  <c r="M552" i="12"/>
  <c r="M546" i="12"/>
  <c r="M540" i="12"/>
  <c r="M534" i="12"/>
  <c r="M528" i="12"/>
  <c r="M522" i="12"/>
  <c r="M516" i="12"/>
  <c r="M509" i="12"/>
  <c r="M502" i="12"/>
  <c r="M495" i="12"/>
  <c r="M488" i="12"/>
  <c r="M480" i="12"/>
  <c r="M473" i="12"/>
  <c r="M466" i="12"/>
  <c r="M459" i="12"/>
  <c r="M452" i="12"/>
  <c r="M444" i="12"/>
  <c r="M437" i="12"/>
  <c r="M430" i="12"/>
  <c r="M423" i="12"/>
  <c r="M416" i="12"/>
  <c r="M408" i="12"/>
  <c r="M401" i="12"/>
  <c r="M394" i="12"/>
  <c r="M386" i="12"/>
  <c r="M366" i="12"/>
  <c r="M354" i="12"/>
  <c r="M342" i="12"/>
  <c r="M330" i="12"/>
  <c r="M318" i="12"/>
  <c r="M306" i="12"/>
  <c r="M293" i="12"/>
  <c r="M276" i="12"/>
  <c r="M258" i="12"/>
  <c r="M239" i="12"/>
  <c r="M215" i="12"/>
  <c r="M493" i="12"/>
  <c r="M457" i="12"/>
  <c r="M421" i="12"/>
  <c r="M392" i="12"/>
  <c r="M375" i="12"/>
  <c r="M364" i="12"/>
  <c r="M352" i="12"/>
  <c r="M340" i="12"/>
  <c r="M328" i="12"/>
  <c r="M316" i="12"/>
  <c r="M304" i="12"/>
  <c r="M288" i="12"/>
  <c r="M274" i="12"/>
  <c r="M256" i="12"/>
  <c r="M233" i="12"/>
  <c r="M209" i="12"/>
  <c r="M174" i="12"/>
  <c r="M712" i="12"/>
  <c r="M706" i="12"/>
  <c r="M700" i="12"/>
  <c r="M694" i="12"/>
  <c r="M688" i="12"/>
  <c r="M682" i="12"/>
  <c r="M676" i="12"/>
  <c r="M670" i="12"/>
  <c r="M664" i="12"/>
  <c r="M658" i="12"/>
  <c r="M652" i="12"/>
  <c r="M646" i="12"/>
  <c r="M640" i="12"/>
  <c r="M634" i="12"/>
  <c r="M628" i="12"/>
  <c r="M622" i="12"/>
  <c r="M616" i="12"/>
  <c r="M610" i="12"/>
  <c r="M604" i="12"/>
  <c r="M598" i="12"/>
  <c r="M592" i="12"/>
  <c r="M586" i="12"/>
  <c r="M580" i="12"/>
  <c r="M574" i="12"/>
  <c r="M568" i="12"/>
  <c r="M562" i="12"/>
  <c r="M556" i="12"/>
  <c r="M550" i="12"/>
  <c r="M544" i="12"/>
  <c r="M538" i="12"/>
  <c r="M532" i="12"/>
  <c r="M526" i="12"/>
  <c r="M520" i="12"/>
  <c r="M514" i="12"/>
  <c r="M507" i="12"/>
  <c r="M500" i="12"/>
  <c r="M492" i="12"/>
  <c r="M485" i="12"/>
  <c r="M478" i="12"/>
  <c r="M471" i="12"/>
  <c r="M464" i="12"/>
  <c r="M456" i="12"/>
  <c r="M449" i="12"/>
  <c r="M442" i="12"/>
  <c r="M435" i="12"/>
  <c r="M428" i="12"/>
  <c r="M420" i="12"/>
  <c r="M413" i="12"/>
  <c r="M406" i="12"/>
  <c r="M399" i="12"/>
  <c r="M391" i="12"/>
  <c r="M383" i="12"/>
  <c r="M374" i="12"/>
  <c r="M363" i="12"/>
  <c r="M351" i="12"/>
  <c r="M339" i="12"/>
  <c r="M327" i="12"/>
  <c r="M315" i="12"/>
  <c r="M302" i="12"/>
  <c r="M270" i="12"/>
  <c r="M252" i="12"/>
  <c r="M228" i="12"/>
  <c r="M204" i="12"/>
  <c r="M499" i="12"/>
  <c r="M463" i="12"/>
  <c r="M427" i="12"/>
  <c r="M390" i="12"/>
  <c r="M373" i="12"/>
  <c r="M362" i="12"/>
  <c r="M350" i="12"/>
  <c r="M338" i="12"/>
  <c r="M326" i="12"/>
  <c r="M314" i="12"/>
  <c r="M300" i="12"/>
  <c r="M287" i="12"/>
  <c r="M168" i="12"/>
  <c r="M759" i="12"/>
  <c r="M753" i="12"/>
  <c r="M747" i="12"/>
  <c r="M741" i="12"/>
  <c r="M735" i="12"/>
  <c r="M729" i="12"/>
  <c r="M723" i="12"/>
  <c r="M717" i="12"/>
  <c r="M711" i="12"/>
  <c r="M705" i="12"/>
  <c r="M699" i="12"/>
  <c r="M693" i="12"/>
  <c r="M687" i="12"/>
  <c r="M681" i="12"/>
  <c r="M675" i="12"/>
  <c r="M669" i="12"/>
  <c r="M663" i="12"/>
  <c r="M657" i="12"/>
  <c r="M651" i="12"/>
  <c r="M645" i="12"/>
  <c r="M639" i="12"/>
  <c r="M633" i="12"/>
  <c r="M627" i="12"/>
  <c r="M621" i="12"/>
  <c r="M615" i="12"/>
  <c r="M609" i="12"/>
  <c r="M603" i="12"/>
  <c r="M597" i="12"/>
  <c r="M591" i="12"/>
  <c r="M585" i="12"/>
  <c r="M579" i="12"/>
  <c r="M573" i="12"/>
  <c r="M567" i="12"/>
  <c r="M561" i="12"/>
  <c r="M555" i="12"/>
  <c r="M549" i="12"/>
  <c r="M543" i="12"/>
  <c r="M537" i="12"/>
  <c r="M531" i="12"/>
  <c r="M525" i="12"/>
  <c r="M519" i="12"/>
  <c r="M513" i="12"/>
  <c r="M506" i="12"/>
  <c r="M498" i="12"/>
  <c r="M491" i="12"/>
  <c r="M484" i="12"/>
  <c r="M477" i="12"/>
  <c r="M470" i="12"/>
  <c r="M462" i="12"/>
  <c r="M455" i="12"/>
  <c r="M448" i="12"/>
  <c r="M441" i="12"/>
  <c r="M434" i="12"/>
  <c r="M426" i="12"/>
  <c r="M419" i="12"/>
  <c r="M412" i="12"/>
  <c r="M405" i="12"/>
  <c r="M398" i="12"/>
  <c r="M382" i="12"/>
  <c r="M372" i="12"/>
  <c r="M360" i="12"/>
  <c r="M348" i="12"/>
  <c r="M336" i="12"/>
  <c r="M324" i="12"/>
  <c r="M312" i="12"/>
  <c r="M286" i="12"/>
  <c r="M269" i="12"/>
  <c r="M251" i="12"/>
  <c r="M227" i="12"/>
  <c r="M203" i="12"/>
  <c r="M505" i="12"/>
  <c r="M469" i="12"/>
  <c r="M433" i="12"/>
  <c r="M397" i="12"/>
  <c r="M389" i="12"/>
  <c r="M381" i="12"/>
  <c r="M299" i="12"/>
  <c r="M284" i="12"/>
  <c r="M268" i="12"/>
  <c r="M246" i="12"/>
  <c r="M222" i="12"/>
  <c r="M198" i="12"/>
  <c r="M162" i="12"/>
  <c r="M656" i="12"/>
  <c r="M650" i="12"/>
  <c r="M644" i="12"/>
  <c r="M638" i="12"/>
  <c r="M632" i="12"/>
  <c r="M626" i="12"/>
  <c r="M620" i="12"/>
  <c r="M614" i="12"/>
  <c r="M608" i="12"/>
  <c r="M602" i="12"/>
  <c r="M596" i="12"/>
  <c r="M590" i="12"/>
  <c r="M584" i="12"/>
  <c r="M578" i="12"/>
  <c r="M572" i="12"/>
  <c r="M566" i="12"/>
  <c r="M560" i="12"/>
  <c r="M554" i="12"/>
  <c r="M548" i="12"/>
  <c r="M542" i="12"/>
  <c r="M536" i="12"/>
  <c r="M530" i="12"/>
  <c r="M524" i="12"/>
  <c r="M518" i="12"/>
  <c r="M512" i="12"/>
  <c r="M504" i="12"/>
  <c r="M497" i="12"/>
  <c r="M490" i="12"/>
  <c r="M483" i="12"/>
  <c r="M476" i="12"/>
  <c r="M468" i="12"/>
  <c r="M461" i="12"/>
  <c r="M454" i="12"/>
  <c r="M447" i="12"/>
  <c r="M440" i="12"/>
  <c r="M432" i="12"/>
  <c r="M425" i="12"/>
  <c r="M418" i="12"/>
  <c r="M411" i="12"/>
  <c r="M404" i="12"/>
  <c r="M396" i="12"/>
  <c r="M371" i="12"/>
  <c r="M359" i="12"/>
  <c r="M347" i="12"/>
  <c r="M335" i="12"/>
  <c r="M323" i="12"/>
  <c r="M311" i="12"/>
  <c r="M298" i="12"/>
  <c r="M282" i="12"/>
  <c r="M264" i="12"/>
  <c r="M511" i="12"/>
  <c r="M475" i="12"/>
  <c r="M439" i="12"/>
  <c r="M403" i="12"/>
  <c r="M388" i="12"/>
  <c r="M380" i="12"/>
  <c r="M370" i="12"/>
  <c r="M358" i="12"/>
  <c r="M346" i="12"/>
  <c r="M334" i="12"/>
  <c r="M322" i="12"/>
  <c r="M310" i="12"/>
  <c r="M296" i="12"/>
  <c r="M245" i="12"/>
  <c r="M221" i="12"/>
  <c r="M192" i="12"/>
  <c r="M156" i="12"/>
  <c r="M793" i="12"/>
  <c r="M787" i="12"/>
  <c r="M781" i="12"/>
  <c r="M775" i="12"/>
  <c r="M769" i="12"/>
  <c r="M763" i="12"/>
  <c r="M757" i="12"/>
  <c r="M751" i="12"/>
  <c r="M745" i="12"/>
  <c r="M739" i="12"/>
  <c r="M733" i="12"/>
  <c r="M727" i="12"/>
  <c r="M721" i="12"/>
  <c r="M715" i="12"/>
  <c r="M709" i="12"/>
  <c r="M703" i="12"/>
  <c r="M697" i="12"/>
  <c r="M691" i="12"/>
  <c r="M685" i="12"/>
  <c r="M679" i="12"/>
  <c r="M673" i="12"/>
  <c r="M667" i="12"/>
  <c r="M661" i="12"/>
  <c r="M655" i="12"/>
  <c r="M649" i="12"/>
  <c r="M643" i="12"/>
  <c r="M637" i="12"/>
  <c r="M631" i="12"/>
  <c r="M625" i="12"/>
  <c r="M619" i="12"/>
  <c r="M613" i="12"/>
  <c r="M607" i="12"/>
  <c r="M601" i="12"/>
  <c r="M595" i="12"/>
  <c r="M589" i="12"/>
  <c r="M583" i="12"/>
  <c r="M577" i="12"/>
  <c r="M571" i="12"/>
  <c r="M565" i="12"/>
  <c r="M559" i="12"/>
  <c r="M553" i="12"/>
  <c r="M547" i="12"/>
  <c r="M541" i="12"/>
  <c r="M535" i="12"/>
  <c r="M529" i="12"/>
  <c r="M523" i="12"/>
  <c r="M517" i="12"/>
  <c r="M510" i="12"/>
  <c r="M503" i="12"/>
  <c r="M496" i="12"/>
  <c r="M489" i="12"/>
  <c r="M482" i="12"/>
  <c r="M474" i="12"/>
  <c r="M467" i="12"/>
  <c r="M460" i="12"/>
  <c r="M453" i="12"/>
  <c r="M446" i="12"/>
  <c r="M438" i="12"/>
  <c r="M431" i="12"/>
  <c r="M424" i="12"/>
  <c r="M417" i="12"/>
  <c r="M410" i="12"/>
  <c r="M402" i="12"/>
  <c r="M395" i="12"/>
  <c r="M387" i="12"/>
  <c r="M379" i="12"/>
  <c r="M369" i="12"/>
  <c r="M357" i="12"/>
  <c r="M345" i="12"/>
  <c r="M333" i="12"/>
  <c r="M321" i="12"/>
  <c r="M309" i="12"/>
  <c r="M294" i="12"/>
  <c r="M281" i="12"/>
  <c r="M263" i="12"/>
  <c r="M240" i="12"/>
  <c r="M216" i="12"/>
  <c r="M481" i="12"/>
  <c r="M445" i="12"/>
  <c r="M409" i="12"/>
  <c r="M378" i="12"/>
  <c r="M368" i="12"/>
  <c r="M356" i="12"/>
  <c r="M344" i="12"/>
  <c r="M332" i="12"/>
  <c r="M320" i="12"/>
  <c r="M308" i="12"/>
  <c r="M280" i="12"/>
  <c r="M262" i="12"/>
  <c r="M186" i="12"/>
  <c r="M150" i="12"/>
  <c r="M144" i="12"/>
  <c r="M138" i="12"/>
  <c r="M132" i="12"/>
  <c r="M126" i="12"/>
  <c r="M120" i="12"/>
  <c r="M114" i="12"/>
  <c r="M108" i="12"/>
  <c r="M102" i="12"/>
  <c r="M96" i="12"/>
  <c r="M90" i="12"/>
  <c r="M84" i="12"/>
  <c r="M78" i="12"/>
  <c r="M72" i="12"/>
  <c r="M66" i="12"/>
  <c r="M60" i="12"/>
  <c r="M54" i="12"/>
  <c r="M48" i="12"/>
  <c r="M42" i="12"/>
  <c r="M36" i="12"/>
  <c r="M30" i="12"/>
  <c r="M24" i="12"/>
  <c r="M18" i="12"/>
  <c r="M12" i="12"/>
  <c r="M197" i="12"/>
  <c r="M191" i="12"/>
  <c r="M185" i="12"/>
  <c r="M179" i="12"/>
  <c r="M173" i="12"/>
  <c r="M167" i="12"/>
  <c r="M161" i="12"/>
  <c r="M155" i="12"/>
  <c r="M149" i="12"/>
  <c r="M143" i="12"/>
  <c r="M137" i="12"/>
  <c r="M131" i="12"/>
  <c r="M125" i="12"/>
  <c r="M119" i="12"/>
  <c r="M113" i="12"/>
  <c r="M107" i="12"/>
  <c r="M101" i="12"/>
  <c r="M95" i="12"/>
  <c r="M89" i="12"/>
  <c r="M83" i="12"/>
  <c r="M77" i="12"/>
  <c r="M71" i="12"/>
  <c r="M65" i="12"/>
  <c r="M59" i="12"/>
  <c r="M53" i="12"/>
  <c r="M47" i="12"/>
  <c r="M41" i="12"/>
  <c r="M35" i="12"/>
  <c r="M29" i="12"/>
  <c r="M23" i="12"/>
  <c r="M17" i="12"/>
  <c r="M11" i="12"/>
  <c r="M250" i="12"/>
  <c r="M244" i="12"/>
  <c r="M238" i="12"/>
  <c r="M232" i="12"/>
  <c r="M226" i="12"/>
  <c r="M220" i="12"/>
  <c r="M214" i="12"/>
  <c r="M208" i="12"/>
  <c r="M202" i="12"/>
  <c r="M196" i="12"/>
  <c r="M190" i="12"/>
  <c r="M184" i="12"/>
  <c r="M178" i="12"/>
  <c r="M172" i="12"/>
  <c r="M166" i="12"/>
  <c r="M160" i="12"/>
  <c r="M154" i="12"/>
  <c r="M148" i="12"/>
  <c r="M142" i="12"/>
  <c r="M136" i="12"/>
  <c r="M130" i="12"/>
  <c r="M124" i="12"/>
  <c r="M118" i="12"/>
  <c r="M112" i="12"/>
  <c r="M106" i="12"/>
  <c r="M100" i="12"/>
  <c r="M94" i="12"/>
  <c r="M88" i="12"/>
  <c r="M82" i="12"/>
  <c r="M76" i="12"/>
  <c r="M70" i="12"/>
  <c r="M64" i="12"/>
  <c r="M58" i="12"/>
  <c r="M52" i="12"/>
  <c r="M46" i="12"/>
  <c r="M40" i="12"/>
  <c r="M34" i="12"/>
  <c r="M28" i="12"/>
  <c r="M22" i="12"/>
  <c r="M16" i="12"/>
  <c r="M10" i="12"/>
  <c r="M303" i="12"/>
  <c r="M297" i="12"/>
  <c r="M291" i="12"/>
  <c r="M285" i="12"/>
  <c r="M279" i="12"/>
  <c r="M273" i="12"/>
  <c r="M267" i="12"/>
  <c r="M261" i="12"/>
  <c r="M255" i="12"/>
  <c r="M249" i="12"/>
  <c r="M243" i="12"/>
  <c r="M237" i="12"/>
  <c r="M231" i="12"/>
  <c r="M225" i="12"/>
  <c r="M219" i="12"/>
  <c r="M213" i="12"/>
  <c r="M207" i="12"/>
  <c r="M201" i="12"/>
  <c r="M195" i="12"/>
  <c r="M189" i="12"/>
  <c r="M183" i="12"/>
  <c r="M177" i="12"/>
  <c r="M171" i="12"/>
  <c r="M165" i="12"/>
  <c r="M159" i="12"/>
  <c r="M153" i="12"/>
  <c r="M147" i="12"/>
  <c r="M141" i="12"/>
  <c r="M135" i="12"/>
  <c r="M129" i="12"/>
  <c r="M123" i="12"/>
  <c r="M117" i="12"/>
  <c r="M111" i="12"/>
  <c r="M105" i="12"/>
  <c r="M99" i="12"/>
  <c r="M93" i="12"/>
  <c r="M87" i="12"/>
  <c r="M81" i="12"/>
  <c r="M75" i="12"/>
  <c r="M69" i="12"/>
  <c r="M63" i="12"/>
  <c r="M57" i="12"/>
  <c r="M51" i="12"/>
  <c r="M45" i="12"/>
  <c r="M39" i="12"/>
  <c r="M33" i="12"/>
  <c r="M27" i="12"/>
  <c r="M21" i="12"/>
  <c r="M15" i="12"/>
  <c r="M9" i="12"/>
  <c r="M278" i="12"/>
  <c r="M272" i="12"/>
  <c r="M266" i="12"/>
  <c r="M260" i="12"/>
  <c r="M254" i="12"/>
  <c r="M248" i="12"/>
  <c r="M242" i="12"/>
  <c r="M236" i="12"/>
  <c r="M230" i="12"/>
  <c r="M224" i="12"/>
  <c r="M218" i="12"/>
  <c r="M212" i="12"/>
  <c r="M206" i="12"/>
  <c r="M200" i="12"/>
  <c r="M194" i="12"/>
  <c r="M188" i="12"/>
  <c r="M182" i="12"/>
  <c r="M176" i="12"/>
  <c r="M170" i="12"/>
  <c r="M164" i="12"/>
  <c r="M158" i="12"/>
  <c r="M152" i="12"/>
  <c r="M146" i="12"/>
  <c r="M140" i="12"/>
  <c r="M134" i="12"/>
  <c r="M128" i="12"/>
  <c r="M122" i="12"/>
  <c r="M116" i="12"/>
  <c r="M110" i="12"/>
  <c r="M104" i="12"/>
  <c r="M98" i="12"/>
  <c r="M92" i="12"/>
  <c r="M86" i="12"/>
  <c r="M80" i="12"/>
  <c r="M74" i="12"/>
  <c r="M68" i="12"/>
  <c r="M62" i="12"/>
  <c r="M56" i="12"/>
  <c r="M50" i="12"/>
  <c r="M44" i="12"/>
  <c r="M38" i="12"/>
  <c r="M32" i="12"/>
  <c r="M26" i="12"/>
  <c r="M20" i="12"/>
  <c r="M14" i="12"/>
  <c r="M8" i="12"/>
  <c r="M367" i="12"/>
  <c r="M361" i="12"/>
  <c r="M355" i="12"/>
  <c r="M349" i="12"/>
  <c r="M343" i="12"/>
  <c r="M337" i="12"/>
  <c r="M331" i="12"/>
  <c r="M325" i="12"/>
  <c r="M319" i="12"/>
  <c r="M313" i="12"/>
  <c r="M307" i="12"/>
  <c r="M301" i="12"/>
  <c r="M295" i="12"/>
  <c r="M289" i="12"/>
  <c r="M283" i="12"/>
  <c r="M277" i="12"/>
  <c r="M271" i="12"/>
  <c r="M265" i="12"/>
  <c r="M259" i="12"/>
  <c r="M253" i="12"/>
  <c r="M247" i="12"/>
  <c r="M241" i="12"/>
  <c r="M235" i="12"/>
  <c r="M229" i="12"/>
  <c r="M223" i="12"/>
  <c r="M217" i="12"/>
  <c r="M211" i="12"/>
  <c r="M205" i="12"/>
  <c r="M199" i="12"/>
  <c r="M193" i="12"/>
  <c r="M187" i="12"/>
  <c r="M181" i="12"/>
  <c r="M175" i="12"/>
  <c r="M169" i="12"/>
  <c r="M163" i="12"/>
  <c r="M157" i="12"/>
  <c r="M151" i="12"/>
  <c r="M145" i="12"/>
  <c r="M139" i="12"/>
  <c r="M133" i="12"/>
  <c r="M127" i="12"/>
  <c r="M121" i="12"/>
  <c r="M115" i="12"/>
  <c r="M109" i="12"/>
  <c r="M103" i="12"/>
  <c r="M97" i="12"/>
  <c r="M91" i="12"/>
  <c r="M85" i="12"/>
  <c r="M79" i="12"/>
  <c r="M73" i="12"/>
  <c r="M67" i="12"/>
  <c r="M61" i="12"/>
  <c r="M55" i="12"/>
  <c r="M49" i="12"/>
  <c r="M43" i="12"/>
  <c r="M37" i="12"/>
  <c r="M31" i="12"/>
  <c r="M25" i="12"/>
  <c r="M19" i="12"/>
  <c r="M13" i="12"/>
  <c r="M7" i="12"/>
  <c r="M6" i="12"/>
  <c r="A6" i="12"/>
  <c r="A4162" i="12"/>
  <c r="A4054" i="12"/>
  <c r="A3922" i="12"/>
  <c r="A3802" i="12"/>
  <c r="A3682" i="12"/>
  <c r="A3574" i="12"/>
  <c r="A3411" i="12"/>
  <c r="A2925" i="12"/>
  <c r="A2485" i="12"/>
  <c r="A4161" i="12"/>
  <c r="A4017" i="12"/>
  <c r="A3897" i="12"/>
  <c r="A3801" i="12"/>
  <c r="A3693" i="12"/>
  <c r="A3621" i="12"/>
  <c r="A3537" i="12"/>
  <c r="A3427" i="12"/>
  <c r="A3298" i="12"/>
  <c r="A2996" i="12"/>
  <c r="A2852" i="12"/>
  <c r="A2564" i="12"/>
  <c r="A4208" i="12"/>
  <c r="A4064" i="12"/>
  <c r="A3956" i="12"/>
  <c r="A3920" i="12"/>
  <c r="A3800" i="12"/>
  <c r="A3788" i="12"/>
  <c r="A3776" i="12"/>
  <c r="A3764" i="12"/>
  <c r="A3752" i="12"/>
  <c r="A3740" i="12"/>
  <c r="A3728" i="12"/>
  <c r="A3716" i="12"/>
  <c r="A3704" i="12"/>
  <c r="A3692" i="12"/>
  <c r="A3680" i="12"/>
  <c r="A3668" i="12"/>
  <c r="A3656" i="12"/>
  <c r="A3644" i="12"/>
  <c r="A3632" i="12"/>
  <c r="A3620" i="12"/>
  <c r="A3608" i="12"/>
  <c r="A3596" i="12"/>
  <c r="A3584" i="12"/>
  <c r="A3572" i="12"/>
  <c r="A3560" i="12"/>
  <c r="A3548" i="12"/>
  <c r="A3536" i="12"/>
  <c r="A3523" i="12"/>
  <c r="A3510" i="12"/>
  <c r="A3494" i="12"/>
  <c r="A3477" i="12"/>
  <c r="A3462" i="12"/>
  <c r="A3442" i="12"/>
  <c r="A3426" i="12"/>
  <c r="A3406" i="12"/>
  <c r="A3390" i="12"/>
  <c r="A3369" i="12"/>
  <c r="A3345" i="12"/>
  <c r="A3321" i="12"/>
  <c r="A3297" i="12"/>
  <c r="A3271" i="12"/>
  <c r="A3201" i="12"/>
  <c r="A3129" i="12"/>
  <c r="A3057" i="12"/>
  <c r="A2985" i="12"/>
  <c r="A2913" i="12"/>
  <c r="A2841" i="12"/>
  <c r="A2769" i="12"/>
  <c r="A2697" i="12"/>
  <c r="A2625" i="12"/>
  <c r="A2553" i="12"/>
  <c r="A2470" i="12"/>
  <c r="A2352" i="12"/>
  <c r="A2196" i="12"/>
  <c r="A1980" i="12"/>
  <c r="A1764" i="12"/>
  <c r="A1521" i="12"/>
  <c r="A725" i="12"/>
  <c r="A4210" i="12"/>
  <c r="A4066" i="12"/>
  <c r="A3946" i="12"/>
  <c r="A3850" i="12"/>
  <c r="A3730" i="12"/>
  <c r="A3610" i="12"/>
  <c r="A3480" i="12"/>
  <c r="A3213" i="12"/>
  <c r="A1800" i="12"/>
  <c r="A4197" i="12"/>
  <c r="A4077" i="12"/>
  <c r="A3981" i="12"/>
  <c r="A3873" i="12"/>
  <c r="A3717" i="12"/>
  <c r="A3597" i="12"/>
  <c r="A3463" i="12"/>
  <c r="A3272" i="12"/>
  <c r="A2015" i="12"/>
  <c r="A4196" i="12"/>
  <c r="A4100" i="12"/>
  <c r="A4016" i="12"/>
  <c r="A3944" i="12"/>
  <c r="A3908" i="12"/>
  <c r="A4207" i="12"/>
  <c r="A4099" i="12"/>
  <c r="A4087" i="12"/>
  <c r="A4075" i="12"/>
  <c r="A4063" i="12"/>
  <c r="A4051" i="12"/>
  <c r="A4039" i="12"/>
  <c r="A4027" i="12"/>
  <c r="A4015" i="12"/>
  <c r="A4003" i="12"/>
  <c r="A3991" i="12"/>
  <c r="A3979" i="12"/>
  <c r="A3967" i="12"/>
  <c r="A3955" i="12"/>
  <c r="A3943" i="12"/>
  <c r="A3931" i="12"/>
  <c r="A3919" i="12"/>
  <c r="A3907" i="12"/>
  <c r="A3895" i="12"/>
  <c r="A3883" i="12"/>
  <c r="A3871" i="12"/>
  <c r="A3859" i="12"/>
  <c r="A3847" i="12"/>
  <c r="A3835" i="12"/>
  <c r="A3823" i="12"/>
  <c r="A3811" i="12"/>
  <c r="A3799" i="12"/>
  <c r="A3787" i="12"/>
  <c r="A3775" i="12"/>
  <c r="A3763" i="12"/>
  <c r="A3751" i="12"/>
  <c r="A3739" i="12"/>
  <c r="A3727" i="12"/>
  <c r="A3715" i="12"/>
  <c r="A3703" i="12"/>
  <c r="A3691" i="12"/>
  <c r="A3679" i="12"/>
  <c r="A3667" i="12"/>
  <c r="A3655" i="12"/>
  <c r="A3643" i="12"/>
  <c r="A3631" i="12"/>
  <c r="A3619" i="12"/>
  <c r="A3607" i="12"/>
  <c r="A3595" i="12"/>
  <c r="A3583" i="12"/>
  <c r="A3571" i="12"/>
  <c r="A3559" i="12"/>
  <c r="A3547" i="12"/>
  <c r="A3535" i="12"/>
  <c r="A3522" i="12"/>
  <c r="A3509" i="12"/>
  <c r="A3492" i="12"/>
  <c r="A3476" i="12"/>
  <c r="A3461" i="12"/>
  <c r="A3441" i="12"/>
  <c r="A3425" i="12"/>
  <c r="A3405" i="12"/>
  <c r="A3389" i="12"/>
  <c r="A3368" i="12"/>
  <c r="A3344" i="12"/>
  <c r="A3320" i="12"/>
  <c r="A3296" i="12"/>
  <c r="A3267" i="12"/>
  <c r="A3200" i="12"/>
  <c r="A3128" i="12"/>
  <c r="A3056" i="12"/>
  <c r="A2984" i="12"/>
  <c r="A2912" i="12"/>
  <c r="A2840" i="12"/>
  <c r="A2768" i="12"/>
  <c r="A2696" i="12"/>
  <c r="A2624" i="12"/>
  <c r="A2552" i="12"/>
  <c r="A2469" i="12"/>
  <c r="A2351" i="12"/>
  <c r="A2195" i="12"/>
  <c r="A1979" i="12"/>
  <c r="A1763" i="12"/>
  <c r="A1520" i="12"/>
  <c r="A724" i="12"/>
  <c r="A4174" i="12"/>
  <c r="A4078" i="12"/>
  <c r="A3958" i="12"/>
  <c r="A3838" i="12"/>
  <c r="A3718" i="12"/>
  <c r="A3598" i="12"/>
  <c r="A3447" i="12"/>
  <c r="A2997" i="12"/>
  <c r="A2232" i="12"/>
  <c r="A4185" i="12"/>
  <c r="A4065" i="12"/>
  <c r="A3945" i="12"/>
  <c r="A3837" i="12"/>
  <c r="A3741" i="12"/>
  <c r="A3645" i="12"/>
  <c r="A3511" i="12"/>
  <c r="A3322" i="12"/>
  <c r="A1799" i="12"/>
  <c r="A4184" i="12"/>
  <c r="A4076" i="12"/>
  <c r="A3932" i="12"/>
  <c r="A3812" i="12"/>
  <c r="A4159" i="12"/>
  <c r="A4182" i="12"/>
  <c r="A4146" i="12"/>
  <c r="A4110" i="12"/>
  <c r="A4074" i="12"/>
  <c r="A4062" i="12"/>
  <c r="A4050" i="12"/>
  <c r="A4038" i="12"/>
  <c r="A4026" i="12"/>
  <c r="A4014" i="12"/>
  <c r="A4002" i="12"/>
  <c r="A3990" i="12"/>
  <c r="A3978" i="12"/>
  <c r="A3966" i="12"/>
  <c r="A3954" i="12"/>
  <c r="A3942" i="12"/>
  <c r="A3930" i="12"/>
  <c r="A3918" i="12"/>
  <c r="A3906" i="12"/>
  <c r="A3894" i="12"/>
  <c r="A3882" i="12"/>
  <c r="A3870" i="12"/>
  <c r="A3858" i="12"/>
  <c r="A3846" i="12"/>
  <c r="A3834" i="12"/>
  <c r="A3822" i="12"/>
  <c r="A3810" i="12"/>
  <c r="A3798" i="12"/>
  <c r="A3786" i="12"/>
  <c r="A3774" i="12"/>
  <c r="A3762" i="12"/>
  <c r="A3750" i="12"/>
  <c r="A3738" i="12"/>
  <c r="A3726" i="12"/>
  <c r="A3714" i="12"/>
  <c r="A3702" i="12"/>
  <c r="A3690" i="12"/>
  <c r="A3678" i="12"/>
  <c r="A3666" i="12"/>
  <c r="A3654" i="12"/>
  <c r="A3642" i="12"/>
  <c r="A3630" i="12"/>
  <c r="A3618" i="12"/>
  <c r="A3606" i="12"/>
  <c r="A3594" i="12"/>
  <c r="A3582" i="12"/>
  <c r="A3570" i="12"/>
  <c r="A3558" i="12"/>
  <c r="A3546" i="12"/>
  <c r="A3534" i="12"/>
  <c r="A3521" i="12"/>
  <c r="A3507" i="12"/>
  <c r="A3490" i="12"/>
  <c r="A3475" i="12"/>
  <c r="A3459" i="12"/>
  <c r="A3440" i="12"/>
  <c r="A3423" i="12"/>
  <c r="A3404" i="12"/>
  <c r="A3387" i="12"/>
  <c r="A3367" i="12"/>
  <c r="A3343" i="12"/>
  <c r="A3319" i="12"/>
  <c r="A3295" i="12"/>
  <c r="A3261" i="12"/>
  <c r="A3189" i="12"/>
  <c r="A3117" i="12"/>
  <c r="A3045" i="12"/>
  <c r="A2973" i="12"/>
  <c r="A2901" i="12"/>
  <c r="A2829" i="12"/>
  <c r="A2757" i="12"/>
  <c r="A2685" i="12"/>
  <c r="A2613" i="12"/>
  <c r="A2541" i="12"/>
  <c r="A2454" i="12"/>
  <c r="A2334" i="12"/>
  <c r="A2160" i="12"/>
  <c r="A1944" i="12"/>
  <c r="A1728" i="12"/>
  <c r="A1430" i="12"/>
  <c r="A581" i="12"/>
  <c r="A4138" i="12"/>
  <c r="A4018" i="12"/>
  <c r="A3898" i="12"/>
  <c r="A3790" i="12"/>
  <c r="A3694" i="12"/>
  <c r="A3562" i="12"/>
  <c r="A3375" i="12"/>
  <c r="A869" i="12"/>
  <c r="A4149" i="12"/>
  <c r="A4053" i="12"/>
  <c r="A3957" i="12"/>
  <c r="A3861" i="12"/>
  <c r="A3729" i="12"/>
  <c r="A3633" i="12"/>
  <c r="A3524" i="12"/>
  <c r="A3370" i="12"/>
  <c r="A2231" i="12"/>
  <c r="A4172" i="12"/>
  <c r="A4040" i="12"/>
  <c r="A3824" i="12"/>
  <c r="A4195" i="12"/>
  <c r="A4230" i="12"/>
  <c r="A4170" i="12"/>
  <c r="A4134" i="12"/>
  <c r="A4098" i="12"/>
  <c r="A4229" i="12"/>
  <c r="A4205" i="12"/>
  <c r="A4181" i="12"/>
  <c r="A4157" i="12"/>
  <c r="A4145" i="12"/>
  <c r="A4133" i="12"/>
  <c r="A4121" i="12"/>
  <c r="A4109" i="12"/>
  <c r="A4097" i="12"/>
  <c r="A4085" i="12"/>
  <c r="A4073" i="12"/>
  <c r="A4061" i="12"/>
  <c r="A4049" i="12"/>
  <c r="A4037" i="12"/>
  <c r="A4025" i="12"/>
  <c r="A4013" i="12"/>
  <c r="A4001" i="12"/>
  <c r="A3989" i="12"/>
  <c r="A3977" i="12"/>
  <c r="A3965" i="12"/>
  <c r="A3953" i="12"/>
  <c r="A3941" i="12"/>
  <c r="A3929" i="12"/>
  <c r="A3917" i="12"/>
  <c r="A3905" i="12"/>
  <c r="A3893" i="12"/>
  <c r="A3881" i="12"/>
  <c r="A3869" i="12"/>
  <c r="A3857" i="12"/>
  <c r="A3845" i="12"/>
  <c r="A3833" i="12"/>
  <c r="A3821" i="12"/>
  <c r="A3809" i="12"/>
  <c r="A3797" i="12"/>
  <c r="A3785" i="12"/>
  <c r="A3773" i="12"/>
  <c r="A3761" i="12"/>
  <c r="A3749" i="12"/>
  <c r="A3737" i="12"/>
  <c r="A3725" i="12"/>
  <c r="A3713" i="12"/>
  <c r="A3701" i="12"/>
  <c r="A3689" i="12"/>
  <c r="A3677" i="12"/>
  <c r="A3665" i="12"/>
  <c r="A3653" i="12"/>
  <c r="A3641" i="12"/>
  <c r="A3629" i="12"/>
  <c r="A3617" i="12"/>
  <c r="A3605" i="12"/>
  <c r="A3593" i="12"/>
  <c r="A3581" i="12"/>
  <c r="A3569" i="12"/>
  <c r="A3557" i="12"/>
  <c r="A3545" i="12"/>
  <c r="A3533" i="12"/>
  <c r="A3520" i="12"/>
  <c r="A3506" i="12"/>
  <c r="A3489" i="12"/>
  <c r="A3474" i="12"/>
  <c r="A3458" i="12"/>
  <c r="A3439" i="12"/>
  <c r="A3422" i="12"/>
  <c r="A3403" i="12"/>
  <c r="A3386" i="12"/>
  <c r="A3366" i="12"/>
  <c r="A3342" i="12"/>
  <c r="A3318" i="12"/>
  <c r="A3291" i="12"/>
  <c r="A3260" i="12"/>
  <c r="A3188" i="12"/>
  <c r="A3116" i="12"/>
  <c r="A3044" i="12"/>
  <c r="A2972" i="12"/>
  <c r="A2900" i="12"/>
  <c r="A2828" i="12"/>
  <c r="A2756" i="12"/>
  <c r="A2684" i="12"/>
  <c r="A2612" i="12"/>
  <c r="A2540" i="12"/>
  <c r="A2453" i="12"/>
  <c r="A2329" i="12"/>
  <c r="A2159" i="12"/>
  <c r="A1943" i="12"/>
  <c r="A1727" i="12"/>
  <c r="A1427" i="12"/>
  <c r="A580" i="12"/>
  <c r="A4198" i="12"/>
  <c r="A4090" i="12"/>
  <c r="A3970" i="12"/>
  <c r="A3862" i="12"/>
  <c r="A3742" i="12"/>
  <c r="A3622" i="12"/>
  <c r="A3497" i="12"/>
  <c r="A3351" i="12"/>
  <c r="A2709" i="12"/>
  <c r="A4221" i="12"/>
  <c r="A4113" i="12"/>
  <c r="A4005" i="12"/>
  <c r="A3909" i="12"/>
  <c r="A3849" i="12"/>
  <c r="A3753" i="12"/>
  <c r="A3669" i="12"/>
  <c r="A3549" i="12"/>
  <c r="A3410" i="12"/>
  <c r="A3140" i="12"/>
  <c r="A2636" i="12"/>
  <c r="A4220" i="12"/>
  <c r="A4088" i="12"/>
  <c r="A3968" i="12"/>
  <c r="A3884" i="12"/>
  <c r="A4219" i="12"/>
  <c r="A4123" i="12"/>
  <c r="A4194" i="12"/>
  <c r="A4158" i="12"/>
  <c r="A4122" i="12"/>
  <c r="A4086" i="12"/>
  <c r="A4217" i="12"/>
  <c r="A4193" i="12"/>
  <c r="A4169" i="12"/>
  <c r="A4240" i="12"/>
  <c r="A4228" i="12"/>
  <c r="A4216" i="12"/>
  <c r="A4204" i="12"/>
  <c r="A4192" i="12"/>
  <c r="A4180" i="12"/>
  <c r="A4168" i="12"/>
  <c r="A4156" i="12"/>
  <c r="A4144" i="12"/>
  <c r="A4132" i="12"/>
  <c r="A4120" i="12"/>
  <c r="A4108" i="12"/>
  <c r="A4096" i="12"/>
  <c r="A4084" i="12"/>
  <c r="A4072" i="12"/>
  <c r="A4060" i="12"/>
  <c r="A4048" i="12"/>
  <c r="A4036" i="12"/>
  <c r="A4024" i="12"/>
  <c r="A4012" i="12"/>
  <c r="A4000" i="12"/>
  <c r="A3988" i="12"/>
  <c r="A3976" i="12"/>
  <c r="A3964" i="12"/>
  <c r="A3952" i="12"/>
  <c r="A3940" i="12"/>
  <c r="A3928" i="12"/>
  <c r="A3916" i="12"/>
  <c r="A3904" i="12"/>
  <c r="A3892" i="12"/>
  <c r="A3880" i="12"/>
  <c r="A3868" i="12"/>
  <c r="A3856" i="12"/>
  <c r="A3844" i="12"/>
  <c r="A3832" i="12"/>
  <c r="A3820" i="12"/>
  <c r="A3808" i="12"/>
  <c r="A3796" i="12"/>
  <c r="A3784" i="12"/>
  <c r="A3772" i="12"/>
  <c r="A3760" i="12"/>
  <c r="A3748" i="12"/>
  <c r="A3736" i="12"/>
  <c r="A3724" i="12"/>
  <c r="A3712" i="12"/>
  <c r="A3700" i="12"/>
  <c r="A3688" i="12"/>
  <c r="A3676" i="12"/>
  <c r="A3664" i="12"/>
  <c r="A3652" i="12"/>
  <c r="A3640" i="12"/>
  <c r="A3628" i="12"/>
  <c r="A3616" i="12"/>
  <c r="A3604" i="12"/>
  <c r="A3592" i="12"/>
  <c r="A3580" i="12"/>
  <c r="A3568" i="12"/>
  <c r="A3556" i="12"/>
  <c r="A3544" i="12"/>
  <c r="A3532" i="12"/>
  <c r="A3519" i="12"/>
  <c r="A3504" i="12"/>
  <c r="A3488" i="12"/>
  <c r="A3473" i="12"/>
  <c r="A3454" i="12"/>
  <c r="A3438" i="12"/>
  <c r="A3418" i="12"/>
  <c r="A3402" i="12"/>
  <c r="A3382" i="12"/>
  <c r="A3363" i="12"/>
  <c r="A3339" i="12"/>
  <c r="A3315" i="12"/>
  <c r="A3286" i="12"/>
  <c r="A3249" i="12"/>
  <c r="A3177" i="12"/>
  <c r="A3105" i="12"/>
  <c r="A3033" i="12"/>
  <c r="A2961" i="12"/>
  <c r="A2889" i="12"/>
  <c r="A2817" i="12"/>
  <c r="A2745" i="12"/>
  <c r="A2673" i="12"/>
  <c r="A2601" i="12"/>
  <c r="A2529" i="12"/>
  <c r="A2435" i="12"/>
  <c r="A2312" i="12"/>
  <c r="A2124" i="12"/>
  <c r="A1908" i="12"/>
  <c r="A1692" i="12"/>
  <c r="A1301" i="12"/>
  <c r="A437" i="12"/>
  <c r="A4126" i="12"/>
  <c r="A3982" i="12"/>
  <c r="A3826" i="12"/>
  <c r="A3670" i="12"/>
  <c r="A3512" i="12"/>
  <c r="A3273" i="12"/>
  <c r="A2374" i="12"/>
  <c r="A4125" i="12"/>
  <c r="A3993" i="12"/>
  <c r="A3813" i="12"/>
  <c r="A3657" i="12"/>
  <c r="A3446" i="12"/>
  <c r="A3212" i="12"/>
  <c r="A2484" i="12"/>
  <c r="A4136" i="12"/>
  <c r="A3980" i="12"/>
  <c r="A3872" i="12"/>
  <c r="A4135" i="12"/>
  <c r="A4191" i="12"/>
  <c r="A4131" i="12"/>
  <c r="A4119" i="12"/>
  <c r="A4107" i="12"/>
  <c r="A4095" i="12"/>
  <c r="A4083" i="12"/>
  <c r="A4071" i="12"/>
  <c r="A4059" i="12"/>
  <c r="A4047" i="12"/>
  <c r="A4035" i="12"/>
  <c r="A4023" i="12"/>
  <c r="A4011" i="12"/>
  <c r="A3999" i="12"/>
  <c r="A3987" i="12"/>
  <c r="A3975" i="12"/>
  <c r="A3963" i="12"/>
  <c r="A3951" i="12"/>
  <c r="A3939" i="12"/>
  <c r="A3927" i="12"/>
  <c r="A3915" i="12"/>
  <c r="A3903" i="12"/>
  <c r="A3891" i="12"/>
  <c r="A3879" i="12"/>
  <c r="A3867" i="12"/>
  <c r="A3855" i="12"/>
  <c r="A3843" i="12"/>
  <c r="A3831" i="12"/>
  <c r="A3819" i="12"/>
  <c r="A3807" i="12"/>
  <c r="A3795" i="12"/>
  <c r="A3783" i="12"/>
  <c r="A3771" i="12"/>
  <c r="A3759" i="12"/>
  <c r="A3747" i="12"/>
  <c r="A3735" i="12"/>
  <c r="A3723" i="12"/>
  <c r="A3711" i="12"/>
  <c r="A3699" i="12"/>
  <c r="A3687" i="12"/>
  <c r="A3675" i="12"/>
  <c r="A3663" i="12"/>
  <c r="A3651" i="12"/>
  <c r="A3639" i="12"/>
  <c r="A3627" i="12"/>
  <c r="A3615" i="12"/>
  <c r="A3603" i="12"/>
  <c r="A3591" i="12"/>
  <c r="A3579" i="12"/>
  <c r="A3567" i="12"/>
  <c r="A3555" i="12"/>
  <c r="A3543" i="12"/>
  <c r="A3531" i="12"/>
  <c r="A3518" i="12"/>
  <c r="A3502" i="12"/>
  <c r="A3487" i="12"/>
  <c r="A3471" i="12"/>
  <c r="A3453" i="12"/>
  <c r="A3437" i="12"/>
  <c r="A3417" i="12"/>
  <c r="A3401" i="12"/>
  <c r="A3381" i="12"/>
  <c r="A3358" i="12"/>
  <c r="A3334" i="12"/>
  <c r="A3310" i="12"/>
  <c r="A3285" i="12"/>
  <c r="A3248" i="12"/>
  <c r="A3176" i="12"/>
  <c r="A3104" i="12"/>
  <c r="A3032" i="12"/>
  <c r="A2960" i="12"/>
  <c r="A2888" i="12"/>
  <c r="A2816" i="12"/>
  <c r="A2744" i="12"/>
  <c r="A2672" i="12"/>
  <c r="A2600" i="12"/>
  <c r="A2528" i="12"/>
  <c r="A2434" i="12"/>
  <c r="A2310" i="12"/>
  <c r="A2123" i="12"/>
  <c r="A1907" i="12"/>
  <c r="A1691" i="12"/>
  <c r="A1300" i="12"/>
  <c r="A436" i="12"/>
  <c r="A4234" i="12"/>
  <c r="A4102" i="12"/>
  <c r="A3994" i="12"/>
  <c r="A3874" i="12"/>
  <c r="A3766" i="12"/>
  <c r="A3646" i="12"/>
  <c r="A3525" i="12"/>
  <c r="A3392" i="12"/>
  <c r="A3069" i="12"/>
  <c r="A2781" i="12"/>
  <c r="A2637" i="12"/>
  <c r="A4233" i="12"/>
  <c r="A4101" i="12"/>
  <c r="A3969" i="12"/>
  <c r="A3777" i="12"/>
  <c r="A3561" i="12"/>
  <c r="A1570" i="12"/>
  <c r="A4148" i="12"/>
  <c r="A4052" i="12"/>
  <c r="A3860" i="12"/>
  <c r="A4111" i="12"/>
  <c r="A4239" i="12"/>
  <c r="A4179" i="12"/>
  <c r="A4238" i="12"/>
  <c r="A4226" i="12"/>
  <c r="A4214" i="12"/>
  <c r="A4202" i="12"/>
  <c r="A4190" i="12"/>
  <c r="A4178" i="12"/>
  <c r="A4166" i="12"/>
  <c r="A4154" i="12"/>
  <c r="A4142" i="12"/>
  <c r="A4130" i="12"/>
  <c r="A4118" i="12"/>
  <c r="A4106" i="12"/>
  <c r="A4094" i="12"/>
  <c r="A4082" i="12"/>
  <c r="A4070" i="12"/>
  <c r="A4058" i="12"/>
  <c r="A4046" i="12"/>
  <c r="A4034" i="12"/>
  <c r="A4022" i="12"/>
  <c r="A4010" i="12"/>
  <c r="A3998" i="12"/>
  <c r="A3986" i="12"/>
  <c r="A3974" i="12"/>
  <c r="A3962" i="12"/>
  <c r="A3950" i="12"/>
  <c r="A3938" i="12"/>
  <c r="A3926" i="12"/>
  <c r="A3914" i="12"/>
  <c r="A3902" i="12"/>
  <c r="A3890" i="12"/>
  <c r="A3878" i="12"/>
  <c r="A3866" i="12"/>
  <c r="A3854" i="12"/>
  <c r="A3842" i="12"/>
  <c r="A3830" i="12"/>
  <c r="A3818" i="12"/>
  <c r="A3806" i="12"/>
  <c r="A3794" i="12"/>
  <c r="A3782" i="12"/>
  <c r="A3770" i="12"/>
  <c r="A3758" i="12"/>
  <c r="A3746" i="12"/>
  <c r="A3734" i="12"/>
  <c r="A3722" i="12"/>
  <c r="A3710" i="12"/>
  <c r="A3698" i="12"/>
  <c r="A3686" i="12"/>
  <c r="A3674" i="12"/>
  <c r="A3662" i="12"/>
  <c r="A3650" i="12"/>
  <c r="A3638" i="12"/>
  <c r="A3626" i="12"/>
  <c r="A3614" i="12"/>
  <c r="A3602" i="12"/>
  <c r="A3590" i="12"/>
  <c r="A3578" i="12"/>
  <c r="A3566" i="12"/>
  <c r="A3554" i="12"/>
  <c r="A3542" i="12"/>
  <c r="A3530" i="12"/>
  <c r="A3517" i="12"/>
  <c r="A3501" i="12"/>
  <c r="A3486" i="12"/>
  <c r="A3470" i="12"/>
  <c r="A3452" i="12"/>
  <c r="A3435" i="12"/>
  <c r="A3416" i="12"/>
  <c r="A3399" i="12"/>
  <c r="A3380" i="12"/>
  <c r="A3357" i="12"/>
  <c r="A3333" i="12"/>
  <c r="A3309" i="12"/>
  <c r="A3284" i="12"/>
  <c r="A3237" i="12"/>
  <c r="A3165" i="12"/>
  <c r="A3093" i="12"/>
  <c r="A3021" i="12"/>
  <c r="A2949" i="12"/>
  <c r="A2877" i="12"/>
  <c r="A2805" i="12"/>
  <c r="A2733" i="12"/>
  <c r="A2661" i="12"/>
  <c r="A2589" i="12"/>
  <c r="A2516" i="12"/>
  <c r="A2413" i="12"/>
  <c r="A2288" i="12"/>
  <c r="A2088" i="12"/>
  <c r="A1872" i="12"/>
  <c r="A1656" i="12"/>
  <c r="A1157" i="12"/>
  <c r="A293" i="12"/>
  <c r="A4186" i="12"/>
  <c r="A4042" i="12"/>
  <c r="A3934" i="12"/>
  <c r="A3814" i="12"/>
  <c r="A3706" i="12"/>
  <c r="A3586" i="12"/>
  <c r="A3464" i="12"/>
  <c r="A3141" i="12"/>
  <c r="A2016" i="12"/>
  <c r="A4173" i="12"/>
  <c r="A4041" i="12"/>
  <c r="A3885" i="12"/>
  <c r="A3789" i="12"/>
  <c r="A3681" i="12"/>
  <c r="A3585" i="12"/>
  <c r="A3478" i="12"/>
  <c r="A3391" i="12"/>
  <c r="A3068" i="12"/>
  <c r="A2924" i="12"/>
  <c r="A2780" i="12"/>
  <c r="A2708" i="12"/>
  <c r="A4232" i="12"/>
  <c r="A4112" i="12"/>
  <c r="A3992" i="12"/>
  <c r="A3848" i="12"/>
  <c r="A4171" i="12"/>
  <c r="A4206" i="12"/>
  <c r="A4203" i="12"/>
  <c r="A4143" i="12"/>
  <c r="A4237" i="12"/>
  <c r="A4225" i="12"/>
  <c r="A4213" i="12"/>
  <c r="A4201" i="12"/>
  <c r="A4189" i="12"/>
  <c r="A4177" i="12"/>
  <c r="A4165" i="12"/>
  <c r="A4153" i="12"/>
  <c r="A4141" i="12"/>
  <c r="A4129" i="12"/>
  <c r="A4117" i="12"/>
  <c r="A4105" i="12"/>
  <c r="A4093" i="12"/>
  <c r="A4081" i="12"/>
  <c r="A4069" i="12"/>
  <c r="A4057" i="12"/>
  <c r="A4045" i="12"/>
  <c r="A4033" i="12"/>
  <c r="A4021" i="12"/>
  <c r="A4009" i="12"/>
  <c r="A3997" i="12"/>
  <c r="A3985" i="12"/>
  <c r="A3973" i="12"/>
  <c r="A3961" i="12"/>
  <c r="A3949" i="12"/>
  <c r="A3937" i="12"/>
  <c r="A3925" i="12"/>
  <c r="A3913" i="12"/>
  <c r="A3901" i="12"/>
  <c r="A3889" i="12"/>
  <c r="A3877" i="12"/>
  <c r="A3865" i="12"/>
  <c r="A3853" i="12"/>
  <c r="A3841" i="12"/>
  <c r="A3829" i="12"/>
  <c r="A3817" i="12"/>
  <c r="A3805" i="12"/>
  <c r="A3793" i="12"/>
  <c r="A3781" i="12"/>
  <c r="A3769" i="12"/>
  <c r="A3757" i="12"/>
  <c r="A3745" i="12"/>
  <c r="A3733" i="12"/>
  <c r="A3721" i="12"/>
  <c r="A3709" i="12"/>
  <c r="A3697" i="12"/>
  <c r="A3685" i="12"/>
  <c r="A3673" i="12"/>
  <c r="A3661" i="12"/>
  <c r="A3649" i="12"/>
  <c r="A3637" i="12"/>
  <c r="A3625" i="12"/>
  <c r="A3613" i="12"/>
  <c r="A3601" i="12"/>
  <c r="A3589" i="12"/>
  <c r="A3577" i="12"/>
  <c r="A3565" i="12"/>
  <c r="A3553" i="12"/>
  <c r="A3541" i="12"/>
  <c r="A3529" i="12"/>
  <c r="A3516" i="12"/>
  <c r="A3500" i="12"/>
  <c r="A3485" i="12"/>
  <c r="A3468" i="12"/>
  <c r="A3451" i="12"/>
  <c r="A3434" i="12"/>
  <c r="A3415" i="12"/>
  <c r="A3398" i="12"/>
  <c r="A3379" i="12"/>
  <c r="A3356" i="12"/>
  <c r="A3332" i="12"/>
  <c r="A3308" i="12"/>
  <c r="A3283" i="12"/>
  <c r="A3236" i="12"/>
  <c r="A3164" i="12"/>
  <c r="A3092" i="12"/>
  <c r="A3020" i="12"/>
  <c r="A2948" i="12"/>
  <c r="A2876" i="12"/>
  <c r="A2804" i="12"/>
  <c r="A2732" i="12"/>
  <c r="A2660" i="12"/>
  <c r="A2588" i="12"/>
  <c r="A2514" i="12"/>
  <c r="A2412" i="12"/>
  <c r="A2286" i="12"/>
  <c r="A2087" i="12"/>
  <c r="A1871" i="12"/>
  <c r="A1655" i="12"/>
  <c r="A1156" i="12"/>
  <c r="A292" i="12"/>
  <c r="A4222" i="12"/>
  <c r="A4114" i="12"/>
  <c r="A4006" i="12"/>
  <c r="A3886" i="12"/>
  <c r="A3754" i="12"/>
  <c r="A3634" i="12"/>
  <c r="A3538" i="12"/>
  <c r="A3428" i="12"/>
  <c r="A3327" i="12"/>
  <c r="A2853" i="12"/>
  <c r="A2565" i="12"/>
  <c r="A4209" i="12"/>
  <c r="A4089" i="12"/>
  <c r="A3933" i="12"/>
  <c r="A3765" i="12"/>
  <c r="A3573" i="12"/>
  <c r="A868" i="12"/>
  <c r="A4124" i="12"/>
  <c r="A4004" i="12"/>
  <c r="A3896" i="12"/>
  <c r="A4231" i="12"/>
  <c r="A4147" i="12"/>
  <c r="A4215" i="12"/>
  <c r="A4155" i="12"/>
  <c r="A4236" i="12"/>
  <c r="A4224" i="12"/>
  <c r="A4212" i="12"/>
  <c r="A4200" i="12"/>
  <c r="A4188" i="12"/>
  <c r="A4176" i="12"/>
  <c r="A4164" i="12"/>
  <c r="A4152" i="12"/>
  <c r="A4140" i="12"/>
  <c r="A4128" i="12"/>
  <c r="A4116" i="12"/>
  <c r="A4104" i="12"/>
  <c r="A4092" i="12"/>
  <c r="A4080" i="12"/>
  <c r="A4068" i="12"/>
  <c r="A4056" i="12"/>
  <c r="A4044" i="12"/>
  <c r="A4032" i="12"/>
  <c r="A4020" i="12"/>
  <c r="A4008" i="12"/>
  <c r="A3996" i="12"/>
  <c r="A3984" i="12"/>
  <c r="A3972" i="12"/>
  <c r="A3960" i="12"/>
  <c r="A3948" i="12"/>
  <c r="A3936" i="12"/>
  <c r="A3924" i="12"/>
  <c r="A3912" i="12"/>
  <c r="A3900" i="12"/>
  <c r="A3888" i="12"/>
  <c r="A3876" i="12"/>
  <c r="A3864" i="12"/>
  <c r="A3852" i="12"/>
  <c r="A3840" i="12"/>
  <c r="A3828" i="12"/>
  <c r="A3816" i="12"/>
  <c r="A3804" i="12"/>
  <c r="A3792" i="12"/>
  <c r="A3780" i="12"/>
  <c r="A3768" i="12"/>
  <c r="A3756" i="12"/>
  <c r="A3744" i="12"/>
  <c r="A3732" i="12"/>
  <c r="A3720" i="12"/>
  <c r="A3708" i="12"/>
  <c r="A3696" i="12"/>
  <c r="A3684" i="12"/>
  <c r="A3672" i="12"/>
  <c r="A3660" i="12"/>
  <c r="A3648" i="12"/>
  <c r="A3636" i="12"/>
  <c r="A3624" i="12"/>
  <c r="A3612" i="12"/>
  <c r="A3600" i="12"/>
  <c r="A3588" i="12"/>
  <c r="A3576" i="12"/>
  <c r="A3564" i="12"/>
  <c r="A3552" i="12"/>
  <c r="A3540" i="12"/>
  <c r="A3528" i="12"/>
  <c r="A3514" i="12"/>
  <c r="A3499" i="12"/>
  <c r="A3483" i="12"/>
  <c r="A3466" i="12"/>
  <c r="A3450" i="12"/>
  <c r="A3430" i="12"/>
  <c r="A3414" i="12"/>
  <c r="A3394" i="12"/>
  <c r="A3378" i="12"/>
  <c r="A3355" i="12"/>
  <c r="A3331" i="12"/>
  <c r="A3307" i="12"/>
  <c r="A3279" i="12"/>
  <c r="A3225" i="12"/>
  <c r="A3153" i="12"/>
  <c r="A3081" i="12"/>
  <c r="A3009" i="12"/>
  <c r="A2937" i="12"/>
  <c r="A2865" i="12"/>
  <c r="A2793" i="12"/>
  <c r="A2721" i="12"/>
  <c r="A2649" i="12"/>
  <c r="A2577" i="12"/>
  <c r="A2501" i="12"/>
  <c r="A2396" i="12"/>
  <c r="A2264" i="12"/>
  <c r="A2052" i="12"/>
  <c r="A1836" i="12"/>
  <c r="A1619" i="12"/>
  <c r="A1013" i="12"/>
  <c r="A149" i="12"/>
  <c r="A4150" i="12"/>
  <c r="A4030" i="12"/>
  <c r="A3910" i="12"/>
  <c r="A3778" i="12"/>
  <c r="A3658" i="12"/>
  <c r="A3550" i="12"/>
  <c r="A3303" i="12"/>
  <c r="A1571" i="12"/>
  <c r="A4137" i="12"/>
  <c r="A4029" i="12"/>
  <c r="A3921" i="12"/>
  <c r="A3825" i="12"/>
  <c r="A3705" i="12"/>
  <c r="A3609" i="12"/>
  <c r="A3495" i="12"/>
  <c r="A3346" i="12"/>
  <c r="A2373" i="12"/>
  <c r="A4160" i="12"/>
  <c r="A4028" i="12"/>
  <c r="A3836" i="12"/>
  <c r="A4183" i="12"/>
  <c r="A4218" i="12"/>
  <c r="A4227" i="12"/>
  <c r="A4167" i="12"/>
  <c r="A4235" i="12"/>
  <c r="A4223" i="12"/>
  <c r="A4211" i="12"/>
  <c r="A4199" i="12"/>
  <c r="A4187" i="12"/>
  <c r="A4175" i="12"/>
  <c r="A4163" i="12"/>
  <c r="A4151" i="12"/>
  <c r="A4139" i="12"/>
  <c r="A4127" i="12"/>
  <c r="A4115" i="12"/>
  <c r="A4103" i="12"/>
  <c r="A4091" i="12"/>
  <c r="A4079" i="12"/>
  <c r="A4067" i="12"/>
  <c r="A4055" i="12"/>
  <c r="A4043" i="12"/>
  <c r="A4031" i="12"/>
  <c r="A4019" i="12"/>
  <c r="A4007" i="12"/>
  <c r="A3995" i="12"/>
  <c r="A3983" i="12"/>
  <c r="A3971" i="12"/>
  <c r="A3959" i="12"/>
  <c r="A3947" i="12"/>
  <c r="A3935" i="12"/>
  <c r="A3923" i="12"/>
  <c r="A3911" i="12"/>
  <c r="A3899" i="12"/>
  <c r="A3887" i="12"/>
  <c r="A3875" i="12"/>
  <c r="A3863" i="12"/>
  <c r="A3851" i="12"/>
  <c r="A3839" i="12"/>
  <c r="A3827" i="12"/>
  <c r="A3815" i="12"/>
  <c r="A3803" i="12"/>
  <c r="A3791" i="12"/>
  <c r="A3779" i="12"/>
  <c r="A3767" i="12"/>
  <c r="A3755" i="12"/>
  <c r="A3743" i="12"/>
  <c r="A3731" i="12"/>
  <c r="A3719" i="12"/>
  <c r="A3707" i="12"/>
  <c r="A3695" i="12"/>
  <c r="A3683" i="12"/>
  <c r="A3671" i="12"/>
  <c r="A3659" i="12"/>
  <c r="A3647" i="12"/>
  <c r="A3635" i="12"/>
  <c r="A3623" i="12"/>
  <c r="A3611" i="12"/>
  <c r="A3599" i="12"/>
  <c r="A3587" i="12"/>
  <c r="A3575" i="12"/>
  <c r="A3563" i="12"/>
  <c r="A3551" i="12"/>
  <c r="A3539" i="12"/>
  <c r="A3526" i="12"/>
  <c r="A3513" i="12"/>
  <c r="A3498" i="12"/>
  <c r="A3482" i="12"/>
  <c r="A3465" i="12"/>
  <c r="A3449" i="12"/>
  <c r="A3429" i="12"/>
  <c r="A3413" i="12"/>
  <c r="A3393" i="12"/>
  <c r="A3377" i="12"/>
  <c r="A3354" i="12"/>
  <c r="A3330" i="12"/>
  <c r="A3306" i="12"/>
  <c r="A3274" i="12"/>
  <c r="A3224" i="12"/>
  <c r="A3152" i="12"/>
  <c r="A3080" i="12"/>
  <c r="A3008" i="12"/>
  <c r="A2936" i="12"/>
  <c r="A2864" i="12"/>
  <c r="A2792" i="12"/>
  <c r="A2720" i="12"/>
  <c r="A2648" i="12"/>
  <c r="A2576" i="12"/>
  <c r="A2500" i="12"/>
  <c r="A2394" i="12"/>
  <c r="A2257" i="12"/>
  <c r="A2051" i="12"/>
  <c r="A1835" i="12"/>
  <c r="A1618" i="12"/>
  <c r="A1012" i="12"/>
  <c r="A148" i="12"/>
  <c r="A3262" i="12"/>
  <c r="A3250" i="12"/>
  <c r="A3238" i="12"/>
  <c r="A3226" i="12"/>
  <c r="A3214" i="12"/>
  <c r="A3202" i="12"/>
  <c r="A3190" i="12"/>
  <c r="A3178" i="12"/>
  <c r="A3166" i="12"/>
  <c r="A3154" i="12"/>
  <c r="A3142" i="12"/>
  <c r="A3130" i="12"/>
  <c r="A3118" i="12"/>
  <c r="A3106" i="12"/>
  <c r="A3094" i="12"/>
  <c r="A3082" i="12"/>
  <c r="A3070" i="12"/>
  <c r="A3058" i="12"/>
  <c r="A3046" i="12"/>
  <c r="A3034" i="12"/>
  <c r="A3022" i="12"/>
  <c r="A3010" i="12"/>
  <c r="A2998" i="12"/>
  <c r="A2986" i="12"/>
  <c r="A2974" i="12"/>
  <c r="A2962" i="12"/>
  <c r="A2950" i="12"/>
  <c r="A2938" i="12"/>
  <c r="A2926" i="12"/>
  <c r="A2914" i="12"/>
  <c r="A2902" i="12"/>
  <c r="A2890" i="12"/>
  <c r="A2878" i="12"/>
  <c r="A2866" i="12"/>
  <c r="A2854" i="12"/>
  <c r="A2842" i="12"/>
  <c r="A2830" i="12"/>
  <c r="A2818" i="12"/>
  <c r="A2806" i="12"/>
  <c r="A2794" i="12"/>
  <c r="A2782" i="12"/>
  <c r="A2770" i="12"/>
  <c r="A2758" i="12"/>
  <c r="A2746" i="12"/>
  <c r="A2734" i="12"/>
  <c r="A2722" i="12"/>
  <c r="A2710" i="12"/>
  <c r="A2698" i="12"/>
  <c r="A2686" i="12"/>
  <c r="A2674" i="12"/>
  <c r="A2662" i="12"/>
  <c r="A2650" i="12"/>
  <c r="A2638" i="12"/>
  <c r="A2626" i="12"/>
  <c r="A2614" i="12"/>
  <c r="A2602" i="12"/>
  <c r="A2590" i="12"/>
  <c r="A2578" i="12"/>
  <c r="A2566" i="12"/>
  <c r="A2554" i="12"/>
  <c r="A2542" i="12"/>
  <c r="A2530" i="12"/>
  <c r="A2517" i="12"/>
  <c r="A2502" i="12"/>
  <c r="A2488" i="12"/>
  <c r="A2471" i="12"/>
  <c r="A2456" i="12"/>
  <c r="A2436" i="12"/>
  <c r="A2418" i="12"/>
  <c r="A2397" i="12"/>
  <c r="A2375" i="12"/>
  <c r="A2353" i="12"/>
  <c r="A2336" i="12"/>
  <c r="A2314" i="12"/>
  <c r="A2290" i="12"/>
  <c r="A2266" i="12"/>
  <c r="A2233" i="12"/>
  <c r="A2204" i="12"/>
  <c r="A2168" i="12"/>
  <c r="A2132" i="12"/>
  <c r="A2096" i="12"/>
  <c r="A2060" i="12"/>
  <c r="A2024" i="12"/>
  <c r="A1988" i="12"/>
  <c r="A1952" i="12"/>
  <c r="A1916" i="12"/>
  <c r="A1880" i="12"/>
  <c r="A1844" i="12"/>
  <c r="A1808" i="12"/>
  <c r="A1772" i="12"/>
  <c r="A1736" i="12"/>
  <c r="A1700" i="12"/>
  <c r="A1664" i="12"/>
  <c r="A1620" i="12"/>
  <c r="A1572" i="12"/>
  <c r="A1522" i="12"/>
  <c r="A1432" i="12"/>
  <c r="A1302" i="12"/>
  <c r="A1158" i="12"/>
  <c r="A1014" i="12"/>
  <c r="A870" i="12"/>
  <c r="A726" i="12"/>
  <c r="A582" i="12"/>
  <c r="A438" i="12"/>
  <c r="A294" i="12"/>
  <c r="A150" i="12"/>
  <c r="A3259" i="12"/>
  <c r="A3247" i="12"/>
  <c r="A3235" i="12"/>
  <c r="A3223" i="12"/>
  <c r="A3211" i="12"/>
  <c r="A3199" i="12"/>
  <c r="A3187" i="12"/>
  <c r="A3175" i="12"/>
  <c r="A3163" i="12"/>
  <c r="A3151" i="12"/>
  <c r="A3139" i="12"/>
  <c r="A3127" i="12"/>
  <c r="A3115" i="12"/>
  <c r="A3103" i="12"/>
  <c r="A3091" i="12"/>
  <c r="A3079" i="12"/>
  <c r="A3067" i="12"/>
  <c r="A3055" i="12"/>
  <c r="A3043" i="12"/>
  <c r="A3031" i="12"/>
  <c r="A3019" i="12"/>
  <c r="A3007" i="12"/>
  <c r="A2995" i="12"/>
  <c r="A2983" i="12"/>
  <c r="A2971" i="12"/>
  <c r="A2959" i="12"/>
  <c r="A2947" i="12"/>
  <c r="A2935" i="12"/>
  <c r="A2923" i="12"/>
  <c r="A2911" i="12"/>
  <c r="A2899" i="12"/>
  <c r="A2887" i="12"/>
  <c r="A2875" i="12"/>
  <c r="A2863" i="12"/>
  <c r="A2851" i="12"/>
  <c r="A2839" i="12"/>
  <c r="A2827" i="12"/>
  <c r="A2815" i="12"/>
  <c r="A2803" i="12"/>
  <c r="A2791" i="12"/>
  <c r="A2779" i="12"/>
  <c r="A2767" i="12"/>
  <c r="A2755" i="12"/>
  <c r="A2743" i="12"/>
  <c r="A2731" i="12"/>
  <c r="A2719" i="12"/>
  <c r="A2707" i="12"/>
  <c r="A2695" i="12"/>
  <c r="A2683" i="12"/>
  <c r="A2671" i="12"/>
  <c r="A2659" i="12"/>
  <c r="A2647" i="12"/>
  <c r="A2635" i="12"/>
  <c r="A2623" i="12"/>
  <c r="A2611" i="12"/>
  <c r="A2599" i="12"/>
  <c r="A2587" i="12"/>
  <c r="A2575" i="12"/>
  <c r="A2563" i="12"/>
  <c r="A2551" i="12"/>
  <c r="A2539" i="12"/>
  <c r="A2526" i="12"/>
  <c r="A2513" i="12"/>
  <c r="A2499" i="12"/>
  <c r="A2483" i="12"/>
  <c r="A2468" i="12"/>
  <c r="A2449" i="12"/>
  <c r="A2433" i="12"/>
  <c r="A2411" i="12"/>
  <c r="A2389" i="12"/>
  <c r="A2372" i="12"/>
  <c r="A2350" i="12"/>
  <c r="A2328" i="12"/>
  <c r="A2305" i="12"/>
  <c r="A2281" i="12"/>
  <c r="A2256" i="12"/>
  <c r="A2230" i="12"/>
  <c r="A2194" i="12"/>
  <c r="A2158" i="12"/>
  <c r="A2122" i="12"/>
  <c r="A2086" i="12"/>
  <c r="A2050" i="12"/>
  <c r="A2014" i="12"/>
  <c r="A1978" i="12"/>
  <c r="A1942" i="12"/>
  <c r="A1906" i="12"/>
  <c r="A1870" i="12"/>
  <c r="A1834" i="12"/>
  <c r="A1798" i="12"/>
  <c r="A1762" i="12"/>
  <c r="A1726" i="12"/>
  <c r="A1690" i="12"/>
  <c r="A1654" i="12"/>
  <c r="A1608" i="12"/>
  <c r="A1560" i="12"/>
  <c r="A1507" i="12"/>
  <c r="A1403" i="12"/>
  <c r="A1266" i="12"/>
  <c r="A1122" i="12"/>
  <c r="A978" i="12"/>
  <c r="A834" i="12"/>
  <c r="A690" i="12"/>
  <c r="A546" i="12"/>
  <c r="A402" i="12"/>
  <c r="A258" i="12"/>
  <c r="A114" i="12"/>
  <c r="A3294" i="12"/>
  <c r="A3282" i="12"/>
  <c r="A3270" i="12"/>
  <c r="A3258" i="12"/>
  <c r="A3246" i="12"/>
  <c r="A3234" i="12"/>
  <c r="A3222" i="12"/>
  <c r="A3210" i="12"/>
  <c r="A3198" i="12"/>
  <c r="A3186" i="12"/>
  <c r="A3174" i="12"/>
  <c r="A3162" i="12"/>
  <c r="A3150" i="12"/>
  <c r="A3138" i="12"/>
  <c r="A3126" i="12"/>
  <c r="A3114" i="12"/>
  <c r="A3102" i="12"/>
  <c r="A3090" i="12"/>
  <c r="A3078" i="12"/>
  <c r="A3066" i="12"/>
  <c r="A3054" i="12"/>
  <c r="A3042" i="12"/>
  <c r="A3030" i="12"/>
  <c r="A3018" i="12"/>
  <c r="A3006" i="12"/>
  <c r="A2994" i="12"/>
  <c r="A2982" i="12"/>
  <c r="A2970" i="12"/>
  <c r="A2958" i="12"/>
  <c r="A2946" i="12"/>
  <c r="A2934" i="12"/>
  <c r="A2922" i="12"/>
  <c r="A2910" i="12"/>
  <c r="A2898" i="12"/>
  <c r="A2886" i="12"/>
  <c r="A2874" i="12"/>
  <c r="A2862" i="12"/>
  <c r="A2850" i="12"/>
  <c r="A2838" i="12"/>
  <c r="A2826" i="12"/>
  <c r="A2814" i="12"/>
  <c r="A2802" i="12"/>
  <c r="A2790" i="12"/>
  <c r="A2778" i="12"/>
  <c r="A2766" i="12"/>
  <c r="A2754" i="12"/>
  <c r="A2742" i="12"/>
  <c r="A2730" i="12"/>
  <c r="A2718" i="12"/>
  <c r="A2706" i="12"/>
  <c r="A2694" i="12"/>
  <c r="A2682" i="12"/>
  <c r="A2670" i="12"/>
  <c r="A2658" i="12"/>
  <c r="A2646" i="12"/>
  <c r="A2634" i="12"/>
  <c r="A2622" i="12"/>
  <c r="A2610" i="12"/>
  <c r="A2598" i="12"/>
  <c r="A2586" i="12"/>
  <c r="A2574" i="12"/>
  <c r="A2562" i="12"/>
  <c r="A2550" i="12"/>
  <c r="A2538" i="12"/>
  <c r="A2525" i="12"/>
  <c r="A2512" i="12"/>
  <c r="A2497" i="12"/>
  <c r="A2482" i="12"/>
  <c r="A2466" i="12"/>
  <c r="A2448" i="12"/>
  <c r="A2432" i="12"/>
  <c r="A2410" i="12"/>
  <c r="A2388" i="12"/>
  <c r="A2370" i="12"/>
  <c r="A2349" i="12"/>
  <c r="A2327" i="12"/>
  <c r="A2304" i="12"/>
  <c r="A2280" i="12"/>
  <c r="A2255" i="12"/>
  <c r="A2228" i="12"/>
  <c r="A2192" i="12"/>
  <c r="A2156" i="12"/>
  <c r="A2120" i="12"/>
  <c r="A2084" i="12"/>
  <c r="A2048" i="12"/>
  <c r="A2012" i="12"/>
  <c r="A1976" i="12"/>
  <c r="A1940" i="12"/>
  <c r="A1904" i="12"/>
  <c r="A1868" i="12"/>
  <c r="A1832" i="12"/>
  <c r="A1796" i="12"/>
  <c r="A1760" i="12"/>
  <c r="A1724" i="12"/>
  <c r="A1688" i="12"/>
  <c r="A1652" i="12"/>
  <c r="A1607" i="12"/>
  <c r="A1559" i="12"/>
  <c r="A1506" i="12"/>
  <c r="A1398" i="12"/>
  <c r="A1265" i="12"/>
  <c r="A1121" i="12"/>
  <c r="A977" i="12"/>
  <c r="A833" i="12"/>
  <c r="A689" i="12"/>
  <c r="A545" i="12"/>
  <c r="A401" i="12"/>
  <c r="A257" i="12"/>
  <c r="A113" i="12"/>
  <c r="A3365" i="12"/>
  <c r="A3353" i="12"/>
  <c r="A3341" i="12"/>
  <c r="A3329" i="12"/>
  <c r="A3317" i="12"/>
  <c r="A3305" i="12"/>
  <c r="A3293" i="12"/>
  <c r="A3281" i="12"/>
  <c r="A3269" i="12"/>
  <c r="A3257" i="12"/>
  <c r="A3245" i="12"/>
  <c r="A3233" i="12"/>
  <c r="A3221" i="12"/>
  <c r="A3209" i="12"/>
  <c r="A3197" i="12"/>
  <c r="A3185" i="12"/>
  <c r="A3173" i="12"/>
  <c r="A3161" i="12"/>
  <c r="A3149" i="12"/>
  <c r="A3137" i="12"/>
  <c r="A3125" i="12"/>
  <c r="A3113" i="12"/>
  <c r="A3101" i="12"/>
  <c r="A3089" i="12"/>
  <c r="A3077" i="12"/>
  <c r="A3065" i="12"/>
  <c r="A3053" i="12"/>
  <c r="A3041" i="12"/>
  <c r="A3029" i="12"/>
  <c r="A3017" i="12"/>
  <c r="A3005" i="12"/>
  <c r="A2993" i="12"/>
  <c r="A2981" i="12"/>
  <c r="A2969" i="12"/>
  <c r="A2957" i="12"/>
  <c r="A2945" i="12"/>
  <c r="A2933" i="12"/>
  <c r="A2921" i="12"/>
  <c r="A2909" i="12"/>
  <c r="A2897" i="12"/>
  <c r="A2885" i="12"/>
  <c r="A2873" i="12"/>
  <c r="A2861" i="12"/>
  <c r="A2849" i="12"/>
  <c r="A2837" i="12"/>
  <c r="A2825" i="12"/>
  <c r="A2813" i="12"/>
  <c r="A2801" i="12"/>
  <c r="A2789" i="12"/>
  <c r="A2777" i="12"/>
  <c r="A2765" i="12"/>
  <c r="A2753" i="12"/>
  <c r="A2741" i="12"/>
  <c r="A2729" i="12"/>
  <c r="A2717" i="12"/>
  <c r="A2705" i="12"/>
  <c r="A2693" i="12"/>
  <c r="A2681" i="12"/>
  <c r="A2669" i="12"/>
  <c r="A2657" i="12"/>
  <c r="A2645" i="12"/>
  <c r="A2633" i="12"/>
  <c r="A2621" i="12"/>
  <c r="A2609" i="12"/>
  <c r="A2597" i="12"/>
  <c r="A2585" i="12"/>
  <c r="A2573" i="12"/>
  <c r="A2561" i="12"/>
  <c r="A2549" i="12"/>
  <c r="A2537" i="12"/>
  <c r="A2524" i="12"/>
  <c r="A2511" i="12"/>
  <c r="A2496" i="12"/>
  <c r="A2481" i="12"/>
  <c r="A2465" i="12"/>
  <c r="A2447" i="12"/>
  <c r="A2430" i="12"/>
  <c r="A2409" i="12"/>
  <c r="A2387" i="12"/>
  <c r="A2365" i="12"/>
  <c r="A2348" i="12"/>
  <c r="A2326" i="12"/>
  <c r="A2303" i="12"/>
  <c r="A2279" i="12"/>
  <c r="A2254" i="12"/>
  <c r="A2220" i="12"/>
  <c r="A2184" i="12"/>
  <c r="A2148" i="12"/>
  <c r="A2112" i="12"/>
  <c r="A2076" i="12"/>
  <c r="A2040" i="12"/>
  <c r="A2004" i="12"/>
  <c r="A1968" i="12"/>
  <c r="A1932" i="12"/>
  <c r="A1896" i="12"/>
  <c r="A1860" i="12"/>
  <c r="A1824" i="12"/>
  <c r="A1788" i="12"/>
  <c r="A1752" i="12"/>
  <c r="A1716" i="12"/>
  <c r="A1680" i="12"/>
  <c r="A1644" i="12"/>
  <c r="A1606" i="12"/>
  <c r="A1558" i="12"/>
  <c r="A1505" i="12"/>
  <c r="A1397" i="12"/>
  <c r="A1264" i="12"/>
  <c r="A1120" i="12"/>
  <c r="A976" i="12"/>
  <c r="A832" i="12"/>
  <c r="A688" i="12"/>
  <c r="A544" i="12"/>
  <c r="A400" i="12"/>
  <c r="A256" i="12"/>
  <c r="A112" i="12"/>
  <c r="A3508" i="12"/>
  <c r="A3496" i="12"/>
  <c r="A3484" i="12"/>
  <c r="A3472" i="12"/>
  <c r="A3460" i="12"/>
  <c r="A3448" i="12"/>
  <c r="A3436" i="12"/>
  <c r="A3424" i="12"/>
  <c r="A3412" i="12"/>
  <c r="A3400" i="12"/>
  <c r="A3388" i="12"/>
  <c r="A3376" i="12"/>
  <c r="A3364" i="12"/>
  <c r="A3352" i="12"/>
  <c r="A3340" i="12"/>
  <c r="A3328" i="12"/>
  <c r="A3316" i="12"/>
  <c r="A3304" i="12"/>
  <c r="A3292" i="12"/>
  <c r="A3280" i="12"/>
  <c r="A3268" i="12"/>
  <c r="A3256" i="12"/>
  <c r="A3244" i="12"/>
  <c r="A3232" i="12"/>
  <c r="A3220" i="12"/>
  <c r="A3208" i="12"/>
  <c r="A3196" i="12"/>
  <c r="A3184" i="12"/>
  <c r="A3172" i="12"/>
  <c r="A3160" i="12"/>
  <c r="A3148" i="12"/>
  <c r="A3136" i="12"/>
  <c r="A3124" i="12"/>
  <c r="A3112" i="12"/>
  <c r="A3100" i="12"/>
  <c r="A3088" i="12"/>
  <c r="A3076" i="12"/>
  <c r="A3064" i="12"/>
  <c r="A3052" i="12"/>
  <c r="A3040" i="12"/>
  <c r="A3028" i="12"/>
  <c r="A3016" i="12"/>
  <c r="A3004" i="12"/>
  <c r="A2992" i="12"/>
  <c r="A2980" i="12"/>
  <c r="A2968" i="12"/>
  <c r="A2956" i="12"/>
  <c r="A2944" i="12"/>
  <c r="A2932" i="12"/>
  <c r="A2920" i="12"/>
  <c r="A2908" i="12"/>
  <c r="A2896" i="12"/>
  <c r="A2884" i="12"/>
  <c r="A2872" i="12"/>
  <c r="A2860" i="12"/>
  <c r="A2848" i="12"/>
  <c r="A2836" i="12"/>
  <c r="A2824" i="12"/>
  <c r="A2812" i="12"/>
  <c r="A2800" i="12"/>
  <c r="A2788" i="12"/>
  <c r="A2776" i="12"/>
  <c r="A2764" i="12"/>
  <c r="A2752" i="12"/>
  <c r="A2740" i="12"/>
  <c r="A2728" i="12"/>
  <c r="A2716" i="12"/>
  <c r="A2704" i="12"/>
  <c r="A2692" i="12"/>
  <c r="A2680" i="12"/>
  <c r="A2668" i="12"/>
  <c r="A2656" i="12"/>
  <c r="A2644" i="12"/>
  <c r="A2632" i="12"/>
  <c r="A2620" i="12"/>
  <c r="A2608" i="12"/>
  <c r="A2596" i="12"/>
  <c r="A2584" i="12"/>
  <c r="A2572" i="12"/>
  <c r="A2560" i="12"/>
  <c r="A2548" i="12"/>
  <c r="A2536" i="12"/>
  <c r="A2523" i="12"/>
  <c r="A2509" i="12"/>
  <c r="A2495" i="12"/>
  <c r="A2480" i="12"/>
  <c r="A2464" i="12"/>
  <c r="A2446" i="12"/>
  <c r="A2425" i="12"/>
  <c r="A2408" i="12"/>
  <c r="A2386" i="12"/>
  <c r="A2364" i="12"/>
  <c r="A2346" i="12"/>
  <c r="A2325" i="12"/>
  <c r="A2302" i="12"/>
  <c r="A2278" i="12"/>
  <c r="A2252" i="12"/>
  <c r="A2219" i="12"/>
  <c r="A2183" i="12"/>
  <c r="A2147" i="12"/>
  <c r="A2111" i="12"/>
  <c r="A2075" i="12"/>
  <c r="A2039" i="12"/>
  <c r="A2003" i="12"/>
  <c r="A1967" i="12"/>
  <c r="A1931" i="12"/>
  <c r="A1895" i="12"/>
  <c r="A1859" i="12"/>
  <c r="A1823" i="12"/>
  <c r="A1787" i="12"/>
  <c r="A1751" i="12"/>
  <c r="A1715" i="12"/>
  <c r="A1679" i="12"/>
  <c r="A1643" i="12"/>
  <c r="A1596" i="12"/>
  <c r="A1548" i="12"/>
  <c r="A1487" i="12"/>
  <c r="A1373" i="12"/>
  <c r="A1230" i="12"/>
  <c r="A1086" i="12"/>
  <c r="A942" i="12"/>
  <c r="A798" i="12"/>
  <c r="A654" i="12"/>
  <c r="A510" i="12"/>
  <c r="A366" i="12"/>
  <c r="A222" i="12"/>
  <c r="A78" i="12"/>
  <c r="A3255" i="12"/>
  <c r="A3243" i="12"/>
  <c r="A3231" i="12"/>
  <c r="A3219" i="12"/>
  <c r="A3207" i="12"/>
  <c r="A3195" i="12"/>
  <c r="A3183" i="12"/>
  <c r="A3171" i="12"/>
  <c r="A3159" i="12"/>
  <c r="A3147" i="12"/>
  <c r="A3135" i="12"/>
  <c r="A3123" i="12"/>
  <c r="A3111" i="12"/>
  <c r="A3099" i="12"/>
  <c r="A3087" i="12"/>
  <c r="A3075" i="12"/>
  <c r="A3063" i="12"/>
  <c r="A3051" i="12"/>
  <c r="A3039" i="12"/>
  <c r="A3027" i="12"/>
  <c r="A3015" i="12"/>
  <c r="A3003" i="12"/>
  <c r="A2991" i="12"/>
  <c r="A2979" i="12"/>
  <c r="A2967" i="12"/>
  <c r="A2955" i="12"/>
  <c r="A2943" i="12"/>
  <c r="A2931" i="12"/>
  <c r="A2919" i="12"/>
  <c r="A2907" i="12"/>
  <c r="A2895" i="12"/>
  <c r="A2883" i="12"/>
  <c r="A2871" i="12"/>
  <c r="A2859" i="12"/>
  <c r="A2847" i="12"/>
  <c r="A2835" i="12"/>
  <c r="A2823" i="12"/>
  <c r="A2811" i="12"/>
  <c r="A2799" i="12"/>
  <c r="A2787" i="12"/>
  <c r="A2775" i="12"/>
  <c r="A2763" i="12"/>
  <c r="A2751" i="12"/>
  <c r="A2739" i="12"/>
  <c r="A2727" i="12"/>
  <c r="A2715" i="12"/>
  <c r="A2703" i="12"/>
  <c r="A2691" i="12"/>
  <c r="A2679" i="12"/>
  <c r="A2667" i="12"/>
  <c r="A2655" i="12"/>
  <c r="A2643" i="12"/>
  <c r="A2631" i="12"/>
  <c r="A2619" i="12"/>
  <c r="A2607" i="12"/>
  <c r="A2595" i="12"/>
  <c r="A2583" i="12"/>
  <c r="A2571" i="12"/>
  <c r="A2559" i="12"/>
  <c r="A2547" i="12"/>
  <c r="A2535" i="12"/>
  <c r="A2522" i="12"/>
  <c r="A2508" i="12"/>
  <c r="A2494" i="12"/>
  <c r="A2478" i="12"/>
  <c r="A2461" i="12"/>
  <c r="A2445" i="12"/>
  <c r="A2424" i="12"/>
  <c r="A2406" i="12"/>
  <c r="A2385" i="12"/>
  <c r="A2363" i="12"/>
  <c r="A2341" i="12"/>
  <c r="A2324" i="12"/>
  <c r="A2300" i="12"/>
  <c r="A2276" i="12"/>
  <c r="A2245" i="12"/>
  <c r="A2218" i="12"/>
  <c r="A2182" i="12"/>
  <c r="A2146" i="12"/>
  <c r="A2110" i="12"/>
  <c r="A2074" i="12"/>
  <c r="A2038" i="12"/>
  <c r="A2002" i="12"/>
  <c r="A1966" i="12"/>
  <c r="A1930" i="12"/>
  <c r="A1894" i="12"/>
  <c r="A1858" i="12"/>
  <c r="A1822" i="12"/>
  <c r="A1786" i="12"/>
  <c r="A1750" i="12"/>
  <c r="A1714" i="12"/>
  <c r="A1678" i="12"/>
  <c r="A1642" i="12"/>
  <c r="A1595" i="12"/>
  <c r="A1547" i="12"/>
  <c r="A1484" i="12"/>
  <c r="A1372" i="12"/>
  <c r="A1229" i="12"/>
  <c r="A1085" i="12"/>
  <c r="A941" i="12"/>
  <c r="A797" i="12"/>
  <c r="A653" i="12"/>
  <c r="A509" i="12"/>
  <c r="A365" i="12"/>
  <c r="A221" i="12"/>
  <c r="A77" i="12"/>
  <c r="A3374" i="12"/>
  <c r="A3362" i="12"/>
  <c r="A3350" i="12"/>
  <c r="A3338" i="12"/>
  <c r="A3326" i="12"/>
  <c r="A3314" i="12"/>
  <c r="A3302" i="12"/>
  <c r="A3290" i="12"/>
  <c r="A3278" i="12"/>
  <c r="A3266" i="12"/>
  <c r="A3254" i="12"/>
  <c r="A3242" i="12"/>
  <c r="A3230" i="12"/>
  <c r="A3218" i="12"/>
  <c r="A3206" i="12"/>
  <c r="A3194" i="12"/>
  <c r="A3182" i="12"/>
  <c r="A3170" i="12"/>
  <c r="A3158" i="12"/>
  <c r="A3146" i="12"/>
  <c r="A3134" i="12"/>
  <c r="A3122" i="12"/>
  <c r="A3110" i="12"/>
  <c r="A3098" i="12"/>
  <c r="A3086" i="12"/>
  <c r="A3074" i="12"/>
  <c r="A3062" i="12"/>
  <c r="A3050" i="12"/>
  <c r="A3038" i="12"/>
  <c r="A3026" i="12"/>
  <c r="A3014" i="12"/>
  <c r="A3002" i="12"/>
  <c r="A2990" i="12"/>
  <c r="A2978" i="12"/>
  <c r="A2966" i="12"/>
  <c r="A2954" i="12"/>
  <c r="A2942" i="12"/>
  <c r="A2930" i="12"/>
  <c r="A2918" i="12"/>
  <c r="A2906" i="12"/>
  <c r="A2894" i="12"/>
  <c r="A2882" i="12"/>
  <c r="A2870" i="12"/>
  <c r="A2858" i="12"/>
  <c r="A2846" i="12"/>
  <c r="A2834" i="12"/>
  <c r="A2822" i="12"/>
  <c r="A2810" i="12"/>
  <c r="A2798" i="12"/>
  <c r="A2786" i="12"/>
  <c r="A2774" i="12"/>
  <c r="A2762" i="12"/>
  <c r="A2750" i="12"/>
  <c r="A2738" i="12"/>
  <c r="A2726" i="12"/>
  <c r="A2714" i="12"/>
  <c r="A2702" i="12"/>
  <c r="A2690" i="12"/>
  <c r="A2678" i="12"/>
  <c r="A2666" i="12"/>
  <c r="A2654" i="12"/>
  <c r="A2642" i="12"/>
  <c r="A2630" i="12"/>
  <c r="A2618" i="12"/>
  <c r="A2606" i="12"/>
  <c r="A2594" i="12"/>
  <c r="A2582" i="12"/>
  <c r="A2570" i="12"/>
  <c r="A2558" i="12"/>
  <c r="A2546" i="12"/>
  <c r="A2534" i="12"/>
  <c r="A2521" i="12"/>
  <c r="A2507" i="12"/>
  <c r="A2493" i="12"/>
  <c r="A2477" i="12"/>
  <c r="A2460" i="12"/>
  <c r="A2444" i="12"/>
  <c r="A2423" i="12"/>
  <c r="A2401" i="12"/>
  <c r="A2384" i="12"/>
  <c r="A2362" i="12"/>
  <c r="A2340" i="12"/>
  <c r="A2322" i="12"/>
  <c r="A2298" i="12"/>
  <c r="A2274" i="12"/>
  <c r="A2244" i="12"/>
  <c r="A2216" i="12"/>
  <c r="A2180" i="12"/>
  <c r="A2144" i="12"/>
  <c r="A2108" i="12"/>
  <c r="A2072" i="12"/>
  <c r="A2036" i="12"/>
  <c r="A2000" i="12"/>
  <c r="A1964" i="12"/>
  <c r="A1928" i="12"/>
  <c r="A1892" i="12"/>
  <c r="A1856" i="12"/>
  <c r="A1820" i="12"/>
  <c r="A1784" i="12"/>
  <c r="A1748" i="12"/>
  <c r="A1712" i="12"/>
  <c r="A1676" i="12"/>
  <c r="A1640" i="12"/>
  <c r="A1594" i="12"/>
  <c r="A1546" i="12"/>
  <c r="A1482" i="12"/>
  <c r="A1370" i="12"/>
  <c r="A1228" i="12"/>
  <c r="A1084" i="12"/>
  <c r="A940" i="12"/>
  <c r="A796" i="12"/>
  <c r="A652" i="12"/>
  <c r="A508" i="12"/>
  <c r="A364" i="12"/>
  <c r="A220" i="12"/>
  <c r="A76" i="12"/>
  <c r="A3505" i="12"/>
  <c r="A3493" i="12"/>
  <c r="A3481" i="12"/>
  <c r="A3469" i="12"/>
  <c r="A3457" i="12"/>
  <c r="A3445" i="12"/>
  <c r="A3433" i="12"/>
  <c r="A3421" i="12"/>
  <c r="A3409" i="12"/>
  <c r="A3397" i="12"/>
  <c r="A3385" i="12"/>
  <c r="A3373" i="12"/>
  <c r="A3361" i="12"/>
  <c r="A3349" i="12"/>
  <c r="A3337" i="12"/>
  <c r="A3325" i="12"/>
  <c r="A3313" i="12"/>
  <c r="A3301" i="12"/>
  <c r="A3289" i="12"/>
  <c r="A3277" i="12"/>
  <c r="A3265" i="12"/>
  <c r="A3253" i="12"/>
  <c r="A3241" i="12"/>
  <c r="A3229" i="12"/>
  <c r="A3217" i="12"/>
  <c r="A3205" i="12"/>
  <c r="A3193" i="12"/>
  <c r="A3181" i="12"/>
  <c r="A3169" i="12"/>
  <c r="A3157" i="12"/>
  <c r="A3145" i="12"/>
  <c r="A3133" i="12"/>
  <c r="A3121" i="12"/>
  <c r="A3109" i="12"/>
  <c r="A3097" i="12"/>
  <c r="A3085" i="12"/>
  <c r="A3073" i="12"/>
  <c r="A3061" i="12"/>
  <c r="A3049" i="12"/>
  <c r="A3037" i="12"/>
  <c r="A3025" i="12"/>
  <c r="A3013" i="12"/>
  <c r="A3001" i="12"/>
  <c r="A2989" i="12"/>
  <c r="A2977" i="12"/>
  <c r="A2965" i="12"/>
  <c r="A2953" i="12"/>
  <c r="A2941" i="12"/>
  <c r="A2929" i="12"/>
  <c r="A2917" i="12"/>
  <c r="A2905" i="12"/>
  <c r="A2893" i="12"/>
  <c r="A2881" i="12"/>
  <c r="A2869" i="12"/>
  <c r="A2857" i="12"/>
  <c r="A2845" i="12"/>
  <c r="A2833" i="12"/>
  <c r="A2821" i="12"/>
  <c r="A2809" i="12"/>
  <c r="A2797" i="12"/>
  <c r="A2785" i="12"/>
  <c r="A2773" i="12"/>
  <c r="A2761" i="12"/>
  <c r="A2749" i="12"/>
  <c r="A2737" i="12"/>
  <c r="A2725" i="12"/>
  <c r="A2713" i="12"/>
  <c r="A2701" i="12"/>
  <c r="A2689" i="12"/>
  <c r="A2677" i="12"/>
  <c r="A2665" i="12"/>
  <c r="A2653" i="12"/>
  <c r="A2641" i="12"/>
  <c r="A2629" i="12"/>
  <c r="A2617" i="12"/>
  <c r="A2605" i="12"/>
  <c r="A2593" i="12"/>
  <c r="A2581" i="12"/>
  <c r="A2569" i="12"/>
  <c r="A2557" i="12"/>
  <c r="A2545" i="12"/>
  <c r="A2533" i="12"/>
  <c r="A2520" i="12"/>
  <c r="A2506" i="12"/>
  <c r="A2492" i="12"/>
  <c r="A2476" i="12"/>
  <c r="A2459" i="12"/>
  <c r="A2442" i="12"/>
  <c r="A2422" i="12"/>
  <c r="A2400" i="12"/>
  <c r="A2382" i="12"/>
  <c r="A2361" i="12"/>
  <c r="A2339" i="12"/>
  <c r="A2317" i="12"/>
  <c r="A2293" i="12"/>
  <c r="A2269" i="12"/>
  <c r="A2243" i="12"/>
  <c r="A2208" i="12"/>
  <c r="A2172" i="12"/>
  <c r="A2136" i="12"/>
  <c r="A2100" i="12"/>
  <c r="A2064" i="12"/>
  <c r="A2028" i="12"/>
  <c r="A1992" i="12"/>
  <c r="A1956" i="12"/>
  <c r="A1920" i="12"/>
  <c r="A1884" i="12"/>
  <c r="A1848" i="12"/>
  <c r="A1812" i="12"/>
  <c r="A1776" i="12"/>
  <c r="A1740" i="12"/>
  <c r="A1704" i="12"/>
  <c r="A1668" i="12"/>
  <c r="A1632" i="12"/>
  <c r="A1584" i="12"/>
  <c r="A1536" i="12"/>
  <c r="A1458" i="12"/>
  <c r="A1338" i="12"/>
  <c r="A1194" i="12"/>
  <c r="A1050" i="12"/>
  <c r="A906" i="12"/>
  <c r="A762" i="12"/>
  <c r="A618" i="12"/>
  <c r="A474" i="12"/>
  <c r="A330" i="12"/>
  <c r="A186" i="12"/>
  <c r="A42" i="12"/>
  <c r="A3456" i="12"/>
  <c r="A3444" i="12"/>
  <c r="A3432" i="12"/>
  <c r="A3420" i="12"/>
  <c r="A3408" i="12"/>
  <c r="A3396" i="12"/>
  <c r="A3384" i="12"/>
  <c r="A3372" i="12"/>
  <c r="A3360" i="12"/>
  <c r="A3348" i="12"/>
  <c r="A3336" i="12"/>
  <c r="A3324" i="12"/>
  <c r="A3312" i="12"/>
  <c r="A3300" i="12"/>
  <c r="A3288" i="12"/>
  <c r="A3276" i="12"/>
  <c r="A3264" i="12"/>
  <c r="A3252" i="12"/>
  <c r="A3240" i="12"/>
  <c r="A3228" i="12"/>
  <c r="A3216" i="12"/>
  <c r="A3204" i="12"/>
  <c r="A3192" i="12"/>
  <c r="A3180" i="12"/>
  <c r="A3168" i="12"/>
  <c r="A3156" i="12"/>
  <c r="A3144" i="12"/>
  <c r="A3132" i="12"/>
  <c r="A3120" i="12"/>
  <c r="A3108" i="12"/>
  <c r="A3096" i="12"/>
  <c r="A3084" i="12"/>
  <c r="A3072" i="12"/>
  <c r="A3060" i="12"/>
  <c r="A3048" i="12"/>
  <c r="A3036" i="12"/>
  <c r="A3024" i="12"/>
  <c r="A3012" i="12"/>
  <c r="A3000" i="12"/>
  <c r="A2988" i="12"/>
  <c r="A2976" i="12"/>
  <c r="A2964" i="12"/>
  <c r="A2952" i="12"/>
  <c r="A2940" i="12"/>
  <c r="A2928" i="12"/>
  <c r="A2916" i="12"/>
  <c r="A2904" i="12"/>
  <c r="A2892" i="12"/>
  <c r="A2880" i="12"/>
  <c r="A2868" i="12"/>
  <c r="A2856" i="12"/>
  <c r="A2844" i="12"/>
  <c r="A2832" i="12"/>
  <c r="A2820" i="12"/>
  <c r="A2808" i="12"/>
  <c r="A2796" i="12"/>
  <c r="A2784" i="12"/>
  <c r="A2772" i="12"/>
  <c r="A2760" i="12"/>
  <c r="A2748" i="12"/>
  <c r="A2736" i="12"/>
  <c r="A2724" i="12"/>
  <c r="A2712" i="12"/>
  <c r="A2700" i="12"/>
  <c r="A2688" i="12"/>
  <c r="A2676" i="12"/>
  <c r="A2664" i="12"/>
  <c r="A2652" i="12"/>
  <c r="A2640" i="12"/>
  <c r="A2628" i="12"/>
  <c r="A2616" i="12"/>
  <c r="A2604" i="12"/>
  <c r="A2592" i="12"/>
  <c r="A2580" i="12"/>
  <c r="A2568" i="12"/>
  <c r="A2556" i="12"/>
  <c r="A2544" i="12"/>
  <c r="A2532" i="12"/>
  <c r="A2519" i="12"/>
  <c r="A2505" i="12"/>
  <c r="A2490" i="12"/>
  <c r="A2473" i="12"/>
  <c r="A2458" i="12"/>
  <c r="A2441" i="12"/>
  <c r="A2421" i="12"/>
  <c r="A2399" i="12"/>
  <c r="A2377" i="12"/>
  <c r="A2360" i="12"/>
  <c r="A2338" i="12"/>
  <c r="A2316" i="12"/>
  <c r="A2292" i="12"/>
  <c r="A2268" i="12"/>
  <c r="A2242" i="12"/>
  <c r="A2207" i="12"/>
  <c r="A2171" i="12"/>
  <c r="A2135" i="12"/>
  <c r="A2099" i="12"/>
  <c r="A2063" i="12"/>
  <c r="A2027" i="12"/>
  <c r="A1991" i="12"/>
  <c r="A1955" i="12"/>
  <c r="A1919" i="12"/>
  <c r="A1883" i="12"/>
  <c r="A1847" i="12"/>
  <c r="A1811" i="12"/>
  <c r="A1775" i="12"/>
  <c r="A1739" i="12"/>
  <c r="A1703" i="12"/>
  <c r="A1667" i="12"/>
  <c r="A1631" i="12"/>
  <c r="A1583" i="12"/>
  <c r="A1535" i="12"/>
  <c r="A1457" i="12"/>
  <c r="A1337" i="12"/>
  <c r="A1193" i="12"/>
  <c r="A1049" i="12"/>
  <c r="A905" i="12"/>
  <c r="A761" i="12"/>
  <c r="A617" i="12"/>
  <c r="A473" i="12"/>
  <c r="A329" i="12"/>
  <c r="A185" i="12"/>
  <c r="A41" i="12"/>
  <c r="A3527" i="12"/>
  <c r="A3515" i="12"/>
  <c r="A3503" i="12"/>
  <c r="A3491" i="12"/>
  <c r="A3479" i="12"/>
  <c r="A3467" i="12"/>
  <c r="A3455" i="12"/>
  <c r="A3443" i="12"/>
  <c r="A3431" i="12"/>
  <c r="A3419" i="12"/>
  <c r="A3407" i="12"/>
  <c r="A3395" i="12"/>
  <c r="A3383" i="12"/>
  <c r="A3371" i="12"/>
  <c r="A3359" i="12"/>
  <c r="A3347" i="12"/>
  <c r="A3335" i="12"/>
  <c r="A3323" i="12"/>
  <c r="A3311" i="12"/>
  <c r="A3299" i="12"/>
  <c r="A3287" i="12"/>
  <c r="A3275" i="12"/>
  <c r="A3263" i="12"/>
  <c r="A3251" i="12"/>
  <c r="A3239" i="12"/>
  <c r="A3227" i="12"/>
  <c r="A3215" i="12"/>
  <c r="A3203" i="12"/>
  <c r="A3191" i="12"/>
  <c r="A3179" i="12"/>
  <c r="A3167" i="12"/>
  <c r="A3155" i="12"/>
  <c r="A3143" i="12"/>
  <c r="A3131" i="12"/>
  <c r="A3119" i="12"/>
  <c r="A3107" i="12"/>
  <c r="A3095" i="12"/>
  <c r="A3083" i="12"/>
  <c r="A3071" i="12"/>
  <c r="A3059" i="12"/>
  <c r="A3047" i="12"/>
  <c r="A3035" i="12"/>
  <c r="A3023" i="12"/>
  <c r="A3011" i="12"/>
  <c r="A2999" i="12"/>
  <c r="A2987" i="12"/>
  <c r="A2975" i="12"/>
  <c r="A2963" i="12"/>
  <c r="A2951" i="12"/>
  <c r="A2939" i="12"/>
  <c r="A2927" i="12"/>
  <c r="A2915" i="12"/>
  <c r="A2903" i="12"/>
  <c r="A2891" i="12"/>
  <c r="A2879" i="12"/>
  <c r="A2867" i="12"/>
  <c r="A2855" i="12"/>
  <c r="A2843" i="12"/>
  <c r="A2831" i="12"/>
  <c r="A2819" i="12"/>
  <c r="A2807" i="12"/>
  <c r="A2795" i="12"/>
  <c r="A2783" i="12"/>
  <c r="A2771" i="12"/>
  <c r="A2759" i="12"/>
  <c r="A2747" i="12"/>
  <c r="A2735" i="12"/>
  <c r="A2723" i="12"/>
  <c r="A2711" i="12"/>
  <c r="A2699" i="12"/>
  <c r="A2687" i="12"/>
  <c r="A2675" i="12"/>
  <c r="A2663" i="12"/>
  <c r="A2651" i="12"/>
  <c r="A2639" i="12"/>
  <c r="A2627" i="12"/>
  <c r="A2615" i="12"/>
  <c r="A2603" i="12"/>
  <c r="A2591" i="12"/>
  <c r="A2579" i="12"/>
  <c r="A2567" i="12"/>
  <c r="A2555" i="12"/>
  <c r="A2543" i="12"/>
  <c r="A2531" i="12"/>
  <c r="A2518" i="12"/>
  <c r="A2504" i="12"/>
  <c r="A2489" i="12"/>
  <c r="A2472" i="12"/>
  <c r="A2457" i="12"/>
  <c r="A2437" i="12"/>
  <c r="A2420" i="12"/>
  <c r="A2398" i="12"/>
  <c r="A2376" i="12"/>
  <c r="A2358" i="12"/>
  <c r="A2337" i="12"/>
  <c r="A2315" i="12"/>
  <c r="A2291" i="12"/>
  <c r="A2267" i="12"/>
  <c r="A2240" i="12"/>
  <c r="A2206" i="12"/>
  <c r="A2170" i="12"/>
  <c r="A2134" i="12"/>
  <c r="A2098" i="12"/>
  <c r="A2062" i="12"/>
  <c r="A2026" i="12"/>
  <c r="A1990" i="12"/>
  <c r="A1954" i="12"/>
  <c r="A1918" i="12"/>
  <c r="A1882" i="12"/>
  <c r="A1846" i="12"/>
  <c r="A1810" i="12"/>
  <c r="A1774" i="12"/>
  <c r="A1738" i="12"/>
  <c r="A1702" i="12"/>
  <c r="A1666" i="12"/>
  <c r="A1630" i="12"/>
  <c r="A1582" i="12"/>
  <c r="A1534" i="12"/>
  <c r="A1456" i="12"/>
  <c r="A1336" i="12"/>
  <c r="A1192" i="12"/>
  <c r="A1048" i="12"/>
  <c r="A904" i="12"/>
  <c r="A760" i="12"/>
  <c r="A616" i="12"/>
  <c r="A472" i="12"/>
  <c r="A328" i="12"/>
  <c r="A184" i="12"/>
  <c r="A40" i="12"/>
  <c r="A2221" i="12"/>
  <c r="A2209" i="12"/>
  <c r="A2197" i="12"/>
  <c r="A2185" i="12"/>
  <c r="A2173" i="12"/>
  <c r="A2161" i="12"/>
  <c r="A2149" i="12"/>
  <c r="A2137" i="12"/>
  <c r="A2125" i="12"/>
  <c r="A2113" i="12"/>
  <c r="A2101" i="12"/>
  <c r="A2089" i="12"/>
  <c r="A2077" i="12"/>
  <c r="A2065" i="12"/>
  <c r="A2053" i="12"/>
  <c r="A2041" i="12"/>
  <c r="A2029" i="12"/>
  <c r="A2017" i="12"/>
  <c r="A2005" i="12"/>
  <c r="A1993" i="12"/>
  <c r="A1981" i="12"/>
  <c r="A1969" i="12"/>
  <c r="A1957" i="12"/>
  <c r="A1945" i="12"/>
  <c r="A1933" i="12"/>
  <c r="A1921" i="12"/>
  <c r="A1909" i="12"/>
  <c r="A1897" i="12"/>
  <c r="A1885" i="12"/>
  <c r="A1873" i="12"/>
  <c r="A1861" i="12"/>
  <c r="A1849" i="12"/>
  <c r="A1837" i="12"/>
  <c r="A1825" i="12"/>
  <c r="A1813" i="12"/>
  <c r="A1801" i="12"/>
  <c r="A1789" i="12"/>
  <c r="A1777" i="12"/>
  <c r="A1765" i="12"/>
  <c r="A1753" i="12"/>
  <c r="A1741" i="12"/>
  <c r="A1729" i="12"/>
  <c r="A1717" i="12"/>
  <c r="A1705" i="12"/>
  <c r="A1693" i="12"/>
  <c r="A1681" i="12"/>
  <c r="A1669" i="12"/>
  <c r="A1657" i="12"/>
  <c r="A1645" i="12"/>
  <c r="A1633" i="12"/>
  <c r="A1621" i="12"/>
  <c r="A1609" i="12"/>
  <c r="A1597" i="12"/>
  <c r="A1585" i="12"/>
  <c r="A1573" i="12"/>
  <c r="A1561" i="12"/>
  <c r="A1549" i="12"/>
  <c r="A1537" i="12"/>
  <c r="A1523" i="12"/>
  <c r="A1508" i="12"/>
  <c r="A1490" i="12"/>
  <c r="A1463" i="12"/>
  <c r="A1433" i="12"/>
  <c r="A1406" i="12"/>
  <c r="A1374" i="12"/>
  <c r="A1346" i="12"/>
  <c r="A1310" i="12"/>
  <c r="A1274" i="12"/>
  <c r="A1238" i="12"/>
  <c r="A1202" i="12"/>
  <c r="A1166" i="12"/>
  <c r="A1130" i="12"/>
  <c r="A1094" i="12"/>
  <c r="A1058" i="12"/>
  <c r="A1022" i="12"/>
  <c r="A986" i="12"/>
  <c r="A950" i="12"/>
  <c r="A914" i="12"/>
  <c r="A878" i="12"/>
  <c r="A842" i="12"/>
  <c r="A806" i="12"/>
  <c r="A770" i="12"/>
  <c r="A734" i="12"/>
  <c r="A698" i="12"/>
  <c r="A662" i="12"/>
  <c r="A626" i="12"/>
  <c r="A590" i="12"/>
  <c r="A554" i="12"/>
  <c r="A518" i="12"/>
  <c r="A482" i="12"/>
  <c r="A446" i="12"/>
  <c r="A410" i="12"/>
  <c r="A374" i="12"/>
  <c r="A338" i="12"/>
  <c r="A302" i="12"/>
  <c r="A266" i="12"/>
  <c r="A230" i="12"/>
  <c r="A194" i="12"/>
  <c r="A158" i="12"/>
  <c r="A122" i="12"/>
  <c r="A86" i="12"/>
  <c r="A50" i="12"/>
  <c r="A2313" i="12"/>
  <c r="A2301" i="12"/>
  <c r="A2289" i="12"/>
  <c r="A2277" i="12"/>
  <c r="A2265" i="12"/>
  <c r="A2253" i="12"/>
  <c r="A2241" i="12"/>
  <c r="A2229" i="12"/>
  <c r="A2217" i="12"/>
  <c r="A2205" i="12"/>
  <c r="A2193" i="12"/>
  <c r="A2181" i="12"/>
  <c r="A2169" i="12"/>
  <c r="A2157" i="12"/>
  <c r="A2145" i="12"/>
  <c r="A2133" i="12"/>
  <c r="A2121" i="12"/>
  <c r="A2109" i="12"/>
  <c r="A2097" i="12"/>
  <c r="A2085" i="12"/>
  <c r="A2073" i="12"/>
  <c r="A2061" i="12"/>
  <c r="A2049" i="12"/>
  <c r="A2037" i="12"/>
  <c r="A2025" i="12"/>
  <c r="A2013" i="12"/>
  <c r="A2001" i="12"/>
  <c r="A1989" i="12"/>
  <c r="A1977" i="12"/>
  <c r="A1965" i="12"/>
  <c r="A1953" i="12"/>
  <c r="A1941" i="12"/>
  <c r="A1929" i="12"/>
  <c r="A1917" i="12"/>
  <c r="A1905" i="12"/>
  <c r="A1893" i="12"/>
  <c r="A1881" i="12"/>
  <c r="A1869" i="12"/>
  <c r="A1857" i="12"/>
  <c r="A1845" i="12"/>
  <c r="A1833" i="12"/>
  <c r="A1821" i="12"/>
  <c r="A1809" i="12"/>
  <c r="A1797" i="12"/>
  <c r="A1785" i="12"/>
  <c r="A1773" i="12"/>
  <c r="A1761" i="12"/>
  <c r="A1749" i="12"/>
  <c r="A1737" i="12"/>
  <c r="A1725" i="12"/>
  <c r="A1713" i="12"/>
  <c r="A1701" i="12"/>
  <c r="A1689" i="12"/>
  <c r="A1677" i="12"/>
  <c r="A1665" i="12"/>
  <c r="A1653" i="12"/>
  <c r="A1641" i="12"/>
  <c r="A1629" i="12"/>
  <c r="A1617" i="12"/>
  <c r="A1605" i="12"/>
  <c r="A1593" i="12"/>
  <c r="A1581" i="12"/>
  <c r="A1569" i="12"/>
  <c r="A1557" i="12"/>
  <c r="A1545" i="12"/>
  <c r="A1533" i="12"/>
  <c r="A1519" i="12"/>
  <c r="A1504" i="12"/>
  <c r="A1481" i="12"/>
  <c r="A1454" i="12"/>
  <c r="A1422" i="12"/>
  <c r="A1396" i="12"/>
  <c r="A1367" i="12"/>
  <c r="A1334" i="12"/>
  <c r="A1298" i="12"/>
  <c r="A1262" i="12"/>
  <c r="A1226" i="12"/>
  <c r="A1190" i="12"/>
  <c r="A1154" i="12"/>
  <c r="A1118" i="12"/>
  <c r="A1082" i="12"/>
  <c r="A1046" i="12"/>
  <c r="A1010" i="12"/>
  <c r="A974" i="12"/>
  <c r="A938" i="12"/>
  <c r="A902" i="12"/>
  <c r="A866" i="12"/>
  <c r="A830" i="12"/>
  <c r="A794" i="12"/>
  <c r="A758" i="12"/>
  <c r="A722" i="12"/>
  <c r="A686" i="12"/>
  <c r="A650" i="12"/>
  <c r="A614" i="12"/>
  <c r="A578" i="12"/>
  <c r="A542" i="12"/>
  <c r="A506" i="12"/>
  <c r="A470" i="12"/>
  <c r="A434" i="12"/>
  <c r="A398" i="12"/>
  <c r="A362" i="12"/>
  <c r="A326" i="12"/>
  <c r="A290" i="12"/>
  <c r="A254" i="12"/>
  <c r="A218" i="12"/>
  <c r="A182" i="12"/>
  <c r="A146" i="12"/>
  <c r="A110" i="12"/>
  <c r="A74" i="12"/>
  <c r="A38" i="12"/>
  <c r="A1628" i="12"/>
  <c r="A1616" i="12"/>
  <c r="A1604" i="12"/>
  <c r="A1592" i="12"/>
  <c r="A1580" i="12"/>
  <c r="A1568" i="12"/>
  <c r="A1556" i="12"/>
  <c r="A1544" i="12"/>
  <c r="A1532" i="12"/>
  <c r="A1518" i="12"/>
  <c r="A1502" i="12"/>
  <c r="A1480" i="12"/>
  <c r="A1451" i="12"/>
  <c r="A1421" i="12"/>
  <c r="A1394" i="12"/>
  <c r="A1362" i="12"/>
  <c r="A1326" i="12"/>
  <c r="A1290" i="12"/>
  <c r="A1254" i="12"/>
  <c r="A1218" i="12"/>
  <c r="A1182" i="12"/>
  <c r="A1146" i="12"/>
  <c r="A1110" i="12"/>
  <c r="A1074" i="12"/>
  <c r="A1038" i="12"/>
  <c r="A1002" i="12"/>
  <c r="A966" i="12"/>
  <c r="A930" i="12"/>
  <c r="A894" i="12"/>
  <c r="A858" i="12"/>
  <c r="A822" i="12"/>
  <c r="A786" i="12"/>
  <c r="A750" i="12"/>
  <c r="A714" i="12"/>
  <c r="A678" i="12"/>
  <c r="A642" i="12"/>
  <c r="A606" i="12"/>
  <c r="A570" i="12"/>
  <c r="A534" i="12"/>
  <c r="A498" i="12"/>
  <c r="A462" i="12"/>
  <c r="A426" i="12"/>
  <c r="A390" i="12"/>
  <c r="A354" i="12"/>
  <c r="A318" i="12"/>
  <c r="A282" i="12"/>
  <c r="A246" i="12"/>
  <c r="A210" i="12"/>
  <c r="A174" i="12"/>
  <c r="A138" i="12"/>
  <c r="A102" i="12"/>
  <c r="A66" i="12"/>
  <c r="A30" i="12"/>
  <c r="A2527" i="12"/>
  <c r="A2515" i="12"/>
  <c r="A2503" i="12"/>
  <c r="A2491" i="12"/>
  <c r="A2479" i="12"/>
  <c r="A2467" i="12"/>
  <c r="A2455" i="12"/>
  <c r="A2443" i="12"/>
  <c r="A2431" i="12"/>
  <c r="A2419" i="12"/>
  <c r="A2407" i="12"/>
  <c r="A2395" i="12"/>
  <c r="A2383" i="12"/>
  <c r="A2371" i="12"/>
  <c r="A2359" i="12"/>
  <c r="A2347" i="12"/>
  <c r="A2335" i="12"/>
  <c r="A2323" i="12"/>
  <c r="A2311" i="12"/>
  <c r="A2299" i="12"/>
  <c r="A2287" i="12"/>
  <c r="A2275" i="12"/>
  <c r="A2263" i="12"/>
  <c r="A2251" i="12"/>
  <c r="A2239" i="12"/>
  <c r="A2227" i="12"/>
  <c r="A2215" i="12"/>
  <c r="A2203" i="12"/>
  <c r="A2191" i="12"/>
  <c r="A2179" i="12"/>
  <c r="A2167" i="12"/>
  <c r="A2155" i="12"/>
  <c r="A2143" i="12"/>
  <c r="A2131" i="12"/>
  <c r="A2119" i="12"/>
  <c r="A2107" i="12"/>
  <c r="A2095" i="12"/>
  <c r="A2083" i="12"/>
  <c r="A2071" i="12"/>
  <c r="A2059" i="12"/>
  <c r="A2047" i="12"/>
  <c r="A2035" i="12"/>
  <c r="A2023" i="12"/>
  <c r="A2011" i="12"/>
  <c r="A1999" i="12"/>
  <c r="A1987" i="12"/>
  <c r="A1975" i="12"/>
  <c r="A1963" i="12"/>
  <c r="A1951" i="12"/>
  <c r="A1939" i="12"/>
  <c r="A1927" i="12"/>
  <c r="A1915" i="12"/>
  <c r="A1903" i="12"/>
  <c r="A1891" i="12"/>
  <c r="A1879" i="12"/>
  <c r="A1867" i="12"/>
  <c r="A1855" i="12"/>
  <c r="A1843" i="12"/>
  <c r="A1831" i="12"/>
  <c r="A1819" i="12"/>
  <c r="A1807" i="12"/>
  <c r="A1795" i="12"/>
  <c r="A1783" i="12"/>
  <c r="A1771" i="12"/>
  <c r="A1759" i="12"/>
  <c r="A1747" i="12"/>
  <c r="A1735" i="12"/>
  <c r="A1723" i="12"/>
  <c r="A1711" i="12"/>
  <c r="A1699" i="12"/>
  <c r="A1687" i="12"/>
  <c r="A1675" i="12"/>
  <c r="A1663" i="12"/>
  <c r="A1651" i="12"/>
  <c r="A1639" i="12"/>
  <c r="A1627" i="12"/>
  <c r="A1615" i="12"/>
  <c r="A1603" i="12"/>
  <c r="A1591" i="12"/>
  <c r="A1579" i="12"/>
  <c r="A1567" i="12"/>
  <c r="A1555" i="12"/>
  <c r="A1543" i="12"/>
  <c r="A1531" i="12"/>
  <c r="A1517" i="12"/>
  <c r="A1499" i="12"/>
  <c r="A1478" i="12"/>
  <c r="A1446" i="12"/>
  <c r="A1420" i="12"/>
  <c r="A1391" i="12"/>
  <c r="A1361" i="12"/>
  <c r="A1325" i="12"/>
  <c r="A1289" i="12"/>
  <c r="A1253" i="12"/>
  <c r="A1217" i="12"/>
  <c r="A1181" i="12"/>
  <c r="A1145" i="12"/>
  <c r="A1109" i="12"/>
  <c r="A1073" i="12"/>
  <c r="A1037" i="12"/>
  <c r="A1001" i="12"/>
  <c r="A965" i="12"/>
  <c r="A929" i="12"/>
  <c r="A893" i="12"/>
  <c r="A857" i="12"/>
  <c r="A821" i="12"/>
  <c r="A785" i="12"/>
  <c r="A749" i="12"/>
  <c r="A713" i="12"/>
  <c r="A677" i="12"/>
  <c r="A641" i="12"/>
  <c r="A605" i="12"/>
  <c r="A569" i="12"/>
  <c r="A533" i="12"/>
  <c r="A497" i="12"/>
  <c r="A461" i="12"/>
  <c r="A425" i="12"/>
  <c r="A389" i="12"/>
  <c r="A353" i="12"/>
  <c r="A317" i="12"/>
  <c r="A281" i="12"/>
  <c r="A245" i="12"/>
  <c r="A209" i="12"/>
  <c r="A173" i="12"/>
  <c r="A137" i="12"/>
  <c r="A101" i="12"/>
  <c r="A65" i="12"/>
  <c r="A29" i="12"/>
  <c r="A2262" i="12"/>
  <c r="A2250" i="12"/>
  <c r="A2238" i="12"/>
  <c r="A2226" i="12"/>
  <c r="A2214" i="12"/>
  <c r="A2202" i="12"/>
  <c r="A2190" i="12"/>
  <c r="A2178" i="12"/>
  <c r="A2166" i="12"/>
  <c r="A2154" i="12"/>
  <c r="A2142" i="12"/>
  <c r="A2130" i="12"/>
  <c r="A2118" i="12"/>
  <c r="A2106" i="12"/>
  <c r="A2094" i="12"/>
  <c r="A2082" i="12"/>
  <c r="A2070" i="12"/>
  <c r="A2058" i="12"/>
  <c r="A2046" i="12"/>
  <c r="A2034" i="12"/>
  <c r="A2022" i="12"/>
  <c r="A2010" i="12"/>
  <c r="A1998" i="12"/>
  <c r="A1986" i="12"/>
  <c r="A1974" i="12"/>
  <c r="A1962" i="12"/>
  <c r="A1950" i="12"/>
  <c r="A1938" i="12"/>
  <c r="A1926" i="12"/>
  <c r="A1914" i="12"/>
  <c r="A1902" i="12"/>
  <c r="A1890" i="12"/>
  <c r="A1878" i="12"/>
  <c r="A1866" i="12"/>
  <c r="A1854" i="12"/>
  <c r="A1842" i="12"/>
  <c r="A1830" i="12"/>
  <c r="A1818" i="12"/>
  <c r="A1806" i="12"/>
  <c r="A1794" i="12"/>
  <c r="A1782" i="12"/>
  <c r="A1770" i="12"/>
  <c r="A1758" i="12"/>
  <c r="A1746" i="12"/>
  <c r="A1734" i="12"/>
  <c r="A1722" i="12"/>
  <c r="A1710" i="12"/>
  <c r="A1698" i="12"/>
  <c r="A1686" i="12"/>
  <c r="A1674" i="12"/>
  <c r="A1662" i="12"/>
  <c r="A1650" i="12"/>
  <c r="A1638" i="12"/>
  <c r="A1626" i="12"/>
  <c r="A1614" i="12"/>
  <c r="A1602" i="12"/>
  <c r="A1590" i="12"/>
  <c r="A1578" i="12"/>
  <c r="A1566" i="12"/>
  <c r="A1554" i="12"/>
  <c r="A1542" i="12"/>
  <c r="A1530" i="12"/>
  <c r="A1516" i="12"/>
  <c r="A1496" i="12"/>
  <c r="A1475" i="12"/>
  <c r="A1445" i="12"/>
  <c r="A1418" i="12"/>
  <c r="A1386" i="12"/>
  <c r="A1360" i="12"/>
  <c r="A1324" i="12"/>
  <c r="A1288" i="12"/>
  <c r="A1252" i="12"/>
  <c r="A1216" i="12"/>
  <c r="A1180" i="12"/>
  <c r="A1144" i="12"/>
  <c r="A1108" i="12"/>
  <c r="A1072" i="12"/>
  <c r="A1036" i="12"/>
  <c r="A1000" i="12"/>
  <c r="A964" i="12"/>
  <c r="A928" i="12"/>
  <c r="A892" i="12"/>
  <c r="A856" i="12"/>
  <c r="A820" i="12"/>
  <c r="A784" i="12"/>
  <c r="A748" i="12"/>
  <c r="A712" i="12"/>
  <c r="A676" i="12"/>
  <c r="A640" i="12"/>
  <c r="A604" i="12"/>
  <c r="A568" i="12"/>
  <c r="A532" i="12"/>
  <c r="A496" i="12"/>
  <c r="A460" i="12"/>
  <c r="A424" i="12"/>
  <c r="A388" i="12"/>
  <c r="A352" i="12"/>
  <c r="A316" i="12"/>
  <c r="A280" i="12"/>
  <c r="A244" i="12"/>
  <c r="A208" i="12"/>
  <c r="A172" i="12"/>
  <c r="A136" i="12"/>
  <c r="A100" i="12"/>
  <c r="A64" i="12"/>
  <c r="A28" i="12"/>
  <c r="A2429" i="12"/>
  <c r="A2417" i="12"/>
  <c r="A2405" i="12"/>
  <c r="A2393" i="12"/>
  <c r="A2381" i="12"/>
  <c r="A2369" i="12"/>
  <c r="A2357" i="12"/>
  <c r="A2345" i="12"/>
  <c r="A2333" i="12"/>
  <c r="A2321" i="12"/>
  <c r="A2309" i="12"/>
  <c r="A2297" i="12"/>
  <c r="A2285" i="12"/>
  <c r="A2273" i="12"/>
  <c r="A2261" i="12"/>
  <c r="A2249" i="12"/>
  <c r="A2237" i="12"/>
  <c r="A2225" i="12"/>
  <c r="A2213" i="12"/>
  <c r="A2201" i="12"/>
  <c r="A2189" i="12"/>
  <c r="A2177" i="12"/>
  <c r="A2165" i="12"/>
  <c r="A2153" i="12"/>
  <c r="A2141" i="12"/>
  <c r="A2129" i="12"/>
  <c r="A2117" i="12"/>
  <c r="A2105" i="12"/>
  <c r="A2093" i="12"/>
  <c r="A2081" i="12"/>
  <c r="A2069" i="12"/>
  <c r="A2057" i="12"/>
  <c r="A2045" i="12"/>
  <c r="A2033" i="12"/>
  <c r="A2021" i="12"/>
  <c r="A2009" i="12"/>
  <c r="A1997" i="12"/>
  <c r="A1985" i="12"/>
  <c r="A1973" i="12"/>
  <c r="A1961" i="12"/>
  <c r="A1949" i="12"/>
  <c r="A1937" i="12"/>
  <c r="A1925" i="12"/>
  <c r="A1913" i="12"/>
  <c r="A1901" i="12"/>
  <c r="A1889" i="12"/>
  <c r="A1877" i="12"/>
  <c r="A1865" i="12"/>
  <c r="A1853" i="12"/>
  <c r="A1841" i="12"/>
  <c r="A1829" i="12"/>
  <c r="A1817" i="12"/>
  <c r="A1805" i="12"/>
  <c r="A1793" i="12"/>
  <c r="A1781" i="12"/>
  <c r="A1769" i="12"/>
  <c r="A1757" i="12"/>
  <c r="A1745" i="12"/>
  <c r="A1733" i="12"/>
  <c r="A1721" i="12"/>
  <c r="A1709" i="12"/>
  <c r="A1697" i="12"/>
  <c r="A1685" i="12"/>
  <c r="A1673" i="12"/>
  <c r="A1661" i="12"/>
  <c r="A1649" i="12"/>
  <c r="A1637" i="12"/>
  <c r="A1625" i="12"/>
  <c r="A1613" i="12"/>
  <c r="A1601" i="12"/>
  <c r="A1589" i="12"/>
  <c r="A1577" i="12"/>
  <c r="A1565" i="12"/>
  <c r="A1553" i="12"/>
  <c r="A1541" i="12"/>
  <c r="A1529" i="12"/>
  <c r="A1514" i="12"/>
  <c r="A1495" i="12"/>
  <c r="A1470" i="12"/>
  <c r="A1444" i="12"/>
  <c r="A1415" i="12"/>
  <c r="A1385" i="12"/>
  <c r="A1358" i="12"/>
  <c r="A1322" i="12"/>
  <c r="A1286" i="12"/>
  <c r="A1250" i="12"/>
  <c r="A1214" i="12"/>
  <c r="A1178" i="12"/>
  <c r="A1142" i="12"/>
  <c r="A1106" i="12"/>
  <c r="A1070" i="12"/>
  <c r="A1034" i="12"/>
  <c r="A998" i="12"/>
  <c r="A962" i="12"/>
  <c r="A926" i="12"/>
  <c r="A890" i="12"/>
  <c r="A854" i="12"/>
  <c r="A818" i="12"/>
  <c r="A782" i="12"/>
  <c r="A746" i="12"/>
  <c r="A710" i="12"/>
  <c r="A674" i="12"/>
  <c r="A638" i="12"/>
  <c r="A602" i="12"/>
  <c r="A566" i="12"/>
  <c r="A530" i="12"/>
  <c r="A494" i="12"/>
  <c r="A458" i="12"/>
  <c r="A422" i="12"/>
  <c r="A386" i="12"/>
  <c r="A350" i="12"/>
  <c r="A314" i="12"/>
  <c r="A278" i="12"/>
  <c r="A242" i="12"/>
  <c r="A206" i="12"/>
  <c r="A170" i="12"/>
  <c r="A134" i="12"/>
  <c r="A98" i="12"/>
  <c r="A62" i="12"/>
  <c r="A26" i="12"/>
  <c r="A2452" i="12"/>
  <c r="A2440" i="12"/>
  <c r="A2428" i="12"/>
  <c r="A2416" i="12"/>
  <c r="A2404" i="12"/>
  <c r="A2392" i="12"/>
  <c r="A2380" i="12"/>
  <c r="A2368" i="12"/>
  <c r="A2356" i="12"/>
  <c r="A2344" i="12"/>
  <c r="A2332" i="12"/>
  <c r="A2320" i="12"/>
  <c r="A2308" i="12"/>
  <c r="A2296" i="12"/>
  <c r="A2284" i="12"/>
  <c r="A2272" i="12"/>
  <c r="A2260" i="12"/>
  <c r="A2248" i="12"/>
  <c r="A2236" i="12"/>
  <c r="A2224" i="12"/>
  <c r="A2212" i="12"/>
  <c r="A2200" i="12"/>
  <c r="A2188" i="12"/>
  <c r="A2176" i="12"/>
  <c r="A2164" i="12"/>
  <c r="A2152" i="12"/>
  <c r="A2140" i="12"/>
  <c r="A2128" i="12"/>
  <c r="A2116" i="12"/>
  <c r="A2104" i="12"/>
  <c r="A2092" i="12"/>
  <c r="A2080" i="12"/>
  <c r="A2068" i="12"/>
  <c r="A2056" i="12"/>
  <c r="A2044" i="12"/>
  <c r="A2032" i="12"/>
  <c r="A2020" i="12"/>
  <c r="A2008" i="12"/>
  <c r="A1996" i="12"/>
  <c r="A1984" i="12"/>
  <c r="A1972" i="12"/>
  <c r="A1960" i="12"/>
  <c r="A1948" i="12"/>
  <c r="A1936" i="12"/>
  <c r="A1924" i="12"/>
  <c r="A1912" i="12"/>
  <c r="A1900" i="12"/>
  <c r="A1888" i="12"/>
  <c r="A1876" i="12"/>
  <c r="A1864" i="12"/>
  <c r="A1852" i="12"/>
  <c r="A1840" i="12"/>
  <c r="A1828" i="12"/>
  <c r="A1816" i="12"/>
  <c r="A1804" i="12"/>
  <c r="A1792" i="12"/>
  <c r="A1780" i="12"/>
  <c r="A1768" i="12"/>
  <c r="A1756" i="12"/>
  <c r="A1744" i="12"/>
  <c r="A1732" i="12"/>
  <c r="A1720" i="12"/>
  <c r="A1708" i="12"/>
  <c r="A1696" i="12"/>
  <c r="A1684" i="12"/>
  <c r="A1672" i="12"/>
  <c r="A1660" i="12"/>
  <c r="A1648" i="12"/>
  <c r="A1636" i="12"/>
  <c r="A1624" i="12"/>
  <c r="A1612" i="12"/>
  <c r="A1600" i="12"/>
  <c r="A1588" i="12"/>
  <c r="A1576" i="12"/>
  <c r="A1564" i="12"/>
  <c r="A1552" i="12"/>
  <c r="A1540" i="12"/>
  <c r="A1528" i="12"/>
  <c r="A1511" i="12"/>
  <c r="A1494" i="12"/>
  <c r="A1469" i="12"/>
  <c r="A1442" i="12"/>
  <c r="A1410" i="12"/>
  <c r="A1384" i="12"/>
  <c r="A1350" i="12"/>
  <c r="A1314" i="12"/>
  <c r="A1278" i="12"/>
  <c r="A1242" i="12"/>
  <c r="A1206" i="12"/>
  <c r="A1170" i="12"/>
  <c r="A1134" i="12"/>
  <c r="A1098" i="12"/>
  <c r="A1062" i="12"/>
  <c r="A1026" i="12"/>
  <c r="A990" i="12"/>
  <c r="A954" i="12"/>
  <c r="A918" i="12"/>
  <c r="A882" i="12"/>
  <c r="A846" i="12"/>
  <c r="A810" i="12"/>
  <c r="A774" i="12"/>
  <c r="A738" i="12"/>
  <c r="A702" i="12"/>
  <c r="A666" i="12"/>
  <c r="A630" i="12"/>
  <c r="A594" i="12"/>
  <c r="A558" i="12"/>
  <c r="A522" i="12"/>
  <c r="A486" i="12"/>
  <c r="A450" i="12"/>
  <c r="A414" i="12"/>
  <c r="A378" i="12"/>
  <c r="A342" i="12"/>
  <c r="A306" i="12"/>
  <c r="A270" i="12"/>
  <c r="A234" i="12"/>
  <c r="A198" i="12"/>
  <c r="A162" i="12"/>
  <c r="A126" i="12"/>
  <c r="A90" i="12"/>
  <c r="A54" i="12"/>
  <c r="A18" i="12"/>
  <c r="A2487" i="12"/>
  <c r="A2475" i="12"/>
  <c r="A2463" i="12"/>
  <c r="A2451" i="12"/>
  <c r="A2439" i="12"/>
  <c r="A2427" i="12"/>
  <c r="A2415" i="12"/>
  <c r="A2403" i="12"/>
  <c r="A2391" i="12"/>
  <c r="A2379" i="12"/>
  <c r="A2367" i="12"/>
  <c r="A2355" i="12"/>
  <c r="A2343" i="12"/>
  <c r="A2331" i="12"/>
  <c r="A2319" i="12"/>
  <c r="A2307" i="12"/>
  <c r="A2295" i="12"/>
  <c r="A2283" i="12"/>
  <c r="A2271" i="12"/>
  <c r="A2259" i="12"/>
  <c r="A2247" i="12"/>
  <c r="A2235" i="12"/>
  <c r="A2223" i="12"/>
  <c r="A2211" i="12"/>
  <c r="A2199" i="12"/>
  <c r="A2187" i="12"/>
  <c r="A2175" i="12"/>
  <c r="A2163" i="12"/>
  <c r="A2151" i="12"/>
  <c r="A2139" i="12"/>
  <c r="A2127" i="12"/>
  <c r="A2115" i="12"/>
  <c r="A2103" i="12"/>
  <c r="A2091" i="12"/>
  <c r="A2079" i="12"/>
  <c r="A2067" i="12"/>
  <c r="A2055" i="12"/>
  <c r="A2043" i="12"/>
  <c r="A2031" i="12"/>
  <c r="A2019" i="12"/>
  <c r="A2007" i="12"/>
  <c r="A1995" i="12"/>
  <c r="A1983" i="12"/>
  <c r="A1971" i="12"/>
  <c r="A1959" i="12"/>
  <c r="A1947" i="12"/>
  <c r="A1935" i="12"/>
  <c r="A1923" i="12"/>
  <c r="A1911" i="12"/>
  <c r="A1899" i="12"/>
  <c r="A1887" i="12"/>
  <c r="A1875" i="12"/>
  <c r="A1863" i="12"/>
  <c r="A1851" i="12"/>
  <c r="A1839" i="12"/>
  <c r="A1827" i="12"/>
  <c r="A1815" i="12"/>
  <c r="A1803" i="12"/>
  <c r="A1791" i="12"/>
  <c r="A1779" i="12"/>
  <c r="A1767" i="12"/>
  <c r="A1755" i="12"/>
  <c r="A1743" i="12"/>
  <c r="A1731" i="12"/>
  <c r="A1719" i="12"/>
  <c r="A1707" i="12"/>
  <c r="A1695" i="12"/>
  <c r="A1683" i="12"/>
  <c r="A1671" i="12"/>
  <c r="A1659" i="12"/>
  <c r="A1647" i="12"/>
  <c r="A1635" i="12"/>
  <c r="A1623" i="12"/>
  <c r="A1611" i="12"/>
  <c r="A1599" i="12"/>
  <c r="A1587" i="12"/>
  <c r="A1575" i="12"/>
  <c r="A1563" i="12"/>
  <c r="A1551" i="12"/>
  <c r="A1539" i="12"/>
  <c r="A1526" i="12"/>
  <c r="A1510" i="12"/>
  <c r="A1493" i="12"/>
  <c r="A1468" i="12"/>
  <c r="A1439" i="12"/>
  <c r="A1409" i="12"/>
  <c r="A1382" i="12"/>
  <c r="A1349" i="12"/>
  <c r="A1313" i="12"/>
  <c r="A1277" i="12"/>
  <c r="A1241" i="12"/>
  <c r="A1205" i="12"/>
  <c r="A1169" i="12"/>
  <c r="A1133" i="12"/>
  <c r="A1097" i="12"/>
  <c r="A1061" i="12"/>
  <c r="A1025" i="12"/>
  <c r="A989" i="12"/>
  <c r="A953" i="12"/>
  <c r="A917" i="12"/>
  <c r="A881" i="12"/>
  <c r="A845" i="12"/>
  <c r="A809" i="12"/>
  <c r="A773" i="12"/>
  <c r="A737" i="12"/>
  <c r="A701" i="12"/>
  <c r="A665" i="12"/>
  <c r="A629" i="12"/>
  <c r="A593" i="12"/>
  <c r="A557" i="12"/>
  <c r="A521" i="12"/>
  <c r="A485" i="12"/>
  <c r="A449" i="12"/>
  <c r="A413" i="12"/>
  <c r="A377" i="12"/>
  <c r="A341" i="12"/>
  <c r="A305" i="12"/>
  <c r="A269" i="12"/>
  <c r="A233" i="12"/>
  <c r="A197" i="12"/>
  <c r="A161" i="12"/>
  <c r="A125" i="12"/>
  <c r="A89" i="12"/>
  <c r="A53" i="12"/>
  <c r="A17" i="12"/>
  <c r="A2510" i="12"/>
  <c r="A2498" i="12"/>
  <c r="A2486" i="12"/>
  <c r="A2474" i="12"/>
  <c r="A2462" i="12"/>
  <c r="A2450" i="12"/>
  <c r="A2438" i="12"/>
  <c r="A2426" i="12"/>
  <c r="A2414" i="12"/>
  <c r="A2402" i="12"/>
  <c r="A2390" i="12"/>
  <c r="A2378" i="12"/>
  <c r="A2366" i="12"/>
  <c r="A2354" i="12"/>
  <c r="A2342" i="12"/>
  <c r="A2330" i="12"/>
  <c r="A2318" i="12"/>
  <c r="A2306" i="12"/>
  <c r="A2294" i="12"/>
  <c r="A2282" i="12"/>
  <c r="A2270" i="12"/>
  <c r="A2258" i="12"/>
  <c r="A2246" i="12"/>
  <c r="A2234" i="12"/>
  <c r="A2222" i="12"/>
  <c r="A2210" i="12"/>
  <c r="A2198" i="12"/>
  <c r="A2186" i="12"/>
  <c r="A2174" i="12"/>
  <c r="A2162" i="12"/>
  <c r="A2150" i="12"/>
  <c r="A2138" i="12"/>
  <c r="A2126" i="12"/>
  <c r="A2114" i="12"/>
  <c r="A2102" i="12"/>
  <c r="A2090" i="12"/>
  <c r="A2078" i="12"/>
  <c r="A2066" i="12"/>
  <c r="A2054" i="12"/>
  <c r="A2042" i="12"/>
  <c r="A2030" i="12"/>
  <c r="A2018" i="12"/>
  <c r="A2006" i="12"/>
  <c r="A1994" i="12"/>
  <c r="A1982" i="12"/>
  <c r="A1970" i="12"/>
  <c r="A1958" i="12"/>
  <c r="A1946" i="12"/>
  <c r="A1934" i="12"/>
  <c r="A1922" i="12"/>
  <c r="A1910" i="12"/>
  <c r="A1898" i="12"/>
  <c r="A1886" i="12"/>
  <c r="A1874" i="12"/>
  <c r="A1862" i="12"/>
  <c r="A1850" i="12"/>
  <c r="A1838" i="12"/>
  <c r="A1826" i="12"/>
  <c r="A1814" i="12"/>
  <c r="A1802" i="12"/>
  <c r="A1790" i="12"/>
  <c r="A1778" i="12"/>
  <c r="A1766" i="12"/>
  <c r="A1754" i="12"/>
  <c r="A1742" i="12"/>
  <c r="A1730" i="12"/>
  <c r="A1718" i="12"/>
  <c r="A1706" i="12"/>
  <c r="A1694" i="12"/>
  <c r="A1682" i="12"/>
  <c r="A1670" i="12"/>
  <c r="A1658" i="12"/>
  <c r="A1646" i="12"/>
  <c r="A1634" i="12"/>
  <c r="A1622" i="12"/>
  <c r="A1610" i="12"/>
  <c r="A1598" i="12"/>
  <c r="A1586" i="12"/>
  <c r="A1574" i="12"/>
  <c r="A1562" i="12"/>
  <c r="A1550" i="12"/>
  <c r="A1538" i="12"/>
  <c r="A1525" i="12"/>
  <c r="A1509" i="12"/>
  <c r="A1492" i="12"/>
  <c r="A1466" i="12"/>
  <c r="A1434" i="12"/>
  <c r="A1408" i="12"/>
  <c r="A1379" i="12"/>
  <c r="A1348" i="12"/>
  <c r="A1312" i="12"/>
  <c r="A1276" i="12"/>
  <c r="A1240" i="12"/>
  <c r="A1204" i="12"/>
  <c r="A1168" i="12"/>
  <c r="A1132" i="12"/>
  <c r="A1096" i="12"/>
  <c r="A1060" i="12"/>
  <c r="A1024" i="12"/>
  <c r="A988" i="12"/>
  <c r="A952" i="12"/>
  <c r="A916" i="12"/>
  <c r="A880" i="12"/>
  <c r="A844" i="12"/>
  <c r="A808" i="12"/>
  <c r="A772" i="12"/>
  <c r="A736" i="12"/>
  <c r="A700" i="12"/>
  <c r="A664" i="12"/>
  <c r="A628" i="12"/>
  <c r="A592" i="12"/>
  <c r="A556" i="12"/>
  <c r="A520" i="12"/>
  <c r="A484" i="12"/>
  <c r="A448" i="12"/>
  <c r="A412" i="12"/>
  <c r="A376" i="12"/>
  <c r="A340" i="12"/>
  <c r="A304" i="12"/>
  <c r="A268" i="12"/>
  <c r="A232" i="12"/>
  <c r="A196" i="12"/>
  <c r="A160" i="12"/>
  <c r="A124" i="12"/>
  <c r="A88" i="12"/>
  <c r="A52" i="12"/>
  <c r="A16" i="12"/>
  <c r="A1527" i="12"/>
  <c r="A1515" i="12"/>
  <c r="A1503" i="12"/>
  <c r="A1491" i="12"/>
  <c r="A1479" i="12"/>
  <c r="A1467" i="12"/>
  <c r="A1455" i="12"/>
  <c r="A1443" i="12"/>
  <c r="A1431" i="12"/>
  <c r="A1419" i="12"/>
  <c r="A1407" i="12"/>
  <c r="A1395" i="12"/>
  <c r="A1383" i="12"/>
  <c r="A1371" i="12"/>
  <c r="A1359" i="12"/>
  <c r="A1347" i="12"/>
  <c r="A1335" i="12"/>
  <c r="A1323" i="12"/>
  <c r="A1311" i="12"/>
  <c r="A1299" i="12"/>
  <c r="A1287" i="12"/>
  <c r="A1275" i="12"/>
  <c r="A1263" i="12"/>
  <c r="A1251" i="12"/>
  <c r="A1239" i="12"/>
  <c r="A1227" i="12"/>
  <c r="A1215" i="12"/>
  <c r="A1203" i="12"/>
  <c r="A1191" i="12"/>
  <c r="A1179" i="12"/>
  <c r="A1167" i="12"/>
  <c r="A1155" i="12"/>
  <c r="A1143" i="12"/>
  <c r="A1131" i="12"/>
  <c r="A1119" i="12"/>
  <c r="A1107" i="12"/>
  <c r="A1095" i="12"/>
  <c r="A1083" i="12"/>
  <c r="A1071" i="12"/>
  <c r="A1059" i="12"/>
  <c r="A1047" i="12"/>
  <c r="A1035" i="12"/>
  <c r="A1023" i="12"/>
  <c r="A1011" i="12"/>
  <c r="A999" i="12"/>
  <c r="A987" i="12"/>
  <c r="A975" i="12"/>
  <c r="A963" i="12"/>
  <c r="A951" i="12"/>
  <c r="A939" i="12"/>
  <c r="A927" i="12"/>
  <c r="A915" i="12"/>
  <c r="A903" i="12"/>
  <c r="A891" i="12"/>
  <c r="A879" i="12"/>
  <c r="A867" i="12"/>
  <c r="A855" i="12"/>
  <c r="A843" i="12"/>
  <c r="A831" i="12"/>
  <c r="A819" i="12"/>
  <c r="A807" i="12"/>
  <c r="A795" i="12"/>
  <c r="A783" i="12"/>
  <c r="A771" i="12"/>
  <c r="A759" i="12"/>
  <c r="A747" i="12"/>
  <c r="A735" i="12"/>
  <c r="A723" i="12"/>
  <c r="A711" i="12"/>
  <c r="A699" i="12"/>
  <c r="A687" i="12"/>
  <c r="A675" i="12"/>
  <c r="A663" i="12"/>
  <c r="A651" i="12"/>
  <c r="A639" i="12"/>
  <c r="A627" i="12"/>
  <c r="A615" i="12"/>
  <c r="A603" i="12"/>
  <c r="A591" i="12"/>
  <c r="A579" i="12"/>
  <c r="A567" i="12"/>
  <c r="A555" i="12"/>
  <c r="A543" i="12"/>
  <c r="A531" i="12"/>
  <c r="A519" i="12"/>
  <c r="A507" i="12"/>
  <c r="A495" i="12"/>
  <c r="A483" i="12"/>
  <c r="A471" i="12"/>
  <c r="A459" i="12"/>
  <c r="A447" i="12"/>
  <c r="A435" i="12"/>
  <c r="A423" i="12"/>
  <c r="A411" i="12"/>
  <c r="A399" i="12"/>
  <c r="A387" i="12"/>
  <c r="A375" i="12"/>
  <c r="A363" i="12"/>
  <c r="A351" i="12"/>
  <c r="A339" i="12"/>
  <c r="A327" i="12"/>
  <c r="A315" i="12"/>
  <c r="A303" i="12"/>
  <c r="A291" i="12"/>
  <c r="A279" i="12"/>
  <c r="A267" i="12"/>
  <c r="A255" i="12"/>
  <c r="A243" i="12"/>
  <c r="A231" i="12"/>
  <c r="A219" i="12"/>
  <c r="A207" i="12"/>
  <c r="A195" i="12"/>
  <c r="A183" i="12"/>
  <c r="A171" i="12"/>
  <c r="A159" i="12"/>
  <c r="A147" i="12"/>
  <c r="A135" i="12"/>
  <c r="A123" i="12"/>
  <c r="A111" i="12"/>
  <c r="A99" i="12"/>
  <c r="A87" i="12"/>
  <c r="A75" i="12"/>
  <c r="A63" i="12"/>
  <c r="A51" i="12"/>
  <c r="A39" i="12"/>
  <c r="A27" i="12"/>
  <c r="A15" i="12"/>
  <c r="A14" i="12"/>
  <c r="A1513" i="12"/>
  <c r="A1501" i="12"/>
  <c r="A1489" i="12"/>
  <c r="A1477" i="12"/>
  <c r="A1465" i="12"/>
  <c r="A1453" i="12"/>
  <c r="A1441" i="12"/>
  <c r="A1429" i="12"/>
  <c r="A1417" i="12"/>
  <c r="A1405" i="12"/>
  <c r="A1393" i="12"/>
  <c r="A1381" i="12"/>
  <c r="A1369" i="12"/>
  <c r="A1357" i="12"/>
  <c r="A1345" i="12"/>
  <c r="A1333" i="12"/>
  <c r="A1321" i="12"/>
  <c r="A1309" i="12"/>
  <c r="A1297" i="12"/>
  <c r="A1285" i="12"/>
  <c r="A1273" i="12"/>
  <c r="A1261" i="12"/>
  <c r="A1249" i="12"/>
  <c r="A1237" i="12"/>
  <c r="A1225" i="12"/>
  <c r="A1213" i="12"/>
  <c r="A1201" i="12"/>
  <c r="A1189" i="12"/>
  <c r="A1177" i="12"/>
  <c r="A1165" i="12"/>
  <c r="A1153" i="12"/>
  <c r="A1141" i="12"/>
  <c r="A1129" i="12"/>
  <c r="A1117" i="12"/>
  <c r="A1105" i="12"/>
  <c r="A1093" i="12"/>
  <c r="A1081" i="12"/>
  <c r="A1069" i="12"/>
  <c r="A1057" i="12"/>
  <c r="A1045" i="12"/>
  <c r="A1033" i="12"/>
  <c r="A1021" i="12"/>
  <c r="A1009" i="12"/>
  <c r="A997" i="12"/>
  <c r="A985" i="12"/>
  <c r="A973" i="12"/>
  <c r="A961" i="12"/>
  <c r="A949" i="12"/>
  <c r="A937" i="12"/>
  <c r="A925" i="12"/>
  <c r="A913" i="12"/>
  <c r="A901" i="12"/>
  <c r="A889" i="12"/>
  <c r="A877" i="12"/>
  <c r="A865" i="12"/>
  <c r="A853" i="12"/>
  <c r="A841" i="12"/>
  <c r="A829" i="12"/>
  <c r="A817" i="12"/>
  <c r="A805" i="12"/>
  <c r="A793" i="12"/>
  <c r="A781" i="12"/>
  <c r="A769" i="12"/>
  <c r="A757" i="12"/>
  <c r="A745" i="12"/>
  <c r="A733" i="12"/>
  <c r="A721" i="12"/>
  <c r="A709" i="12"/>
  <c r="A697" i="12"/>
  <c r="A685" i="12"/>
  <c r="A673" i="12"/>
  <c r="A661" i="12"/>
  <c r="A649" i="12"/>
  <c r="A637" i="12"/>
  <c r="A625" i="12"/>
  <c r="A613" i="12"/>
  <c r="A601" i="12"/>
  <c r="A589" i="12"/>
  <c r="A577" i="12"/>
  <c r="A565" i="12"/>
  <c r="A553" i="12"/>
  <c r="A541" i="12"/>
  <c r="A529" i="12"/>
  <c r="A517" i="12"/>
  <c r="A505" i="12"/>
  <c r="A493" i="12"/>
  <c r="A481" i="12"/>
  <c r="A469" i="12"/>
  <c r="A457" i="12"/>
  <c r="A445" i="12"/>
  <c r="A433" i="12"/>
  <c r="A421" i="12"/>
  <c r="A409" i="12"/>
  <c r="A397" i="12"/>
  <c r="A385" i="12"/>
  <c r="A373" i="12"/>
  <c r="A361" i="12"/>
  <c r="A349" i="12"/>
  <c r="A337" i="12"/>
  <c r="A325" i="12"/>
  <c r="A313" i="12"/>
  <c r="A301" i="12"/>
  <c r="A289" i="12"/>
  <c r="A277" i="12"/>
  <c r="A265" i="12"/>
  <c r="A253" i="12"/>
  <c r="A241" i="12"/>
  <c r="A229" i="12"/>
  <c r="A217" i="12"/>
  <c r="A205" i="12"/>
  <c r="A193" i="12"/>
  <c r="A181" i="12"/>
  <c r="A169" i="12"/>
  <c r="A157" i="12"/>
  <c r="A145" i="12"/>
  <c r="A133" i="12"/>
  <c r="A121" i="12"/>
  <c r="A109" i="12"/>
  <c r="A97" i="12"/>
  <c r="A85" i="12"/>
  <c r="A73" i="12"/>
  <c r="A61" i="12"/>
  <c r="A49" i="12"/>
  <c r="A37" i="12"/>
  <c r="A25" i="12"/>
  <c r="A13" i="12"/>
  <c r="A1524" i="12"/>
  <c r="A1512" i="12"/>
  <c r="A1500" i="12"/>
  <c r="A1488" i="12"/>
  <c r="A1476" i="12"/>
  <c r="A1464" i="12"/>
  <c r="A1452" i="12"/>
  <c r="A1440" i="12"/>
  <c r="A1428" i="12"/>
  <c r="A1416" i="12"/>
  <c r="A1404" i="12"/>
  <c r="A1392" i="12"/>
  <c r="A1380" i="12"/>
  <c r="A1368" i="12"/>
  <c r="A1356" i="12"/>
  <c r="A1344" i="12"/>
  <c r="A1332" i="12"/>
  <c r="A1320" i="12"/>
  <c r="A1308" i="12"/>
  <c r="A1296" i="12"/>
  <c r="A1284" i="12"/>
  <c r="A1272" i="12"/>
  <c r="A1260" i="12"/>
  <c r="A1248" i="12"/>
  <c r="A1236" i="12"/>
  <c r="A1224" i="12"/>
  <c r="A1212" i="12"/>
  <c r="A1200" i="12"/>
  <c r="A1188" i="12"/>
  <c r="A1176" i="12"/>
  <c r="A1164" i="12"/>
  <c r="A1152" i="12"/>
  <c r="A1140" i="12"/>
  <c r="A1128" i="12"/>
  <c r="A1116" i="12"/>
  <c r="A1104" i="12"/>
  <c r="A1092" i="12"/>
  <c r="A1080" i="12"/>
  <c r="A1068" i="12"/>
  <c r="A1056" i="12"/>
  <c r="A1044" i="12"/>
  <c r="A1032" i="12"/>
  <c r="A1020" i="12"/>
  <c r="A1008" i="12"/>
  <c r="A996" i="12"/>
  <c r="A984" i="12"/>
  <c r="A972" i="12"/>
  <c r="A960" i="12"/>
  <c r="A948" i="12"/>
  <c r="A936" i="12"/>
  <c r="A924" i="12"/>
  <c r="A912" i="12"/>
  <c r="A900" i="12"/>
  <c r="A888" i="12"/>
  <c r="A876" i="12"/>
  <c r="A864" i="12"/>
  <c r="A852" i="12"/>
  <c r="A840" i="12"/>
  <c r="A828" i="12"/>
  <c r="A816" i="12"/>
  <c r="A804" i="12"/>
  <c r="A792" i="12"/>
  <c r="A780" i="12"/>
  <c r="A768" i="12"/>
  <c r="A756" i="12"/>
  <c r="A744" i="12"/>
  <c r="A732" i="12"/>
  <c r="A720" i="12"/>
  <c r="A708" i="12"/>
  <c r="A696" i="12"/>
  <c r="A684" i="12"/>
  <c r="A672" i="12"/>
  <c r="A660" i="12"/>
  <c r="A648" i="12"/>
  <c r="A636" i="12"/>
  <c r="A624" i="12"/>
  <c r="A612" i="12"/>
  <c r="A600" i="12"/>
  <c r="A588" i="12"/>
  <c r="A576" i="12"/>
  <c r="A564" i="12"/>
  <c r="A552" i="12"/>
  <c r="A540" i="12"/>
  <c r="A528" i="12"/>
  <c r="A516" i="12"/>
  <c r="A504" i="12"/>
  <c r="A492" i="12"/>
  <c r="A480" i="12"/>
  <c r="A468" i="12"/>
  <c r="A456" i="12"/>
  <c r="A444" i="12"/>
  <c r="A432" i="12"/>
  <c r="A420" i="12"/>
  <c r="A408" i="12"/>
  <c r="A396" i="12"/>
  <c r="A384" i="12"/>
  <c r="A372" i="12"/>
  <c r="A360" i="12"/>
  <c r="A348" i="12"/>
  <c r="A336" i="12"/>
  <c r="A324" i="12"/>
  <c r="A312" i="12"/>
  <c r="A300" i="12"/>
  <c r="A288" i="12"/>
  <c r="A276" i="12"/>
  <c r="A264" i="12"/>
  <c r="A252" i="12"/>
  <c r="A240" i="12"/>
  <c r="A228" i="12"/>
  <c r="A216" i="12"/>
  <c r="A204" i="12"/>
  <c r="A192" i="12"/>
  <c r="A180" i="12"/>
  <c r="A168" i="12"/>
  <c r="A156" i="12"/>
  <c r="A144" i="12"/>
  <c r="A132" i="12"/>
  <c r="A120" i="12"/>
  <c r="A108" i="12"/>
  <c r="A96" i="12"/>
  <c r="A84" i="12"/>
  <c r="A72" i="12"/>
  <c r="A60" i="12"/>
  <c r="A48" i="12"/>
  <c r="A36" i="12"/>
  <c r="A24" i="12"/>
  <c r="A12" i="12"/>
  <c r="A1355" i="12"/>
  <c r="A1343" i="12"/>
  <c r="A1331" i="12"/>
  <c r="A1319" i="12"/>
  <c r="A1307" i="12"/>
  <c r="A1295" i="12"/>
  <c r="A1283" i="12"/>
  <c r="A1271" i="12"/>
  <c r="A1259" i="12"/>
  <c r="A1247" i="12"/>
  <c r="A1235" i="12"/>
  <c r="A1223" i="12"/>
  <c r="A1211" i="12"/>
  <c r="A1199" i="12"/>
  <c r="A1187" i="12"/>
  <c r="A1175" i="12"/>
  <c r="A1163" i="12"/>
  <c r="A1151" i="12"/>
  <c r="A1139" i="12"/>
  <c r="A1127" i="12"/>
  <c r="A1115" i="12"/>
  <c r="A1103" i="12"/>
  <c r="A1091" i="12"/>
  <c r="A1079" i="12"/>
  <c r="A1067" i="12"/>
  <c r="A1055" i="12"/>
  <c r="A1043" i="12"/>
  <c r="A1031" i="12"/>
  <c r="A1019" i="12"/>
  <c r="A1007" i="12"/>
  <c r="A995" i="12"/>
  <c r="A983" i="12"/>
  <c r="A971" i="12"/>
  <c r="A959" i="12"/>
  <c r="A947" i="12"/>
  <c r="A935" i="12"/>
  <c r="A923" i="12"/>
  <c r="A911" i="12"/>
  <c r="A899" i="12"/>
  <c r="A887" i="12"/>
  <c r="A875" i="12"/>
  <c r="A863" i="12"/>
  <c r="A851" i="12"/>
  <c r="A839" i="12"/>
  <c r="A827" i="12"/>
  <c r="A815" i="12"/>
  <c r="A803" i="12"/>
  <c r="A791" i="12"/>
  <c r="A779" i="12"/>
  <c r="A767" i="12"/>
  <c r="A755" i="12"/>
  <c r="A743" i="12"/>
  <c r="A731" i="12"/>
  <c r="A719" i="12"/>
  <c r="A707" i="12"/>
  <c r="A695" i="12"/>
  <c r="A683" i="12"/>
  <c r="A671" i="12"/>
  <c r="A659" i="12"/>
  <c r="A647" i="12"/>
  <c r="A635" i="12"/>
  <c r="A623" i="12"/>
  <c r="A611" i="12"/>
  <c r="A599" i="12"/>
  <c r="A587" i="12"/>
  <c r="A575" i="12"/>
  <c r="A563" i="12"/>
  <c r="A551" i="12"/>
  <c r="A539" i="12"/>
  <c r="A527" i="12"/>
  <c r="A515" i="12"/>
  <c r="A503" i="12"/>
  <c r="A491" i="12"/>
  <c r="A479" i="12"/>
  <c r="A467" i="12"/>
  <c r="A455" i="12"/>
  <c r="A443" i="12"/>
  <c r="A431" i="12"/>
  <c r="A419" i="12"/>
  <c r="A407" i="12"/>
  <c r="A395" i="12"/>
  <c r="A383" i="12"/>
  <c r="A371" i="12"/>
  <c r="A359" i="12"/>
  <c r="A347" i="12"/>
  <c r="A335" i="12"/>
  <c r="A323" i="12"/>
  <c r="A311" i="12"/>
  <c r="A299" i="12"/>
  <c r="A287" i="12"/>
  <c r="A275" i="12"/>
  <c r="A263" i="12"/>
  <c r="A251" i="12"/>
  <c r="A239" i="12"/>
  <c r="A227" i="12"/>
  <c r="A215" i="12"/>
  <c r="A203" i="12"/>
  <c r="A191" i="12"/>
  <c r="A179" i="12"/>
  <c r="A167" i="12"/>
  <c r="A155" i="12"/>
  <c r="A143" i="12"/>
  <c r="A131" i="12"/>
  <c r="A119" i="12"/>
  <c r="A107" i="12"/>
  <c r="A95" i="12"/>
  <c r="A83" i="12"/>
  <c r="A71" i="12"/>
  <c r="A59" i="12"/>
  <c r="A47" i="12"/>
  <c r="A35" i="12"/>
  <c r="A23" i="12"/>
  <c r="A11" i="12"/>
  <c r="A1498" i="12"/>
  <c r="A1486" i="12"/>
  <c r="A1474" i="12"/>
  <c r="A1462" i="12"/>
  <c r="A1450" i="12"/>
  <c r="A1438" i="12"/>
  <c r="A1426" i="12"/>
  <c r="A1414" i="12"/>
  <c r="A1402" i="12"/>
  <c r="A1390" i="12"/>
  <c r="A1378" i="12"/>
  <c r="A1366" i="12"/>
  <c r="A1354" i="12"/>
  <c r="A1342" i="12"/>
  <c r="A1330" i="12"/>
  <c r="A1318" i="12"/>
  <c r="A1306" i="12"/>
  <c r="A1294" i="12"/>
  <c r="A1282" i="12"/>
  <c r="A1270" i="12"/>
  <c r="A1258" i="12"/>
  <c r="A1246" i="12"/>
  <c r="A1234" i="12"/>
  <c r="A1222" i="12"/>
  <c r="A1210" i="12"/>
  <c r="A1198" i="12"/>
  <c r="A1186" i="12"/>
  <c r="A1174" i="12"/>
  <c r="A1162" i="12"/>
  <c r="A1150" i="12"/>
  <c r="A1138" i="12"/>
  <c r="A1126" i="12"/>
  <c r="A1114" i="12"/>
  <c r="A1102" i="12"/>
  <c r="A1090" i="12"/>
  <c r="A1078" i="12"/>
  <c r="A1066" i="12"/>
  <c r="A1054" i="12"/>
  <c r="A1042" i="12"/>
  <c r="A1030" i="12"/>
  <c r="A1018" i="12"/>
  <c r="A1006" i="12"/>
  <c r="A994" i="12"/>
  <c r="A982" i="12"/>
  <c r="A970" i="12"/>
  <c r="A958" i="12"/>
  <c r="A946" i="12"/>
  <c r="A934" i="12"/>
  <c r="A922" i="12"/>
  <c r="A910" i="12"/>
  <c r="A898" i="12"/>
  <c r="A886" i="12"/>
  <c r="A874" i="12"/>
  <c r="A862" i="12"/>
  <c r="A850" i="12"/>
  <c r="A838" i="12"/>
  <c r="A826" i="12"/>
  <c r="A814" i="12"/>
  <c r="A802" i="12"/>
  <c r="A790" i="12"/>
  <c r="A778" i="12"/>
  <c r="A766" i="12"/>
  <c r="A754" i="12"/>
  <c r="A742" i="12"/>
  <c r="A730" i="12"/>
  <c r="A718" i="12"/>
  <c r="A706" i="12"/>
  <c r="A694" i="12"/>
  <c r="A682" i="12"/>
  <c r="A670" i="12"/>
  <c r="A658" i="12"/>
  <c r="A646" i="12"/>
  <c r="A634" i="12"/>
  <c r="A622" i="12"/>
  <c r="A610" i="12"/>
  <c r="A598" i="12"/>
  <c r="A586" i="12"/>
  <c r="A574" i="12"/>
  <c r="A562" i="12"/>
  <c r="A550" i="12"/>
  <c r="A538" i="12"/>
  <c r="A526" i="12"/>
  <c r="A514" i="12"/>
  <c r="A502" i="12"/>
  <c r="A490" i="12"/>
  <c r="A478" i="12"/>
  <c r="A466" i="12"/>
  <c r="A454" i="12"/>
  <c r="A442" i="12"/>
  <c r="A430" i="12"/>
  <c r="A418" i="12"/>
  <c r="A406" i="12"/>
  <c r="A394" i="12"/>
  <c r="A382" i="12"/>
  <c r="A370" i="12"/>
  <c r="A358" i="12"/>
  <c r="A346" i="12"/>
  <c r="A334" i="12"/>
  <c r="A322" i="12"/>
  <c r="A310" i="12"/>
  <c r="A298" i="12"/>
  <c r="A286" i="12"/>
  <c r="A274" i="12"/>
  <c r="A262" i="12"/>
  <c r="A250" i="12"/>
  <c r="A238" i="12"/>
  <c r="A226" i="12"/>
  <c r="A214" i="12"/>
  <c r="A202" i="12"/>
  <c r="A190" i="12"/>
  <c r="A178" i="12"/>
  <c r="A166" i="12"/>
  <c r="A154" i="12"/>
  <c r="A142" i="12"/>
  <c r="A130" i="12"/>
  <c r="A118" i="12"/>
  <c r="A106" i="12"/>
  <c r="A94" i="12"/>
  <c r="A82" i="12"/>
  <c r="A70" i="12"/>
  <c r="A58" i="12"/>
  <c r="A46" i="12"/>
  <c r="A34" i="12"/>
  <c r="A22" i="12"/>
  <c r="A10" i="12"/>
  <c r="A1497" i="12"/>
  <c r="A1485" i="12"/>
  <c r="A1473" i="12"/>
  <c r="A1461" i="12"/>
  <c r="A1449" i="12"/>
  <c r="A1437" i="12"/>
  <c r="A1425" i="12"/>
  <c r="A1413" i="12"/>
  <c r="A1401" i="12"/>
  <c r="A1389" i="12"/>
  <c r="A1377" i="12"/>
  <c r="A1365" i="12"/>
  <c r="A1353" i="12"/>
  <c r="A1341" i="12"/>
  <c r="A1329" i="12"/>
  <c r="A1317" i="12"/>
  <c r="A1305" i="12"/>
  <c r="A1293" i="12"/>
  <c r="A1281" i="12"/>
  <c r="A1269" i="12"/>
  <c r="A1257" i="12"/>
  <c r="A1245" i="12"/>
  <c r="A1233" i="12"/>
  <c r="A1221" i="12"/>
  <c r="A1209" i="12"/>
  <c r="A1197" i="12"/>
  <c r="A1185" i="12"/>
  <c r="A1173" i="12"/>
  <c r="A1161" i="12"/>
  <c r="A1149" i="12"/>
  <c r="A1137" i="12"/>
  <c r="A1125" i="12"/>
  <c r="A1113" i="12"/>
  <c r="A1101" i="12"/>
  <c r="A1089" i="12"/>
  <c r="A1077" i="12"/>
  <c r="A1065" i="12"/>
  <c r="A1053" i="12"/>
  <c r="A1041" i="12"/>
  <c r="A1029" i="12"/>
  <c r="A1017" i="12"/>
  <c r="A1005" i="12"/>
  <c r="A993" i="12"/>
  <c r="A981" i="12"/>
  <c r="A969" i="12"/>
  <c r="A957" i="12"/>
  <c r="A945" i="12"/>
  <c r="A933" i="12"/>
  <c r="A921" i="12"/>
  <c r="A909" i="12"/>
  <c r="A897" i="12"/>
  <c r="A885" i="12"/>
  <c r="A873" i="12"/>
  <c r="A861" i="12"/>
  <c r="A849" i="12"/>
  <c r="A837" i="12"/>
  <c r="A825" i="12"/>
  <c r="A813" i="12"/>
  <c r="A801" i="12"/>
  <c r="A789" i="12"/>
  <c r="A777" i="12"/>
  <c r="A765" i="12"/>
  <c r="A753" i="12"/>
  <c r="A741" i="12"/>
  <c r="A729" i="12"/>
  <c r="A717" i="12"/>
  <c r="A705" i="12"/>
  <c r="A693" i="12"/>
  <c r="A681" i="12"/>
  <c r="A669" i="12"/>
  <c r="A657" i="12"/>
  <c r="A645" i="12"/>
  <c r="A633" i="12"/>
  <c r="A621" i="12"/>
  <c r="A609" i="12"/>
  <c r="A597" i="12"/>
  <c r="A585" i="12"/>
  <c r="A573" i="12"/>
  <c r="A561" i="12"/>
  <c r="A549" i="12"/>
  <c r="A537" i="12"/>
  <c r="A525" i="12"/>
  <c r="A513" i="12"/>
  <c r="A501" i="12"/>
  <c r="A489" i="12"/>
  <c r="A477" i="12"/>
  <c r="A465" i="12"/>
  <c r="A453" i="12"/>
  <c r="A441" i="12"/>
  <c r="A429" i="12"/>
  <c r="A417" i="12"/>
  <c r="A405" i="12"/>
  <c r="A393" i="12"/>
  <c r="A381" i="12"/>
  <c r="A369" i="12"/>
  <c r="A357" i="12"/>
  <c r="A345" i="12"/>
  <c r="A333" i="12"/>
  <c r="A321" i="12"/>
  <c r="A309" i="12"/>
  <c r="A297" i="12"/>
  <c r="A285" i="12"/>
  <c r="A273" i="12"/>
  <c r="A261" i="12"/>
  <c r="A249" i="12"/>
  <c r="A237" i="12"/>
  <c r="A225" i="12"/>
  <c r="A213" i="12"/>
  <c r="A201" i="12"/>
  <c r="A189" i="12"/>
  <c r="A177" i="12"/>
  <c r="A165" i="12"/>
  <c r="A153" i="12"/>
  <c r="A141" i="12"/>
  <c r="A129" i="12"/>
  <c r="A117" i="12"/>
  <c r="A105" i="12"/>
  <c r="A93" i="12"/>
  <c r="A81" i="12"/>
  <c r="A69" i="12"/>
  <c r="A57" i="12"/>
  <c r="A45" i="12"/>
  <c r="A33" i="12"/>
  <c r="A21" i="12"/>
  <c r="A9" i="12"/>
  <c r="A1472" i="12"/>
  <c r="A1460" i="12"/>
  <c r="A1448" i="12"/>
  <c r="A1436" i="12"/>
  <c r="A1424" i="12"/>
  <c r="A1412" i="12"/>
  <c r="A1400" i="12"/>
  <c r="A1388" i="12"/>
  <c r="A1376" i="12"/>
  <c r="A1364" i="12"/>
  <c r="A1352" i="12"/>
  <c r="A1340" i="12"/>
  <c r="A1328" i="12"/>
  <c r="A1316" i="12"/>
  <c r="A1304" i="12"/>
  <c r="A1292" i="12"/>
  <c r="A1280" i="12"/>
  <c r="A1268" i="12"/>
  <c r="A1256" i="12"/>
  <c r="A1244" i="12"/>
  <c r="A1232" i="12"/>
  <c r="A1220" i="12"/>
  <c r="A1208" i="12"/>
  <c r="A1196" i="12"/>
  <c r="A1184" i="12"/>
  <c r="A1172" i="12"/>
  <c r="A1160" i="12"/>
  <c r="A1148" i="12"/>
  <c r="A1136" i="12"/>
  <c r="A1124" i="12"/>
  <c r="A1112" i="12"/>
  <c r="A1100" i="12"/>
  <c r="A1088" i="12"/>
  <c r="A1076" i="12"/>
  <c r="A1064" i="12"/>
  <c r="A1052" i="12"/>
  <c r="A1040" i="12"/>
  <c r="A1028" i="12"/>
  <c r="A1016" i="12"/>
  <c r="A1004" i="12"/>
  <c r="A992" i="12"/>
  <c r="A980" i="12"/>
  <c r="A968" i="12"/>
  <c r="A956" i="12"/>
  <c r="A944" i="12"/>
  <c r="A932" i="12"/>
  <c r="A920" i="12"/>
  <c r="A908" i="12"/>
  <c r="A896" i="12"/>
  <c r="A884" i="12"/>
  <c r="A872" i="12"/>
  <c r="A860" i="12"/>
  <c r="A848" i="12"/>
  <c r="A836" i="12"/>
  <c r="A824" i="12"/>
  <c r="A812" i="12"/>
  <c r="A800" i="12"/>
  <c r="A788" i="12"/>
  <c r="A776" i="12"/>
  <c r="A764" i="12"/>
  <c r="A752" i="12"/>
  <c r="A740" i="12"/>
  <c r="A728" i="12"/>
  <c r="A716" i="12"/>
  <c r="A704" i="12"/>
  <c r="A692" i="12"/>
  <c r="A680" i="12"/>
  <c r="A668" i="12"/>
  <c r="A656" i="12"/>
  <c r="A644" i="12"/>
  <c r="A632" i="12"/>
  <c r="A620" i="12"/>
  <c r="A608" i="12"/>
  <c r="A596" i="12"/>
  <c r="A584" i="12"/>
  <c r="A572" i="12"/>
  <c r="A560" i="12"/>
  <c r="A548" i="12"/>
  <c r="A536" i="12"/>
  <c r="A524" i="12"/>
  <c r="A512" i="12"/>
  <c r="A500" i="12"/>
  <c r="A488" i="12"/>
  <c r="A476" i="12"/>
  <c r="A464" i="12"/>
  <c r="A452" i="12"/>
  <c r="A440" i="12"/>
  <c r="A428" i="12"/>
  <c r="A416" i="12"/>
  <c r="A404" i="12"/>
  <c r="A392" i="12"/>
  <c r="A380" i="12"/>
  <c r="A368" i="12"/>
  <c r="A356" i="12"/>
  <c r="A344" i="12"/>
  <c r="A332" i="12"/>
  <c r="A320" i="12"/>
  <c r="A308" i="12"/>
  <c r="A296" i="12"/>
  <c r="A284" i="12"/>
  <c r="A272" i="12"/>
  <c r="A260" i="12"/>
  <c r="A248" i="12"/>
  <c r="A236" i="12"/>
  <c r="A224" i="12"/>
  <c r="A212" i="12"/>
  <c r="A200" i="12"/>
  <c r="A188" i="12"/>
  <c r="A176" i="12"/>
  <c r="A164" i="12"/>
  <c r="A152" i="12"/>
  <c r="A140" i="12"/>
  <c r="A128" i="12"/>
  <c r="A116" i="12"/>
  <c r="A104" i="12"/>
  <c r="A92" i="12"/>
  <c r="A80" i="12"/>
  <c r="A68" i="12"/>
  <c r="A56" i="12"/>
  <c r="A44" i="12"/>
  <c r="A32" i="12"/>
  <c r="A20" i="12"/>
  <c r="A8" i="12"/>
  <c r="A1483" i="12"/>
  <c r="A1471" i="12"/>
  <c r="A1459" i="12"/>
  <c r="A1447" i="12"/>
  <c r="A1435" i="12"/>
  <c r="A1423" i="12"/>
  <c r="A1411" i="12"/>
  <c r="A1399" i="12"/>
  <c r="A1387" i="12"/>
  <c r="A1375" i="12"/>
  <c r="A1363" i="12"/>
  <c r="A1351" i="12"/>
  <c r="A1339" i="12"/>
  <c r="A1327" i="12"/>
  <c r="A1315" i="12"/>
  <c r="A1303" i="12"/>
  <c r="A1291" i="12"/>
  <c r="A1279" i="12"/>
  <c r="A1267" i="12"/>
  <c r="A1255" i="12"/>
  <c r="A1243" i="12"/>
  <c r="A1231" i="12"/>
  <c r="A1219" i="12"/>
  <c r="A1207" i="12"/>
  <c r="A1195" i="12"/>
  <c r="A1183" i="12"/>
  <c r="A1171" i="12"/>
  <c r="A1159" i="12"/>
  <c r="A1147" i="12"/>
  <c r="A1135" i="12"/>
  <c r="A1123" i="12"/>
  <c r="A1111" i="12"/>
  <c r="A1099" i="12"/>
  <c r="A1087" i="12"/>
  <c r="A1075" i="12"/>
  <c r="A1063" i="12"/>
  <c r="A1051" i="12"/>
  <c r="A1039" i="12"/>
  <c r="A1027" i="12"/>
  <c r="A1015" i="12"/>
  <c r="A1003" i="12"/>
  <c r="A991" i="12"/>
  <c r="A979" i="12"/>
  <c r="A967" i="12"/>
  <c r="A955" i="12"/>
  <c r="A943" i="12"/>
  <c r="A931" i="12"/>
  <c r="A919" i="12"/>
  <c r="A907" i="12"/>
  <c r="A895" i="12"/>
  <c r="A883" i="12"/>
  <c r="A871" i="12"/>
  <c r="A859" i="12"/>
  <c r="A847" i="12"/>
  <c r="A835" i="12"/>
  <c r="A823" i="12"/>
  <c r="A811" i="12"/>
  <c r="A799" i="12"/>
  <c r="A787" i="12"/>
  <c r="A775" i="12"/>
  <c r="A763" i="12"/>
  <c r="A751" i="12"/>
  <c r="A739" i="12"/>
  <c r="A727" i="12"/>
  <c r="A715" i="12"/>
  <c r="A703" i="12"/>
  <c r="A691" i="12"/>
  <c r="A679" i="12"/>
  <c r="A667" i="12"/>
  <c r="A655" i="12"/>
  <c r="A643" i="12"/>
  <c r="A631" i="12"/>
  <c r="A619" i="12"/>
  <c r="A607" i="12"/>
  <c r="A595" i="12"/>
  <c r="A583" i="12"/>
  <c r="A571" i="12"/>
  <c r="A559" i="12"/>
  <c r="A547" i="12"/>
  <c r="A535" i="12"/>
  <c r="A523" i="12"/>
  <c r="A511" i="12"/>
  <c r="A499" i="12"/>
  <c r="A487" i="12"/>
  <c r="A475" i="12"/>
  <c r="A463" i="12"/>
  <c r="A451" i="12"/>
  <c r="A439" i="12"/>
  <c r="A427" i="12"/>
  <c r="A415" i="12"/>
  <c r="A403" i="12"/>
  <c r="A391" i="12"/>
  <c r="A379" i="12"/>
  <c r="A367" i="12"/>
  <c r="A355" i="12"/>
  <c r="A343" i="12"/>
  <c r="A331" i="12"/>
  <c r="A319" i="12"/>
  <c r="A307" i="12"/>
  <c r="A295" i="12"/>
  <c r="A283" i="12"/>
  <c r="A271" i="12"/>
  <c r="A259" i="12"/>
  <c r="A247" i="12"/>
  <c r="A235" i="12"/>
  <c r="A223" i="12"/>
  <c r="A211" i="12"/>
  <c r="A199" i="12"/>
  <c r="A187" i="12"/>
  <c r="A175" i="12"/>
  <c r="A163" i="12"/>
  <c r="A151" i="12"/>
  <c r="A139" i="12"/>
  <c r="A127" i="12"/>
  <c r="A115" i="12"/>
  <c r="A103" i="12"/>
  <c r="A91" i="12"/>
  <c r="A79" i="12"/>
  <c r="A67" i="12"/>
  <c r="A55" i="12"/>
  <c r="A43" i="12"/>
  <c r="A31" i="12"/>
  <c r="A19" i="12"/>
  <c r="A7" i="12"/>
  <c r="AK6" i="11"/>
  <c r="AK9" i="11"/>
  <c r="AK13" i="11"/>
  <c r="AK12" i="11"/>
  <c r="AK10" i="11"/>
  <c r="AK8" i="11"/>
  <c r="AK14" i="11"/>
  <c r="AK11" i="11"/>
  <c r="AK7" i="11"/>
  <c r="AK230" i="11"/>
  <c r="AK158" i="11"/>
  <c r="AK146" i="11"/>
  <c r="AK134" i="11"/>
  <c r="AK122" i="11"/>
  <c r="AK110" i="11"/>
  <c r="AK98" i="11"/>
  <c r="AK86" i="11"/>
  <c r="AK74" i="11"/>
  <c r="AK62" i="11"/>
  <c r="AK50" i="11"/>
  <c r="AK38" i="11"/>
  <c r="AK26" i="11"/>
  <c r="AK194" i="11"/>
  <c r="AK229" i="11"/>
  <c r="AK121" i="11"/>
  <c r="AK228" i="11"/>
  <c r="AK108" i="11"/>
  <c r="AK96" i="11"/>
  <c r="AK84" i="11"/>
  <c r="AK72" i="11"/>
  <c r="AK60" i="11"/>
  <c r="AK48" i="11"/>
  <c r="AK36" i="11"/>
  <c r="AK24" i="11"/>
  <c r="AK302" i="11"/>
  <c r="AK182" i="11"/>
  <c r="AK145" i="11"/>
  <c r="AK25" i="11"/>
  <c r="AK216" i="11"/>
  <c r="AK275" i="11"/>
  <c r="AK179" i="11"/>
  <c r="AK167" i="11"/>
  <c r="AK155" i="11"/>
  <c r="AK143" i="11"/>
  <c r="AK131" i="11"/>
  <c r="AK119" i="11"/>
  <c r="AK107" i="11"/>
  <c r="AK95" i="11"/>
  <c r="AK83" i="11"/>
  <c r="AK71" i="11"/>
  <c r="AK59" i="11"/>
  <c r="AK47" i="11"/>
  <c r="AK35" i="11"/>
  <c r="AK23" i="11"/>
  <c r="AK266" i="11"/>
  <c r="AK241" i="11"/>
  <c r="AK37" i="11"/>
  <c r="AK252" i="11"/>
  <c r="AK192" i="11"/>
  <c r="AK287" i="11"/>
  <c r="AK286" i="11"/>
  <c r="AK202" i="11"/>
  <c r="AK190" i="11"/>
  <c r="AK178" i="11"/>
  <c r="AK166" i="11"/>
  <c r="AK154" i="11"/>
  <c r="AK142" i="11"/>
  <c r="AK130" i="11"/>
  <c r="AK118" i="11"/>
  <c r="AK106" i="11"/>
  <c r="AK94" i="11"/>
  <c r="AK82" i="11"/>
  <c r="AK70" i="11"/>
  <c r="AK58" i="11"/>
  <c r="AK46" i="11"/>
  <c r="AK34" i="11"/>
  <c r="AK22" i="11"/>
  <c r="AK278" i="11"/>
  <c r="AK289" i="11"/>
  <c r="AK157" i="11"/>
  <c r="AK61" i="11"/>
  <c r="AK132" i="11"/>
  <c r="AK263" i="11"/>
  <c r="AK298" i="11"/>
  <c r="AK297" i="11"/>
  <c r="AK213" i="11"/>
  <c r="AK141" i="11"/>
  <c r="AK129" i="11"/>
  <c r="AK117" i="11"/>
  <c r="AK105" i="11"/>
  <c r="AK93" i="11"/>
  <c r="AK81" i="11"/>
  <c r="AK69" i="11"/>
  <c r="AK57" i="11"/>
  <c r="AK45" i="11"/>
  <c r="AK33" i="11"/>
  <c r="AK21" i="11"/>
  <c r="AK218" i="11"/>
  <c r="AK301" i="11"/>
  <c r="AK193" i="11"/>
  <c r="AK97" i="11"/>
  <c r="AK264" i="11"/>
  <c r="AK156" i="11"/>
  <c r="AK203" i="11"/>
  <c r="AK226" i="11"/>
  <c r="AK261" i="11"/>
  <c r="AK177" i="11"/>
  <c r="AK296" i="11"/>
  <c r="AK284" i="11"/>
  <c r="AK272" i="11"/>
  <c r="AK260" i="11"/>
  <c r="AK248" i="11"/>
  <c r="AK236" i="11"/>
  <c r="AK224" i="11"/>
  <c r="AK212" i="11"/>
  <c r="AK200" i="11"/>
  <c r="AK188" i="11"/>
  <c r="AK176" i="11"/>
  <c r="AK164" i="11"/>
  <c r="AK152" i="11"/>
  <c r="AK140" i="11"/>
  <c r="AK128" i="11"/>
  <c r="AK116" i="11"/>
  <c r="AK104" i="11"/>
  <c r="AK92" i="11"/>
  <c r="AK80" i="11"/>
  <c r="AK68" i="11"/>
  <c r="AK56" i="11"/>
  <c r="AK44" i="11"/>
  <c r="AK32" i="11"/>
  <c r="AK20" i="11"/>
  <c r="AK290" i="11"/>
  <c r="AK253" i="11"/>
  <c r="AK49" i="11"/>
  <c r="AK180" i="11"/>
  <c r="AK251" i="11"/>
  <c r="AK262" i="11"/>
  <c r="AK225" i="11"/>
  <c r="AK307" i="11"/>
  <c r="AK211" i="11"/>
  <c r="AK151" i="11"/>
  <c r="AK103" i="11"/>
  <c r="AK79" i="11"/>
  <c r="AK67" i="11"/>
  <c r="AK55" i="11"/>
  <c r="AK43" i="11"/>
  <c r="AK31" i="11"/>
  <c r="AK19" i="11"/>
  <c r="AK170" i="11"/>
  <c r="AK205" i="11"/>
  <c r="AK85" i="11"/>
  <c r="AK276" i="11"/>
  <c r="AK168" i="11"/>
  <c r="AK215" i="11"/>
  <c r="AK238" i="11"/>
  <c r="AK273" i="11"/>
  <c r="AK153" i="11"/>
  <c r="AK259" i="11"/>
  <c r="AK199" i="11"/>
  <c r="AK139" i="11"/>
  <c r="AK294" i="11"/>
  <c r="AK234" i="11"/>
  <c r="AK174" i="11"/>
  <c r="AK150" i="11"/>
  <c r="AK102" i="11"/>
  <c r="AK90" i="11"/>
  <c r="AK78" i="11"/>
  <c r="AK66" i="11"/>
  <c r="AK54" i="11"/>
  <c r="AK42" i="11"/>
  <c r="AK30" i="11"/>
  <c r="AK18" i="11"/>
  <c r="AK254" i="11"/>
  <c r="AK277" i="11"/>
  <c r="AK169" i="11"/>
  <c r="AK109" i="11"/>
  <c r="AK240" i="11"/>
  <c r="AK120" i="11"/>
  <c r="AK227" i="11"/>
  <c r="AK214" i="11"/>
  <c r="AK237" i="11"/>
  <c r="AK165" i="11"/>
  <c r="AK283" i="11"/>
  <c r="AK235" i="11"/>
  <c r="AK163" i="11"/>
  <c r="AK91" i="11"/>
  <c r="AK270" i="11"/>
  <c r="AK210" i="11"/>
  <c r="AK114" i="11"/>
  <c r="AK305" i="11"/>
  <c r="AK293" i="11"/>
  <c r="AK281" i="11"/>
  <c r="AK269" i="11"/>
  <c r="AK257" i="11"/>
  <c r="AK245" i="11"/>
  <c r="AK233" i="11"/>
  <c r="AK221" i="11"/>
  <c r="AK209" i="11"/>
  <c r="AK197" i="11"/>
  <c r="AK185" i="11"/>
  <c r="AK173" i="11"/>
  <c r="AK161" i="11"/>
  <c r="AK149" i="11"/>
  <c r="AK137" i="11"/>
  <c r="AK125" i="11"/>
  <c r="AK113" i="11"/>
  <c r="AK101" i="11"/>
  <c r="AK89" i="11"/>
  <c r="AK77" i="11"/>
  <c r="AK65" i="11"/>
  <c r="AK53" i="11"/>
  <c r="AK41" i="11"/>
  <c r="AK29" i="11"/>
  <c r="AK17" i="11"/>
  <c r="AK242" i="11"/>
  <c r="AK217" i="11"/>
  <c r="AK73" i="11"/>
  <c r="AK288" i="11"/>
  <c r="AK204" i="11"/>
  <c r="AK299" i="11"/>
  <c r="AK191" i="11"/>
  <c r="AK250" i="11"/>
  <c r="AK249" i="11"/>
  <c r="AK189" i="11"/>
  <c r="AK295" i="11"/>
  <c r="AK247" i="11"/>
  <c r="AK187" i="11"/>
  <c r="AK127" i="11"/>
  <c r="AK282" i="11"/>
  <c r="AK246" i="11"/>
  <c r="AK198" i="11"/>
  <c r="AK162" i="11"/>
  <c r="AK126" i="11"/>
  <c r="AK292" i="11"/>
  <c r="AK280" i="11"/>
  <c r="AK268" i="11"/>
  <c r="AK256" i="11"/>
  <c r="AK244" i="11"/>
  <c r="AK232" i="11"/>
  <c r="AK220" i="11"/>
  <c r="AK208" i="11"/>
  <c r="AK196" i="11"/>
  <c r="AK184" i="11"/>
  <c r="AK172" i="11"/>
  <c r="AK160" i="11"/>
  <c r="AK148" i="11"/>
  <c r="AK136" i="11"/>
  <c r="AK124" i="11"/>
  <c r="AK112" i="11"/>
  <c r="AK100" i="11"/>
  <c r="AK88" i="11"/>
  <c r="AK76" i="11"/>
  <c r="AK64" i="11"/>
  <c r="AK52" i="11"/>
  <c r="AK40" i="11"/>
  <c r="AK28" i="11"/>
  <c r="AK16" i="11"/>
  <c r="AK206" i="11"/>
  <c r="AK265" i="11"/>
  <c r="AK181" i="11"/>
  <c r="AK133" i="11"/>
  <c r="AK300" i="11"/>
  <c r="AK144" i="11"/>
  <c r="AK239" i="11"/>
  <c r="AK274" i="11"/>
  <c r="AK285" i="11"/>
  <c r="AK201" i="11"/>
  <c r="AK308" i="11"/>
  <c r="AK271" i="11"/>
  <c r="AK223" i="11"/>
  <c r="AK175" i="11"/>
  <c r="AK115" i="11"/>
  <c r="AK306" i="11"/>
  <c r="AK258" i="11"/>
  <c r="AK222" i="11"/>
  <c r="AK186" i="11"/>
  <c r="AK138" i="11"/>
  <c r="AK304" i="11"/>
  <c r="AK303" i="11"/>
  <c r="AK291" i="11"/>
  <c r="AK279" i="11"/>
  <c r="AK267" i="11"/>
  <c r="AK255" i="11"/>
  <c r="AK243" i="11"/>
  <c r="AK231" i="11"/>
  <c r="AK219" i="11"/>
  <c r="AK207" i="11"/>
  <c r="AK195" i="11"/>
  <c r="AK183" i="11"/>
  <c r="AK171" i="11"/>
  <c r="AK159" i="11"/>
  <c r="AK147" i="11"/>
  <c r="AK135" i="11"/>
  <c r="AK123" i="11"/>
  <c r="AK111" i="11"/>
  <c r="AK99" i="11"/>
  <c r="AK87" i="11"/>
  <c r="AK75" i="11"/>
  <c r="AK63" i="11"/>
  <c r="AK51" i="11"/>
  <c r="AK39" i="11"/>
  <c r="AK27" i="11"/>
  <c r="AK15" i="11"/>
  <c r="Y6" i="11"/>
  <c r="Y1583" i="11"/>
  <c r="Y1480" i="11"/>
  <c r="Y1462" i="11"/>
  <c r="Y1439" i="11"/>
  <c r="Y1415" i="11"/>
  <c r="Y1391" i="11"/>
  <c r="Y1362" i="11"/>
  <c r="Y1330" i="11"/>
  <c r="Y1278" i="11"/>
  <c r="Y1157" i="11"/>
  <c r="Y1013" i="11"/>
  <c r="Y869" i="11"/>
  <c r="Y725" i="11"/>
  <c r="Y581" i="11"/>
  <c r="Y437" i="11"/>
  <c r="Y293" i="11"/>
  <c r="Y149" i="11"/>
  <c r="Y1559" i="11"/>
  <c r="Y1522" i="11"/>
  <c r="Y1326" i="11"/>
  <c r="Y281" i="11"/>
  <c r="Y1478" i="11"/>
  <c r="Y1360" i="11"/>
  <c r="Y1266" i="11"/>
  <c r="Y1556" i="11"/>
  <c r="Y1506" i="11"/>
  <c r="Y1493" i="11"/>
  <c r="Y1476" i="11"/>
  <c r="Y1456" i="11"/>
  <c r="Y1433" i="11"/>
  <c r="Y1409" i="11"/>
  <c r="Y1385" i="11"/>
  <c r="Y1355" i="11"/>
  <c r="Y1324" i="11"/>
  <c r="Y1265" i="11"/>
  <c r="Y1121" i="11"/>
  <c r="Y977" i="11"/>
  <c r="Y833" i="11"/>
  <c r="Y689" i="11"/>
  <c r="Y545" i="11"/>
  <c r="Y401" i="11"/>
  <c r="Y257" i="11"/>
  <c r="Y113" i="11"/>
  <c r="Y1496" i="11"/>
  <c r="Y1458" i="11"/>
  <c r="Y425" i="11"/>
  <c r="Y1533" i="11"/>
  <c r="Y1386" i="11"/>
  <c r="Y989" i="11"/>
  <c r="Y1544" i="11"/>
  <c r="Y1531" i="11"/>
  <c r="Y1518" i="11"/>
  <c r="Y1505" i="11"/>
  <c r="Y1492" i="11"/>
  <c r="Y1475" i="11"/>
  <c r="Y1455" i="11"/>
  <c r="Y1432" i="11"/>
  <c r="Y1408" i="11"/>
  <c r="Y1384" i="11"/>
  <c r="Y1354" i="11"/>
  <c r="Y1314" i="11"/>
  <c r="Y1253" i="11"/>
  <c r="Y1109" i="11"/>
  <c r="Y965" i="11"/>
  <c r="Y821" i="11"/>
  <c r="Y677" i="11"/>
  <c r="Y533" i="11"/>
  <c r="Y389" i="11"/>
  <c r="Y245" i="11"/>
  <c r="Y101" i="11"/>
  <c r="Y1523" i="11"/>
  <c r="Y1508" i="11"/>
  <c r="Y1277" i="11"/>
  <c r="Y1569" i="11"/>
  <c r="Y125" i="11"/>
  <c r="Y1566" i="11"/>
  <c r="Y1491" i="11"/>
  <c r="Y1474" i="11"/>
  <c r="Y1454" i="11"/>
  <c r="Y1431" i="11"/>
  <c r="Y1407" i="11"/>
  <c r="Y1379" i="11"/>
  <c r="Y1350" i="11"/>
  <c r="Y1313" i="11"/>
  <c r="Y1241" i="11"/>
  <c r="Y1097" i="11"/>
  <c r="Y953" i="11"/>
  <c r="Y809" i="11"/>
  <c r="Y665" i="11"/>
  <c r="Y521" i="11"/>
  <c r="Y377" i="11"/>
  <c r="Y233" i="11"/>
  <c r="Y89" i="11"/>
  <c r="Y1510" i="11"/>
  <c r="Y1558" i="11"/>
  <c r="Y1438" i="11"/>
  <c r="Y857" i="11"/>
  <c r="Y1581" i="11"/>
  <c r="Y1457" i="11"/>
  <c r="Y701" i="11"/>
  <c r="Y1532" i="11"/>
  <c r="Y1578" i="11"/>
  <c r="Y1577" i="11"/>
  <c r="Y1490" i="11"/>
  <c r="Y1427" i="11"/>
  <c r="Y1403" i="11"/>
  <c r="Y1378" i="11"/>
  <c r="Y1349" i="11"/>
  <c r="Y1312" i="11"/>
  <c r="Y1229" i="11"/>
  <c r="Y1085" i="11"/>
  <c r="Y941" i="11"/>
  <c r="Y797" i="11"/>
  <c r="Y653" i="11"/>
  <c r="Y509" i="11"/>
  <c r="Y365" i="11"/>
  <c r="Y221" i="11"/>
  <c r="Y77" i="11"/>
  <c r="Y1547" i="11"/>
  <c r="Y1495" i="11"/>
  <c r="Y1145" i="11"/>
  <c r="Y1507" i="11"/>
  <c r="Y557" i="11"/>
  <c r="Y1519" i="11"/>
  <c r="Y1504" i="11"/>
  <c r="Y1516" i="11"/>
  <c r="Y1564" i="11"/>
  <c r="Y1488" i="11"/>
  <c r="Y1402" i="11"/>
  <c r="Y1374" i="11"/>
  <c r="Y1348" i="11"/>
  <c r="Y1302" i="11"/>
  <c r="Y1217" i="11"/>
  <c r="Y1073" i="11"/>
  <c r="Y929" i="11"/>
  <c r="Y785" i="11"/>
  <c r="Y641" i="11"/>
  <c r="Y497" i="11"/>
  <c r="Y353" i="11"/>
  <c r="Y209" i="11"/>
  <c r="Y65" i="11"/>
  <c r="Y1582" i="11"/>
  <c r="Y1479" i="11"/>
  <c r="Y1001" i="11"/>
  <c r="Y1520" i="11"/>
  <c r="Y269" i="11"/>
  <c r="Y1543" i="11"/>
  <c r="Y1530" i="11"/>
  <c r="Y1541" i="11"/>
  <c r="Y1451" i="11"/>
  <c r="Y1552" i="11"/>
  <c r="Y1502" i="11"/>
  <c r="Y1587" i="11"/>
  <c r="Y1539" i="11"/>
  <c r="Y1527" i="11"/>
  <c r="Y1514" i="11"/>
  <c r="Y1501" i="11"/>
  <c r="Y1487" i="11"/>
  <c r="Y1468" i="11"/>
  <c r="Y1446" i="11"/>
  <c r="Y1422" i="11"/>
  <c r="Y1398" i="11"/>
  <c r="Y1373" i="11"/>
  <c r="Y1342" i="11"/>
  <c r="Y1301" i="11"/>
  <c r="Y1205" i="11"/>
  <c r="Y1061" i="11"/>
  <c r="Y917" i="11"/>
  <c r="Y773" i="11"/>
  <c r="Y629" i="11"/>
  <c r="Y485" i="11"/>
  <c r="Y341" i="11"/>
  <c r="Y197" i="11"/>
  <c r="Y53" i="11"/>
  <c r="Y1535" i="11"/>
  <c r="Y1534" i="11"/>
  <c r="Y1361" i="11"/>
  <c r="Y569" i="11"/>
  <c r="Y1557" i="11"/>
  <c r="Y1410" i="11"/>
  <c r="Y1133" i="11"/>
  <c r="Y1580" i="11"/>
  <c r="Y1555" i="11"/>
  <c r="Y1517" i="11"/>
  <c r="Y1565" i="11"/>
  <c r="Y1503" i="11"/>
  <c r="Y1576" i="11"/>
  <c r="Y1515" i="11"/>
  <c r="Y1469" i="11"/>
  <c r="Y1575" i="11"/>
  <c r="Y1586" i="11"/>
  <c r="Y1550" i="11"/>
  <c r="Y1526" i="11"/>
  <c r="Y1500" i="11"/>
  <c r="Y1486" i="11"/>
  <c r="Y1467" i="11"/>
  <c r="Y1445" i="11"/>
  <c r="Y1421" i="11"/>
  <c r="Y1397" i="11"/>
  <c r="Y1372" i="11"/>
  <c r="Y1338" i="11"/>
  <c r="Y1300" i="11"/>
  <c r="Y1193" i="11"/>
  <c r="Y1049" i="11"/>
  <c r="Y905" i="11"/>
  <c r="Y761" i="11"/>
  <c r="Y617" i="11"/>
  <c r="Y473" i="11"/>
  <c r="Y329" i="11"/>
  <c r="Y185" i="11"/>
  <c r="Y41" i="11"/>
  <c r="Y1570" i="11"/>
  <c r="Y1414" i="11"/>
  <c r="Y137" i="11"/>
  <c r="Y1494" i="11"/>
  <c r="Y1325" i="11"/>
  <c r="Y413" i="11"/>
  <c r="Y1567" i="11"/>
  <c r="Y1554" i="11"/>
  <c r="Y1589" i="11"/>
  <c r="Y1529" i="11"/>
  <c r="Y1588" i="11"/>
  <c r="Y1528" i="11"/>
  <c r="Y1450" i="11"/>
  <c r="Y1563" i="11"/>
  <c r="Y1574" i="11"/>
  <c r="Y1513" i="11"/>
  <c r="Y1585" i="11"/>
  <c r="Y1573" i="11"/>
  <c r="Y1561" i="11"/>
  <c r="Y1549" i="11"/>
  <c r="Y1537" i="11"/>
  <c r="Y1525" i="11"/>
  <c r="Y1512" i="11"/>
  <c r="Y1499" i="11"/>
  <c r="Y1482" i="11"/>
  <c r="Y1466" i="11"/>
  <c r="Y1444" i="11"/>
  <c r="Y1420" i="11"/>
  <c r="Y1396" i="11"/>
  <c r="Y1367" i="11"/>
  <c r="Y1337" i="11"/>
  <c r="Y1290" i="11"/>
  <c r="Y1181" i="11"/>
  <c r="Y1037" i="11"/>
  <c r="Y893" i="11"/>
  <c r="Y749" i="11"/>
  <c r="Y605" i="11"/>
  <c r="Y461" i="11"/>
  <c r="Y317" i="11"/>
  <c r="Y173" i="11"/>
  <c r="Y29" i="11"/>
  <c r="Y1571" i="11"/>
  <c r="Y1546" i="11"/>
  <c r="Y1390" i="11"/>
  <c r="Y713" i="11"/>
  <c r="Y1545" i="11"/>
  <c r="Y1434" i="11"/>
  <c r="Y845" i="11"/>
  <c r="Y1568" i="11"/>
  <c r="Y1579" i="11"/>
  <c r="Y1542" i="11"/>
  <c r="Y1553" i="11"/>
  <c r="Y1470" i="11"/>
  <c r="Y1540" i="11"/>
  <c r="Y1426" i="11"/>
  <c r="Y1551" i="11"/>
  <c r="Y1562" i="11"/>
  <c r="Y1538" i="11"/>
  <c r="Y1584" i="11"/>
  <c r="Y1572" i="11"/>
  <c r="Y1560" i="11"/>
  <c r="Y1548" i="11"/>
  <c r="Y1536" i="11"/>
  <c r="Y1524" i="11"/>
  <c r="Y1511" i="11"/>
  <c r="Y1498" i="11"/>
  <c r="Y1481" i="11"/>
  <c r="Y1463" i="11"/>
  <c r="Y1443" i="11"/>
  <c r="Y1419" i="11"/>
  <c r="Y1395" i="11"/>
  <c r="Y1366" i="11"/>
  <c r="Y1336" i="11"/>
  <c r="Y1289" i="11"/>
  <c r="Y1169" i="11"/>
  <c r="Y1025" i="11"/>
  <c r="Y881" i="11"/>
  <c r="Y737" i="11"/>
  <c r="Y593" i="11"/>
  <c r="Y449" i="11"/>
  <c r="Y305" i="11"/>
  <c r="Y161" i="11"/>
  <c r="Y17" i="11"/>
  <c r="Y1254" i="11"/>
  <c r="Y1242" i="11"/>
  <c r="Y1230" i="11"/>
  <c r="Y1218" i="11"/>
  <c r="Y1206" i="11"/>
  <c r="Y1194" i="11"/>
  <c r="Y1182" i="11"/>
  <c r="Y1170" i="11"/>
  <c r="Y1158" i="11"/>
  <c r="Y1146" i="11"/>
  <c r="Y1134" i="11"/>
  <c r="Y1122" i="11"/>
  <c r="Y1110" i="11"/>
  <c r="Y1098" i="11"/>
  <c r="Y1086" i="11"/>
  <c r="Y1074" i="11"/>
  <c r="Y1062" i="11"/>
  <c r="Y1050" i="11"/>
  <c r="Y1038" i="11"/>
  <c r="Y1026" i="11"/>
  <c r="Y1014" i="11"/>
  <c r="Y1002" i="11"/>
  <c r="Y990" i="11"/>
  <c r="Y978" i="11"/>
  <c r="Y966" i="11"/>
  <c r="Y954" i="11"/>
  <c r="Y942" i="11"/>
  <c r="Y930" i="11"/>
  <c r="Y918" i="11"/>
  <c r="Y906" i="11"/>
  <c r="Y894" i="11"/>
  <c r="Y882" i="11"/>
  <c r="Y870" i="11"/>
  <c r="Y858" i="11"/>
  <c r="Y846" i="11"/>
  <c r="Y834" i="11"/>
  <c r="Y822" i="11"/>
  <c r="Y810" i="11"/>
  <c r="Y798" i="11"/>
  <c r="Y786" i="11"/>
  <c r="Y774" i="11"/>
  <c r="Y762" i="11"/>
  <c r="Y750" i="11"/>
  <c r="Y738" i="11"/>
  <c r="Y726" i="11"/>
  <c r="Y714" i="11"/>
  <c r="Y702" i="11"/>
  <c r="Y690" i="11"/>
  <c r="Y678" i="11"/>
  <c r="Y666" i="11"/>
  <c r="Y654" i="11"/>
  <c r="Y642" i="11"/>
  <c r="Y630" i="11"/>
  <c r="Y618" i="11"/>
  <c r="Y606" i="11"/>
  <c r="Y594" i="11"/>
  <c r="Y582" i="11"/>
  <c r="Y570" i="11"/>
  <c r="Y558" i="11"/>
  <c r="Y546" i="11"/>
  <c r="Y534" i="11"/>
  <c r="Y522" i="11"/>
  <c r="Y510" i="11"/>
  <c r="Y498" i="11"/>
  <c r="Y486" i="11"/>
  <c r="Y474" i="11"/>
  <c r="Y462" i="11"/>
  <c r="Y450" i="11"/>
  <c r="Y438" i="11"/>
  <c r="Y426" i="11"/>
  <c r="Y414" i="11"/>
  <c r="Y402" i="11"/>
  <c r="Y390" i="11"/>
  <c r="Y378" i="11"/>
  <c r="Y366" i="11"/>
  <c r="Y354" i="11"/>
  <c r="Y342" i="11"/>
  <c r="Y330" i="11"/>
  <c r="Y318" i="11"/>
  <c r="Y306" i="11"/>
  <c r="Y294" i="11"/>
  <c r="Y282" i="11"/>
  <c r="Y270" i="11"/>
  <c r="Y258" i="11"/>
  <c r="Y246" i="11"/>
  <c r="Y234" i="11"/>
  <c r="Y222" i="11"/>
  <c r="Y210" i="11"/>
  <c r="Y198" i="11"/>
  <c r="Y186" i="11"/>
  <c r="Y174" i="11"/>
  <c r="Y162" i="11"/>
  <c r="Y150" i="11"/>
  <c r="Y138" i="11"/>
  <c r="Y126" i="11"/>
  <c r="Y114" i="11"/>
  <c r="Y102" i="11"/>
  <c r="Y90" i="11"/>
  <c r="Y78" i="11"/>
  <c r="Y66" i="11"/>
  <c r="Y54" i="11"/>
  <c r="Y42" i="11"/>
  <c r="Y30" i="11"/>
  <c r="Y18" i="11"/>
  <c r="Y1288" i="11"/>
  <c r="Y1276" i="11"/>
  <c r="Y1264" i="11"/>
  <c r="Y1252" i="11"/>
  <c r="Y1240" i="11"/>
  <c r="Y1228" i="11"/>
  <c r="Y1216" i="11"/>
  <c r="Y1204" i="11"/>
  <c r="Y1192" i="11"/>
  <c r="Y1180" i="11"/>
  <c r="Y1168" i="11"/>
  <c r="Y1156" i="11"/>
  <c r="Y1144" i="11"/>
  <c r="Y1132" i="11"/>
  <c r="Y1120" i="11"/>
  <c r="Y1108" i="11"/>
  <c r="Y1096" i="11"/>
  <c r="Y1084" i="11"/>
  <c r="Y1072" i="11"/>
  <c r="Y1060" i="11"/>
  <c r="Y1048" i="11"/>
  <c r="Y1036" i="11"/>
  <c r="Y1024" i="11"/>
  <c r="Y1012" i="11"/>
  <c r="Y1000" i="11"/>
  <c r="Y988" i="11"/>
  <c r="Y976" i="11"/>
  <c r="Y964" i="11"/>
  <c r="Y952" i="11"/>
  <c r="Y940" i="11"/>
  <c r="Y928" i="11"/>
  <c r="Y916" i="11"/>
  <c r="Y904" i="11"/>
  <c r="Y892" i="11"/>
  <c r="Y880" i="11"/>
  <c r="Y868" i="11"/>
  <c r="Y856" i="11"/>
  <c r="Y844" i="11"/>
  <c r="Y832" i="11"/>
  <c r="Y820" i="11"/>
  <c r="Y808" i="11"/>
  <c r="Y796" i="11"/>
  <c r="Y784" i="11"/>
  <c r="Y772" i="11"/>
  <c r="Y760" i="11"/>
  <c r="Y748" i="11"/>
  <c r="Y736" i="11"/>
  <c r="Y724" i="11"/>
  <c r="Y712" i="11"/>
  <c r="Y700" i="11"/>
  <c r="Y688" i="11"/>
  <c r="Y676" i="11"/>
  <c r="Y664" i="11"/>
  <c r="Y652" i="11"/>
  <c r="Y640" i="11"/>
  <c r="Y628" i="11"/>
  <c r="Y616" i="11"/>
  <c r="Y604" i="11"/>
  <c r="Y592" i="11"/>
  <c r="Y580" i="11"/>
  <c r="Y568" i="11"/>
  <c r="Y556" i="11"/>
  <c r="Y544" i="11"/>
  <c r="Y532" i="11"/>
  <c r="Y520" i="11"/>
  <c r="Y508" i="11"/>
  <c r="Y496" i="11"/>
  <c r="Y484" i="11"/>
  <c r="Y472" i="11"/>
  <c r="Y460" i="11"/>
  <c r="Y448" i="11"/>
  <c r="Y436" i="11"/>
  <c r="Y424" i="11"/>
  <c r="Y412" i="11"/>
  <c r="Y400" i="11"/>
  <c r="Y388" i="11"/>
  <c r="Y376" i="11"/>
  <c r="Y364" i="11"/>
  <c r="Y352" i="11"/>
  <c r="Y340" i="11"/>
  <c r="Y328" i="11"/>
  <c r="Y316" i="11"/>
  <c r="Y304" i="11"/>
  <c r="Y292" i="11"/>
  <c r="Y280" i="11"/>
  <c r="Y268" i="11"/>
  <c r="Y256" i="11"/>
  <c r="Y244" i="11"/>
  <c r="Y232" i="11"/>
  <c r="Y220" i="11"/>
  <c r="Y208" i="11"/>
  <c r="Y196" i="11"/>
  <c r="Y184" i="11"/>
  <c r="Y172" i="11"/>
  <c r="Y160" i="11"/>
  <c r="Y148" i="11"/>
  <c r="Y136" i="11"/>
  <c r="Y124" i="11"/>
  <c r="Y112" i="11"/>
  <c r="Y100" i="11"/>
  <c r="Y88" i="11"/>
  <c r="Y76" i="11"/>
  <c r="Y64" i="11"/>
  <c r="Y52" i="11"/>
  <c r="Y40" i="11"/>
  <c r="Y28" i="11"/>
  <c r="Y16" i="11"/>
  <c r="Y1383" i="11"/>
  <c r="Y1371" i="11"/>
  <c r="Y1359" i="11"/>
  <c r="Y1347" i="11"/>
  <c r="Y1335" i="11"/>
  <c r="Y1323" i="11"/>
  <c r="Y1311" i="11"/>
  <c r="Y1299" i="11"/>
  <c r="Y1287" i="11"/>
  <c r="Y1275" i="11"/>
  <c r="Y1263" i="11"/>
  <c r="Y1251" i="11"/>
  <c r="Y1239" i="11"/>
  <c r="Y1227" i="11"/>
  <c r="Y1215" i="11"/>
  <c r="Y1203" i="11"/>
  <c r="Y1191" i="11"/>
  <c r="Y1179" i="11"/>
  <c r="Y1167" i="11"/>
  <c r="Y1155" i="11"/>
  <c r="Y1143" i="11"/>
  <c r="Y1131" i="11"/>
  <c r="Y1119" i="11"/>
  <c r="Y1107" i="11"/>
  <c r="Y1095" i="11"/>
  <c r="Y1083" i="11"/>
  <c r="Y1071" i="11"/>
  <c r="Y1059" i="11"/>
  <c r="Y1047" i="11"/>
  <c r="Y1035" i="11"/>
  <c r="Y1023" i="11"/>
  <c r="Y1011" i="11"/>
  <c r="Y999" i="11"/>
  <c r="Y987" i="11"/>
  <c r="Y975" i="11"/>
  <c r="Y963" i="11"/>
  <c r="Y951" i="11"/>
  <c r="Y939" i="11"/>
  <c r="Y927" i="11"/>
  <c r="Y915" i="11"/>
  <c r="Y903" i="11"/>
  <c r="Y891" i="11"/>
  <c r="Y879" i="11"/>
  <c r="Y867" i="11"/>
  <c r="Y855" i="11"/>
  <c r="Y843" i="11"/>
  <c r="Y831" i="11"/>
  <c r="Y819" i="11"/>
  <c r="Y807" i="11"/>
  <c r="Y795" i="11"/>
  <c r="Y783" i="11"/>
  <c r="Y771" i="11"/>
  <c r="Y759" i="11"/>
  <c r="Y747" i="11"/>
  <c r="Y735" i="11"/>
  <c r="Y723" i="11"/>
  <c r="Y711" i="11"/>
  <c r="Y699" i="11"/>
  <c r="Y687" i="11"/>
  <c r="Y675" i="11"/>
  <c r="Y663" i="11"/>
  <c r="Y651" i="11"/>
  <c r="Y639" i="11"/>
  <c r="Y627" i="11"/>
  <c r="Y615" i="11"/>
  <c r="Y603" i="11"/>
  <c r="Y591" i="11"/>
  <c r="Y579" i="11"/>
  <c r="Y567" i="11"/>
  <c r="Y555" i="11"/>
  <c r="Y543" i="11"/>
  <c r="Y531" i="11"/>
  <c r="Y519" i="11"/>
  <c r="Y507" i="11"/>
  <c r="Y495" i="11"/>
  <c r="Y483" i="11"/>
  <c r="Y471" i="11"/>
  <c r="Y459" i="11"/>
  <c r="Y447" i="11"/>
  <c r="Y435" i="11"/>
  <c r="Y423" i="11"/>
  <c r="Y411" i="11"/>
  <c r="Y399" i="11"/>
  <c r="Y387" i="11"/>
  <c r="Y375" i="11"/>
  <c r="Y363" i="11"/>
  <c r="Y351" i="11"/>
  <c r="Y339" i="11"/>
  <c r="Y327" i="11"/>
  <c r="Y315" i="11"/>
  <c r="Y303" i="11"/>
  <c r="Y291" i="11"/>
  <c r="Y279" i="11"/>
  <c r="Y267" i="11"/>
  <c r="Y255" i="11"/>
  <c r="Y243" i="11"/>
  <c r="Y231" i="11"/>
  <c r="Y219" i="11"/>
  <c r="Y207" i="11"/>
  <c r="Y195" i="11"/>
  <c r="Y183" i="11"/>
  <c r="Y171" i="11"/>
  <c r="Y159" i="11"/>
  <c r="Y147" i="11"/>
  <c r="Y135" i="11"/>
  <c r="Y123" i="11"/>
  <c r="Y111" i="11"/>
  <c r="Y99" i="11"/>
  <c r="Y87" i="11"/>
  <c r="Y75" i="11"/>
  <c r="Y63" i="11"/>
  <c r="Y51" i="11"/>
  <c r="Y39" i="11"/>
  <c r="Y27" i="11"/>
  <c r="Y15" i="11"/>
  <c r="Y1442" i="11"/>
  <c r="Y1430" i="11"/>
  <c r="Y1418" i="11"/>
  <c r="Y1406" i="11"/>
  <c r="Y1394" i="11"/>
  <c r="Y1382" i="11"/>
  <c r="Y1370" i="11"/>
  <c r="Y1358" i="11"/>
  <c r="Y1346" i="11"/>
  <c r="Y1334" i="11"/>
  <c r="Y1322" i="11"/>
  <c r="Y1310" i="11"/>
  <c r="Y1298" i="11"/>
  <c r="Y1286" i="11"/>
  <c r="Y1274" i="11"/>
  <c r="Y1262" i="11"/>
  <c r="Y1250" i="11"/>
  <c r="Y1238" i="11"/>
  <c r="Y1226" i="11"/>
  <c r="Y1214" i="11"/>
  <c r="Y1202" i="11"/>
  <c r="Y1190" i="11"/>
  <c r="Y1178" i="11"/>
  <c r="Y1166" i="11"/>
  <c r="Y1154" i="11"/>
  <c r="Y1142" i="11"/>
  <c r="Y1130" i="11"/>
  <c r="Y1118" i="11"/>
  <c r="Y1106" i="11"/>
  <c r="Y1094" i="11"/>
  <c r="Y1082" i="11"/>
  <c r="Y1070" i="11"/>
  <c r="Y1058" i="11"/>
  <c r="Y1046" i="11"/>
  <c r="Y1034" i="11"/>
  <c r="Y1022" i="11"/>
  <c r="Y1010" i="11"/>
  <c r="Y998" i="11"/>
  <c r="Y986" i="11"/>
  <c r="Y974" i="11"/>
  <c r="Y962" i="11"/>
  <c r="Y950" i="11"/>
  <c r="Y938" i="11"/>
  <c r="Y926" i="11"/>
  <c r="Y914" i="11"/>
  <c r="Y902" i="11"/>
  <c r="Y890" i="11"/>
  <c r="Y878" i="11"/>
  <c r="Y866" i="11"/>
  <c r="Y854" i="11"/>
  <c r="Y842" i="11"/>
  <c r="Y830" i="11"/>
  <c r="Y818" i="11"/>
  <c r="Y806" i="11"/>
  <c r="Y794" i="11"/>
  <c r="Y782" i="11"/>
  <c r="Y770" i="11"/>
  <c r="Y758" i="11"/>
  <c r="Y746" i="11"/>
  <c r="Y734" i="11"/>
  <c r="Y722" i="11"/>
  <c r="Y710" i="11"/>
  <c r="Y698" i="11"/>
  <c r="Y686" i="11"/>
  <c r="Y674" i="11"/>
  <c r="Y662" i="11"/>
  <c r="Y650" i="11"/>
  <c r="Y638" i="11"/>
  <c r="Y626" i="11"/>
  <c r="Y614" i="11"/>
  <c r="Y602" i="11"/>
  <c r="Y590" i="11"/>
  <c r="Y578" i="11"/>
  <c r="Y566" i="11"/>
  <c r="Y554" i="11"/>
  <c r="Y542" i="11"/>
  <c r="Y530" i="11"/>
  <c r="Y518" i="11"/>
  <c r="Y506" i="11"/>
  <c r="Y494" i="11"/>
  <c r="Y482" i="11"/>
  <c r="Y470" i="11"/>
  <c r="Y458" i="11"/>
  <c r="Y446" i="11"/>
  <c r="Y434" i="11"/>
  <c r="Y422" i="11"/>
  <c r="Y410" i="11"/>
  <c r="Y398" i="11"/>
  <c r="Y386" i="11"/>
  <c r="Y374" i="11"/>
  <c r="Y362" i="11"/>
  <c r="Y350" i="11"/>
  <c r="Y338" i="11"/>
  <c r="Y326" i="11"/>
  <c r="Y314" i="11"/>
  <c r="Y302" i="11"/>
  <c r="Y290" i="11"/>
  <c r="Y278" i="11"/>
  <c r="Y266" i="11"/>
  <c r="Y254" i="11"/>
  <c r="Y242" i="11"/>
  <c r="Y230" i="11"/>
  <c r="Y218" i="11"/>
  <c r="Y206" i="11"/>
  <c r="Y194" i="11"/>
  <c r="Y182" i="11"/>
  <c r="Y170" i="11"/>
  <c r="Y158" i="11"/>
  <c r="Y146" i="11"/>
  <c r="Y134" i="11"/>
  <c r="Y122" i="11"/>
  <c r="Y110" i="11"/>
  <c r="Y98" i="11"/>
  <c r="Y86" i="11"/>
  <c r="Y74" i="11"/>
  <c r="Y62" i="11"/>
  <c r="Y50" i="11"/>
  <c r="Y38" i="11"/>
  <c r="Y26" i="11"/>
  <c r="Y14" i="11"/>
  <c r="Y1489" i="11"/>
  <c r="Y1477" i="11"/>
  <c r="Y1465" i="11"/>
  <c r="Y1453" i="11"/>
  <c r="Y1441" i="11"/>
  <c r="Y1429" i="11"/>
  <c r="Y1417" i="11"/>
  <c r="Y1405" i="11"/>
  <c r="Y1393" i="11"/>
  <c r="Y1381" i="11"/>
  <c r="Y1369" i="11"/>
  <c r="Y1357" i="11"/>
  <c r="Y1345" i="11"/>
  <c r="Y1333" i="11"/>
  <c r="Y1321" i="11"/>
  <c r="Y1309" i="11"/>
  <c r="Y1297" i="11"/>
  <c r="Y1285" i="11"/>
  <c r="Y1273" i="11"/>
  <c r="Y1261" i="11"/>
  <c r="Y1249" i="11"/>
  <c r="Y1237" i="11"/>
  <c r="Y1225" i="11"/>
  <c r="Y1213" i="11"/>
  <c r="Y1201" i="11"/>
  <c r="Y1189" i="11"/>
  <c r="Y1177" i="11"/>
  <c r="Y1165" i="11"/>
  <c r="Y1153" i="11"/>
  <c r="Y1141" i="11"/>
  <c r="Y1129" i="11"/>
  <c r="Y1117" i="11"/>
  <c r="Y1105" i="11"/>
  <c r="Y1093" i="11"/>
  <c r="Y1081" i="11"/>
  <c r="Y1069" i="11"/>
  <c r="Y1057" i="11"/>
  <c r="Y1045" i="11"/>
  <c r="Y1033" i="11"/>
  <c r="Y1021" i="11"/>
  <c r="Y1009" i="11"/>
  <c r="Y997" i="11"/>
  <c r="Y985" i="11"/>
  <c r="Y973" i="11"/>
  <c r="Y961" i="11"/>
  <c r="Y949" i="11"/>
  <c r="Y937" i="11"/>
  <c r="Y925" i="11"/>
  <c r="Y913" i="11"/>
  <c r="Y901" i="11"/>
  <c r="Y889" i="11"/>
  <c r="Y877" i="11"/>
  <c r="Y865" i="11"/>
  <c r="Y853" i="11"/>
  <c r="Y841" i="11"/>
  <c r="Y829" i="11"/>
  <c r="Y817" i="11"/>
  <c r="Y805" i="11"/>
  <c r="Y793" i="11"/>
  <c r="Y781" i="11"/>
  <c r="Y769" i="11"/>
  <c r="Y757" i="11"/>
  <c r="Y745" i="11"/>
  <c r="Y733" i="11"/>
  <c r="Y721" i="11"/>
  <c r="Y709" i="11"/>
  <c r="Y697" i="11"/>
  <c r="Y685" i="11"/>
  <c r="Y673" i="11"/>
  <c r="Y661" i="11"/>
  <c r="Y649" i="11"/>
  <c r="Y637" i="11"/>
  <c r="Y625" i="11"/>
  <c r="Y613" i="11"/>
  <c r="Y601" i="11"/>
  <c r="Y589" i="11"/>
  <c r="Y577" i="11"/>
  <c r="Y565" i="11"/>
  <c r="Y553" i="11"/>
  <c r="Y541" i="11"/>
  <c r="Y529" i="11"/>
  <c r="Y517" i="11"/>
  <c r="Y505" i="11"/>
  <c r="Y493" i="11"/>
  <c r="Y481" i="11"/>
  <c r="Y469" i="11"/>
  <c r="Y457" i="11"/>
  <c r="Y445" i="11"/>
  <c r="Y433" i="11"/>
  <c r="Y421" i="11"/>
  <c r="Y409" i="11"/>
  <c r="Y397" i="11"/>
  <c r="Y385" i="11"/>
  <c r="Y373" i="11"/>
  <c r="Y361" i="11"/>
  <c r="Y349" i="11"/>
  <c r="Y337" i="11"/>
  <c r="Y325" i="11"/>
  <c r="Y313" i="11"/>
  <c r="Y301" i="11"/>
  <c r="Y289" i="11"/>
  <c r="Y277" i="11"/>
  <c r="Y265" i="11"/>
  <c r="Y253" i="11"/>
  <c r="Y241" i="11"/>
  <c r="Y229" i="11"/>
  <c r="Y217" i="11"/>
  <c r="Y205" i="11"/>
  <c r="Y193" i="11"/>
  <c r="Y181" i="11"/>
  <c r="Y169" i="11"/>
  <c r="Y157" i="11"/>
  <c r="Y145" i="11"/>
  <c r="Y133" i="11"/>
  <c r="Y121" i="11"/>
  <c r="Y109" i="11"/>
  <c r="Y97" i="11"/>
  <c r="Y85" i="11"/>
  <c r="Y73" i="11"/>
  <c r="Y61" i="11"/>
  <c r="Y49" i="11"/>
  <c r="Y37" i="11"/>
  <c r="Y25" i="11"/>
  <c r="Y13" i="11"/>
  <c r="Y1464" i="11"/>
  <c r="Y1452" i="11"/>
  <c r="Y1440" i="11"/>
  <c r="Y1428" i="11"/>
  <c r="Y1416" i="11"/>
  <c r="Y1404" i="11"/>
  <c r="Y1392" i="11"/>
  <c r="Y1380" i="11"/>
  <c r="Y1368" i="11"/>
  <c r="Y1356" i="11"/>
  <c r="Y1344" i="11"/>
  <c r="Y1332" i="11"/>
  <c r="Y1320" i="11"/>
  <c r="Y1308" i="11"/>
  <c r="Y1296" i="11"/>
  <c r="Y1284" i="11"/>
  <c r="Y1272" i="11"/>
  <c r="Y1260" i="11"/>
  <c r="Y1248" i="11"/>
  <c r="Y1236" i="11"/>
  <c r="Y1224" i="11"/>
  <c r="Y1212" i="11"/>
  <c r="Y1200" i="11"/>
  <c r="Y1188" i="11"/>
  <c r="Y1176" i="11"/>
  <c r="Y1164" i="11"/>
  <c r="Y1152" i="11"/>
  <c r="Y1140" i="11"/>
  <c r="Y1128" i="11"/>
  <c r="Y1116" i="11"/>
  <c r="Y1104" i="11"/>
  <c r="Y1092" i="11"/>
  <c r="Y1080" i="11"/>
  <c r="Y1068" i="11"/>
  <c r="Y1056" i="11"/>
  <c r="Y1044" i="11"/>
  <c r="Y1032" i="11"/>
  <c r="Y1020" i="11"/>
  <c r="Y1008" i="11"/>
  <c r="Y996" i="11"/>
  <c r="Y984" i="11"/>
  <c r="Y972" i="11"/>
  <c r="Y960" i="11"/>
  <c r="Y948" i="11"/>
  <c r="Y936" i="11"/>
  <c r="Y924" i="11"/>
  <c r="Y912" i="11"/>
  <c r="Y900" i="11"/>
  <c r="Y888" i="11"/>
  <c r="Y876" i="11"/>
  <c r="Y864" i="11"/>
  <c r="Y852" i="11"/>
  <c r="Y840" i="11"/>
  <c r="Y828" i="11"/>
  <c r="Y816" i="11"/>
  <c r="Y804" i="11"/>
  <c r="Y792" i="11"/>
  <c r="Y780" i="11"/>
  <c r="Y768" i="11"/>
  <c r="Y756" i="11"/>
  <c r="Y744" i="11"/>
  <c r="Y732" i="11"/>
  <c r="Y720" i="11"/>
  <c r="Y708" i="11"/>
  <c r="Y696" i="11"/>
  <c r="Y684" i="11"/>
  <c r="Y672" i="11"/>
  <c r="Y660" i="11"/>
  <c r="Y648" i="11"/>
  <c r="Y636" i="11"/>
  <c r="Y624" i="11"/>
  <c r="Y612" i="11"/>
  <c r="Y600" i="11"/>
  <c r="Y588" i="11"/>
  <c r="Y576" i="11"/>
  <c r="Y564" i="11"/>
  <c r="Y552" i="11"/>
  <c r="Y540" i="11"/>
  <c r="Y528" i="11"/>
  <c r="Y516" i="11"/>
  <c r="Y504" i="11"/>
  <c r="Y492" i="11"/>
  <c r="Y480" i="11"/>
  <c r="Y468" i="11"/>
  <c r="Y456" i="11"/>
  <c r="Y444" i="11"/>
  <c r="Y432" i="11"/>
  <c r="Y420" i="11"/>
  <c r="Y408" i="11"/>
  <c r="Y396" i="11"/>
  <c r="Y384" i="11"/>
  <c r="Y372" i="11"/>
  <c r="Y360" i="11"/>
  <c r="Y348" i="11"/>
  <c r="Y336" i="11"/>
  <c r="Y324" i="11"/>
  <c r="Y312" i="11"/>
  <c r="Y300" i="11"/>
  <c r="Y288" i="11"/>
  <c r="Y276" i="11"/>
  <c r="Y264" i="11"/>
  <c r="Y252" i="11"/>
  <c r="Y240" i="11"/>
  <c r="Y228" i="11"/>
  <c r="Y216" i="11"/>
  <c r="Y204" i="11"/>
  <c r="Y192" i="11"/>
  <c r="Y180" i="11"/>
  <c r="Y168" i="11"/>
  <c r="Y156" i="11"/>
  <c r="Y144" i="11"/>
  <c r="Y132" i="11"/>
  <c r="Y120" i="11"/>
  <c r="Y108" i="11"/>
  <c r="Y96" i="11"/>
  <c r="Y84" i="11"/>
  <c r="Y72" i="11"/>
  <c r="Y60" i="11"/>
  <c r="Y48" i="11"/>
  <c r="Y36" i="11"/>
  <c r="Y24" i="11"/>
  <c r="Y12" i="11"/>
  <c r="Y1343" i="11"/>
  <c r="Y1331" i="11"/>
  <c r="Y1319" i="11"/>
  <c r="Y1307" i="11"/>
  <c r="Y1295" i="11"/>
  <c r="Y1283" i="11"/>
  <c r="Y1271" i="11"/>
  <c r="Y1259" i="11"/>
  <c r="Y1247" i="11"/>
  <c r="Y1235" i="11"/>
  <c r="Y1223" i="11"/>
  <c r="Y1211" i="11"/>
  <c r="Y1199" i="11"/>
  <c r="Y1187" i="11"/>
  <c r="Y1175" i="11"/>
  <c r="Y1163" i="11"/>
  <c r="Y1151" i="11"/>
  <c r="Y1139" i="11"/>
  <c r="Y1127" i="11"/>
  <c r="Y1115" i="11"/>
  <c r="Y1103" i="11"/>
  <c r="Y1091" i="11"/>
  <c r="Y1079" i="11"/>
  <c r="Y1067" i="11"/>
  <c r="Y1055" i="11"/>
  <c r="Y1043" i="11"/>
  <c r="Y1031" i="11"/>
  <c r="Y1019" i="11"/>
  <c r="Y1007" i="11"/>
  <c r="Y995" i="11"/>
  <c r="Y983" i="11"/>
  <c r="Y971" i="11"/>
  <c r="Y959" i="11"/>
  <c r="Y947" i="11"/>
  <c r="Y935" i="11"/>
  <c r="Y923" i="11"/>
  <c r="Y911" i="11"/>
  <c r="Y899" i="11"/>
  <c r="Y887" i="11"/>
  <c r="Y875" i="11"/>
  <c r="Y863" i="11"/>
  <c r="Y851" i="11"/>
  <c r="Y839" i="11"/>
  <c r="Y827" i="11"/>
  <c r="Y815" i="11"/>
  <c r="Y803" i="11"/>
  <c r="Y791" i="11"/>
  <c r="Y779" i="11"/>
  <c r="Y767" i="11"/>
  <c r="Y755" i="11"/>
  <c r="Y743" i="11"/>
  <c r="Y731" i="11"/>
  <c r="Y719" i="11"/>
  <c r="Y707" i="11"/>
  <c r="Y695" i="11"/>
  <c r="Y683" i="11"/>
  <c r="Y671" i="11"/>
  <c r="Y659" i="11"/>
  <c r="Y647" i="11"/>
  <c r="Y635" i="11"/>
  <c r="Y623" i="11"/>
  <c r="Y611" i="11"/>
  <c r="Y599" i="11"/>
  <c r="Y587" i="11"/>
  <c r="Y575" i="11"/>
  <c r="Y563" i="11"/>
  <c r="Y551" i="11"/>
  <c r="Y539" i="11"/>
  <c r="Y527" i="11"/>
  <c r="Y515" i="11"/>
  <c r="Y503" i="11"/>
  <c r="Y491" i="11"/>
  <c r="Y479" i="11"/>
  <c r="Y467" i="11"/>
  <c r="Y455" i="11"/>
  <c r="Y443" i="11"/>
  <c r="Y431" i="11"/>
  <c r="Y419" i="11"/>
  <c r="Y407" i="11"/>
  <c r="Y395" i="11"/>
  <c r="Y383" i="11"/>
  <c r="Y371" i="11"/>
  <c r="Y359" i="11"/>
  <c r="Y347" i="11"/>
  <c r="Y335" i="11"/>
  <c r="Y323" i="11"/>
  <c r="Y311" i="11"/>
  <c r="Y299" i="11"/>
  <c r="Y287" i="11"/>
  <c r="Y275" i="11"/>
  <c r="Y263" i="11"/>
  <c r="Y251" i="11"/>
  <c r="Y239" i="11"/>
  <c r="Y227" i="11"/>
  <c r="Y215" i="11"/>
  <c r="Y203" i="11"/>
  <c r="Y191" i="11"/>
  <c r="Y179" i="11"/>
  <c r="Y167" i="11"/>
  <c r="Y155" i="11"/>
  <c r="Y143" i="11"/>
  <c r="Y131" i="11"/>
  <c r="Y119" i="11"/>
  <c r="Y107" i="11"/>
  <c r="Y95" i="11"/>
  <c r="Y83" i="11"/>
  <c r="Y71" i="11"/>
  <c r="Y59" i="11"/>
  <c r="Y47" i="11"/>
  <c r="Y35" i="11"/>
  <c r="Y23" i="11"/>
  <c r="Y11" i="11"/>
  <c r="Y1318" i="11"/>
  <c r="Y1306" i="11"/>
  <c r="Y1294" i="11"/>
  <c r="Y1282" i="11"/>
  <c r="Y1270" i="11"/>
  <c r="Y1258" i="11"/>
  <c r="Y1246" i="11"/>
  <c r="Y1234" i="11"/>
  <c r="Y1222" i="11"/>
  <c r="Y1210" i="11"/>
  <c r="Y1198" i="11"/>
  <c r="Y1186" i="11"/>
  <c r="Y1174" i="11"/>
  <c r="Y1162" i="11"/>
  <c r="Y1150" i="11"/>
  <c r="Y1138" i="11"/>
  <c r="Y1126" i="11"/>
  <c r="Y1114" i="11"/>
  <c r="Y1102" i="11"/>
  <c r="Y1090" i="11"/>
  <c r="Y1078" i="11"/>
  <c r="Y1066" i="11"/>
  <c r="Y1054" i="11"/>
  <c r="Y1042" i="11"/>
  <c r="Y1030" i="11"/>
  <c r="Y1018" i="11"/>
  <c r="Y1006" i="11"/>
  <c r="Y994" i="11"/>
  <c r="Y982" i="11"/>
  <c r="Y970" i="11"/>
  <c r="Y958" i="11"/>
  <c r="Y946" i="11"/>
  <c r="Y934" i="11"/>
  <c r="Y922" i="11"/>
  <c r="Y910" i="11"/>
  <c r="Y898" i="11"/>
  <c r="Y886" i="11"/>
  <c r="Y874" i="11"/>
  <c r="Y862" i="11"/>
  <c r="Y850" i="11"/>
  <c r="Y838" i="11"/>
  <c r="Y826" i="11"/>
  <c r="Y814" i="11"/>
  <c r="Y802" i="11"/>
  <c r="Y790" i="11"/>
  <c r="Y778" i="11"/>
  <c r="Y766" i="11"/>
  <c r="Y754" i="11"/>
  <c r="Y742" i="11"/>
  <c r="Y730" i="11"/>
  <c r="Y718" i="11"/>
  <c r="Y706" i="11"/>
  <c r="Y694" i="11"/>
  <c r="Y682" i="11"/>
  <c r="Y670" i="11"/>
  <c r="Y658" i="11"/>
  <c r="Y646" i="11"/>
  <c r="Y634" i="11"/>
  <c r="Y622" i="11"/>
  <c r="Y610" i="11"/>
  <c r="Y598" i="11"/>
  <c r="Y586" i="11"/>
  <c r="Y574" i="11"/>
  <c r="Y562" i="11"/>
  <c r="Y550" i="11"/>
  <c r="Y538" i="11"/>
  <c r="Y526" i="11"/>
  <c r="Y514" i="11"/>
  <c r="Y502" i="11"/>
  <c r="Y490" i="11"/>
  <c r="Y478" i="11"/>
  <c r="Y466" i="11"/>
  <c r="Y454" i="11"/>
  <c r="Y442" i="11"/>
  <c r="Y430" i="11"/>
  <c r="Y418" i="11"/>
  <c r="Y406" i="11"/>
  <c r="Y394" i="11"/>
  <c r="Y382" i="11"/>
  <c r="Y370" i="11"/>
  <c r="Y358" i="11"/>
  <c r="Y346" i="11"/>
  <c r="Y334" i="11"/>
  <c r="Y322" i="11"/>
  <c r="Y310" i="11"/>
  <c r="Y298" i="11"/>
  <c r="Y286" i="11"/>
  <c r="Y274" i="11"/>
  <c r="Y262" i="11"/>
  <c r="Y250" i="11"/>
  <c r="Y238" i="11"/>
  <c r="Y226" i="11"/>
  <c r="Y214" i="11"/>
  <c r="Y202" i="11"/>
  <c r="Y190" i="11"/>
  <c r="Y178" i="11"/>
  <c r="Y166" i="11"/>
  <c r="Y154" i="11"/>
  <c r="Y142" i="11"/>
  <c r="Y130" i="11"/>
  <c r="Y118" i="11"/>
  <c r="Y106" i="11"/>
  <c r="Y94" i="11"/>
  <c r="Y82" i="11"/>
  <c r="Y70" i="11"/>
  <c r="Y58" i="11"/>
  <c r="Y46" i="11"/>
  <c r="Y34" i="11"/>
  <c r="Y22" i="11"/>
  <c r="Y10" i="11"/>
  <c r="Y1521" i="11"/>
  <c r="Y1509" i="11"/>
  <c r="Y1497" i="11"/>
  <c r="Y1485" i="11"/>
  <c r="Y1473" i="11"/>
  <c r="Y1461" i="11"/>
  <c r="Y1449" i="11"/>
  <c r="Y1437" i="11"/>
  <c r="Y1425" i="11"/>
  <c r="Y1413" i="11"/>
  <c r="Y1401" i="11"/>
  <c r="Y1389" i="11"/>
  <c r="Y1377" i="11"/>
  <c r="Y1365" i="11"/>
  <c r="Y1353" i="11"/>
  <c r="Y1341" i="11"/>
  <c r="Y1329" i="11"/>
  <c r="Y1317" i="11"/>
  <c r="Y1305" i="11"/>
  <c r="Y1293" i="11"/>
  <c r="Y1281" i="11"/>
  <c r="Y1269" i="11"/>
  <c r="Y1257" i="11"/>
  <c r="Y1245" i="11"/>
  <c r="Y1233" i="11"/>
  <c r="Y1221" i="11"/>
  <c r="Y1209" i="11"/>
  <c r="Y1197" i="11"/>
  <c r="Y1185" i="11"/>
  <c r="Y1173" i="11"/>
  <c r="Y1161" i="11"/>
  <c r="Y1149" i="11"/>
  <c r="Y1137" i="11"/>
  <c r="Y1125" i="11"/>
  <c r="Y1113" i="11"/>
  <c r="Y1101" i="11"/>
  <c r="Y1089" i="11"/>
  <c r="Y1077" i="11"/>
  <c r="Y1065" i="11"/>
  <c r="Y1053" i="11"/>
  <c r="Y1041" i="11"/>
  <c r="Y1029" i="11"/>
  <c r="Y1017" i="11"/>
  <c r="Y1005" i="11"/>
  <c r="Y993" i="11"/>
  <c r="Y981" i="11"/>
  <c r="Y969" i="11"/>
  <c r="Y957" i="11"/>
  <c r="Y945" i="11"/>
  <c r="Y933" i="11"/>
  <c r="Y921" i="11"/>
  <c r="Y909" i="11"/>
  <c r="Y897" i="11"/>
  <c r="Y885" i="11"/>
  <c r="Y873" i="11"/>
  <c r="Y861" i="11"/>
  <c r="Y849" i="11"/>
  <c r="Y837" i="11"/>
  <c r="Y825" i="11"/>
  <c r="Y813" i="11"/>
  <c r="Y801" i="11"/>
  <c r="Y789" i="11"/>
  <c r="Y777" i="11"/>
  <c r="Y765" i="11"/>
  <c r="Y753" i="11"/>
  <c r="Y741" i="11"/>
  <c r="Y729" i="11"/>
  <c r="Y717" i="11"/>
  <c r="Y705" i="11"/>
  <c r="Y693" i="11"/>
  <c r="Y681" i="11"/>
  <c r="Y669" i="11"/>
  <c r="Y657" i="11"/>
  <c r="Y645" i="11"/>
  <c r="Y633" i="11"/>
  <c r="Y621" i="11"/>
  <c r="Y609" i="11"/>
  <c r="Y597" i="11"/>
  <c r="Y585" i="11"/>
  <c r="Y573" i="11"/>
  <c r="Y561" i="11"/>
  <c r="Y549" i="11"/>
  <c r="Y537" i="11"/>
  <c r="Y525" i="11"/>
  <c r="Y513" i="11"/>
  <c r="Y501" i="11"/>
  <c r="Y489" i="11"/>
  <c r="Y477" i="11"/>
  <c r="Y465" i="11"/>
  <c r="Y453" i="11"/>
  <c r="Y441" i="11"/>
  <c r="Y429" i="11"/>
  <c r="Y417" i="11"/>
  <c r="Y405" i="11"/>
  <c r="Y393" i="11"/>
  <c r="Y381" i="11"/>
  <c r="Y369" i="11"/>
  <c r="Y357" i="11"/>
  <c r="Y345" i="11"/>
  <c r="Y333" i="11"/>
  <c r="Y321" i="11"/>
  <c r="Y309" i="11"/>
  <c r="Y297" i="11"/>
  <c r="Y285" i="11"/>
  <c r="Y273" i="11"/>
  <c r="Y261" i="11"/>
  <c r="Y249" i="11"/>
  <c r="Y237" i="11"/>
  <c r="Y225" i="11"/>
  <c r="Y213" i="11"/>
  <c r="Y201" i="11"/>
  <c r="Y189" i="11"/>
  <c r="Y177" i="11"/>
  <c r="Y165" i="11"/>
  <c r="Y153" i="11"/>
  <c r="Y141" i="11"/>
  <c r="Y129" i="11"/>
  <c r="Y117" i="11"/>
  <c r="Y105" i="11"/>
  <c r="Y93" i="11"/>
  <c r="Y81" i="11"/>
  <c r="Y69" i="11"/>
  <c r="Y57" i="11"/>
  <c r="Y45" i="11"/>
  <c r="Y33" i="11"/>
  <c r="Y21" i="11"/>
  <c r="Y9" i="11"/>
  <c r="Y1484" i="11"/>
  <c r="Y1472" i="11"/>
  <c r="Y1460" i="11"/>
  <c r="Y1448" i="11"/>
  <c r="Y1436" i="11"/>
  <c r="Y1424" i="11"/>
  <c r="Y1412" i="11"/>
  <c r="Y1400" i="11"/>
  <c r="Y1388" i="11"/>
  <c r="Y1376" i="11"/>
  <c r="Y1364" i="11"/>
  <c r="Y1352" i="11"/>
  <c r="Y1340" i="11"/>
  <c r="Y1328" i="11"/>
  <c r="Y1316" i="11"/>
  <c r="Y1304" i="11"/>
  <c r="Y1292" i="11"/>
  <c r="Y1280" i="11"/>
  <c r="Y1268" i="11"/>
  <c r="Y1256" i="11"/>
  <c r="Y1244" i="11"/>
  <c r="Y1232" i="11"/>
  <c r="Y1220" i="11"/>
  <c r="Y1208" i="11"/>
  <c r="Y1196" i="11"/>
  <c r="Y1184" i="11"/>
  <c r="Y1172" i="11"/>
  <c r="Y1160" i="11"/>
  <c r="Y1148" i="11"/>
  <c r="Y1136" i="11"/>
  <c r="Y1124" i="11"/>
  <c r="Y1112" i="11"/>
  <c r="Y1100" i="11"/>
  <c r="Y1088" i="11"/>
  <c r="Y1076" i="11"/>
  <c r="Y1064" i="11"/>
  <c r="Y1052" i="11"/>
  <c r="Y1040" i="11"/>
  <c r="Y1028" i="11"/>
  <c r="Y1016" i="11"/>
  <c r="Y1004" i="11"/>
  <c r="Y992" i="11"/>
  <c r="Y980" i="11"/>
  <c r="Y968" i="11"/>
  <c r="Y956" i="11"/>
  <c r="Y944" i="11"/>
  <c r="Y932" i="11"/>
  <c r="Y920" i="11"/>
  <c r="Y908" i="11"/>
  <c r="Y896" i="11"/>
  <c r="Y884" i="11"/>
  <c r="Y872" i="11"/>
  <c r="Y860" i="11"/>
  <c r="Y848" i="11"/>
  <c r="Y836" i="11"/>
  <c r="Y824" i="11"/>
  <c r="Y812" i="11"/>
  <c r="Y800" i="11"/>
  <c r="Y788" i="11"/>
  <c r="Y776" i="11"/>
  <c r="Y764" i="11"/>
  <c r="Y752" i="11"/>
  <c r="Y740" i="11"/>
  <c r="Y728" i="11"/>
  <c r="Y716" i="11"/>
  <c r="Y704" i="11"/>
  <c r="Y692" i="11"/>
  <c r="Y680" i="11"/>
  <c r="Y668" i="11"/>
  <c r="Y656" i="11"/>
  <c r="Y644" i="11"/>
  <c r="Y632" i="11"/>
  <c r="Y620" i="11"/>
  <c r="Y608" i="11"/>
  <c r="Y596" i="11"/>
  <c r="Y584" i="11"/>
  <c r="Y572" i="11"/>
  <c r="Y560" i="11"/>
  <c r="Y548" i="11"/>
  <c r="Y536" i="11"/>
  <c r="Y524" i="11"/>
  <c r="Y512" i="11"/>
  <c r="Y500" i="11"/>
  <c r="Y488" i="11"/>
  <c r="Y476" i="11"/>
  <c r="Y464" i="11"/>
  <c r="Y452" i="11"/>
  <c r="Y440" i="11"/>
  <c r="Y428" i="11"/>
  <c r="Y416" i="11"/>
  <c r="Y404" i="11"/>
  <c r="Y392" i="11"/>
  <c r="Y380" i="11"/>
  <c r="Y368" i="11"/>
  <c r="Y356" i="11"/>
  <c r="Y344" i="11"/>
  <c r="Y332" i="11"/>
  <c r="Y320" i="11"/>
  <c r="Y308" i="11"/>
  <c r="Y296" i="11"/>
  <c r="Y284" i="11"/>
  <c r="Y272" i="11"/>
  <c r="Y260" i="11"/>
  <c r="Y248" i="11"/>
  <c r="Y236" i="11"/>
  <c r="Y224" i="11"/>
  <c r="Y212" i="11"/>
  <c r="Y200" i="11"/>
  <c r="Y188" i="11"/>
  <c r="Y176" i="11"/>
  <c r="Y164" i="11"/>
  <c r="Y152" i="11"/>
  <c r="Y140" i="11"/>
  <c r="Y128" i="11"/>
  <c r="Y116" i="11"/>
  <c r="Y104" i="11"/>
  <c r="Y92" i="11"/>
  <c r="Y80" i="11"/>
  <c r="Y68" i="11"/>
  <c r="Y56" i="11"/>
  <c r="Y44" i="11"/>
  <c r="Y32" i="11"/>
  <c r="Y20" i="11"/>
  <c r="Y8" i="11"/>
  <c r="Y1483" i="11"/>
  <c r="Y1471" i="11"/>
  <c r="Y1459" i="11"/>
  <c r="Y1447" i="11"/>
  <c r="Y1435" i="11"/>
  <c r="Y1423" i="11"/>
  <c r="Y1411" i="11"/>
  <c r="Y1399" i="11"/>
  <c r="Y1387" i="11"/>
  <c r="Y1375" i="11"/>
  <c r="Y1363" i="11"/>
  <c r="Y1351" i="11"/>
  <c r="Y1339" i="11"/>
  <c r="Y1327" i="11"/>
  <c r="Y1315" i="11"/>
  <c r="Y1303" i="11"/>
  <c r="Y1291" i="11"/>
  <c r="Y1279" i="11"/>
  <c r="Y1267" i="11"/>
  <c r="Y1255" i="11"/>
  <c r="Y1243" i="11"/>
  <c r="Y1231" i="11"/>
  <c r="Y1219" i="11"/>
  <c r="Y1207" i="11"/>
  <c r="Y1195" i="11"/>
  <c r="Y1183" i="11"/>
  <c r="Y1171" i="11"/>
  <c r="Y1159" i="11"/>
  <c r="Y1147" i="11"/>
  <c r="Y1135" i="11"/>
  <c r="Y1123" i="11"/>
  <c r="Y1111" i="11"/>
  <c r="Y1099" i="11"/>
  <c r="Y1087" i="11"/>
  <c r="Y1075" i="11"/>
  <c r="Y1063" i="11"/>
  <c r="Y1051" i="11"/>
  <c r="Y1039" i="11"/>
  <c r="Y1027" i="11"/>
  <c r="Y1015" i="11"/>
  <c r="Y1003" i="11"/>
  <c r="Y991" i="11"/>
  <c r="Y979" i="11"/>
  <c r="Y967" i="11"/>
  <c r="Y955" i="11"/>
  <c r="Y943" i="11"/>
  <c r="Y931" i="11"/>
  <c r="Y919" i="11"/>
  <c r="Y907" i="11"/>
  <c r="Y895" i="11"/>
  <c r="Y883" i="11"/>
  <c r="Y871" i="11"/>
  <c r="Y859" i="11"/>
  <c r="Y847" i="11"/>
  <c r="Y835" i="11"/>
  <c r="Y823" i="11"/>
  <c r="Y811" i="11"/>
  <c r="Y799" i="11"/>
  <c r="Y787" i="11"/>
  <c r="Y775" i="11"/>
  <c r="Y763" i="11"/>
  <c r="Y751" i="11"/>
  <c r="Y739" i="11"/>
  <c r="Y727" i="11"/>
  <c r="Y715" i="11"/>
  <c r="Y703" i="11"/>
  <c r="Y691" i="11"/>
  <c r="Y679" i="11"/>
  <c r="Y667" i="11"/>
  <c r="Y655" i="11"/>
  <c r="Y643" i="11"/>
  <c r="Y631" i="11"/>
  <c r="Y619" i="11"/>
  <c r="Y607" i="11"/>
  <c r="Y595" i="11"/>
  <c r="Y583" i="11"/>
  <c r="Y571" i="11"/>
  <c r="Y559" i="11"/>
  <c r="Y547" i="11"/>
  <c r="Y535" i="11"/>
  <c r="Y523" i="11"/>
  <c r="Y511" i="11"/>
  <c r="Y499" i="11"/>
  <c r="Y487" i="11"/>
  <c r="Y475" i="11"/>
  <c r="Y463" i="11"/>
  <c r="Y451" i="11"/>
  <c r="Y439" i="11"/>
  <c r="Y427" i="11"/>
  <c r="Y415" i="11"/>
  <c r="Y403" i="11"/>
  <c r="Y391" i="11"/>
  <c r="Y379" i="11"/>
  <c r="Y367" i="11"/>
  <c r="Y355" i="11"/>
  <c r="Y343" i="11"/>
  <c r="Y331" i="11"/>
  <c r="Y319" i="11"/>
  <c r="Y307" i="11"/>
  <c r="Y295" i="11"/>
  <c r="Y283" i="11"/>
  <c r="Y271" i="11"/>
  <c r="Y259" i="11"/>
  <c r="Y247" i="11"/>
  <c r="Y235" i="11"/>
  <c r="Y223" i="11"/>
  <c r="Y211" i="11"/>
  <c r="Y199" i="11"/>
  <c r="Y187" i="11"/>
  <c r="Y175" i="11"/>
  <c r="Y163" i="11"/>
  <c r="Y151" i="11"/>
  <c r="Y139" i="11"/>
  <c r="Y127" i="11"/>
  <c r="Y115" i="11"/>
  <c r="Y103" i="11"/>
  <c r="Y91" i="11"/>
  <c r="Y79" i="11"/>
  <c r="Y67" i="11"/>
  <c r="Y55" i="11"/>
  <c r="Y43" i="11"/>
  <c r="Y31" i="11"/>
  <c r="Y19" i="11"/>
  <c r="Y7" i="11"/>
  <c r="M41" i="11"/>
  <c r="M52" i="11"/>
  <c r="M14" i="11"/>
  <c r="M13" i="11"/>
  <c r="M30" i="11"/>
  <c r="M40" i="11"/>
  <c r="M12" i="11"/>
  <c r="M53" i="11"/>
  <c r="M15" i="11"/>
  <c r="M47" i="11"/>
  <c r="M11" i="11"/>
  <c r="M42" i="11"/>
  <c r="M27" i="11"/>
  <c r="M24" i="11"/>
  <c r="M10" i="11"/>
  <c r="M18" i="11"/>
  <c r="M16" i="11"/>
  <c r="M51" i="11"/>
  <c r="M50" i="11"/>
  <c r="M25" i="11"/>
  <c r="M48" i="11"/>
  <c r="M23" i="11"/>
  <c r="M34" i="11"/>
  <c r="M45" i="11"/>
  <c r="M33" i="11"/>
  <c r="M21" i="11"/>
  <c r="M9" i="11"/>
  <c r="M29" i="11"/>
  <c r="M28" i="11"/>
  <c r="M26" i="11"/>
  <c r="M49" i="11"/>
  <c r="M36" i="11"/>
  <c r="M35" i="11"/>
  <c r="M46" i="11"/>
  <c r="M44" i="11"/>
  <c r="M32" i="11"/>
  <c r="M20" i="11"/>
  <c r="M8" i="11"/>
  <c r="M17" i="11"/>
  <c r="M39" i="11"/>
  <c r="M38" i="11"/>
  <c r="M37" i="11"/>
  <c r="M22" i="11"/>
  <c r="M43" i="11"/>
  <c r="M31" i="11"/>
  <c r="M19" i="11"/>
  <c r="M7" i="11"/>
  <c r="A7" i="10"/>
  <c r="N6" i="11"/>
  <c r="Q19" i="1"/>
  <c r="AA16" i="1"/>
  <c r="X16" i="1" s="1" a="1"/>
  <c r="Q18" i="1"/>
  <c r="Q20" i="1"/>
  <c r="L20" i="1"/>
  <c r="C14" i="10"/>
  <c r="AA19" i="1"/>
  <c r="X19" i="1" s="1" a="1"/>
  <c r="N20" i="1"/>
  <c r="O20" i="1" s="1"/>
  <c r="P20" i="1"/>
  <c r="L16" i="1"/>
  <c r="L19" i="1"/>
  <c r="H19" i="1" s="1"/>
  <c r="AA17" i="1"/>
  <c r="V20" i="1"/>
  <c r="AA15" i="1"/>
  <c r="L18" i="1"/>
  <c r="AA20" i="1"/>
  <c r="J19" i="1"/>
  <c r="V16" i="1"/>
  <c r="V19" i="1"/>
  <c r="C10" i="10"/>
  <c r="V17" i="1"/>
  <c r="L17" i="1"/>
  <c r="Q16" i="1"/>
  <c r="Q17" i="1"/>
  <c r="H18" i="1"/>
  <c r="K19" i="1"/>
  <c r="V18" i="1"/>
  <c r="H17" i="1"/>
  <c r="AA18" i="1"/>
  <c r="X18" i="1" s="1" a="1"/>
  <c r="B7" i="11"/>
  <c r="B19" i="11"/>
  <c r="B31" i="11"/>
  <c r="B43" i="11"/>
  <c r="B55" i="11"/>
  <c r="B45" i="11"/>
  <c r="B22" i="11"/>
  <c r="B58" i="11"/>
  <c r="B35" i="11"/>
  <c r="B24" i="11"/>
  <c r="B60" i="11"/>
  <c r="B25" i="11"/>
  <c r="B26" i="11"/>
  <c r="B15" i="11"/>
  <c r="B51" i="11"/>
  <c r="B52" i="11"/>
  <c r="B53" i="11"/>
  <c r="B30" i="11"/>
  <c r="B8" i="11"/>
  <c r="B20" i="11"/>
  <c r="B32" i="11"/>
  <c r="B44" i="11"/>
  <c r="B56" i="11"/>
  <c r="B21" i="11"/>
  <c r="B33" i="11"/>
  <c r="B57" i="11"/>
  <c r="B34" i="11"/>
  <c r="B46" i="11"/>
  <c r="B23" i="11"/>
  <c r="B47" i="11"/>
  <c r="B59" i="11"/>
  <c r="B36" i="11"/>
  <c r="B13" i="11"/>
  <c r="B49" i="11"/>
  <c r="B50" i="11"/>
  <c r="B27" i="11"/>
  <c r="B40" i="11"/>
  <c r="B17" i="11"/>
  <c r="B9" i="11"/>
  <c r="B48" i="11"/>
  <c r="B14" i="11"/>
  <c r="B38" i="11"/>
  <c r="B39" i="11"/>
  <c r="B16" i="11"/>
  <c r="B29" i="11"/>
  <c r="B54" i="11"/>
  <c r="B10" i="11"/>
  <c r="B11" i="11"/>
  <c r="B12" i="11"/>
  <c r="B28" i="11"/>
  <c r="B41" i="11"/>
  <c r="B42" i="11"/>
  <c r="B37" i="11"/>
  <c r="B18" i="11"/>
  <c r="B6" i="11"/>
  <c r="J18" i="1"/>
  <c r="I18" i="1" s="1"/>
  <c r="K17" i="1"/>
  <c r="J17" i="1"/>
  <c r="B2" i="13" l="1"/>
  <c r="B1" i="13"/>
  <c r="AL2" i="12"/>
  <c r="AL1" i="12"/>
  <c r="Z2" i="12"/>
  <c r="Z1" i="12"/>
  <c r="N2" i="12"/>
  <c r="N1" i="12"/>
  <c r="B1" i="12"/>
  <c r="B2" i="12"/>
  <c r="AL1" i="11"/>
  <c r="AL2" i="11"/>
  <c r="Z2" i="11"/>
  <c r="Z1" i="11"/>
  <c r="M6" i="11"/>
  <c r="A18" i="11"/>
  <c r="A37" i="11"/>
  <c r="A42" i="11"/>
  <c r="A41" i="11"/>
  <c r="A28" i="11"/>
  <c r="A12" i="11"/>
  <c r="A11" i="11"/>
  <c r="A10" i="11"/>
  <c r="A54" i="11"/>
  <c r="A29" i="11"/>
  <c r="A16" i="11"/>
  <c r="A39" i="11"/>
  <c r="A38" i="11"/>
  <c r="A14" i="11"/>
  <c r="A48" i="11"/>
  <c r="A9" i="11"/>
  <c r="A17" i="11"/>
  <c r="A40" i="11"/>
  <c r="A27" i="11"/>
  <c r="A50" i="11"/>
  <c r="A49" i="11"/>
  <c r="A13" i="11"/>
  <c r="A36" i="11"/>
  <c r="A59" i="11"/>
  <c r="A47" i="11"/>
  <c r="A23" i="11"/>
  <c r="A46" i="11"/>
  <c r="A34" i="11"/>
  <c r="A57" i="11"/>
  <c r="A33" i="11"/>
  <c r="A21" i="11"/>
  <c r="A56" i="11"/>
  <c r="A44" i="11"/>
  <c r="A32" i="11"/>
  <c r="A20" i="11"/>
  <c r="A8" i="11"/>
  <c r="A30" i="11"/>
  <c r="A53" i="11"/>
  <c r="A52" i="11"/>
  <c r="A51" i="11"/>
  <c r="A15" i="11"/>
  <c r="A26" i="11"/>
  <c r="A25" i="11"/>
  <c r="A60" i="11"/>
  <c r="A24" i="11"/>
  <c r="A35" i="11"/>
  <c r="A58" i="11"/>
  <c r="A22" i="11"/>
  <c r="A45" i="11"/>
  <c r="A55" i="11"/>
  <c r="A43" i="11"/>
  <c r="A31" i="11"/>
  <c r="A19" i="11"/>
  <c r="A7" i="11"/>
  <c r="A6" i="11"/>
  <c r="Z16" i="1"/>
  <c r="Y16" i="1"/>
  <c r="X16" i="1"/>
  <c r="X18" i="1"/>
  <c r="Z18" i="1"/>
  <c r="Y18" i="1"/>
  <c r="X19" i="1"/>
  <c r="Y19" i="1"/>
  <c r="Z19" i="1"/>
  <c r="A14" i="10"/>
  <c r="A10" i="10"/>
  <c r="A53" i="6"/>
  <c r="I17" i="1"/>
  <c r="X17" i="1" a="1"/>
  <c r="N19" i="1"/>
  <c r="W16" i="1"/>
  <c r="S18" i="1"/>
  <c r="W19" i="1"/>
  <c r="G18" i="1"/>
  <c r="C59" i="7"/>
  <c r="C59" i="6"/>
  <c r="H16" i="1"/>
  <c r="X20" i="1" a="1"/>
  <c r="O19" i="1"/>
  <c r="C35" i="6"/>
  <c r="C60" i="6"/>
  <c r="C56" i="6"/>
  <c r="C58" i="6"/>
  <c r="V7" i="1"/>
  <c r="S17" i="1"/>
  <c r="N18" i="1"/>
  <c r="P18" i="1" s="1"/>
  <c r="G17" i="1"/>
  <c r="C36" i="6"/>
  <c r="N17" i="1"/>
  <c r="C32" i="6"/>
  <c r="O18" i="1"/>
  <c r="C57" i="6"/>
  <c r="W18" i="1"/>
  <c r="C33" i="6"/>
  <c r="C34" i="6"/>
  <c r="I19" i="1"/>
  <c r="V15" i="1"/>
  <c r="T17" i="1"/>
  <c r="U17" i="1" s="1"/>
  <c r="R17" i="1"/>
  <c r="N16" i="1"/>
  <c r="P16" i="1" s="1"/>
  <c r="S19" i="1"/>
  <c r="T19" i="1" s="1"/>
  <c r="H20" i="1"/>
  <c r="O17" i="1"/>
  <c r="K18" i="1"/>
  <c r="O16" i="1"/>
  <c r="T18" i="1"/>
  <c r="C61" i="6"/>
  <c r="P17" i="1"/>
  <c r="S20" i="1"/>
  <c r="T20" i="1" s="1"/>
  <c r="X15" i="1" a="1"/>
  <c r="M20" i="1"/>
  <c r="S16" i="1"/>
  <c r="T16" i="1" s="1"/>
  <c r="C6" i="10"/>
  <c r="J16" i="1"/>
  <c r="K16" i="1"/>
  <c r="U19" i="1"/>
  <c r="R19" i="1"/>
  <c r="J20" i="1"/>
  <c r="K20" i="1"/>
  <c r="R18" i="1"/>
  <c r="U18" i="1"/>
  <c r="R20" i="1"/>
  <c r="U20" i="1"/>
  <c r="U16" i="1"/>
  <c r="R16" i="1"/>
  <c r="N2" i="11" l="1"/>
  <c r="N1" i="11"/>
  <c r="X15" i="1"/>
  <c r="Y15" i="1"/>
  <c r="Z15" i="1"/>
  <c r="Z20" i="1"/>
  <c r="Y20" i="1"/>
  <c r="X20" i="1"/>
  <c r="Z17" i="1"/>
  <c r="Y17" i="1"/>
  <c r="X17" i="1"/>
  <c r="B2" i="11"/>
  <c r="B1" i="11"/>
  <c r="E18" i="10"/>
  <c r="A6" i="10"/>
  <c r="A36" i="6"/>
  <c r="A35" i="6"/>
  <c r="A34" i="6"/>
  <c r="A59" i="6"/>
  <c r="A60" i="6"/>
  <c r="A58" i="6"/>
  <c r="A61" i="6"/>
  <c r="A57" i="6"/>
  <c r="A56" i="6"/>
  <c r="A59" i="7"/>
  <c r="A33" i="6"/>
  <c r="A32" i="6"/>
  <c r="I20" i="1"/>
  <c r="I16" i="1"/>
  <c r="M17" i="1"/>
  <c r="M18" i="1"/>
  <c r="G19" i="1"/>
  <c r="C58" i="7"/>
  <c r="C53" i="7"/>
  <c r="C21" i="6"/>
  <c r="C56" i="7"/>
  <c r="C26" i="6"/>
  <c r="C27" i="6"/>
  <c r="C55" i="7"/>
  <c r="C20" i="6"/>
  <c r="C25" i="6"/>
  <c r="P19" i="1"/>
  <c r="W15" i="1"/>
  <c r="C23" i="6"/>
  <c r="C28" i="6"/>
  <c r="M19" i="1"/>
  <c r="C52" i="7"/>
  <c r="C54" i="7"/>
  <c r="C31" i="6"/>
  <c r="G20" i="1"/>
  <c r="C29" i="6"/>
  <c r="C22" i="6"/>
  <c r="C30" i="6"/>
  <c r="M16" i="1"/>
  <c r="J18" i="10"/>
  <c r="C57" i="7"/>
  <c r="G16" i="1"/>
  <c r="S15" i="1"/>
  <c r="Q15" i="1"/>
  <c r="K18" i="10"/>
  <c r="C24" i="6"/>
  <c r="C19" i="6"/>
  <c r="W20" i="1"/>
  <c r="C18" i="10"/>
  <c r="W17" i="1"/>
  <c r="A18" i="10" l="1"/>
  <c r="B2" i="10"/>
  <c r="B1" i="10"/>
  <c r="A30" i="6"/>
  <c r="A26" i="6"/>
  <c r="A20" i="6"/>
  <c r="A24" i="6"/>
  <c r="A21" i="6"/>
  <c r="A23" i="6"/>
  <c r="A28" i="6"/>
  <c r="A22" i="6"/>
  <c r="A27" i="6"/>
  <c r="A31" i="6"/>
  <c r="A25" i="6"/>
  <c r="A19" i="6"/>
  <c r="A29" i="6"/>
  <c r="A58" i="7"/>
  <c r="A57" i="7"/>
  <c r="A56" i="7"/>
  <c r="A55" i="7"/>
  <c r="A54" i="7"/>
  <c r="A53" i="7"/>
  <c r="T15" i="1"/>
  <c r="A52" i="7" l="1"/>
  <c r="A49" i="7"/>
  <c r="U15" i="1"/>
  <c r="R15" i="1"/>
  <c r="C45" i="7"/>
  <c r="C48" i="7"/>
  <c r="C46" i="7"/>
  <c r="C47" i="7"/>
  <c r="A48" i="7" l="1"/>
  <c r="A47" i="7"/>
  <c r="A46" i="7"/>
  <c r="A45" i="7"/>
  <c r="C44" i="7"/>
  <c r="A44" i="7" l="1"/>
  <c r="A41" i="7"/>
  <c r="A29" i="7"/>
  <c r="A19" i="7"/>
  <c r="A12" i="7"/>
  <c r="C23" i="7"/>
  <c r="C34" i="7"/>
  <c r="C26" i="7"/>
  <c r="C28" i="7"/>
  <c r="C32" i="7"/>
  <c r="C33" i="7"/>
  <c r="C24" i="7"/>
  <c r="C44" i="6"/>
  <c r="C38" i="7"/>
  <c r="C43" i="6"/>
  <c r="C42" i="6"/>
  <c r="C22" i="7"/>
  <c r="C37" i="7"/>
  <c r="C25" i="7"/>
  <c r="C16" i="7"/>
  <c r="C27" i="7"/>
  <c r="C15" i="7"/>
  <c r="C17" i="7"/>
  <c r="C18" i="7"/>
  <c r="C6" i="7"/>
  <c r="C9" i="7"/>
  <c r="C10" i="7"/>
  <c r="C39" i="7"/>
  <c r="C36" i="7"/>
  <c r="C40" i="7"/>
  <c r="C8" i="7"/>
  <c r="C35" i="7"/>
  <c r="C45" i="6"/>
  <c r="C7"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13" i="6"/>
  <c r="C17" i="6"/>
  <c r="C16" i="6"/>
  <c r="C9" i="6"/>
  <c r="C6" i="6"/>
  <c r="C18" i="6"/>
  <c r="C12" i="6"/>
  <c r="C15" i="6"/>
  <c r="C10" i="6"/>
  <c r="C7" i="6"/>
  <c r="C11" i="6"/>
  <c r="C8" i="6"/>
  <c r="C14" i="6"/>
  <c r="A13" i="6" l="1"/>
  <c r="A16" i="6"/>
  <c r="A10" i="6"/>
  <c r="A17" i="6"/>
  <c r="A14" i="6"/>
  <c r="A9" i="6"/>
  <c r="A8" i="6"/>
  <c r="A18" i="6"/>
  <c r="A15" i="6"/>
  <c r="A12" i="6"/>
  <c r="A11" i="6"/>
  <c r="A7" i="6"/>
  <c r="A6" i="6"/>
  <c r="C3" i="2"/>
  <c r="D3" i="2"/>
  <c r="C4" i="2"/>
  <c r="D4" i="2"/>
  <c r="B2" i="6" l="1"/>
  <c r="B1" i="6"/>
  <c r="D2" i="2"/>
  <c r="C2" i="2"/>
  <c r="N15" i="1"/>
  <c r="P15" i="1"/>
  <c r="O15" i="1"/>
  <c r="M15" i="1" s="1"/>
  <c r="L15" i="1"/>
  <c r="H15" i="1" s="1"/>
  <c r="J15" i="1"/>
  <c r="K15" i="1"/>
  <c r="I15" i="1"/>
  <c r="G15" i="1"/>
</calcChain>
</file>

<file path=xl/sharedStrings.xml><?xml version="1.0" encoding="utf-8"?>
<sst xmlns="http://schemas.openxmlformats.org/spreadsheetml/2006/main" count="2336" uniqueCount="157">
  <si>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</si>
  <si>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</si>
  <si>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</si>
  <si>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</si>
  <si>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</si>
  <si>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</si>
  <si>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</si>
  <si>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</si>
  <si>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</si>
  <si>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</si>
  <si>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</si>
  <si>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</si>
  <si>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</si>
  <si>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</si>
  <si>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</si>
  <si>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</si>
  <si>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</si>
  <si>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</si>
  <si>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</si>
  <si>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</si>
  <si>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</si>
  <si>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</si>
  <si>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</si>
  <si>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</si>
  <si>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</si>
  <si>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</si>
  <si>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</si>
  <si>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</si>
  <si>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</si>
  <si>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</si>
  <si>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</si>
  <si>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</si>
  <si>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</si>
  <si>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</si>
  <si>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</si>
  <si>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</si>
  <si>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</si>
  <si>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</si>
  <si>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</si>
  <si>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</si>
  <si>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</si>
  <si>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</si>
  <si>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</si>
  <si>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</si>
  <si>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</si>
  <si>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</si>
  <si>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</si>
  <si>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</si>
  <si>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</si>
  <si>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</si>
  <si>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</si>
  <si>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</si>
  <si>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</si>
  <si>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</si>
  <si>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</si>
  <si>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</si>
  <si>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</si>
  <si>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</si>
  <si>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</si>
  <si>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</si>
  <si>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</si>
  <si>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</si>
  <si>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</si>
  <si>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</si>
  <si>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</si>
  <si>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</si>
  <si>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</si>
  <si>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</si>
  <si>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</si>
  <si>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</si>
  <si>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</si>
  <si>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</si>
  <si>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</si>
  <si>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</si>
  <si>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</si>
  <si>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</si>
  <si>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curing</t>
  </si>
  <si>
    <t>Public Function ROS_grass(U_10, fmc, curing As Single, state As String) As Integer
    'return the forward ROS (m/h) ignoring slope
    'Args:
    '  U_10: 10 m wind speed (km/h)
    '  fmc: fuel moisture content (%)
    '  curing: degree of grass curing (%)
    '  state: grass state (natural, grazed, eaten-out)</t>
  </si>
  <si>
    <t>FireBehaviourCalcs_Australia</t>
  </si>
  <si>
    <t>Public Function Flame_height_grass(ROS As Single, state As String) As Single
    'calculate the flame height (m) based on M. Plucinski, pers. comm.
    'args
    '  ROS: forward rate of spread (m/h)
    '  state: grass state (natural, grazed, eaten-out)</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</si>
  <si>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</si>
  <si>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</si>
  <si>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</si>
  <si>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</si>
  <si>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</si>
  <si>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</si>
  <si>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</si>
  <si>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</si>
  <si>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</si>
  <si>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</si>
  <si>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</si>
  <si>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</si>
  <si>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</si>
  <si>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</si>
  <si>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</si>
  <si>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</si>
  <si>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</si>
  <si>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</si>
  <si>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</si>
  <si>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mc</t>
  </si>
  <si>
    <t>overstorey</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</si>
  <si>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</si>
  <si>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</si>
  <si>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</si>
  <si>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</si>
  <si>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</si>
  <si>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</si>
  <si>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</si>
  <si>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</si>
  <si>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</si>
  <si>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</si>
  <si>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</si>
  <si>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</si>
  <si>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</si>
  <si>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</si>
  <si>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</si>
  <si>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</si>
  <si>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</si>
  <si>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</si>
  <si>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</si>
  <si>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</si>
  <si>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</si>
  <si>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</si>
  <si>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</si>
  <si>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</si>
  <si>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</si>
  <si>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</si>
  <si>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</si>
  <si>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</si>
  <si>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</si>
  <si>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</si>
  <si>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</si>
  <si>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</si>
  <si>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</si>
  <si>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</si>
  <si>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</si>
  <si>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</si>
  <si>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</si>
  <si>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</si>
  <si>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</si>
  <si>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</si>
  <si>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</si>
  <si>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</si>
  <si>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</si>
  <si>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</si>
  <si>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</si>
  <si>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</si>
  <si>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</si>
  <si>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</si>
  <si>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 xml:space="preserve">pine </t>
  </si>
  <si>
    <t>Pine</t>
  </si>
  <si>
    <t>KBDI (mm)</t>
  </si>
  <si>
    <t>Public Function ROS_pine(U_10, mc, DF, KBDI, _
    Optional wrf = 5, Optional fl_s = 10.5, Optional fl_o = 11, Optional bh_o = 5, Optional bd_o = 0.1 _
    ) As Single
    'return the forward rate of spread m/h for pine based on Cruz model
    'args
    '  U_10: 10 m wind speed (km/h)
    '  mc: dead fuel moisture content %
    '  DF: drought factor
    '  KBDI: Keetch Byram drought index KBDI
    '  WAF: wind adjustment factor restricted to range 3 to 5
    '  fl_s: surface fuel load (t/ha)
    '  fl_o: overstorey (canopy) fuel load (t/ha)
    '  bh_o: overstorey (canopy) base height m
    '  bd_o: overstorey (canopy) bulk density</t>
  </si>
  <si>
    <t>FBI
pine</t>
  </si>
  <si>
    <t>Public Function moist_coeff_grass(U_10, mc As Single) As Single
    'calculate the grass moisture coefficient
    'args
    '  U_10: 10 m wind speed (km/h)
    '  mc: fuel moisture content (%)</t>
  </si>
  <si>
    <t>Public Function intensity_heath(ROS, fl_max, tsf, k) As Long
    'returns the fire line intensity (kW/m)
    'args
    '  ROS: forward rate of spread m/h
    '  fl_max: maximum fuel load t/ha
    '  tsf: time since fire y
    '  k: fuel accumulation curve constant</t>
  </si>
  <si>
    <t>all rounding errors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</si>
</sst>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55A555"/>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62">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10" borderId="1" xfId="0" applyFill="1" applyBorder="1" applyProtection="1"/>
    <xf numFmtId="0" fontId="1" fillId="10" borderId="1" xfId="0" applyFont="1" applyFill="1" applyBorder="1" applyAlignment="1" applyProtection="1">
      <alignment horizontal="center" wrapText="1"/>
    </xf>
    <xf numFmtId="0" fontId="2" fillId="10" borderId="1" xfId="0" applyFont="1" applyFill="1" applyBorder="1" applyProtection="1"/>
    <xf numFmtId="0" fontId="1" fillId="10" borderId="1" xfId="0" applyFont="1" applyFill="1" applyBorder="1" applyAlignment="1" applyProtection="1">
      <alignment horizontal="right"/>
    </xf>
    <xf numFmtId="0" fontId="0" fillId="5" borderId="1" xfId="0" applyFill="1" applyBorder="1" applyProtection="1">
      <protection locked="0"/>
    </xf>
    <xf numFmtId="167" fontId="0" fillId="10" borderId="1" xfId="0" applyNumberFormat="1" applyFill="1" applyBorder="1" applyProtection="1"/>
    <xf numFmtId="1" fontId="0" fillId="10" borderId="1" xfId="0" applyNumberFormat="1" applyFill="1" applyBorder="1" applyProtection="1"/>
    <xf numFmtId="0" fontId="0" fillId="0" borderId="0" xfId="0" applyAlignment="1">
      <alignment wrapText="1"/>
    </xf>
    <xf numFmtId="0" fontId="0" fillId="0" borderId="0" xfId="0" applyAlignment="1"/>
  </cellXfs>
  <cellStyles count="2">
    <cellStyle name="Hyperlink" xfId="1" builtinId="8"/>
    <cellStyle name="Normal" xfId="0" builtinId="0"/>
  </cellStyles>
  <dxfs count="62">
    <dxf>
      <font>
        <color rgb="FF00B050"/>
      </font>
    </dxf>
    <dxf>
      <font>
        <b/>
        <i val="0"/>
        <color rgb="FFFF0000"/>
      </font>
    </dxf>
    <dxf>
      <font>
        <color rgb="FF00B050"/>
      </font>
    </dxf>
    <dxf>
      <font>
        <b/>
        <i val="0"/>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colors>
    <mruColors>
      <color rgb="FF55A555"/>
      <color rgb="FF64A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AA20"/>
  <sheetViews>
    <sheetView topLeftCell="C1" workbookViewId="0">
      <selection activeCell="V7" sqref="V7"/>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23" width="8.88671875" style="53"/>
    <col min="24" max="25" width="8.88671875" style="59"/>
    <col min="26" max="27" width="8.88671875" style="58"/>
    <col min="28" max="16384" width="8.88671875" style="11"/>
  </cols>
  <sheetData>
    <row r="1" spans="1:27" ht="18" x14ac:dyDescent="0.35">
      <c r="A1" s="2" t="s">
        <v>39</v>
      </c>
      <c r="B1" s="3"/>
      <c r="C1" s="4"/>
      <c r="D1" s="4"/>
      <c r="E1" s="4"/>
      <c r="F1" s="4"/>
      <c r="G1" s="5" t="s">
        <v>6</v>
      </c>
      <c r="M1" s="8" t="s">
        <v>22</v>
      </c>
      <c r="R1" s="50" t="s">
        <v>90</v>
      </c>
      <c r="U1" s="47"/>
      <c r="V1" s="47"/>
      <c r="W1" s="55" t="s">
        <v>150</v>
      </c>
      <c r="X1" s="53"/>
      <c r="Y1" s="53"/>
      <c r="Z1" s="53"/>
      <c r="AA1" s="53"/>
    </row>
    <row r="2" spans="1:27" x14ac:dyDescent="0.3">
      <c r="A2" s="12" t="s">
        <v>40</v>
      </c>
      <c r="B2" s="3"/>
      <c r="C2" s="4"/>
      <c r="D2" s="4"/>
      <c r="E2" s="4"/>
      <c r="F2" s="4"/>
      <c r="G2" s="13" t="s">
        <v>7</v>
      </c>
      <c r="H2" s="33">
        <v>3</v>
      </c>
      <c r="I2" s="14" t="s">
        <v>14</v>
      </c>
      <c r="M2" s="15"/>
      <c r="O2" s="15" t="s">
        <v>30</v>
      </c>
      <c r="U2" s="51" t="s">
        <v>96</v>
      </c>
      <c r="V2" s="49">
        <v>0</v>
      </c>
      <c r="X2" s="53"/>
      <c r="Y2" s="56" t="s">
        <v>151</v>
      </c>
      <c r="Z2" s="57">
        <v>200</v>
      </c>
      <c r="AA2" s="53"/>
    </row>
    <row r="3" spans="1:27" x14ac:dyDescent="0.3">
      <c r="A3" s="12" t="s">
        <v>41</v>
      </c>
      <c r="B3" s="3"/>
      <c r="C3" s="4"/>
      <c r="D3" s="4"/>
      <c r="E3" s="4"/>
      <c r="F3" s="4"/>
      <c r="G3" s="16"/>
      <c r="H3" s="17" t="s">
        <v>120</v>
      </c>
      <c r="I3" s="18" t="s">
        <v>30</v>
      </c>
      <c r="M3" s="19" t="s">
        <v>32</v>
      </c>
      <c r="N3" s="35" t="s">
        <v>25</v>
      </c>
      <c r="O3" s="9">
        <v>4.5</v>
      </c>
      <c r="U3" s="51" t="s">
        <v>91</v>
      </c>
      <c r="V3" s="49">
        <v>48</v>
      </c>
      <c r="X3" s="53"/>
      <c r="Y3" s="56"/>
      <c r="Z3" s="56"/>
      <c r="AA3" s="53"/>
    </row>
    <row r="4" spans="1:27" x14ac:dyDescent="0.3">
      <c r="A4" s="12" t="s">
        <v>42</v>
      </c>
      <c r="B4" s="3"/>
      <c r="C4" s="4"/>
      <c r="D4" s="4"/>
      <c r="E4" s="4"/>
      <c r="F4" s="4"/>
      <c r="G4" s="20" t="s">
        <v>15</v>
      </c>
      <c r="H4" s="21">
        <v>3</v>
      </c>
      <c r="I4" s="34">
        <v>10</v>
      </c>
      <c r="M4" s="19" t="s">
        <v>27</v>
      </c>
      <c r="N4" s="35">
        <v>100</v>
      </c>
      <c r="U4" s="51" t="s">
        <v>97</v>
      </c>
      <c r="V4" s="49" t="b">
        <v>0</v>
      </c>
      <c r="X4" s="53"/>
      <c r="Y4" s="56"/>
      <c r="Z4" s="56"/>
      <c r="AA4" s="53"/>
    </row>
    <row r="5" spans="1:27" x14ac:dyDescent="0.3">
      <c r="A5" s="12"/>
      <c r="B5" s="3"/>
      <c r="C5" s="4"/>
      <c r="D5" s="4"/>
      <c r="E5" s="4"/>
      <c r="F5" s="4"/>
      <c r="G5" s="20" t="s">
        <v>16</v>
      </c>
      <c r="H5" s="21">
        <v>1</v>
      </c>
      <c r="I5" s="34">
        <v>2</v>
      </c>
      <c r="U5" s="51" t="s">
        <v>102</v>
      </c>
      <c r="V5" s="49">
        <v>2</v>
      </c>
      <c r="X5" s="53"/>
      <c r="Y5" s="56"/>
      <c r="Z5" s="56"/>
      <c r="AA5" s="53"/>
    </row>
    <row r="6" spans="1:27" x14ac:dyDescent="0.3">
      <c r="A6" s="38"/>
      <c r="B6" s="3"/>
      <c r="C6" s="4"/>
      <c r="D6" s="4"/>
      <c r="E6" s="4"/>
      <c r="F6" s="4"/>
      <c r="G6" s="20" t="s">
        <v>17</v>
      </c>
      <c r="H6" s="21">
        <v>2</v>
      </c>
      <c r="I6" s="34">
        <v>2</v>
      </c>
      <c r="U6" s="51" t="s">
        <v>111</v>
      </c>
      <c r="V6" s="49">
        <v>25</v>
      </c>
      <c r="X6" s="53"/>
      <c r="Y6" s="56"/>
      <c r="Z6" s="56"/>
      <c r="AA6" s="53"/>
    </row>
    <row r="7" spans="1:27" x14ac:dyDescent="0.3">
      <c r="A7" s="12" t="s">
        <v>119</v>
      </c>
      <c r="B7" s="3"/>
      <c r="C7" s="4"/>
      <c r="D7" s="4"/>
      <c r="E7" s="4"/>
      <c r="F7" s="4"/>
      <c r="G7" s="20" t="s">
        <v>18</v>
      </c>
      <c r="H7" s="21">
        <v>2</v>
      </c>
      <c r="I7" s="34">
        <v>2</v>
      </c>
      <c r="U7" s="51" t="s">
        <v>51</v>
      </c>
      <c r="V7" s="47">
        <f>Fuel_load(tables!$C$9,AFDRS!$V$6,tables!$C$8)</f>
        <v>3</v>
      </c>
      <c r="X7" s="53"/>
      <c r="Y7" s="53"/>
      <c r="Z7" s="53"/>
      <c r="AA7" s="53"/>
    </row>
    <row r="8" spans="1:27" x14ac:dyDescent="0.3">
      <c r="A8" s="12"/>
      <c r="B8" s="3"/>
      <c r="C8" s="4"/>
      <c r="D8" s="4"/>
      <c r="E8" s="4"/>
      <c r="F8" s="4"/>
      <c r="G8" s="20" t="s">
        <v>31</v>
      </c>
      <c r="H8" s="21"/>
      <c r="I8" s="34">
        <v>4.5</v>
      </c>
      <c r="U8" s="47"/>
      <c r="V8" s="47"/>
      <c r="X8" s="53"/>
      <c r="Y8" s="53"/>
      <c r="Z8" s="53"/>
      <c r="AA8" s="53"/>
    </row>
    <row r="9" spans="1:27" x14ac:dyDescent="0.3">
      <c r="A9" s="38" t="s">
        <v>84</v>
      </c>
      <c r="B9" s="3"/>
      <c r="C9" s="4"/>
      <c r="D9" s="4"/>
      <c r="E9" s="4"/>
      <c r="F9" s="4"/>
      <c r="G9" s="20"/>
      <c r="H9" s="18" t="s">
        <v>19</v>
      </c>
      <c r="I9" s="21"/>
      <c r="U9" s="47"/>
      <c r="V9" s="47"/>
      <c r="X9" s="53"/>
      <c r="Y9" s="53"/>
      <c r="Z9" s="53"/>
      <c r="AA9" s="53"/>
    </row>
    <row r="10" spans="1:27" x14ac:dyDescent="0.3">
      <c r="A10" s="46" t="s">
        <v>85</v>
      </c>
      <c r="B10" s="3"/>
      <c r="C10" s="4"/>
      <c r="D10" s="4"/>
      <c r="E10" s="4"/>
      <c r="F10" s="4"/>
      <c r="G10" s="20" t="s">
        <v>16</v>
      </c>
      <c r="H10" s="33">
        <v>20</v>
      </c>
      <c r="I10" s="14" t="s">
        <v>20</v>
      </c>
      <c r="U10" s="47"/>
      <c r="V10" s="47"/>
      <c r="X10" s="53"/>
      <c r="Y10" s="53"/>
      <c r="Z10" s="53"/>
      <c r="AA10" s="53"/>
    </row>
    <row r="11" spans="1:27" x14ac:dyDescent="0.3">
      <c r="A11" s="12"/>
      <c r="B11" s="3"/>
      <c r="C11" s="4"/>
      <c r="D11" s="4"/>
      <c r="E11" s="4"/>
      <c r="F11" s="4"/>
      <c r="G11" s="20" t="s">
        <v>17</v>
      </c>
      <c r="H11" s="33">
        <v>2</v>
      </c>
      <c r="I11" s="14" t="s">
        <v>21</v>
      </c>
      <c r="U11" s="47"/>
      <c r="V11" s="47"/>
      <c r="X11" s="53"/>
      <c r="Y11" s="53"/>
      <c r="Z11" s="53"/>
      <c r="AA11" s="53"/>
    </row>
    <row r="12" spans="1:27" x14ac:dyDescent="0.3">
      <c r="A12" s="38"/>
      <c r="B12" s="3"/>
      <c r="C12" s="4"/>
      <c r="D12" s="4"/>
      <c r="E12" s="4"/>
      <c r="F12" s="4"/>
      <c r="G12" s="20" t="s">
        <v>31</v>
      </c>
      <c r="H12" s="33">
        <v>20</v>
      </c>
      <c r="I12" s="14" t="s">
        <v>21</v>
      </c>
      <c r="U12" s="47"/>
      <c r="V12" s="47"/>
      <c r="X12" s="53"/>
      <c r="Y12" s="53"/>
      <c r="Z12" s="53"/>
      <c r="AA12" s="53"/>
    </row>
    <row r="13" spans="1:27" ht="18" x14ac:dyDescent="0.35">
      <c r="A13" s="2" t="s">
        <v>5</v>
      </c>
      <c r="B13" s="3"/>
      <c r="C13" s="4"/>
      <c r="D13" s="4"/>
      <c r="E13" s="4"/>
      <c r="F13" s="4"/>
      <c r="U13" s="47"/>
      <c r="V13" s="47"/>
      <c r="X13" s="53"/>
      <c r="Y13" s="53"/>
      <c r="Z13" s="53"/>
      <c r="AA13" s="53"/>
    </row>
    <row r="14" spans="1:27"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95</v>
      </c>
      <c r="S14" s="48" t="s">
        <v>9</v>
      </c>
      <c r="T14" s="48" t="s">
        <v>10</v>
      </c>
      <c r="U14" s="48" t="s">
        <v>11</v>
      </c>
      <c r="V14" s="48" t="s">
        <v>13</v>
      </c>
      <c r="W14" s="54" t="s">
        <v>153</v>
      </c>
      <c r="X14" s="54" t="s">
        <v>9</v>
      </c>
      <c r="Y14" s="54" t="s">
        <v>10</v>
      </c>
      <c r="Z14" s="54" t="s">
        <v>11</v>
      </c>
      <c r="AA14" s="54" t="s">
        <v>13</v>
      </c>
    </row>
    <row r="15" spans="1:27" x14ac:dyDescent="0.3">
      <c r="A15" s="30">
        <v>22695</v>
      </c>
      <c r="B15" s="31">
        <v>0.625</v>
      </c>
      <c r="C15" s="32">
        <v>30</v>
      </c>
      <c r="D15" s="32">
        <v>10</v>
      </c>
      <c r="E15" s="32">
        <v>20</v>
      </c>
      <c r="F15" s="32">
        <v>9</v>
      </c>
      <c r="G15" s="6">
        <f t="shared" ref="G15" si="0">fbi(I15,$G$1)</f>
        <v>25</v>
      </c>
      <c r="H15" s="6">
        <f t="shared" ref="H15" si="1">ROS_forest(E15,fhs_s,fhs_ns,fh_ns,L15,F15,WAF)</f>
        <v>658</v>
      </c>
      <c r="I15" s="6">
        <f t="shared" ref="I15" si="2">Intensity_forest(H15,F15,J15,ffl_s,ffl_ns,ffl_e,ffl_o,ffh_o)</f>
        <v>4284</v>
      </c>
      <c r="J15" s="7">
        <f t="shared" ref="J15" si="3">Flame_height_forest(H15,ffh_e)</f>
        <v>8.0987005233764648</v>
      </c>
      <c r="K15" s="6">
        <f t="shared" ref="K15" si="4">Spotting_forest(H15,E15,fhs_s)</f>
        <v>979</v>
      </c>
      <c r="L15" s="7">
        <f>FMC_Forest(C15,D15,A15,B15)</f>
        <v>3.4389998912811279</v>
      </c>
      <c r="M15" s="9">
        <f>fbi(O15,$M$1)</f>
        <v>30</v>
      </c>
      <c r="N15" s="9">
        <f t="shared" ref="N15" si="5">ROS_grass(E15,Q15,curing,state_grass)</f>
        <v>4737.390625</v>
      </c>
      <c r="O15" s="9">
        <f t="shared" ref="O15" si="6">Intensity(N15,fl_grass)</f>
        <v>11014</v>
      </c>
      <c r="P15" s="10">
        <f t="shared" ref="P15" si="7">Flame_height_grass(N15,state_grass)</f>
        <v>1.2144869565963745</v>
      </c>
      <c r="Q15" s="10">
        <f>FMC_Grass(C15,D15)</f>
        <v>5</v>
      </c>
      <c r="R15" s="47">
        <f>fbi(T15,$R$1)</f>
        <v>8</v>
      </c>
      <c r="S15" s="47">
        <f>ROS_heath(E15,$V$5,V15,$V$4)</f>
        <v>173.73434448242188</v>
      </c>
      <c r="T15" s="47">
        <f>Intensity(S15,$V$7)</f>
        <v>269</v>
      </c>
      <c r="U15" s="52">
        <f>Flame_height_heath(T15)</f>
        <v>0.54851114749908447</v>
      </c>
      <c r="V15" s="52">
        <f>FMC_heath(C15,D15,$V$2,$V$3)</f>
        <v>5.2100000381469727</v>
      </c>
      <c r="W15" s="53">
        <f>fbi(Y15,$W$1)</f>
        <v>15</v>
      </c>
      <c r="X15" s="59">
        <f t="array" ref="X15:Z15">fb_pine_ensemble(E15,AA15,F15,$Z$2)</f>
        <v>697.9560546875</v>
      </c>
      <c r="Y15" s="59">
        <v>1786.468994140625</v>
      </c>
      <c r="Z15" s="58">
        <v>2.675175666809082</v>
      </c>
      <c r="AA15" s="58">
        <f>FMC_pine(C15,D15)</f>
        <v>4.8976001739501953</v>
      </c>
    </row>
    <row r="16" spans="1:27" x14ac:dyDescent="0.3">
      <c r="A16" s="30">
        <v>44180</v>
      </c>
      <c r="B16" s="31">
        <v>0.58333333333333337</v>
      </c>
      <c r="C16" s="32">
        <v>25</v>
      </c>
      <c r="D16" s="32">
        <v>33</v>
      </c>
      <c r="E16" s="32">
        <v>15</v>
      </c>
      <c r="F16" s="32">
        <v>8</v>
      </c>
      <c r="G16" s="6">
        <f t="shared" ref="G16:G20" si="8">fbi(I16,$G$1)</f>
        <v>13</v>
      </c>
      <c r="H16" s="6">
        <f t="shared" ref="H16:H20" si="9">ROS_forest(E16,fhs_s,fhs_ns,fh_ns,L16,F16,WAF)</f>
        <v>207</v>
      </c>
      <c r="I16" s="6">
        <f t="shared" ref="I16:I20" si="10">Intensity_forest(H16,F16,J16,ffl_s,ffl_ns,ffl_e,ffl_o,ffh_o)</f>
        <v>1198</v>
      </c>
      <c r="J16" s="7">
        <f t="shared" ref="J16:J20" si="11">Flame_height_forest(H16,ffh_e)</f>
        <v>3.5098178386688232</v>
      </c>
      <c r="K16" s="6">
        <f t="shared" ref="K16:K20" si="12">Spotting_forest(H16,E16,fhs_s)</f>
        <v>263</v>
      </c>
      <c r="L16" s="7">
        <f t="shared" ref="L16:L20" si="13">FMC_Forest(C16,D16,A16,B16)</f>
        <v>6.3845000267028809</v>
      </c>
      <c r="M16" s="9">
        <f t="shared" ref="M16:M20" si="14">fbi(O16,$M$1)</f>
        <v>16</v>
      </c>
      <c r="N16" s="9">
        <f t="shared" ref="N16:N20" si="15">ROS_grass(E16,Q16,curing,state_grass)</f>
        <v>2302.61572265625</v>
      </c>
      <c r="O16" s="9">
        <f t="shared" ref="O16:O20" si="16">Intensity(N16,fl_grass)</f>
        <v>5354</v>
      </c>
      <c r="P16" s="10">
        <f t="shared" ref="P16:P20" si="17">Flame_height_grass(N16,state_grass)</f>
        <v>0.98166680335998535</v>
      </c>
      <c r="Q16" s="10">
        <f t="shared" ref="Q16:Q20" si="18">FMC_Grass(C16,D16)</f>
        <v>9.0089998245239258</v>
      </c>
      <c r="R16" s="47">
        <f t="shared" ref="R16:R20" si="19">fbi(T16,$R$1)</f>
        <v>4</v>
      </c>
      <c r="S16" s="47">
        <f t="shared" ref="S16:S20" si="20">ROS_heath(E16,$V$5,V16,$V$4)</f>
        <v>23.495044708251953</v>
      </c>
      <c r="T16" s="47">
        <f t="shared" ref="T16:T20" si="21">Intensity(S16,$V$7)</f>
        <v>36</v>
      </c>
      <c r="U16" s="52">
        <f t="shared" ref="U16:U20" si="22">Flame_height_heath(T16)</f>
        <v>0.15356482565402985</v>
      </c>
      <c r="V16" s="52">
        <f t="shared" ref="V16:V20" si="23">FMC_heath(C16,D16,$V$2,$V$3)</f>
        <v>8.7919998168945313</v>
      </c>
      <c r="W16" s="53">
        <f t="shared" ref="W16:W20" si="24">fbi(Y16,$W$1)</f>
        <v>12</v>
      </c>
      <c r="X16" s="59">
        <f t="array" ref="X16:Z16">fb_pine_ensemble(E16,AA16,F16,$Z$2)</f>
        <v>382.6971435546875</v>
      </c>
      <c r="Y16" s="59">
        <v>947.3800048828125</v>
      </c>
      <c r="Z16" s="58">
        <v>2.0399405956268311</v>
      </c>
      <c r="AA16" s="58">
        <f t="shared" ref="AA16:AA20" si="25">FMC_pine(C16,D16)</f>
        <v>7.7354998588562012</v>
      </c>
    </row>
    <row r="17" spans="1:27" x14ac:dyDescent="0.3">
      <c r="A17" s="30">
        <v>44181</v>
      </c>
      <c r="B17" s="31">
        <v>0.625</v>
      </c>
      <c r="C17" s="32">
        <v>23</v>
      </c>
      <c r="D17" s="32">
        <v>28</v>
      </c>
      <c r="E17" s="32">
        <v>40</v>
      </c>
      <c r="F17" s="32">
        <v>8</v>
      </c>
      <c r="G17" s="6">
        <f t="shared" si="8"/>
        <v>22</v>
      </c>
      <c r="H17" s="6">
        <f t="shared" si="9"/>
        <v>621</v>
      </c>
      <c r="I17" s="6">
        <f t="shared" si="10"/>
        <v>3594</v>
      </c>
      <c r="J17" s="7">
        <f t="shared" si="11"/>
        <v>7.766819953918457</v>
      </c>
      <c r="K17" s="6">
        <f t="shared" si="12"/>
        <v>593</v>
      </c>
      <c r="L17" s="7">
        <f t="shared" si="13"/>
        <v>5.8018999099731445</v>
      </c>
      <c r="M17" s="9">
        <f t="shared" si="14"/>
        <v>39</v>
      </c>
      <c r="N17" s="9">
        <f t="shared" si="15"/>
        <v>6026.966796875</v>
      </c>
      <c r="O17" s="9">
        <f t="shared" si="16"/>
        <v>14013</v>
      </c>
      <c r="P17" s="10">
        <f t="shared" si="17"/>
        <v>1.3038809299468994</v>
      </c>
      <c r="Q17" s="10">
        <f t="shared" si="18"/>
        <v>8.7290000915527344</v>
      </c>
      <c r="R17" s="47">
        <f t="shared" si="19"/>
        <v>25</v>
      </c>
      <c r="S17" s="47">
        <f t="shared" si="20"/>
        <v>3211.1240234375</v>
      </c>
      <c r="T17" s="47">
        <f t="shared" si="21"/>
        <v>4977</v>
      </c>
      <c r="U17" s="52">
        <f t="shared" si="22"/>
        <v>3.4780256748199463</v>
      </c>
      <c r="V17" s="52">
        <f t="shared" si="23"/>
        <v>8.3220005035400391</v>
      </c>
      <c r="W17" s="53">
        <f t="shared" si="24"/>
        <v>22</v>
      </c>
      <c r="X17" s="59">
        <f t="array" ref="X17:Z17">fb_pine_ensemble(E17,AA17,F17,$Z$2)</f>
        <v>1344.7479248046875</v>
      </c>
      <c r="Y17" s="59">
        <v>3566.550048828125</v>
      </c>
      <c r="Z17" s="58">
        <v>3.5916268825531006</v>
      </c>
      <c r="AA17" s="58">
        <f t="shared" si="25"/>
        <v>7.1837000846862793</v>
      </c>
    </row>
    <row r="18" spans="1:27" x14ac:dyDescent="0.3">
      <c r="A18" s="30">
        <v>44182</v>
      </c>
      <c r="B18" s="31">
        <v>0.625</v>
      </c>
      <c r="C18" s="32">
        <v>35</v>
      </c>
      <c r="D18" s="32">
        <v>15</v>
      </c>
      <c r="E18" s="32">
        <v>35</v>
      </c>
      <c r="F18" s="32">
        <v>10</v>
      </c>
      <c r="G18" s="6">
        <f t="shared" si="8"/>
        <v>52</v>
      </c>
      <c r="H18" s="6">
        <f t="shared" si="9"/>
        <v>1328</v>
      </c>
      <c r="I18" s="6">
        <f t="shared" si="10"/>
        <v>11150</v>
      </c>
      <c r="J18" s="7">
        <f t="shared" si="11"/>
        <v>13.455821990966797</v>
      </c>
      <c r="K18" s="6">
        <f t="shared" si="12"/>
        <v>2191</v>
      </c>
      <c r="L18" s="7">
        <f t="shared" si="13"/>
        <v>3.9655001163482666</v>
      </c>
      <c r="M18" s="9">
        <f t="shared" si="14"/>
        <v>57</v>
      </c>
      <c r="N18" s="9">
        <f t="shared" si="15"/>
        <v>7994.09423828125</v>
      </c>
      <c r="O18" s="9">
        <f t="shared" si="16"/>
        <v>18586</v>
      </c>
      <c r="P18" s="10">
        <f t="shared" si="17"/>
        <v>1.4171823263168335</v>
      </c>
      <c r="Q18" s="10">
        <f t="shared" si="18"/>
        <v>5</v>
      </c>
      <c r="R18" s="47">
        <f t="shared" si="19"/>
        <v>26</v>
      </c>
      <c r="S18" s="47">
        <f t="shared" si="20"/>
        <v>3459.729736328125</v>
      </c>
      <c r="T18" s="47">
        <f t="shared" si="21"/>
        <v>5363</v>
      </c>
      <c r="U18" s="52">
        <f t="shared" si="22"/>
        <v>3.6464259624481201</v>
      </c>
      <c r="V18" s="52">
        <f t="shared" si="23"/>
        <v>5.3799996376037598</v>
      </c>
      <c r="W18" s="53">
        <f t="shared" si="24"/>
        <v>22</v>
      </c>
      <c r="X18" s="59">
        <f t="array" ref="X18:Z18">fb_pine_ensemble(E18,AA18,F18,$Z$2)</f>
        <v>1326.6947021484375</v>
      </c>
      <c r="Y18" s="59">
        <v>3608.528076171875</v>
      </c>
      <c r="Z18" s="58">
        <v>3.6135215759277344</v>
      </c>
      <c r="AA18" s="58">
        <f t="shared" si="25"/>
        <v>5.3860998153686523</v>
      </c>
    </row>
    <row r="19" spans="1:27" x14ac:dyDescent="0.3">
      <c r="A19" s="30">
        <v>44183</v>
      </c>
      <c r="B19" s="31">
        <v>0.625</v>
      </c>
      <c r="C19" s="32">
        <v>35</v>
      </c>
      <c r="D19" s="32">
        <v>5</v>
      </c>
      <c r="E19" s="32">
        <v>55</v>
      </c>
      <c r="F19" s="32">
        <v>10</v>
      </c>
      <c r="G19" s="6">
        <f t="shared" si="8"/>
        <v>67</v>
      </c>
      <c r="H19" s="6">
        <f t="shared" si="9"/>
        <v>2021</v>
      </c>
      <c r="I19" s="6">
        <f t="shared" si="10"/>
        <v>16968</v>
      </c>
      <c r="J19" s="7">
        <f t="shared" si="11"/>
        <v>18.228984832763672</v>
      </c>
      <c r="K19" s="6">
        <f t="shared" si="12"/>
        <v>3032</v>
      </c>
      <c r="L19" s="7">
        <f t="shared" si="13"/>
        <v>2.7255001068115234</v>
      </c>
      <c r="M19" s="9">
        <f t="shared" si="14"/>
        <v>104</v>
      </c>
      <c r="N19" s="9">
        <f t="shared" si="15"/>
        <v>11957.451171875</v>
      </c>
      <c r="O19" s="9">
        <f t="shared" si="16"/>
        <v>27801</v>
      </c>
      <c r="P19" s="10">
        <f t="shared" si="17"/>
        <v>1.595923900604248</v>
      </c>
      <c r="Q19" s="10">
        <f t="shared" si="18"/>
        <v>5</v>
      </c>
      <c r="R19" s="47">
        <f t="shared" si="19"/>
        <v>36</v>
      </c>
      <c r="S19" s="47">
        <f t="shared" si="20"/>
        <v>7501.11376953125</v>
      </c>
      <c r="T19" s="47">
        <f t="shared" si="21"/>
        <v>11627</v>
      </c>
      <c r="U19" s="52">
        <f t="shared" si="22"/>
        <v>5.9510459899902344</v>
      </c>
      <c r="V19" s="52">
        <f t="shared" si="23"/>
        <v>4.0399999618530273</v>
      </c>
      <c r="W19" s="53">
        <f t="shared" si="24"/>
        <v>38</v>
      </c>
      <c r="X19" s="59">
        <f t="array" ref="X19:Z19">fb_pine_ensemble(E19,AA19,F19,$Z$2)</f>
        <v>2643.720947265625</v>
      </c>
      <c r="Y19" s="59">
        <v>7456.48876953125</v>
      </c>
      <c r="Z19" s="58">
        <v>4.9466118812561035</v>
      </c>
      <c r="AA19" s="58">
        <f t="shared" si="25"/>
        <v>4.1981000900268555</v>
      </c>
    </row>
    <row r="20" spans="1:27" x14ac:dyDescent="0.3">
      <c r="A20" s="30">
        <v>44001</v>
      </c>
      <c r="B20" s="31">
        <v>0.16666666666666666</v>
      </c>
      <c r="C20" s="32">
        <v>6</v>
      </c>
      <c r="D20" s="32">
        <v>90</v>
      </c>
      <c r="E20" s="32">
        <v>10</v>
      </c>
      <c r="F20" s="32">
        <v>10</v>
      </c>
      <c r="G20" s="6">
        <f t="shared" si="8"/>
        <v>0</v>
      </c>
      <c r="H20" s="6">
        <f t="shared" si="9"/>
        <v>0</v>
      </c>
      <c r="I20" s="6">
        <f t="shared" si="10"/>
        <v>0</v>
      </c>
      <c r="J20" s="7">
        <f t="shared" si="11"/>
        <v>0</v>
      </c>
      <c r="K20" s="6">
        <f t="shared" si="12"/>
        <v>50</v>
      </c>
      <c r="L20" s="7">
        <f t="shared" si="13"/>
        <v>20.610200881958008</v>
      </c>
      <c r="M20" s="9">
        <f t="shared" si="14"/>
        <v>0</v>
      </c>
      <c r="N20" s="9">
        <f t="shared" si="15"/>
        <v>3.8811588287353516</v>
      </c>
      <c r="O20" s="9">
        <f t="shared" si="16"/>
        <v>9</v>
      </c>
      <c r="P20" s="10">
        <f t="shared" si="17"/>
        <v>0.14922872185707092</v>
      </c>
      <c r="Q20" s="10">
        <f t="shared" si="18"/>
        <v>20.770000457763672</v>
      </c>
      <c r="R20" s="47">
        <f t="shared" si="19"/>
        <v>0</v>
      </c>
      <c r="S20" s="47">
        <f t="shared" si="20"/>
        <v>1.5789398923516273E-2</v>
      </c>
      <c r="T20" s="47">
        <f t="shared" si="21"/>
        <v>0</v>
      </c>
      <c r="U20" s="52">
        <f t="shared" si="22"/>
        <v>0</v>
      </c>
      <c r="V20" s="52">
        <f t="shared" si="23"/>
        <v>20.760000228881836</v>
      </c>
      <c r="W20" s="53">
        <f t="shared" si="24"/>
        <v>8</v>
      </c>
      <c r="X20" s="59">
        <f t="array" ref="X20:Z20">fb_pine_ensemble(E20,AA20,F20,$Z$2)</f>
        <v>144.26519775390625</v>
      </c>
      <c r="Y20" s="59">
        <v>413.24099731445313</v>
      </c>
      <c r="Z20" s="58">
        <v>1.4091068506240845</v>
      </c>
      <c r="AA20" s="58">
        <f t="shared" si="25"/>
        <v>14.907999992370605</v>
      </c>
    </row>
  </sheetData>
  <conditionalFormatting sqref="M15:M1048576">
    <cfRule type="expression" dxfId="61" priority="9">
      <formula>$M15&gt;=100</formula>
    </cfRule>
    <cfRule type="expression" dxfId="60" priority="10">
      <formula>$M15&gt;=50</formula>
    </cfRule>
    <cfRule type="expression" dxfId="59" priority="11">
      <formula>$M15&gt;=24</formula>
    </cfRule>
    <cfRule type="expression" dxfId="58" priority="12">
      <formula>$M15&gt;=12</formula>
    </cfRule>
  </conditionalFormatting>
  <conditionalFormatting sqref="G15:G1048576">
    <cfRule type="expression" dxfId="57" priority="13">
      <formula>$G15&gt;=100</formula>
    </cfRule>
    <cfRule type="expression" dxfId="56" priority="14">
      <formula>$G15&gt;50</formula>
    </cfRule>
    <cfRule type="expression" dxfId="55" priority="15">
      <formula>$G15&gt;=24</formula>
    </cfRule>
    <cfRule type="expression" dxfId="54" priority="16">
      <formula>$G15&gt;=12</formula>
    </cfRule>
  </conditionalFormatting>
  <conditionalFormatting sqref="R15:R21">
    <cfRule type="expression" dxfId="53" priority="8">
      <formula>$R15&gt;=12</formula>
    </cfRule>
  </conditionalFormatting>
  <conditionalFormatting sqref="R15:R21">
    <cfRule type="expression" dxfId="52" priority="5">
      <formula>$R15&gt;=100</formula>
    </cfRule>
    <cfRule type="expression" dxfId="51" priority="6">
      <formula>$R15&gt;=50</formula>
    </cfRule>
    <cfRule type="expression" dxfId="50" priority="7">
      <formula>$R15&gt;=24</formula>
    </cfRule>
  </conditionalFormatting>
  <conditionalFormatting sqref="W15:W21">
    <cfRule type="expression" dxfId="49" priority="4">
      <formula>$W15&gt;=12</formula>
    </cfRule>
  </conditionalFormatting>
  <conditionalFormatting sqref="W15:W21">
    <cfRule type="expression" dxfId="48" priority="1">
      <formula>$W15&gt;=100</formula>
    </cfRule>
    <cfRule type="expression" dxfId="47" priority="2">
      <formula>$W15&gt;=50</formula>
    </cfRule>
    <cfRule type="expression" dxfId="46" priority="3">
      <formula>$W15&gt;=24</formula>
    </cfRule>
  </conditionalFormatting>
  <dataValidations count="14">
    <dataValidation type="decimal" allowBlank="1" showInputMessage="1" showErrorMessage="1" errorTitle="Invalid Curing %" error="Choose a value between 0 and 100" promptTitle="Curing (%)" prompt="select a value betwen 0 and 100" sqref="O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 type="decimal" allowBlank="1" showInputMessage="1" showErrorMessage="1" errorTitle="Invalid Curing %" error="Choose a value between 0 and 100" promptTitle="Curing (%)" prompt="enter a value betwen 0 and 100" sqref="N4">
      <formula1>0</formula1>
      <formula2>100</formula2>
    </dataValidation>
    <dataValidation type="whole" allowBlank="1" showInputMessage="1" showErrorMessage="1" errorTitle="Invalid KBDI" error="enter a value between 0 and 200" promptTitle="KBDI" prompt="enter a value between 0 and 200_x000a_Keetch Byram Drought Index is the precipitation necessary to saturate the soil" sqref="Z2">
      <formula1>0</formula1>
      <formula2>200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C22" sqref="C22"/>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86</v>
      </c>
      <c r="F1" t="s">
        <v>23</v>
      </c>
      <c r="I1" t="s">
        <v>98</v>
      </c>
      <c r="J1" t="s">
        <v>101</v>
      </c>
      <c r="L1" t="s">
        <v>122</v>
      </c>
    </row>
    <row r="2" spans="1:12" x14ac:dyDescent="0.3">
      <c r="A2" s="39" t="s">
        <v>105</v>
      </c>
      <c r="B2" s="39" t="s">
        <v>103</v>
      </c>
      <c r="C2" s="39" t="s">
        <v>104</v>
      </c>
      <c r="D2" s="39" t="s">
        <v>108</v>
      </c>
      <c r="F2" t="s">
        <v>24</v>
      </c>
      <c r="I2" t="b">
        <v>1</v>
      </c>
      <c r="J2">
        <v>0.35</v>
      </c>
    </row>
    <row r="3" spans="1:12" x14ac:dyDescent="0.3">
      <c r="A3" t="s">
        <v>121</v>
      </c>
      <c r="B3" t="s">
        <v>70</v>
      </c>
      <c r="C3">
        <v>30</v>
      </c>
      <c r="D3" t="s">
        <v>124</v>
      </c>
      <c r="F3" t="s">
        <v>25</v>
      </c>
      <c r="I3" t="b">
        <v>0</v>
      </c>
      <c r="J3">
        <v>0.66700000000000004</v>
      </c>
    </row>
    <row r="4" spans="1:12" x14ac:dyDescent="0.3">
      <c r="A4" t="s">
        <v>121</v>
      </c>
      <c r="B4" t="s">
        <v>69</v>
      </c>
      <c r="C4">
        <v>25</v>
      </c>
      <c r="D4" t="s">
        <v>125</v>
      </c>
      <c r="F4" t="s">
        <v>26</v>
      </c>
    </row>
    <row r="5" spans="1:12" x14ac:dyDescent="0.3">
      <c r="A5" t="s">
        <v>121</v>
      </c>
      <c r="B5" t="s">
        <v>112</v>
      </c>
      <c r="C5">
        <v>25</v>
      </c>
      <c r="D5" t="s">
        <v>133</v>
      </c>
    </row>
    <row r="6" spans="1:12" x14ac:dyDescent="0.3">
      <c r="A6" t="s">
        <v>121</v>
      </c>
      <c r="B6" t="s">
        <v>63</v>
      </c>
      <c r="C6">
        <v>20</v>
      </c>
      <c r="D6" t="s">
        <v>134</v>
      </c>
    </row>
    <row r="7" spans="1:12" x14ac:dyDescent="0.3">
      <c r="A7" t="s">
        <v>47</v>
      </c>
      <c r="B7" t="s">
        <v>52</v>
      </c>
      <c r="C7">
        <v>8</v>
      </c>
      <c r="D7" t="s">
        <v>135</v>
      </c>
    </row>
    <row r="8" spans="1:12" x14ac:dyDescent="0.3">
      <c r="A8" t="s">
        <v>47</v>
      </c>
      <c r="B8" t="s">
        <v>66</v>
      </c>
      <c r="C8">
        <v>3</v>
      </c>
      <c r="D8" t="s">
        <v>126</v>
      </c>
    </row>
    <row r="9" spans="1:12" x14ac:dyDescent="0.3">
      <c r="A9" t="s">
        <v>47</v>
      </c>
      <c r="B9" t="s">
        <v>65</v>
      </c>
      <c r="C9">
        <v>3</v>
      </c>
      <c r="D9" t="s">
        <v>127</v>
      </c>
    </row>
    <row r="10" spans="1:12" x14ac:dyDescent="0.3">
      <c r="A10" t="s">
        <v>47</v>
      </c>
      <c r="B10" t="s">
        <v>55</v>
      </c>
      <c r="C10">
        <v>3</v>
      </c>
      <c r="D10" t="s">
        <v>128</v>
      </c>
    </row>
    <row r="11" spans="1:12" x14ac:dyDescent="0.3">
      <c r="A11" t="s">
        <v>47</v>
      </c>
      <c r="B11" t="s">
        <v>54</v>
      </c>
      <c r="C11">
        <v>3</v>
      </c>
      <c r="D11" t="s">
        <v>129</v>
      </c>
    </row>
    <row r="12" spans="1:12" x14ac:dyDescent="0.3">
      <c r="A12" t="s">
        <v>47</v>
      </c>
      <c r="B12" t="s">
        <v>56</v>
      </c>
      <c r="C12">
        <v>4.5</v>
      </c>
      <c r="D12" t="s">
        <v>130</v>
      </c>
    </row>
    <row r="13" spans="1:12" x14ac:dyDescent="0.3">
      <c r="A13" t="s">
        <v>47</v>
      </c>
      <c r="B13" t="s">
        <v>53</v>
      </c>
      <c r="C13">
        <v>10</v>
      </c>
      <c r="D13" t="s">
        <v>131</v>
      </c>
    </row>
    <row r="14" spans="1:12" x14ac:dyDescent="0.3">
      <c r="A14" t="s">
        <v>47</v>
      </c>
      <c r="B14" t="s">
        <v>67</v>
      </c>
      <c r="C14">
        <v>20</v>
      </c>
      <c r="D14" t="s">
        <v>132</v>
      </c>
    </row>
    <row r="15" spans="1:12" x14ac:dyDescent="0.3">
      <c r="A15" t="s">
        <v>47</v>
      </c>
      <c r="B15" t="s">
        <v>57</v>
      </c>
      <c r="C15">
        <v>20</v>
      </c>
      <c r="D15" t="s">
        <v>138</v>
      </c>
    </row>
    <row r="16" spans="1:12" x14ac:dyDescent="0.3">
      <c r="A16" t="s">
        <v>47</v>
      </c>
      <c r="B16" t="s">
        <v>7</v>
      </c>
      <c r="C16">
        <v>3</v>
      </c>
      <c r="D16" t="s">
        <v>139</v>
      </c>
    </row>
    <row r="17" spans="1:4" x14ac:dyDescent="0.3">
      <c r="A17" t="s">
        <v>80</v>
      </c>
      <c r="B17" t="s">
        <v>76</v>
      </c>
      <c r="C17">
        <v>100</v>
      </c>
      <c r="D17" t="s">
        <v>140</v>
      </c>
    </row>
    <row r="18" spans="1:4" x14ac:dyDescent="0.3">
      <c r="A18" t="s">
        <v>80</v>
      </c>
      <c r="B18" t="s">
        <v>32</v>
      </c>
      <c r="C18" t="s">
        <v>25</v>
      </c>
      <c r="D18" t="s">
        <v>141</v>
      </c>
    </row>
    <row r="19" spans="1:4" x14ac:dyDescent="0.3">
      <c r="A19" t="s">
        <v>106</v>
      </c>
      <c r="B19" t="s">
        <v>116</v>
      </c>
      <c r="C19">
        <v>20</v>
      </c>
      <c r="D19" t="s">
        <v>136</v>
      </c>
    </row>
    <row r="20" spans="1:4" x14ac:dyDescent="0.3">
      <c r="A20" t="s">
        <v>106</v>
      </c>
      <c r="B20" t="s">
        <v>107</v>
      </c>
      <c r="C20">
        <v>2</v>
      </c>
      <c r="D20" t="s">
        <v>137</v>
      </c>
    </row>
    <row r="21" spans="1:4" x14ac:dyDescent="0.3">
      <c r="A21" t="s">
        <v>106</v>
      </c>
      <c r="B21" t="s">
        <v>88</v>
      </c>
      <c r="C21">
        <v>48</v>
      </c>
      <c r="D21" t="s">
        <v>142</v>
      </c>
    </row>
    <row r="22" spans="1:4" x14ac:dyDescent="0.3">
      <c r="A22" t="s">
        <v>106</v>
      </c>
      <c r="B22" t="s">
        <v>113</v>
      </c>
      <c r="C22">
        <v>0.2</v>
      </c>
      <c r="D22" t="s">
        <v>114</v>
      </c>
    </row>
    <row r="23" spans="1:4" x14ac:dyDescent="0.3">
      <c r="A23" t="s">
        <v>106</v>
      </c>
      <c r="B23" t="s">
        <v>100</v>
      </c>
      <c r="C23" t="b">
        <v>0</v>
      </c>
      <c r="D23" t="s">
        <v>110</v>
      </c>
    </row>
    <row r="24" spans="1:4" x14ac:dyDescent="0.3">
      <c r="A24" t="s">
        <v>106</v>
      </c>
      <c r="B24" t="s">
        <v>87</v>
      </c>
    </row>
    <row r="25" spans="1:4" x14ac:dyDescent="0.3">
      <c r="A25" t="s">
        <v>143</v>
      </c>
      <c r="B25" t="s">
        <v>52</v>
      </c>
      <c r="C25">
        <v>8</v>
      </c>
      <c r="D25" t="s">
        <v>135</v>
      </c>
    </row>
    <row r="26" spans="1:4" x14ac:dyDescent="0.3">
      <c r="A26" t="s">
        <v>143</v>
      </c>
      <c r="B26" t="s">
        <v>7</v>
      </c>
      <c r="C26">
        <v>5</v>
      </c>
      <c r="D26" t="s">
        <v>144</v>
      </c>
    </row>
    <row r="27" spans="1:4" x14ac:dyDescent="0.3">
      <c r="A27" t="s">
        <v>143</v>
      </c>
      <c r="B27" t="s">
        <v>146</v>
      </c>
      <c r="C27">
        <v>100</v>
      </c>
      <c r="D27" t="s">
        <v>147</v>
      </c>
    </row>
    <row r="28" spans="1:4" x14ac:dyDescent="0.3">
      <c r="A28" t="s">
        <v>149</v>
      </c>
      <c r="B28" t="s">
        <v>53</v>
      </c>
      <c r="C28">
        <v>1.05</v>
      </c>
      <c r="D28" t="s">
        <v>131</v>
      </c>
    </row>
  </sheetData>
  <sortState ref="A3:D24">
    <sortCondition ref="A3:A24"/>
    <sortCondition ref="B3:B24"/>
  </sortState>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workbookViewId="0"/>
  </sheetViews>
  <sheetFormatPr defaultRowHeight="14.4" x14ac:dyDescent="0.3"/>
  <sheetData>
    <row r="1" spans="1:12" x14ac:dyDescent="0.3">
      <c r="A1" s="41" t="s">
        <v>48</v>
      </c>
      <c r="B1" s="41">
        <f>COUNTIF(A:A,"Pass")</f>
        <v>36</v>
      </c>
    </row>
    <row r="2" spans="1:12" x14ac:dyDescent="0.3">
      <c r="A2" s="40" t="s">
        <v>49</v>
      </c>
      <c r="B2" s="40">
        <f>COUNTIF(A:A,"Fail")</f>
        <v>5</v>
      </c>
    </row>
    <row r="4" spans="1:12" ht="100.05" customHeight="1" x14ac:dyDescent="0.3">
      <c r="A4" s="60" t="s">
        <v>44</v>
      </c>
      <c r="B4" s="61"/>
      <c r="C4" s="61"/>
      <c r="D4" s="61"/>
      <c r="E4" s="61"/>
      <c r="F4" s="61"/>
      <c r="G4" s="61"/>
      <c r="H4" s="61"/>
      <c r="I4" s="61"/>
      <c r="J4" s="61"/>
      <c r="K4" s="61"/>
      <c r="L4" s="61"/>
    </row>
    <row r="5" spans="1:12" x14ac:dyDescent="0.3">
      <c r="A5" s="39" t="s">
        <v>34</v>
      </c>
      <c r="B5" s="39" t="s">
        <v>33</v>
      </c>
      <c r="C5" s="39" t="s">
        <v>43</v>
      </c>
      <c r="D5" s="39" t="s">
        <v>45</v>
      </c>
      <c r="E5" s="39" t="s">
        <v>46</v>
      </c>
      <c r="F5" s="39" t="s">
        <v>81</v>
      </c>
    </row>
    <row r="6" spans="1:12" x14ac:dyDescent="0.3">
      <c r="A6" t="str">
        <f>IF(ISBLANK(B6),"",IF(B6=C6,"Pass","Fail"))</f>
        <v>Pass</v>
      </c>
      <c r="B6">
        <v>0</v>
      </c>
      <c r="C6">
        <f>fbi(D6,E6)</f>
        <v>0</v>
      </c>
      <c r="D6">
        <v>0</v>
      </c>
      <c r="E6" t="s">
        <v>47</v>
      </c>
      <c r="F6" t="s">
        <v>82</v>
      </c>
    </row>
    <row r="7" spans="1:12" x14ac:dyDescent="0.3">
      <c r="A7" t="str">
        <f t="shared" ref="A7:A39" si="0">IF(ISBLANK(B7),"",IF(B7=C7,"Pass","Fail"))</f>
        <v>Pass</v>
      </c>
      <c r="B7">
        <v>3</v>
      </c>
      <c r="C7">
        <f t="shared" ref="C7:C18" si="1">fbi(D7,E7)</f>
        <v>3</v>
      </c>
      <c r="D7">
        <v>50</v>
      </c>
      <c r="E7" t="s">
        <v>47</v>
      </c>
      <c r="F7" t="s">
        <v>82</v>
      </c>
    </row>
    <row r="8" spans="1:12" x14ac:dyDescent="0.3">
      <c r="A8" t="str">
        <f t="shared" si="0"/>
        <v>Pass</v>
      </c>
      <c r="B8">
        <v>6</v>
      </c>
      <c r="C8">
        <f t="shared" si="1"/>
        <v>6</v>
      </c>
      <c r="D8">
        <v>100</v>
      </c>
      <c r="E8" t="s">
        <v>47</v>
      </c>
      <c r="F8" t="s">
        <v>82</v>
      </c>
    </row>
    <row r="9" spans="1:12" x14ac:dyDescent="0.3">
      <c r="A9" t="str">
        <f t="shared" si="0"/>
        <v>Pass</v>
      </c>
      <c r="B9">
        <v>9</v>
      </c>
      <c r="C9">
        <f t="shared" si="1"/>
        <v>9</v>
      </c>
      <c r="D9">
        <v>425</v>
      </c>
      <c r="E9" t="s">
        <v>47</v>
      </c>
      <c r="F9" t="s">
        <v>82</v>
      </c>
    </row>
    <row r="10" spans="1:12" x14ac:dyDescent="0.3">
      <c r="A10" t="str">
        <f t="shared" si="0"/>
        <v>Pass</v>
      </c>
      <c r="B10">
        <v>12</v>
      </c>
      <c r="C10">
        <f t="shared" si="1"/>
        <v>12</v>
      </c>
      <c r="D10">
        <v>750</v>
      </c>
      <c r="E10" t="s">
        <v>47</v>
      </c>
      <c r="F10" t="s">
        <v>82</v>
      </c>
    </row>
    <row r="11" spans="1:12" x14ac:dyDescent="0.3">
      <c r="A11" t="str">
        <f t="shared" si="0"/>
        <v>Pass</v>
      </c>
      <c r="B11">
        <v>18</v>
      </c>
      <c r="C11">
        <f t="shared" si="1"/>
        <v>18</v>
      </c>
      <c r="D11">
        <v>2375</v>
      </c>
      <c r="E11" t="s">
        <v>47</v>
      </c>
      <c r="F11" t="s">
        <v>82</v>
      </c>
    </row>
    <row r="12" spans="1:12" x14ac:dyDescent="0.3">
      <c r="A12" t="str">
        <f t="shared" si="0"/>
        <v>Pass</v>
      </c>
      <c r="B12">
        <v>24</v>
      </c>
      <c r="C12">
        <f t="shared" si="1"/>
        <v>24</v>
      </c>
      <c r="D12">
        <v>4000</v>
      </c>
      <c r="E12" t="s">
        <v>47</v>
      </c>
      <c r="F12" t="s">
        <v>82</v>
      </c>
    </row>
    <row r="13" spans="1:12" x14ac:dyDescent="0.3">
      <c r="A13" t="str">
        <f t="shared" si="0"/>
        <v>Pass</v>
      </c>
      <c r="B13">
        <v>37</v>
      </c>
      <c r="C13">
        <f t="shared" si="1"/>
        <v>37</v>
      </c>
      <c r="D13">
        <v>7000</v>
      </c>
      <c r="E13" t="s">
        <v>47</v>
      </c>
      <c r="F13" t="s">
        <v>82</v>
      </c>
    </row>
    <row r="14" spans="1:12" x14ac:dyDescent="0.3">
      <c r="A14" t="str">
        <f t="shared" si="0"/>
        <v>Pass</v>
      </c>
      <c r="B14">
        <v>50</v>
      </c>
      <c r="C14">
        <f t="shared" si="1"/>
        <v>50</v>
      </c>
      <c r="D14">
        <v>10000</v>
      </c>
      <c r="E14" t="s">
        <v>47</v>
      </c>
      <c r="F14" t="s">
        <v>82</v>
      </c>
    </row>
    <row r="15" spans="1:12" x14ac:dyDescent="0.3">
      <c r="A15" t="str">
        <f t="shared" si="0"/>
        <v>Pass</v>
      </c>
      <c r="B15">
        <v>75</v>
      </c>
      <c r="C15">
        <f t="shared" si="1"/>
        <v>75</v>
      </c>
      <c r="D15">
        <v>20000</v>
      </c>
      <c r="E15" t="s">
        <v>47</v>
      </c>
      <c r="F15" t="s">
        <v>82</v>
      </c>
    </row>
    <row r="16" spans="1:12" x14ac:dyDescent="0.3">
      <c r="A16" t="str">
        <f t="shared" si="0"/>
        <v>Pass</v>
      </c>
      <c r="B16">
        <v>100</v>
      </c>
      <c r="C16">
        <f t="shared" si="1"/>
        <v>100</v>
      </c>
      <c r="D16">
        <v>30000</v>
      </c>
      <c r="E16" t="s">
        <v>47</v>
      </c>
      <c r="F16" t="s">
        <v>82</v>
      </c>
    </row>
    <row r="17" spans="1:6" x14ac:dyDescent="0.3">
      <c r="A17" t="str">
        <f t="shared" si="0"/>
        <v>Pass</v>
      </c>
      <c r="B17">
        <v>150</v>
      </c>
      <c r="C17">
        <f t="shared" si="1"/>
        <v>150</v>
      </c>
      <c r="D17">
        <v>60000</v>
      </c>
      <c r="E17" t="s">
        <v>47</v>
      </c>
      <c r="F17" t="s">
        <v>82</v>
      </c>
    </row>
    <row r="18" spans="1:6" x14ac:dyDescent="0.3">
      <c r="A18" t="str">
        <f t="shared" si="0"/>
        <v>Pass</v>
      </c>
      <c r="B18">
        <v>200</v>
      </c>
      <c r="C18">
        <f t="shared" si="1"/>
        <v>200</v>
      </c>
      <c r="D18">
        <v>90000</v>
      </c>
      <c r="E18" t="s">
        <v>47</v>
      </c>
      <c r="F18" t="s">
        <v>82</v>
      </c>
    </row>
    <row r="19" spans="1:6" x14ac:dyDescent="0.3">
      <c r="A19" t="str">
        <f t="shared" ref="A19:A36" si="2">IF(ISBLANK(B19),"",IF(B19=C19,"Pass","Fail"))</f>
        <v>Pass</v>
      </c>
      <c r="B19">
        <v>0</v>
      </c>
      <c r="C19">
        <f t="shared" ref="C19:C36" si="3">fbi(D19,E19)</f>
        <v>0</v>
      </c>
      <c r="D19">
        <v>0</v>
      </c>
      <c r="E19" t="s">
        <v>80</v>
      </c>
      <c r="F19" t="s">
        <v>82</v>
      </c>
    </row>
    <row r="20" spans="1:6" x14ac:dyDescent="0.3">
      <c r="A20" t="str">
        <f t="shared" si="2"/>
        <v>Pass</v>
      </c>
      <c r="B20">
        <v>3</v>
      </c>
      <c r="C20">
        <f t="shared" si="3"/>
        <v>3</v>
      </c>
      <c r="D20">
        <v>50</v>
      </c>
      <c r="E20" t="s">
        <v>80</v>
      </c>
      <c r="F20" t="s">
        <v>82</v>
      </c>
    </row>
    <row r="21" spans="1:6" x14ac:dyDescent="0.3">
      <c r="A21" t="str">
        <f t="shared" si="2"/>
        <v>Pass</v>
      </c>
      <c r="B21">
        <v>6</v>
      </c>
      <c r="C21">
        <f t="shared" si="3"/>
        <v>6</v>
      </c>
      <c r="D21">
        <v>100</v>
      </c>
      <c r="E21" t="s">
        <v>80</v>
      </c>
      <c r="F21" t="s">
        <v>82</v>
      </c>
    </row>
    <row r="22" spans="1:6" x14ac:dyDescent="0.3">
      <c r="A22" t="str">
        <f t="shared" si="2"/>
        <v>Pass</v>
      </c>
      <c r="B22">
        <v>9</v>
      </c>
      <c r="C22">
        <f t="shared" si="3"/>
        <v>9</v>
      </c>
      <c r="D22">
        <v>1550</v>
      </c>
      <c r="E22" t="s">
        <v>80</v>
      </c>
      <c r="F22" t="s">
        <v>82</v>
      </c>
    </row>
    <row r="23" spans="1:6" x14ac:dyDescent="0.3">
      <c r="A23" t="str">
        <f t="shared" si="2"/>
        <v>Pass</v>
      </c>
      <c r="B23">
        <v>12</v>
      </c>
      <c r="C23">
        <f t="shared" si="3"/>
        <v>12</v>
      </c>
      <c r="D23">
        <v>3000</v>
      </c>
      <c r="E23" t="s">
        <v>80</v>
      </c>
      <c r="F23" t="s">
        <v>82</v>
      </c>
    </row>
    <row r="24" spans="1:6" x14ac:dyDescent="0.3">
      <c r="A24" t="str">
        <f t="shared" si="2"/>
        <v>Pass</v>
      </c>
      <c r="B24">
        <v>18</v>
      </c>
      <c r="C24">
        <f t="shared" si="3"/>
        <v>18</v>
      </c>
      <c r="D24">
        <v>6000</v>
      </c>
      <c r="E24" t="s">
        <v>80</v>
      </c>
      <c r="F24" t="s">
        <v>82</v>
      </c>
    </row>
    <row r="25" spans="1:6" x14ac:dyDescent="0.3">
      <c r="A25" t="str">
        <f t="shared" si="2"/>
        <v>Pass</v>
      </c>
      <c r="B25">
        <v>24</v>
      </c>
      <c r="C25">
        <f t="shared" si="3"/>
        <v>24</v>
      </c>
      <c r="D25">
        <v>9000</v>
      </c>
      <c r="E25" t="s">
        <v>80</v>
      </c>
      <c r="F25" t="s">
        <v>82</v>
      </c>
    </row>
    <row r="26" spans="1:6" x14ac:dyDescent="0.3">
      <c r="A26" t="str">
        <f t="shared" si="2"/>
        <v>Pass</v>
      </c>
      <c r="B26">
        <v>37</v>
      </c>
      <c r="C26">
        <f t="shared" si="3"/>
        <v>37</v>
      </c>
      <c r="D26">
        <v>13250</v>
      </c>
      <c r="E26" t="s">
        <v>80</v>
      </c>
      <c r="F26" t="s">
        <v>82</v>
      </c>
    </row>
    <row r="27" spans="1:6" x14ac:dyDescent="0.3">
      <c r="A27" t="str">
        <f t="shared" si="2"/>
        <v>Pass</v>
      </c>
      <c r="B27">
        <v>50</v>
      </c>
      <c r="C27">
        <f t="shared" si="3"/>
        <v>50</v>
      </c>
      <c r="D27">
        <v>17500</v>
      </c>
      <c r="E27" t="s">
        <v>80</v>
      </c>
      <c r="F27" t="s">
        <v>82</v>
      </c>
    </row>
    <row r="28" spans="1:6" x14ac:dyDescent="0.3">
      <c r="A28" t="str">
        <f t="shared" si="2"/>
        <v>Pass</v>
      </c>
      <c r="B28">
        <v>75</v>
      </c>
      <c r="C28">
        <f t="shared" si="3"/>
        <v>75</v>
      </c>
      <c r="D28">
        <v>21250</v>
      </c>
      <c r="E28" t="s">
        <v>80</v>
      </c>
      <c r="F28" t="s">
        <v>82</v>
      </c>
    </row>
    <row r="29" spans="1:6" x14ac:dyDescent="0.3">
      <c r="A29" t="str">
        <f t="shared" si="2"/>
        <v>Pass</v>
      </c>
      <c r="B29">
        <v>100</v>
      </c>
      <c r="C29">
        <f t="shared" si="3"/>
        <v>100</v>
      </c>
      <c r="D29">
        <v>25000</v>
      </c>
      <c r="E29" t="s">
        <v>80</v>
      </c>
      <c r="F29" t="s">
        <v>82</v>
      </c>
    </row>
    <row r="30" spans="1:6" x14ac:dyDescent="0.3">
      <c r="A30" t="str">
        <f t="shared" si="2"/>
        <v>Pass</v>
      </c>
      <c r="B30">
        <v>150</v>
      </c>
      <c r="C30">
        <f t="shared" si="3"/>
        <v>150</v>
      </c>
      <c r="D30">
        <v>57500</v>
      </c>
      <c r="E30" t="s">
        <v>80</v>
      </c>
      <c r="F30" t="s">
        <v>82</v>
      </c>
    </row>
    <row r="31" spans="1:6" x14ac:dyDescent="0.3">
      <c r="A31" t="str">
        <f t="shared" si="2"/>
        <v>Pass</v>
      </c>
      <c r="B31">
        <v>200</v>
      </c>
      <c r="C31">
        <f t="shared" si="3"/>
        <v>200</v>
      </c>
      <c r="D31">
        <v>90000</v>
      </c>
      <c r="E31" t="s">
        <v>80</v>
      </c>
      <c r="F31" t="s">
        <v>82</v>
      </c>
    </row>
    <row r="32" spans="1:6" x14ac:dyDescent="0.3">
      <c r="A32" t="str">
        <f t="shared" si="2"/>
        <v>Pass</v>
      </c>
      <c r="B32">
        <v>7</v>
      </c>
      <c r="C32">
        <f t="shared" si="3"/>
        <v>7</v>
      </c>
      <c r="D32">
        <v>223</v>
      </c>
      <c r="E32" t="s">
        <v>47</v>
      </c>
      <c r="F32" t="s">
        <v>92</v>
      </c>
    </row>
    <row r="33" spans="1:12" x14ac:dyDescent="0.3">
      <c r="A33" t="str">
        <f t="shared" si="2"/>
        <v>Pass</v>
      </c>
      <c r="B33">
        <v>6</v>
      </c>
      <c r="C33">
        <f t="shared" si="3"/>
        <v>6</v>
      </c>
      <c r="D33">
        <v>162</v>
      </c>
      <c r="E33" t="s">
        <v>47</v>
      </c>
      <c r="F33" t="s">
        <v>92</v>
      </c>
    </row>
    <row r="34" spans="1:12" x14ac:dyDescent="0.3">
      <c r="A34" t="str">
        <f t="shared" si="2"/>
        <v>Pass</v>
      </c>
      <c r="B34">
        <v>18</v>
      </c>
      <c r="C34">
        <f t="shared" si="3"/>
        <v>18</v>
      </c>
      <c r="D34">
        <v>2644.7080000000001</v>
      </c>
      <c r="E34" t="s">
        <v>47</v>
      </c>
      <c r="F34" t="s">
        <v>118</v>
      </c>
    </row>
    <row r="35" spans="1:12" x14ac:dyDescent="0.3">
      <c r="A35" t="str">
        <f t="shared" si="2"/>
        <v>Pass</v>
      </c>
      <c r="B35">
        <v>30</v>
      </c>
      <c r="C35">
        <f t="shared" si="3"/>
        <v>30</v>
      </c>
      <c r="D35">
        <v>5406.5439999999999</v>
      </c>
      <c r="E35" t="s">
        <v>47</v>
      </c>
      <c r="F35" t="s">
        <v>118</v>
      </c>
    </row>
    <row r="36" spans="1:12" x14ac:dyDescent="0.3">
      <c r="A36" t="str">
        <f t="shared" si="2"/>
        <v>Pass</v>
      </c>
      <c r="B36">
        <v>19</v>
      </c>
      <c r="C36" s="36">
        <f t="shared" si="3"/>
        <v>19</v>
      </c>
      <c r="D36">
        <v>2786.11</v>
      </c>
      <c r="E36" t="s">
        <v>47</v>
      </c>
      <c r="F36" t="s">
        <v>118</v>
      </c>
    </row>
    <row r="37" spans="1:12" x14ac:dyDescent="0.3">
      <c r="D37">
        <v>2786.11</v>
      </c>
    </row>
    <row r="39" spans="1:12" x14ac:dyDescent="0.3">
      <c r="A39" t="str">
        <f t="shared" si="0"/>
        <v/>
      </c>
    </row>
    <row r="40" spans="1:12" ht="100.05" customHeight="1" x14ac:dyDescent="0.3">
      <c r="A40" s="60" t="s">
        <v>60</v>
      </c>
      <c r="B40" s="61"/>
      <c r="C40" s="61"/>
      <c r="D40" s="61"/>
      <c r="E40" s="61"/>
      <c r="F40" s="61"/>
      <c r="G40" s="61"/>
      <c r="H40" s="61"/>
      <c r="I40" s="61"/>
      <c r="J40" s="61"/>
      <c r="K40" s="61"/>
      <c r="L40" s="61"/>
    </row>
    <row r="41" spans="1:12" s="39" customFormat="1" x14ac:dyDescent="0.3">
      <c r="A41" s="39" t="s">
        <v>34</v>
      </c>
      <c r="B41" s="39" t="s">
        <v>33</v>
      </c>
      <c r="C41" s="39" t="s">
        <v>43</v>
      </c>
      <c r="D41" s="39" t="s">
        <v>50</v>
      </c>
      <c r="E41" s="39" t="s">
        <v>51</v>
      </c>
      <c r="F41" s="39" t="s">
        <v>81</v>
      </c>
    </row>
    <row r="42" spans="1:12" x14ac:dyDescent="0.3">
      <c r="A42" t="str">
        <f t="shared" ref="A42:A53" si="4">IF(ISBLANK(B42),"",IF(B42=C42,"Pass","Fail"))</f>
        <v>Pass</v>
      </c>
      <c r="B42">
        <v>517</v>
      </c>
      <c r="C42">
        <f>Intensity(D42,E42)</f>
        <v>517</v>
      </c>
      <c r="D42">
        <v>200</v>
      </c>
      <c r="E42">
        <v>5</v>
      </c>
      <c r="F42" t="s">
        <v>78</v>
      </c>
    </row>
    <row r="43" spans="1:12" x14ac:dyDescent="0.3">
      <c r="A43" t="str">
        <f t="shared" si="4"/>
        <v>Pass</v>
      </c>
      <c r="B43">
        <v>5167</v>
      </c>
      <c r="C43">
        <f t="shared" ref="C43:C45" si="5">Intensity(D43,E43)</f>
        <v>5167</v>
      </c>
      <c r="D43">
        <v>2000</v>
      </c>
      <c r="E43">
        <v>5</v>
      </c>
      <c r="F43" t="s">
        <v>78</v>
      </c>
    </row>
    <row r="44" spans="1:12" x14ac:dyDescent="0.3">
      <c r="A44" t="str">
        <f t="shared" si="4"/>
        <v>Pass</v>
      </c>
      <c r="B44">
        <v>1550</v>
      </c>
      <c r="C44">
        <f t="shared" si="5"/>
        <v>1550</v>
      </c>
      <c r="D44">
        <v>200</v>
      </c>
      <c r="E44">
        <v>15</v>
      </c>
      <c r="F44" t="s">
        <v>78</v>
      </c>
    </row>
    <row r="45" spans="1:12" x14ac:dyDescent="0.3">
      <c r="A45" t="str">
        <f t="shared" si="4"/>
        <v>Pass</v>
      </c>
      <c r="B45">
        <v>15500</v>
      </c>
      <c r="C45">
        <f t="shared" si="5"/>
        <v>15500</v>
      </c>
      <c r="D45">
        <v>2000</v>
      </c>
      <c r="E45">
        <v>15</v>
      </c>
      <c r="F45" t="s">
        <v>78</v>
      </c>
    </row>
    <row r="53" spans="1:12" x14ac:dyDescent="0.3">
      <c r="A53" t="str">
        <f t="shared" si="4"/>
        <v/>
      </c>
    </row>
    <row r="54" spans="1:12" ht="100.05" customHeight="1" x14ac:dyDescent="0.3">
      <c r="A54" s="60" t="s">
        <v>115</v>
      </c>
      <c r="B54" s="61"/>
      <c r="C54" s="61"/>
      <c r="D54" s="61"/>
      <c r="E54" s="61"/>
      <c r="F54" s="61"/>
      <c r="G54" s="61"/>
      <c r="H54" s="61"/>
      <c r="I54" s="61"/>
      <c r="J54" s="61"/>
      <c r="K54" s="61"/>
      <c r="L54" s="61"/>
    </row>
    <row r="55" spans="1:12" x14ac:dyDescent="0.3">
      <c r="A55" s="39" t="s">
        <v>34</v>
      </c>
      <c r="B55" s="39" t="s">
        <v>33</v>
      </c>
      <c r="C55" s="39" t="s">
        <v>43</v>
      </c>
      <c r="D55" s="39" t="s">
        <v>116</v>
      </c>
      <c r="E55" s="39" t="s">
        <v>112</v>
      </c>
      <c r="F55" s="39" t="s">
        <v>113</v>
      </c>
      <c r="G55" s="39" t="s">
        <v>81</v>
      </c>
    </row>
    <row r="56" spans="1:12" x14ac:dyDescent="0.3">
      <c r="A56" t="str">
        <f t="shared" ref="A56:A61" si="6">IF(ISBLANK(B56),"",IF(B56=C56,"Pass","Fail"))</f>
        <v>Fail</v>
      </c>
      <c r="B56">
        <v>8</v>
      </c>
      <c r="C56">
        <f>ROUND(Fuel_load(D56,E56,F56),1)</f>
        <v>7.6</v>
      </c>
      <c r="D56">
        <v>12</v>
      </c>
      <c r="E56">
        <v>5</v>
      </c>
      <c r="F56">
        <v>0.2</v>
      </c>
    </row>
    <row r="57" spans="1:12" x14ac:dyDescent="0.3">
      <c r="A57" t="str">
        <f t="shared" si="6"/>
        <v>Fail</v>
      </c>
      <c r="B57">
        <v>10</v>
      </c>
      <c r="C57">
        <f t="shared" ref="C57:C61" si="7">ROUND(Fuel_load(D57,E57,F57),1)</f>
        <v>10.4</v>
      </c>
      <c r="D57">
        <v>12</v>
      </c>
      <c r="E57">
        <v>10</v>
      </c>
      <c r="F57">
        <v>0.2</v>
      </c>
    </row>
    <row r="58" spans="1:12" x14ac:dyDescent="0.3">
      <c r="A58" t="str">
        <f t="shared" si="6"/>
        <v>Fail</v>
      </c>
      <c r="B58">
        <v>11</v>
      </c>
      <c r="C58">
        <f t="shared" si="7"/>
        <v>11.4</v>
      </c>
      <c r="D58">
        <v>12</v>
      </c>
      <c r="E58">
        <v>15</v>
      </c>
      <c r="F58">
        <v>0.2</v>
      </c>
    </row>
    <row r="59" spans="1:12" x14ac:dyDescent="0.3">
      <c r="A59" t="str">
        <f t="shared" si="6"/>
        <v>Fail</v>
      </c>
      <c r="B59">
        <v>12</v>
      </c>
      <c r="C59">
        <f t="shared" si="7"/>
        <v>11.8</v>
      </c>
      <c r="D59">
        <v>12</v>
      </c>
      <c r="E59">
        <v>20</v>
      </c>
      <c r="F59">
        <v>0.2</v>
      </c>
    </row>
    <row r="60" spans="1:12" x14ac:dyDescent="0.3">
      <c r="A60" t="str">
        <f t="shared" si="6"/>
        <v>Fail</v>
      </c>
      <c r="B60">
        <v>12</v>
      </c>
      <c r="C60">
        <f t="shared" si="7"/>
        <v>11.9</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45" priority="5">
      <formula>$A6="Fail"</formula>
    </cfRule>
    <cfRule type="expression" dxfId="44" priority="6">
      <formula>$A$6="Pass"</formula>
    </cfRule>
  </conditionalFormatting>
  <conditionalFormatting sqref="A42:A53">
    <cfRule type="expression" dxfId="43" priority="3">
      <formula>$A42="Fail"</formula>
    </cfRule>
    <cfRule type="expression" dxfId="42" priority="4">
      <formula>$A$6="Pass"</formula>
    </cfRule>
  </conditionalFormatting>
  <conditionalFormatting sqref="A56:A61">
    <cfRule type="expression" dxfId="41" priority="1">
      <formula>$A56="Fail"</formula>
    </cfRule>
    <cfRule type="expression" dxfId="40" priority="2">
      <formula>$A$6="Pass"</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workbookViewId="0">
      <selection activeCell="Q11" sqref="Q11"/>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60" t="s">
        <v>59</v>
      </c>
      <c r="B4" s="61"/>
      <c r="C4" s="61"/>
      <c r="D4" s="61"/>
      <c r="E4" s="61"/>
      <c r="F4" s="61"/>
      <c r="G4" s="61"/>
      <c r="H4" s="61"/>
      <c r="I4" s="61"/>
      <c r="J4" s="61"/>
      <c r="K4" s="61"/>
      <c r="L4" s="61"/>
    </row>
    <row r="5" spans="1:12" x14ac:dyDescent="0.3">
      <c r="A5" s="39" t="s">
        <v>34</v>
      </c>
      <c r="B5" s="39" t="s">
        <v>33</v>
      </c>
      <c r="C5" s="39" t="s">
        <v>43</v>
      </c>
      <c r="D5" s="39" t="s">
        <v>50</v>
      </c>
      <c r="E5" s="39" t="s">
        <v>52</v>
      </c>
      <c r="F5" s="39" t="s">
        <v>58</v>
      </c>
      <c r="G5" s="39" t="s">
        <v>53</v>
      </c>
      <c r="H5" s="39" t="s">
        <v>54</v>
      </c>
      <c r="I5" s="39" t="s">
        <v>55</v>
      </c>
      <c r="J5" s="39" t="s">
        <v>56</v>
      </c>
      <c r="K5" s="39" t="s">
        <v>57</v>
      </c>
      <c r="L5" s="39" t="s">
        <v>81</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60" t="s">
        <v>61</v>
      </c>
      <c r="B13" s="61"/>
      <c r="C13" s="61"/>
      <c r="D13" s="61"/>
      <c r="E13" s="61"/>
      <c r="F13" s="61"/>
      <c r="G13" s="61"/>
      <c r="H13" s="61"/>
      <c r="I13" s="61"/>
      <c r="J13" s="61"/>
      <c r="K13" s="61"/>
      <c r="L13" s="61"/>
    </row>
    <row r="14" spans="1:12" x14ac:dyDescent="0.3">
      <c r="A14" s="39" t="s">
        <v>34</v>
      </c>
      <c r="B14" s="39" t="s">
        <v>33</v>
      </c>
      <c r="C14" s="39" t="s">
        <v>43</v>
      </c>
      <c r="D14" s="39" t="s">
        <v>50</v>
      </c>
      <c r="E14" s="39" t="s">
        <v>62</v>
      </c>
      <c r="F14" s="39" t="s">
        <v>81</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60" t="s">
        <v>64</v>
      </c>
      <c r="B20" s="61"/>
      <c r="C20" s="61"/>
      <c r="D20" s="61"/>
      <c r="E20" s="61"/>
      <c r="F20" s="61"/>
      <c r="G20" s="61"/>
      <c r="H20" s="61"/>
      <c r="I20" s="61"/>
      <c r="J20" s="61"/>
      <c r="K20" s="61"/>
      <c r="L20" s="61"/>
    </row>
    <row r="21" spans="1:22" x14ac:dyDescent="0.3">
      <c r="A21" s="39" t="s">
        <v>34</v>
      </c>
      <c r="B21" s="39" t="s">
        <v>33</v>
      </c>
      <c r="C21" s="39" t="s">
        <v>43</v>
      </c>
      <c r="D21" s="39" t="s">
        <v>63</v>
      </c>
      <c r="E21" s="39" t="s">
        <v>65</v>
      </c>
      <c r="F21" s="39" t="s">
        <v>66</v>
      </c>
      <c r="G21" s="39" t="s">
        <v>67</v>
      </c>
      <c r="H21" s="39" t="s">
        <v>68</v>
      </c>
      <c r="I21" s="39" t="s">
        <v>52</v>
      </c>
      <c r="J21" s="39" t="s">
        <v>7</v>
      </c>
      <c r="K21" s="39" t="s">
        <v>81</v>
      </c>
    </row>
    <row r="22" spans="1:22" x14ac:dyDescent="0.3">
      <c r="A22" t="str">
        <f>IF(ISBLANK(B22),"",IF(B22=C22,"Pass","Fail"))</f>
        <v>Fail</v>
      </c>
      <c r="B22" s="45">
        <v>178</v>
      </c>
      <c r="C22">
        <f>ROS_forest(D22,E22,F22,G22,H22,I22,J22)</f>
        <v>135</v>
      </c>
      <c r="D22">
        <v>10</v>
      </c>
      <c r="E22">
        <v>2</v>
      </c>
      <c r="F22">
        <v>2</v>
      </c>
      <c r="G22">
        <v>20</v>
      </c>
      <c r="H22">
        <v>6.4</v>
      </c>
      <c r="I22">
        <v>8</v>
      </c>
      <c r="J22">
        <v>3</v>
      </c>
      <c r="K22" t="s">
        <v>78</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78</v>
      </c>
      <c r="V23" s="44"/>
    </row>
    <row r="24" spans="1:22" x14ac:dyDescent="0.3">
      <c r="A24" t="str">
        <f t="shared" si="4"/>
        <v>Fail</v>
      </c>
      <c r="B24" s="45">
        <v>2726</v>
      </c>
      <c r="C24">
        <f t="shared" si="5"/>
        <v>588</v>
      </c>
      <c r="D24">
        <v>30</v>
      </c>
      <c r="E24">
        <v>3</v>
      </c>
      <c r="F24">
        <v>3</v>
      </c>
      <c r="G24">
        <v>20</v>
      </c>
      <c r="H24">
        <v>7.8125</v>
      </c>
      <c r="I24">
        <v>8</v>
      </c>
      <c r="J24">
        <v>3</v>
      </c>
      <c r="K24" t="s">
        <v>78</v>
      </c>
      <c r="V24" s="44"/>
    </row>
    <row r="25" spans="1:22" x14ac:dyDescent="0.3">
      <c r="A25" t="str">
        <f t="shared" si="4"/>
        <v>Fail</v>
      </c>
      <c r="B25" s="45">
        <v>2869</v>
      </c>
      <c r="C25">
        <f t="shared" si="5"/>
        <v>775</v>
      </c>
      <c r="D25">
        <v>40</v>
      </c>
      <c r="E25">
        <v>3</v>
      </c>
      <c r="F25">
        <v>3</v>
      </c>
      <c r="G25">
        <v>20</v>
      </c>
      <c r="H25">
        <v>7.8125</v>
      </c>
      <c r="I25">
        <v>8</v>
      </c>
      <c r="J25">
        <v>3</v>
      </c>
      <c r="K25" t="s">
        <v>78</v>
      </c>
    </row>
    <row r="26" spans="1:22" x14ac:dyDescent="0.3">
      <c r="A26" t="str">
        <f t="shared" si="4"/>
        <v>Fail</v>
      </c>
      <c r="B26" s="45">
        <v>354</v>
      </c>
      <c r="C26">
        <f t="shared" si="5"/>
        <v>955</v>
      </c>
      <c r="D26">
        <v>50</v>
      </c>
      <c r="E26">
        <v>3</v>
      </c>
      <c r="F26">
        <v>3</v>
      </c>
      <c r="G26">
        <v>20</v>
      </c>
      <c r="H26">
        <v>7.8125</v>
      </c>
      <c r="I26">
        <v>8</v>
      </c>
      <c r="J26">
        <v>3</v>
      </c>
      <c r="K26" t="s">
        <v>78</v>
      </c>
    </row>
    <row r="27" spans="1:22" x14ac:dyDescent="0.3">
      <c r="A27" t="str">
        <f t="shared" si="4"/>
        <v>Fail</v>
      </c>
      <c r="B27" s="45">
        <v>2566</v>
      </c>
      <c r="C27">
        <f t="shared" si="5"/>
        <v>1130</v>
      </c>
      <c r="D27">
        <v>60</v>
      </c>
      <c r="E27">
        <v>3</v>
      </c>
      <c r="F27">
        <v>3</v>
      </c>
      <c r="G27">
        <v>20</v>
      </c>
      <c r="H27">
        <v>7.8125</v>
      </c>
      <c r="I27">
        <v>8</v>
      </c>
      <c r="J27">
        <v>3</v>
      </c>
      <c r="K27" t="s">
        <v>78</v>
      </c>
    </row>
    <row r="28" spans="1:22" x14ac:dyDescent="0.3">
      <c r="A28" t="str">
        <f t="shared" si="4"/>
        <v>Fail</v>
      </c>
      <c r="B28" s="45">
        <v>3482</v>
      </c>
      <c r="C28">
        <f t="shared" si="5"/>
        <v>1300</v>
      </c>
      <c r="D28">
        <v>70</v>
      </c>
      <c r="E28">
        <v>3</v>
      </c>
      <c r="F28">
        <v>3</v>
      </c>
      <c r="G28">
        <v>20</v>
      </c>
      <c r="H28">
        <v>7.8125</v>
      </c>
      <c r="I28">
        <v>8</v>
      </c>
      <c r="J28">
        <v>3</v>
      </c>
      <c r="K28" t="s">
        <v>78</v>
      </c>
    </row>
    <row r="29" spans="1:22" x14ac:dyDescent="0.3">
      <c r="A29" t="str">
        <f t="shared" si="4"/>
        <v/>
      </c>
    </row>
    <row r="30" spans="1:22" ht="100.05" customHeight="1" x14ac:dyDescent="0.3">
      <c r="A30" s="60" t="s">
        <v>73</v>
      </c>
      <c r="B30" s="61"/>
      <c r="C30" s="61"/>
      <c r="D30" s="61"/>
      <c r="E30" s="61"/>
      <c r="F30" s="61"/>
      <c r="G30" s="61"/>
      <c r="H30" s="61"/>
      <c r="I30" s="61"/>
      <c r="J30" s="61"/>
      <c r="K30" s="61"/>
      <c r="L30" s="61"/>
    </row>
    <row r="31" spans="1:22" x14ac:dyDescent="0.3">
      <c r="A31" s="39" t="s">
        <v>34</v>
      </c>
      <c r="B31" s="39" t="s">
        <v>33</v>
      </c>
      <c r="C31" s="39" t="s">
        <v>43</v>
      </c>
      <c r="D31" s="39" t="s">
        <v>69</v>
      </c>
      <c r="E31" s="39" t="s">
        <v>70</v>
      </c>
      <c r="F31" s="39" t="s">
        <v>71</v>
      </c>
      <c r="G31" s="39" t="s">
        <v>72</v>
      </c>
      <c r="H31" s="39" t="s">
        <v>81</v>
      </c>
    </row>
    <row r="32" spans="1:22" x14ac:dyDescent="0.3">
      <c r="A32" t="str">
        <f>IF(ISBLANK(B32),"",IF(B32=C32,"Pass","Fail"))</f>
        <v>Pass</v>
      </c>
      <c r="B32">
        <v>4.5999999999999996</v>
      </c>
      <c r="C32">
        <f>ROUND(FMC_Forest(D32,E32,F32,G32),1)</f>
        <v>4.5999999999999996</v>
      </c>
      <c r="D32">
        <v>10</v>
      </c>
      <c r="E32">
        <v>10</v>
      </c>
      <c r="F32" s="43">
        <v>44813</v>
      </c>
      <c r="G32" s="44">
        <v>1.0416666666666666E-2</v>
      </c>
      <c r="H32" t="s">
        <v>83</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83</v>
      </c>
    </row>
    <row r="34" spans="1:12" x14ac:dyDescent="0.3">
      <c r="A34" t="str">
        <f t="shared" si="6"/>
        <v>Pass</v>
      </c>
      <c r="B34">
        <v>3.6</v>
      </c>
      <c r="C34">
        <f t="shared" si="7"/>
        <v>3.6</v>
      </c>
      <c r="D34">
        <v>30</v>
      </c>
      <c r="E34">
        <v>10</v>
      </c>
      <c r="F34" s="43">
        <v>44813</v>
      </c>
      <c r="G34" s="44">
        <v>1.0416666666666666E-2</v>
      </c>
      <c r="H34" t="s">
        <v>83</v>
      </c>
    </row>
    <row r="35" spans="1:12" x14ac:dyDescent="0.3">
      <c r="A35" t="str">
        <f t="shared" si="6"/>
        <v>Pass</v>
      </c>
      <c r="B35">
        <v>6.6</v>
      </c>
      <c r="C35">
        <f t="shared" si="7"/>
        <v>6.6</v>
      </c>
      <c r="D35">
        <v>10</v>
      </c>
      <c r="E35">
        <v>20</v>
      </c>
      <c r="F35" s="43">
        <v>44813</v>
      </c>
      <c r="G35" s="44">
        <v>1.0416666666666666E-2</v>
      </c>
      <c r="H35" t="s">
        <v>83</v>
      </c>
    </row>
    <row r="36" spans="1:12" x14ac:dyDescent="0.3">
      <c r="A36" t="str">
        <f t="shared" si="6"/>
        <v>Pass</v>
      </c>
      <c r="B36">
        <v>6.1</v>
      </c>
      <c r="C36">
        <f t="shared" si="7"/>
        <v>6.1</v>
      </c>
      <c r="D36">
        <v>20</v>
      </c>
      <c r="E36">
        <v>20</v>
      </c>
      <c r="F36" s="43">
        <v>44813</v>
      </c>
      <c r="G36" s="44">
        <v>1.0416666666666666E-2</v>
      </c>
      <c r="H36" t="s">
        <v>83</v>
      </c>
    </row>
    <row r="37" spans="1:12" x14ac:dyDescent="0.3">
      <c r="A37" t="str">
        <f t="shared" si="6"/>
        <v>Pass</v>
      </c>
      <c r="B37">
        <v>5.6</v>
      </c>
      <c r="C37">
        <f t="shared" si="7"/>
        <v>5.6</v>
      </c>
      <c r="D37">
        <v>30</v>
      </c>
      <c r="E37">
        <v>20</v>
      </c>
      <c r="F37" s="43">
        <v>44813</v>
      </c>
      <c r="G37" s="44">
        <v>1.0416666666666666E-2</v>
      </c>
      <c r="H37" t="s">
        <v>83</v>
      </c>
    </row>
    <row r="38" spans="1:12" x14ac:dyDescent="0.3">
      <c r="A38" t="str">
        <f t="shared" si="6"/>
        <v>Pass</v>
      </c>
      <c r="B38">
        <v>8.5</v>
      </c>
      <c r="C38">
        <f t="shared" si="7"/>
        <v>8.5</v>
      </c>
      <c r="D38">
        <v>10</v>
      </c>
      <c r="E38">
        <v>30</v>
      </c>
      <c r="F38" s="43">
        <v>44813</v>
      </c>
      <c r="G38" s="44">
        <v>1.0416666666666666E-2</v>
      </c>
      <c r="H38" t="s">
        <v>83</v>
      </c>
    </row>
    <row r="39" spans="1:12" x14ac:dyDescent="0.3">
      <c r="A39" t="str">
        <f t="shared" si="6"/>
        <v>Pass</v>
      </c>
      <c r="B39">
        <v>8.1</v>
      </c>
      <c r="C39">
        <f t="shared" si="7"/>
        <v>8.1</v>
      </c>
      <c r="D39">
        <v>20</v>
      </c>
      <c r="E39">
        <v>30</v>
      </c>
      <c r="F39" s="43">
        <v>44813</v>
      </c>
      <c r="G39" s="44">
        <v>1.0416666666666666E-2</v>
      </c>
      <c r="H39" t="s">
        <v>83</v>
      </c>
    </row>
    <row r="40" spans="1:12" x14ac:dyDescent="0.3">
      <c r="A40" t="str">
        <f t="shared" si="6"/>
        <v>Pass</v>
      </c>
      <c r="B40">
        <v>7.8</v>
      </c>
      <c r="C40">
        <f t="shared" si="7"/>
        <v>7.8</v>
      </c>
      <c r="D40">
        <v>25</v>
      </c>
      <c r="E40">
        <v>30</v>
      </c>
      <c r="F40" s="43">
        <v>44813</v>
      </c>
      <c r="G40" s="44">
        <v>0.17847222222222223</v>
      </c>
      <c r="H40" t="s">
        <v>83</v>
      </c>
    </row>
    <row r="41" spans="1:12" x14ac:dyDescent="0.3">
      <c r="A41" t="str">
        <f t="shared" si="6"/>
        <v/>
      </c>
      <c r="F41" s="43"/>
      <c r="G41" s="44"/>
    </row>
    <row r="42" spans="1:12" ht="100.05" customHeight="1" x14ac:dyDescent="0.3">
      <c r="A42" s="60" t="s">
        <v>74</v>
      </c>
      <c r="B42" s="61"/>
      <c r="C42" s="61"/>
      <c r="D42" s="61"/>
      <c r="E42" s="61"/>
      <c r="F42" s="61"/>
      <c r="G42" s="61"/>
      <c r="H42" s="61"/>
      <c r="I42" s="61"/>
      <c r="J42" s="61"/>
      <c r="K42" s="61"/>
      <c r="L42" s="61"/>
    </row>
    <row r="43" spans="1:12" x14ac:dyDescent="0.3">
      <c r="A43" s="39" t="s">
        <v>34</v>
      </c>
      <c r="B43" s="39" t="s">
        <v>33</v>
      </c>
      <c r="C43" s="39" t="s">
        <v>43</v>
      </c>
      <c r="D43" s="39" t="s">
        <v>68</v>
      </c>
      <c r="E43" s="39" t="s">
        <v>81</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60" t="s">
        <v>94</v>
      </c>
      <c r="B50" s="61"/>
      <c r="C50" s="61"/>
      <c r="D50" s="61"/>
      <c r="E50" s="61"/>
      <c r="F50" s="61"/>
      <c r="G50" s="61"/>
      <c r="H50" s="61"/>
      <c r="I50" s="61"/>
      <c r="J50" s="61"/>
      <c r="K50" s="61"/>
      <c r="L50" s="61"/>
    </row>
    <row r="51" spans="1:12" x14ac:dyDescent="0.3">
      <c r="A51" s="39" t="s">
        <v>34</v>
      </c>
      <c r="B51" s="39" t="s">
        <v>33</v>
      </c>
      <c r="C51" s="39" t="s">
        <v>43</v>
      </c>
      <c r="D51" s="39" t="s">
        <v>50</v>
      </c>
      <c r="E51" s="39" t="s">
        <v>63</v>
      </c>
      <c r="F51" s="39" t="s">
        <v>65</v>
      </c>
      <c r="G51" s="39" t="s">
        <v>81</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93</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39" priority="11">
      <formula>$A6="Fail"</formula>
    </cfRule>
    <cfRule type="expression" dxfId="38" priority="12">
      <formula>$A$9="Pass"</formula>
    </cfRule>
  </conditionalFormatting>
  <conditionalFormatting sqref="A15:A19">
    <cfRule type="expression" dxfId="37" priority="9">
      <formula>$A15="Fail"</formula>
    </cfRule>
    <cfRule type="expression" dxfId="36" priority="10">
      <formula>$A$9="Pass"</formula>
    </cfRule>
  </conditionalFormatting>
  <conditionalFormatting sqref="A22:A29">
    <cfRule type="expression" dxfId="35" priority="7">
      <formula>$A22="Fail"</formula>
    </cfRule>
    <cfRule type="expression" dxfId="34" priority="8">
      <formula>$A$9="Pass"</formula>
    </cfRule>
  </conditionalFormatting>
  <conditionalFormatting sqref="A32:A41">
    <cfRule type="expression" dxfId="33" priority="5">
      <formula>$A32="Fail"</formula>
    </cfRule>
    <cfRule type="expression" dxfId="32" priority="6">
      <formula>$A$9="Pass"</formula>
    </cfRule>
  </conditionalFormatting>
  <conditionalFormatting sqref="A44:A49">
    <cfRule type="expression" dxfId="31" priority="3">
      <formula>$A44="Fail"</formula>
    </cfRule>
    <cfRule type="expression" dxfId="30" priority="4">
      <formula>$A$9="Pass"</formula>
    </cfRule>
  </conditionalFormatting>
  <conditionalFormatting sqref="A52:A62">
    <cfRule type="expression" dxfId="29" priority="1">
      <formula>$A52="Fail"</formula>
    </cfRule>
    <cfRule type="expression" dxfId="28" priority="2">
      <formula>$A$9="Pass"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1589"/>
  <sheetViews>
    <sheetView workbookViewId="0">
      <selection activeCell="Y6" sqref="Y6"/>
    </sheetView>
  </sheetViews>
  <sheetFormatPr defaultRowHeight="14.4" x14ac:dyDescent="0.3"/>
  <sheetData>
    <row r="1" spans="1:48" x14ac:dyDescent="0.3">
      <c r="A1" s="41" t="s">
        <v>48</v>
      </c>
      <c r="B1" s="41">
        <f>COUNTIF(A:A,"Pass")</f>
        <v>55</v>
      </c>
      <c r="M1" s="41" t="s">
        <v>48</v>
      </c>
      <c r="N1" s="41">
        <f>COUNTIF(M:M,"Pass")</f>
        <v>48</v>
      </c>
      <c r="Y1" s="41" t="s">
        <v>48</v>
      </c>
      <c r="Z1" s="41">
        <f>COUNTIF(Y:Y,"Pass")</f>
        <v>1584</v>
      </c>
      <c r="AK1" s="41" t="s">
        <v>48</v>
      </c>
      <c r="AL1" s="41">
        <f>COUNTIF(AK:AK,"Pass")</f>
        <v>303</v>
      </c>
    </row>
    <row r="2" spans="1:48" x14ac:dyDescent="0.3">
      <c r="A2" s="40" t="s">
        <v>49</v>
      </c>
      <c r="B2" s="40">
        <f>COUNTIF(A:A,"Fail")</f>
        <v>0</v>
      </c>
      <c r="M2" s="40" t="s">
        <v>49</v>
      </c>
      <c r="N2" s="40">
        <f>COUNTIF(M:M,"Fail")</f>
        <v>0</v>
      </c>
      <c r="Y2" s="40" t="s">
        <v>49</v>
      </c>
      <c r="Z2" s="40">
        <f>COUNTIF(Y:Y,"Fail")</f>
        <v>0</v>
      </c>
      <c r="AK2" s="40" t="s">
        <v>49</v>
      </c>
      <c r="AL2" s="40">
        <f>COUNTIF(AK:AK,"Fail")</f>
        <v>0</v>
      </c>
    </row>
    <row r="4" spans="1:48" ht="199.95" customHeight="1" x14ac:dyDescent="0.3">
      <c r="A4" s="60" t="s">
        <v>75</v>
      </c>
      <c r="B4" s="61"/>
      <c r="C4" s="61"/>
      <c r="D4" s="61"/>
      <c r="E4" s="61"/>
      <c r="F4" s="61"/>
      <c r="G4" s="61"/>
      <c r="H4" s="61"/>
      <c r="I4" s="61"/>
      <c r="J4" s="61"/>
      <c r="K4" s="61"/>
      <c r="L4" s="61"/>
      <c r="M4" s="60" t="s">
        <v>154</v>
      </c>
      <c r="N4" s="61"/>
      <c r="O4" s="61"/>
      <c r="P4" s="61"/>
      <c r="Q4" s="61"/>
      <c r="R4" s="61"/>
      <c r="S4" s="61"/>
      <c r="T4" s="61"/>
      <c r="U4" s="61"/>
      <c r="V4" s="61"/>
      <c r="W4" s="61"/>
      <c r="X4" s="61"/>
      <c r="Y4" s="60" t="s">
        <v>77</v>
      </c>
      <c r="Z4" s="61"/>
      <c r="AA4" s="61"/>
      <c r="AB4" s="61"/>
      <c r="AC4" s="61"/>
      <c r="AD4" s="61"/>
      <c r="AE4" s="61"/>
      <c r="AF4" s="61"/>
      <c r="AG4" s="61"/>
      <c r="AH4" s="61"/>
      <c r="AI4" s="61"/>
      <c r="AJ4" s="61"/>
      <c r="AK4" s="60" t="s">
        <v>79</v>
      </c>
      <c r="AL4" s="61"/>
      <c r="AM4" s="61"/>
      <c r="AN4" s="61"/>
      <c r="AO4" s="61"/>
      <c r="AP4" s="61"/>
      <c r="AQ4" s="61"/>
      <c r="AR4" s="61"/>
      <c r="AS4" s="61"/>
      <c r="AT4" s="61"/>
      <c r="AU4" s="61"/>
      <c r="AV4" s="61"/>
    </row>
    <row r="5" spans="1:48" s="39" customFormat="1" x14ac:dyDescent="0.3">
      <c r="A5" s="39" t="s">
        <v>34</v>
      </c>
      <c r="B5" s="39" t="s">
        <v>43</v>
      </c>
      <c r="C5" s="39" t="s">
        <v>69</v>
      </c>
      <c r="D5" s="39" t="s">
        <v>70</v>
      </c>
      <c r="E5" s="39" t="s">
        <v>33</v>
      </c>
      <c r="M5" s="39" t="s">
        <v>34</v>
      </c>
      <c r="N5" s="39" t="s">
        <v>43</v>
      </c>
      <c r="O5" s="39" t="s">
        <v>63</v>
      </c>
      <c r="P5" s="39" t="s">
        <v>99</v>
      </c>
      <c r="Q5" s="39" t="s">
        <v>33</v>
      </c>
      <c r="Y5" s="39" t="s">
        <v>34</v>
      </c>
      <c r="Z5" s="39" t="s">
        <v>43</v>
      </c>
      <c r="AA5" s="39" t="s">
        <v>63</v>
      </c>
      <c r="AB5" s="39" t="s">
        <v>68</v>
      </c>
      <c r="AC5" s="39" t="s">
        <v>76</v>
      </c>
      <c r="AD5" s="39" t="s">
        <v>32</v>
      </c>
      <c r="AE5" s="39" t="s">
        <v>33</v>
      </c>
      <c r="AK5" s="39" t="s">
        <v>34</v>
      </c>
      <c r="AL5" s="39" t="s">
        <v>43</v>
      </c>
      <c r="AM5" s="39" t="s">
        <v>50</v>
      </c>
      <c r="AN5" s="39" t="s">
        <v>32</v>
      </c>
      <c r="AO5" s="39" t="s">
        <v>33</v>
      </c>
    </row>
    <row r="6" spans="1:48" x14ac:dyDescent="0.3">
      <c r="A6" t="str">
        <f>IF(ISBLANK(B6),"",IF(B6=E6,"Pass","Fail"))</f>
        <v>Pass</v>
      </c>
      <c r="B6">
        <f>ROUND(FMC_Grass(C6,D6),2)</f>
        <v>9.58</v>
      </c>
      <c r="C6">
        <v>0</v>
      </c>
      <c r="D6">
        <v>0</v>
      </c>
      <c r="E6">
        <v>9.58</v>
      </c>
      <c r="M6" t="str">
        <f>IF(ISBLANK(N6),"",IF(ROUND(N6,3)=ROUND(Q6,3),"Pass","Fail"))</f>
        <v>Pass</v>
      </c>
      <c r="N6">
        <f>moist_coeff_grass(O6,P6)</f>
        <v>0.58274823427200317</v>
      </c>
      <c r="O6">
        <v>0</v>
      </c>
      <c r="P6">
        <v>5</v>
      </c>
      <c r="Q6">
        <v>0.58274825237398897</v>
      </c>
      <c r="Y6" t="str">
        <f>IF(ISBLANK(Z6),"",IF(ROUND(Z6,0)=ROUND(AE6,0),"Pass","Fail"))</f>
        <v>Pass</v>
      </c>
      <c r="Z6">
        <f>ROS_grass(AA6,AB6,AC6,AD6)</f>
        <v>4.2713295668363571E-2</v>
      </c>
      <c r="AA6">
        <v>0</v>
      </c>
      <c r="AB6">
        <v>5</v>
      </c>
      <c r="AC6">
        <v>0</v>
      </c>
      <c r="AD6" t="s">
        <v>24</v>
      </c>
      <c r="AE6">
        <v>4.2713298546965199E-2</v>
      </c>
      <c r="AK6" t="str">
        <f>IF(ISBLANK(AL6),"",IF(ROUND(AL6,3)=ROUND(AO6,3),"Pass","Fail"))</f>
        <v>Pass</v>
      </c>
      <c r="AL6">
        <f>Flame_height_grass(AM6,AN6)</f>
        <v>0</v>
      </c>
      <c r="AM6">
        <v>0</v>
      </c>
      <c r="AN6" t="s">
        <v>26</v>
      </c>
      <c r="AO6">
        <v>0</v>
      </c>
    </row>
    <row r="7" spans="1:48" x14ac:dyDescent="0.3">
      <c r="A7" t="str">
        <f t="shared" ref="A7:A60" si="0">IF(ISBLANK(B7),"",IF(B7=E7,"Pass","Fail"))</f>
        <v>Pass</v>
      </c>
      <c r="B7">
        <f t="shared" ref="B7:B60" si="1">ROUND(FMC_Grass(C7,D7),2)</f>
        <v>10.96</v>
      </c>
      <c r="C7">
        <v>0</v>
      </c>
      <c r="D7">
        <v>10</v>
      </c>
      <c r="E7">
        <v>10.96</v>
      </c>
      <c r="M7" t="str">
        <f t="shared" ref="M7:M53" si="2">IF(ISBLANK(N7),"",IF(ROUND(N7,3)=ROUND(Q7,3),"Pass","Fail"))</f>
        <v>Pass</v>
      </c>
      <c r="N7">
        <f t="shared" ref="N7:N53" si="3">moist_coeff_grass(O7,P7)</f>
        <v>0.33959552645683289</v>
      </c>
      <c r="O7">
        <v>0</v>
      </c>
      <c r="P7">
        <v>10</v>
      </c>
      <c r="Q7">
        <v>0.339595525644939</v>
      </c>
      <c r="Y7" t="str">
        <f t="shared" ref="Y7:Y70" si="4">IF(ISBLANK(Z7),"",IF(ROUND(Z7,0)=ROUND(AE7,0),"Pass","Fail"))</f>
        <v>Pass</v>
      </c>
      <c r="Z7">
        <f t="shared" ref="Z7:Z70" si="5">ROS_grass(AA7,AB7,AC7,AD7)</f>
        <v>4.2713295668363571E-2</v>
      </c>
      <c r="AA7">
        <v>0</v>
      </c>
      <c r="AB7">
        <v>5</v>
      </c>
      <c r="AC7">
        <v>0</v>
      </c>
      <c r="AD7" t="s">
        <v>25</v>
      </c>
      <c r="AE7">
        <v>4.2713298546965199E-2</v>
      </c>
      <c r="AK7" t="str">
        <f t="shared" ref="AK7:AK70" si="6">IF(ISBLANK(AL7),"",IF(ROUND(AL7,3)=ROUND(AO7,3),"Pass","Fail"))</f>
        <v>Pass</v>
      </c>
      <c r="AL7">
        <f t="shared" ref="AL7:AL70" si="7">Flame_height_grass(AM7,AN7)</f>
        <v>0</v>
      </c>
      <c r="AM7">
        <v>0</v>
      </c>
      <c r="AN7" t="s">
        <v>25</v>
      </c>
      <c r="AO7">
        <v>0</v>
      </c>
    </row>
    <row r="8" spans="1:48" x14ac:dyDescent="0.3">
      <c r="A8" t="str">
        <f t="shared" si="0"/>
        <v>Pass</v>
      </c>
      <c r="B8">
        <f t="shared" si="1"/>
        <v>12.34</v>
      </c>
      <c r="C8">
        <v>0</v>
      </c>
      <c r="D8">
        <v>20</v>
      </c>
      <c r="E8">
        <v>12.34</v>
      </c>
      <c r="M8" t="str">
        <f t="shared" si="2"/>
        <v>Pass</v>
      </c>
      <c r="N8">
        <f t="shared" si="3"/>
        <v>0.17100000381469727</v>
      </c>
      <c r="O8">
        <v>0</v>
      </c>
      <c r="P8">
        <v>15</v>
      </c>
      <c r="Q8">
        <v>0.17100000000000001</v>
      </c>
      <c r="Y8" t="str">
        <f t="shared" si="4"/>
        <v>Pass</v>
      </c>
      <c r="Z8">
        <f t="shared" si="5"/>
        <v>4.2713295668363571E-2</v>
      </c>
      <c r="AA8">
        <v>0</v>
      </c>
      <c r="AB8">
        <v>5</v>
      </c>
      <c r="AC8">
        <v>0</v>
      </c>
      <c r="AD8" t="s">
        <v>26</v>
      </c>
      <c r="AE8">
        <v>4.2713298546965199E-2</v>
      </c>
      <c r="AK8" t="str">
        <f t="shared" si="6"/>
        <v>Pass</v>
      </c>
      <c r="AL8">
        <f t="shared" si="7"/>
        <v>0</v>
      </c>
      <c r="AM8">
        <v>0</v>
      </c>
      <c r="AN8" t="s">
        <v>24</v>
      </c>
      <c r="AO8">
        <v>0</v>
      </c>
    </row>
    <row r="9" spans="1:48" x14ac:dyDescent="0.3">
      <c r="A9" t="str">
        <f t="shared" si="0"/>
        <v>Pass</v>
      </c>
      <c r="B9">
        <f t="shared" si="1"/>
        <v>13.72</v>
      </c>
      <c r="C9">
        <v>0</v>
      </c>
      <c r="D9">
        <v>30</v>
      </c>
      <c r="E9">
        <v>13.72</v>
      </c>
      <c r="M9" t="str">
        <f t="shared" si="2"/>
        <v>Pass</v>
      </c>
      <c r="N9">
        <f t="shared" si="3"/>
        <v>1.0000000474974513E-3</v>
      </c>
      <c r="O9">
        <v>0</v>
      </c>
      <c r="P9">
        <v>20</v>
      </c>
      <c r="Q9">
        <v>1E-3</v>
      </c>
      <c r="Y9" t="str">
        <f t="shared" si="4"/>
        <v>Pass</v>
      </c>
      <c r="Z9">
        <f t="shared" si="5"/>
        <v>0.11538515985012054</v>
      </c>
      <c r="AA9">
        <v>0</v>
      </c>
      <c r="AB9">
        <v>5</v>
      </c>
      <c r="AC9">
        <v>10</v>
      </c>
      <c r="AD9" t="s">
        <v>24</v>
      </c>
      <c r="AE9">
        <v>0.115385163790425</v>
      </c>
      <c r="AK9" t="str">
        <f t="shared" si="6"/>
        <v>Pass</v>
      </c>
      <c r="AL9">
        <f t="shared" si="7"/>
        <v>0.47743323445320129</v>
      </c>
      <c r="AM9">
        <v>200</v>
      </c>
      <c r="AN9" t="s">
        <v>26</v>
      </c>
      <c r="AO9">
        <v>0.47743321950945</v>
      </c>
    </row>
    <row r="10" spans="1:48" x14ac:dyDescent="0.3">
      <c r="A10" t="str">
        <f t="shared" si="0"/>
        <v>Pass</v>
      </c>
      <c r="B10">
        <f t="shared" si="1"/>
        <v>15.1</v>
      </c>
      <c r="C10">
        <v>0</v>
      </c>
      <c r="D10">
        <v>40</v>
      </c>
      <c r="E10">
        <v>15.1</v>
      </c>
      <c r="M10" t="str">
        <f t="shared" si="2"/>
        <v>Pass</v>
      </c>
      <c r="N10">
        <f t="shared" si="3"/>
        <v>1.0000000474974513E-3</v>
      </c>
      <c r="O10">
        <v>0</v>
      </c>
      <c r="P10">
        <v>25</v>
      </c>
      <c r="Q10">
        <v>1E-3</v>
      </c>
      <c r="Y10" t="str">
        <f t="shared" si="4"/>
        <v>Pass</v>
      </c>
      <c r="Z10">
        <f t="shared" si="5"/>
        <v>0.11538515985012054</v>
      </c>
      <c r="AA10">
        <v>0</v>
      </c>
      <c r="AB10">
        <v>5</v>
      </c>
      <c r="AC10">
        <v>10</v>
      </c>
      <c r="AD10" t="s">
        <v>25</v>
      </c>
      <c r="AE10">
        <v>0.115385163790425</v>
      </c>
      <c r="AK10" t="str">
        <f t="shared" si="6"/>
        <v>Pass</v>
      </c>
      <c r="AL10">
        <f t="shared" si="7"/>
        <v>0.47743323445320129</v>
      </c>
      <c r="AM10">
        <v>200</v>
      </c>
      <c r="AN10" t="s">
        <v>25</v>
      </c>
      <c r="AO10">
        <v>0.47743321950945</v>
      </c>
    </row>
    <row r="11" spans="1:48" x14ac:dyDescent="0.3">
      <c r="A11" t="str">
        <f t="shared" si="0"/>
        <v>Pass</v>
      </c>
      <c r="B11">
        <f t="shared" si="1"/>
        <v>16.48</v>
      </c>
      <c r="C11">
        <v>0</v>
      </c>
      <c r="D11">
        <v>50</v>
      </c>
      <c r="E11">
        <v>16.48</v>
      </c>
      <c r="M11" t="str">
        <f t="shared" si="2"/>
        <v>Pass</v>
      </c>
      <c r="N11">
        <f t="shared" si="3"/>
        <v>1.0000000474974513E-3</v>
      </c>
      <c r="O11">
        <v>0</v>
      </c>
      <c r="P11">
        <v>30</v>
      </c>
      <c r="Q11">
        <v>1E-3</v>
      </c>
      <c r="Y11" t="str">
        <f t="shared" si="4"/>
        <v>Pass</v>
      </c>
      <c r="Z11">
        <f t="shared" si="5"/>
        <v>0.11538515985012054</v>
      </c>
      <c r="AA11">
        <v>0</v>
      </c>
      <c r="AB11">
        <v>5</v>
      </c>
      <c r="AC11">
        <v>10</v>
      </c>
      <c r="AD11" t="s">
        <v>26</v>
      </c>
      <c r="AE11">
        <v>0.115385163790425</v>
      </c>
      <c r="AK11" t="str">
        <f t="shared" si="6"/>
        <v>Pass</v>
      </c>
      <c r="AL11">
        <f t="shared" si="7"/>
        <v>1.1339038610458374</v>
      </c>
      <c r="AM11">
        <v>200</v>
      </c>
      <c r="AN11" t="s">
        <v>24</v>
      </c>
      <c r="AO11">
        <v>1.1339038963349399</v>
      </c>
    </row>
    <row r="12" spans="1:48" x14ac:dyDescent="0.3">
      <c r="A12" t="str">
        <f t="shared" si="0"/>
        <v>Pass</v>
      </c>
      <c r="B12">
        <f t="shared" si="1"/>
        <v>17.86</v>
      </c>
      <c r="C12">
        <v>0</v>
      </c>
      <c r="D12">
        <v>60</v>
      </c>
      <c r="E12">
        <v>17.86</v>
      </c>
      <c r="M12" t="str">
        <f t="shared" si="2"/>
        <v>Pass</v>
      </c>
      <c r="N12">
        <f t="shared" si="3"/>
        <v>0.58274823427200317</v>
      </c>
      <c r="O12">
        <v>10</v>
      </c>
      <c r="P12">
        <v>5</v>
      </c>
      <c r="Q12">
        <v>0.58274825237398897</v>
      </c>
      <c r="Y12" t="str">
        <f t="shared" si="4"/>
        <v>Pass</v>
      </c>
      <c r="Z12">
        <f t="shared" si="5"/>
        <v>0.31052079796791077</v>
      </c>
      <c r="AA12">
        <v>0</v>
      </c>
      <c r="AB12">
        <v>5</v>
      </c>
      <c r="AC12">
        <v>20</v>
      </c>
      <c r="AD12" t="s">
        <v>24</v>
      </c>
      <c r="AE12">
        <v>0.31052079961529699</v>
      </c>
      <c r="AK12" t="str">
        <f t="shared" si="6"/>
        <v>Pass</v>
      </c>
      <c r="AL12">
        <f t="shared" si="7"/>
        <v>0.58575564622879028</v>
      </c>
      <c r="AM12">
        <v>400</v>
      </c>
      <c r="AN12" t="s">
        <v>26</v>
      </c>
      <c r="AO12">
        <v>0.58575564465806196</v>
      </c>
    </row>
    <row r="13" spans="1:48" x14ac:dyDescent="0.3">
      <c r="A13" t="str">
        <f t="shared" si="0"/>
        <v>Pass</v>
      </c>
      <c r="B13">
        <f t="shared" si="1"/>
        <v>19.239999999999998</v>
      </c>
      <c r="C13">
        <v>0</v>
      </c>
      <c r="D13">
        <v>70</v>
      </c>
      <c r="E13">
        <v>19.239999999999998</v>
      </c>
      <c r="M13" t="str">
        <f t="shared" si="2"/>
        <v>Pass</v>
      </c>
      <c r="N13">
        <f t="shared" si="3"/>
        <v>0.33959552645683289</v>
      </c>
      <c r="O13">
        <v>10</v>
      </c>
      <c r="P13">
        <v>10</v>
      </c>
      <c r="Q13">
        <v>0.339595525644939</v>
      </c>
      <c r="Y13" t="str">
        <f t="shared" si="4"/>
        <v>Pass</v>
      </c>
      <c r="Z13">
        <f t="shared" si="5"/>
        <v>0.31052079796791077</v>
      </c>
      <c r="AA13">
        <v>0</v>
      </c>
      <c r="AB13">
        <v>5</v>
      </c>
      <c r="AC13">
        <v>20</v>
      </c>
      <c r="AD13" t="s">
        <v>25</v>
      </c>
      <c r="AE13">
        <v>0.31052079961529699</v>
      </c>
      <c r="AK13" t="str">
        <f t="shared" si="6"/>
        <v>Pass</v>
      </c>
      <c r="AL13">
        <f t="shared" si="7"/>
        <v>0.58575564622879028</v>
      </c>
      <c r="AM13">
        <v>400</v>
      </c>
      <c r="AN13" t="s">
        <v>25</v>
      </c>
      <c r="AO13">
        <v>0.58575564465806196</v>
      </c>
    </row>
    <row r="14" spans="1:48" x14ac:dyDescent="0.3">
      <c r="A14" t="str">
        <f t="shared" si="0"/>
        <v>Pass</v>
      </c>
      <c r="B14">
        <f t="shared" si="1"/>
        <v>20.62</v>
      </c>
      <c r="C14">
        <v>0</v>
      </c>
      <c r="D14">
        <v>80</v>
      </c>
      <c r="E14">
        <v>20.62</v>
      </c>
      <c r="M14" t="str">
        <f t="shared" si="2"/>
        <v>Pass</v>
      </c>
      <c r="N14">
        <f t="shared" si="3"/>
        <v>0.17100000381469727</v>
      </c>
      <c r="O14">
        <v>10</v>
      </c>
      <c r="P14">
        <v>15</v>
      </c>
      <c r="Q14">
        <v>0.17100000000000001</v>
      </c>
      <c r="Y14" t="str">
        <f t="shared" si="4"/>
        <v>Pass</v>
      </c>
      <c r="Z14">
        <f t="shared" si="5"/>
        <v>0.31052079796791077</v>
      </c>
      <c r="AA14">
        <v>0</v>
      </c>
      <c r="AB14">
        <v>5</v>
      </c>
      <c r="AC14">
        <v>20</v>
      </c>
      <c r="AD14" t="s">
        <v>26</v>
      </c>
      <c r="AE14">
        <v>0.31052079961529699</v>
      </c>
      <c r="AK14" t="str">
        <f t="shared" si="6"/>
        <v>Pass</v>
      </c>
      <c r="AL14">
        <f t="shared" si="7"/>
        <v>1.3911696672439575</v>
      </c>
      <c r="AM14">
        <v>400</v>
      </c>
      <c r="AN14" t="s">
        <v>24</v>
      </c>
      <c r="AO14">
        <v>1.3911696560628899</v>
      </c>
    </row>
    <row r="15" spans="1:48" x14ac:dyDescent="0.3">
      <c r="A15" t="str">
        <f t="shared" si="0"/>
        <v>Pass</v>
      </c>
      <c r="B15">
        <f t="shared" si="1"/>
        <v>22</v>
      </c>
      <c r="C15">
        <v>0</v>
      </c>
      <c r="D15">
        <v>90</v>
      </c>
      <c r="E15">
        <v>22</v>
      </c>
      <c r="M15" t="str">
        <f t="shared" si="2"/>
        <v>Pass</v>
      </c>
      <c r="N15">
        <f t="shared" si="3"/>
        <v>1.0000000474974513E-3</v>
      </c>
      <c r="O15">
        <v>10</v>
      </c>
      <c r="P15">
        <v>20</v>
      </c>
      <c r="Q15">
        <v>1E-3</v>
      </c>
      <c r="Y15" t="str">
        <f t="shared" si="4"/>
        <v>Pass</v>
      </c>
      <c r="Z15">
        <f t="shared" si="5"/>
        <v>0.82725971937179565</v>
      </c>
      <c r="AA15">
        <v>0</v>
      </c>
      <c r="AB15">
        <v>5</v>
      </c>
      <c r="AC15">
        <v>30</v>
      </c>
      <c r="AD15" t="s">
        <v>24</v>
      </c>
      <c r="AE15">
        <v>0.82725977749641999</v>
      </c>
      <c r="AK15" t="str">
        <f t="shared" si="6"/>
        <v>Pass</v>
      </c>
      <c r="AL15">
        <f t="shared" si="7"/>
        <v>0.66018158197402954</v>
      </c>
      <c r="AM15">
        <v>600</v>
      </c>
      <c r="AN15" t="s">
        <v>26</v>
      </c>
      <c r="AO15">
        <v>0.66018158163274199</v>
      </c>
    </row>
    <row r="16" spans="1:48" x14ac:dyDescent="0.3">
      <c r="A16" t="str">
        <f t="shared" si="0"/>
        <v>Pass</v>
      </c>
      <c r="B16">
        <f t="shared" si="1"/>
        <v>23.38</v>
      </c>
      <c r="C16">
        <v>0</v>
      </c>
      <c r="D16">
        <v>100</v>
      </c>
      <c r="E16">
        <v>23.38</v>
      </c>
      <c r="M16" t="str">
        <f t="shared" si="2"/>
        <v>Pass</v>
      </c>
      <c r="N16">
        <f t="shared" si="3"/>
        <v>1.0000000474974513E-3</v>
      </c>
      <c r="O16">
        <v>10</v>
      </c>
      <c r="P16">
        <v>25</v>
      </c>
      <c r="Q16">
        <v>1E-3</v>
      </c>
      <c r="Y16" t="str">
        <f t="shared" si="4"/>
        <v>Pass</v>
      </c>
      <c r="Z16">
        <f t="shared" si="5"/>
        <v>0.82725971937179565</v>
      </c>
      <c r="AA16">
        <v>0</v>
      </c>
      <c r="AB16">
        <v>5</v>
      </c>
      <c r="AC16">
        <v>30</v>
      </c>
      <c r="AD16" t="s">
        <v>25</v>
      </c>
      <c r="AE16">
        <v>0.82725977749641999</v>
      </c>
      <c r="AK16" t="str">
        <f t="shared" si="6"/>
        <v>Pass</v>
      </c>
      <c r="AL16">
        <f t="shared" si="7"/>
        <v>0.66018158197402954</v>
      </c>
      <c r="AM16">
        <v>600</v>
      </c>
      <c r="AN16" t="s">
        <v>25</v>
      </c>
      <c r="AO16">
        <v>0.66018158163274199</v>
      </c>
    </row>
    <row r="17" spans="1:41" x14ac:dyDescent="0.3">
      <c r="A17" t="str">
        <f t="shared" si="0"/>
        <v>Pass</v>
      </c>
      <c r="B17">
        <f t="shared" si="1"/>
        <v>7.53</v>
      </c>
      <c r="C17">
        <v>10</v>
      </c>
      <c r="D17">
        <v>0</v>
      </c>
      <c r="E17">
        <v>7.53</v>
      </c>
      <c r="M17" t="str">
        <f t="shared" si="2"/>
        <v>Pass</v>
      </c>
      <c r="N17">
        <f t="shared" si="3"/>
        <v>1.0000000474974513E-3</v>
      </c>
      <c r="O17">
        <v>10</v>
      </c>
      <c r="P17">
        <v>30</v>
      </c>
      <c r="Q17">
        <v>1E-3</v>
      </c>
      <c r="Y17" t="str">
        <f t="shared" si="4"/>
        <v>Pass</v>
      </c>
      <c r="Z17">
        <f t="shared" si="5"/>
        <v>0.82725971937179565</v>
      </c>
      <c r="AA17">
        <v>0</v>
      </c>
      <c r="AB17">
        <v>5</v>
      </c>
      <c r="AC17">
        <v>30</v>
      </c>
      <c r="AD17" t="s">
        <v>26</v>
      </c>
      <c r="AE17">
        <v>0.82725977749641999</v>
      </c>
      <c r="AK17" t="str">
        <f t="shared" si="6"/>
        <v>Pass</v>
      </c>
      <c r="AL17">
        <f t="shared" si="7"/>
        <v>1.5679312944412231</v>
      </c>
      <c r="AM17">
        <v>600</v>
      </c>
      <c r="AN17" t="s">
        <v>24</v>
      </c>
      <c r="AO17">
        <v>1.5679312563777601</v>
      </c>
    </row>
    <row r="18" spans="1:41" x14ac:dyDescent="0.3">
      <c r="A18" t="str">
        <f t="shared" si="0"/>
        <v>Pass</v>
      </c>
      <c r="B18">
        <f t="shared" si="1"/>
        <v>8.91</v>
      </c>
      <c r="C18">
        <v>10</v>
      </c>
      <c r="D18">
        <v>10</v>
      </c>
      <c r="E18">
        <v>8.91</v>
      </c>
      <c r="M18" t="str">
        <f t="shared" si="2"/>
        <v>Pass</v>
      </c>
      <c r="N18">
        <f t="shared" si="3"/>
        <v>0.58274823427200317</v>
      </c>
      <c r="O18">
        <v>20</v>
      </c>
      <c r="P18">
        <v>5</v>
      </c>
      <c r="Q18">
        <v>0.58274825237398897</v>
      </c>
      <c r="Y18" t="str">
        <f t="shared" si="4"/>
        <v>Pass</v>
      </c>
      <c r="Z18">
        <f t="shared" si="5"/>
        <v>2.1467380523681641</v>
      </c>
      <c r="AA18">
        <v>0</v>
      </c>
      <c r="AB18">
        <v>5</v>
      </c>
      <c r="AC18">
        <v>40</v>
      </c>
      <c r="AD18" t="s">
        <v>24</v>
      </c>
      <c r="AE18">
        <v>2.14673830906175</v>
      </c>
      <c r="AK18" t="str">
        <f t="shared" si="6"/>
        <v>Pass</v>
      </c>
      <c r="AL18">
        <f t="shared" si="7"/>
        <v>0.7186548113822937</v>
      </c>
      <c r="AM18">
        <v>800</v>
      </c>
      <c r="AN18" t="s">
        <v>26</v>
      </c>
      <c r="AO18">
        <v>0.71865480077259403</v>
      </c>
    </row>
    <row r="19" spans="1:41" x14ac:dyDescent="0.3">
      <c r="A19" t="str">
        <f t="shared" si="0"/>
        <v>Pass</v>
      </c>
      <c r="B19">
        <f t="shared" si="1"/>
        <v>10.29</v>
      </c>
      <c r="C19">
        <v>10</v>
      </c>
      <c r="D19">
        <v>20</v>
      </c>
      <c r="E19">
        <v>10.29</v>
      </c>
      <c r="M19" t="str">
        <f t="shared" si="2"/>
        <v>Pass</v>
      </c>
      <c r="N19">
        <f t="shared" si="3"/>
        <v>0.33959552645683289</v>
      </c>
      <c r="O19">
        <v>20</v>
      </c>
      <c r="P19">
        <v>10</v>
      </c>
      <c r="Q19">
        <v>0.339595525644939</v>
      </c>
      <c r="Y19" t="str">
        <f t="shared" si="4"/>
        <v>Pass</v>
      </c>
      <c r="Z19">
        <f t="shared" si="5"/>
        <v>2.1467380523681641</v>
      </c>
      <c r="AA19">
        <v>0</v>
      </c>
      <c r="AB19">
        <v>5</v>
      </c>
      <c r="AC19">
        <v>40</v>
      </c>
      <c r="AD19" t="s">
        <v>25</v>
      </c>
      <c r="AE19">
        <v>2.14673830906175</v>
      </c>
      <c r="AK19" t="str">
        <f t="shared" si="6"/>
        <v>Pass</v>
      </c>
      <c r="AL19">
        <f t="shared" si="7"/>
        <v>0.7186548113822937</v>
      </c>
      <c r="AM19">
        <v>800</v>
      </c>
      <c r="AN19" t="s">
        <v>25</v>
      </c>
      <c r="AO19">
        <v>0.71865480077259403</v>
      </c>
    </row>
    <row r="20" spans="1:41" x14ac:dyDescent="0.3">
      <c r="A20" t="str">
        <f t="shared" si="0"/>
        <v>Pass</v>
      </c>
      <c r="B20">
        <f t="shared" si="1"/>
        <v>11.67</v>
      </c>
      <c r="C20">
        <v>10</v>
      </c>
      <c r="D20">
        <v>30</v>
      </c>
      <c r="E20">
        <v>11.67</v>
      </c>
      <c r="M20" t="str">
        <f t="shared" si="2"/>
        <v>Pass</v>
      </c>
      <c r="N20">
        <f t="shared" si="3"/>
        <v>0.20499999821186066</v>
      </c>
      <c r="O20">
        <v>20</v>
      </c>
      <c r="P20">
        <v>15</v>
      </c>
      <c r="Q20">
        <v>0.20499999999999999</v>
      </c>
      <c r="Y20" t="str">
        <f t="shared" si="4"/>
        <v>Pass</v>
      </c>
      <c r="Z20">
        <f t="shared" si="5"/>
        <v>2.1467380523681641</v>
      </c>
      <c r="AA20">
        <v>0</v>
      </c>
      <c r="AB20">
        <v>5</v>
      </c>
      <c r="AC20">
        <v>40</v>
      </c>
      <c r="AD20" t="s">
        <v>26</v>
      </c>
      <c r="AE20">
        <v>2.14673830906175</v>
      </c>
      <c r="AK20" t="str">
        <f t="shared" si="6"/>
        <v>Pass</v>
      </c>
      <c r="AL20">
        <f t="shared" si="7"/>
        <v>1.7068051099777222</v>
      </c>
      <c r="AM20">
        <v>800</v>
      </c>
      <c r="AN20" t="s">
        <v>24</v>
      </c>
      <c r="AO20">
        <v>1.7068051518349101</v>
      </c>
    </row>
    <row r="21" spans="1:41" x14ac:dyDescent="0.3">
      <c r="A21" t="str">
        <f t="shared" si="0"/>
        <v>Pass</v>
      </c>
      <c r="B21">
        <f t="shared" si="1"/>
        <v>13.05</v>
      </c>
      <c r="C21">
        <v>10</v>
      </c>
      <c r="D21">
        <v>40</v>
      </c>
      <c r="E21">
        <v>13.05</v>
      </c>
      <c r="M21" t="str">
        <f t="shared" si="2"/>
        <v>Pass</v>
      </c>
      <c r="N21">
        <f t="shared" si="3"/>
        <v>9.0999998152256012E-2</v>
      </c>
      <c r="O21">
        <v>20</v>
      </c>
      <c r="P21">
        <v>20</v>
      </c>
      <c r="Q21">
        <v>9.0999999999999998E-2</v>
      </c>
      <c r="Y21" t="str">
        <f t="shared" si="4"/>
        <v>Pass</v>
      </c>
      <c r="Z21">
        <f t="shared" si="5"/>
        <v>5.2247214317321777</v>
      </c>
      <c r="AA21">
        <v>0</v>
      </c>
      <c r="AB21">
        <v>5</v>
      </c>
      <c r="AC21">
        <v>50</v>
      </c>
      <c r="AD21" t="s">
        <v>24</v>
      </c>
      <c r="AE21">
        <v>5.22472180190183</v>
      </c>
      <c r="AK21" t="str">
        <f t="shared" si="6"/>
        <v>Pass</v>
      </c>
      <c r="AL21">
        <f t="shared" si="7"/>
        <v>0.76755374670028687</v>
      </c>
      <c r="AM21">
        <v>1000</v>
      </c>
      <c r="AN21" t="s">
        <v>26</v>
      </c>
      <c r="AO21">
        <v>0.76755372720008896</v>
      </c>
    </row>
    <row r="22" spans="1:41" x14ac:dyDescent="0.3">
      <c r="A22" t="str">
        <f t="shared" si="0"/>
        <v>Pass</v>
      </c>
      <c r="B22">
        <f t="shared" si="1"/>
        <v>14.43</v>
      </c>
      <c r="C22">
        <v>10</v>
      </c>
      <c r="D22">
        <v>50</v>
      </c>
      <c r="E22">
        <v>14.43</v>
      </c>
      <c r="M22" t="str">
        <f t="shared" si="2"/>
        <v>Pass</v>
      </c>
      <c r="N22">
        <f t="shared" si="3"/>
        <v>1.0000000474974513E-3</v>
      </c>
      <c r="O22">
        <v>20</v>
      </c>
      <c r="P22">
        <v>25</v>
      </c>
      <c r="Q22">
        <v>1E-3</v>
      </c>
      <c r="Y22" t="str">
        <f t="shared" si="4"/>
        <v>Pass</v>
      </c>
      <c r="Z22">
        <f t="shared" si="5"/>
        <v>5.2247214317321777</v>
      </c>
      <c r="AA22">
        <v>0</v>
      </c>
      <c r="AB22">
        <v>5</v>
      </c>
      <c r="AC22">
        <v>50</v>
      </c>
      <c r="AD22" t="s">
        <v>25</v>
      </c>
      <c r="AE22">
        <v>5.22472180190183</v>
      </c>
      <c r="AK22" t="str">
        <f t="shared" si="6"/>
        <v>Pass</v>
      </c>
      <c r="AL22">
        <f t="shared" si="7"/>
        <v>0.76755374670028687</v>
      </c>
      <c r="AM22">
        <v>1000</v>
      </c>
      <c r="AN22" t="s">
        <v>25</v>
      </c>
      <c r="AO22">
        <v>0.76755372720008896</v>
      </c>
    </row>
    <row r="23" spans="1:41" x14ac:dyDescent="0.3">
      <c r="A23" t="str">
        <f t="shared" si="0"/>
        <v>Pass</v>
      </c>
      <c r="B23">
        <f t="shared" si="1"/>
        <v>15.81</v>
      </c>
      <c r="C23">
        <v>10</v>
      </c>
      <c r="D23">
        <v>60</v>
      </c>
      <c r="E23">
        <v>15.81</v>
      </c>
      <c r="M23" t="str">
        <f t="shared" si="2"/>
        <v>Pass</v>
      </c>
      <c r="N23">
        <f t="shared" si="3"/>
        <v>1.0000000474974513E-3</v>
      </c>
      <c r="O23">
        <v>20</v>
      </c>
      <c r="P23">
        <v>30</v>
      </c>
      <c r="Q23">
        <v>1E-3</v>
      </c>
      <c r="Y23" t="str">
        <f t="shared" si="4"/>
        <v>Pass</v>
      </c>
      <c r="Z23">
        <f t="shared" si="5"/>
        <v>5.2247214317321777</v>
      </c>
      <c r="AA23">
        <v>0</v>
      </c>
      <c r="AB23">
        <v>5</v>
      </c>
      <c r="AC23">
        <v>50</v>
      </c>
      <c r="AD23" t="s">
        <v>26</v>
      </c>
      <c r="AE23">
        <v>5.22472180190183</v>
      </c>
      <c r="AK23" t="str">
        <f t="shared" si="6"/>
        <v>Pass</v>
      </c>
      <c r="AL23">
        <f t="shared" si="7"/>
        <v>1.8229401111602783</v>
      </c>
      <c r="AM23">
        <v>1000</v>
      </c>
      <c r="AN23" t="s">
        <v>24</v>
      </c>
      <c r="AO23">
        <v>1.8229401021002101</v>
      </c>
    </row>
    <row r="24" spans="1:41" x14ac:dyDescent="0.3">
      <c r="A24" t="str">
        <f t="shared" si="0"/>
        <v>Pass</v>
      </c>
      <c r="B24">
        <f t="shared" si="1"/>
        <v>17.190000000000001</v>
      </c>
      <c r="C24">
        <v>10</v>
      </c>
      <c r="D24">
        <v>70</v>
      </c>
      <c r="E24">
        <v>17.190000000000001</v>
      </c>
      <c r="M24" t="str">
        <f t="shared" si="2"/>
        <v>Pass</v>
      </c>
      <c r="N24">
        <f t="shared" si="3"/>
        <v>0.58274823427200317</v>
      </c>
      <c r="O24">
        <v>30</v>
      </c>
      <c r="P24">
        <v>5</v>
      </c>
      <c r="Q24">
        <v>0.58274825237398897</v>
      </c>
      <c r="Y24" t="str">
        <f t="shared" si="4"/>
        <v>Pass</v>
      </c>
      <c r="Z24">
        <f t="shared" si="5"/>
        <v>11.106454849243164</v>
      </c>
      <c r="AA24">
        <v>0</v>
      </c>
      <c r="AB24">
        <v>5</v>
      </c>
      <c r="AC24">
        <v>60</v>
      </c>
      <c r="AD24" t="s">
        <v>24</v>
      </c>
      <c r="AE24">
        <v>11.106455481897701</v>
      </c>
      <c r="AK24" t="str">
        <f t="shared" si="6"/>
        <v>Pass</v>
      </c>
      <c r="AL24">
        <f t="shared" si="7"/>
        <v>0.80996686220169067</v>
      </c>
      <c r="AM24">
        <v>1200</v>
      </c>
      <c r="AN24" t="s">
        <v>26</v>
      </c>
      <c r="AO24">
        <v>0.80996686476486801</v>
      </c>
    </row>
    <row r="25" spans="1:41" x14ac:dyDescent="0.3">
      <c r="A25" t="str">
        <f t="shared" si="0"/>
        <v>Pass</v>
      </c>
      <c r="B25">
        <f t="shared" si="1"/>
        <v>18.57</v>
      </c>
      <c r="C25">
        <v>10</v>
      </c>
      <c r="D25">
        <v>80</v>
      </c>
      <c r="E25">
        <v>18.57</v>
      </c>
      <c r="M25" t="str">
        <f t="shared" si="2"/>
        <v>Pass</v>
      </c>
      <c r="N25">
        <f t="shared" si="3"/>
        <v>0.33959552645683289</v>
      </c>
      <c r="O25">
        <v>30</v>
      </c>
      <c r="P25">
        <v>10</v>
      </c>
      <c r="Q25">
        <v>0.339595525644939</v>
      </c>
      <c r="Y25" t="str">
        <f t="shared" si="4"/>
        <v>Pass</v>
      </c>
      <c r="Z25">
        <f t="shared" si="5"/>
        <v>11.106454849243164</v>
      </c>
      <c r="AA25">
        <v>0</v>
      </c>
      <c r="AB25">
        <v>5</v>
      </c>
      <c r="AC25">
        <v>60</v>
      </c>
      <c r="AD25" t="s">
        <v>25</v>
      </c>
      <c r="AE25">
        <v>11.106455481897701</v>
      </c>
      <c r="AK25" t="str">
        <f t="shared" si="6"/>
        <v>Pass</v>
      </c>
      <c r="AL25">
        <f t="shared" si="7"/>
        <v>0.80996686220169067</v>
      </c>
      <c r="AM25">
        <v>1200</v>
      </c>
      <c r="AN25" t="s">
        <v>25</v>
      </c>
      <c r="AO25">
        <v>0.80996686476486801</v>
      </c>
    </row>
    <row r="26" spans="1:41" x14ac:dyDescent="0.3">
      <c r="A26" t="str">
        <f t="shared" si="0"/>
        <v>Pass</v>
      </c>
      <c r="B26">
        <f t="shared" si="1"/>
        <v>19.95</v>
      </c>
      <c r="C26">
        <v>10</v>
      </c>
      <c r="D26">
        <v>90</v>
      </c>
      <c r="E26">
        <v>19.95</v>
      </c>
      <c r="M26" t="str">
        <f t="shared" si="2"/>
        <v>Pass</v>
      </c>
      <c r="N26">
        <f t="shared" si="3"/>
        <v>0.20499999821186066</v>
      </c>
      <c r="O26">
        <v>30</v>
      </c>
      <c r="P26">
        <v>15</v>
      </c>
      <c r="Q26">
        <v>0.20499999999999999</v>
      </c>
      <c r="Y26" t="str">
        <f t="shared" si="4"/>
        <v>Pass</v>
      </c>
      <c r="Z26">
        <f t="shared" si="5"/>
        <v>11.106454849243164</v>
      </c>
      <c r="AA26">
        <v>0</v>
      </c>
      <c r="AB26">
        <v>5</v>
      </c>
      <c r="AC26">
        <v>60</v>
      </c>
      <c r="AD26" t="s">
        <v>26</v>
      </c>
      <c r="AE26">
        <v>11.106455481897701</v>
      </c>
      <c r="AK26" t="str">
        <f t="shared" si="6"/>
        <v>Pass</v>
      </c>
      <c r="AL26">
        <f t="shared" si="7"/>
        <v>1.9236713647842407</v>
      </c>
      <c r="AM26">
        <v>1200</v>
      </c>
      <c r="AN26" t="s">
        <v>24</v>
      </c>
      <c r="AO26">
        <v>1.92367130381656</v>
      </c>
    </row>
    <row r="27" spans="1:41" x14ac:dyDescent="0.3">
      <c r="A27" t="str">
        <f t="shared" si="0"/>
        <v>Pass</v>
      </c>
      <c r="B27">
        <f t="shared" si="1"/>
        <v>21.33</v>
      </c>
      <c r="C27">
        <v>10</v>
      </c>
      <c r="D27">
        <v>100</v>
      </c>
      <c r="E27">
        <v>21.33</v>
      </c>
      <c r="M27" t="str">
        <f t="shared" si="2"/>
        <v>Pass</v>
      </c>
      <c r="N27">
        <f t="shared" si="3"/>
        <v>9.0999998152256012E-2</v>
      </c>
      <c r="O27">
        <v>30</v>
      </c>
      <c r="P27">
        <v>20</v>
      </c>
      <c r="Q27">
        <v>9.0999999999999998E-2</v>
      </c>
      <c r="Y27" t="str">
        <f t="shared" si="4"/>
        <v>Pass</v>
      </c>
      <c r="Z27">
        <f t="shared" si="5"/>
        <v>19.011404037475586</v>
      </c>
      <c r="AA27">
        <v>0</v>
      </c>
      <c r="AB27">
        <v>5</v>
      </c>
      <c r="AC27">
        <v>70</v>
      </c>
      <c r="AD27" t="s">
        <v>24</v>
      </c>
      <c r="AE27">
        <v>19.011404822475999</v>
      </c>
      <c r="AK27" t="str">
        <f t="shared" si="6"/>
        <v>Pass</v>
      </c>
      <c r="AL27">
        <f t="shared" si="7"/>
        <v>0.84764999151229858</v>
      </c>
      <c r="AM27">
        <v>1400</v>
      </c>
      <c r="AN27" t="s">
        <v>26</v>
      </c>
      <c r="AO27">
        <v>0.847649978755456</v>
      </c>
    </row>
    <row r="28" spans="1:41" x14ac:dyDescent="0.3">
      <c r="A28" t="str">
        <f t="shared" si="0"/>
        <v>Pass</v>
      </c>
      <c r="B28">
        <f t="shared" si="1"/>
        <v>5.48</v>
      </c>
      <c r="C28">
        <v>20</v>
      </c>
      <c r="D28">
        <v>0</v>
      </c>
      <c r="E28">
        <v>5.48</v>
      </c>
      <c r="M28" t="str">
        <f t="shared" si="2"/>
        <v>Pass</v>
      </c>
      <c r="N28">
        <f t="shared" si="3"/>
        <v>1.0000000474974513E-3</v>
      </c>
      <c r="O28">
        <v>30</v>
      </c>
      <c r="P28">
        <v>25</v>
      </c>
      <c r="Q28">
        <v>1E-3</v>
      </c>
      <c r="Y28" t="str">
        <f t="shared" si="4"/>
        <v>Pass</v>
      </c>
      <c r="Z28">
        <f t="shared" si="5"/>
        <v>19.011404037475586</v>
      </c>
      <c r="AA28">
        <v>0</v>
      </c>
      <c r="AB28">
        <v>5</v>
      </c>
      <c r="AC28">
        <v>70</v>
      </c>
      <c r="AD28" t="s">
        <v>25</v>
      </c>
      <c r="AE28">
        <v>19.011404822475999</v>
      </c>
      <c r="AK28" t="str">
        <f t="shared" si="6"/>
        <v>Pass</v>
      </c>
      <c r="AL28">
        <f t="shared" si="7"/>
        <v>0.84764999151229858</v>
      </c>
      <c r="AM28">
        <v>1400</v>
      </c>
      <c r="AN28" t="s">
        <v>25</v>
      </c>
      <c r="AO28">
        <v>0.847649978755456</v>
      </c>
    </row>
    <row r="29" spans="1:41" x14ac:dyDescent="0.3">
      <c r="A29" t="str">
        <f t="shared" si="0"/>
        <v>Pass</v>
      </c>
      <c r="B29">
        <f t="shared" si="1"/>
        <v>6.86</v>
      </c>
      <c r="C29">
        <v>20</v>
      </c>
      <c r="D29">
        <v>10</v>
      </c>
      <c r="E29">
        <v>6.86</v>
      </c>
      <c r="M29" t="str">
        <f t="shared" si="2"/>
        <v>Pass</v>
      </c>
      <c r="N29">
        <f t="shared" si="3"/>
        <v>1.0000000474974513E-3</v>
      </c>
      <c r="O29">
        <v>30</v>
      </c>
      <c r="P29">
        <v>30</v>
      </c>
      <c r="Q29">
        <v>1E-3</v>
      </c>
      <c r="Y29" t="str">
        <f t="shared" si="4"/>
        <v>Pass</v>
      </c>
      <c r="Z29">
        <f t="shared" si="5"/>
        <v>19.011404037475586</v>
      </c>
      <c r="AA29">
        <v>0</v>
      </c>
      <c r="AB29">
        <v>5</v>
      </c>
      <c r="AC29">
        <v>70</v>
      </c>
      <c r="AD29" t="s">
        <v>26</v>
      </c>
      <c r="AE29">
        <v>19.011404822475999</v>
      </c>
      <c r="AK29" t="str">
        <f t="shared" si="6"/>
        <v>Pass</v>
      </c>
      <c r="AL29">
        <f t="shared" si="7"/>
        <v>2.0131688117980957</v>
      </c>
      <c r="AM29">
        <v>1400</v>
      </c>
      <c r="AN29" t="s">
        <v>24</v>
      </c>
      <c r="AO29">
        <v>2.0131686995442002</v>
      </c>
    </row>
    <row r="30" spans="1:41" x14ac:dyDescent="0.3">
      <c r="A30" t="str">
        <f t="shared" si="0"/>
        <v>Pass</v>
      </c>
      <c r="B30">
        <f t="shared" si="1"/>
        <v>8.24</v>
      </c>
      <c r="C30">
        <v>20</v>
      </c>
      <c r="D30">
        <v>20</v>
      </c>
      <c r="E30">
        <v>8.24</v>
      </c>
      <c r="M30" t="str">
        <f t="shared" si="2"/>
        <v>Pass</v>
      </c>
      <c r="N30">
        <f t="shared" si="3"/>
        <v>0.58274823427200317</v>
      </c>
      <c r="O30">
        <v>40</v>
      </c>
      <c r="P30">
        <v>5</v>
      </c>
      <c r="Q30">
        <v>0.58274825237398897</v>
      </c>
      <c r="Y30" t="str">
        <f t="shared" si="4"/>
        <v>Pass</v>
      </c>
      <c r="Z30">
        <f t="shared" si="5"/>
        <v>25.791650772094727</v>
      </c>
      <c r="AA30">
        <v>0</v>
      </c>
      <c r="AB30">
        <v>5</v>
      </c>
      <c r="AC30">
        <v>80</v>
      </c>
      <c r="AD30" t="s">
        <v>24</v>
      </c>
      <c r="AE30">
        <v>25.7916507437312</v>
      </c>
      <c r="AK30" t="str">
        <f t="shared" si="6"/>
        <v>Pass</v>
      </c>
      <c r="AL30">
        <f t="shared" si="7"/>
        <v>0.88170677423477173</v>
      </c>
      <c r="AM30">
        <v>1600</v>
      </c>
      <c r="AN30" t="s">
        <v>26</v>
      </c>
      <c r="AO30">
        <v>0.881706778899221</v>
      </c>
    </row>
    <row r="31" spans="1:41" x14ac:dyDescent="0.3">
      <c r="A31" t="str">
        <f t="shared" si="0"/>
        <v>Pass</v>
      </c>
      <c r="B31">
        <f t="shared" si="1"/>
        <v>9.6199999999999992</v>
      </c>
      <c r="C31">
        <v>20</v>
      </c>
      <c r="D31">
        <v>30</v>
      </c>
      <c r="E31">
        <v>9.6199999999999992</v>
      </c>
      <c r="M31" t="str">
        <f t="shared" si="2"/>
        <v>Pass</v>
      </c>
      <c r="N31">
        <f t="shared" si="3"/>
        <v>0.33959552645683289</v>
      </c>
      <c r="O31">
        <v>40</v>
      </c>
      <c r="P31">
        <v>10</v>
      </c>
      <c r="Q31">
        <v>0.339595525644939</v>
      </c>
      <c r="Y31" t="str">
        <f t="shared" si="4"/>
        <v>Pass</v>
      </c>
      <c r="Z31">
        <f t="shared" si="5"/>
        <v>25.791650772094727</v>
      </c>
      <c r="AA31">
        <v>0</v>
      </c>
      <c r="AB31">
        <v>5</v>
      </c>
      <c r="AC31">
        <v>80</v>
      </c>
      <c r="AD31" t="s">
        <v>25</v>
      </c>
      <c r="AE31">
        <v>25.7916507437312</v>
      </c>
      <c r="AK31" t="str">
        <f t="shared" si="6"/>
        <v>Pass</v>
      </c>
      <c r="AL31">
        <f t="shared" si="7"/>
        <v>0.88170677423477173</v>
      </c>
      <c r="AM31">
        <v>1600</v>
      </c>
      <c r="AN31" t="s">
        <v>25</v>
      </c>
      <c r="AO31">
        <v>0.881706778899221</v>
      </c>
    </row>
    <row r="32" spans="1:41" x14ac:dyDescent="0.3">
      <c r="A32" t="str">
        <f t="shared" si="0"/>
        <v>Pass</v>
      </c>
      <c r="B32">
        <f t="shared" si="1"/>
        <v>11</v>
      </c>
      <c r="C32">
        <v>20</v>
      </c>
      <c r="D32">
        <v>40</v>
      </c>
      <c r="E32">
        <v>11</v>
      </c>
      <c r="M32" t="str">
        <f t="shared" si="2"/>
        <v>Pass</v>
      </c>
      <c r="N32">
        <f t="shared" si="3"/>
        <v>0.20499999821186066</v>
      </c>
      <c r="O32">
        <v>40</v>
      </c>
      <c r="P32">
        <v>15</v>
      </c>
      <c r="Q32">
        <v>0.20499999999999999</v>
      </c>
      <c r="Y32" t="str">
        <f t="shared" si="4"/>
        <v>Pass</v>
      </c>
      <c r="Z32">
        <f t="shared" si="5"/>
        <v>25.791650772094727</v>
      </c>
      <c r="AA32">
        <v>0</v>
      </c>
      <c r="AB32">
        <v>5</v>
      </c>
      <c r="AC32">
        <v>80</v>
      </c>
      <c r="AD32" t="s">
        <v>26</v>
      </c>
      <c r="AE32">
        <v>25.7916507437312</v>
      </c>
      <c r="AK32" t="str">
        <f t="shared" si="6"/>
        <v>Pass</v>
      </c>
      <c r="AL32">
        <f t="shared" si="7"/>
        <v>2.0940535068511963</v>
      </c>
      <c r="AM32">
        <v>1600</v>
      </c>
      <c r="AN32" t="s">
        <v>24</v>
      </c>
      <c r="AO32">
        <v>2.0940535998856502</v>
      </c>
    </row>
    <row r="33" spans="1:41" x14ac:dyDescent="0.3">
      <c r="A33" t="str">
        <f t="shared" si="0"/>
        <v>Pass</v>
      </c>
      <c r="B33">
        <f t="shared" si="1"/>
        <v>12.38</v>
      </c>
      <c r="C33">
        <v>20</v>
      </c>
      <c r="D33">
        <v>50</v>
      </c>
      <c r="E33">
        <v>12.38</v>
      </c>
      <c r="M33" t="str">
        <f t="shared" si="2"/>
        <v>Pass</v>
      </c>
      <c r="N33">
        <f t="shared" si="3"/>
        <v>9.0999998152256012E-2</v>
      </c>
      <c r="O33">
        <v>40</v>
      </c>
      <c r="P33">
        <v>20</v>
      </c>
      <c r="Q33">
        <v>9.0999999999999998E-2</v>
      </c>
      <c r="Y33" t="str">
        <f t="shared" si="4"/>
        <v>Pass</v>
      </c>
      <c r="Z33">
        <f t="shared" si="5"/>
        <v>29.704530715942383</v>
      </c>
      <c r="AA33">
        <v>0</v>
      </c>
      <c r="AB33">
        <v>5</v>
      </c>
      <c r="AC33">
        <v>90</v>
      </c>
      <c r="AD33" t="s">
        <v>24</v>
      </c>
      <c r="AE33">
        <v>29.704531774291901</v>
      </c>
      <c r="AK33" t="str">
        <f t="shared" si="6"/>
        <v>Pass</v>
      </c>
      <c r="AL33">
        <f t="shared" si="7"/>
        <v>0.91288101673126221</v>
      </c>
      <c r="AM33">
        <v>1800</v>
      </c>
      <c r="AN33" t="s">
        <v>26</v>
      </c>
      <c r="AO33">
        <v>0.91288101229093999</v>
      </c>
    </row>
    <row r="34" spans="1:41" x14ac:dyDescent="0.3">
      <c r="A34" t="str">
        <f t="shared" si="0"/>
        <v>Pass</v>
      </c>
      <c r="B34">
        <f t="shared" si="1"/>
        <v>13.76</v>
      </c>
      <c r="C34">
        <v>20</v>
      </c>
      <c r="D34">
        <v>60</v>
      </c>
      <c r="E34">
        <v>13.76</v>
      </c>
      <c r="M34" t="str">
        <f t="shared" si="2"/>
        <v>Pass</v>
      </c>
      <c r="N34">
        <f t="shared" si="3"/>
        <v>1.0000000474974513E-3</v>
      </c>
      <c r="O34">
        <v>40</v>
      </c>
      <c r="P34">
        <v>25</v>
      </c>
      <c r="Q34">
        <v>1E-3</v>
      </c>
      <c r="Y34" t="str">
        <f t="shared" si="4"/>
        <v>Pass</v>
      </c>
      <c r="Z34">
        <f t="shared" si="5"/>
        <v>29.704530715942383</v>
      </c>
      <c r="AA34">
        <v>0</v>
      </c>
      <c r="AB34">
        <v>5</v>
      </c>
      <c r="AC34">
        <v>90</v>
      </c>
      <c r="AD34" t="s">
        <v>25</v>
      </c>
      <c r="AE34">
        <v>29.704531774291901</v>
      </c>
      <c r="AK34" t="str">
        <f t="shared" si="6"/>
        <v>Pass</v>
      </c>
      <c r="AL34">
        <f t="shared" si="7"/>
        <v>0.91288101673126221</v>
      </c>
      <c r="AM34">
        <v>1800</v>
      </c>
      <c r="AN34" t="s">
        <v>25</v>
      </c>
      <c r="AO34">
        <v>0.91288101229093999</v>
      </c>
    </row>
    <row r="35" spans="1:41" x14ac:dyDescent="0.3">
      <c r="A35" t="str">
        <f t="shared" si="0"/>
        <v>Pass</v>
      </c>
      <c r="B35">
        <f t="shared" si="1"/>
        <v>15.14</v>
      </c>
      <c r="C35">
        <v>20</v>
      </c>
      <c r="D35">
        <v>70</v>
      </c>
      <c r="E35">
        <v>15.14</v>
      </c>
      <c r="M35" t="str">
        <f t="shared" si="2"/>
        <v>Pass</v>
      </c>
      <c r="N35">
        <f t="shared" si="3"/>
        <v>1.0000000474974513E-3</v>
      </c>
      <c r="O35">
        <v>40</v>
      </c>
      <c r="P35">
        <v>30</v>
      </c>
      <c r="Q35">
        <v>1E-3</v>
      </c>
      <c r="Y35" t="str">
        <f t="shared" si="4"/>
        <v>Pass</v>
      </c>
      <c r="Z35">
        <f t="shared" si="5"/>
        <v>29.704530715942383</v>
      </c>
      <c r="AA35">
        <v>0</v>
      </c>
      <c r="AB35">
        <v>5</v>
      </c>
      <c r="AC35">
        <v>90</v>
      </c>
      <c r="AD35" t="s">
        <v>26</v>
      </c>
      <c r="AE35">
        <v>29.704531774291901</v>
      </c>
      <c r="AK35" t="str">
        <f t="shared" si="6"/>
        <v>Pass</v>
      </c>
      <c r="AL35">
        <f t="shared" si="7"/>
        <v>2.1680924892425537</v>
      </c>
      <c r="AM35">
        <v>1800</v>
      </c>
      <c r="AN35" t="s">
        <v>24</v>
      </c>
      <c r="AO35">
        <v>2.1680924041909799</v>
      </c>
    </row>
    <row r="36" spans="1:41" x14ac:dyDescent="0.3">
      <c r="A36" t="str">
        <f t="shared" si="0"/>
        <v>Pass</v>
      </c>
      <c r="B36">
        <f t="shared" si="1"/>
        <v>16.52</v>
      </c>
      <c r="C36">
        <v>20</v>
      </c>
      <c r="D36">
        <v>80</v>
      </c>
      <c r="E36">
        <v>16.52</v>
      </c>
      <c r="M36" t="str">
        <f t="shared" si="2"/>
        <v>Pass</v>
      </c>
      <c r="N36">
        <f t="shared" si="3"/>
        <v>0.58274823427200317</v>
      </c>
      <c r="O36">
        <v>50</v>
      </c>
      <c r="P36">
        <v>5</v>
      </c>
      <c r="Q36">
        <v>0.58274825237398897</v>
      </c>
      <c r="Y36" t="str">
        <f t="shared" si="4"/>
        <v>Pass</v>
      </c>
      <c r="Z36">
        <f t="shared" si="5"/>
        <v>31.46783447265625</v>
      </c>
      <c r="AA36">
        <v>0</v>
      </c>
      <c r="AB36">
        <v>5</v>
      </c>
      <c r="AC36">
        <v>100</v>
      </c>
      <c r="AD36" t="s">
        <v>24</v>
      </c>
      <c r="AE36">
        <v>31.467835269737101</v>
      </c>
      <c r="AK36" t="str">
        <f t="shared" si="6"/>
        <v>Pass</v>
      </c>
      <c r="AL36">
        <f t="shared" si="7"/>
        <v>0.94170016050338745</v>
      </c>
      <c r="AM36">
        <v>2000</v>
      </c>
      <c r="AN36" t="s">
        <v>26</v>
      </c>
      <c r="AO36">
        <v>0.941700137136953</v>
      </c>
    </row>
    <row r="37" spans="1:41" x14ac:dyDescent="0.3">
      <c r="A37" t="str">
        <f t="shared" si="0"/>
        <v>Pass</v>
      </c>
      <c r="B37">
        <f t="shared" si="1"/>
        <v>17.899999999999999</v>
      </c>
      <c r="C37">
        <v>20</v>
      </c>
      <c r="D37">
        <v>90</v>
      </c>
      <c r="E37">
        <v>17.899999999999999</v>
      </c>
      <c r="M37" t="str">
        <f t="shared" si="2"/>
        <v>Pass</v>
      </c>
      <c r="N37">
        <f t="shared" si="3"/>
        <v>0.33959552645683289</v>
      </c>
      <c r="O37">
        <v>50</v>
      </c>
      <c r="P37">
        <v>10</v>
      </c>
      <c r="Q37">
        <v>0.339595525644939</v>
      </c>
      <c r="Y37" t="str">
        <f t="shared" si="4"/>
        <v>Pass</v>
      </c>
      <c r="Z37">
        <f t="shared" si="5"/>
        <v>31.46783447265625</v>
      </c>
      <c r="AA37">
        <v>0</v>
      </c>
      <c r="AB37">
        <v>5</v>
      </c>
      <c r="AC37">
        <v>100</v>
      </c>
      <c r="AD37" t="s">
        <v>25</v>
      </c>
      <c r="AE37">
        <v>31.467835269737101</v>
      </c>
      <c r="AK37" t="str">
        <f t="shared" si="6"/>
        <v>Pass</v>
      </c>
      <c r="AL37">
        <f t="shared" si="7"/>
        <v>0.94170016050338745</v>
      </c>
      <c r="AM37">
        <v>2000</v>
      </c>
      <c r="AN37" t="s">
        <v>25</v>
      </c>
      <c r="AO37">
        <v>0.941700137136953</v>
      </c>
    </row>
    <row r="38" spans="1:41" x14ac:dyDescent="0.3">
      <c r="A38" t="str">
        <f t="shared" si="0"/>
        <v>Pass</v>
      </c>
      <c r="B38">
        <f t="shared" si="1"/>
        <v>19.28</v>
      </c>
      <c r="C38">
        <v>20</v>
      </c>
      <c r="D38">
        <v>100</v>
      </c>
      <c r="E38">
        <v>19.28</v>
      </c>
      <c r="M38" t="str">
        <f t="shared" si="2"/>
        <v>Pass</v>
      </c>
      <c r="N38">
        <f t="shared" si="3"/>
        <v>0.20499999821186066</v>
      </c>
      <c r="O38">
        <v>50</v>
      </c>
      <c r="P38">
        <v>15</v>
      </c>
      <c r="Q38">
        <v>0.20499999999999999</v>
      </c>
      <c r="Y38" t="str">
        <f t="shared" si="4"/>
        <v>Pass</v>
      </c>
      <c r="Z38">
        <f t="shared" si="5"/>
        <v>31.46783447265625</v>
      </c>
      <c r="AA38">
        <v>0</v>
      </c>
      <c r="AB38">
        <v>5</v>
      </c>
      <c r="AC38">
        <v>100</v>
      </c>
      <c r="AD38" t="s">
        <v>26</v>
      </c>
      <c r="AE38">
        <v>31.467835269737101</v>
      </c>
      <c r="AK38" t="str">
        <f t="shared" si="6"/>
        <v>Pass</v>
      </c>
      <c r="AL38">
        <f t="shared" si="7"/>
        <v>2.2365379333496094</v>
      </c>
      <c r="AM38">
        <v>2000</v>
      </c>
      <c r="AN38" t="s">
        <v>24</v>
      </c>
      <c r="AO38">
        <v>2.2365378257002599</v>
      </c>
    </row>
    <row r="39" spans="1:41" x14ac:dyDescent="0.3">
      <c r="A39" t="str">
        <f t="shared" si="0"/>
        <v>Pass</v>
      </c>
      <c r="B39">
        <f t="shared" si="1"/>
        <v>5</v>
      </c>
      <c r="C39">
        <v>30</v>
      </c>
      <c r="D39">
        <v>0</v>
      </c>
      <c r="E39">
        <v>5</v>
      </c>
      <c r="M39" t="str">
        <f t="shared" si="2"/>
        <v>Pass</v>
      </c>
      <c r="N39">
        <f t="shared" si="3"/>
        <v>9.0999998152256012E-2</v>
      </c>
      <c r="O39">
        <v>50</v>
      </c>
      <c r="P39">
        <v>20</v>
      </c>
      <c r="Q39">
        <v>9.0999999999999998E-2</v>
      </c>
      <c r="Y39" t="str">
        <f t="shared" si="4"/>
        <v>Pass</v>
      </c>
      <c r="Z39">
        <f t="shared" si="5"/>
        <v>2.4891098961234093E-2</v>
      </c>
      <c r="AA39">
        <v>0</v>
      </c>
      <c r="AB39">
        <v>10</v>
      </c>
      <c r="AC39">
        <v>0</v>
      </c>
      <c r="AD39" t="s">
        <v>24</v>
      </c>
      <c r="AE39">
        <v>2.4891100081372401E-2</v>
      </c>
      <c r="AK39" t="str">
        <f t="shared" si="6"/>
        <v>Pass</v>
      </c>
      <c r="AL39">
        <f t="shared" si="7"/>
        <v>0.96855318546295166</v>
      </c>
      <c r="AM39">
        <v>2200</v>
      </c>
      <c r="AN39" t="s">
        <v>26</v>
      </c>
      <c r="AO39">
        <v>0.96855318987112204</v>
      </c>
    </row>
    <row r="40" spans="1:41" x14ac:dyDescent="0.3">
      <c r="A40" t="str">
        <f t="shared" si="0"/>
        <v>Pass</v>
      </c>
      <c r="B40">
        <f t="shared" si="1"/>
        <v>5</v>
      </c>
      <c r="C40">
        <v>30</v>
      </c>
      <c r="D40">
        <v>10</v>
      </c>
      <c r="E40">
        <v>5</v>
      </c>
      <c r="M40" t="str">
        <f t="shared" si="2"/>
        <v>Pass</v>
      </c>
      <c r="N40">
        <f t="shared" si="3"/>
        <v>1.0000000474974513E-3</v>
      </c>
      <c r="O40">
        <v>50</v>
      </c>
      <c r="P40">
        <v>25</v>
      </c>
      <c r="Q40">
        <v>1E-3</v>
      </c>
      <c r="Y40" t="str">
        <f t="shared" si="4"/>
        <v>Pass</v>
      </c>
      <c r="Z40">
        <f t="shared" si="5"/>
        <v>2.4891098961234093E-2</v>
      </c>
      <c r="AA40">
        <v>0</v>
      </c>
      <c r="AB40">
        <v>10</v>
      </c>
      <c r="AC40">
        <v>0</v>
      </c>
      <c r="AD40" t="s">
        <v>25</v>
      </c>
      <c r="AE40">
        <v>2.4891100081372401E-2</v>
      </c>
      <c r="AK40" t="str">
        <f t="shared" si="6"/>
        <v>Pass</v>
      </c>
      <c r="AL40">
        <f t="shared" si="7"/>
        <v>0.96855318546295166</v>
      </c>
      <c r="AM40">
        <v>2200</v>
      </c>
      <c r="AN40" t="s">
        <v>25</v>
      </c>
      <c r="AO40">
        <v>0.96855318987112204</v>
      </c>
    </row>
    <row r="41" spans="1:41" x14ac:dyDescent="0.3">
      <c r="A41" t="str">
        <f t="shared" si="0"/>
        <v>Pass</v>
      </c>
      <c r="B41">
        <f t="shared" si="1"/>
        <v>6.19</v>
      </c>
      <c r="C41">
        <v>30</v>
      </c>
      <c r="D41">
        <v>20</v>
      </c>
      <c r="E41">
        <v>6.19</v>
      </c>
      <c r="M41" t="str">
        <f t="shared" si="2"/>
        <v>Pass</v>
      </c>
      <c r="N41">
        <f t="shared" si="3"/>
        <v>1.0000000474974513E-3</v>
      </c>
      <c r="O41">
        <v>50</v>
      </c>
      <c r="P41">
        <v>30</v>
      </c>
      <c r="Q41">
        <v>1E-3</v>
      </c>
      <c r="Y41" t="str">
        <f t="shared" si="4"/>
        <v>Pass</v>
      </c>
      <c r="Z41">
        <f t="shared" si="5"/>
        <v>2.4891098961234093E-2</v>
      </c>
      <c r="AA41">
        <v>0</v>
      </c>
      <c r="AB41">
        <v>10</v>
      </c>
      <c r="AC41">
        <v>0</v>
      </c>
      <c r="AD41" t="s">
        <v>26</v>
      </c>
      <c r="AE41">
        <v>2.4891100081372401E-2</v>
      </c>
      <c r="AK41" t="str">
        <f t="shared" si="6"/>
        <v>Pass</v>
      </c>
      <c r="AL41">
        <f t="shared" si="7"/>
        <v>2.3003137111663818</v>
      </c>
      <c r="AM41">
        <v>2200</v>
      </c>
      <c r="AN41" t="s">
        <v>24</v>
      </c>
      <c r="AO41">
        <v>2.3003138259439102</v>
      </c>
    </row>
    <row r="42" spans="1:41" x14ac:dyDescent="0.3">
      <c r="A42" t="str">
        <f t="shared" si="0"/>
        <v>Pass</v>
      </c>
      <c r="B42">
        <f t="shared" si="1"/>
        <v>7.57</v>
      </c>
      <c r="C42">
        <v>30</v>
      </c>
      <c r="D42">
        <v>30</v>
      </c>
      <c r="E42">
        <v>7.57</v>
      </c>
      <c r="M42" t="str">
        <f t="shared" si="2"/>
        <v>Pass</v>
      </c>
      <c r="N42">
        <f t="shared" si="3"/>
        <v>0.58274823427200317</v>
      </c>
      <c r="O42">
        <v>60</v>
      </c>
      <c r="P42">
        <v>5</v>
      </c>
      <c r="Q42">
        <v>0.58274825237398897</v>
      </c>
      <c r="Y42" t="str">
        <f t="shared" si="4"/>
        <v>Pass</v>
      </c>
      <c r="Z42">
        <f t="shared" si="5"/>
        <v>6.7240498960018158E-2</v>
      </c>
      <c r="AA42">
        <v>0</v>
      </c>
      <c r="AB42">
        <v>10</v>
      </c>
      <c r="AC42">
        <v>10</v>
      </c>
      <c r="AD42" t="s">
        <v>24</v>
      </c>
      <c r="AE42">
        <v>6.7240502548757103E-2</v>
      </c>
      <c r="AK42" t="str">
        <f t="shared" si="6"/>
        <v>Pass</v>
      </c>
      <c r="AL42">
        <f t="shared" si="7"/>
        <v>0.99373620748519897</v>
      </c>
      <c r="AM42">
        <v>2400</v>
      </c>
      <c r="AN42" t="s">
        <v>26</v>
      </c>
      <c r="AO42">
        <v>0.99373617845338003</v>
      </c>
    </row>
    <row r="43" spans="1:41" x14ac:dyDescent="0.3">
      <c r="A43" t="str">
        <f t="shared" si="0"/>
        <v>Pass</v>
      </c>
      <c r="B43">
        <f t="shared" si="1"/>
        <v>8.9499999999999993</v>
      </c>
      <c r="C43">
        <v>30</v>
      </c>
      <c r="D43">
        <v>40</v>
      </c>
      <c r="E43">
        <v>8.9499999999999993</v>
      </c>
      <c r="M43" t="str">
        <f t="shared" si="2"/>
        <v>Pass</v>
      </c>
      <c r="N43">
        <f t="shared" si="3"/>
        <v>0.33959552645683289</v>
      </c>
      <c r="O43">
        <v>60</v>
      </c>
      <c r="P43">
        <v>10</v>
      </c>
      <c r="Q43">
        <v>0.339595525644939</v>
      </c>
      <c r="Y43" t="str">
        <f t="shared" si="4"/>
        <v>Pass</v>
      </c>
      <c r="Z43">
        <f t="shared" si="5"/>
        <v>6.7240498960018158E-2</v>
      </c>
      <c r="AA43">
        <v>0</v>
      </c>
      <c r="AB43">
        <v>10</v>
      </c>
      <c r="AC43">
        <v>10</v>
      </c>
      <c r="AD43" t="s">
        <v>25</v>
      </c>
      <c r="AE43">
        <v>6.7240502548757103E-2</v>
      </c>
      <c r="AK43" t="str">
        <f t="shared" si="6"/>
        <v>Pass</v>
      </c>
      <c r="AL43">
        <f t="shared" si="7"/>
        <v>0.99373620748519897</v>
      </c>
      <c r="AM43">
        <v>2400</v>
      </c>
      <c r="AN43" t="s">
        <v>25</v>
      </c>
      <c r="AO43">
        <v>0.99373617845338003</v>
      </c>
    </row>
    <row r="44" spans="1:41" x14ac:dyDescent="0.3">
      <c r="A44" t="str">
        <f t="shared" si="0"/>
        <v>Pass</v>
      </c>
      <c r="B44">
        <f t="shared" si="1"/>
        <v>10.33</v>
      </c>
      <c r="C44">
        <v>30</v>
      </c>
      <c r="D44">
        <v>50</v>
      </c>
      <c r="E44">
        <v>10.33</v>
      </c>
      <c r="M44" t="str">
        <f t="shared" si="2"/>
        <v>Pass</v>
      </c>
      <c r="N44">
        <f t="shared" si="3"/>
        <v>0.20499999821186066</v>
      </c>
      <c r="O44">
        <v>60</v>
      </c>
      <c r="P44">
        <v>15</v>
      </c>
      <c r="Q44">
        <v>0.20499999999999999</v>
      </c>
      <c r="Y44" t="str">
        <f t="shared" si="4"/>
        <v>Pass</v>
      </c>
      <c r="Z44">
        <f t="shared" si="5"/>
        <v>6.7240498960018158E-2</v>
      </c>
      <c r="AA44">
        <v>0</v>
      </c>
      <c r="AB44">
        <v>10</v>
      </c>
      <c r="AC44">
        <v>10</v>
      </c>
      <c r="AD44" t="s">
        <v>26</v>
      </c>
      <c r="AE44">
        <v>6.7240502548757103E-2</v>
      </c>
      <c r="AK44" t="str">
        <f t="shared" si="6"/>
        <v>Pass</v>
      </c>
      <c r="AL44">
        <f t="shared" si="7"/>
        <v>2.3601233959197998</v>
      </c>
      <c r="AM44">
        <v>2400</v>
      </c>
      <c r="AN44" t="s">
        <v>24</v>
      </c>
      <c r="AO44">
        <v>2.3601234238267699</v>
      </c>
    </row>
    <row r="45" spans="1:41" x14ac:dyDescent="0.3">
      <c r="A45" t="str">
        <f t="shared" si="0"/>
        <v>Pass</v>
      </c>
      <c r="B45">
        <f t="shared" si="1"/>
        <v>11.71</v>
      </c>
      <c r="C45">
        <v>30</v>
      </c>
      <c r="D45">
        <v>60</v>
      </c>
      <c r="E45">
        <v>11.71</v>
      </c>
      <c r="M45" t="str">
        <f t="shared" si="2"/>
        <v>Pass</v>
      </c>
      <c r="N45">
        <f t="shared" si="3"/>
        <v>9.0999998152256012E-2</v>
      </c>
      <c r="O45">
        <v>60</v>
      </c>
      <c r="P45">
        <v>20</v>
      </c>
      <c r="Q45">
        <v>9.0999999999999998E-2</v>
      </c>
      <c r="Y45" t="str">
        <f t="shared" si="4"/>
        <v>Pass</v>
      </c>
      <c r="Z45">
        <f t="shared" si="5"/>
        <v>0.18095545470714569</v>
      </c>
      <c r="AA45">
        <v>0</v>
      </c>
      <c r="AB45">
        <v>10</v>
      </c>
      <c r="AC45">
        <v>20</v>
      </c>
      <c r="AD45" t="s">
        <v>24</v>
      </c>
      <c r="AE45">
        <v>0.18095545330158799</v>
      </c>
      <c r="AK45" t="str">
        <f t="shared" si="6"/>
        <v>Pass</v>
      </c>
      <c r="AL45">
        <f t="shared" si="7"/>
        <v>1.0174801349639893</v>
      </c>
      <c r="AM45">
        <v>2600</v>
      </c>
      <c r="AN45" t="s">
        <v>26</v>
      </c>
      <c r="AO45">
        <v>1.0174800967186099</v>
      </c>
    </row>
    <row r="46" spans="1:41" x14ac:dyDescent="0.3">
      <c r="A46" t="str">
        <f t="shared" si="0"/>
        <v>Pass</v>
      </c>
      <c r="B46">
        <f t="shared" si="1"/>
        <v>13.09</v>
      </c>
      <c r="C46">
        <v>30</v>
      </c>
      <c r="D46">
        <v>70</v>
      </c>
      <c r="E46">
        <v>13.09</v>
      </c>
      <c r="M46" t="str">
        <f t="shared" si="2"/>
        <v>Pass</v>
      </c>
      <c r="N46">
        <f t="shared" si="3"/>
        <v>1.0000000474974513E-3</v>
      </c>
      <c r="O46">
        <v>60</v>
      </c>
      <c r="P46">
        <v>25</v>
      </c>
      <c r="Q46">
        <v>1E-3</v>
      </c>
      <c r="Y46" t="str">
        <f t="shared" si="4"/>
        <v>Pass</v>
      </c>
      <c r="Z46">
        <f t="shared" si="5"/>
        <v>0.18095545470714569</v>
      </c>
      <c r="AA46">
        <v>0</v>
      </c>
      <c r="AB46">
        <v>10</v>
      </c>
      <c r="AC46">
        <v>20</v>
      </c>
      <c r="AD46" t="s">
        <v>25</v>
      </c>
      <c r="AE46">
        <v>0.18095545330158799</v>
      </c>
      <c r="AK46" t="str">
        <f t="shared" si="6"/>
        <v>Pass</v>
      </c>
      <c r="AL46">
        <f t="shared" si="7"/>
        <v>1.0174801349639893</v>
      </c>
      <c r="AM46">
        <v>2600</v>
      </c>
      <c r="AN46" t="s">
        <v>25</v>
      </c>
      <c r="AO46">
        <v>1.0174800967186099</v>
      </c>
    </row>
    <row r="47" spans="1:41" x14ac:dyDescent="0.3">
      <c r="A47" t="str">
        <f t="shared" si="0"/>
        <v>Pass</v>
      </c>
      <c r="B47">
        <f t="shared" si="1"/>
        <v>14.47</v>
      </c>
      <c r="C47">
        <v>30</v>
      </c>
      <c r="D47">
        <v>80</v>
      </c>
      <c r="E47">
        <v>14.47</v>
      </c>
      <c r="M47" t="str">
        <f t="shared" si="2"/>
        <v>Pass</v>
      </c>
      <c r="N47">
        <f t="shared" si="3"/>
        <v>1.0000000474974513E-3</v>
      </c>
      <c r="O47">
        <v>60</v>
      </c>
      <c r="P47">
        <v>30</v>
      </c>
      <c r="Q47">
        <v>1E-3</v>
      </c>
      <c r="Y47" t="str">
        <f t="shared" si="4"/>
        <v>Pass</v>
      </c>
      <c r="Z47">
        <f t="shared" si="5"/>
        <v>0.18095545470714569</v>
      </c>
      <c r="AA47">
        <v>0</v>
      </c>
      <c r="AB47">
        <v>10</v>
      </c>
      <c r="AC47">
        <v>20</v>
      </c>
      <c r="AD47" t="s">
        <v>26</v>
      </c>
      <c r="AE47">
        <v>0.18095545330158799</v>
      </c>
      <c r="AK47" t="str">
        <f t="shared" si="6"/>
        <v>Pass</v>
      </c>
      <c r="AL47">
        <f t="shared" si="7"/>
        <v>2.4165151119232178</v>
      </c>
      <c r="AM47">
        <v>2600</v>
      </c>
      <c r="AN47" t="s">
        <v>24</v>
      </c>
      <c r="AO47">
        <v>2.4165152297066999</v>
      </c>
    </row>
    <row r="48" spans="1:41" x14ac:dyDescent="0.3">
      <c r="A48" t="str">
        <f t="shared" si="0"/>
        <v>Pass</v>
      </c>
      <c r="B48">
        <f t="shared" si="1"/>
        <v>15.85</v>
      </c>
      <c r="C48">
        <v>30</v>
      </c>
      <c r="D48">
        <v>90</v>
      </c>
      <c r="E48">
        <v>15.85</v>
      </c>
      <c r="M48" t="str">
        <f t="shared" si="2"/>
        <v>Pass</v>
      </c>
      <c r="N48">
        <f t="shared" si="3"/>
        <v>0.58274823427200317</v>
      </c>
      <c r="O48">
        <v>70</v>
      </c>
      <c r="P48">
        <v>5</v>
      </c>
      <c r="Q48">
        <v>0.58274825237398897</v>
      </c>
      <c r="Y48" t="str">
        <f t="shared" si="4"/>
        <v>Pass</v>
      </c>
      <c r="Z48">
        <f t="shared" si="5"/>
        <v>0.48208415508270264</v>
      </c>
      <c r="AA48">
        <v>0</v>
      </c>
      <c r="AB48">
        <v>10</v>
      </c>
      <c r="AC48">
        <v>30</v>
      </c>
      <c r="AD48" t="s">
        <v>24</v>
      </c>
      <c r="AE48">
        <v>0.482084189595334</v>
      </c>
      <c r="AK48" t="str">
        <f t="shared" si="6"/>
        <v>Pass</v>
      </c>
      <c r="AL48">
        <f t="shared" si="7"/>
        <v>1.0399690866470337</v>
      </c>
      <c r="AM48">
        <v>2800</v>
      </c>
      <c r="AN48" t="s">
        <v>26</v>
      </c>
      <c r="AO48">
        <v>1.0399690249045701</v>
      </c>
    </row>
    <row r="49" spans="1:41" x14ac:dyDescent="0.3">
      <c r="A49" t="str">
        <f t="shared" si="0"/>
        <v>Pass</v>
      </c>
      <c r="B49">
        <f t="shared" si="1"/>
        <v>17.23</v>
      </c>
      <c r="C49">
        <v>30</v>
      </c>
      <c r="D49">
        <v>100</v>
      </c>
      <c r="E49">
        <v>17.23</v>
      </c>
      <c r="M49" t="str">
        <f t="shared" si="2"/>
        <v>Pass</v>
      </c>
      <c r="N49">
        <f t="shared" si="3"/>
        <v>0.33959552645683289</v>
      </c>
      <c r="O49">
        <v>70</v>
      </c>
      <c r="P49">
        <v>10</v>
      </c>
      <c r="Q49">
        <v>0.339595525644939</v>
      </c>
      <c r="Y49" t="str">
        <f t="shared" si="4"/>
        <v>Pass</v>
      </c>
      <c r="Z49">
        <f t="shared" si="5"/>
        <v>0.48208415508270264</v>
      </c>
      <c r="AA49">
        <v>0</v>
      </c>
      <c r="AB49">
        <v>10</v>
      </c>
      <c r="AC49">
        <v>30</v>
      </c>
      <c r="AD49" t="s">
        <v>25</v>
      </c>
      <c r="AE49">
        <v>0.482084189595334</v>
      </c>
      <c r="AK49" t="str">
        <f t="shared" si="6"/>
        <v>Pass</v>
      </c>
      <c r="AL49">
        <f t="shared" si="7"/>
        <v>1.0399690866470337</v>
      </c>
      <c r="AM49">
        <v>2800</v>
      </c>
      <c r="AN49" t="s">
        <v>25</v>
      </c>
      <c r="AO49">
        <v>1.0399690249045701</v>
      </c>
    </row>
    <row r="50" spans="1:41" x14ac:dyDescent="0.3">
      <c r="A50" t="str">
        <f t="shared" si="0"/>
        <v>Pass</v>
      </c>
      <c r="B50">
        <f t="shared" si="1"/>
        <v>5</v>
      </c>
      <c r="C50">
        <v>40</v>
      </c>
      <c r="D50">
        <v>0</v>
      </c>
      <c r="E50">
        <v>5</v>
      </c>
      <c r="M50" t="str">
        <f t="shared" si="2"/>
        <v>Pass</v>
      </c>
      <c r="N50">
        <f t="shared" si="3"/>
        <v>0.20499999821186066</v>
      </c>
      <c r="O50">
        <v>70</v>
      </c>
      <c r="P50">
        <v>15</v>
      </c>
      <c r="Q50">
        <v>0.20499999999999999</v>
      </c>
      <c r="Y50" t="str">
        <f t="shared" si="4"/>
        <v>Pass</v>
      </c>
      <c r="Z50">
        <f t="shared" si="5"/>
        <v>0.48208415508270264</v>
      </c>
      <c r="AA50">
        <v>0</v>
      </c>
      <c r="AB50">
        <v>10</v>
      </c>
      <c r="AC50">
        <v>30</v>
      </c>
      <c r="AD50" t="s">
        <v>26</v>
      </c>
      <c r="AE50">
        <v>0.482084189595334</v>
      </c>
      <c r="AK50" t="str">
        <f t="shared" si="6"/>
        <v>Pass</v>
      </c>
      <c r="AL50">
        <f t="shared" si="7"/>
        <v>2.4699263572692871</v>
      </c>
      <c r="AM50">
        <v>2800</v>
      </c>
      <c r="AN50" t="s">
        <v>24</v>
      </c>
      <c r="AO50">
        <v>2.46992643414836</v>
      </c>
    </row>
    <row r="51" spans="1:41" x14ac:dyDescent="0.3">
      <c r="A51" t="str">
        <f t="shared" si="0"/>
        <v>Pass</v>
      </c>
      <c r="B51">
        <f t="shared" si="1"/>
        <v>5</v>
      </c>
      <c r="C51">
        <v>40</v>
      </c>
      <c r="D51">
        <v>10</v>
      </c>
      <c r="E51">
        <v>5</v>
      </c>
      <c r="M51" t="str">
        <f t="shared" si="2"/>
        <v>Pass</v>
      </c>
      <c r="N51">
        <f t="shared" si="3"/>
        <v>9.0999998152256012E-2</v>
      </c>
      <c r="O51">
        <v>70</v>
      </c>
      <c r="P51">
        <v>20</v>
      </c>
      <c r="Q51">
        <v>9.0999999999999998E-2</v>
      </c>
      <c r="Y51" t="str">
        <f t="shared" si="4"/>
        <v>Pass</v>
      </c>
      <c r="Z51">
        <f t="shared" si="5"/>
        <v>1.2510079145431519</v>
      </c>
      <c r="AA51">
        <v>0</v>
      </c>
      <c r="AB51">
        <v>10</v>
      </c>
      <c r="AC51">
        <v>40</v>
      </c>
      <c r="AD51" t="s">
        <v>24</v>
      </c>
      <c r="AE51">
        <v>1.2510079979100199</v>
      </c>
      <c r="AK51" t="str">
        <f t="shared" si="6"/>
        <v>Pass</v>
      </c>
      <c r="AL51">
        <f t="shared" si="7"/>
        <v>1.0613522529602051</v>
      </c>
      <c r="AM51">
        <v>3000</v>
      </c>
      <c r="AN51" t="s">
        <v>26</v>
      </c>
      <c r="AO51">
        <v>1.06135227484109</v>
      </c>
    </row>
    <row r="52" spans="1:41" x14ac:dyDescent="0.3">
      <c r="A52" t="str">
        <f t="shared" si="0"/>
        <v>Pass</v>
      </c>
      <c r="B52">
        <f t="shared" si="1"/>
        <v>5</v>
      </c>
      <c r="C52">
        <v>40</v>
      </c>
      <c r="D52">
        <v>20</v>
      </c>
      <c r="E52">
        <v>5</v>
      </c>
      <c r="M52" t="str">
        <f t="shared" si="2"/>
        <v>Pass</v>
      </c>
      <c r="N52">
        <f t="shared" si="3"/>
        <v>1.0000000474974513E-3</v>
      </c>
      <c r="O52">
        <v>70</v>
      </c>
      <c r="P52">
        <v>25</v>
      </c>
      <c r="Q52">
        <v>1E-3</v>
      </c>
      <c r="Y52" t="str">
        <f t="shared" si="4"/>
        <v>Pass</v>
      </c>
      <c r="Z52">
        <f t="shared" si="5"/>
        <v>1.2510079145431519</v>
      </c>
      <c r="AA52">
        <v>0</v>
      </c>
      <c r="AB52">
        <v>10</v>
      </c>
      <c r="AC52">
        <v>40</v>
      </c>
      <c r="AD52" t="s">
        <v>25</v>
      </c>
      <c r="AE52">
        <v>1.2510079979100199</v>
      </c>
      <c r="AK52" t="str">
        <f t="shared" si="6"/>
        <v>Pass</v>
      </c>
      <c r="AL52">
        <f t="shared" si="7"/>
        <v>1.0613522529602051</v>
      </c>
      <c r="AM52">
        <v>3000</v>
      </c>
      <c r="AN52" t="s">
        <v>25</v>
      </c>
      <c r="AO52">
        <v>1.06135227484109</v>
      </c>
    </row>
    <row r="53" spans="1:41" x14ac:dyDescent="0.3">
      <c r="A53" t="str">
        <f t="shared" si="0"/>
        <v>Pass</v>
      </c>
      <c r="B53">
        <f t="shared" si="1"/>
        <v>5.52</v>
      </c>
      <c r="C53">
        <v>40</v>
      </c>
      <c r="D53">
        <v>30</v>
      </c>
      <c r="E53">
        <v>5.52</v>
      </c>
      <c r="M53" t="str">
        <f t="shared" si="2"/>
        <v>Pass</v>
      </c>
      <c r="N53">
        <f t="shared" si="3"/>
        <v>1.0000000474974513E-3</v>
      </c>
      <c r="O53">
        <v>70</v>
      </c>
      <c r="P53">
        <v>30</v>
      </c>
      <c r="Q53">
        <v>1E-3</v>
      </c>
      <c r="Y53" t="str">
        <f t="shared" si="4"/>
        <v>Pass</v>
      </c>
      <c r="Z53">
        <f t="shared" si="5"/>
        <v>1.2510079145431519</v>
      </c>
      <c r="AA53">
        <v>0</v>
      </c>
      <c r="AB53">
        <v>10</v>
      </c>
      <c r="AC53">
        <v>40</v>
      </c>
      <c r="AD53" t="s">
        <v>26</v>
      </c>
      <c r="AE53">
        <v>1.2510079979100199</v>
      </c>
      <c r="AK53" t="str">
        <f t="shared" si="6"/>
        <v>Pass</v>
      </c>
      <c r="AL53">
        <f t="shared" si="7"/>
        <v>2.5207116603851318</v>
      </c>
      <c r="AM53">
        <v>3000</v>
      </c>
      <c r="AN53" t="s">
        <v>24</v>
      </c>
      <c r="AO53">
        <v>2.5207116527475901</v>
      </c>
    </row>
    <row r="54" spans="1:41" x14ac:dyDescent="0.3">
      <c r="A54" t="str">
        <f t="shared" si="0"/>
        <v>Pass</v>
      </c>
      <c r="B54">
        <f t="shared" si="1"/>
        <v>6.9</v>
      </c>
      <c r="C54">
        <v>40</v>
      </c>
      <c r="D54">
        <v>40</v>
      </c>
      <c r="E54">
        <v>6.9</v>
      </c>
      <c r="Y54" t="str">
        <f t="shared" si="4"/>
        <v>Pass</v>
      </c>
      <c r="Z54">
        <f t="shared" si="5"/>
        <v>3.0446972846984863</v>
      </c>
      <c r="AA54">
        <v>0</v>
      </c>
      <c r="AB54">
        <v>10</v>
      </c>
      <c r="AC54">
        <v>50</v>
      </c>
      <c r="AD54" t="s">
        <v>24</v>
      </c>
      <c r="AE54">
        <v>3.0446974991985698</v>
      </c>
      <c r="AK54" t="str">
        <f t="shared" si="6"/>
        <v>Pass</v>
      </c>
      <c r="AL54">
        <f t="shared" si="7"/>
        <v>1.0817527770996094</v>
      </c>
      <c r="AM54">
        <v>3200</v>
      </c>
      <c r="AN54" t="s">
        <v>26</v>
      </c>
      <c r="AO54">
        <v>1.0817528013742901</v>
      </c>
    </row>
    <row r="55" spans="1:41" x14ac:dyDescent="0.3">
      <c r="A55" t="str">
        <f t="shared" si="0"/>
        <v>Pass</v>
      </c>
      <c r="B55">
        <f t="shared" si="1"/>
        <v>8.2799999999999994</v>
      </c>
      <c r="C55">
        <v>40</v>
      </c>
      <c r="D55">
        <v>50</v>
      </c>
      <c r="E55">
        <v>8.2799999999999994</v>
      </c>
      <c r="Y55" t="str">
        <f t="shared" si="4"/>
        <v>Pass</v>
      </c>
      <c r="Z55">
        <f t="shared" si="5"/>
        <v>3.0446972846984863</v>
      </c>
      <c r="AA55">
        <v>0</v>
      </c>
      <c r="AB55">
        <v>10</v>
      </c>
      <c r="AC55">
        <v>50</v>
      </c>
      <c r="AD55" t="s">
        <v>25</v>
      </c>
      <c r="AE55">
        <v>3.0446974991985698</v>
      </c>
      <c r="AK55" t="str">
        <f t="shared" si="6"/>
        <v>Pass</v>
      </c>
      <c r="AL55">
        <f t="shared" si="7"/>
        <v>1.0817527770996094</v>
      </c>
      <c r="AM55">
        <v>3200</v>
      </c>
      <c r="AN55" t="s">
        <v>25</v>
      </c>
      <c r="AO55">
        <v>1.0817528013742901</v>
      </c>
    </row>
    <row r="56" spans="1:41" x14ac:dyDescent="0.3">
      <c r="A56" t="str">
        <f t="shared" si="0"/>
        <v>Pass</v>
      </c>
      <c r="B56">
        <f t="shared" si="1"/>
        <v>9.66</v>
      </c>
      <c r="C56">
        <v>40</v>
      </c>
      <c r="D56">
        <v>60</v>
      </c>
      <c r="E56">
        <v>9.66</v>
      </c>
      <c r="Y56" t="str">
        <f t="shared" si="4"/>
        <v>Pass</v>
      </c>
      <c r="Z56">
        <f t="shared" si="5"/>
        <v>3.0446972846984863</v>
      </c>
      <c r="AA56">
        <v>0</v>
      </c>
      <c r="AB56">
        <v>10</v>
      </c>
      <c r="AC56">
        <v>50</v>
      </c>
      <c r="AD56" t="s">
        <v>26</v>
      </c>
      <c r="AE56">
        <v>3.0446974991985698</v>
      </c>
      <c r="AK56" t="str">
        <f t="shared" si="6"/>
        <v>Pass</v>
      </c>
      <c r="AL56">
        <f t="shared" si="7"/>
        <v>2.5691628456115723</v>
      </c>
      <c r="AM56">
        <v>3200</v>
      </c>
      <c r="AN56" t="s">
        <v>24</v>
      </c>
      <c r="AO56">
        <v>2.5691629032639498</v>
      </c>
    </row>
    <row r="57" spans="1:41" x14ac:dyDescent="0.3">
      <c r="A57" t="str">
        <f t="shared" si="0"/>
        <v>Pass</v>
      </c>
      <c r="B57">
        <f t="shared" si="1"/>
        <v>11.04</v>
      </c>
      <c r="C57">
        <v>40</v>
      </c>
      <c r="D57">
        <v>70</v>
      </c>
      <c r="E57">
        <v>11.04</v>
      </c>
      <c r="Y57" t="str">
        <f t="shared" si="4"/>
        <v>Pass</v>
      </c>
      <c r="Z57">
        <f t="shared" si="5"/>
        <v>6.4722671508789063</v>
      </c>
      <c r="AA57">
        <v>0</v>
      </c>
      <c r="AB57">
        <v>10</v>
      </c>
      <c r="AC57">
        <v>60</v>
      </c>
      <c r="AD57" t="s">
        <v>24</v>
      </c>
      <c r="AE57">
        <v>6.47226752214541</v>
      </c>
      <c r="AK57" t="str">
        <f t="shared" si="6"/>
        <v>Pass</v>
      </c>
      <c r="AL57">
        <f t="shared" si="7"/>
        <v>1.1012731790542603</v>
      </c>
      <c r="AM57">
        <v>3400</v>
      </c>
      <c r="AN57" t="s">
        <v>26</v>
      </c>
      <c r="AO57">
        <v>1.10127318701435</v>
      </c>
    </row>
    <row r="58" spans="1:41" x14ac:dyDescent="0.3">
      <c r="A58" t="str">
        <f t="shared" si="0"/>
        <v>Pass</v>
      </c>
      <c r="B58">
        <f t="shared" si="1"/>
        <v>12.42</v>
      </c>
      <c r="C58">
        <v>40</v>
      </c>
      <c r="D58">
        <v>80</v>
      </c>
      <c r="E58">
        <v>12.42</v>
      </c>
      <c r="Y58" t="str">
        <f t="shared" si="4"/>
        <v>Pass</v>
      </c>
      <c r="Z58">
        <f t="shared" si="5"/>
        <v>6.4722671508789063</v>
      </c>
      <c r="AA58">
        <v>0</v>
      </c>
      <c r="AB58">
        <v>10</v>
      </c>
      <c r="AC58">
        <v>60</v>
      </c>
      <c r="AD58" t="s">
        <v>25</v>
      </c>
      <c r="AE58">
        <v>6.47226752214541</v>
      </c>
      <c r="AK58" t="str">
        <f t="shared" si="6"/>
        <v>Pass</v>
      </c>
      <c r="AL58">
        <f t="shared" si="7"/>
        <v>1.1012731790542603</v>
      </c>
      <c r="AM58">
        <v>3400</v>
      </c>
      <c r="AN58" t="s">
        <v>25</v>
      </c>
      <c r="AO58">
        <v>1.10127318701435</v>
      </c>
    </row>
    <row r="59" spans="1:41" x14ac:dyDescent="0.3">
      <c r="A59" t="str">
        <f t="shared" si="0"/>
        <v>Pass</v>
      </c>
      <c r="B59">
        <f t="shared" si="1"/>
        <v>13.8</v>
      </c>
      <c r="C59">
        <v>40</v>
      </c>
      <c r="D59">
        <v>90</v>
      </c>
      <c r="E59">
        <v>13.8</v>
      </c>
      <c r="Y59" t="str">
        <f t="shared" si="4"/>
        <v>Pass</v>
      </c>
      <c r="Z59">
        <f t="shared" si="5"/>
        <v>6.4722671508789063</v>
      </c>
      <c r="AA59">
        <v>0</v>
      </c>
      <c r="AB59">
        <v>10</v>
      </c>
      <c r="AC59">
        <v>60</v>
      </c>
      <c r="AD59" t="s">
        <v>26</v>
      </c>
      <c r="AE59">
        <v>6.47226752214541</v>
      </c>
      <c r="AK59" t="str">
        <f t="shared" si="6"/>
        <v>Pass</v>
      </c>
      <c r="AL59">
        <f t="shared" si="7"/>
        <v>2.6155238151550293</v>
      </c>
      <c r="AM59">
        <v>3400</v>
      </c>
      <c r="AN59" t="s">
        <v>24</v>
      </c>
      <c r="AO59">
        <v>2.6155238191590899</v>
      </c>
    </row>
    <row r="60" spans="1:41" x14ac:dyDescent="0.3">
      <c r="A60" t="str">
        <f t="shared" si="0"/>
        <v>Pass</v>
      </c>
      <c r="B60">
        <f t="shared" si="1"/>
        <v>15.18</v>
      </c>
      <c r="C60">
        <v>40</v>
      </c>
      <c r="D60">
        <v>100</v>
      </c>
      <c r="E60">
        <v>15.18</v>
      </c>
      <c r="Y60" t="str">
        <f t="shared" si="4"/>
        <v>Pass</v>
      </c>
      <c r="Z60">
        <f t="shared" si="5"/>
        <v>11.078862190246582</v>
      </c>
      <c r="AA60">
        <v>0</v>
      </c>
      <c r="AB60">
        <v>10</v>
      </c>
      <c r="AC60">
        <v>70</v>
      </c>
      <c r="AD60" t="s">
        <v>24</v>
      </c>
      <c r="AE60">
        <v>11.0788629354723</v>
      </c>
      <c r="AK60" t="str">
        <f t="shared" si="6"/>
        <v>Pass</v>
      </c>
      <c r="AL60">
        <f t="shared" si="7"/>
        <v>1.1200000047683716</v>
      </c>
      <c r="AM60">
        <v>3600</v>
      </c>
      <c r="AN60" t="s">
        <v>26</v>
      </c>
      <c r="AO60">
        <v>1.1200000000000001</v>
      </c>
    </row>
    <row r="61" spans="1:41" x14ac:dyDescent="0.3">
      <c r="Y61" t="str">
        <f t="shared" si="4"/>
        <v>Pass</v>
      </c>
      <c r="Z61">
        <f t="shared" si="5"/>
        <v>11.078862190246582</v>
      </c>
      <c r="AA61">
        <v>0</v>
      </c>
      <c r="AB61">
        <v>10</v>
      </c>
      <c r="AC61">
        <v>70</v>
      </c>
      <c r="AD61" t="s">
        <v>25</v>
      </c>
      <c r="AE61">
        <v>11.0788629354723</v>
      </c>
      <c r="AK61" t="str">
        <f t="shared" si="6"/>
        <v>Pass</v>
      </c>
      <c r="AL61">
        <f t="shared" si="7"/>
        <v>1.1200000047683716</v>
      </c>
      <c r="AM61">
        <v>3600</v>
      </c>
      <c r="AN61" t="s">
        <v>25</v>
      </c>
      <c r="AO61">
        <v>1.1200000000000001</v>
      </c>
    </row>
    <row r="62" spans="1:41" x14ac:dyDescent="0.3">
      <c r="Y62" t="str">
        <f t="shared" si="4"/>
        <v>Pass</v>
      </c>
      <c r="Z62">
        <f t="shared" si="5"/>
        <v>11.078862190246582</v>
      </c>
      <c r="AA62">
        <v>0</v>
      </c>
      <c r="AB62">
        <v>10</v>
      </c>
      <c r="AC62">
        <v>70</v>
      </c>
      <c r="AD62" t="s">
        <v>26</v>
      </c>
      <c r="AE62">
        <v>11.0788629354723</v>
      </c>
      <c r="AK62" t="str">
        <f t="shared" si="6"/>
        <v>Pass</v>
      </c>
      <c r="AL62">
        <f t="shared" si="7"/>
        <v>2.6600000858306885</v>
      </c>
      <c r="AM62">
        <v>3600</v>
      </c>
      <c r="AN62" t="s">
        <v>24</v>
      </c>
      <c r="AO62">
        <v>2.66</v>
      </c>
    </row>
    <row r="63" spans="1:41" x14ac:dyDescent="0.3">
      <c r="Y63" t="str">
        <f t="shared" si="4"/>
        <v>Pass</v>
      </c>
      <c r="Z63">
        <f t="shared" si="5"/>
        <v>15.030038833618164</v>
      </c>
      <c r="AA63">
        <v>0</v>
      </c>
      <c r="AB63">
        <v>10</v>
      </c>
      <c r="AC63">
        <v>80</v>
      </c>
      <c r="AD63" t="s">
        <v>24</v>
      </c>
      <c r="AE63">
        <v>15.0300393967497</v>
      </c>
      <c r="AK63" t="str">
        <f t="shared" si="6"/>
        <v>Pass</v>
      </c>
      <c r="AL63">
        <f t="shared" si="7"/>
        <v>1.1380070447921753</v>
      </c>
      <c r="AM63">
        <v>3800</v>
      </c>
      <c r="AN63" t="s">
        <v>26</v>
      </c>
      <c r="AO63">
        <v>1.1380070327224301</v>
      </c>
    </row>
    <row r="64" spans="1:41" x14ac:dyDescent="0.3">
      <c r="Y64" t="str">
        <f t="shared" si="4"/>
        <v>Pass</v>
      </c>
      <c r="Z64">
        <f t="shared" si="5"/>
        <v>15.030038833618164</v>
      </c>
      <c r="AA64">
        <v>0</v>
      </c>
      <c r="AB64">
        <v>10</v>
      </c>
      <c r="AC64">
        <v>80</v>
      </c>
      <c r="AD64" t="s">
        <v>25</v>
      </c>
      <c r="AE64">
        <v>15.0300393967497</v>
      </c>
      <c r="AK64" t="str">
        <f t="shared" si="6"/>
        <v>Pass</v>
      </c>
      <c r="AL64">
        <f t="shared" si="7"/>
        <v>1.1380070447921753</v>
      </c>
      <c r="AM64">
        <v>3800</v>
      </c>
      <c r="AN64" t="s">
        <v>25</v>
      </c>
      <c r="AO64">
        <v>1.1380070327224301</v>
      </c>
    </row>
    <row r="65" spans="25:41" x14ac:dyDescent="0.3">
      <c r="Y65" t="str">
        <f t="shared" si="4"/>
        <v>Pass</v>
      </c>
      <c r="Z65">
        <f t="shared" si="5"/>
        <v>15.030038833618164</v>
      </c>
      <c r="AA65">
        <v>0</v>
      </c>
      <c r="AB65">
        <v>10</v>
      </c>
      <c r="AC65">
        <v>80</v>
      </c>
      <c r="AD65" t="s">
        <v>26</v>
      </c>
      <c r="AE65">
        <v>15.0300393967497</v>
      </c>
      <c r="AK65" t="str">
        <f t="shared" si="6"/>
        <v>Pass</v>
      </c>
      <c r="AL65">
        <f t="shared" si="7"/>
        <v>2.7027666568756104</v>
      </c>
      <c r="AM65">
        <v>3800</v>
      </c>
      <c r="AN65" t="s">
        <v>24</v>
      </c>
      <c r="AO65">
        <v>2.7027667027157798</v>
      </c>
    </row>
    <row r="66" spans="25:41" x14ac:dyDescent="0.3">
      <c r="Y66" t="str">
        <f t="shared" si="4"/>
        <v>Pass</v>
      </c>
      <c r="Z66">
        <f t="shared" si="5"/>
        <v>17.310262680053711</v>
      </c>
      <c r="AA66">
        <v>0</v>
      </c>
      <c r="AB66">
        <v>10</v>
      </c>
      <c r="AC66">
        <v>90</v>
      </c>
      <c r="AD66" t="s">
        <v>24</v>
      </c>
      <c r="AE66">
        <v>17.310263979056302</v>
      </c>
      <c r="AK66" t="str">
        <f t="shared" si="6"/>
        <v>Pass</v>
      </c>
      <c r="AL66">
        <f t="shared" si="7"/>
        <v>1.1553577184677124</v>
      </c>
      <c r="AM66">
        <v>4000</v>
      </c>
      <c r="AN66" t="s">
        <v>26</v>
      </c>
      <c r="AO66">
        <v>1.1553577513311699</v>
      </c>
    </row>
    <row r="67" spans="25:41" x14ac:dyDescent="0.3">
      <c r="Y67" t="str">
        <f t="shared" si="4"/>
        <v>Pass</v>
      </c>
      <c r="Z67">
        <f t="shared" si="5"/>
        <v>17.310262680053711</v>
      </c>
      <c r="AA67">
        <v>0</v>
      </c>
      <c r="AB67">
        <v>10</v>
      </c>
      <c r="AC67">
        <v>90</v>
      </c>
      <c r="AD67" t="s">
        <v>25</v>
      </c>
      <c r="AE67">
        <v>17.310263979056302</v>
      </c>
      <c r="AK67" t="str">
        <f t="shared" si="6"/>
        <v>Pass</v>
      </c>
      <c r="AL67">
        <f t="shared" si="7"/>
        <v>1.1553577184677124</v>
      </c>
      <c r="AM67">
        <v>4000</v>
      </c>
      <c r="AN67" t="s">
        <v>25</v>
      </c>
      <c r="AO67">
        <v>1.1553577513311699</v>
      </c>
    </row>
    <row r="68" spans="25:41" x14ac:dyDescent="0.3">
      <c r="Y68" t="str">
        <f t="shared" si="4"/>
        <v>Pass</v>
      </c>
      <c r="Z68">
        <f t="shared" si="5"/>
        <v>17.310262680053711</v>
      </c>
      <c r="AA68">
        <v>0</v>
      </c>
      <c r="AB68">
        <v>10</v>
      </c>
      <c r="AC68">
        <v>90</v>
      </c>
      <c r="AD68" t="s">
        <v>26</v>
      </c>
      <c r="AE68">
        <v>17.310263979056302</v>
      </c>
      <c r="AK68" t="str">
        <f t="shared" si="6"/>
        <v>Pass</v>
      </c>
      <c r="AL68">
        <f t="shared" si="7"/>
        <v>2.7439746856689453</v>
      </c>
      <c r="AM68">
        <v>4000</v>
      </c>
      <c r="AN68" t="s">
        <v>24</v>
      </c>
      <c r="AO68">
        <v>2.7439746594115402</v>
      </c>
    </row>
    <row r="69" spans="25:41" x14ac:dyDescent="0.3">
      <c r="Y69" t="str">
        <f t="shared" si="4"/>
        <v>Pass</v>
      </c>
      <c r="Z69">
        <f t="shared" si="5"/>
        <v>18.337825775146484</v>
      </c>
      <c r="AA69">
        <v>0</v>
      </c>
      <c r="AB69">
        <v>10</v>
      </c>
      <c r="AC69">
        <v>100</v>
      </c>
      <c r="AD69" t="s">
        <v>24</v>
      </c>
      <c r="AE69">
        <v>18.3378260094319</v>
      </c>
      <c r="AK69" t="str">
        <f t="shared" si="6"/>
        <v>Pass</v>
      </c>
      <c r="AL69">
        <f t="shared" si="7"/>
        <v>1.1721072196960449</v>
      </c>
      <c r="AM69">
        <v>4200</v>
      </c>
      <c r="AN69" t="s">
        <v>26</v>
      </c>
      <c r="AO69">
        <v>1.1721071780901899</v>
      </c>
    </row>
    <row r="70" spans="25:41" x14ac:dyDescent="0.3">
      <c r="Y70" t="str">
        <f t="shared" si="4"/>
        <v>Pass</v>
      </c>
      <c r="Z70">
        <f t="shared" si="5"/>
        <v>18.337825775146484</v>
      </c>
      <c r="AA70">
        <v>0</v>
      </c>
      <c r="AB70">
        <v>10</v>
      </c>
      <c r="AC70">
        <v>100</v>
      </c>
      <c r="AD70" t="s">
        <v>25</v>
      </c>
      <c r="AE70">
        <v>18.3378260094319</v>
      </c>
      <c r="AK70" t="str">
        <f t="shared" si="6"/>
        <v>Pass</v>
      </c>
      <c r="AL70">
        <f t="shared" si="7"/>
        <v>1.1721072196960449</v>
      </c>
      <c r="AM70">
        <v>4200</v>
      </c>
      <c r="AN70" t="s">
        <v>25</v>
      </c>
      <c r="AO70">
        <v>1.1721071780901899</v>
      </c>
    </row>
    <row r="71" spans="25:41" x14ac:dyDescent="0.3">
      <c r="Y71" t="str">
        <f t="shared" ref="Y71:Y134" si="8">IF(ISBLANK(Z71),"",IF(ROUND(Z71,0)=ROUND(AE71,0),"Pass","Fail"))</f>
        <v>Pass</v>
      </c>
      <c r="Z71">
        <f t="shared" ref="Z71:Z134" si="9">ROS_grass(AA71,AB71,AC71,AD71)</f>
        <v>18.337825775146484</v>
      </c>
      <c r="AA71">
        <v>0</v>
      </c>
      <c r="AB71">
        <v>10</v>
      </c>
      <c r="AC71">
        <v>100</v>
      </c>
      <c r="AD71" t="s">
        <v>26</v>
      </c>
      <c r="AE71">
        <v>18.3378260094319</v>
      </c>
      <c r="AK71" t="str">
        <f t="shared" ref="AK71:AK134" si="10">IF(ISBLANK(AL71),"",IF(ROUND(AL71,3)=ROUND(AO71,3),"Pass","Fail"))</f>
        <v>Pass</v>
      </c>
      <c r="AL71">
        <f t="shared" ref="AL71:AL134" si="11">Flame_height_grass(AM71,AN71)</f>
        <v>2.7837545871734619</v>
      </c>
      <c r="AM71">
        <v>4200</v>
      </c>
      <c r="AN71" t="s">
        <v>24</v>
      </c>
      <c r="AO71">
        <v>2.7837545479641999</v>
      </c>
    </row>
    <row r="72" spans="25:41" x14ac:dyDescent="0.3">
      <c r="Y72" t="str">
        <f t="shared" si="8"/>
        <v>Pass</v>
      </c>
      <c r="Z72">
        <f t="shared" si="9"/>
        <v>1.2533669359982014E-2</v>
      </c>
      <c r="AA72">
        <v>0</v>
      </c>
      <c r="AB72">
        <v>15</v>
      </c>
      <c r="AC72">
        <v>0</v>
      </c>
      <c r="AD72" t="s">
        <v>24</v>
      </c>
      <c r="AE72">
        <v>1.2533669593647399E-2</v>
      </c>
      <c r="AK72" t="str">
        <f t="shared" si="10"/>
        <v>Pass</v>
      </c>
      <c r="AL72">
        <f t="shared" si="11"/>
        <v>1.1883033514022827</v>
      </c>
      <c r="AM72">
        <v>4400</v>
      </c>
      <c r="AN72" t="s">
        <v>26</v>
      </c>
      <c r="AO72">
        <v>1.18830335832413</v>
      </c>
    </row>
    <row r="73" spans="25:41" x14ac:dyDescent="0.3">
      <c r="Y73" t="str">
        <f t="shared" si="8"/>
        <v>Pass</v>
      </c>
      <c r="Z73">
        <f t="shared" si="9"/>
        <v>1.2533669359982014E-2</v>
      </c>
      <c r="AA73">
        <v>0</v>
      </c>
      <c r="AB73">
        <v>15</v>
      </c>
      <c r="AC73">
        <v>0</v>
      </c>
      <c r="AD73" t="s">
        <v>25</v>
      </c>
      <c r="AE73">
        <v>1.2533669593647399E-2</v>
      </c>
      <c r="AK73" t="str">
        <f t="shared" si="10"/>
        <v>Pass</v>
      </c>
      <c r="AL73">
        <f t="shared" si="11"/>
        <v>1.1883033514022827</v>
      </c>
      <c r="AM73">
        <v>4400</v>
      </c>
      <c r="AN73" t="s">
        <v>25</v>
      </c>
      <c r="AO73">
        <v>1.18830335832413</v>
      </c>
    </row>
    <row r="74" spans="25:41" x14ac:dyDescent="0.3">
      <c r="Y74" t="str">
        <f t="shared" si="8"/>
        <v>Pass</v>
      </c>
      <c r="Z74">
        <f t="shared" si="9"/>
        <v>1.2533669359982014E-2</v>
      </c>
      <c r="AA74">
        <v>0</v>
      </c>
      <c r="AB74">
        <v>15</v>
      </c>
      <c r="AC74">
        <v>0</v>
      </c>
      <c r="AD74" t="s">
        <v>26</v>
      </c>
      <c r="AE74">
        <v>1.2533669593647399E-2</v>
      </c>
      <c r="AK74" t="str">
        <f t="shared" si="10"/>
        <v>Pass</v>
      </c>
      <c r="AL74">
        <f t="shared" si="11"/>
        <v>2.8222205638885498</v>
      </c>
      <c r="AM74">
        <v>4400</v>
      </c>
      <c r="AN74" t="s">
        <v>24</v>
      </c>
      <c r="AO74">
        <v>2.82222047601981</v>
      </c>
    </row>
    <row r="75" spans="25:41" x14ac:dyDescent="0.3">
      <c r="Y75" t="str">
        <f t="shared" si="8"/>
        <v>Pass</v>
      </c>
      <c r="Z75">
        <f t="shared" si="9"/>
        <v>3.3858295530080795E-2</v>
      </c>
      <c r="AA75">
        <v>0</v>
      </c>
      <c r="AB75">
        <v>15</v>
      </c>
      <c r="AC75">
        <v>10</v>
      </c>
      <c r="AD75" t="s">
        <v>24</v>
      </c>
      <c r="AE75">
        <v>3.3858296318836703E-2</v>
      </c>
      <c r="AK75" t="str">
        <f t="shared" si="10"/>
        <v>Pass</v>
      </c>
      <c r="AL75">
        <f t="shared" si="11"/>
        <v>1.2039885520935059</v>
      </c>
      <c r="AM75">
        <v>4600</v>
      </c>
      <c r="AN75" t="s">
        <v>26</v>
      </c>
      <c r="AO75">
        <v>1.20398851815703</v>
      </c>
    </row>
    <row r="76" spans="25:41" x14ac:dyDescent="0.3">
      <c r="Y76" t="str">
        <f t="shared" si="8"/>
        <v>Pass</v>
      </c>
      <c r="Z76">
        <f t="shared" si="9"/>
        <v>3.3858295530080795E-2</v>
      </c>
      <c r="AA76">
        <v>0</v>
      </c>
      <c r="AB76">
        <v>15</v>
      </c>
      <c r="AC76">
        <v>10</v>
      </c>
      <c r="AD76" t="s">
        <v>25</v>
      </c>
      <c r="AE76">
        <v>3.3858296318836703E-2</v>
      </c>
      <c r="AK76" t="str">
        <f t="shared" si="10"/>
        <v>Pass</v>
      </c>
      <c r="AL76">
        <f t="shared" si="11"/>
        <v>1.2039885520935059</v>
      </c>
      <c r="AM76">
        <v>4600</v>
      </c>
      <c r="AN76" t="s">
        <v>25</v>
      </c>
      <c r="AO76">
        <v>1.20398851815703</v>
      </c>
    </row>
    <row r="77" spans="25:41" x14ac:dyDescent="0.3">
      <c r="Y77" t="str">
        <f t="shared" si="8"/>
        <v>Pass</v>
      </c>
      <c r="Z77">
        <f t="shared" si="9"/>
        <v>3.3858295530080795E-2</v>
      </c>
      <c r="AA77">
        <v>0</v>
      </c>
      <c r="AB77">
        <v>15</v>
      </c>
      <c r="AC77">
        <v>10</v>
      </c>
      <c r="AD77" t="s">
        <v>26</v>
      </c>
      <c r="AE77">
        <v>3.3858296318836703E-2</v>
      </c>
      <c r="AK77" t="str">
        <f t="shared" si="10"/>
        <v>Pass</v>
      </c>
      <c r="AL77">
        <f t="shared" si="11"/>
        <v>2.8594727516174316</v>
      </c>
      <c r="AM77">
        <v>4600</v>
      </c>
      <c r="AN77" t="s">
        <v>24</v>
      </c>
      <c r="AO77">
        <v>2.8594727306229499</v>
      </c>
    </row>
    <row r="78" spans="25:41" x14ac:dyDescent="0.3">
      <c r="Y78" t="str">
        <f t="shared" si="8"/>
        <v>Pass</v>
      </c>
      <c r="Z78">
        <f t="shared" si="9"/>
        <v>9.1118350625038147E-2</v>
      </c>
      <c r="AA78">
        <v>0</v>
      </c>
      <c r="AB78">
        <v>15</v>
      </c>
      <c r="AC78">
        <v>20</v>
      </c>
      <c r="AD78" t="s">
        <v>24</v>
      </c>
      <c r="AE78">
        <v>9.1118345731457606E-2</v>
      </c>
      <c r="AK78" t="str">
        <f t="shared" si="10"/>
        <v>Pass</v>
      </c>
      <c r="AL78">
        <f t="shared" si="11"/>
        <v>1.2192000150680542</v>
      </c>
      <c r="AM78">
        <v>4800</v>
      </c>
      <c r="AN78" t="s">
        <v>26</v>
      </c>
      <c r="AO78">
        <v>1.21919998869805</v>
      </c>
    </row>
    <row r="79" spans="25:41" x14ac:dyDescent="0.3">
      <c r="Y79" t="str">
        <f t="shared" si="8"/>
        <v>Pass</v>
      </c>
      <c r="Z79">
        <f t="shared" si="9"/>
        <v>9.1118350625038147E-2</v>
      </c>
      <c r="AA79">
        <v>0</v>
      </c>
      <c r="AB79">
        <v>15</v>
      </c>
      <c r="AC79">
        <v>20</v>
      </c>
      <c r="AD79" t="s">
        <v>25</v>
      </c>
      <c r="AE79">
        <v>9.1118345731457606E-2</v>
      </c>
      <c r="AK79" t="str">
        <f t="shared" si="10"/>
        <v>Pass</v>
      </c>
      <c r="AL79">
        <f t="shared" si="11"/>
        <v>1.2192000150680542</v>
      </c>
      <c r="AM79">
        <v>4800</v>
      </c>
      <c r="AN79" t="s">
        <v>25</v>
      </c>
      <c r="AO79">
        <v>1.21919998869805</v>
      </c>
    </row>
    <row r="80" spans="25:41" x14ac:dyDescent="0.3">
      <c r="Y80" t="str">
        <f t="shared" si="8"/>
        <v>Pass</v>
      </c>
      <c r="Z80">
        <f t="shared" si="9"/>
        <v>9.1118350625038147E-2</v>
      </c>
      <c r="AA80">
        <v>0</v>
      </c>
      <c r="AB80">
        <v>15</v>
      </c>
      <c r="AC80">
        <v>20</v>
      </c>
      <c r="AD80" t="s">
        <v>26</v>
      </c>
      <c r="AE80">
        <v>9.1118345731457606E-2</v>
      </c>
      <c r="AK80" t="str">
        <f t="shared" si="10"/>
        <v>Pass</v>
      </c>
      <c r="AL80">
        <f t="shared" si="11"/>
        <v>2.8956000804901123</v>
      </c>
      <c r="AM80">
        <v>4800</v>
      </c>
      <c r="AN80" t="s">
        <v>24</v>
      </c>
      <c r="AO80">
        <v>2.8955999731578799</v>
      </c>
    </row>
    <row r="81" spans="25:41" x14ac:dyDescent="0.3">
      <c r="Y81" t="str">
        <f t="shared" si="8"/>
        <v>Pass</v>
      </c>
      <c r="Z81">
        <f t="shared" si="9"/>
        <v>0.24274876713752747</v>
      </c>
      <c r="AA81">
        <v>0</v>
      </c>
      <c r="AB81">
        <v>15</v>
      </c>
      <c r="AC81">
        <v>30</v>
      </c>
      <c r="AD81" t="s">
        <v>24</v>
      </c>
      <c r="AE81">
        <v>0.242748770803867</v>
      </c>
      <c r="AK81" t="str">
        <f t="shared" si="10"/>
        <v>Pass</v>
      </c>
      <c r="AL81">
        <f t="shared" si="11"/>
        <v>1.2339708805084229</v>
      </c>
      <c r="AM81">
        <v>5000</v>
      </c>
      <c r="AN81" t="s">
        <v>26</v>
      </c>
      <c r="AO81">
        <v>1.23397095146431</v>
      </c>
    </row>
    <row r="82" spans="25:41" x14ac:dyDescent="0.3">
      <c r="Y82" t="str">
        <f t="shared" si="8"/>
        <v>Pass</v>
      </c>
      <c r="Z82">
        <f t="shared" si="9"/>
        <v>0.24274876713752747</v>
      </c>
      <c r="AA82">
        <v>0</v>
      </c>
      <c r="AB82">
        <v>15</v>
      </c>
      <c r="AC82">
        <v>30</v>
      </c>
      <c r="AD82" t="s">
        <v>25</v>
      </c>
      <c r="AE82">
        <v>0.242748770803867</v>
      </c>
      <c r="AK82" t="str">
        <f t="shared" si="10"/>
        <v>Pass</v>
      </c>
      <c r="AL82">
        <f t="shared" si="11"/>
        <v>1.2339708805084229</v>
      </c>
      <c r="AM82">
        <v>5000</v>
      </c>
      <c r="AN82" t="s">
        <v>25</v>
      </c>
      <c r="AO82">
        <v>1.23397095146431</v>
      </c>
    </row>
    <row r="83" spans="25:41" x14ac:dyDescent="0.3">
      <c r="Y83" t="str">
        <f t="shared" si="8"/>
        <v>Pass</v>
      </c>
      <c r="Z83">
        <f t="shared" si="9"/>
        <v>0.24274876713752747</v>
      </c>
      <c r="AA83">
        <v>0</v>
      </c>
      <c r="AB83">
        <v>15</v>
      </c>
      <c r="AC83">
        <v>30</v>
      </c>
      <c r="AD83" t="s">
        <v>26</v>
      </c>
      <c r="AE83">
        <v>0.242748770803867</v>
      </c>
      <c r="AK83" t="str">
        <f t="shared" si="10"/>
        <v>Pass</v>
      </c>
      <c r="AL83">
        <f t="shared" si="11"/>
        <v>2.9306809902191162</v>
      </c>
      <c r="AM83">
        <v>5000</v>
      </c>
      <c r="AN83" t="s">
        <v>24</v>
      </c>
      <c r="AO83">
        <v>2.93068100972775</v>
      </c>
    </row>
    <row r="84" spans="25:41" x14ac:dyDescent="0.3">
      <c r="Y84" t="str">
        <f t="shared" si="8"/>
        <v>Pass</v>
      </c>
      <c r="Z84">
        <f t="shared" si="9"/>
        <v>0.62993282079696655</v>
      </c>
      <c r="AA84">
        <v>0</v>
      </c>
      <c r="AB84">
        <v>15</v>
      </c>
      <c r="AC84">
        <v>40</v>
      </c>
      <c r="AD84" t="s">
        <v>24</v>
      </c>
      <c r="AE84">
        <v>0.629932821512729</v>
      </c>
      <c r="AK84" t="str">
        <f t="shared" si="10"/>
        <v>Pass</v>
      </c>
      <c r="AL84">
        <f t="shared" si="11"/>
        <v>1.2483310699462891</v>
      </c>
      <c r="AM84">
        <v>5200</v>
      </c>
      <c r="AN84" t="s">
        <v>26</v>
      </c>
      <c r="AO84">
        <v>1.2483310453188099</v>
      </c>
    </row>
    <row r="85" spans="25:41" x14ac:dyDescent="0.3">
      <c r="Y85" t="str">
        <f t="shared" si="8"/>
        <v>Pass</v>
      </c>
      <c r="Z85">
        <f t="shared" si="9"/>
        <v>0.62993282079696655</v>
      </c>
      <c r="AA85">
        <v>0</v>
      </c>
      <c r="AB85">
        <v>15</v>
      </c>
      <c r="AC85">
        <v>40</v>
      </c>
      <c r="AD85" t="s">
        <v>25</v>
      </c>
      <c r="AE85">
        <v>0.629932821512729</v>
      </c>
      <c r="AK85" t="str">
        <f t="shared" si="10"/>
        <v>Pass</v>
      </c>
      <c r="AL85">
        <f t="shared" si="11"/>
        <v>1.2483310699462891</v>
      </c>
      <c r="AM85">
        <v>5200</v>
      </c>
      <c r="AN85" t="s">
        <v>25</v>
      </c>
      <c r="AO85">
        <v>1.2483310453188099</v>
      </c>
    </row>
    <row r="86" spans="25:41" x14ac:dyDescent="0.3">
      <c r="Y86" t="str">
        <f t="shared" si="8"/>
        <v>Pass</v>
      </c>
      <c r="Z86">
        <f t="shared" si="9"/>
        <v>0.62993282079696655</v>
      </c>
      <c r="AA86">
        <v>0</v>
      </c>
      <c r="AB86">
        <v>15</v>
      </c>
      <c r="AC86">
        <v>40</v>
      </c>
      <c r="AD86" t="s">
        <v>26</v>
      </c>
      <c r="AE86">
        <v>0.629932821512729</v>
      </c>
      <c r="AK86" t="str">
        <f t="shared" si="10"/>
        <v>Pass</v>
      </c>
      <c r="AL86">
        <f t="shared" si="11"/>
        <v>2.9647862911224365</v>
      </c>
      <c r="AM86">
        <v>5200</v>
      </c>
      <c r="AN86" t="s">
        <v>24</v>
      </c>
      <c r="AO86">
        <v>2.9647862326321799</v>
      </c>
    </row>
    <row r="87" spans="25:41" x14ac:dyDescent="0.3">
      <c r="Y87" t="str">
        <f t="shared" si="8"/>
        <v>Pass</v>
      </c>
      <c r="Z87">
        <f t="shared" si="9"/>
        <v>1.5331275463104248</v>
      </c>
      <c r="AA87">
        <v>0</v>
      </c>
      <c r="AB87">
        <v>15</v>
      </c>
      <c r="AC87">
        <v>50</v>
      </c>
      <c r="AD87" t="s">
        <v>24</v>
      </c>
      <c r="AE87">
        <v>1.53312759752703</v>
      </c>
      <c r="AK87" t="str">
        <f t="shared" si="10"/>
        <v>Pass</v>
      </c>
      <c r="AL87">
        <f t="shared" si="11"/>
        <v>1.262306809425354</v>
      </c>
      <c r="AM87">
        <v>5400</v>
      </c>
      <c r="AN87" t="s">
        <v>26</v>
      </c>
      <c r="AO87">
        <v>1.2623068649390501</v>
      </c>
    </row>
    <row r="88" spans="25:41" x14ac:dyDescent="0.3">
      <c r="Y88" t="str">
        <f t="shared" si="8"/>
        <v>Pass</v>
      </c>
      <c r="Z88">
        <f t="shared" si="9"/>
        <v>1.5331275463104248</v>
      </c>
      <c r="AA88">
        <v>0</v>
      </c>
      <c r="AB88">
        <v>15</v>
      </c>
      <c r="AC88">
        <v>50</v>
      </c>
      <c r="AD88" t="s">
        <v>25</v>
      </c>
      <c r="AE88">
        <v>1.53312759752703</v>
      </c>
      <c r="AK88" t="str">
        <f t="shared" si="10"/>
        <v>Pass</v>
      </c>
      <c r="AL88">
        <f t="shared" si="11"/>
        <v>1.262306809425354</v>
      </c>
      <c r="AM88">
        <v>5400</v>
      </c>
      <c r="AN88" t="s">
        <v>25</v>
      </c>
      <c r="AO88">
        <v>1.2623068649390501</v>
      </c>
    </row>
    <row r="89" spans="25:41" x14ac:dyDescent="0.3">
      <c r="Y89" t="str">
        <f t="shared" si="8"/>
        <v>Pass</v>
      </c>
      <c r="Z89">
        <f t="shared" si="9"/>
        <v>1.5331275463104248</v>
      </c>
      <c r="AA89">
        <v>0</v>
      </c>
      <c r="AB89">
        <v>15</v>
      </c>
      <c r="AC89">
        <v>50</v>
      </c>
      <c r="AD89" t="s">
        <v>26</v>
      </c>
      <c r="AE89">
        <v>1.53312759752703</v>
      </c>
      <c r="AK89" t="str">
        <f t="shared" si="10"/>
        <v>Pass</v>
      </c>
      <c r="AL89">
        <f t="shared" si="11"/>
        <v>2.997978687286377</v>
      </c>
      <c r="AM89">
        <v>5400</v>
      </c>
      <c r="AN89" t="s">
        <v>24</v>
      </c>
      <c r="AO89">
        <v>2.99797880423024</v>
      </c>
    </row>
    <row r="90" spans="25:41" x14ac:dyDescent="0.3">
      <c r="Y90" t="str">
        <f t="shared" si="8"/>
        <v>Pass</v>
      </c>
      <c r="Z90">
        <f t="shared" si="9"/>
        <v>3.2590467929840088</v>
      </c>
      <c r="AA90">
        <v>0</v>
      </c>
      <c r="AB90">
        <v>15</v>
      </c>
      <c r="AC90">
        <v>60</v>
      </c>
      <c r="AD90" t="s">
        <v>24</v>
      </c>
      <c r="AE90">
        <v>3.2590469034742902</v>
      </c>
      <c r="AK90" t="str">
        <f t="shared" si="10"/>
        <v>Pass</v>
      </c>
      <c r="AL90">
        <f t="shared" si="11"/>
        <v>1.275922417640686</v>
      </c>
      <c r="AM90">
        <v>5600</v>
      </c>
      <c r="AN90" t="s">
        <v>26</v>
      </c>
      <c r="AO90">
        <v>1.27592237346471</v>
      </c>
    </row>
    <row r="91" spans="25:41" x14ac:dyDescent="0.3">
      <c r="Y91" t="str">
        <f t="shared" si="8"/>
        <v>Pass</v>
      </c>
      <c r="Z91">
        <f t="shared" si="9"/>
        <v>3.2590467929840088</v>
      </c>
      <c r="AA91">
        <v>0</v>
      </c>
      <c r="AB91">
        <v>15</v>
      </c>
      <c r="AC91">
        <v>60</v>
      </c>
      <c r="AD91" t="s">
        <v>25</v>
      </c>
      <c r="AE91">
        <v>3.2590469034742902</v>
      </c>
      <c r="AK91" t="str">
        <f t="shared" si="10"/>
        <v>Pass</v>
      </c>
      <c r="AL91">
        <f t="shared" si="11"/>
        <v>1.275922417640686</v>
      </c>
      <c r="AM91">
        <v>5600</v>
      </c>
      <c r="AN91" t="s">
        <v>25</v>
      </c>
      <c r="AO91">
        <v>1.27592237346471</v>
      </c>
    </row>
    <row r="92" spans="25:41" x14ac:dyDescent="0.3">
      <c r="Y92" t="str">
        <f t="shared" si="8"/>
        <v>Pass</v>
      </c>
      <c r="Z92">
        <f t="shared" si="9"/>
        <v>3.2590467929840088</v>
      </c>
      <c r="AA92">
        <v>0</v>
      </c>
      <c r="AB92">
        <v>15</v>
      </c>
      <c r="AC92">
        <v>60</v>
      </c>
      <c r="AD92" t="s">
        <v>26</v>
      </c>
      <c r="AE92">
        <v>3.2590469034742902</v>
      </c>
      <c r="AK92" t="str">
        <f t="shared" si="10"/>
        <v>Pass</v>
      </c>
      <c r="AL92">
        <f t="shared" si="11"/>
        <v>3.030315637588501</v>
      </c>
      <c r="AM92">
        <v>5600</v>
      </c>
      <c r="AN92" t="s">
        <v>24</v>
      </c>
      <c r="AO92">
        <v>3.0303156369786799</v>
      </c>
    </row>
    <row r="93" spans="25:41" x14ac:dyDescent="0.3">
      <c r="Y93" t="str">
        <f t="shared" si="8"/>
        <v>Pass</v>
      </c>
      <c r="Z93">
        <f t="shared" si="9"/>
        <v>5.5786528587341309</v>
      </c>
      <c r="AA93">
        <v>0</v>
      </c>
      <c r="AB93">
        <v>15</v>
      </c>
      <c r="AC93">
        <v>70</v>
      </c>
      <c r="AD93" t="s">
        <v>24</v>
      </c>
      <c r="AE93">
        <v>5.5786528941095002</v>
      </c>
      <c r="AK93" t="str">
        <f t="shared" si="10"/>
        <v>Pass</v>
      </c>
      <c r="AL93">
        <f t="shared" si="11"/>
        <v>1.2891992330551147</v>
      </c>
      <c r="AM93">
        <v>5800</v>
      </c>
      <c r="AN93" t="s">
        <v>26</v>
      </c>
      <c r="AO93">
        <v>1.2891992466104301</v>
      </c>
    </row>
    <row r="94" spans="25:41" x14ac:dyDescent="0.3">
      <c r="Y94" t="str">
        <f t="shared" si="8"/>
        <v>Pass</v>
      </c>
      <c r="Z94">
        <f t="shared" si="9"/>
        <v>5.5786528587341309</v>
      </c>
      <c r="AA94">
        <v>0</v>
      </c>
      <c r="AB94">
        <v>15</v>
      </c>
      <c r="AC94">
        <v>70</v>
      </c>
      <c r="AD94" t="s">
        <v>25</v>
      </c>
      <c r="AE94">
        <v>5.5786528941095002</v>
      </c>
      <c r="AK94" t="str">
        <f t="shared" si="10"/>
        <v>Pass</v>
      </c>
      <c r="AL94">
        <f t="shared" si="11"/>
        <v>1.2891992330551147</v>
      </c>
      <c r="AM94">
        <v>5800</v>
      </c>
      <c r="AN94" t="s">
        <v>25</v>
      </c>
      <c r="AO94">
        <v>1.2891992466104301</v>
      </c>
    </row>
    <row r="95" spans="25:41" x14ac:dyDescent="0.3">
      <c r="Y95" t="str">
        <f t="shared" si="8"/>
        <v>Pass</v>
      </c>
      <c r="Z95">
        <f t="shared" si="9"/>
        <v>5.5786528587341309</v>
      </c>
      <c r="AA95">
        <v>0</v>
      </c>
      <c r="AB95">
        <v>15</v>
      </c>
      <c r="AC95">
        <v>70</v>
      </c>
      <c r="AD95" t="s">
        <v>26</v>
      </c>
      <c r="AE95">
        <v>5.5786528941095002</v>
      </c>
      <c r="AK95" t="str">
        <f t="shared" si="10"/>
        <v>Pass</v>
      </c>
      <c r="AL95">
        <f t="shared" si="11"/>
        <v>3.0618481636047363</v>
      </c>
      <c r="AM95">
        <v>5800</v>
      </c>
      <c r="AN95" t="s">
        <v>24</v>
      </c>
      <c r="AO95">
        <v>3.06184821069977</v>
      </c>
    </row>
    <row r="96" spans="25:41" x14ac:dyDescent="0.3">
      <c r="Y96" t="str">
        <f t="shared" si="8"/>
        <v>Pass</v>
      </c>
      <c r="Z96">
        <f t="shared" si="9"/>
        <v>7.5682291984558105</v>
      </c>
      <c r="AA96">
        <v>0</v>
      </c>
      <c r="AB96">
        <v>15</v>
      </c>
      <c r="AC96">
        <v>80</v>
      </c>
      <c r="AD96" t="s">
        <v>24</v>
      </c>
      <c r="AE96">
        <v>7.5682290924273898</v>
      </c>
      <c r="AK96" t="str">
        <f t="shared" si="10"/>
        <v>Pass</v>
      </c>
      <c r="AL96">
        <f t="shared" si="11"/>
        <v>1.3021571636199951</v>
      </c>
      <c r="AM96">
        <v>6000</v>
      </c>
      <c r="AN96" t="s">
        <v>26</v>
      </c>
      <c r="AO96">
        <v>1.30215716157668</v>
      </c>
    </row>
    <row r="97" spans="25:41" x14ac:dyDescent="0.3">
      <c r="Y97" t="str">
        <f t="shared" si="8"/>
        <v>Pass</v>
      </c>
      <c r="Z97">
        <f t="shared" si="9"/>
        <v>7.5682291984558105</v>
      </c>
      <c r="AA97">
        <v>0</v>
      </c>
      <c r="AB97">
        <v>15</v>
      </c>
      <c r="AC97">
        <v>80</v>
      </c>
      <c r="AD97" t="s">
        <v>25</v>
      </c>
      <c r="AE97">
        <v>7.5682290924273898</v>
      </c>
      <c r="AK97" t="str">
        <f t="shared" si="10"/>
        <v>Pass</v>
      </c>
      <c r="AL97">
        <f t="shared" si="11"/>
        <v>1.3021571636199951</v>
      </c>
      <c r="AM97">
        <v>6000</v>
      </c>
      <c r="AN97" t="s">
        <v>25</v>
      </c>
      <c r="AO97">
        <v>1.30215716157668</v>
      </c>
    </row>
    <row r="98" spans="25:41" x14ac:dyDescent="0.3">
      <c r="Y98" t="str">
        <f t="shared" si="8"/>
        <v>Pass</v>
      </c>
      <c r="Z98">
        <f t="shared" si="9"/>
        <v>7.5682291984558105</v>
      </c>
      <c r="AA98">
        <v>0</v>
      </c>
      <c r="AB98">
        <v>15</v>
      </c>
      <c r="AC98">
        <v>80</v>
      </c>
      <c r="AD98" t="s">
        <v>26</v>
      </c>
      <c r="AE98">
        <v>7.5682290924273898</v>
      </c>
      <c r="AK98" t="str">
        <f t="shared" si="10"/>
        <v>Pass</v>
      </c>
      <c r="AL98">
        <f t="shared" si="11"/>
        <v>3.092623233795166</v>
      </c>
      <c r="AM98">
        <v>6000</v>
      </c>
      <c r="AN98" t="s">
        <v>24</v>
      </c>
      <c r="AO98">
        <v>3.0926232587446298</v>
      </c>
    </row>
    <row r="99" spans="25:41" x14ac:dyDescent="0.3">
      <c r="Y99" t="str">
        <f t="shared" si="8"/>
        <v>Pass</v>
      </c>
      <c r="Z99">
        <f t="shared" si="9"/>
        <v>8.7164144515991211</v>
      </c>
      <c r="AA99">
        <v>0</v>
      </c>
      <c r="AB99">
        <v>15</v>
      </c>
      <c r="AC99">
        <v>90</v>
      </c>
      <c r="AD99" t="s">
        <v>24</v>
      </c>
      <c r="AE99">
        <v>8.7164138420171202</v>
      </c>
      <c r="AK99" t="str">
        <f t="shared" si="10"/>
        <v>Pass</v>
      </c>
      <c r="AL99">
        <f t="shared" si="11"/>
        <v>1.3148140907287598</v>
      </c>
      <c r="AM99">
        <v>6200</v>
      </c>
      <c r="AN99" t="s">
        <v>26</v>
      </c>
      <c r="AO99">
        <v>1.3148140411434399</v>
      </c>
    </row>
    <row r="100" spans="25:41" x14ac:dyDescent="0.3">
      <c r="Y100" t="str">
        <f t="shared" si="8"/>
        <v>Pass</v>
      </c>
      <c r="Z100">
        <f t="shared" si="9"/>
        <v>8.7164144515991211</v>
      </c>
      <c r="AA100">
        <v>0</v>
      </c>
      <c r="AB100">
        <v>15</v>
      </c>
      <c r="AC100">
        <v>90</v>
      </c>
      <c r="AD100" t="s">
        <v>25</v>
      </c>
      <c r="AE100">
        <v>8.7164138420171202</v>
      </c>
      <c r="AK100" t="str">
        <f t="shared" si="10"/>
        <v>Pass</v>
      </c>
      <c r="AL100">
        <f t="shared" si="11"/>
        <v>1.3148140907287598</v>
      </c>
      <c r="AM100">
        <v>6200</v>
      </c>
      <c r="AN100" t="s">
        <v>25</v>
      </c>
      <c r="AO100">
        <v>1.3148140411434399</v>
      </c>
    </row>
    <row r="101" spans="25:41" x14ac:dyDescent="0.3">
      <c r="Y101" t="str">
        <f t="shared" si="8"/>
        <v>Pass</v>
      </c>
      <c r="Z101">
        <f t="shared" si="9"/>
        <v>8.7164144515991211</v>
      </c>
      <c r="AA101">
        <v>0</v>
      </c>
      <c r="AB101">
        <v>15</v>
      </c>
      <c r="AC101">
        <v>90</v>
      </c>
      <c r="AD101" t="s">
        <v>26</v>
      </c>
      <c r="AE101">
        <v>8.7164138420171202</v>
      </c>
      <c r="AK101" t="str">
        <f t="shared" si="10"/>
        <v>Pass</v>
      </c>
      <c r="AL101">
        <f t="shared" si="11"/>
        <v>3.1226832866668701</v>
      </c>
      <c r="AM101">
        <v>6200</v>
      </c>
      <c r="AN101" t="s">
        <v>24</v>
      </c>
      <c r="AO101">
        <v>3.1226833477156699</v>
      </c>
    </row>
    <row r="102" spans="25:41" x14ac:dyDescent="0.3">
      <c r="Y102" t="str">
        <f t="shared" si="8"/>
        <v>Pass</v>
      </c>
      <c r="Z102">
        <f t="shared" si="9"/>
        <v>9.2338333129882813</v>
      </c>
      <c r="AA102">
        <v>0</v>
      </c>
      <c r="AB102">
        <v>15</v>
      </c>
      <c r="AC102">
        <v>100</v>
      </c>
      <c r="AD102" t="s">
        <v>24</v>
      </c>
      <c r="AE102">
        <v>9.2338326356261504</v>
      </c>
      <c r="AK102" t="str">
        <f t="shared" si="10"/>
        <v>Pass</v>
      </c>
      <c r="AL102">
        <f t="shared" si="11"/>
        <v>1.3271862268447876</v>
      </c>
      <c r="AM102">
        <v>6400</v>
      </c>
      <c r="AN102" t="s">
        <v>26</v>
      </c>
      <c r="AO102">
        <v>1.32718626110834</v>
      </c>
    </row>
    <row r="103" spans="25:41" x14ac:dyDescent="0.3">
      <c r="Y103" t="str">
        <f t="shared" si="8"/>
        <v>Pass</v>
      </c>
      <c r="Z103">
        <f t="shared" si="9"/>
        <v>9.2338333129882813</v>
      </c>
      <c r="AA103">
        <v>0</v>
      </c>
      <c r="AB103">
        <v>15</v>
      </c>
      <c r="AC103">
        <v>100</v>
      </c>
      <c r="AD103" t="s">
        <v>25</v>
      </c>
      <c r="AE103">
        <v>9.2338326356261504</v>
      </c>
      <c r="AK103" t="str">
        <f t="shared" si="10"/>
        <v>Pass</v>
      </c>
      <c r="AL103">
        <f t="shared" si="11"/>
        <v>1.3271862268447876</v>
      </c>
      <c r="AM103">
        <v>6400</v>
      </c>
      <c r="AN103" t="s">
        <v>25</v>
      </c>
      <c r="AO103">
        <v>1.32718626110834</v>
      </c>
    </row>
    <row r="104" spans="25:41" x14ac:dyDescent="0.3">
      <c r="Y104" t="str">
        <f t="shared" si="8"/>
        <v>Pass</v>
      </c>
      <c r="Z104">
        <f t="shared" si="9"/>
        <v>9.2338333129882813</v>
      </c>
      <c r="AA104">
        <v>0</v>
      </c>
      <c r="AB104">
        <v>15</v>
      </c>
      <c r="AC104">
        <v>100</v>
      </c>
      <c r="AD104" t="s">
        <v>26</v>
      </c>
      <c r="AE104">
        <v>9.2338326356261504</v>
      </c>
      <c r="AK104" t="str">
        <f t="shared" si="10"/>
        <v>Pass</v>
      </c>
      <c r="AL104">
        <f t="shared" si="11"/>
        <v>3.1520674228668213</v>
      </c>
      <c r="AM104">
        <v>6400</v>
      </c>
      <c r="AN104" t="s">
        <v>24</v>
      </c>
      <c r="AO104">
        <v>3.1520673701323099</v>
      </c>
    </row>
    <row r="105" spans="25:41" x14ac:dyDescent="0.3">
      <c r="Y105" t="str">
        <f t="shared" si="8"/>
        <v>Pass</v>
      </c>
      <c r="Z105">
        <f t="shared" si="9"/>
        <v>7.3296316259074956E-5</v>
      </c>
      <c r="AA105">
        <v>0</v>
      </c>
      <c r="AB105">
        <v>20</v>
      </c>
      <c r="AC105">
        <v>0</v>
      </c>
      <c r="AD105" t="s">
        <v>24</v>
      </c>
      <c r="AE105">
        <v>7.3296313413142794E-5</v>
      </c>
      <c r="AK105" t="str">
        <f t="shared" si="10"/>
        <v>Pass</v>
      </c>
      <c r="AL105">
        <f t="shared" si="11"/>
        <v>1.3392888307571411</v>
      </c>
      <c r="AM105">
        <v>6600</v>
      </c>
      <c r="AN105" t="s">
        <v>26</v>
      </c>
      <c r="AO105">
        <v>1.3392888275381001</v>
      </c>
    </row>
    <row r="106" spans="25:41" x14ac:dyDescent="0.3">
      <c r="Y106" t="str">
        <f t="shared" si="8"/>
        <v>Pass</v>
      </c>
      <c r="Z106">
        <f t="shared" si="9"/>
        <v>7.3296316259074956E-5</v>
      </c>
      <c r="AA106">
        <v>0</v>
      </c>
      <c r="AB106">
        <v>20</v>
      </c>
      <c r="AC106">
        <v>0</v>
      </c>
      <c r="AD106" t="s">
        <v>25</v>
      </c>
      <c r="AE106">
        <v>7.3296313413142794E-5</v>
      </c>
      <c r="AK106" t="str">
        <f t="shared" si="10"/>
        <v>Pass</v>
      </c>
      <c r="AL106">
        <f t="shared" si="11"/>
        <v>1.3392888307571411</v>
      </c>
      <c r="AM106">
        <v>6600</v>
      </c>
      <c r="AN106" t="s">
        <v>25</v>
      </c>
      <c r="AO106">
        <v>1.3392888275381001</v>
      </c>
    </row>
    <row r="107" spans="25:41" x14ac:dyDescent="0.3">
      <c r="Y107" t="str">
        <f t="shared" si="8"/>
        <v>Pass</v>
      </c>
      <c r="Z107">
        <f t="shared" si="9"/>
        <v>7.3296316259074956E-5</v>
      </c>
      <c r="AA107">
        <v>0</v>
      </c>
      <c r="AB107">
        <v>20</v>
      </c>
      <c r="AC107">
        <v>0</v>
      </c>
      <c r="AD107" t="s">
        <v>26</v>
      </c>
      <c r="AE107">
        <v>7.3296313413142794E-5</v>
      </c>
      <c r="AK107" t="str">
        <f t="shared" si="10"/>
        <v>Pass</v>
      </c>
      <c r="AL107">
        <f t="shared" si="11"/>
        <v>3.1808109283447266</v>
      </c>
      <c r="AM107">
        <v>6600</v>
      </c>
      <c r="AN107" t="s">
        <v>24</v>
      </c>
      <c r="AO107">
        <v>3.1808109654029999</v>
      </c>
    </row>
    <row r="108" spans="25:41" x14ac:dyDescent="0.3">
      <c r="Y108" t="str">
        <f t="shared" si="8"/>
        <v>Pass</v>
      </c>
      <c r="Z108">
        <f t="shared" si="9"/>
        <v>1.9800174050033092E-4</v>
      </c>
      <c r="AA108">
        <v>0</v>
      </c>
      <c r="AB108">
        <v>20</v>
      </c>
      <c r="AC108">
        <v>10</v>
      </c>
      <c r="AD108" t="s">
        <v>24</v>
      </c>
      <c r="AE108">
        <v>1.9800173285869401E-4</v>
      </c>
      <c r="AK108" t="str">
        <f t="shared" si="10"/>
        <v>Pass</v>
      </c>
      <c r="AL108">
        <f t="shared" si="11"/>
        <v>1.3511354923248291</v>
      </c>
      <c r="AM108">
        <v>6800</v>
      </c>
      <c r="AN108" t="s">
        <v>26</v>
      </c>
      <c r="AO108">
        <v>1.35113552900033</v>
      </c>
    </row>
    <row r="109" spans="25:41" x14ac:dyDescent="0.3">
      <c r="Y109" t="str">
        <f t="shared" si="8"/>
        <v>Pass</v>
      </c>
      <c r="Z109">
        <f t="shared" si="9"/>
        <v>1.9800174050033092E-4</v>
      </c>
      <c r="AA109">
        <v>0</v>
      </c>
      <c r="AB109">
        <v>20</v>
      </c>
      <c r="AC109">
        <v>10</v>
      </c>
      <c r="AD109" t="s">
        <v>25</v>
      </c>
      <c r="AE109">
        <v>1.9800173285869401E-4</v>
      </c>
      <c r="AK109" t="str">
        <f t="shared" si="10"/>
        <v>Pass</v>
      </c>
      <c r="AL109">
        <f t="shared" si="11"/>
        <v>1.3511354923248291</v>
      </c>
      <c r="AM109">
        <v>6800</v>
      </c>
      <c r="AN109" t="s">
        <v>25</v>
      </c>
      <c r="AO109">
        <v>1.35113552900033</v>
      </c>
    </row>
    <row r="110" spans="25:41" x14ac:dyDescent="0.3">
      <c r="Y110" t="str">
        <f t="shared" si="8"/>
        <v>Pass</v>
      </c>
      <c r="Z110">
        <f t="shared" si="9"/>
        <v>1.9800174050033092E-4</v>
      </c>
      <c r="AA110">
        <v>0</v>
      </c>
      <c r="AB110">
        <v>20</v>
      </c>
      <c r="AC110">
        <v>10</v>
      </c>
      <c r="AD110" t="s">
        <v>26</v>
      </c>
      <c r="AE110">
        <v>1.9800173285869401E-4</v>
      </c>
      <c r="AK110" t="str">
        <f t="shared" si="10"/>
        <v>Pass</v>
      </c>
      <c r="AL110">
        <f t="shared" si="11"/>
        <v>3.2089469432830811</v>
      </c>
      <c r="AM110">
        <v>6800</v>
      </c>
      <c r="AN110" t="s">
        <v>24</v>
      </c>
      <c r="AO110">
        <v>3.2089468813757902</v>
      </c>
    </row>
    <row r="111" spans="25:41" x14ac:dyDescent="0.3">
      <c r="Y111" t="str">
        <f t="shared" si="8"/>
        <v>Pass</v>
      </c>
      <c r="Z111">
        <f t="shared" si="9"/>
        <v>5.3285586182028055E-4</v>
      </c>
      <c r="AA111">
        <v>0</v>
      </c>
      <c r="AB111">
        <v>20</v>
      </c>
      <c r="AC111">
        <v>20</v>
      </c>
      <c r="AD111" t="s">
        <v>24</v>
      </c>
      <c r="AE111">
        <v>5.3285582299097902E-4</v>
      </c>
      <c r="AK111" t="str">
        <f t="shared" si="10"/>
        <v>Pass</v>
      </c>
      <c r="AL111">
        <f t="shared" si="11"/>
        <v>1.362739086151123</v>
      </c>
      <c r="AM111">
        <v>7000</v>
      </c>
      <c r="AN111" t="s">
        <v>26</v>
      </c>
      <c r="AO111">
        <v>1.36273906793355</v>
      </c>
    </row>
    <row r="112" spans="25:41" x14ac:dyDescent="0.3">
      <c r="Y112" t="str">
        <f t="shared" si="8"/>
        <v>Pass</v>
      </c>
      <c r="Z112">
        <f t="shared" si="9"/>
        <v>5.3285586182028055E-4</v>
      </c>
      <c r="AA112">
        <v>0</v>
      </c>
      <c r="AB112">
        <v>20</v>
      </c>
      <c r="AC112">
        <v>20</v>
      </c>
      <c r="AD112" t="s">
        <v>25</v>
      </c>
      <c r="AE112">
        <v>5.3285582299097902E-4</v>
      </c>
      <c r="AK112" t="str">
        <f t="shared" si="10"/>
        <v>Pass</v>
      </c>
      <c r="AL112">
        <f t="shared" si="11"/>
        <v>1.362739086151123</v>
      </c>
      <c r="AM112">
        <v>7000</v>
      </c>
      <c r="AN112" t="s">
        <v>25</v>
      </c>
      <c r="AO112">
        <v>1.36273906793355</v>
      </c>
    </row>
    <row r="113" spans="25:41" x14ac:dyDescent="0.3">
      <c r="Y113" t="str">
        <f t="shared" si="8"/>
        <v>Pass</v>
      </c>
      <c r="Z113">
        <f t="shared" si="9"/>
        <v>5.3285586182028055E-4</v>
      </c>
      <c r="AA113">
        <v>0</v>
      </c>
      <c r="AB113">
        <v>20</v>
      </c>
      <c r="AC113">
        <v>20</v>
      </c>
      <c r="AD113" t="s">
        <v>26</v>
      </c>
      <c r="AE113">
        <v>5.3285582299097902E-4</v>
      </c>
      <c r="AK113" t="str">
        <f t="shared" si="10"/>
        <v>Pass</v>
      </c>
      <c r="AL113">
        <f t="shared" si="11"/>
        <v>3.2365052700042725</v>
      </c>
      <c r="AM113">
        <v>7000</v>
      </c>
      <c r="AN113" t="s">
        <v>24</v>
      </c>
      <c r="AO113">
        <v>3.2365052863421999</v>
      </c>
    </row>
    <row r="114" spans="25:41" x14ac:dyDescent="0.3">
      <c r="Y114" t="str">
        <f t="shared" si="8"/>
        <v>Pass</v>
      </c>
      <c r="Z114">
        <f t="shared" si="9"/>
        <v>1.4195834519341588E-3</v>
      </c>
      <c r="AA114">
        <v>0</v>
      </c>
      <c r="AB114">
        <v>20</v>
      </c>
      <c r="AC114">
        <v>30</v>
      </c>
      <c r="AD114" t="s">
        <v>24</v>
      </c>
      <c r="AE114">
        <v>1.4195834549933701E-3</v>
      </c>
      <c r="AK114" t="str">
        <f t="shared" si="10"/>
        <v>Pass</v>
      </c>
      <c r="AL114">
        <f t="shared" si="11"/>
        <v>1.3741111755371094</v>
      </c>
      <c r="AM114">
        <v>7200</v>
      </c>
      <c r="AN114" t="s">
        <v>26</v>
      </c>
      <c r="AO114">
        <v>1.37411117452426</v>
      </c>
    </row>
    <row r="115" spans="25:41" x14ac:dyDescent="0.3">
      <c r="Y115" t="str">
        <f t="shared" si="8"/>
        <v>Pass</v>
      </c>
      <c r="Z115">
        <f t="shared" si="9"/>
        <v>1.4195834519341588E-3</v>
      </c>
      <c r="AA115">
        <v>0</v>
      </c>
      <c r="AB115">
        <v>20</v>
      </c>
      <c r="AC115">
        <v>30</v>
      </c>
      <c r="AD115" t="s">
        <v>25</v>
      </c>
      <c r="AE115">
        <v>1.4195834549933701E-3</v>
      </c>
      <c r="AK115" t="str">
        <f t="shared" si="10"/>
        <v>Pass</v>
      </c>
      <c r="AL115">
        <f t="shared" si="11"/>
        <v>1.3741111755371094</v>
      </c>
      <c r="AM115">
        <v>7200</v>
      </c>
      <c r="AN115" t="s">
        <v>25</v>
      </c>
      <c r="AO115">
        <v>1.37411117452426</v>
      </c>
    </row>
    <row r="116" spans="25:41" x14ac:dyDescent="0.3">
      <c r="Y116" t="str">
        <f t="shared" si="8"/>
        <v>Pass</v>
      </c>
      <c r="Z116">
        <f t="shared" si="9"/>
        <v>1.4195834519341588E-3</v>
      </c>
      <c r="AA116">
        <v>0</v>
      </c>
      <c r="AB116">
        <v>20</v>
      </c>
      <c r="AC116">
        <v>30</v>
      </c>
      <c r="AD116" t="s">
        <v>26</v>
      </c>
      <c r="AE116">
        <v>1.4195834549933701E-3</v>
      </c>
      <c r="AK116" t="str">
        <f t="shared" si="10"/>
        <v>Pass</v>
      </c>
      <c r="AL116">
        <f t="shared" si="11"/>
        <v>3.2635140419006348</v>
      </c>
      <c r="AM116">
        <v>7200</v>
      </c>
      <c r="AN116" t="s">
        <v>24</v>
      </c>
      <c r="AO116">
        <v>3.2635140394951101</v>
      </c>
    </row>
    <row r="117" spans="25:41" x14ac:dyDescent="0.3">
      <c r="Y117" t="str">
        <f t="shared" si="8"/>
        <v>Pass</v>
      </c>
      <c r="Z117">
        <f t="shared" si="9"/>
        <v>3.6838175728917122E-3</v>
      </c>
      <c r="AA117">
        <v>0</v>
      </c>
      <c r="AB117">
        <v>20</v>
      </c>
      <c r="AC117">
        <v>40</v>
      </c>
      <c r="AD117" t="s">
        <v>24</v>
      </c>
      <c r="AE117">
        <v>3.6838176696650802E-3</v>
      </c>
      <c r="AK117" t="str">
        <f t="shared" si="10"/>
        <v>Pass</v>
      </c>
      <c r="AL117">
        <f t="shared" si="11"/>
        <v>1.3852627277374268</v>
      </c>
      <c r="AM117">
        <v>7400</v>
      </c>
      <c r="AN117" t="s">
        <v>26</v>
      </c>
      <c r="AO117">
        <v>1.38526270583773</v>
      </c>
    </row>
    <row r="118" spans="25:41" x14ac:dyDescent="0.3">
      <c r="Y118" t="str">
        <f t="shared" si="8"/>
        <v>Pass</v>
      </c>
      <c r="Z118">
        <f t="shared" si="9"/>
        <v>3.6838175728917122E-3</v>
      </c>
      <c r="AA118">
        <v>0</v>
      </c>
      <c r="AB118">
        <v>20</v>
      </c>
      <c r="AC118">
        <v>40</v>
      </c>
      <c r="AD118" t="s">
        <v>25</v>
      </c>
      <c r="AE118">
        <v>3.6838176696650802E-3</v>
      </c>
      <c r="AK118" t="str">
        <f t="shared" si="10"/>
        <v>Pass</v>
      </c>
      <c r="AL118">
        <f t="shared" si="11"/>
        <v>1.3852627277374268</v>
      </c>
      <c r="AM118">
        <v>7400</v>
      </c>
      <c r="AN118" t="s">
        <v>25</v>
      </c>
      <c r="AO118">
        <v>1.38526270583773</v>
      </c>
    </row>
    <row r="119" spans="25:41" x14ac:dyDescent="0.3">
      <c r="Y119" t="str">
        <f t="shared" si="8"/>
        <v>Pass</v>
      </c>
      <c r="Z119">
        <f t="shared" si="9"/>
        <v>3.6838175728917122E-3</v>
      </c>
      <c r="AA119">
        <v>0</v>
      </c>
      <c r="AB119">
        <v>20</v>
      </c>
      <c r="AC119">
        <v>40</v>
      </c>
      <c r="AD119" t="s">
        <v>26</v>
      </c>
      <c r="AE119">
        <v>3.6838176696650802E-3</v>
      </c>
      <c r="AK119" t="str">
        <f t="shared" si="10"/>
        <v>Pass</v>
      </c>
      <c r="AL119">
        <f t="shared" si="11"/>
        <v>3.2899990081787109</v>
      </c>
      <c r="AM119">
        <v>7400</v>
      </c>
      <c r="AN119" t="s">
        <v>24</v>
      </c>
      <c r="AO119">
        <v>3.2899989263646199</v>
      </c>
    </row>
    <row r="120" spans="25:41" x14ac:dyDescent="0.3">
      <c r="Y120" t="str">
        <f t="shared" si="8"/>
        <v>Pass</v>
      </c>
      <c r="Z120">
        <f t="shared" si="9"/>
        <v>8.9656580239534378E-3</v>
      </c>
      <c r="AA120">
        <v>0</v>
      </c>
      <c r="AB120">
        <v>20</v>
      </c>
      <c r="AC120">
        <v>50</v>
      </c>
      <c r="AD120" t="s">
        <v>24</v>
      </c>
      <c r="AE120">
        <v>8.9656584650703794E-3</v>
      </c>
      <c r="AK120" t="str">
        <f t="shared" si="10"/>
        <v>Pass</v>
      </c>
      <c r="AL120">
        <f t="shared" si="11"/>
        <v>1.3962037563323975</v>
      </c>
      <c r="AM120">
        <v>7600</v>
      </c>
      <c r="AN120" t="s">
        <v>26</v>
      </c>
      <c r="AO120">
        <v>1.3962037324563299</v>
      </c>
    </row>
    <row r="121" spans="25:41" x14ac:dyDescent="0.3">
      <c r="Y121" t="str">
        <f t="shared" si="8"/>
        <v>Pass</v>
      </c>
      <c r="Z121">
        <f t="shared" si="9"/>
        <v>8.9656580239534378E-3</v>
      </c>
      <c r="AA121">
        <v>0</v>
      </c>
      <c r="AB121">
        <v>20</v>
      </c>
      <c r="AC121">
        <v>50</v>
      </c>
      <c r="AD121" t="s">
        <v>25</v>
      </c>
      <c r="AE121">
        <v>8.9656584650703794E-3</v>
      </c>
      <c r="AK121" t="str">
        <f t="shared" si="10"/>
        <v>Pass</v>
      </c>
      <c r="AL121">
        <f t="shared" si="11"/>
        <v>1.3962037563323975</v>
      </c>
      <c r="AM121">
        <v>7600</v>
      </c>
      <c r="AN121" t="s">
        <v>25</v>
      </c>
      <c r="AO121">
        <v>1.3962037324563299</v>
      </c>
    </row>
    <row r="122" spans="25:41" x14ac:dyDescent="0.3">
      <c r="Y122" t="str">
        <f t="shared" si="8"/>
        <v>Pass</v>
      </c>
      <c r="Z122">
        <f t="shared" si="9"/>
        <v>8.9656580239534378E-3</v>
      </c>
      <c r="AA122">
        <v>0</v>
      </c>
      <c r="AB122">
        <v>20</v>
      </c>
      <c r="AC122">
        <v>50</v>
      </c>
      <c r="AD122" t="s">
        <v>26</v>
      </c>
      <c r="AE122">
        <v>8.9656584650703794E-3</v>
      </c>
      <c r="AK122" t="str">
        <f t="shared" si="10"/>
        <v>Pass</v>
      </c>
      <c r="AL122">
        <f t="shared" si="11"/>
        <v>3.315983772277832</v>
      </c>
      <c r="AM122">
        <v>7600</v>
      </c>
      <c r="AN122" t="s">
        <v>24</v>
      </c>
      <c r="AO122">
        <v>3.31598386458379</v>
      </c>
    </row>
    <row r="123" spans="25:41" x14ac:dyDescent="0.3">
      <c r="Y123" t="str">
        <f t="shared" si="8"/>
        <v>Pass</v>
      </c>
      <c r="Z123">
        <f t="shared" si="9"/>
        <v>1.9058752804994583E-2</v>
      </c>
      <c r="AA123">
        <v>0</v>
      </c>
      <c r="AB123">
        <v>20</v>
      </c>
      <c r="AC123">
        <v>60</v>
      </c>
      <c r="AD123" t="s">
        <v>24</v>
      </c>
      <c r="AE123">
        <v>1.9058753821487098E-2</v>
      </c>
      <c r="AK123" t="str">
        <f t="shared" si="10"/>
        <v>Pass</v>
      </c>
      <c r="AL123">
        <f t="shared" si="11"/>
        <v>1.406943678855896</v>
      </c>
      <c r="AM123">
        <v>7800</v>
      </c>
      <c r="AN123" t="s">
        <v>26</v>
      </c>
      <c r="AO123">
        <v>1.4069436144843599</v>
      </c>
    </row>
    <row r="124" spans="25:41" x14ac:dyDescent="0.3">
      <c r="Y124" t="str">
        <f t="shared" si="8"/>
        <v>Pass</v>
      </c>
      <c r="Z124">
        <f t="shared" si="9"/>
        <v>1.9058752804994583E-2</v>
      </c>
      <c r="AA124">
        <v>0</v>
      </c>
      <c r="AB124">
        <v>20</v>
      </c>
      <c r="AC124">
        <v>60</v>
      </c>
      <c r="AD124" t="s">
        <v>25</v>
      </c>
      <c r="AE124">
        <v>1.9058753821487098E-2</v>
      </c>
      <c r="AK124" t="str">
        <f t="shared" si="10"/>
        <v>Pass</v>
      </c>
      <c r="AL124">
        <f t="shared" si="11"/>
        <v>1.406943678855896</v>
      </c>
      <c r="AM124">
        <v>7800</v>
      </c>
      <c r="AN124" t="s">
        <v>25</v>
      </c>
      <c r="AO124">
        <v>1.4069436144843599</v>
      </c>
    </row>
    <row r="125" spans="25:41" x14ac:dyDescent="0.3">
      <c r="Y125" t="str">
        <f t="shared" si="8"/>
        <v>Pass</v>
      </c>
      <c r="Z125">
        <f t="shared" si="9"/>
        <v>1.9058752804994583E-2</v>
      </c>
      <c r="AA125">
        <v>0</v>
      </c>
      <c r="AB125">
        <v>20</v>
      </c>
      <c r="AC125">
        <v>60</v>
      </c>
      <c r="AD125" t="s">
        <v>26</v>
      </c>
      <c r="AE125">
        <v>1.9058753821487098E-2</v>
      </c>
      <c r="AK125" t="str">
        <f t="shared" si="10"/>
        <v>Pass</v>
      </c>
      <c r="AL125">
        <f t="shared" si="11"/>
        <v>3.3414912223815918</v>
      </c>
      <c r="AM125">
        <v>7800</v>
      </c>
      <c r="AN125" t="s">
        <v>24</v>
      </c>
      <c r="AO125">
        <v>3.3414910844003498</v>
      </c>
    </row>
    <row r="126" spans="25:41" x14ac:dyDescent="0.3">
      <c r="Y126" t="str">
        <f t="shared" si="8"/>
        <v>Pass</v>
      </c>
      <c r="Z126">
        <f t="shared" si="9"/>
        <v>3.2623700797557831E-2</v>
      </c>
      <c r="AA126">
        <v>0</v>
      </c>
      <c r="AB126">
        <v>20</v>
      </c>
      <c r="AC126">
        <v>70</v>
      </c>
      <c r="AD126" t="s">
        <v>24</v>
      </c>
      <c r="AE126">
        <v>3.26237011351432E-2</v>
      </c>
      <c r="AK126" t="str">
        <f t="shared" si="10"/>
        <v>Pass</v>
      </c>
      <c r="AL126">
        <f t="shared" si="11"/>
        <v>1.41749107837677</v>
      </c>
      <c r="AM126">
        <v>8000</v>
      </c>
      <c r="AN126" t="s">
        <v>26</v>
      </c>
      <c r="AO126">
        <v>1.4174910684619499</v>
      </c>
    </row>
    <row r="127" spans="25:41" x14ac:dyDescent="0.3">
      <c r="Y127" t="str">
        <f t="shared" si="8"/>
        <v>Pass</v>
      </c>
      <c r="Z127">
        <f t="shared" si="9"/>
        <v>3.2623700797557831E-2</v>
      </c>
      <c r="AA127">
        <v>0</v>
      </c>
      <c r="AB127">
        <v>20</v>
      </c>
      <c r="AC127">
        <v>70</v>
      </c>
      <c r="AD127" t="s">
        <v>25</v>
      </c>
      <c r="AE127">
        <v>3.26237011351432E-2</v>
      </c>
      <c r="AK127" t="str">
        <f t="shared" si="10"/>
        <v>Pass</v>
      </c>
      <c r="AL127">
        <f t="shared" si="11"/>
        <v>1.41749107837677</v>
      </c>
      <c r="AM127">
        <v>8000</v>
      </c>
      <c r="AN127" t="s">
        <v>25</v>
      </c>
      <c r="AO127">
        <v>1.4174910684619499</v>
      </c>
    </row>
    <row r="128" spans="25:41" x14ac:dyDescent="0.3">
      <c r="Y128" t="str">
        <f t="shared" si="8"/>
        <v>Pass</v>
      </c>
      <c r="Z128">
        <f t="shared" si="9"/>
        <v>3.2623700797557831E-2</v>
      </c>
      <c r="AA128">
        <v>0</v>
      </c>
      <c r="AB128">
        <v>20</v>
      </c>
      <c r="AC128">
        <v>70</v>
      </c>
      <c r="AD128" t="s">
        <v>26</v>
      </c>
      <c r="AE128">
        <v>3.26237011351432E-2</v>
      </c>
      <c r="AK128" t="str">
        <f t="shared" si="10"/>
        <v>Pass</v>
      </c>
      <c r="AL128">
        <f t="shared" si="11"/>
        <v>3.3665413856506348</v>
      </c>
      <c r="AM128">
        <v>8000</v>
      </c>
      <c r="AN128" t="s">
        <v>24</v>
      </c>
      <c r="AO128">
        <v>3.3665412875971401</v>
      </c>
    </row>
    <row r="129" spans="25:41" x14ac:dyDescent="0.3">
      <c r="Y129" t="str">
        <f t="shared" si="8"/>
        <v>Pass</v>
      </c>
      <c r="Z129">
        <f t="shared" si="9"/>
        <v>4.425865039229393E-2</v>
      </c>
      <c r="AA129">
        <v>0</v>
      </c>
      <c r="AB129">
        <v>20</v>
      </c>
      <c r="AC129">
        <v>80</v>
      </c>
      <c r="AD129" t="s">
        <v>24</v>
      </c>
      <c r="AE129">
        <v>4.4258649663318099E-2</v>
      </c>
      <c r="AK129" t="str">
        <f t="shared" si="10"/>
        <v>Pass</v>
      </c>
      <c r="AL129">
        <f t="shared" si="11"/>
        <v>1.4278541803359985</v>
      </c>
      <c r="AM129">
        <v>8200</v>
      </c>
      <c r="AN129" t="s">
        <v>26</v>
      </c>
      <c r="AO129">
        <v>1.4278542264738301</v>
      </c>
    </row>
    <row r="130" spans="25:41" x14ac:dyDescent="0.3">
      <c r="Y130" t="str">
        <f t="shared" si="8"/>
        <v>Pass</v>
      </c>
      <c r="Z130">
        <f t="shared" si="9"/>
        <v>4.425865039229393E-2</v>
      </c>
      <c r="AA130">
        <v>0</v>
      </c>
      <c r="AB130">
        <v>20</v>
      </c>
      <c r="AC130">
        <v>80</v>
      </c>
      <c r="AD130" t="s">
        <v>25</v>
      </c>
      <c r="AE130">
        <v>4.4258649663318099E-2</v>
      </c>
      <c r="AK130" t="str">
        <f t="shared" si="10"/>
        <v>Pass</v>
      </c>
      <c r="AL130">
        <f t="shared" si="11"/>
        <v>1.4278541803359985</v>
      </c>
      <c r="AM130">
        <v>8200</v>
      </c>
      <c r="AN130" t="s">
        <v>25</v>
      </c>
      <c r="AO130">
        <v>1.4278542264738301</v>
      </c>
    </row>
    <row r="131" spans="25:41" x14ac:dyDescent="0.3">
      <c r="Y131" t="str">
        <f t="shared" si="8"/>
        <v>Pass</v>
      </c>
      <c r="Z131">
        <f t="shared" si="9"/>
        <v>4.425865039229393E-2</v>
      </c>
      <c r="AA131">
        <v>0</v>
      </c>
      <c r="AB131">
        <v>20</v>
      </c>
      <c r="AC131">
        <v>80</v>
      </c>
      <c r="AD131" t="s">
        <v>26</v>
      </c>
      <c r="AE131">
        <v>4.4258649663318099E-2</v>
      </c>
      <c r="AK131" t="str">
        <f t="shared" si="10"/>
        <v>Pass</v>
      </c>
      <c r="AL131">
        <f t="shared" si="11"/>
        <v>3.3911538124084473</v>
      </c>
      <c r="AM131">
        <v>8200</v>
      </c>
      <c r="AN131" t="s">
        <v>24</v>
      </c>
      <c r="AO131">
        <v>3.3911537878753601</v>
      </c>
    </row>
    <row r="132" spans="25:41" x14ac:dyDescent="0.3">
      <c r="Y132" t="str">
        <f t="shared" si="8"/>
        <v>Pass</v>
      </c>
      <c r="Z132">
        <f t="shared" si="9"/>
        <v>5.0973180681467056E-2</v>
      </c>
      <c r="AA132">
        <v>0</v>
      </c>
      <c r="AB132">
        <v>20</v>
      </c>
      <c r="AC132">
        <v>90</v>
      </c>
      <c r="AD132" t="s">
        <v>24</v>
      </c>
      <c r="AE132">
        <v>5.0973180362673197E-2</v>
      </c>
      <c r="AK132" t="str">
        <f t="shared" si="10"/>
        <v>Pass</v>
      </c>
      <c r="AL132">
        <f t="shared" si="11"/>
        <v>1.4380407333374023</v>
      </c>
      <c r="AM132">
        <v>8400</v>
      </c>
      <c r="AN132" t="s">
        <v>26</v>
      </c>
      <c r="AO132">
        <v>1.4380406885302</v>
      </c>
    </row>
    <row r="133" spans="25:41" x14ac:dyDescent="0.3">
      <c r="Y133" t="str">
        <f t="shared" si="8"/>
        <v>Pass</v>
      </c>
      <c r="Z133">
        <f t="shared" si="9"/>
        <v>5.0973180681467056E-2</v>
      </c>
      <c r="AA133">
        <v>0</v>
      </c>
      <c r="AB133">
        <v>20</v>
      </c>
      <c r="AC133">
        <v>90</v>
      </c>
      <c r="AD133" t="s">
        <v>25</v>
      </c>
      <c r="AE133">
        <v>5.0973180362673197E-2</v>
      </c>
      <c r="AK133" t="str">
        <f t="shared" si="10"/>
        <v>Pass</v>
      </c>
      <c r="AL133">
        <f t="shared" si="11"/>
        <v>1.4380407333374023</v>
      </c>
      <c r="AM133">
        <v>8400</v>
      </c>
      <c r="AN133" t="s">
        <v>25</v>
      </c>
      <c r="AO133">
        <v>1.4380406885302</v>
      </c>
    </row>
    <row r="134" spans="25:41" x14ac:dyDescent="0.3">
      <c r="Y134" t="str">
        <f t="shared" si="8"/>
        <v>Pass</v>
      </c>
      <c r="Z134">
        <f t="shared" si="9"/>
        <v>5.0973180681467056E-2</v>
      </c>
      <c r="AA134">
        <v>0</v>
      </c>
      <c r="AB134">
        <v>20</v>
      </c>
      <c r="AC134">
        <v>90</v>
      </c>
      <c r="AD134" t="s">
        <v>26</v>
      </c>
      <c r="AE134">
        <v>5.0973180362673197E-2</v>
      </c>
      <c r="AK134" t="str">
        <f t="shared" si="10"/>
        <v>Pass</v>
      </c>
      <c r="AL134">
        <f t="shared" si="11"/>
        <v>3.415346622467041</v>
      </c>
      <c r="AM134">
        <v>8400</v>
      </c>
      <c r="AN134" t="s">
        <v>24</v>
      </c>
      <c r="AO134">
        <v>3.4153466352592399</v>
      </c>
    </row>
    <row r="135" spans="25:41" x14ac:dyDescent="0.3">
      <c r="Y135" t="str">
        <f t="shared" ref="Y135:Y198" si="12">IF(ISBLANK(Z135),"",IF(ROUND(Z135,0)=ROUND(AE135,0),"Pass","Fail"))</f>
        <v>Pass</v>
      </c>
      <c r="Z135">
        <f t="shared" ref="Z135:Z198" si="13">ROS_grass(AA135,AB135,AC135,AD135)</f>
        <v>5.3999021649360657E-2</v>
      </c>
      <c r="AA135">
        <v>0</v>
      </c>
      <c r="AB135">
        <v>20</v>
      </c>
      <c r="AC135">
        <v>100</v>
      </c>
      <c r="AD135" t="s">
        <v>24</v>
      </c>
      <c r="AE135">
        <v>5.39990212609716E-2</v>
      </c>
      <c r="AK135" t="str">
        <f t="shared" ref="AK135:AK198" si="14">IF(ISBLANK(AL135),"",IF(ROUND(AL135,3)=ROUND(AO135,3),"Pass","Fail"))</f>
        <v>Pass</v>
      </c>
      <c r="AL135">
        <f t="shared" ref="AL135:AL198" si="15">Flame_height_grass(AM135,AN135)</f>
        <v>1.4480575323104858</v>
      </c>
      <c r="AM135">
        <v>8600</v>
      </c>
      <c r="AN135" t="s">
        <v>26</v>
      </c>
      <c r="AO135">
        <v>1.4480575691264701</v>
      </c>
    </row>
    <row r="136" spans="25:41" x14ac:dyDescent="0.3">
      <c r="Y136" t="str">
        <f t="shared" si="12"/>
        <v>Pass</v>
      </c>
      <c r="Z136">
        <f t="shared" si="13"/>
        <v>5.3999021649360657E-2</v>
      </c>
      <c r="AA136">
        <v>0</v>
      </c>
      <c r="AB136">
        <v>20</v>
      </c>
      <c r="AC136">
        <v>100</v>
      </c>
      <c r="AD136" t="s">
        <v>25</v>
      </c>
      <c r="AE136">
        <v>5.39990212609716E-2</v>
      </c>
      <c r="AK136" t="str">
        <f t="shared" si="14"/>
        <v>Pass</v>
      </c>
      <c r="AL136">
        <f t="shared" si="15"/>
        <v>1.4480575323104858</v>
      </c>
      <c r="AM136">
        <v>8600</v>
      </c>
      <c r="AN136" t="s">
        <v>25</v>
      </c>
      <c r="AO136">
        <v>1.4480575691264701</v>
      </c>
    </row>
    <row r="137" spans="25:41" x14ac:dyDescent="0.3">
      <c r="Y137" t="str">
        <f t="shared" si="12"/>
        <v>Pass</v>
      </c>
      <c r="Z137">
        <f t="shared" si="13"/>
        <v>5.3999021649360657E-2</v>
      </c>
      <c r="AA137">
        <v>0</v>
      </c>
      <c r="AB137">
        <v>20</v>
      </c>
      <c r="AC137">
        <v>100</v>
      </c>
      <c r="AD137" t="s">
        <v>26</v>
      </c>
      <c r="AE137">
        <v>5.39990212609716E-2</v>
      </c>
      <c r="AK137" t="str">
        <f t="shared" si="14"/>
        <v>Pass</v>
      </c>
      <c r="AL137">
        <f t="shared" si="15"/>
        <v>3.4391367435455322</v>
      </c>
      <c r="AM137">
        <v>8600</v>
      </c>
      <c r="AN137" t="s">
        <v>24</v>
      </c>
      <c r="AO137">
        <v>3.4391367266753599</v>
      </c>
    </row>
    <row r="138" spans="25:41" x14ac:dyDescent="0.3">
      <c r="Y138" t="str">
        <f t="shared" si="12"/>
        <v>Pass</v>
      </c>
      <c r="Z138">
        <f t="shared" si="13"/>
        <v>7.3296316259074956E-5</v>
      </c>
      <c r="AA138">
        <v>0</v>
      </c>
      <c r="AB138">
        <v>25</v>
      </c>
      <c r="AC138">
        <v>0</v>
      </c>
      <c r="AD138" t="s">
        <v>24</v>
      </c>
      <c r="AE138">
        <v>7.3296313413142794E-5</v>
      </c>
      <c r="AK138" t="str">
        <f t="shared" si="14"/>
        <v>Pass</v>
      </c>
      <c r="AL138">
        <f t="shared" si="15"/>
        <v>1.457911491394043</v>
      </c>
      <c r="AM138">
        <v>8800</v>
      </c>
      <c r="AN138" t="s">
        <v>26</v>
      </c>
      <c r="AO138">
        <v>1.4579115387481201</v>
      </c>
    </row>
    <row r="139" spans="25:41" x14ac:dyDescent="0.3">
      <c r="Y139" t="str">
        <f t="shared" si="12"/>
        <v>Pass</v>
      </c>
      <c r="Z139">
        <f t="shared" si="13"/>
        <v>7.3296316259074956E-5</v>
      </c>
      <c r="AA139">
        <v>0</v>
      </c>
      <c r="AB139">
        <v>25</v>
      </c>
      <c r="AC139">
        <v>0</v>
      </c>
      <c r="AD139" t="s">
        <v>25</v>
      </c>
      <c r="AE139">
        <v>7.3296313413142794E-5</v>
      </c>
      <c r="AK139" t="str">
        <f t="shared" si="14"/>
        <v>Pass</v>
      </c>
      <c r="AL139">
        <f t="shared" si="15"/>
        <v>1.457911491394043</v>
      </c>
      <c r="AM139">
        <v>8800</v>
      </c>
      <c r="AN139" t="s">
        <v>25</v>
      </c>
      <c r="AO139">
        <v>1.4579115387481201</v>
      </c>
    </row>
    <row r="140" spans="25:41" x14ac:dyDescent="0.3">
      <c r="Y140" t="str">
        <f t="shared" si="12"/>
        <v>Pass</v>
      </c>
      <c r="Z140">
        <f t="shared" si="13"/>
        <v>7.3296316259074956E-5</v>
      </c>
      <c r="AA140">
        <v>0</v>
      </c>
      <c r="AB140">
        <v>25</v>
      </c>
      <c r="AC140">
        <v>0</v>
      </c>
      <c r="AD140" t="s">
        <v>26</v>
      </c>
      <c r="AE140">
        <v>7.3296313413142794E-5</v>
      </c>
      <c r="AK140" t="str">
        <f t="shared" si="14"/>
        <v>Pass</v>
      </c>
      <c r="AL140">
        <f t="shared" si="15"/>
        <v>3.4625399112701416</v>
      </c>
      <c r="AM140">
        <v>8800</v>
      </c>
      <c r="AN140" t="s">
        <v>24</v>
      </c>
      <c r="AO140">
        <v>3.4625399045267802</v>
      </c>
    </row>
    <row r="141" spans="25:41" x14ac:dyDescent="0.3">
      <c r="Y141" t="str">
        <f t="shared" si="12"/>
        <v>Pass</v>
      </c>
      <c r="Z141">
        <f t="shared" si="13"/>
        <v>1.9800174050033092E-4</v>
      </c>
      <c r="AA141">
        <v>0</v>
      </c>
      <c r="AB141">
        <v>25</v>
      </c>
      <c r="AC141">
        <v>10</v>
      </c>
      <c r="AD141" t="s">
        <v>24</v>
      </c>
      <c r="AE141">
        <v>1.9800173285869401E-4</v>
      </c>
      <c r="AK141" t="str">
        <f t="shared" si="14"/>
        <v>Pass</v>
      </c>
      <c r="AL141">
        <f t="shared" si="15"/>
        <v>1.4676088094711304</v>
      </c>
      <c r="AM141">
        <v>9000</v>
      </c>
      <c r="AN141" t="s">
        <v>26</v>
      </c>
      <c r="AO141">
        <v>1.4676088609712501</v>
      </c>
    </row>
    <row r="142" spans="25:41" x14ac:dyDescent="0.3">
      <c r="Y142" t="str">
        <f t="shared" si="12"/>
        <v>Pass</v>
      </c>
      <c r="Z142">
        <f t="shared" si="13"/>
        <v>1.9800174050033092E-4</v>
      </c>
      <c r="AA142">
        <v>0</v>
      </c>
      <c r="AB142">
        <v>25</v>
      </c>
      <c r="AC142">
        <v>10</v>
      </c>
      <c r="AD142" t="s">
        <v>25</v>
      </c>
      <c r="AE142">
        <v>1.9800173285869401E-4</v>
      </c>
      <c r="AK142" t="str">
        <f t="shared" si="14"/>
        <v>Pass</v>
      </c>
      <c r="AL142">
        <f t="shared" si="15"/>
        <v>1.4676088094711304</v>
      </c>
      <c r="AM142">
        <v>9000</v>
      </c>
      <c r="AN142" t="s">
        <v>25</v>
      </c>
      <c r="AO142">
        <v>1.4676088609712501</v>
      </c>
    </row>
    <row r="143" spans="25:41" x14ac:dyDescent="0.3">
      <c r="Y143" t="str">
        <f t="shared" si="12"/>
        <v>Pass</v>
      </c>
      <c r="Z143">
        <f t="shared" si="13"/>
        <v>1.9800174050033092E-4</v>
      </c>
      <c r="AA143">
        <v>0</v>
      </c>
      <c r="AB143">
        <v>25</v>
      </c>
      <c r="AC143">
        <v>10</v>
      </c>
      <c r="AD143" t="s">
        <v>26</v>
      </c>
      <c r="AE143">
        <v>1.9800173285869401E-4</v>
      </c>
      <c r="AK143" t="str">
        <f t="shared" si="14"/>
        <v>Pass</v>
      </c>
      <c r="AL143">
        <f t="shared" si="15"/>
        <v>3.4855711460113525</v>
      </c>
      <c r="AM143">
        <v>9000</v>
      </c>
      <c r="AN143" t="s">
        <v>24</v>
      </c>
      <c r="AO143">
        <v>3.4855710448067199</v>
      </c>
    </row>
    <row r="144" spans="25:41" x14ac:dyDescent="0.3">
      <c r="Y144" t="str">
        <f t="shared" si="12"/>
        <v>Pass</v>
      </c>
      <c r="Z144">
        <f t="shared" si="13"/>
        <v>5.3285586182028055E-4</v>
      </c>
      <c r="AA144">
        <v>0</v>
      </c>
      <c r="AB144">
        <v>25</v>
      </c>
      <c r="AC144">
        <v>20</v>
      </c>
      <c r="AD144" t="s">
        <v>24</v>
      </c>
      <c r="AE144">
        <v>5.3285582299097902E-4</v>
      </c>
      <c r="AK144" t="str">
        <f t="shared" si="14"/>
        <v>Pass</v>
      </c>
      <c r="AL144">
        <f t="shared" si="15"/>
        <v>1.4771554470062256</v>
      </c>
      <c r="AM144">
        <v>9200</v>
      </c>
      <c r="AN144" t="s">
        <v>26</v>
      </c>
      <c r="AO144">
        <v>1.47715542571293</v>
      </c>
    </row>
    <row r="145" spans="25:41" x14ac:dyDescent="0.3">
      <c r="Y145" t="str">
        <f t="shared" si="12"/>
        <v>Pass</v>
      </c>
      <c r="Z145">
        <f t="shared" si="13"/>
        <v>5.3285586182028055E-4</v>
      </c>
      <c r="AA145">
        <v>0</v>
      </c>
      <c r="AB145">
        <v>25</v>
      </c>
      <c r="AC145">
        <v>20</v>
      </c>
      <c r="AD145" t="s">
        <v>25</v>
      </c>
      <c r="AE145">
        <v>5.3285582299097902E-4</v>
      </c>
      <c r="AK145" t="str">
        <f t="shared" si="14"/>
        <v>Pass</v>
      </c>
      <c r="AL145">
        <f t="shared" si="15"/>
        <v>1.4771554470062256</v>
      </c>
      <c r="AM145">
        <v>9200</v>
      </c>
      <c r="AN145" t="s">
        <v>25</v>
      </c>
      <c r="AO145">
        <v>1.47715542571293</v>
      </c>
    </row>
    <row r="146" spans="25:41" x14ac:dyDescent="0.3">
      <c r="Y146" t="str">
        <f t="shared" si="12"/>
        <v>Pass</v>
      </c>
      <c r="Z146">
        <f t="shared" si="13"/>
        <v>5.3285586182028055E-4</v>
      </c>
      <c r="AA146">
        <v>0</v>
      </c>
      <c r="AB146">
        <v>25</v>
      </c>
      <c r="AC146">
        <v>20</v>
      </c>
      <c r="AD146" t="s">
        <v>26</v>
      </c>
      <c r="AE146">
        <v>5.3285582299097902E-4</v>
      </c>
      <c r="AK146" t="str">
        <f t="shared" si="14"/>
        <v>Pass</v>
      </c>
      <c r="AL146">
        <f t="shared" si="15"/>
        <v>3.5082440376281738</v>
      </c>
      <c r="AM146">
        <v>9200</v>
      </c>
      <c r="AN146" t="s">
        <v>24</v>
      </c>
      <c r="AO146">
        <v>3.50824413606821</v>
      </c>
    </row>
    <row r="147" spans="25:41" x14ac:dyDescent="0.3">
      <c r="Y147" t="str">
        <f t="shared" si="12"/>
        <v>Pass</v>
      </c>
      <c r="Z147">
        <f t="shared" si="13"/>
        <v>1.4195834519341588E-3</v>
      </c>
      <c r="AA147">
        <v>0</v>
      </c>
      <c r="AB147">
        <v>25</v>
      </c>
      <c r="AC147">
        <v>30</v>
      </c>
      <c r="AD147" t="s">
        <v>24</v>
      </c>
      <c r="AE147">
        <v>1.4195834549933701E-3</v>
      </c>
      <c r="AK147" t="str">
        <f t="shared" si="14"/>
        <v>Pass</v>
      </c>
      <c r="AL147">
        <f t="shared" si="15"/>
        <v>1.4865567684173584</v>
      </c>
      <c r="AM147">
        <v>9400</v>
      </c>
      <c r="AN147" t="s">
        <v>26</v>
      </c>
      <c r="AO147">
        <v>1.4865567791055001</v>
      </c>
    </row>
    <row r="148" spans="25:41" x14ac:dyDescent="0.3">
      <c r="Y148" t="str">
        <f t="shared" si="12"/>
        <v>Pass</v>
      </c>
      <c r="Z148">
        <f t="shared" si="13"/>
        <v>1.4195834519341588E-3</v>
      </c>
      <c r="AA148">
        <v>0</v>
      </c>
      <c r="AB148">
        <v>25</v>
      </c>
      <c r="AC148">
        <v>30</v>
      </c>
      <c r="AD148" t="s">
        <v>25</v>
      </c>
      <c r="AE148">
        <v>1.4195834549933701E-3</v>
      </c>
      <c r="AK148" t="str">
        <f t="shared" si="14"/>
        <v>Pass</v>
      </c>
      <c r="AL148">
        <f t="shared" si="15"/>
        <v>1.4865567684173584</v>
      </c>
      <c r="AM148">
        <v>9400</v>
      </c>
      <c r="AN148" t="s">
        <v>25</v>
      </c>
      <c r="AO148">
        <v>1.4865567791055001</v>
      </c>
    </row>
    <row r="149" spans="25:41" x14ac:dyDescent="0.3">
      <c r="Y149" t="str">
        <f t="shared" si="12"/>
        <v>Pass</v>
      </c>
      <c r="Z149">
        <f t="shared" si="13"/>
        <v>1.4195834519341588E-3</v>
      </c>
      <c r="AA149">
        <v>0</v>
      </c>
      <c r="AB149">
        <v>25</v>
      </c>
      <c r="AC149">
        <v>30</v>
      </c>
      <c r="AD149" t="s">
        <v>26</v>
      </c>
      <c r="AE149">
        <v>1.4195834549933701E-3</v>
      </c>
      <c r="AK149" t="str">
        <f t="shared" si="14"/>
        <v>Pass</v>
      </c>
      <c r="AL149">
        <f t="shared" si="15"/>
        <v>3.5305724143981934</v>
      </c>
      <c r="AM149">
        <v>9400</v>
      </c>
      <c r="AN149" t="s">
        <v>24</v>
      </c>
      <c r="AO149">
        <v>3.5305723503755702</v>
      </c>
    </row>
    <row r="150" spans="25:41" x14ac:dyDescent="0.3">
      <c r="Y150" t="str">
        <f t="shared" si="12"/>
        <v>Pass</v>
      </c>
      <c r="Z150">
        <f t="shared" si="13"/>
        <v>3.6838175728917122E-3</v>
      </c>
      <c r="AA150">
        <v>0</v>
      </c>
      <c r="AB150">
        <v>25</v>
      </c>
      <c r="AC150">
        <v>40</v>
      </c>
      <c r="AD150" t="s">
        <v>24</v>
      </c>
      <c r="AE150">
        <v>3.6838176696650802E-3</v>
      </c>
      <c r="AK150" t="str">
        <f t="shared" si="14"/>
        <v>Pass</v>
      </c>
      <c r="AL150">
        <f t="shared" si="15"/>
        <v>1.4958181381225586</v>
      </c>
      <c r="AM150">
        <v>9600</v>
      </c>
      <c r="AN150" t="s">
        <v>26</v>
      </c>
      <c r="AO150">
        <v>1.4958181504016499</v>
      </c>
    </row>
    <row r="151" spans="25:41" x14ac:dyDescent="0.3">
      <c r="Y151" t="str">
        <f t="shared" si="12"/>
        <v>Pass</v>
      </c>
      <c r="Z151">
        <f t="shared" si="13"/>
        <v>3.6838175728917122E-3</v>
      </c>
      <c r="AA151">
        <v>0</v>
      </c>
      <c r="AB151">
        <v>25</v>
      </c>
      <c r="AC151">
        <v>40</v>
      </c>
      <c r="AD151" t="s">
        <v>25</v>
      </c>
      <c r="AE151">
        <v>3.6838176696650802E-3</v>
      </c>
      <c r="AK151" t="str">
        <f t="shared" si="14"/>
        <v>Pass</v>
      </c>
      <c r="AL151">
        <f t="shared" si="15"/>
        <v>1.4958181381225586</v>
      </c>
      <c r="AM151">
        <v>9600</v>
      </c>
      <c r="AN151" t="s">
        <v>25</v>
      </c>
      <c r="AO151">
        <v>1.4958181504016499</v>
      </c>
    </row>
    <row r="152" spans="25:41" x14ac:dyDescent="0.3">
      <c r="Y152" t="str">
        <f t="shared" si="12"/>
        <v>Pass</v>
      </c>
      <c r="Z152">
        <f t="shared" si="13"/>
        <v>3.6838175728917122E-3</v>
      </c>
      <c r="AA152">
        <v>0</v>
      </c>
      <c r="AB152">
        <v>25</v>
      </c>
      <c r="AC152">
        <v>40</v>
      </c>
      <c r="AD152" t="s">
        <v>26</v>
      </c>
      <c r="AE152">
        <v>3.6838176696650802E-3</v>
      </c>
      <c r="AK152" t="str">
        <f t="shared" si="14"/>
        <v>Pass</v>
      </c>
      <c r="AL152">
        <f t="shared" si="15"/>
        <v>3.5525681972503662</v>
      </c>
      <c r="AM152">
        <v>9600</v>
      </c>
      <c r="AN152" t="s">
        <v>24</v>
      </c>
      <c r="AO152">
        <v>3.5525681072039199</v>
      </c>
    </row>
    <row r="153" spans="25:41" x14ac:dyDescent="0.3">
      <c r="Y153" t="str">
        <f t="shared" si="12"/>
        <v>Pass</v>
      </c>
      <c r="Z153">
        <f t="shared" si="13"/>
        <v>8.9656580239534378E-3</v>
      </c>
      <c r="AA153">
        <v>0</v>
      </c>
      <c r="AB153">
        <v>25</v>
      </c>
      <c r="AC153">
        <v>50</v>
      </c>
      <c r="AD153" t="s">
        <v>24</v>
      </c>
      <c r="AE153">
        <v>8.9656584650703794E-3</v>
      </c>
      <c r="AK153" t="str">
        <f t="shared" si="14"/>
        <v>Pass</v>
      </c>
      <c r="AL153">
        <f t="shared" si="15"/>
        <v>1.5049444437026978</v>
      </c>
      <c r="AM153">
        <v>9800</v>
      </c>
      <c r="AN153" t="s">
        <v>26</v>
      </c>
      <c r="AO153">
        <v>1.50494447626073</v>
      </c>
    </row>
    <row r="154" spans="25:41" x14ac:dyDescent="0.3">
      <c r="Y154" t="str">
        <f t="shared" si="12"/>
        <v>Pass</v>
      </c>
      <c r="Z154">
        <f t="shared" si="13"/>
        <v>8.9656580239534378E-3</v>
      </c>
      <c r="AA154">
        <v>0</v>
      </c>
      <c r="AB154">
        <v>25</v>
      </c>
      <c r="AC154">
        <v>50</v>
      </c>
      <c r="AD154" t="s">
        <v>25</v>
      </c>
      <c r="AE154">
        <v>8.9656584650703794E-3</v>
      </c>
      <c r="AK154" t="str">
        <f t="shared" si="14"/>
        <v>Pass</v>
      </c>
      <c r="AL154">
        <f t="shared" si="15"/>
        <v>1.5049444437026978</v>
      </c>
      <c r="AM154">
        <v>9800</v>
      </c>
      <c r="AN154" t="s">
        <v>25</v>
      </c>
      <c r="AO154">
        <v>1.50494447626073</v>
      </c>
    </row>
    <row r="155" spans="25:41" x14ac:dyDescent="0.3">
      <c r="Y155" t="str">
        <f t="shared" si="12"/>
        <v>Pass</v>
      </c>
      <c r="Z155">
        <f t="shared" si="13"/>
        <v>8.9656580239534378E-3</v>
      </c>
      <c r="AA155">
        <v>0</v>
      </c>
      <c r="AB155">
        <v>25</v>
      </c>
      <c r="AC155">
        <v>50</v>
      </c>
      <c r="AD155" t="s">
        <v>26</v>
      </c>
      <c r="AE155">
        <v>8.9656584650703794E-3</v>
      </c>
      <c r="AK155" t="str">
        <f t="shared" si="14"/>
        <v>Pass</v>
      </c>
      <c r="AL155">
        <f t="shared" si="15"/>
        <v>3.5742430686950684</v>
      </c>
      <c r="AM155">
        <v>9800</v>
      </c>
      <c r="AN155" t="s">
        <v>24</v>
      </c>
      <c r="AO155">
        <v>3.57424313111924</v>
      </c>
    </row>
    <row r="156" spans="25:41" x14ac:dyDescent="0.3">
      <c r="Y156" t="str">
        <f t="shared" si="12"/>
        <v>Pass</v>
      </c>
      <c r="Z156">
        <f t="shared" si="13"/>
        <v>1.9058752804994583E-2</v>
      </c>
      <c r="AA156">
        <v>0</v>
      </c>
      <c r="AB156">
        <v>25</v>
      </c>
      <c r="AC156">
        <v>60</v>
      </c>
      <c r="AD156" t="s">
        <v>24</v>
      </c>
      <c r="AE156">
        <v>1.9058753821487098E-2</v>
      </c>
      <c r="AK156" t="str">
        <f t="shared" si="14"/>
        <v>Pass</v>
      </c>
      <c r="AL156">
        <f t="shared" si="15"/>
        <v>1.5139404535293579</v>
      </c>
      <c r="AM156">
        <v>10000</v>
      </c>
      <c r="AN156" t="s">
        <v>26</v>
      </c>
      <c r="AO156">
        <v>1.51394042271915</v>
      </c>
    </row>
    <row r="157" spans="25:41" x14ac:dyDescent="0.3">
      <c r="Y157" t="str">
        <f t="shared" si="12"/>
        <v>Pass</v>
      </c>
      <c r="Z157">
        <f t="shared" si="13"/>
        <v>1.9058752804994583E-2</v>
      </c>
      <c r="AA157">
        <v>0</v>
      </c>
      <c r="AB157">
        <v>25</v>
      </c>
      <c r="AC157">
        <v>60</v>
      </c>
      <c r="AD157" t="s">
        <v>25</v>
      </c>
      <c r="AE157">
        <v>1.9058753821487098E-2</v>
      </c>
      <c r="AK157" t="str">
        <f t="shared" si="14"/>
        <v>Pass</v>
      </c>
      <c r="AL157">
        <f t="shared" si="15"/>
        <v>1.5139404535293579</v>
      </c>
      <c r="AM157">
        <v>10000</v>
      </c>
      <c r="AN157" t="s">
        <v>25</v>
      </c>
      <c r="AO157">
        <v>1.51394042271915</v>
      </c>
    </row>
    <row r="158" spans="25:41" x14ac:dyDescent="0.3">
      <c r="Y158" t="str">
        <f t="shared" si="12"/>
        <v>Pass</v>
      </c>
      <c r="Z158">
        <f t="shared" si="13"/>
        <v>1.9058752804994583E-2</v>
      </c>
      <c r="AA158">
        <v>0</v>
      </c>
      <c r="AB158">
        <v>25</v>
      </c>
      <c r="AC158">
        <v>60</v>
      </c>
      <c r="AD158" t="s">
        <v>26</v>
      </c>
      <c r="AE158">
        <v>1.9058753821487098E-2</v>
      </c>
      <c r="AK158" t="str">
        <f t="shared" si="14"/>
        <v>Pass</v>
      </c>
      <c r="AL158">
        <f t="shared" si="15"/>
        <v>3.5956084728240967</v>
      </c>
      <c r="AM158">
        <v>10000</v>
      </c>
      <c r="AN158" t="s">
        <v>24</v>
      </c>
      <c r="AO158">
        <v>3.5956085039579802</v>
      </c>
    </row>
    <row r="159" spans="25:41" x14ac:dyDescent="0.3">
      <c r="Y159" t="str">
        <f t="shared" si="12"/>
        <v>Pass</v>
      </c>
      <c r="Z159">
        <f t="shared" si="13"/>
        <v>3.2623700797557831E-2</v>
      </c>
      <c r="AA159">
        <v>0</v>
      </c>
      <c r="AB159">
        <v>25</v>
      </c>
      <c r="AC159">
        <v>70</v>
      </c>
      <c r="AD159" t="s">
        <v>24</v>
      </c>
      <c r="AE159">
        <v>3.26237011351432E-2</v>
      </c>
      <c r="AK159" t="str">
        <f t="shared" si="14"/>
        <v>Pass</v>
      </c>
      <c r="AL159">
        <f t="shared" si="15"/>
        <v>1.5228103399276733</v>
      </c>
      <c r="AM159">
        <v>10200</v>
      </c>
      <c r="AN159" t="s">
        <v>26</v>
      </c>
      <c r="AO159">
        <v>1.5228104051072999</v>
      </c>
    </row>
    <row r="160" spans="25:41" x14ac:dyDescent="0.3">
      <c r="Y160" t="str">
        <f t="shared" si="12"/>
        <v>Pass</v>
      </c>
      <c r="Z160">
        <f t="shared" si="13"/>
        <v>3.2623700797557831E-2</v>
      </c>
      <c r="AA160">
        <v>0</v>
      </c>
      <c r="AB160">
        <v>25</v>
      </c>
      <c r="AC160">
        <v>70</v>
      </c>
      <c r="AD160" t="s">
        <v>25</v>
      </c>
      <c r="AE160">
        <v>3.26237011351432E-2</v>
      </c>
      <c r="AK160" t="str">
        <f t="shared" si="14"/>
        <v>Pass</v>
      </c>
      <c r="AL160">
        <f t="shared" si="15"/>
        <v>1.5228103399276733</v>
      </c>
      <c r="AM160">
        <v>10200</v>
      </c>
      <c r="AN160" t="s">
        <v>25</v>
      </c>
      <c r="AO160">
        <v>1.5228104051072999</v>
      </c>
    </row>
    <row r="161" spans="25:41" x14ac:dyDescent="0.3">
      <c r="Y161" t="str">
        <f t="shared" si="12"/>
        <v>Pass</v>
      </c>
      <c r="Z161">
        <f t="shared" si="13"/>
        <v>3.2623700797557831E-2</v>
      </c>
      <c r="AA161">
        <v>0</v>
      </c>
      <c r="AB161">
        <v>25</v>
      </c>
      <c r="AC161">
        <v>70</v>
      </c>
      <c r="AD161" t="s">
        <v>26</v>
      </c>
      <c r="AE161">
        <v>3.26237011351432E-2</v>
      </c>
      <c r="AK161" t="str">
        <f t="shared" si="14"/>
        <v>Pass</v>
      </c>
      <c r="AL161">
        <f t="shared" si="15"/>
        <v>3.6166746616363525</v>
      </c>
      <c r="AM161">
        <v>10200</v>
      </c>
      <c r="AN161" t="s">
        <v>24</v>
      </c>
      <c r="AO161">
        <v>3.6166747121298402</v>
      </c>
    </row>
    <row r="162" spans="25:41" x14ac:dyDescent="0.3">
      <c r="Y162" t="str">
        <f t="shared" si="12"/>
        <v>Pass</v>
      </c>
      <c r="Z162">
        <f t="shared" si="13"/>
        <v>4.425865039229393E-2</v>
      </c>
      <c r="AA162">
        <v>0</v>
      </c>
      <c r="AB162">
        <v>25</v>
      </c>
      <c r="AC162">
        <v>80</v>
      </c>
      <c r="AD162" t="s">
        <v>24</v>
      </c>
      <c r="AE162">
        <v>4.4258649663318099E-2</v>
      </c>
      <c r="AK162" t="str">
        <f t="shared" si="14"/>
        <v>Pass</v>
      </c>
      <c r="AL162">
        <f t="shared" si="15"/>
        <v>1.531558632850647</v>
      </c>
      <c r="AM162">
        <v>10400</v>
      </c>
      <c r="AN162" t="s">
        <v>26</v>
      </c>
      <c r="AO162">
        <v>1.5315586061411901</v>
      </c>
    </row>
    <row r="163" spans="25:41" x14ac:dyDescent="0.3">
      <c r="Y163" t="str">
        <f t="shared" si="12"/>
        <v>Pass</v>
      </c>
      <c r="Z163">
        <f t="shared" si="13"/>
        <v>4.425865039229393E-2</v>
      </c>
      <c r="AA163">
        <v>0</v>
      </c>
      <c r="AB163">
        <v>25</v>
      </c>
      <c r="AC163">
        <v>80</v>
      </c>
      <c r="AD163" t="s">
        <v>25</v>
      </c>
      <c r="AE163">
        <v>4.4258649663318099E-2</v>
      </c>
      <c r="AK163" t="str">
        <f t="shared" si="14"/>
        <v>Pass</v>
      </c>
      <c r="AL163">
        <f t="shared" si="15"/>
        <v>1.531558632850647</v>
      </c>
      <c r="AM163">
        <v>10400</v>
      </c>
      <c r="AN163" t="s">
        <v>25</v>
      </c>
      <c r="AO163">
        <v>1.5315586061411901</v>
      </c>
    </row>
    <row r="164" spans="25:41" x14ac:dyDescent="0.3">
      <c r="Y164" t="str">
        <f t="shared" si="12"/>
        <v>Pass</v>
      </c>
      <c r="Z164">
        <f t="shared" si="13"/>
        <v>4.425865039229393E-2</v>
      </c>
      <c r="AA164">
        <v>0</v>
      </c>
      <c r="AB164">
        <v>25</v>
      </c>
      <c r="AC164">
        <v>80</v>
      </c>
      <c r="AD164" t="s">
        <v>26</v>
      </c>
      <c r="AE164">
        <v>4.4258649663318099E-2</v>
      </c>
      <c r="AK164" t="str">
        <f t="shared" si="14"/>
        <v>Pass</v>
      </c>
      <c r="AL164">
        <f t="shared" si="15"/>
        <v>3.6374516487121582</v>
      </c>
      <c r="AM164">
        <v>10400</v>
      </c>
      <c r="AN164" t="s">
        <v>24</v>
      </c>
      <c r="AO164">
        <v>3.6374516895853302</v>
      </c>
    </row>
    <row r="165" spans="25:41" x14ac:dyDescent="0.3">
      <c r="Y165" t="str">
        <f t="shared" si="12"/>
        <v>Pass</v>
      </c>
      <c r="Z165">
        <f t="shared" si="13"/>
        <v>5.0973180681467056E-2</v>
      </c>
      <c r="AA165">
        <v>0</v>
      </c>
      <c r="AB165">
        <v>25</v>
      </c>
      <c r="AC165">
        <v>90</v>
      </c>
      <c r="AD165" t="s">
        <v>24</v>
      </c>
      <c r="AE165">
        <v>5.0973180362673197E-2</v>
      </c>
      <c r="AK165" t="str">
        <f t="shared" si="14"/>
        <v>Pass</v>
      </c>
      <c r="AL165">
        <f t="shared" si="15"/>
        <v>1.5401890277862549</v>
      </c>
      <c r="AM165">
        <v>10600</v>
      </c>
      <c r="AN165" t="s">
        <v>26</v>
      </c>
      <c r="AO165">
        <v>1.5401889923878</v>
      </c>
    </row>
    <row r="166" spans="25:41" x14ac:dyDescent="0.3">
      <c r="Y166" t="str">
        <f t="shared" si="12"/>
        <v>Pass</v>
      </c>
      <c r="Z166">
        <f t="shared" si="13"/>
        <v>5.0973180681467056E-2</v>
      </c>
      <c r="AA166">
        <v>0</v>
      </c>
      <c r="AB166">
        <v>25</v>
      </c>
      <c r="AC166">
        <v>90</v>
      </c>
      <c r="AD166" t="s">
        <v>25</v>
      </c>
      <c r="AE166">
        <v>5.0973180362673197E-2</v>
      </c>
      <c r="AK166" t="str">
        <f t="shared" si="14"/>
        <v>Pass</v>
      </c>
      <c r="AL166">
        <f t="shared" si="15"/>
        <v>1.5401890277862549</v>
      </c>
      <c r="AM166">
        <v>10600</v>
      </c>
      <c r="AN166" t="s">
        <v>25</v>
      </c>
      <c r="AO166">
        <v>1.5401889923878</v>
      </c>
    </row>
    <row r="167" spans="25:41" x14ac:dyDescent="0.3">
      <c r="Y167" t="str">
        <f t="shared" si="12"/>
        <v>Pass</v>
      </c>
      <c r="Z167">
        <f t="shared" si="13"/>
        <v>5.0973180681467056E-2</v>
      </c>
      <c r="AA167">
        <v>0</v>
      </c>
      <c r="AB167">
        <v>25</v>
      </c>
      <c r="AC167">
        <v>90</v>
      </c>
      <c r="AD167" t="s">
        <v>26</v>
      </c>
      <c r="AE167">
        <v>5.0973180362673197E-2</v>
      </c>
      <c r="AK167" t="str">
        <f t="shared" si="14"/>
        <v>Pass</v>
      </c>
      <c r="AL167">
        <f t="shared" si="15"/>
        <v>3.6579487323760986</v>
      </c>
      <c r="AM167">
        <v>10600</v>
      </c>
      <c r="AN167" t="s">
        <v>24</v>
      </c>
      <c r="AO167">
        <v>3.6579488569210299</v>
      </c>
    </row>
    <row r="168" spans="25:41" x14ac:dyDescent="0.3">
      <c r="Y168" t="str">
        <f t="shared" si="12"/>
        <v>Pass</v>
      </c>
      <c r="Z168">
        <f t="shared" si="13"/>
        <v>5.3999021649360657E-2</v>
      </c>
      <c r="AA168">
        <v>0</v>
      </c>
      <c r="AB168">
        <v>25</v>
      </c>
      <c r="AC168">
        <v>100</v>
      </c>
      <c r="AD168" t="s">
        <v>24</v>
      </c>
      <c r="AE168">
        <v>5.39990212609716E-2</v>
      </c>
      <c r="AK168" t="str">
        <f t="shared" si="14"/>
        <v>Pass</v>
      </c>
      <c r="AL168">
        <f t="shared" si="15"/>
        <v>1.5487053394317627</v>
      </c>
      <c r="AM168">
        <v>10800</v>
      </c>
      <c r="AN168" t="s">
        <v>26</v>
      </c>
      <c r="AO168">
        <v>1.5487053292780599</v>
      </c>
    </row>
    <row r="169" spans="25:41" x14ac:dyDescent="0.3">
      <c r="Y169" t="str">
        <f t="shared" si="12"/>
        <v>Pass</v>
      </c>
      <c r="Z169">
        <f t="shared" si="13"/>
        <v>5.3999021649360657E-2</v>
      </c>
      <c r="AA169">
        <v>0</v>
      </c>
      <c r="AB169">
        <v>25</v>
      </c>
      <c r="AC169">
        <v>100</v>
      </c>
      <c r="AD169" t="s">
        <v>25</v>
      </c>
      <c r="AE169">
        <v>5.39990212609716E-2</v>
      </c>
      <c r="AK169" t="str">
        <f t="shared" si="14"/>
        <v>Pass</v>
      </c>
      <c r="AL169">
        <f t="shared" si="15"/>
        <v>1.5487053394317627</v>
      </c>
      <c r="AM169">
        <v>10800</v>
      </c>
      <c r="AN169" t="s">
        <v>25</v>
      </c>
      <c r="AO169">
        <v>1.5487053292780599</v>
      </c>
    </row>
    <row r="170" spans="25:41" x14ac:dyDescent="0.3">
      <c r="Y170" t="str">
        <f t="shared" si="12"/>
        <v>Pass</v>
      </c>
      <c r="Z170">
        <f t="shared" si="13"/>
        <v>5.3999021649360657E-2</v>
      </c>
      <c r="AA170">
        <v>0</v>
      </c>
      <c r="AB170">
        <v>25</v>
      </c>
      <c r="AC170">
        <v>100</v>
      </c>
      <c r="AD170" t="s">
        <v>26</v>
      </c>
      <c r="AE170">
        <v>5.39990212609716E-2</v>
      </c>
      <c r="AK170" t="str">
        <f t="shared" si="14"/>
        <v>Pass</v>
      </c>
      <c r="AL170">
        <f t="shared" si="15"/>
        <v>3.6781752109527588</v>
      </c>
      <c r="AM170">
        <v>10800</v>
      </c>
      <c r="AN170" t="s">
        <v>24</v>
      </c>
      <c r="AO170">
        <v>3.67817515703541</v>
      </c>
    </row>
    <row r="171" spans="25:41" x14ac:dyDescent="0.3">
      <c r="Y171" t="str">
        <f t="shared" si="12"/>
        <v>Pass</v>
      </c>
      <c r="Z171">
        <f t="shared" si="13"/>
        <v>7.3296316259074956E-5</v>
      </c>
      <c r="AA171">
        <v>0</v>
      </c>
      <c r="AB171">
        <v>30</v>
      </c>
      <c r="AC171">
        <v>0</v>
      </c>
      <c r="AD171" t="s">
        <v>24</v>
      </c>
      <c r="AE171">
        <v>7.3296313413142794E-5</v>
      </c>
      <c r="AK171" t="str">
        <f t="shared" si="14"/>
        <v>Pass</v>
      </c>
      <c r="AL171">
        <f t="shared" si="15"/>
        <v>1.5571111440658569</v>
      </c>
      <c r="AM171">
        <v>11000</v>
      </c>
      <c r="AN171" t="s">
        <v>26</v>
      </c>
      <c r="AO171">
        <v>1.5571111948199901</v>
      </c>
    </row>
    <row r="172" spans="25:41" x14ac:dyDescent="0.3">
      <c r="Y172" t="str">
        <f t="shared" si="12"/>
        <v>Pass</v>
      </c>
      <c r="Z172">
        <f t="shared" si="13"/>
        <v>7.3296316259074956E-5</v>
      </c>
      <c r="AA172">
        <v>0</v>
      </c>
      <c r="AB172">
        <v>30</v>
      </c>
      <c r="AC172">
        <v>0</v>
      </c>
      <c r="AD172" t="s">
        <v>25</v>
      </c>
      <c r="AE172">
        <v>7.3296313413142794E-5</v>
      </c>
      <c r="AK172" t="str">
        <f t="shared" si="14"/>
        <v>Pass</v>
      </c>
      <c r="AL172">
        <f t="shared" si="15"/>
        <v>1.5571111440658569</v>
      </c>
      <c r="AM172">
        <v>11000</v>
      </c>
      <c r="AN172" t="s">
        <v>25</v>
      </c>
      <c r="AO172">
        <v>1.5571111948199901</v>
      </c>
    </row>
    <row r="173" spans="25:41" x14ac:dyDescent="0.3">
      <c r="Y173" t="str">
        <f t="shared" si="12"/>
        <v>Pass</v>
      </c>
      <c r="Z173">
        <f t="shared" si="13"/>
        <v>7.3296316259074956E-5</v>
      </c>
      <c r="AA173">
        <v>0</v>
      </c>
      <c r="AB173">
        <v>30</v>
      </c>
      <c r="AC173">
        <v>0</v>
      </c>
      <c r="AD173" t="s">
        <v>26</v>
      </c>
      <c r="AE173">
        <v>7.3296313413142794E-5</v>
      </c>
      <c r="AK173" t="str">
        <f t="shared" si="14"/>
        <v>Pass</v>
      </c>
      <c r="AL173">
        <f t="shared" si="15"/>
        <v>3.6981391906738281</v>
      </c>
      <c r="AM173">
        <v>11000</v>
      </c>
      <c r="AN173" t="s">
        <v>24</v>
      </c>
      <c r="AO173">
        <v>3.69813908769747</v>
      </c>
    </row>
    <row r="174" spans="25:41" x14ac:dyDescent="0.3">
      <c r="Y174" t="str">
        <f t="shared" si="12"/>
        <v>Pass</v>
      </c>
      <c r="Z174">
        <f t="shared" si="13"/>
        <v>1.9800174050033092E-4</v>
      </c>
      <c r="AA174">
        <v>0</v>
      </c>
      <c r="AB174">
        <v>30</v>
      </c>
      <c r="AC174">
        <v>10</v>
      </c>
      <c r="AD174" t="s">
        <v>24</v>
      </c>
      <c r="AE174">
        <v>1.9800173285869401E-4</v>
      </c>
      <c r="AK174" t="str">
        <f t="shared" si="14"/>
        <v>Pass</v>
      </c>
      <c r="AL174">
        <f t="shared" si="15"/>
        <v>1.5654100179672241</v>
      </c>
      <c r="AM174">
        <v>11200</v>
      </c>
      <c r="AN174" t="s">
        <v>26</v>
      </c>
      <c r="AO174">
        <v>1.56540999214587</v>
      </c>
    </row>
    <row r="175" spans="25:41" x14ac:dyDescent="0.3">
      <c r="Y175" t="str">
        <f t="shared" si="12"/>
        <v>Pass</v>
      </c>
      <c r="Z175">
        <f t="shared" si="13"/>
        <v>1.9800174050033092E-4</v>
      </c>
      <c r="AA175">
        <v>0</v>
      </c>
      <c r="AB175">
        <v>30</v>
      </c>
      <c r="AC175">
        <v>10</v>
      </c>
      <c r="AD175" t="s">
        <v>25</v>
      </c>
      <c r="AE175">
        <v>1.9800173285869401E-4</v>
      </c>
      <c r="AK175" t="str">
        <f t="shared" si="14"/>
        <v>Pass</v>
      </c>
      <c r="AL175">
        <f t="shared" si="15"/>
        <v>1.5654100179672241</v>
      </c>
      <c r="AM175">
        <v>11200</v>
      </c>
      <c r="AN175" t="s">
        <v>25</v>
      </c>
      <c r="AO175">
        <v>1.56540999214587</v>
      </c>
    </row>
    <row r="176" spans="25:41" x14ac:dyDescent="0.3">
      <c r="Y176" t="str">
        <f t="shared" si="12"/>
        <v>Pass</v>
      </c>
      <c r="Z176">
        <f t="shared" si="13"/>
        <v>1.9800174050033092E-4</v>
      </c>
      <c r="AA176">
        <v>0</v>
      </c>
      <c r="AB176">
        <v>30</v>
      </c>
      <c r="AC176">
        <v>10</v>
      </c>
      <c r="AD176" t="s">
        <v>26</v>
      </c>
      <c r="AE176">
        <v>1.9800173285869401E-4</v>
      </c>
      <c r="AK176" t="str">
        <f t="shared" si="14"/>
        <v>Pass</v>
      </c>
      <c r="AL176">
        <f t="shared" si="15"/>
        <v>3.7178487777709961</v>
      </c>
      <c r="AM176">
        <v>11200</v>
      </c>
      <c r="AN176" t="s">
        <v>24</v>
      </c>
      <c r="AO176">
        <v>3.7178487313464399</v>
      </c>
    </row>
    <row r="177" spans="25:41" x14ac:dyDescent="0.3">
      <c r="Y177" t="str">
        <f t="shared" si="12"/>
        <v>Pass</v>
      </c>
      <c r="Z177">
        <f t="shared" si="13"/>
        <v>5.3285586182028055E-4</v>
      </c>
      <c r="AA177">
        <v>0</v>
      </c>
      <c r="AB177">
        <v>30</v>
      </c>
      <c r="AC177">
        <v>20</v>
      </c>
      <c r="AD177" t="s">
        <v>24</v>
      </c>
      <c r="AE177">
        <v>5.3285582299097902E-4</v>
      </c>
      <c r="AK177" t="str">
        <f t="shared" si="14"/>
        <v>Pass</v>
      </c>
      <c r="AL177">
        <f t="shared" si="15"/>
        <v>1.573604941368103</v>
      </c>
      <c r="AM177">
        <v>11400</v>
      </c>
      <c r="AN177" t="s">
        <v>26</v>
      </c>
      <c r="AO177">
        <v>1.57360496101174</v>
      </c>
    </row>
    <row r="178" spans="25:41" x14ac:dyDescent="0.3">
      <c r="Y178" t="str">
        <f t="shared" si="12"/>
        <v>Pass</v>
      </c>
      <c r="Z178">
        <f t="shared" si="13"/>
        <v>5.3285586182028055E-4</v>
      </c>
      <c r="AA178">
        <v>0</v>
      </c>
      <c r="AB178">
        <v>30</v>
      </c>
      <c r="AC178">
        <v>20</v>
      </c>
      <c r="AD178" t="s">
        <v>25</v>
      </c>
      <c r="AE178">
        <v>5.3285582299097902E-4</v>
      </c>
      <c r="AK178" t="str">
        <f t="shared" si="14"/>
        <v>Pass</v>
      </c>
      <c r="AL178">
        <f t="shared" si="15"/>
        <v>1.573604941368103</v>
      </c>
      <c r="AM178">
        <v>11400</v>
      </c>
      <c r="AN178" t="s">
        <v>25</v>
      </c>
      <c r="AO178">
        <v>1.57360496101174</v>
      </c>
    </row>
    <row r="179" spans="25:41" x14ac:dyDescent="0.3">
      <c r="Y179" t="str">
        <f t="shared" si="12"/>
        <v>Pass</v>
      </c>
      <c r="Z179">
        <f t="shared" si="13"/>
        <v>5.3285586182028055E-4</v>
      </c>
      <c r="AA179">
        <v>0</v>
      </c>
      <c r="AB179">
        <v>30</v>
      </c>
      <c r="AC179">
        <v>20</v>
      </c>
      <c r="AD179" t="s">
        <v>26</v>
      </c>
      <c r="AE179">
        <v>5.3285582299097902E-4</v>
      </c>
      <c r="AK179" t="str">
        <f t="shared" si="14"/>
        <v>Pass</v>
      </c>
      <c r="AL179">
        <f t="shared" si="15"/>
        <v>3.737311840057373</v>
      </c>
      <c r="AM179">
        <v>11400</v>
      </c>
      <c r="AN179" t="s">
        <v>24</v>
      </c>
      <c r="AO179">
        <v>3.7373117824028901</v>
      </c>
    </row>
    <row r="180" spans="25:41" x14ac:dyDescent="0.3">
      <c r="Y180" t="str">
        <f t="shared" si="12"/>
        <v>Pass</v>
      </c>
      <c r="Z180">
        <f t="shared" si="13"/>
        <v>1.4195834519341588E-3</v>
      </c>
      <c r="AA180">
        <v>0</v>
      </c>
      <c r="AB180">
        <v>30</v>
      </c>
      <c r="AC180">
        <v>30</v>
      </c>
      <c r="AD180" t="s">
        <v>24</v>
      </c>
      <c r="AE180">
        <v>1.4195834549933701E-3</v>
      </c>
      <c r="AK180" t="str">
        <f t="shared" si="14"/>
        <v>Pass</v>
      </c>
      <c r="AL180">
        <f t="shared" si="15"/>
        <v>1.5816992521286011</v>
      </c>
      <c r="AM180">
        <v>11600</v>
      </c>
      <c r="AN180" t="s">
        <v>26</v>
      </c>
      <c r="AO180">
        <v>1.5816991883532601</v>
      </c>
    </row>
    <row r="181" spans="25:41" x14ac:dyDescent="0.3">
      <c r="Y181" t="str">
        <f t="shared" si="12"/>
        <v>Pass</v>
      </c>
      <c r="Z181">
        <f t="shared" si="13"/>
        <v>1.4195834519341588E-3</v>
      </c>
      <c r="AA181">
        <v>0</v>
      </c>
      <c r="AB181">
        <v>30</v>
      </c>
      <c r="AC181">
        <v>30</v>
      </c>
      <c r="AD181" t="s">
        <v>25</v>
      </c>
      <c r="AE181">
        <v>1.4195834549933701E-3</v>
      </c>
      <c r="AK181" t="str">
        <f t="shared" si="14"/>
        <v>Pass</v>
      </c>
      <c r="AL181">
        <f t="shared" si="15"/>
        <v>1.5816992521286011</v>
      </c>
      <c r="AM181">
        <v>11600</v>
      </c>
      <c r="AN181" t="s">
        <v>25</v>
      </c>
      <c r="AO181">
        <v>1.5816991883532601</v>
      </c>
    </row>
    <row r="182" spans="25:41" x14ac:dyDescent="0.3">
      <c r="Y182" t="str">
        <f t="shared" si="12"/>
        <v>Pass</v>
      </c>
      <c r="Z182">
        <f t="shared" si="13"/>
        <v>1.4195834519341588E-3</v>
      </c>
      <c r="AA182">
        <v>0</v>
      </c>
      <c r="AB182">
        <v>30</v>
      </c>
      <c r="AC182">
        <v>30</v>
      </c>
      <c r="AD182" t="s">
        <v>26</v>
      </c>
      <c r="AE182">
        <v>1.4195834549933701E-3</v>
      </c>
      <c r="AK182" t="str">
        <f t="shared" si="14"/>
        <v>Pass</v>
      </c>
      <c r="AL182">
        <f t="shared" si="15"/>
        <v>3.756535530090332</v>
      </c>
      <c r="AM182">
        <v>11600</v>
      </c>
      <c r="AN182" t="s">
        <v>24</v>
      </c>
      <c r="AO182">
        <v>3.7565355723389899</v>
      </c>
    </row>
    <row r="183" spans="25:41" x14ac:dyDescent="0.3">
      <c r="Y183" t="str">
        <f t="shared" si="12"/>
        <v>Pass</v>
      </c>
      <c r="Z183">
        <f t="shared" si="13"/>
        <v>3.6838175728917122E-3</v>
      </c>
      <c r="AA183">
        <v>0</v>
      </c>
      <c r="AB183">
        <v>30</v>
      </c>
      <c r="AC183">
        <v>40</v>
      </c>
      <c r="AD183" t="s">
        <v>24</v>
      </c>
      <c r="AE183">
        <v>3.6838176696650802E-3</v>
      </c>
      <c r="AK183" t="str">
        <f t="shared" si="14"/>
        <v>Pass</v>
      </c>
      <c r="AL183">
        <f t="shared" si="15"/>
        <v>1.5896955728530884</v>
      </c>
      <c r="AM183">
        <v>11800</v>
      </c>
      <c r="AN183" t="s">
        <v>26</v>
      </c>
      <c r="AO183">
        <v>1.5896956179902499</v>
      </c>
    </row>
    <row r="184" spans="25:41" x14ac:dyDescent="0.3">
      <c r="Y184" t="str">
        <f t="shared" si="12"/>
        <v>Pass</v>
      </c>
      <c r="Z184">
        <f t="shared" si="13"/>
        <v>3.6838175728917122E-3</v>
      </c>
      <c r="AA184">
        <v>0</v>
      </c>
      <c r="AB184">
        <v>30</v>
      </c>
      <c r="AC184">
        <v>40</v>
      </c>
      <c r="AD184" t="s">
        <v>25</v>
      </c>
      <c r="AE184">
        <v>3.6838176696650802E-3</v>
      </c>
      <c r="AK184" t="str">
        <f t="shared" si="14"/>
        <v>Pass</v>
      </c>
      <c r="AL184">
        <f t="shared" si="15"/>
        <v>1.5896955728530884</v>
      </c>
      <c r="AM184">
        <v>11800</v>
      </c>
      <c r="AN184" t="s">
        <v>25</v>
      </c>
      <c r="AO184">
        <v>1.5896956179902499</v>
      </c>
    </row>
    <row r="185" spans="25:41" x14ac:dyDescent="0.3">
      <c r="Y185" t="str">
        <f t="shared" si="12"/>
        <v>Pass</v>
      </c>
      <c r="Z185">
        <f t="shared" si="13"/>
        <v>3.6838175728917122E-3</v>
      </c>
      <c r="AA185">
        <v>0</v>
      </c>
      <c r="AB185">
        <v>30</v>
      </c>
      <c r="AC185">
        <v>40</v>
      </c>
      <c r="AD185" t="s">
        <v>26</v>
      </c>
      <c r="AE185">
        <v>3.6838176696650802E-3</v>
      </c>
      <c r="AK185" t="str">
        <f t="shared" si="14"/>
        <v>Pass</v>
      </c>
      <c r="AL185">
        <f t="shared" si="15"/>
        <v>3.7755270004272461</v>
      </c>
      <c r="AM185">
        <v>11800</v>
      </c>
      <c r="AN185" t="s">
        <v>24</v>
      </c>
      <c r="AO185">
        <v>3.7755270927268398</v>
      </c>
    </row>
    <row r="186" spans="25:41" x14ac:dyDescent="0.3">
      <c r="Y186" t="str">
        <f t="shared" si="12"/>
        <v>Pass</v>
      </c>
      <c r="Z186">
        <f t="shared" si="13"/>
        <v>8.9656580239534378E-3</v>
      </c>
      <c r="AA186">
        <v>0</v>
      </c>
      <c r="AB186">
        <v>30</v>
      </c>
      <c r="AC186">
        <v>50</v>
      </c>
      <c r="AD186" t="s">
        <v>24</v>
      </c>
      <c r="AE186">
        <v>8.9656584650703794E-3</v>
      </c>
      <c r="AK186" t="str">
        <f t="shared" si="14"/>
        <v>Pass</v>
      </c>
      <c r="AL186">
        <f t="shared" si="15"/>
        <v>1.5975970029830933</v>
      </c>
      <c r="AM186">
        <v>12000</v>
      </c>
      <c r="AN186" t="s">
        <v>26</v>
      </c>
      <c r="AO186">
        <v>1.59759705956189</v>
      </c>
    </row>
    <row r="187" spans="25:41" x14ac:dyDescent="0.3">
      <c r="Y187" t="str">
        <f t="shared" si="12"/>
        <v>Pass</v>
      </c>
      <c r="Z187">
        <f t="shared" si="13"/>
        <v>8.9656580239534378E-3</v>
      </c>
      <c r="AA187">
        <v>0</v>
      </c>
      <c r="AB187">
        <v>30</v>
      </c>
      <c r="AC187">
        <v>50</v>
      </c>
      <c r="AD187" t="s">
        <v>25</v>
      </c>
      <c r="AE187">
        <v>8.9656584650703794E-3</v>
      </c>
      <c r="AK187" t="str">
        <f t="shared" si="14"/>
        <v>Pass</v>
      </c>
      <c r="AL187">
        <f t="shared" si="15"/>
        <v>1.5975970029830933</v>
      </c>
      <c r="AM187">
        <v>12000</v>
      </c>
      <c r="AN187" t="s">
        <v>25</v>
      </c>
      <c r="AO187">
        <v>1.59759705956189</v>
      </c>
    </row>
    <row r="188" spans="25:41" x14ac:dyDescent="0.3">
      <c r="Y188" t="str">
        <f t="shared" si="12"/>
        <v>Pass</v>
      </c>
      <c r="Z188">
        <f t="shared" si="13"/>
        <v>8.9656580239534378E-3</v>
      </c>
      <c r="AA188">
        <v>0</v>
      </c>
      <c r="AB188">
        <v>30</v>
      </c>
      <c r="AC188">
        <v>50</v>
      </c>
      <c r="AD188" t="s">
        <v>26</v>
      </c>
      <c r="AE188">
        <v>8.9656584650703794E-3</v>
      </c>
      <c r="AK188" t="str">
        <f t="shared" si="14"/>
        <v>Pass</v>
      </c>
      <c r="AL188">
        <f t="shared" si="15"/>
        <v>3.7942929267883301</v>
      </c>
      <c r="AM188">
        <v>12000</v>
      </c>
      <c r="AN188" t="s">
        <v>24</v>
      </c>
      <c r="AO188">
        <v>3.7942930164594899</v>
      </c>
    </row>
    <row r="189" spans="25:41" x14ac:dyDescent="0.3">
      <c r="Y189" t="str">
        <f t="shared" si="12"/>
        <v>Pass</v>
      </c>
      <c r="Z189">
        <f t="shared" si="13"/>
        <v>1.9058752804994583E-2</v>
      </c>
      <c r="AA189">
        <v>0</v>
      </c>
      <c r="AB189">
        <v>30</v>
      </c>
      <c r="AC189">
        <v>60</v>
      </c>
      <c r="AD189" t="s">
        <v>24</v>
      </c>
      <c r="AE189">
        <v>1.9058753821487098E-2</v>
      </c>
      <c r="AK189" t="str">
        <f t="shared" si="14"/>
        <v>Pass</v>
      </c>
      <c r="AL189">
        <f t="shared" si="15"/>
        <v>1.6054061651229858</v>
      </c>
      <c r="AM189">
        <v>12200</v>
      </c>
      <c r="AN189" t="s">
        <v>26</v>
      </c>
      <c r="AO189">
        <v>1.6054061967651201</v>
      </c>
    </row>
    <row r="190" spans="25:41" x14ac:dyDescent="0.3">
      <c r="Y190" t="str">
        <f t="shared" si="12"/>
        <v>Pass</v>
      </c>
      <c r="Z190">
        <f t="shared" si="13"/>
        <v>1.9058752804994583E-2</v>
      </c>
      <c r="AA190">
        <v>0</v>
      </c>
      <c r="AB190">
        <v>30</v>
      </c>
      <c r="AC190">
        <v>60</v>
      </c>
      <c r="AD190" t="s">
        <v>25</v>
      </c>
      <c r="AE190">
        <v>1.9058753821487098E-2</v>
      </c>
      <c r="AK190" t="str">
        <f t="shared" si="14"/>
        <v>Pass</v>
      </c>
      <c r="AL190">
        <f t="shared" si="15"/>
        <v>1.6054061651229858</v>
      </c>
      <c r="AM190">
        <v>12200</v>
      </c>
      <c r="AN190" t="s">
        <v>25</v>
      </c>
      <c r="AO190">
        <v>1.6054061967651201</v>
      </c>
    </row>
    <row r="191" spans="25:41" x14ac:dyDescent="0.3">
      <c r="Y191" t="str">
        <f t="shared" si="12"/>
        <v>Pass</v>
      </c>
      <c r="Z191">
        <f t="shared" si="13"/>
        <v>1.9058752804994583E-2</v>
      </c>
      <c r="AA191">
        <v>0</v>
      </c>
      <c r="AB191">
        <v>30</v>
      </c>
      <c r="AC191">
        <v>60</v>
      </c>
      <c r="AD191" t="s">
        <v>26</v>
      </c>
      <c r="AE191">
        <v>1.9058753821487098E-2</v>
      </c>
      <c r="AK191" t="str">
        <f t="shared" si="14"/>
        <v>Pass</v>
      </c>
      <c r="AL191">
        <f t="shared" si="15"/>
        <v>3.8128397464752197</v>
      </c>
      <c r="AM191">
        <v>12200</v>
      </c>
      <c r="AN191" t="s">
        <v>24</v>
      </c>
      <c r="AO191">
        <v>3.8128397173171802</v>
      </c>
    </row>
    <row r="192" spans="25:41" x14ac:dyDescent="0.3">
      <c r="Y192" t="str">
        <f t="shared" si="12"/>
        <v>Pass</v>
      </c>
      <c r="Z192">
        <f t="shared" si="13"/>
        <v>3.2623700797557831E-2</v>
      </c>
      <c r="AA192">
        <v>0</v>
      </c>
      <c r="AB192">
        <v>30</v>
      </c>
      <c r="AC192">
        <v>70</v>
      </c>
      <c r="AD192" t="s">
        <v>24</v>
      </c>
      <c r="AE192">
        <v>3.26237011351432E-2</v>
      </c>
      <c r="AK192" t="str">
        <f t="shared" si="14"/>
        <v>Pass</v>
      </c>
      <c r="AL192">
        <f t="shared" si="15"/>
        <v>1.6131255626678467</v>
      </c>
      <c r="AM192">
        <v>12400</v>
      </c>
      <c r="AN192" t="s">
        <v>26</v>
      </c>
      <c r="AO192">
        <v>1.61312559496125</v>
      </c>
    </row>
    <row r="193" spans="25:41" x14ac:dyDescent="0.3">
      <c r="Y193" t="str">
        <f t="shared" si="12"/>
        <v>Pass</v>
      </c>
      <c r="Z193">
        <f t="shared" si="13"/>
        <v>3.2623700797557831E-2</v>
      </c>
      <c r="AA193">
        <v>0</v>
      </c>
      <c r="AB193">
        <v>30</v>
      </c>
      <c r="AC193">
        <v>70</v>
      </c>
      <c r="AD193" t="s">
        <v>25</v>
      </c>
      <c r="AE193">
        <v>3.26237011351432E-2</v>
      </c>
      <c r="AK193" t="str">
        <f t="shared" si="14"/>
        <v>Pass</v>
      </c>
      <c r="AL193">
        <f t="shared" si="15"/>
        <v>1.6131255626678467</v>
      </c>
      <c r="AM193">
        <v>12400</v>
      </c>
      <c r="AN193" t="s">
        <v>25</v>
      </c>
      <c r="AO193">
        <v>1.61312559496125</v>
      </c>
    </row>
    <row r="194" spans="25:41" x14ac:dyDescent="0.3">
      <c r="Y194" t="str">
        <f t="shared" si="12"/>
        <v>Pass</v>
      </c>
      <c r="Z194">
        <f t="shared" si="13"/>
        <v>3.2623700797557831E-2</v>
      </c>
      <c r="AA194">
        <v>0</v>
      </c>
      <c r="AB194">
        <v>30</v>
      </c>
      <c r="AC194">
        <v>70</v>
      </c>
      <c r="AD194" t="s">
        <v>26</v>
      </c>
      <c r="AE194">
        <v>3.26237011351432E-2</v>
      </c>
      <c r="AK194" t="str">
        <f t="shared" si="14"/>
        <v>Pass</v>
      </c>
      <c r="AL194">
        <f t="shared" si="15"/>
        <v>3.8311731815338135</v>
      </c>
      <c r="AM194">
        <v>12400</v>
      </c>
      <c r="AN194" t="s">
        <v>24</v>
      </c>
      <c r="AO194">
        <v>3.8311732880329701</v>
      </c>
    </row>
    <row r="195" spans="25:41" x14ac:dyDescent="0.3">
      <c r="Y195" t="str">
        <f t="shared" si="12"/>
        <v>Pass</v>
      </c>
      <c r="Z195">
        <f t="shared" si="13"/>
        <v>4.425865039229393E-2</v>
      </c>
      <c r="AA195">
        <v>0</v>
      </c>
      <c r="AB195">
        <v>30</v>
      </c>
      <c r="AC195">
        <v>80</v>
      </c>
      <c r="AD195" t="s">
        <v>24</v>
      </c>
      <c r="AE195">
        <v>4.4258649663318099E-2</v>
      </c>
      <c r="AK195" t="str">
        <f t="shared" si="14"/>
        <v>Pass</v>
      </c>
      <c r="AL195">
        <f t="shared" si="15"/>
        <v>1.6207576990127563</v>
      </c>
      <c r="AM195">
        <v>12600</v>
      </c>
      <c r="AN195" t="s">
        <v>26</v>
      </c>
      <c r="AO195">
        <v>1.62075770820835</v>
      </c>
    </row>
    <row r="196" spans="25:41" x14ac:dyDescent="0.3">
      <c r="Y196" t="str">
        <f t="shared" si="12"/>
        <v>Pass</v>
      </c>
      <c r="Z196">
        <f t="shared" si="13"/>
        <v>4.425865039229393E-2</v>
      </c>
      <c r="AA196">
        <v>0</v>
      </c>
      <c r="AB196">
        <v>30</v>
      </c>
      <c r="AC196">
        <v>80</v>
      </c>
      <c r="AD196" t="s">
        <v>25</v>
      </c>
      <c r="AE196">
        <v>4.4258649663318099E-2</v>
      </c>
      <c r="AK196" t="str">
        <f t="shared" si="14"/>
        <v>Pass</v>
      </c>
      <c r="AL196">
        <f t="shared" si="15"/>
        <v>1.6207576990127563</v>
      </c>
      <c r="AM196">
        <v>12600</v>
      </c>
      <c r="AN196" t="s">
        <v>25</v>
      </c>
      <c r="AO196">
        <v>1.62075770820835</v>
      </c>
    </row>
    <row r="197" spans="25:41" x14ac:dyDescent="0.3">
      <c r="Y197" t="str">
        <f t="shared" si="12"/>
        <v>Pass</v>
      </c>
      <c r="Z197">
        <f t="shared" si="13"/>
        <v>4.425865039229393E-2</v>
      </c>
      <c r="AA197">
        <v>0</v>
      </c>
      <c r="AB197">
        <v>30</v>
      </c>
      <c r="AC197">
        <v>80</v>
      </c>
      <c r="AD197" t="s">
        <v>26</v>
      </c>
      <c r="AE197">
        <v>4.4258649663318099E-2</v>
      </c>
      <c r="AK197" t="str">
        <f t="shared" si="14"/>
        <v>Pass</v>
      </c>
      <c r="AL197">
        <f t="shared" si="15"/>
        <v>3.8492996692657471</v>
      </c>
      <c r="AM197">
        <v>12600</v>
      </c>
      <c r="AN197" t="s">
        <v>24</v>
      </c>
      <c r="AO197">
        <v>3.84929955699485</v>
      </c>
    </row>
    <row r="198" spans="25:41" x14ac:dyDescent="0.3">
      <c r="Y198" t="str">
        <f t="shared" si="12"/>
        <v>Pass</v>
      </c>
      <c r="Z198">
        <f t="shared" si="13"/>
        <v>5.0973180681467056E-2</v>
      </c>
      <c r="AA198">
        <v>0</v>
      </c>
      <c r="AB198">
        <v>30</v>
      </c>
      <c r="AC198">
        <v>90</v>
      </c>
      <c r="AD198" t="s">
        <v>24</v>
      </c>
      <c r="AE198">
        <v>5.0973180362673197E-2</v>
      </c>
      <c r="AK198" t="str">
        <f t="shared" si="14"/>
        <v>Pass</v>
      </c>
      <c r="AL198">
        <f t="shared" si="15"/>
        <v>1.6283048391342163</v>
      </c>
      <c r="AM198">
        <v>12800</v>
      </c>
      <c r="AN198" t="s">
        <v>26</v>
      </c>
      <c r="AO198">
        <v>1.6283048857714599</v>
      </c>
    </row>
    <row r="199" spans="25:41" x14ac:dyDescent="0.3">
      <c r="Y199" t="str">
        <f t="shared" ref="Y199:Y262" si="16">IF(ISBLANK(Z199),"",IF(ROUND(Z199,0)=ROUND(AE199,0),"Pass","Fail"))</f>
        <v>Pass</v>
      </c>
      <c r="Z199">
        <f t="shared" ref="Z199:Z262" si="17">ROS_grass(AA199,AB199,AC199,AD199)</f>
        <v>5.0973180681467056E-2</v>
      </c>
      <c r="AA199">
        <v>0</v>
      </c>
      <c r="AB199">
        <v>30</v>
      </c>
      <c r="AC199">
        <v>90</v>
      </c>
      <c r="AD199" t="s">
        <v>25</v>
      </c>
      <c r="AE199">
        <v>5.0973180362673197E-2</v>
      </c>
      <c r="AK199" t="str">
        <f t="shared" ref="AK199:AK262" si="18">IF(ISBLANK(AL199),"",IF(ROUND(AL199,3)=ROUND(AO199,3),"Pass","Fail"))</f>
        <v>Pass</v>
      </c>
      <c r="AL199">
        <f t="shared" ref="AL199:AL262" si="19">Flame_height_grass(AM199,AN199)</f>
        <v>1.6283048391342163</v>
      </c>
      <c r="AM199">
        <v>12800</v>
      </c>
      <c r="AN199" t="s">
        <v>25</v>
      </c>
      <c r="AO199">
        <v>1.6283048857714599</v>
      </c>
    </row>
    <row r="200" spans="25:41" x14ac:dyDescent="0.3">
      <c r="Y200" t="str">
        <f t="shared" si="16"/>
        <v>Pass</v>
      </c>
      <c r="Z200">
        <f t="shared" si="17"/>
        <v>5.0973180681467056E-2</v>
      </c>
      <c r="AA200">
        <v>0</v>
      </c>
      <c r="AB200">
        <v>30</v>
      </c>
      <c r="AC200">
        <v>90</v>
      </c>
      <c r="AD200" t="s">
        <v>26</v>
      </c>
      <c r="AE200">
        <v>5.0973180362673197E-2</v>
      </c>
      <c r="AK200" t="str">
        <f t="shared" si="18"/>
        <v>Pass</v>
      </c>
      <c r="AL200">
        <f t="shared" si="19"/>
        <v>3.8672242164611816</v>
      </c>
      <c r="AM200">
        <v>12800</v>
      </c>
      <c r="AN200" t="s">
        <v>24</v>
      </c>
      <c r="AO200">
        <v>3.8672241037072301</v>
      </c>
    </row>
    <row r="201" spans="25:41" x14ac:dyDescent="0.3">
      <c r="Y201" t="str">
        <f t="shared" si="16"/>
        <v>Pass</v>
      </c>
      <c r="Z201">
        <f t="shared" si="17"/>
        <v>5.3999021649360657E-2</v>
      </c>
      <c r="AA201">
        <v>0</v>
      </c>
      <c r="AB201">
        <v>30</v>
      </c>
      <c r="AC201">
        <v>100</v>
      </c>
      <c r="AD201" t="s">
        <v>24</v>
      </c>
      <c r="AE201">
        <v>5.39990212609716E-2</v>
      </c>
      <c r="AK201" t="str">
        <f t="shared" si="18"/>
        <v>Pass</v>
      </c>
      <c r="AL201">
        <f t="shared" si="19"/>
        <v>1.6357693672180176</v>
      </c>
      <c r="AM201">
        <v>13000</v>
      </c>
      <c r="AN201" t="s">
        <v>26</v>
      </c>
      <c r="AO201">
        <v>1.6357693781566001</v>
      </c>
    </row>
    <row r="202" spans="25:41" x14ac:dyDescent="0.3">
      <c r="Y202" t="str">
        <f t="shared" si="16"/>
        <v>Pass</v>
      </c>
      <c r="Z202">
        <f t="shared" si="17"/>
        <v>5.3999021649360657E-2</v>
      </c>
      <c r="AA202">
        <v>0</v>
      </c>
      <c r="AB202">
        <v>30</v>
      </c>
      <c r="AC202">
        <v>100</v>
      </c>
      <c r="AD202" t="s">
        <v>25</v>
      </c>
      <c r="AE202">
        <v>5.39990212609716E-2</v>
      </c>
      <c r="AK202" t="str">
        <f t="shared" si="18"/>
        <v>Pass</v>
      </c>
      <c r="AL202">
        <f t="shared" si="19"/>
        <v>1.6357693672180176</v>
      </c>
      <c r="AM202">
        <v>13000</v>
      </c>
      <c r="AN202" t="s">
        <v>25</v>
      </c>
      <c r="AO202">
        <v>1.6357693781566001</v>
      </c>
    </row>
    <row r="203" spans="25:41" x14ac:dyDescent="0.3">
      <c r="Y203" t="str">
        <f t="shared" si="16"/>
        <v>Pass</v>
      </c>
      <c r="Z203">
        <f t="shared" si="17"/>
        <v>5.3999021649360657E-2</v>
      </c>
      <c r="AA203">
        <v>0</v>
      </c>
      <c r="AB203">
        <v>30</v>
      </c>
      <c r="AC203">
        <v>100</v>
      </c>
      <c r="AD203" t="s">
        <v>26</v>
      </c>
      <c r="AE203">
        <v>5.39990212609716E-2</v>
      </c>
      <c r="AK203" t="str">
        <f t="shared" si="18"/>
        <v>Pass</v>
      </c>
      <c r="AL203">
        <f t="shared" si="19"/>
        <v>3.8849523067474365</v>
      </c>
      <c r="AM203">
        <v>13000</v>
      </c>
      <c r="AN203" t="s">
        <v>24</v>
      </c>
      <c r="AO203">
        <v>3.8849522731219301</v>
      </c>
    </row>
    <row r="204" spans="25:41" x14ac:dyDescent="0.3">
      <c r="Y204" t="str">
        <f t="shared" si="16"/>
        <v>Pass</v>
      </c>
      <c r="Z204">
        <f t="shared" si="17"/>
        <v>3.6857445240020752</v>
      </c>
      <c r="AA204">
        <v>10</v>
      </c>
      <c r="AB204">
        <v>5</v>
      </c>
      <c r="AC204">
        <v>0</v>
      </c>
      <c r="AD204" t="s">
        <v>24</v>
      </c>
      <c r="AE204">
        <v>3.6857447747989398</v>
      </c>
      <c r="AK204" t="str">
        <f t="shared" si="18"/>
        <v>Pass</v>
      </c>
      <c r="AL204">
        <f t="shared" si="19"/>
        <v>1.6431533098220825</v>
      </c>
      <c r="AM204">
        <v>13200</v>
      </c>
      <c r="AN204" t="s">
        <v>26</v>
      </c>
      <c r="AO204">
        <v>1.64315334271036</v>
      </c>
    </row>
    <row r="205" spans="25:41" x14ac:dyDescent="0.3">
      <c r="Y205" t="str">
        <f t="shared" si="16"/>
        <v>Pass</v>
      </c>
      <c r="Z205">
        <f t="shared" si="17"/>
        <v>3.0700013637542725</v>
      </c>
      <c r="AA205">
        <v>10</v>
      </c>
      <c r="AB205">
        <v>5</v>
      </c>
      <c r="AC205">
        <v>0</v>
      </c>
      <c r="AD205" t="s">
        <v>25</v>
      </c>
      <c r="AE205">
        <v>3.0700016023616001</v>
      </c>
      <c r="AK205" t="str">
        <f t="shared" si="18"/>
        <v>Pass</v>
      </c>
      <c r="AL205">
        <f t="shared" si="19"/>
        <v>1.6431533098220825</v>
      </c>
      <c r="AM205">
        <v>13200</v>
      </c>
      <c r="AN205" t="s">
        <v>25</v>
      </c>
      <c r="AO205">
        <v>1.64315334271036</v>
      </c>
    </row>
    <row r="206" spans="25:41" x14ac:dyDescent="0.3">
      <c r="Y206" t="str">
        <f t="shared" si="16"/>
        <v>Pass</v>
      </c>
      <c r="Z206">
        <f t="shared" si="17"/>
        <v>1.5334622859954834</v>
      </c>
      <c r="AA206">
        <v>10</v>
      </c>
      <c r="AB206">
        <v>5</v>
      </c>
      <c r="AC206">
        <v>0</v>
      </c>
      <c r="AD206" t="s">
        <v>26</v>
      </c>
      <c r="AE206">
        <v>1.53346239845967</v>
      </c>
      <c r="AK206" t="str">
        <f t="shared" si="18"/>
        <v>Pass</v>
      </c>
      <c r="AL206">
        <f t="shared" si="19"/>
        <v>3.902489185333252</v>
      </c>
      <c r="AM206">
        <v>13200</v>
      </c>
      <c r="AN206" t="s">
        <v>24</v>
      </c>
      <c r="AO206">
        <v>3.9024891889371101</v>
      </c>
    </row>
    <row r="207" spans="25:41" x14ac:dyDescent="0.3">
      <c r="Y207" t="str">
        <f t="shared" si="16"/>
        <v>Pass</v>
      </c>
      <c r="Z207">
        <f t="shared" si="17"/>
        <v>9.9566240310668945</v>
      </c>
      <c r="AA207">
        <v>10</v>
      </c>
      <c r="AB207">
        <v>5</v>
      </c>
      <c r="AC207">
        <v>10</v>
      </c>
      <c r="AD207" t="s">
        <v>24</v>
      </c>
      <c r="AE207">
        <v>9.9566242598254497</v>
      </c>
      <c r="AK207" t="str">
        <f t="shared" si="18"/>
        <v>Pass</v>
      </c>
      <c r="AL207">
        <f t="shared" si="19"/>
        <v>1.650458812713623</v>
      </c>
      <c r="AM207">
        <v>13400</v>
      </c>
      <c r="AN207" t="s">
        <v>26</v>
      </c>
      <c r="AO207">
        <v>1.6504588488223899</v>
      </c>
    </row>
    <row r="208" spans="25:41" x14ac:dyDescent="0.3">
      <c r="Y208" t="str">
        <f t="shared" si="16"/>
        <v>Pass</v>
      </c>
      <c r="Z208">
        <f t="shared" si="17"/>
        <v>8.2932634353637695</v>
      </c>
      <c r="AA208">
        <v>10</v>
      </c>
      <c r="AB208">
        <v>5</v>
      </c>
      <c r="AC208">
        <v>10</v>
      </c>
      <c r="AD208" t="s">
        <v>25</v>
      </c>
      <c r="AE208">
        <v>8.2932634513316295</v>
      </c>
      <c r="AK208" t="str">
        <f t="shared" si="18"/>
        <v>Pass</v>
      </c>
      <c r="AL208">
        <f t="shared" si="19"/>
        <v>1.650458812713623</v>
      </c>
      <c r="AM208">
        <v>13400</v>
      </c>
      <c r="AN208" t="s">
        <v>25</v>
      </c>
      <c r="AO208">
        <v>1.6504588488223899</v>
      </c>
    </row>
    <row r="209" spans="25:41" x14ac:dyDescent="0.3">
      <c r="Y209" t="str">
        <f t="shared" si="16"/>
        <v>Pass</v>
      </c>
      <c r="Z209">
        <f t="shared" si="17"/>
        <v>4.1424756050109863</v>
      </c>
      <c r="AA209">
        <v>10</v>
      </c>
      <c r="AB209">
        <v>5</v>
      </c>
      <c r="AC209">
        <v>10</v>
      </c>
      <c r="AD209" t="s">
        <v>26</v>
      </c>
      <c r="AE209">
        <v>4.1424759040366697</v>
      </c>
      <c r="AK209" t="str">
        <f t="shared" si="18"/>
        <v>Pass</v>
      </c>
      <c r="AL209">
        <f t="shared" si="19"/>
        <v>3.9198398590087891</v>
      </c>
      <c r="AM209">
        <v>13400</v>
      </c>
      <c r="AN209" t="s">
        <v>24</v>
      </c>
      <c r="AO209">
        <v>3.9198397659531898</v>
      </c>
    </row>
    <row r="210" spans="25:41" x14ac:dyDescent="0.3">
      <c r="Y210" t="str">
        <f t="shared" si="16"/>
        <v>Pass</v>
      </c>
      <c r="Z210">
        <f t="shared" si="17"/>
        <v>26.794944763183594</v>
      </c>
      <c r="AA210">
        <v>10</v>
      </c>
      <c r="AB210">
        <v>5</v>
      </c>
      <c r="AC210">
        <v>20</v>
      </c>
      <c r="AD210" t="s">
        <v>24</v>
      </c>
      <c r="AE210">
        <v>26.794943345104599</v>
      </c>
      <c r="AK210" t="str">
        <f t="shared" si="18"/>
        <v>Pass</v>
      </c>
      <c r="AL210">
        <f t="shared" si="19"/>
        <v>1.6576879024505615</v>
      </c>
      <c r="AM210">
        <v>13600</v>
      </c>
      <c r="AN210" t="s">
        <v>26</v>
      </c>
      <c r="AO210">
        <v>1.6576878827643799</v>
      </c>
    </row>
    <row r="211" spans="25:41" x14ac:dyDescent="0.3">
      <c r="Y211" t="str">
        <f t="shared" si="16"/>
        <v>Pass</v>
      </c>
      <c r="Z211">
        <f t="shared" si="17"/>
        <v>22.318561553955078</v>
      </c>
      <c r="AA211">
        <v>10</v>
      </c>
      <c r="AB211">
        <v>5</v>
      </c>
      <c r="AC211">
        <v>20</v>
      </c>
      <c r="AD211" t="s">
        <v>25</v>
      </c>
      <c r="AE211">
        <v>22.318560842061199</v>
      </c>
      <c r="AK211" t="str">
        <f t="shared" si="18"/>
        <v>Pass</v>
      </c>
      <c r="AL211">
        <f t="shared" si="19"/>
        <v>1.6576879024505615</v>
      </c>
      <c r="AM211">
        <v>13600</v>
      </c>
      <c r="AN211" t="s">
        <v>25</v>
      </c>
      <c r="AO211">
        <v>1.6576878827643799</v>
      </c>
    </row>
    <row r="212" spans="25:41" x14ac:dyDescent="0.3">
      <c r="Y212" t="str">
        <f t="shared" si="16"/>
        <v>Pass</v>
      </c>
      <c r="Z212">
        <f t="shared" si="17"/>
        <v>11.148096084594727</v>
      </c>
      <c r="AA212">
        <v>10</v>
      </c>
      <c r="AB212">
        <v>5</v>
      </c>
      <c r="AC212">
        <v>20</v>
      </c>
      <c r="AD212" t="s">
        <v>26</v>
      </c>
      <c r="AE212">
        <v>11.1480964090402</v>
      </c>
      <c r="AK212" t="str">
        <f t="shared" si="18"/>
        <v>Pass</v>
      </c>
      <c r="AL212">
        <f t="shared" si="19"/>
        <v>3.9370086193084717</v>
      </c>
      <c r="AM212">
        <v>13600</v>
      </c>
      <c r="AN212" t="s">
        <v>24</v>
      </c>
      <c r="AO212">
        <v>3.9370087215653999</v>
      </c>
    </row>
    <row r="213" spans="25:41" x14ac:dyDescent="0.3">
      <c r="Y213" t="str">
        <f t="shared" si="16"/>
        <v>Pass</v>
      </c>
      <c r="Z213">
        <f t="shared" si="17"/>
        <v>71.384521484375</v>
      </c>
      <c r="AA213">
        <v>10</v>
      </c>
      <c r="AB213">
        <v>5</v>
      </c>
      <c r="AC213">
        <v>30</v>
      </c>
      <c r="AD213" t="s">
        <v>24</v>
      </c>
      <c r="AE213">
        <v>71.384522058304</v>
      </c>
      <c r="AK213" t="str">
        <f t="shared" si="18"/>
        <v>Pass</v>
      </c>
      <c r="AL213">
        <f t="shared" si="19"/>
        <v>1.6648423671722412</v>
      </c>
      <c r="AM213">
        <v>13800</v>
      </c>
      <c r="AN213" t="s">
        <v>26</v>
      </c>
      <c r="AO213">
        <v>1.6648423521958899</v>
      </c>
    </row>
    <row r="214" spans="25:41" x14ac:dyDescent="0.3">
      <c r="Y214" t="str">
        <f t="shared" si="16"/>
        <v>Pass</v>
      </c>
      <c r="Z214">
        <f t="shared" si="17"/>
        <v>59.458969116210938</v>
      </c>
      <c r="AA214">
        <v>10</v>
      </c>
      <c r="AB214">
        <v>5</v>
      </c>
      <c r="AC214">
        <v>30</v>
      </c>
      <c r="AD214" t="s">
        <v>25</v>
      </c>
      <c r="AE214">
        <v>59.458972471789103</v>
      </c>
      <c r="AK214" t="str">
        <f t="shared" si="18"/>
        <v>Pass</v>
      </c>
      <c r="AL214">
        <f t="shared" si="19"/>
        <v>1.6648423671722412</v>
      </c>
      <c r="AM214">
        <v>13800</v>
      </c>
      <c r="AN214" t="s">
        <v>25</v>
      </c>
      <c r="AO214">
        <v>1.6648423521958899</v>
      </c>
    </row>
    <row r="215" spans="25:41" x14ac:dyDescent="0.3">
      <c r="Y215" t="str">
        <f t="shared" si="16"/>
        <v>Pass</v>
      </c>
      <c r="Z215">
        <f t="shared" si="17"/>
        <v>29.699689865112305</v>
      </c>
      <c r="AA215">
        <v>10</v>
      </c>
      <c r="AB215">
        <v>5</v>
      </c>
      <c r="AC215">
        <v>30</v>
      </c>
      <c r="AD215" t="s">
        <v>26</v>
      </c>
      <c r="AE215">
        <v>29.699690862180098</v>
      </c>
      <c r="AK215" t="str">
        <f t="shared" si="18"/>
        <v>Pass</v>
      </c>
      <c r="AL215">
        <f t="shared" si="19"/>
        <v>3.9540004730224609</v>
      </c>
      <c r="AM215">
        <v>13800</v>
      </c>
      <c r="AN215" t="s">
        <v>24</v>
      </c>
      <c r="AO215">
        <v>3.9540005864652499</v>
      </c>
    </row>
    <row r="216" spans="25:41" x14ac:dyDescent="0.3">
      <c r="Y216" t="str">
        <f t="shared" si="16"/>
        <v>Pass</v>
      </c>
      <c r="Z216">
        <f t="shared" si="17"/>
        <v>185.24275207519531</v>
      </c>
      <c r="AA216">
        <v>10</v>
      </c>
      <c r="AB216">
        <v>5</v>
      </c>
      <c r="AC216">
        <v>40</v>
      </c>
      <c r="AD216" t="s">
        <v>24</v>
      </c>
      <c r="AE216">
        <v>185.24276454053501</v>
      </c>
      <c r="AK216" t="str">
        <f t="shared" si="18"/>
        <v>Pass</v>
      </c>
      <c r="AL216">
        <f t="shared" si="19"/>
        <v>1.6719241142272949</v>
      </c>
      <c r="AM216">
        <v>14000</v>
      </c>
      <c r="AN216" t="s">
        <v>26</v>
      </c>
      <c r="AO216">
        <v>1.67192409036453</v>
      </c>
    </row>
    <row r="217" spans="25:41" x14ac:dyDescent="0.3">
      <c r="Y217" t="str">
        <f t="shared" si="16"/>
        <v>Pass</v>
      </c>
      <c r="Z217">
        <f t="shared" si="17"/>
        <v>154.29595947265625</v>
      </c>
      <c r="AA217">
        <v>10</v>
      </c>
      <c r="AB217">
        <v>5</v>
      </c>
      <c r="AC217">
        <v>40</v>
      </c>
      <c r="AD217" t="s">
        <v>25</v>
      </c>
      <c r="AE217">
        <v>154.29597509131901</v>
      </c>
      <c r="AK217" t="str">
        <f t="shared" si="18"/>
        <v>Pass</v>
      </c>
      <c r="AL217">
        <f t="shared" si="19"/>
        <v>1.6719241142272949</v>
      </c>
      <c r="AM217">
        <v>14000</v>
      </c>
      <c r="AN217" t="s">
        <v>25</v>
      </c>
      <c r="AO217">
        <v>1.67192409036453</v>
      </c>
    </row>
    <row r="218" spans="25:41" x14ac:dyDescent="0.3">
      <c r="Y218" t="str">
        <f t="shared" si="16"/>
        <v>Pass</v>
      </c>
      <c r="Z218">
        <f t="shared" si="17"/>
        <v>77.070663452148438</v>
      </c>
      <c r="AA218">
        <v>10</v>
      </c>
      <c r="AB218">
        <v>5</v>
      </c>
      <c r="AC218">
        <v>40</v>
      </c>
      <c r="AD218" t="s">
        <v>26</v>
      </c>
      <c r="AE218">
        <v>77.070668580171798</v>
      </c>
      <c r="AK218" t="str">
        <f t="shared" si="18"/>
        <v>Pass</v>
      </c>
      <c r="AL218">
        <f t="shared" si="19"/>
        <v>3.9708197116851807</v>
      </c>
      <c r="AM218">
        <v>14000</v>
      </c>
      <c r="AN218" t="s">
        <v>24</v>
      </c>
      <c r="AO218">
        <v>3.97081971461576</v>
      </c>
    </row>
    <row r="219" spans="25:41" x14ac:dyDescent="0.3">
      <c r="Y219" t="str">
        <f t="shared" si="16"/>
        <v>Pass</v>
      </c>
      <c r="Z219">
        <f t="shared" si="17"/>
        <v>450.84295654296875</v>
      </c>
      <c r="AA219">
        <v>10</v>
      </c>
      <c r="AB219">
        <v>5</v>
      </c>
      <c r="AC219">
        <v>50</v>
      </c>
      <c r="AD219" t="s">
        <v>24</v>
      </c>
      <c r="AE219">
        <v>450.84298652242501</v>
      </c>
      <c r="AK219" t="str">
        <f t="shared" si="18"/>
        <v>Pass</v>
      </c>
      <c r="AL219">
        <f t="shared" si="19"/>
        <v>1.6789348125457764</v>
      </c>
      <c r="AM219">
        <v>14200</v>
      </c>
      <c r="AN219" t="s">
        <v>26</v>
      </c>
      <c r="AO219">
        <v>1.6789348600251099</v>
      </c>
    </row>
    <row r="220" spans="25:41" x14ac:dyDescent="0.3">
      <c r="Y220" t="str">
        <f t="shared" si="16"/>
        <v>Pass</v>
      </c>
      <c r="Z220">
        <f t="shared" si="17"/>
        <v>375.52481079101563</v>
      </c>
      <c r="AA220">
        <v>10</v>
      </c>
      <c r="AB220">
        <v>5</v>
      </c>
      <c r="AC220">
        <v>50</v>
      </c>
      <c r="AD220" t="s">
        <v>25</v>
      </c>
      <c r="AE220">
        <v>375.524833000093</v>
      </c>
      <c r="AK220" t="str">
        <f t="shared" si="18"/>
        <v>Pass</v>
      </c>
      <c r="AL220">
        <f t="shared" si="19"/>
        <v>1.6789348125457764</v>
      </c>
      <c r="AM220">
        <v>14200</v>
      </c>
      <c r="AN220" t="s">
        <v>25</v>
      </c>
      <c r="AO220">
        <v>1.6789348600251099</v>
      </c>
    </row>
    <row r="221" spans="25:41" x14ac:dyDescent="0.3">
      <c r="Y221" t="str">
        <f t="shared" si="16"/>
        <v>Pass</v>
      </c>
      <c r="Z221">
        <f t="shared" si="17"/>
        <v>187.57421875</v>
      </c>
      <c r="AA221">
        <v>10</v>
      </c>
      <c r="AB221">
        <v>5</v>
      </c>
      <c r="AC221">
        <v>50</v>
      </c>
      <c r="AD221" t="s">
        <v>26</v>
      </c>
      <c r="AE221">
        <v>187.57423795821899</v>
      </c>
      <c r="AK221" t="str">
        <f t="shared" si="18"/>
        <v>Pass</v>
      </c>
      <c r="AL221">
        <f t="shared" si="19"/>
        <v>3.9874703884124756</v>
      </c>
      <c r="AM221">
        <v>14200</v>
      </c>
      <c r="AN221" t="s">
        <v>24</v>
      </c>
      <c r="AO221">
        <v>3.9874702925596299</v>
      </c>
    </row>
    <row r="222" spans="25:41" x14ac:dyDescent="0.3">
      <c r="Y222" t="str">
        <f t="shared" si="16"/>
        <v>Pass</v>
      </c>
      <c r="Z222">
        <f t="shared" si="17"/>
        <v>958.37969970703125</v>
      </c>
      <c r="AA222">
        <v>10</v>
      </c>
      <c r="AB222">
        <v>5</v>
      </c>
      <c r="AC222">
        <v>60</v>
      </c>
      <c r="AD222" t="s">
        <v>24</v>
      </c>
      <c r="AE222">
        <v>958.37974709284094</v>
      </c>
      <c r="AK222" t="str">
        <f t="shared" si="18"/>
        <v>Pass</v>
      </c>
      <c r="AL222">
        <f t="shared" si="19"/>
        <v>1.6858763694763184</v>
      </c>
      <c r="AM222">
        <v>14400</v>
      </c>
      <c r="AN222" t="s">
        <v>26</v>
      </c>
      <c r="AO222">
        <v>1.6858763571003901</v>
      </c>
    </row>
    <row r="223" spans="25:41" x14ac:dyDescent="0.3">
      <c r="Y223" t="str">
        <f t="shared" si="16"/>
        <v>Pass</v>
      </c>
      <c r="Z223">
        <f t="shared" si="17"/>
        <v>798.2720947265625</v>
      </c>
      <c r="AA223">
        <v>10</v>
      </c>
      <c r="AB223">
        <v>5</v>
      </c>
      <c r="AC223">
        <v>60</v>
      </c>
      <c r="AD223" t="s">
        <v>25</v>
      </c>
      <c r="AE223">
        <v>798.27213738814396</v>
      </c>
      <c r="AK223" t="str">
        <f t="shared" si="18"/>
        <v>Pass</v>
      </c>
      <c r="AL223">
        <f t="shared" si="19"/>
        <v>1.6858763694763184</v>
      </c>
      <c r="AM223">
        <v>14400</v>
      </c>
      <c r="AN223" t="s">
        <v>25</v>
      </c>
      <c r="AO223">
        <v>1.6858763571003901</v>
      </c>
    </row>
    <row r="224" spans="25:41" x14ac:dyDescent="0.3">
      <c r="Y224" t="str">
        <f t="shared" si="16"/>
        <v>Pass</v>
      </c>
      <c r="Z224">
        <f t="shared" si="17"/>
        <v>398.73602294921875</v>
      </c>
      <c r="AA224">
        <v>10</v>
      </c>
      <c r="AB224">
        <v>5</v>
      </c>
      <c r="AC224">
        <v>60</v>
      </c>
      <c r="AD224" t="s">
        <v>26</v>
      </c>
      <c r="AE224">
        <v>398.73604804671498</v>
      </c>
      <c r="AK224" t="str">
        <f t="shared" si="18"/>
        <v>Pass</v>
      </c>
      <c r="AL224">
        <f t="shared" si="19"/>
        <v>4.0039563179016113</v>
      </c>
      <c r="AM224">
        <v>14400</v>
      </c>
      <c r="AN224" t="s">
        <v>24</v>
      </c>
      <c r="AO224">
        <v>4.0039563481134302</v>
      </c>
    </row>
    <row r="225" spans="25:41" x14ac:dyDescent="0.3">
      <c r="Y225" t="str">
        <f t="shared" si="16"/>
        <v>Pass</v>
      </c>
      <c r="Z225">
        <f t="shared" si="17"/>
        <v>1640.5003662109375</v>
      </c>
      <c r="AA225">
        <v>10</v>
      </c>
      <c r="AB225">
        <v>5</v>
      </c>
      <c r="AC225">
        <v>70</v>
      </c>
      <c r="AD225" t="s">
        <v>24</v>
      </c>
      <c r="AE225">
        <v>1640.50046167664</v>
      </c>
      <c r="AK225" t="str">
        <f t="shared" si="18"/>
        <v>Pass</v>
      </c>
      <c r="AL225">
        <f t="shared" si="19"/>
        <v>1.6927502155303955</v>
      </c>
      <c r="AM225">
        <v>14600</v>
      </c>
      <c r="AN225" t="s">
        <v>26</v>
      </c>
      <c r="AO225">
        <v>1.69275021410376</v>
      </c>
    </row>
    <row r="226" spans="25:41" x14ac:dyDescent="0.3">
      <c r="Y226" t="str">
        <f t="shared" si="16"/>
        <v>Pass</v>
      </c>
      <c r="Z226">
        <f t="shared" si="17"/>
        <v>1366.437255859375</v>
      </c>
      <c r="AA226">
        <v>10</v>
      </c>
      <c r="AB226">
        <v>5</v>
      </c>
      <c r="AC226">
        <v>70</v>
      </c>
      <c r="AD226" t="s">
        <v>25</v>
      </c>
      <c r="AE226">
        <v>1366.4372748916001</v>
      </c>
      <c r="AK226" t="str">
        <f t="shared" si="18"/>
        <v>Pass</v>
      </c>
      <c r="AL226">
        <f t="shared" si="19"/>
        <v>1.6927502155303955</v>
      </c>
      <c r="AM226">
        <v>14600</v>
      </c>
      <c r="AN226" t="s">
        <v>25</v>
      </c>
      <c r="AO226">
        <v>1.69275021410376</v>
      </c>
    </row>
    <row r="227" spans="25:41" x14ac:dyDescent="0.3">
      <c r="Y227" t="str">
        <f t="shared" si="16"/>
        <v>Pass</v>
      </c>
      <c r="Z227">
        <f t="shared" si="17"/>
        <v>682.53387451171875</v>
      </c>
      <c r="AA227">
        <v>10</v>
      </c>
      <c r="AB227">
        <v>5</v>
      </c>
      <c r="AC227">
        <v>70</v>
      </c>
      <c r="AD227" t="s">
        <v>26</v>
      </c>
      <c r="AE227">
        <v>682.53390463643495</v>
      </c>
      <c r="AK227" t="str">
        <f t="shared" si="18"/>
        <v>Pass</v>
      </c>
      <c r="AL227">
        <f t="shared" si="19"/>
        <v>4.0202817916870117</v>
      </c>
      <c r="AM227">
        <v>14600</v>
      </c>
      <c r="AN227" t="s">
        <v>24</v>
      </c>
      <c r="AO227">
        <v>4.0202817584964299</v>
      </c>
    </row>
    <row r="228" spans="25:41" x14ac:dyDescent="0.3">
      <c r="Y228" t="str">
        <f t="shared" si="16"/>
        <v>Pass</v>
      </c>
      <c r="Z228">
        <f t="shared" si="17"/>
        <v>2225.570068359375</v>
      </c>
      <c r="AA228">
        <v>10</v>
      </c>
      <c r="AB228">
        <v>5</v>
      </c>
      <c r="AC228">
        <v>80</v>
      </c>
      <c r="AD228" t="s">
        <v>24</v>
      </c>
      <c r="AE228">
        <v>2225.5701431633101</v>
      </c>
      <c r="AK228" t="str">
        <f t="shared" si="18"/>
        <v>Pass</v>
      </c>
      <c r="AL228">
        <f t="shared" si="19"/>
        <v>1.6995580196380615</v>
      </c>
      <c r="AM228">
        <v>14800</v>
      </c>
      <c r="AN228" t="s">
        <v>26</v>
      </c>
      <c r="AO228">
        <v>1.6995580033422699</v>
      </c>
    </row>
    <row r="229" spans="25:41" x14ac:dyDescent="0.3">
      <c r="Y229" t="str">
        <f t="shared" si="16"/>
        <v>Pass</v>
      </c>
      <c r="Z229">
        <f t="shared" si="17"/>
        <v>1853.7647705078125</v>
      </c>
      <c r="AA229">
        <v>10</v>
      </c>
      <c r="AB229">
        <v>5</v>
      </c>
      <c r="AC229">
        <v>80</v>
      </c>
      <c r="AD229" t="s">
        <v>25</v>
      </c>
      <c r="AE229">
        <v>1853.7647946749701</v>
      </c>
      <c r="AK229" t="str">
        <f t="shared" si="18"/>
        <v>Pass</v>
      </c>
      <c r="AL229">
        <f t="shared" si="19"/>
        <v>1.6995580196380615</v>
      </c>
      <c r="AM229">
        <v>14800</v>
      </c>
      <c r="AN229" t="s">
        <v>25</v>
      </c>
      <c r="AO229">
        <v>1.6995580033422699</v>
      </c>
    </row>
    <row r="230" spans="25:41" x14ac:dyDescent="0.3">
      <c r="Y230" t="str">
        <f t="shared" si="16"/>
        <v>Pass</v>
      </c>
      <c r="Z230">
        <f t="shared" si="17"/>
        <v>925.95343017578125</v>
      </c>
      <c r="AA230">
        <v>10</v>
      </c>
      <c r="AB230">
        <v>5</v>
      </c>
      <c r="AC230">
        <v>80</v>
      </c>
      <c r="AD230" t="s">
        <v>26</v>
      </c>
      <c r="AE230">
        <v>925.95346075248005</v>
      </c>
      <c r="AK230" t="str">
        <f t="shared" si="18"/>
        <v>Pass</v>
      </c>
      <c r="AL230">
        <f t="shared" si="19"/>
        <v>4.0364503860473633</v>
      </c>
      <c r="AM230">
        <v>14800</v>
      </c>
      <c r="AN230" t="s">
        <v>24</v>
      </c>
      <c r="AO230">
        <v>4.03645025793789</v>
      </c>
    </row>
    <row r="231" spans="25:41" x14ac:dyDescent="0.3">
      <c r="Y231" t="str">
        <f t="shared" si="16"/>
        <v>Pass</v>
      </c>
      <c r="Z231">
        <f t="shared" si="17"/>
        <v>2563.2138671875</v>
      </c>
      <c r="AA231">
        <v>10</v>
      </c>
      <c r="AB231">
        <v>5</v>
      </c>
      <c r="AC231">
        <v>90</v>
      </c>
      <c r="AD231" t="s">
        <v>24</v>
      </c>
      <c r="AE231">
        <v>2563.2139520801402</v>
      </c>
      <c r="AK231" t="str">
        <f t="shared" si="18"/>
        <v>Pass</v>
      </c>
      <c r="AL231">
        <f t="shared" si="19"/>
        <v>1.706301212310791</v>
      </c>
      <c r="AM231">
        <v>15000</v>
      </c>
      <c r="AN231" t="s">
        <v>26</v>
      </c>
      <c r="AO231">
        <v>1.7063012399170601</v>
      </c>
    </row>
    <row r="232" spans="25:41" x14ac:dyDescent="0.3">
      <c r="Y232" t="str">
        <f t="shared" si="16"/>
        <v>Pass</v>
      </c>
      <c r="Z232">
        <f t="shared" si="17"/>
        <v>2135.00146484375</v>
      </c>
      <c r="AA232">
        <v>10</v>
      </c>
      <c r="AB232">
        <v>5</v>
      </c>
      <c r="AC232">
        <v>90</v>
      </c>
      <c r="AD232" t="s">
        <v>25</v>
      </c>
      <c r="AE232">
        <v>2135.0015860799599</v>
      </c>
      <c r="AK232" t="str">
        <f t="shared" si="18"/>
        <v>Pass</v>
      </c>
      <c r="AL232">
        <f t="shared" si="19"/>
        <v>1.706301212310791</v>
      </c>
      <c r="AM232">
        <v>15000</v>
      </c>
      <c r="AN232" t="s">
        <v>25</v>
      </c>
      <c r="AO232">
        <v>1.7063012399170601</v>
      </c>
    </row>
    <row r="233" spans="25:41" x14ac:dyDescent="0.3">
      <c r="Y233" t="str">
        <f t="shared" si="16"/>
        <v>Pass</v>
      </c>
      <c r="Z233">
        <f t="shared" si="17"/>
        <v>1066.430908203125</v>
      </c>
      <c r="AA233">
        <v>10</v>
      </c>
      <c r="AB233">
        <v>5</v>
      </c>
      <c r="AC233">
        <v>90</v>
      </c>
      <c r="AD233" t="s">
        <v>26</v>
      </c>
      <c r="AE233">
        <v>1066.43092641609</v>
      </c>
      <c r="AK233" t="str">
        <f t="shared" si="18"/>
        <v>Pass</v>
      </c>
      <c r="AL233">
        <f t="shared" si="19"/>
        <v>4.0524654388427734</v>
      </c>
      <c r="AM233">
        <v>15000</v>
      </c>
      <c r="AN233" t="s">
        <v>24</v>
      </c>
      <c r="AO233">
        <v>4.0524654448030297</v>
      </c>
    </row>
    <row r="234" spans="25:41" x14ac:dyDescent="0.3">
      <c r="Y234" t="str">
        <f t="shared" si="16"/>
        <v>Pass</v>
      </c>
      <c r="Z234">
        <f t="shared" si="17"/>
        <v>2715.369873046875</v>
      </c>
      <c r="AA234">
        <v>10</v>
      </c>
      <c r="AB234">
        <v>5</v>
      </c>
      <c r="AC234">
        <v>100</v>
      </c>
      <c r="AD234" t="s">
        <v>24</v>
      </c>
      <c r="AE234">
        <v>2715.3699986934798</v>
      </c>
      <c r="AK234" t="str">
        <f t="shared" si="18"/>
        <v>Pass</v>
      </c>
      <c r="AL234">
        <f t="shared" si="19"/>
        <v>1.7129813432693481</v>
      </c>
      <c r="AM234">
        <v>15200</v>
      </c>
      <c r="AN234" t="s">
        <v>26</v>
      </c>
      <c r="AO234">
        <v>1.71298138453636</v>
      </c>
    </row>
    <row r="235" spans="25:41" x14ac:dyDescent="0.3">
      <c r="Y235" t="str">
        <f t="shared" si="16"/>
        <v>Pass</v>
      </c>
      <c r="Z235">
        <f t="shared" si="17"/>
        <v>2261.73828125</v>
      </c>
      <c r="AA235">
        <v>10</v>
      </c>
      <c r="AB235">
        <v>5</v>
      </c>
      <c r="AC235">
        <v>100</v>
      </c>
      <c r="AD235" t="s">
        <v>25</v>
      </c>
      <c r="AE235">
        <v>2261.7383341331201</v>
      </c>
      <c r="AK235" t="str">
        <f t="shared" si="18"/>
        <v>Pass</v>
      </c>
      <c r="AL235">
        <f t="shared" si="19"/>
        <v>1.7129813432693481</v>
      </c>
      <c r="AM235">
        <v>15200</v>
      </c>
      <c r="AN235" t="s">
        <v>25</v>
      </c>
      <c r="AO235">
        <v>1.71298138453636</v>
      </c>
    </row>
    <row r="236" spans="25:41" x14ac:dyDescent="0.3">
      <c r="Y236" t="str">
        <f t="shared" si="16"/>
        <v>Pass</v>
      </c>
      <c r="Z236">
        <f t="shared" si="17"/>
        <v>1129.7357177734375</v>
      </c>
      <c r="AA236">
        <v>10</v>
      </c>
      <c r="AB236">
        <v>5</v>
      </c>
      <c r="AC236">
        <v>100</v>
      </c>
      <c r="AD236" t="s">
        <v>26</v>
      </c>
      <c r="AE236">
        <v>1129.73579162954</v>
      </c>
      <c r="AK236" t="str">
        <f t="shared" si="18"/>
        <v>Pass</v>
      </c>
      <c r="AL236">
        <f t="shared" si="19"/>
        <v>4.0683307647705078</v>
      </c>
      <c r="AM236">
        <v>15200</v>
      </c>
      <c r="AN236" t="s">
        <v>24</v>
      </c>
      <c r="AO236">
        <v>4.06833078827386</v>
      </c>
    </row>
    <row r="237" spans="25:41" x14ac:dyDescent="0.3">
      <c r="Y237" t="str">
        <f t="shared" si="16"/>
        <v>Pass</v>
      </c>
      <c r="Z237">
        <f t="shared" si="17"/>
        <v>2.1478614807128906</v>
      </c>
      <c r="AA237">
        <v>10</v>
      </c>
      <c r="AB237">
        <v>10</v>
      </c>
      <c r="AC237">
        <v>0</v>
      </c>
      <c r="AD237" t="s">
        <v>24</v>
      </c>
      <c r="AE237">
        <v>2.1478613262106401</v>
      </c>
      <c r="AK237" t="str">
        <f t="shared" si="18"/>
        <v>Pass</v>
      </c>
      <c r="AL237">
        <f t="shared" si="19"/>
        <v>1.7195998430252075</v>
      </c>
      <c r="AM237">
        <v>15400</v>
      </c>
      <c r="AN237" t="s">
        <v>26</v>
      </c>
      <c r="AO237">
        <v>1.7195998461551001</v>
      </c>
    </row>
    <row r="238" spans="25:41" x14ac:dyDescent="0.3">
      <c r="Y238" t="str">
        <f t="shared" si="16"/>
        <v>Pass</v>
      </c>
      <c r="Z238">
        <f t="shared" si="17"/>
        <v>1.7890380620956421</v>
      </c>
      <c r="AA238">
        <v>10</v>
      </c>
      <c r="AB238">
        <v>10</v>
      </c>
      <c r="AC238">
        <v>0</v>
      </c>
      <c r="AD238" t="s">
        <v>25</v>
      </c>
      <c r="AE238">
        <v>1.7890380685615701</v>
      </c>
      <c r="AK238" t="str">
        <f t="shared" si="18"/>
        <v>Pass</v>
      </c>
      <c r="AL238">
        <f t="shared" si="19"/>
        <v>1.7195998430252075</v>
      </c>
      <c r="AM238">
        <v>15400</v>
      </c>
      <c r="AN238" t="s">
        <v>25</v>
      </c>
      <c r="AO238">
        <v>1.7195998461551001</v>
      </c>
    </row>
    <row r="239" spans="25:41" x14ac:dyDescent="0.3">
      <c r="Y239" t="str">
        <f t="shared" si="16"/>
        <v>Pass</v>
      </c>
      <c r="Z239">
        <f t="shared" si="17"/>
        <v>0.89362257719039917</v>
      </c>
      <c r="AA239">
        <v>10</v>
      </c>
      <c r="AB239">
        <v>10</v>
      </c>
      <c r="AC239">
        <v>0</v>
      </c>
      <c r="AD239" t="s">
        <v>26</v>
      </c>
      <c r="AE239">
        <v>0.89362253278359904</v>
      </c>
      <c r="AK239" t="str">
        <f t="shared" si="18"/>
        <v>Pass</v>
      </c>
      <c r="AL239">
        <f t="shared" si="19"/>
        <v>4.0840497016906738</v>
      </c>
      <c r="AM239">
        <v>15400</v>
      </c>
      <c r="AN239" t="s">
        <v>24</v>
      </c>
      <c r="AO239">
        <v>4.0840496346183599</v>
      </c>
    </row>
    <row r="240" spans="25:41" x14ac:dyDescent="0.3">
      <c r="Y240" t="str">
        <f t="shared" si="16"/>
        <v>Pass</v>
      </c>
      <c r="Z240">
        <f t="shared" si="17"/>
        <v>5.8022055625915527</v>
      </c>
      <c r="AA240">
        <v>10</v>
      </c>
      <c r="AB240">
        <v>10</v>
      </c>
      <c r="AC240">
        <v>10</v>
      </c>
      <c r="AD240" t="s">
        <v>24</v>
      </c>
      <c r="AE240">
        <v>5.8022053869577501</v>
      </c>
      <c r="AK240" t="str">
        <f t="shared" si="18"/>
        <v>Pass</v>
      </c>
      <c r="AL240">
        <f t="shared" si="19"/>
        <v>1.7261580228805542</v>
      </c>
      <c r="AM240">
        <v>15600</v>
      </c>
      <c r="AN240" t="s">
        <v>26</v>
      </c>
      <c r="AO240">
        <v>1.72615798445402</v>
      </c>
    </row>
    <row r="241" spans="25:41" x14ac:dyDescent="0.3">
      <c r="Y241" t="str">
        <f t="shared" si="16"/>
        <v>Pass</v>
      </c>
      <c r="Z241">
        <f t="shared" si="17"/>
        <v>4.8328847885131836</v>
      </c>
      <c r="AA241">
        <v>10</v>
      </c>
      <c r="AB241">
        <v>10</v>
      </c>
      <c r="AC241">
        <v>10</v>
      </c>
      <c r="AD241" t="s">
        <v>25</v>
      </c>
      <c r="AE241">
        <v>4.8328847827405896</v>
      </c>
      <c r="AK241" t="str">
        <f t="shared" si="18"/>
        <v>Pass</v>
      </c>
      <c r="AL241">
        <f t="shared" si="19"/>
        <v>1.7261580228805542</v>
      </c>
      <c r="AM241">
        <v>15600</v>
      </c>
      <c r="AN241" t="s">
        <v>25</v>
      </c>
      <c r="AO241">
        <v>1.72615798445402</v>
      </c>
    </row>
    <row r="242" spans="25:41" x14ac:dyDescent="0.3">
      <c r="Y242" t="str">
        <f t="shared" si="16"/>
        <v>Pass</v>
      </c>
      <c r="Z242">
        <f t="shared" si="17"/>
        <v>2.4140207767486572</v>
      </c>
      <c r="AA242">
        <v>10</v>
      </c>
      <c r="AB242">
        <v>10</v>
      </c>
      <c r="AC242">
        <v>10</v>
      </c>
      <c r="AD242" t="s">
        <v>26</v>
      </c>
      <c r="AE242">
        <v>2.41402059357873</v>
      </c>
      <c r="AK242" t="str">
        <f t="shared" si="18"/>
        <v>Pass</v>
      </c>
      <c r="AL242">
        <f t="shared" si="19"/>
        <v>4.0996251106262207</v>
      </c>
      <c r="AM242">
        <v>15600</v>
      </c>
      <c r="AN242" t="s">
        <v>24</v>
      </c>
      <c r="AO242">
        <v>4.0996252130783102</v>
      </c>
    </row>
    <row r="243" spans="25:41" x14ac:dyDescent="0.3">
      <c r="Y243" t="str">
        <f t="shared" si="16"/>
        <v>Pass</v>
      </c>
      <c r="Z243">
        <f t="shared" si="17"/>
        <v>15.614707946777344</v>
      </c>
      <c r="AA243">
        <v>10</v>
      </c>
      <c r="AB243">
        <v>10</v>
      </c>
      <c r="AC243">
        <v>20</v>
      </c>
      <c r="AD243" t="s">
        <v>24</v>
      </c>
      <c r="AE243">
        <v>15.6147064068197</v>
      </c>
      <c r="AK243" t="str">
        <f t="shared" si="18"/>
        <v>Pass</v>
      </c>
      <c r="AL243">
        <f t="shared" si="19"/>
        <v>1.7326570749282837</v>
      </c>
      <c r="AM243">
        <v>15800</v>
      </c>
      <c r="AN243" t="s">
        <v>26</v>
      </c>
      <c r="AO243">
        <v>1.7326571121698799</v>
      </c>
    </row>
    <row r="244" spans="25:41" x14ac:dyDescent="0.3">
      <c r="Y244" t="str">
        <f t="shared" si="16"/>
        <v>Pass</v>
      </c>
      <c r="Z244">
        <f t="shared" si="17"/>
        <v>13.006102561950684</v>
      </c>
      <c r="AA244">
        <v>10</v>
      </c>
      <c r="AB244">
        <v>10</v>
      </c>
      <c r="AC244">
        <v>20</v>
      </c>
      <c r="AD244" t="s">
        <v>25</v>
      </c>
      <c r="AE244">
        <v>13.0061023262137</v>
      </c>
      <c r="AK244" t="str">
        <f t="shared" si="18"/>
        <v>Pass</v>
      </c>
      <c r="AL244">
        <f t="shared" si="19"/>
        <v>1.7326570749282837</v>
      </c>
      <c r="AM244">
        <v>15800</v>
      </c>
      <c r="AN244" t="s">
        <v>25</v>
      </c>
      <c r="AO244">
        <v>1.7326571121698799</v>
      </c>
    </row>
    <row r="245" spans="25:41" x14ac:dyDescent="0.3">
      <c r="Y245" t="str">
        <f t="shared" si="16"/>
        <v>Pass</v>
      </c>
      <c r="Z245">
        <f t="shared" si="17"/>
        <v>6.4965343475341797</v>
      </c>
      <c r="AA245">
        <v>10</v>
      </c>
      <c r="AB245">
        <v>10</v>
      </c>
      <c r="AC245">
        <v>20</v>
      </c>
      <c r="AD245" t="s">
        <v>26</v>
      </c>
      <c r="AE245">
        <v>6.4965336996649796</v>
      </c>
      <c r="AK245" t="str">
        <f t="shared" si="18"/>
        <v>Pass</v>
      </c>
      <c r="AL245">
        <f t="shared" si="19"/>
        <v>4.1150608062744141</v>
      </c>
      <c r="AM245">
        <v>15800</v>
      </c>
      <c r="AN245" t="s">
        <v>24</v>
      </c>
      <c r="AO245">
        <v>4.1150606414034696</v>
      </c>
    </row>
    <row r="246" spans="25:41" x14ac:dyDescent="0.3">
      <c r="Y246" t="str">
        <f t="shared" si="16"/>
        <v>Pass</v>
      </c>
      <c r="Z246">
        <f t="shared" si="17"/>
        <v>41.599205017089844</v>
      </c>
      <c r="AA246">
        <v>10</v>
      </c>
      <c r="AB246">
        <v>10</v>
      </c>
      <c r="AC246">
        <v>30</v>
      </c>
      <c r="AD246" t="s">
        <v>24</v>
      </c>
      <c r="AE246">
        <v>41.599205476029198</v>
      </c>
      <c r="AK246" t="str">
        <f t="shared" si="18"/>
        <v>Pass</v>
      </c>
      <c r="AL246">
        <f t="shared" si="19"/>
        <v>1.7390985488891602</v>
      </c>
      <c r="AM246">
        <v>16000</v>
      </c>
      <c r="AN246" t="s">
        <v>26</v>
      </c>
      <c r="AO246">
        <v>1.73909849728741</v>
      </c>
    </row>
    <row r="247" spans="25:41" x14ac:dyDescent="0.3">
      <c r="Y247" t="str">
        <f t="shared" si="16"/>
        <v>Pass</v>
      </c>
      <c r="Z247">
        <f t="shared" si="17"/>
        <v>34.649612426757813</v>
      </c>
      <c r="AA247">
        <v>10</v>
      </c>
      <c r="AB247">
        <v>10</v>
      </c>
      <c r="AC247">
        <v>30</v>
      </c>
      <c r="AD247" t="s">
        <v>25</v>
      </c>
      <c r="AE247">
        <v>34.649612295888197</v>
      </c>
      <c r="AK247" t="str">
        <f t="shared" si="18"/>
        <v>Pass</v>
      </c>
      <c r="AL247">
        <f t="shared" si="19"/>
        <v>1.7390985488891602</v>
      </c>
      <c r="AM247">
        <v>16000</v>
      </c>
      <c r="AN247" t="s">
        <v>25</v>
      </c>
      <c r="AO247">
        <v>1.73909849728741</v>
      </c>
    </row>
    <row r="248" spans="25:41" x14ac:dyDescent="0.3">
      <c r="Y248" t="str">
        <f t="shared" si="16"/>
        <v>Pass</v>
      </c>
      <c r="Z248">
        <f t="shared" si="17"/>
        <v>17.307443618774414</v>
      </c>
      <c r="AA248">
        <v>10</v>
      </c>
      <c r="AB248">
        <v>10</v>
      </c>
      <c r="AC248">
        <v>30</v>
      </c>
      <c r="AD248" t="s">
        <v>26</v>
      </c>
      <c r="AE248">
        <v>17.307442945983201</v>
      </c>
      <c r="AK248" t="str">
        <f t="shared" si="18"/>
        <v>Pass</v>
      </c>
      <c r="AL248">
        <f t="shared" si="19"/>
        <v>4.1303591728210449</v>
      </c>
      <c r="AM248">
        <v>16000</v>
      </c>
      <c r="AN248" t="s">
        <v>24</v>
      </c>
      <c r="AO248">
        <v>4.1303589310576099</v>
      </c>
    </row>
    <row r="249" spans="25:41" x14ac:dyDescent="0.3">
      <c r="Y249" t="str">
        <f t="shared" si="16"/>
        <v>Pass</v>
      </c>
      <c r="Z249">
        <f t="shared" si="17"/>
        <v>107.94989776611328</v>
      </c>
      <c r="AA249">
        <v>10</v>
      </c>
      <c r="AB249">
        <v>10</v>
      </c>
      <c r="AC249">
        <v>40</v>
      </c>
      <c r="AD249" t="s">
        <v>24</v>
      </c>
      <c r="AE249">
        <v>107.949897300923</v>
      </c>
      <c r="AK249" t="str">
        <f t="shared" si="18"/>
        <v>Pass</v>
      </c>
      <c r="AL249">
        <f t="shared" si="19"/>
        <v>1.7454833984375</v>
      </c>
      <c r="AM249">
        <v>16200</v>
      </c>
      <c r="AN249" t="s">
        <v>26</v>
      </c>
      <c r="AO249">
        <v>1.7454833651030299</v>
      </c>
    </row>
    <row r="250" spans="25:41" x14ac:dyDescent="0.3">
      <c r="Y250" t="str">
        <f t="shared" si="16"/>
        <v>Pass</v>
      </c>
      <c r="Z250">
        <f t="shared" si="17"/>
        <v>89.91571044921875</v>
      </c>
      <c r="AA250">
        <v>10</v>
      </c>
      <c r="AB250">
        <v>10</v>
      </c>
      <c r="AC250">
        <v>40</v>
      </c>
      <c r="AD250" t="s">
        <v>25</v>
      </c>
      <c r="AE250">
        <v>89.915709832806797</v>
      </c>
      <c r="AK250" t="str">
        <f t="shared" si="18"/>
        <v>Pass</v>
      </c>
      <c r="AL250">
        <f t="shared" si="19"/>
        <v>1.7454833984375</v>
      </c>
      <c r="AM250">
        <v>16200</v>
      </c>
      <c r="AN250" t="s">
        <v>25</v>
      </c>
      <c r="AO250">
        <v>1.7454833651030299</v>
      </c>
    </row>
    <row r="251" spans="25:41" x14ac:dyDescent="0.3">
      <c r="Y251" t="str">
        <f t="shared" si="16"/>
        <v>Pass</v>
      </c>
      <c r="Z251">
        <f t="shared" si="17"/>
        <v>44.912796020507813</v>
      </c>
      <c r="AA251">
        <v>10</v>
      </c>
      <c r="AB251">
        <v>10</v>
      </c>
      <c r="AC251">
        <v>40</v>
      </c>
      <c r="AD251" t="s">
        <v>26</v>
      </c>
      <c r="AE251">
        <v>44.912797424390099</v>
      </c>
      <c r="AK251" t="str">
        <f t="shared" si="18"/>
        <v>Pass</v>
      </c>
      <c r="AL251">
        <f t="shared" si="19"/>
        <v>4.1455230712890625</v>
      </c>
      <c r="AM251">
        <v>16200</v>
      </c>
      <c r="AN251" t="s">
        <v>24</v>
      </c>
      <c r="AO251">
        <v>4.1455229921197096</v>
      </c>
    </row>
    <row r="252" spans="25:41" x14ac:dyDescent="0.3">
      <c r="Y252" t="str">
        <f t="shared" si="16"/>
        <v>Pass</v>
      </c>
      <c r="Z252">
        <f t="shared" si="17"/>
        <v>262.72796630859375</v>
      </c>
      <c r="AA252">
        <v>10</v>
      </c>
      <c r="AB252">
        <v>10</v>
      </c>
      <c r="AC252">
        <v>50</v>
      </c>
      <c r="AD252" t="s">
        <v>24</v>
      </c>
      <c r="AE252">
        <v>262.72796249101299</v>
      </c>
      <c r="AK252" t="str">
        <f t="shared" si="18"/>
        <v>Pass</v>
      </c>
      <c r="AL252">
        <f t="shared" si="19"/>
        <v>1.7518129348754883</v>
      </c>
      <c r="AM252">
        <v>16400</v>
      </c>
      <c r="AN252" t="s">
        <v>26</v>
      </c>
      <c r="AO252">
        <v>1.7518129001691001</v>
      </c>
    </row>
    <row r="253" spans="25:41" x14ac:dyDescent="0.3">
      <c r="Y253" t="str">
        <f t="shared" si="16"/>
        <v>Pass</v>
      </c>
      <c r="Z253">
        <f t="shared" si="17"/>
        <v>218.83644104003906</v>
      </c>
      <c r="AA253">
        <v>10</v>
      </c>
      <c r="AB253">
        <v>10</v>
      </c>
      <c r="AC253">
        <v>50</v>
      </c>
      <c r="AD253" t="s">
        <v>25</v>
      </c>
      <c r="AE253">
        <v>218.836440153838</v>
      </c>
      <c r="AK253" t="str">
        <f t="shared" si="18"/>
        <v>Pass</v>
      </c>
      <c r="AL253">
        <f t="shared" si="19"/>
        <v>1.7518129348754883</v>
      </c>
      <c r="AM253">
        <v>16400</v>
      </c>
      <c r="AN253" t="s">
        <v>25</v>
      </c>
      <c r="AO253">
        <v>1.7518129001691001</v>
      </c>
    </row>
    <row r="254" spans="25:41" x14ac:dyDescent="0.3">
      <c r="Y254" t="str">
        <f t="shared" si="16"/>
        <v>Pass</v>
      </c>
      <c r="Z254">
        <f t="shared" si="17"/>
        <v>109.30856323242188</v>
      </c>
      <c r="AA254">
        <v>10</v>
      </c>
      <c r="AB254">
        <v>10</v>
      </c>
      <c r="AC254">
        <v>50</v>
      </c>
      <c r="AD254" t="s">
        <v>26</v>
      </c>
      <c r="AE254">
        <v>109.308559360535</v>
      </c>
      <c r="AK254" t="str">
        <f t="shared" si="18"/>
        <v>Pass</v>
      </c>
      <c r="AL254">
        <f t="shared" si="19"/>
        <v>4.160555362701416</v>
      </c>
      <c r="AM254">
        <v>16400</v>
      </c>
      <c r="AN254" t="s">
        <v>24</v>
      </c>
      <c r="AO254">
        <v>4.1605556379016102</v>
      </c>
    </row>
    <row r="255" spans="25:41" x14ac:dyDescent="0.3">
      <c r="Y255" t="str">
        <f t="shared" si="16"/>
        <v>Pass</v>
      </c>
      <c r="Z255">
        <f t="shared" si="17"/>
        <v>558.494140625</v>
      </c>
      <c r="AA255">
        <v>10</v>
      </c>
      <c r="AB255">
        <v>10</v>
      </c>
      <c r="AC255">
        <v>60</v>
      </c>
      <c r="AD255" t="s">
        <v>24</v>
      </c>
      <c r="AE255">
        <v>558.49412272897905</v>
      </c>
      <c r="AK255" t="str">
        <f t="shared" si="18"/>
        <v>Pass</v>
      </c>
      <c r="AL255">
        <f t="shared" si="19"/>
        <v>1.758088231086731</v>
      </c>
      <c r="AM255">
        <v>16600</v>
      </c>
      <c r="AN255" t="s">
        <v>26</v>
      </c>
      <c r="AO255">
        <v>1.7580882481271101</v>
      </c>
    </row>
    <row r="256" spans="25:41" x14ac:dyDescent="0.3">
      <c r="Y256" t="str">
        <f t="shared" si="16"/>
        <v>Pass</v>
      </c>
      <c r="Z256">
        <f t="shared" si="17"/>
        <v>465.19168090820313</v>
      </c>
      <c r="AA256">
        <v>10</v>
      </c>
      <c r="AB256">
        <v>10</v>
      </c>
      <c r="AC256">
        <v>60</v>
      </c>
      <c r="AD256" t="s">
        <v>25</v>
      </c>
      <c r="AE256">
        <v>465.19169298179003</v>
      </c>
      <c r="AK256" t="str">
        <f t="shared" si="18"/>
        <v>Pass</v>
      </c>
      <c r="AL256">
        <f t="shared" si="19"/>
        <v>1.758088231086731</v>
      </c>
      <c r="AM256">
        <v>16600</v>
      </c>
      <c r="AN256" t="s">
        <v>25</v>
      </c>
      <c r="AO256">
        <v>1.7580882481271101</v>
      </c>
    </row>
    <row r="257" spans="25:41" x14ac:dyDescent="0.3">
      <c r="Y257" t="str">
        <f t="shared" si="16"/>
        <v>Pass</v>
      </c>
      <c r="Z257">
        <f t="shared" si="17"/>
        <v>232.36274719238281</v>
      </c>
      <c r="AA257">
        <v>10</v>
      </c>
      <c r="AB257">
        <v>10</v>
      </c>
      <c r="AC257">
        <v>60</v>
      </c>
      <c r="AD257" t="s">
        <v>26</v>
      </c>
      <c r="AE257">
        <v>232.36273515773399</v>
      </c>
      <c r="AK257" t="str">
        <f t="shared" si="18"/>
        <v>Pass</v>
      </c>
      <c r="AL257">
        <f t="shared" si="19"/>
        <v>4.1754593849182129</v>
      </c>
      <c r="AM257">
        <v>16600</v>
      </c>
      <c r="AN257" t="s">
        <v>24</v>
      </c>
      <c r="AO257">
        <v>4.17545958930189</v>
      </c>
    </row>
    <row r="258" spans="25:41" x14ac:dyDescent="0.3">
      <c r="Y258" t="str">
        <f t="shared" si="16"/>
        <v>Pass</v>
      </c>
      <c r="Z258">
        <f t="shared" si="17"/>
        <v>955.99884033203125</v>
      </c>
      <c r="AA258">
        <v>10</v>
      </c>
      <c r="AB258">
        <v>10</v>
      </c>
      <c r="AC258">
        <v>70</v>
      </c>
      <c r="AD258" t="s">
        <v>24</v>
      </c>
      <c r="AE258">
        <v>955.99877706078496</v>
      </c>
      <c r="AK258" t="str">
        <f t="shared" si="18"/>
        <v>Pass</v>
      </c>
      <c r="AL258">
        <f t="shared" si="19"/>
        <v>1.7643104791641235</v>
      </c>
      <c r="AM258">
        <v>16800</v>
      </c>
      <c r="AN258" t="s">
        <v>26</v>
      </c>
      <c r="AO258">
        <v>1.7643105174374201</v>
      </c>
    </row>
    <row r="259" spans="25:41" x14ac:dyDescent="0.3">
      <c r="Y259" t="str">
        <f t="shared" si="16"/>
        <v>Pass</v>
      </c>
      <c r="Z259">
        <f t="shared" si="17"/>
        <v>796.2889404296875</v>
      </c>
      <c r="AA259">
        <v>10</v>
      </c>
      <c r="AB259">
        <v>10</v>
      </c>
      <c r="AC259">
        <v>70</v>
      </c>
      <c r="AD259" t="s">
        <v>25</v>
      </c>
      <c r="AE259">
        <v>796.28893392175996</v>
      </c>
      <c r="AK259" t="str">
        <f t="shared" si="18"/>
        <v>Pass</v>
      </c>
      <c r="AL259">
        <f t="shared" si="19"/>
        <v>1.7643104791641235</v>
      </c>
      <c r="AM259">
        <v>16800</v>
      </c>
      <c r="AN259" t="s">
        <v>25</v>
      </c>
      <c r="AO259">
        <v>1.7643105174374201</v>
      </c>
    </row>
    <row r="260" spans="25:41" x14ac:dyDescent="0.3">
      <c r="Y260" t="str">
        <f t="shared" si="16"/>
        <v>Pass</v>
      </c>
      <c r="Z260">
        <f t="shared" si="17"/>
        <v>397.74545288085938</v>
      </c>
      <c r="AA260">
        <v>10</v>
      </c>
      <c r="AB260">
        <v>10</v>
      </c>
      <c r="AC260">
        <v>70</v>
      </c>
      <c r="AD260" t="s">
        <v>26</v>
      </c>
      <c r="AE260">
        <v>397.74544011287702</v>
      </c>
      <c r="AK260" t="str">
        <f t="shared" si="18"/>
        <v>Pass</v>
      </c>
      <c r="AL260">
        <f t="shared" si="19"/>
        <v>4.1902375221252441</v>
      </c>
      <c r="AM260">
        <v>16800</v>
      </c>
      <c r="AN260" t="s">
        <v>24</v>
      </c>
      <c r="AO260">
        <v>4.1902374789138896</v>
      </c>
    </row>
    <row r="261" spans="25:41" x14ac:dyDescent="0.3">
      <c r="Y261" t="str">
        <f t="shared" si="16"/>
        <v>Pass</v>
      </c>
      <c r="Z261">
        <f t="shared" si="17"/>
        <v>1296.9471435546875</v>
      </c>
      <c r="AA261">
        <v>10</v>
      </c>
      <c r="AB261">
        <v>10</v>
      </c>
      <c r="AC261">
        <v>80</v>
      </c>
      <c r="AD261" t="s">
        <v>24</v>
      </c>
      <c r="AE261">
        <v>1296.9471114641501</v>
      </c>
      <c r="AK261" t="str">
        <f t="shared" si="18"/>
        <v>Pass</v>
      </c>
      <c r="AL261">
        <f t="shared" si="19"/>
        <v>1.770480751991272</v>
      </c>
      <c r="AM261">
        <v>17000</v>
      </c>
      <c r="AN261" t="s">
        <v>26</v>
      </c>
      <c r="AO261">
        <v>1.7704807810124701</v>
      </c>
    </row>
    <row r="262" spans="25:41" x14ac:dyDescent="0.3">
      <c r="Y262" t="str">
        <f t="shared" si="16"/>
        <v>Pass</v>
      </c>
      <c r="Z262">
        <f t="shared" si="17"/>
        <v>1080.2781982421875</v>
      </c>
      <c r="AA262">
        <v>10</v>
      </c>
      <c r="AB262">
        <v>10</v>
      </c>
      <c r="AC262">
        <v>80</v>
      </c>
      <c r="AD262" t="s">
        <v>25</v>
      </c>
      <c r="AE262">
        <v>1080.2781944092701</v>
      </c>
      <c r="AK262" t="str">
        <f t="shared" si="18"/>
        <v>Pass</v>
      </c>
      <c r="AL262">
        <f t="shared" si="19"/>
        <v>1.770480751991272</v>
      </c>
      <c r="AM262">
        <v>17000</v>
      </c>
      <c r="AN262" t="s">
        <v>25</v>
      </c>
      <c r="AO262">
        <v>1.7704807810124701</v>
      </c>
    </row>
    <row r="263" spans="25:41" x14ac:dyDescent="0.3">
      <c r="Y263" t="str">
        <f t="shared" ref="Y263:Y326" si="20">IF(ISBLANK(Z263),"",IF(ROUND(Z263,0)=ROUND(AE263,0),"Pass","Fail"))</f>
        <v>Pass</v>
      </c>
      <c r="Z263">
        <f t="shared" ref="Z263:Z326" si="21">ROS_grass(AA263,AB263,AC263,AD263)</f>
        <v>539.5977783203125</v>
      </c>
      <c r="AA263">
        <v>10</v>
      </c>
      <c r="AB263">
        <v>10</v>
      </c>
      <c r="AC263">
        <v>80</v>
      </c>
      <c r="AD263" t="s">
        <v>26</v>
      </c>
      <c r="AE263">
        <v>539.59776103315505</v>
      </c>
      <c r="AK263" t="str">
        <f t="shared" ref="AK263:AK308" si="22">IF(ISBLANK(AL263),"",IF(ROUND(AL263,3)=ROUND(AO263,3),"Pass","Fail"))</f>
        <v>Pass</v>
      </c>
      <c r="AL263">
        <f t="shared" ref="AL263:AL308" si="23">Flame_height_grass(AM263,AN263)</f>
        <v>4.2048916816711426</v>
      </c>
      <c r="AM263">
        <v>17000</v>
      </c>
      <c r="AN263" t="s">
        <v>24</v>
      </c>
      <c r="AO263">
        <v>4.2048918549046199</v>
      </c>
    </row>
    <row r="264" spans="25:41" x14ac:dyDescent="0.3">
      <c r="Y264" t="str">
        <f t="shared" si="20"/>
        <v>Pass</v>
      </c>
      <c r="Z264">
        <f t="shared" si="21"/>
        <v>1493.70849609375</v>
      </c>
      <c r="AA264">
        <v>10</v>
      </c>
      <c r="AB264">
        <v>10</v>
      </c>
      <c r="AC264">
        <v>90</v>
      </c>
      <c r="AD264" t="s">
        <v>24</v>
      </c>
      <c r="AE264">
        <v>1493.70845103533</v>
      </c>
      <c r="AK264" t="str">
        <f t="shared" si="22"/>
        <v>Pass</v>
      </c>
      <c r="AL264">
        <f t="shared" si="23"/>
        <v>1.7766001224517822</v>
      </c>
      <c r="AM264">
        <v>17200</v>
      </c>
      <c r="AN264" t="s">
        <v>26</v>
      </c>
      <c r="AO264">
        <v>1.77660007775992</v>
      </c>
    </row>
    <row r="265" spans="25:41" x14ac:dyDescent="0.3">
      <c r="Y265" t="str">
        <f t="shared" si="20"/>
        <v>Pass</v>
      </c>
      <c r="Z265">
        <f t="shared" si="21"/>
        <v>1244.16845703125</v>
      </c>
      <c r="AA265">
        <v>10</v>
      </c>
      <c r="AB265">
        <v>10</v>
      </c>
      <c r="AC265">
        <v>90</v>
      </c>
      <c r="AD265" t="s">
        <v>25</v>
      </c>
      <c r="AE265">
        <v>1244.16844310379</v>
      </c>
      <c r="AK265" t="str">
        <f t="shared" si="22"/>
        <v>Pass</v>
      </c>
      <c r="AL265">
        <f t="shared" si="23"/>
        <v>1.7766001224517822</v>
      </c>
      <c r="AM265">
        <v>17200</v>
      </c>
      <c r="AN265" t="s">
        <v>25</v>
      </c>
      <c r="AO265">
        <v>1.77660007775992</v>
      </c>
    </row>
    <row r="266" spans="25:41" x14ac:dyDescent="0.3">
      <c r="Y266" t="str">
        <f t="shared" si="20"/>
        <v>Pass</v>
      </c>
      <c r="Z266">
        <f t="shared" si="21"/>
        <v>621.4608154296875</v>
      </c>
      <c r="AA266">
        <v>10</v>
      </c>
      <c r="AB266">
        <v>10</v>
      </c>
      <c r="AC266">
        <v>90</v>
      </c>
      <c r="AD266" t="s">
        <v>26</v>
      </c>
      <c r="AE266">
        <v>621.46075864655302</v>
      </c>
      <c r="AK266" t="str">
        <f t="shared" si="22"/>
        <v>Pass</v>
      </c>
      <c r="AL266">
        <f t="shared" si="23"/>
        <v>4.2194252014160156</v>
      </c>
      <c r="AM266">
        <v>17200</v>
      </c>
      <c r="AN266" t="s">
        <v>24</v>
      </c>
      <c r="AO266">
        <v>4.2194251846798299</v>
      </c>
    </row>
    <row r="267" spans="25:41" x14ac:dyDescent="0.3">
      <c r="Y267" t="str">
        <f t="shared" si="20"/>
        <v>Pass</v>
      </c>
      <c r="Z267">
        <f t="shared" si="21"/>
        <v>1582.377197265625</v>
      </c>
      <c r="AA267">
        <v>10</v>
      </c>
      <c r="AB267">
        <v>10</v>
      </c>
      <c r="AC267">
        <v>100</v>
      </c>
      <c r="AD267" t="s">
        <v>24</v>
      </c>
      <c r="AE267">
        <v>1582.3771212873901</v>
      </c>
      <c r="AK267" t="str">
        <f t="shared" si="22"/>
        <v>Pass</v>
      </c>
      <c r="AL267">
        <f t="shared" si="23"/>
        <v>1.7826694250106812</v>
      </c>
      <c r="AM267">
        <v>17400</v>
      </c>
      <c r="AN267" t="s">
        <v>26</v>
      </c>
      <c r="AO267">
        <v>1.78266941404182</v>
      </c>
    </row>
    <row r="268" spans="25:41" x14ac:dyDescent="0.3">
      <c r="Y268" t="str">
        <f t="shared" si="20"/>
        <v>Pass</v>
      </c>
      <c r="Z268">
        <f t="shared" si="21"/>
        <v>1318.0240478515625</v>
      </c>
      <c r="AA268">
        <v>10</v>
      </c>
      <c r="AB268">
        <v>10</v>
      </c>
      <c r="AC268">
        <v>100</v>
      </c>
      <c r="AD268" t="s">
        <v>25</v>
      </c>
      <c r="AE268">
        <v>1318.0240615433399</v>
      </c>
      <c r="AK268" t="str">
        <f t="shared" si="22"/>
        <v>Pass</v>
      </c>
      <c r="AL268">
        <f t="shared" si="23"/>
        <v>1.7826694250106812</v>
      </c>
      <c r="AM268">
        <v>17400</v>
      </c>
      <c r="AN268" t="s">
        <v>25</v>
      </c>
      <c r="AO268">
        <v>1.78266941404182</v>
      </c>
    </row>
    <row r="269" spans="25:41" x14ac:dyDescent="0.3">
      <c r="Y269" t="str">
        <f t="shared" si="20"/>
        <v>Pass</v>
      </c>
      <c r="Z269">
        <f t="shared" si="21"/>
        <v>658.35162353515625</v>
      </c>
      <c r="AA269">
        <v>10</v>
      </c>
      <c r="AB269">
        <v>10</v>
      </c>
      <c r="AC269">
        <v>100</v>
      </c>
      <c r="AD269" t="s">
        <v>26</v>
      </c>
      <c r="AE269">
        <v>658.35155821646401</v>
      </c>
      <c r="AK269" t="str">
        <f t="shared" si="22"/>
        <v>Pass</v>
      </c>
      <c r="AL269">
        <f t="shared" si="23"/>
        <v>4.2338399887084961</v>
      </c>
      <c r="AM269">
        <v>17400</v>
      </c>
      <c r="AN269" t="s">
        <v>24</v>
      </c>
      <c r="AO269">
        <v>4.2338398583493397</v>
      </c>
    </row>
    <row r="270" spans="25:41" x14ac:dyDescent="0.3">
      <c r="Y270" t="str">
        <f t="shared" si="20"/>
        <v>Pass</v>
      </c>
      <c r="Z270">
        <f t="shared" si="21"/>
        <v>1.0815345048904419</v>
      </c>
      <c r="AA270">
        <v>10</v>
      </c>
      <c r="AB270">
        <v>15</v>
      </c>
      <c r="AC270">
        <v>0</v>
      </c>
      <c r="AD270" t="s">
        <v>24</v>
      </c>
      <c r="AE270">
        <v>1.0815345287147</v>
      </c>
      <c r="AK270" t="str">
        <f t="shared" si="22"/>
        <v>Pass</v>
      </c>
      <c r="AL270">
        <f t="shared" si="23"/>
        <v>1.7886897325515747</v>
      </c>
      <c r="AM270">
        <v>17600</v>
      </c>
      <c r="AN270" t="s">
        <v>26</v>
      </c>
      <c r="AO270">
        <v>1.78868976505504</v>
      </c>
    </row>
    <row r="271" spans="25:41" x14ac:dyDescent="0.3">
      <c r="Y271" t="str">
        <f t="shared" si="20"/>
        <v>Pass</v>
      </c>
      <c r="Z271">
        <f t="shared" si="21"/>
        <v>0.90085262060165405</v>
      </c>
      <c r="AA271">
        <v>10</v>
      </c>
      <c r="AB271">
        <v>15</v>
      </c>
      <c r="AC271">
        <v>0</v>
      </c>
      <c r="AD271" t="s">
        <v>25</v>
      </c>
      <c r="AE271">
        <v>0.90085259263364603</v>
      </c>
      <c r="AK271" t="str">
        <f t="shared" si="22"/>
        <v>Pass</v>
      </c>
      <c r="AL271">
        <f t="shared" si="23"/>
        <v>1.7886897325515747</v>
      </c>
      <c r="AM271">
        <v>17600</v>
      </c>
      <c r="AN271" t="s">
        <v>25</v>
      </c>
      <c r="AO271">
        <v>1.78868976505504</v>
      </c>
    </row>
    <row r="272" spans="25:41" x14ac:dyDescent="0.3">
      <c r="Y272" t="str">
        <f t="shared" si="20"/>
        <v>Pass</v>
      </c>
      <c r="Z272">
        <f t="shared" si="21"/>
        <v>0.44997489452362061</v>
      </c>
      <c r="AA272">
        <v>10</v>
      </c>
      <c r="AB272">
        <v>15</v>
      </c>
      <c r="AC272">
        <v>0</v>
      </c>
      <c r="AD272" t="s">
        <v>26</v>
      </c>
      <c r="AE272">
        <v>0.44997487177073098</v>
      </c>
      <c r="AK272" t="str">
        <f t="shared" si="22"/>
        <v>Pass</v>
      </c>
      <c r="AL272">
        <f t="shared" si="23"/>
        <v>4.2481379508972168</v>
      </c>
      <c r="AM272">
        <v>17600</v>
      </c>
      <c r="AN272" t="s">
        <v>24</v>
      </c>
      <c r="AO272">
        <v>4.2481381920057304</v>
      </c>
    </row>
    <row r="273" spans="25:41" x14ac:dyDescent="0.3">
      <c r="Y273" t="str">
        <f t="shared" si="20"/>
        <v>Pass</v>
      </c>
      <c r="Z273">
        <f t="shared" si="21"/>
        <v>2.9216437339782715</v>
      </c>
      <c r="AA273">
        <v>10</v>
      </c>
      <c r="AB273">
        <v>15</v>
      </c>
      <c r="AC273">
        <v>10</v>
      </c>
      <c r="AD273" t="s">
        <v>24</v>
      </c>
      <c r="AE273">
        <v>2.9216436797436902</v>
      </c>
      <c r="AK273" t="str">
        <f t="shared" si="22"/>
        <v>Pass</v>
      </c>
      <c r="AL273">
        <f t="shared" si="23"/>
        <v>1.7946621179580688</v>
      </c>
      <c r="AM273">
        <v>17800</v>
      </c>
      <c r="AN273" t="s">
        <v>26</v>
      </c>
      <c r="AO273">
        <v>1.7946620761382699</v>
      </c>
    </row>
    <row r="274" spans="25:41" x14ac:dyDescent="0.3">
      <c r="Y274" t="str">
        <f t="shared" si="20"/>
        <v>Pass</v>
      </c>
      <c r="Z274">
        <f t="shared" si="21"/>
        <v>2.4335520267486572</v>
      </c>
      <c r="AA274">
        <v>10</v>
      </c>
      <c r="AB274">
        <v>15</v>
      </c>
      <c r="AC274">
        <v>10</v>
      </c>
      <c r="AD274" t="s">
        <v>25</v>
      </c>
      <c r="AE274">
        <v>2.4335517856990201</v>
      </c>
      <c r="AK274" t="str">
        <f t="shared" si="22"/>
        <v>Pass</v>
      </c>
      <c r="AL274">
        <f t="shared" si="23"/>
        <v>1.7946621179580688</v>
      </c>
      <c r="AM274">
        <v>17800</v>
      </c>
      <c r="AN274" t="s">
        <v>25</v>
      </c>
      <c r="AO274">
        <v>1.7946620761382699</v>
      </c>
    </row>
    <row r="275" spans="25:41" x14ac:dyDescent="0.3">
      <c r="Y275" t="str">
        <f t="shared" si="20"/>
        <v>Pass</v>
      </c>
      <c r="Z275">
        <f t="shared" si="21"/>
        <v>1.2155565023422241</v>
      </c>
      <c r="AA275">
        <v>10</v>
      </c>
      <c r="AB275">
        <v>15</v>
      </c>
      <c r="AC275">
        <v>10</v>
      </c>
      <c r="AD275" t="s">
        <v>26</v>
      </c>
      <c r="AE275">
        <v>1.2155564202973601</v>
      </c>
      <c r="AK275" t="str">
        <f t="shared" si="22"/>
        <v>Pass</v>
      </c>
      <c r="AL275">
        <f t="shared" si="23"/>
        <v>4.2623224258422852</v>
      </c>
      <c r="AM275">
        <v>17800</v>
      </c>
      <c r="AN275" t="s">
        <v>24</v>
      </c>
      <c r="AO275">
        <v>4.2623224308284096</v>
      </c>
    </row>
    <row r="276" spans="25:41" x14ac:dyDescent="0.3">
      <c r="Y276" t="str">
        <f t="shared" si="20"/>
        <v>Pass</v>
      </c>
      <c r="Z276">
        <f t="shared" si="21"/>
        <v>7.862633228302002</v>
      </c>
      <c r="AA276">
        <v>10</v>
      </c>
      <c r="AB276">
        <v>15</v>
      </c>
      <c r="AC276">
        <v>20</v>
      </c>
      <c r="AD276" t="s">
        <v>24</v>
      </c>
      <c r="AE276">
        <v>7.8626324375012304</v>
      </c>
      <c r="AK276" t="str">
        <f t="shared" si="22"/>
        <v>Pass</v>
      </c>
      <c r="AL276">
        <f t="shared" si="23"/>
        <v>1.8005872964859009</v>
      </c>
      <c r="AM276">
        <v>18000</v>
      </c>
      <c r="AN276" t="s">
        <v>26</v>
      </c>
      <c r="AO276">
        <v>1.8005872640101901</v>
      </c>
    </row>
    <row r="277" spans="25:41" x14ac:dyDescent="0.3">
      <c r="Y277" t="str">
        <f t="shared" si="20"/>
        <v>Pass</v>
      </c>
      <c r="Z277">
        <f t="shared" si="21"/>
        <v>6.5490961074829102</v>
      </c>
      <c r="AA277">
        <v>10</v>
      </c>
      <c r="AB277">
        <v>15</v>
      </c>
      <c r="AC277">
        <v>20</v>
      </c>
      <c r="AD277" t="s">
        <v>25</v>
      </c>
      <c r="AE277">
        <v>6.5490954086005297</v>
      </c>
      <c r="AK277" t="str">
        <f t="shared" si="22"/>
        <v>Pass</v>
      </c>
      <c r="AL277">
        <f t="shared" si="23"/>
        <v>1.8005872964859009</v>
      </c>
      <c r="AM277">
        <v>18000</v>
      </c>
      <c r="AN277" t="s">
        <v>25</v>
      </c>
      <c r="AO277">
        <v>1.8005872640101901</v>
      </c>
    </row>
    <row r="278" spans="25:41" x14ac:dyDescent="0.3">
      <c r="Y278" t="str">
        <f t="shared" si="20"/>
        <v>Pass</v>
      </c>
      <c r="Z278">
        <f t="shared" si="21"/>
        <v>3.2712662220001221</v>
      </c>
      <c r="AA278">
        <v>10</v>
      </c>
      <c r="AB278">
        <v>15</v>
      </c>
      <c r="AC278">
        <v>20</v>
      </c>
      <c r="AD278" t="s">
        <v>26</v>
      </c>
      <c r="AE278">
        <v>3.2712658994341699</v>
      </c>
      <c r="AK278" t="str">
        <f t="shared" si="22"/>
        <v>Pass</v>
      </c>
      <c r="AL278">
        <f t="shared" si="23"/>
        <v>4.2763948440551758</v>
      </c>
      <c r="AM278">
        <v>18000</v>
      </c>
      <c r="AN278" t="s">
        <v>24</v>
      </c>
      <c r="AO278">
        <v>4.2763947520242098</v>
      </c>
    </row>
    <row r="279" spans="25:41" x14ac:dyDescent="0.3">
      <c r="Y279" t="str">
        <f t="shared" si="20"/>
        <v>Pass</v>
      </c>
      <c r="Z279">
        <f t="shared" si="21"/>
        <v>20.946872711181641</v>
      </c>
      <c r="AA279">
        <v>10</v>
      </c>
      <c r="AB279">
        <v>15</v>
      </c>
      <c r="AC279">
        <v>30</v>
      </c>
      <c r="AD279" t="s">
        <v>24</v>
      </c>
      <c r="AE279">
        <v>20.946872379697901</v>
      </c>
      <c r="AK279" t="str">
        <f t="shared" si="22"/>
        <v>Pass</v>
      </c>
      <c r="AL279">
        <f t="shared" si="23"/>
        <v>1.8064662218093872</v>
      </c>
      <c r="AM279">
        <v>18200</v>
      </c>
      <c r="AN279" t="s">
        <v>26</v>
      </c>
      <c r="AO279">
        <v>1.8064662179430899</v>
      </c>
    </row>
    <row r="280" spans="25:41" x14ac:dyDescent="0.3">
      <c r="Y280" t="str">
        <f t="shared" si="20"/>
        <v>Pass</v>
      </c>
      <c r="Z280">
        <f t="shared" si="21"/>
        <v>17.447473526000977</v>
      </c>
      <c r="AA280">
        <v>10</v>
      </c>
      <c r="AB280">
        <v>15</v>
      </c>
      <c r="AC280">
        <v>30</v>
      </c>
      <c r="AD280" t="s">
        <v>25</v>
      </c>
      <c r="AE280">
        <v>17.447472817388601</v>
      </c>
      <c r="AK280" t="str">
        <f t="shared" si="22"/>
        <v>Pass</v>
      </c>
      <c r="AL280">
        <f t="shared" si="23"/>
        <v>1.8064662218093872</v>
      </c>
      <c r="AM280">
        <v>18200</v>
      </c>
      <c r="AN280" t="s">
        <v>25</v>
      </c>
      <c r="AO280">
        <v>1.8064662179430899</v>
      </c>
    </row>
    <row r="281" spans="25:41" x14ac:dyDescent="0.3">
      <c r="Y281" t="str">
        <f t="shared" si="20"/>
        <v>Pass</v>
      </c>
      <c r="Z281">
        <f t="shared" si="21"/>
        <v>8.7149934768676758</v>
      </c>
      <c r="AA281">
        <v>10</v>
      </c>
      <c r="AB281">
        <v>15</v>
      </c>
      <c r="AC281">
        <v>30</v>
      </c>
      <c r="AD281" t="s">
        <v>26</v>
      </c>
      <c r="AE281">
        <v>8.7149933384501708</v>
      </c>
      <c r="AK281" t="str">
        <f t="shared" si="22"/>
        <v>Pass</v>
      </c>
      <c r="AL281">
        <f t="shared" si="23"/>
        <v>4.2903571128845215</v>
      </c>
      <c r="AM281">
        <v>18200</v>
      </c>
      <c r="AN281" t="s">
        <v>24</v>
      </c>
      <c r="AO281">
        <v>4.2903572676148496</v>
      </c>
    </row>
    <row r="282" spans="25:41" x14ac:dyDescent="0.3">
      <c r="Y282" t="str">
        <f t="shared" si="20"/>
        <v>Pass</v>
      </c>
      <c r="Z282">
        <f t="shared" si="21"/>
        <v>54.357112884521484</v>
      </c>
      <c r="AA282">
        <v>10</v>
      </c>
      <c r="AB282">
        <v>15</v>
      </c>
      <c r="AC282">
        <v>40</v>
      </c>
      <c r="AD282" t="s">
        <v>24</v>
      </c>
      <c r="AE282">
        <v>54.3571132258025</v>
      </c>
      <c r="AK282" t="str">
        <f t="shared" si="22"/>
        <v>Pass</v>
      </c>
      <c r="AL282">
        <f t="shared" si="23"/>
        <v>1.8122998476028442</v>
      </c>
      <c r="AM282">
        <v>18400</v>
      </c>
      <c r="AN282" t="s">
        <v>26</v>
      </c>
      <c r="AO282">
        <v>1.81229980087614</v>
      </c>
    </row>
    <row r="283" spans="25:41" x14ac:dyDescent="0.3">
      <c r="Y283" t="str">
        <f t="shared" si="20"/>
        <v>Pass</v>
      </c>
      <c r="Z283">
        <f t="shared" si="21"/>
        <v>45.276176452636719</v>
      </c>
      <c r="AA283">
        <v>10</v>
      </c>
      <c r="AB283">
        <v>15</v>
      </c>
      <c r="AC283">
        <v>40</v>
      </c>
      <c r="AD283" t="s">
        <v>25</v>
      </c>
      <c r="AE283">
        <v>45.276174802979497</v>
      </c>
      <c r="AK283" t="str">
        <f t="shared" si="22"/>
        <v>Pass</v>
      </c>
      <c r="AL283">
        <f t="shared" si="23"/>
        <v>1.8122998476028442</v>
      </c>
      <c r="AM283">
        <v>18400</v>
      </c>
      <c r="AN283" t="s">
        <v>25</v>
      </c>
      <c r="AO283">
        <v>1.81229980087614</v>
      </c>
    </row>
    <row r="284" spans="25:41" x14ac:dyDescent="0.3">
      <c r="Y284" t="str">
        <f t="shared" si="20"/>
        <v>Pass</v>
      </c>
      <c r="Z284">
        <f t="shared" si="21"/>
        <v>22.615400314331055</v>
      </c>
      <c r="AA284">
        <v>10</v>
      </c>
      <c r="AB284">
        <v>15</v>
      </c>
      <c r="AC284">
        <v>40</v>
      </c>
      <c r="AD284" t="s">
        <v>26</v>
      </c>
      <c r="AE284">
        <v>22.6153991428042</v>
      </c>
      <c r="AK284" t="str">
        <f t="shared" si="22"/>
        <v>Pass</v>
      </c>
      <c r="AL284">
        <f t="shared" si="23"/>
        <v>4.3042120933532715</v>
      </c>
      <c r="AM284">
        <v>18400</v>
      </c>
      <c r="AN284" t="s">
        <v>24</v>
      </c>
      <c r="AO284">
        <v>4.3042120270808404</v>
      </c>
    </row>
    <row r="285" spans="25:41" x14ac:dyDescent="0.3">
      <c r="Y285" t="str">
        <f t="shared" si="20"/>
        <v>Pass</v>
      </c>
      <c r="Z285">
        <f t="shared" si="21"/>
        <v>132.29409790039063</v>
      </c>
      <c r="AA285">
        <v>10</v>
      </c>
      <c r="AB285">
        <v>15</v>
      </c>
      <c r="AC285">
        <v>50</v>
      </c>
      <c r="AD285" t="s">
        <v>24</v>
      </c>
      <c r="AE285">
        <v>132.29409162750801</v>
      </c>
      <c r="AK285" t="str">
        <f t="shared" si="22"/>
        <v>Pass</v>
      </c>
      <c r="AL285">
        <f t="shared" si="23"/>
        <v>1.8180888891220093</v>
      </c>
      <c r="AM285">
        <v>18600</v>
      </c>
      <c r="AN285" t="s">
        <v>26</v>
      </c>
      <c r="AO285">
        <v>1.81808885047185</v>
      </c>
    </row>
    <row r="286" spans="25:41" x14ac:dyDescent="0.3">
      <c r="Y286" t="str">
        <f t="shared" si="20"/>
        <v>Pass</v>
      </c>
      <c r="Z286">
        <f t="shared" si="21"/>
        <v>110.19294738769531</v>
      </c>
      <c r="AA286">
        <v>10</v>
      </c>
      <c r="AB286">
        <v>15</v>
      </c>
      <c r="AC286">
        <v>50</v>
      </c>
      <c r="AD286" t="s">
        <v>25</v>
      </c>
      <c r="AE286">
        <v>110.192945549676</v>
      </c>
      <c r="AK286" t="str">
        <f t="shared" si="22"/>
        <v>Pass</v>
      </c>
      <c r="AL286">
        <f t="shared" si="23"/>
        <v>1.8180888891220093</v>
      </c>
      <c r="AM286">
        <v>18600</v>
      </c>
      <c r="AN286" t="s">
        <v>25</v>
      </c>
      <c r="AO286">
        <v>1.81808885047185</v>
      </c>
    </row>
    <row r="287" spans="25:41" x14ac:dyDescent="0.3">
      <c r="Y287" t="str">
        <f t="shared" si="20"/>
        <v>Pass</v>
      </c>
      <c r="Z287">
        <f t="shared" si="21"/>
        <v>55.041255950927734</v>
      </c>
      <c r="AA287">
        <v>10</v>
      </c>
      <c r="AB287">
        <v>15</v>
      </c>
      <c r="AC287">
        <v>50</v>
      </c>
      <c r="AD287" t="s">
        <v>26</v>
      </c>
      <c r="AE287">
        <v>55.041254195423399</v>
      </c>
      <c r="AK287" t="str">
        <f t="shared" si="22"/>
        <v>Pass</v>
      </c>
      <c r="AL287">
        <f t="shared" si="23"/>
        <v>4.3179612159729004</v>
      </c>
      <c r="AM287">
        <v>18600</v>
      </c>
      <c r="AN287" t="s">
        <v>24</v>
      </c>
      <c r="AO287">
        <v>4.3179610198706602</v>
      </c>
    </row>
    <row r="288" spans="25:41" x14ac:dyDescent="0.3">
      <c r="Y288" t="str">
        <f t="shared" si="20"/>
        <v>Pass</v>
      </c>
      <c r="Z288">
        <f t="shared" si="21"/>
        <v>281.2242431640625</v>
      </c>
      <c r="AA288">
        <v>10</v>
      </c>
      <c r="AB288">
        <v>15</v>
      </c>
      <c r="AC288">
        <v>60</v>
      </c>
      <c r="AD288" t="s">
        <v>24</v>
      </c>
      <c r="AE288">
        <v>281.22424406294198</v>
      </c>
      <c r="AK288" t="str">
        <f t="shared" si="22"/>
        <v>Pass</v>
      </c>
      <c r="AL288">
        <f t="shared" si="23"/>
        <v>1.8238341808319092</v>
      </c>
      <c r="AM288">
        <v>18800</v>
      </c>
      <c r="AN288" t="s">
        <v>26</v>
      </c>
      <c r="AO288">
        <v>1.8238341801193401</v>
      </c>
    </row>
    <row r="289" spans="25:41" x14ac:dyDescent="0.3">
      <c r="Y289" t="str">
        <f t="shared" si="20"/>
        <v>Pass</v>
      </c>
      <c r="Z289">
        <f t="shared" si="21"/>
        <v>234.24273681640625</v>
      </c>
      <c r="AA289">
        <v>10</v>
      </c>
      <c r="AB289">
        <v>15</v>
      </c>
      <c r="AC289">
        <v>60</v>
      </c>
      <c r="AD289" t="s">
        <v>25</v>
      </c>
      <c r="AE289">
        <v>234.24271962598399</v>
      </c>
      <c r="AK289" t="str">
        <f t="shared" si="22"/>
        <v>Pass</v>
      </c>
      <c r="AL289">
        <f t="shared" si="23"/>
        <v>1.8238341808319092</v>
      </c>
      <c r="AM289">
        <v>18800</v>
      </c>
      <c r="AN289" t="s">
        <v>25</v>
      </c>
      <c r="AO289">
        <v>1.8238341801193401</v>
      </c>
    </row>
    <row r="290" spans="25:41" x14ac:dyDescent="0.3">
      <c r="Y290" t="str">
        <f t="shared" si="20"/>
        <v>Pass</v>
      </c>
      <c r="Z290">
        <f t="shared" si="21"/>
        <v>117.00398254394531</v>
      </c>
      <c r="AA290">
        <v>10</v>
      </c>
      <c r="AB290">
        <v>15</v>
      </c>
      <c r="AC290">
        <v>60</v>
      </c>
      <c r="AD290" t="s">
        <v>26</v>
      </c>
      <c r="AE290">
        <v>117.00397888491599</v>
      </c>
      <c r="AK290" t="str">
        <f t="shared" si="22"/>
        <v>Pass</v>
      </c>
      <c r="AL290">
        <f t="shared" si="23"/>
        <v>4.331606388092041</v>
      </c>
      <c r="AM290">
        <v>18800</v>
      </c>
      <c r="AN290" t="s">
        <v>24</v>
      </c>
      <c r="AO290">
        <v>4.33160617778345</v>
      </c>
    </row>
    <row r="291" spans="25:41" x14ac:dyDescent="0.3">
      <c r="Y291" t="str">
        <f t="shared" si="20"/>
        <v>Pass</v>
      </c>
      <c r="Z291">
        <f t="shared" si="21"/>
        <v>481.38385009765625</v>
      </c>
      <c r="AA291">
        <v>10</v>
      </c>
      <c r="AB291">
        <v>15</v>
      </c>
      <c r="AC291">
        <v>70</v>
      </c>
      <c r="AD291" t="s">
        <v>24</v>
      </c>
      <c r="AE291">
        <v>481.38381849092701</v>
      </c>
      <c r="AK291" t="str">
        <f t="shared" si="22"/>
        <v>Pass</v>
      </c>
      <c r="AL291">
        <f t="shared" si="23"/>
        <v>1.8295365571975708</v>
      </c>
      <c r="AM291">
        <v>19000</v>
      </c>
      <c r="AN291" t="s">
        <v>26</v>
      </c>
      <c r="AO291">
        <v>1.82953657988754</v>
      </c>
    </row>
    <row r="292" spans="25:41" x14ac:dyDescent="0.3">
      <c r="Y292" t="str">
        <f t="shared" si="20"/>
        <v>Pass</v>
      </c>
      <c r="Z292">
        <f t="shared" si="21"/>
        <v>400.96353149414063</v>
      </c>
      <c r="AA292">
        <v>10</v>
      </c>
      <c r="AB292">
        <v>15</v>
      </c>
      <c r="AC292">
        <v>70</v>
      </c>
      <c r="AD292" t="s">
        <v>25</v>
      </c>
      <c r="AE292">
        <v>400.96349161851799</v>
      </c>
      <c r="AK292" t="str">
        <f t="shared" si="22"/>
        <v>Pass</v>
      </c>
      <c r="AL292">
        <f t="shared" si="23"/>
        <v>1.8295365571975708</v>
      </c>
      <c r="AM292">
        <v>19000</v>
      </c>
      <c r="AN292" t="s">
        <v>25</v>
      </c>
      <c r="AO292">
        <v>1.82953657988754</v>
      </c>
    </row>
    <row r="293" spans="25:41" x14ac:dyDescent="0.3">
      <c r="Y293" t="str">
        <f t="shared" si="20"/>
        <v>Pass</v>
      </c>
      <c r="Z293">
        <f t="shared" si="21"/>
        <v>200.28083801269531</v>
      </c>
      <c r="AA293">
        <v>10</v>
      </c>
      <c r="AB293">
        <v>15</v>
      </c>
      <c r="AC293">
        <v>70</v>
      </c>
      <c r="AD293" t="s">
        <v>26</v>
      </c>
      <c r="AE293">
        <v>200.28081974912101</v>
      </c>
      <c r="AK293" t="str">
        <f t="shared" si="22"/>
        <v>Pass</v>
      </c>
      <c r="AL293">
        <f t="shared" si="23"/>
        <v>4.3451495170593262</v>
      </c>
      <c r="AM293">
        <v>19000</v>
      </c>
      <c r="AN293" t="s">
        <v>24</v>
      </c>
      <c r="AO293">
        <v>4.3451493772329099</v>
      </c>
    </row>
    <row r="294" spans="25:41" x14ac:dyDescent="0.3">
      <c r="Y294" t="str">
        <f t="shared" si="20"/>
        <v>Pass</v>
      </c>
      <c r="Z294">
        <f t="shared" si="21"/>
        <v>653.0650634765625</v>
      </c>
      <c r="AA294">
        <v>10</v>
      </c>
      <c r="AB294">
        <v>15</v>
      </c>
      <c r="AC294">
        <v>80</v>
      </c>
      <c r="AD294" t="s">
        <v>24</v>
      </c>
      <c r="AE294">
        <v>653.06501208807902</v>
      </c>
      <c r="AK294" t="str">
        <f t="shared" si="22"/>
        <v>Pass</v>
      </c>
      <c r="AL294">
        <f t="shared" si="23"/>
        <v>1.835196852684021</v>
      </c>
      <c r="AM294">
        <v>19200</v>
      </c>
      <c r="AN294" t="s">
        <v>26</v>
      </c>
      <c r="AO294">
        <v>1.83519681743136</v>
      </c>
    </row>
    <row r="295" spans="25:41" x14ac:dyDescent="0.3">
      <c r="Y295" t="str">
        <f t="shared" si="20"/>
        <v>Pass</v>
      </c>
      <c r="Z295">
        <f t="shared" si="21"/>
        <v>543.96356201171875</v>
      </c>
      <c r="AA295">
        <v>10</v>
      </c>
      <c r="AB295">
        <v>15</v>
      </c>
      <c r="AC295">
        <v>80</v>
      </c>
      <c r="AD295" t="s">
        <v>25</v>
      </c>
      <c r="AE295">
        <v>543.96350156016297</v>
      </c>
      <c r="AK295" t="str">
        <f t="shared" si="22"/>
        <v>Pass</v>
      </c>
      <c r="AL295">
        <f t="shared" si="23"/>
        <v>1.835196852684021</v>
      </c>
      <c r="AM295">
        <v>19200</v>
      </c>
      <c r="AN295" t="s">
        <v>25</v>
      </c>
      <c r="AO295">
        <v>1.83519681743136</v>
      </c>
    </row>
    <row r="296" spans="25:41" x14ac:dyDescent="0.3">
      <c r="Y296" t="str">
        <f t="shared" si="20"/>
        <v>Pass</v>
      </c>
      <c r="Z296">
        <f t="shared" si="21"/>
        <v>271.70919799804688</v>
      </c>
      <c r="AA296">
        <v>10</v>
      </c>
      <c r="AB296">
        <v>15</v>
      </c>
      <c r="AC296">
        <v>80</v>
      </c>
      <c r="AD296" t="s">
        <v>26</v>
      </c>
      <c r="AE296">
        <v>271.70916625427702</v>
      </c>
      <c r="AK296" t="str">
        <f t="shared" si="22"/>
        <v>Pass</v>
      </c>
      <c r="AL296">
        <f t="shared" si="23"/>
        <v>4.3585925102233887</v>
      </c>
      <c r="AM296">
        <v>19200</v>
      </c>
      <c r="AN296" t="s">
        <v>24</v>
      </c>
      <c r="AO296">
        <v>4.3585924413994803</v>
      </c>
    </row>
    <row r="297" spans="25:41" x14ac:dyDescent="0.3">
      <c r="Y297" t="str">
        <f t="shared" si="20"/>
        <v>Pass</v>
      </c>
      <c r="Z297">
        <f t="shared" si="21"/>
        <v>752.142333984375</v>
      </c>
      <c r="AA297">
        <v>10</v>
      </c>
      <c r="AB297">
        <v>15</v>
      </c>
      <c r="AC297">
        <v>90</v>
      </c>
      <c r="AD297" t="s">
        <v>24</v>
      </c>
      <c r="AE297">
        <v>752.14225700399197</v>
      </c>
      <c r="AK297" t="str">
        <f t="shared" si="22"/>
        <v>Pass</v>
      </c>
      <c r="AL297">
        <f t="shared" si="23"/>
        <v>1.8408156633377075</v>
      </c>
      <c r="AM297">
        <v>19400</v>
      </c>
      <c r="AN297" t="s">
        <v>26</v>
      </c>
      <c r="AO297">
        <v>1.8408156388536301</v>
      </c>
    </row>
    <row r="298" spans="25:41" x14ac:dyDescent="0.3">
      <c r="Y298" t="str">
        <f t="shared" si="20"/>
        <v>Pass</v>
      </c>
      <c r="Z298">
        <f t="shared" si="21"/>
        <v>626.4888916015625</v>
      </c>
      <c r="AA298">
        <v>10</v>
      </c>
      <c r="AB298">
        <v>15</v>
      </c>
      <c r="AC298">
        <v>90</v>
      </c>
      <c r="AD298" t="s">
        <v>25</v>
      </c>
      <c r="AE298">
        <v>626.48883069557996</v>
      </c>
      <c r="AK298" t="str">
        <f t="shared" si="22"/>
        <v>Pass</v>
      </c>
      <c r="AL298">
        <f t="shared" si="23"/>
        <v>1.8408156633377075</v>
      </c>
      <c r="AM298">
        <v>19400</v>
      </c>
      <c r="AN298" t="s">
        <v>25</v>
      </c>
      <c r="AO298">
        <v>1.8408156388536301</v>
      </c>
    </row>
    <row r="299" spans="25:41" x14ac:dyDescent="0.3">
      <c r="Y299" t="str">
        <f t="shared" si="20"/>
        <v>Pass</v>
      </c>
      <c r="Z299">
        <f t="shared" si="21"/>
        <v>312.93051147460938</v>
      </c>
      <c r="AA299">
        <v>10</v>
      </c>
      <c r="AB299">
        <v>15</v>
      </c>
      <c r="AC299">
        <v>90</v>
      </c>
      <c r="AD299" t="s">
        <v>26</v>
      </c>
      <c r="AE299">
        <v>312.93047670972499</v>
      </c>
      <c r="AK299" t="str">
        <f t="shared" si="22"/>
        <v>Pass</v>
      </c>
      <c r="AL299">
        <f t="shared" si="23"/>
        <v>4.3719372749328613</v>
      </c>
      <c r="AM299">
        <v>19400</v>
      </c>
      <c r="AN299" t="s">
        <v>24</v>
      </c>
      <c r="AO299">
        <v>4.3719371422773801</v>
      </c>
    </row>
    <row r="300" spans="25:41" x14ac:dyDescent="0.3">
      <c r="Y300" t="str">
        <f t="shared" si="20"/>
        <v>Pass</v>
      </c>
      <c r="Z300">
        <f t="shared" si="21"/>
        <v>796.79052734375</v>
      </c>
      <c r="AA300">
        <v>10</v>
      </c>
      <c r="AB300">
        <v>15</v>
      </c>
      <c r="AC300">
        <v>100</v>
      </c>
      <c r="AD300" t="s">
        <v>24</v>
      </c>
      <c r="AE300">
        <v>796.790497243044</v>
      </c>
      <c r="AK300" t="str">
        <f t="shared" si="22"/>
        <v>Pass</v>
      </c>
      <c r="AL300">
        <f t="shared" si="23"/>
        <v>1.8463938236236572</v>
      </c>
      <c r="AM300">
        <v>19600</v>
      </c>
      <c r="AN300" t="s">
        <v>26</v>
      </c>
      <c r="AO300">
        <v>1.84639376952538</v>
      </c>
    </row>
    <row r="301" spans="25:41" x14ac:dyDescent="0.3">
      <c r="Y301" t="str">
        <f t="shared" si="20"/>
        <v>Pass</v>
      </c>
      <c r="Z301">
        <f t="shared" si="21"/>
        <v>663.67816162109375</v>
      </c>
      <c r="AA301">
        <v>10</v>
      </c>
      <c r="AB301">
        <v>15</v>
      </c>
      <c r="AC301">
        <v>100</v>
      </c>
      <c r="AD301" t="s">
        <v>25</v>
      </c>
      <c r="AE301">
        <v>663.67810381446895</v>
      </c>
      <c r="AK301" t="str">
        <f t="shared" si="22"/>
        <v>Pass</v>
      </c>
      <c r="AL301">
        <f t="shared" si="23"/>
        <v>1.8463938236236572</v>
      </c>
      <c r="AM301">
        <v>19600</v>
      </c>
      <c r="AN301" t="s">
        <v>25</v>
      </c>
      <c r="AO301">
        <v>1.84639376952538</v>
      </c>
    </row>
    <row r="302" spans="25:41" x14ac:dyDescent="0.3">
      <c r="Y302" t="str">
        <f t="shared" si="20"/>
        <v>Pass</v>
      </c>
      <c r="Z302">
        <f t="shared" si="21"/>
        <v>331.50650024414063</v>
      </c>
      <c r="AA302">
        <v>10</v>
      </c>
      <c r="AB302">
        <v>15</v>
      </c>
      <c r="AC302">
        <v>100</v>
      </c>
      <c r="AD302" t="s">
        <v>26</v>
      </c>
      <c r="AE302">
        <v>331.506477422557</v>
      </c>
      <c r="AK302" t="str">
        <f t="shared" si="22"/>
        <v>Pass</v>
      </c>
      <c r="AL302">
        <f t="shared" si="23"/>
        <v>4.3851852416992188</v>
      </c>
      <c r="AM302">
        <v>19600</v>
      </c>
      <c r="AN302" t="s">
        <v>24</v>
      </c>
      <c r="AO302">
        <v>4.3851852026227904</v>
      </c>
    </row>
    <row r="303" spans="25:41" x14ac:dyDescent="0.3">
      <c r="Y303" t="str">
        <f t="shared" si="20"/>
        <v>Pass</v>
      </c>
      <c r="Z303">
        <f t="shared" si="21"/>
        <v>6.3247638754546642E-3</v>
      </c>
      <c r="AA303">
        <v>10</v>
      </c>
      <c r="AB303">
        <v>20</v>
      </c>
      <c r="AC303">
        <v>0</v>
      </c>
      <c r="AD303" t="s">
        <v>24</v>
      </c>
      <c r="AE303">
        <v>6.32476332581696E-3</v>
      </c>
      <c r="AK303" t="str">
        <f t="shared" si="22"/>
        <v>Pass</v>
      </c>
      <c r="AL303">
        <f t="shared" si="23"/>
        <v>1.8519319295883179</v>
      </c>
      <c r="AM303">
        <v>19800</v>
      </c>
      <c r="AN303" t="s">
        <v>26</v>
      </c>
      <c r="AO303">
        <v>1.8519319148668201</v>
      </c>
    </row>
    <row r="304" spans="25:41" x14ac:dyDescent="0.3">
      <c r="Y304" t="str">
        <f t="shared" si="20"/>
        <v>Pass</v>
      </c>
      <c r="Z304">
        <f t="shared" si="21"/>
        <v>5.2681439556181431E-3</v>
      </c>
      <c r="AA304">
        <v>10</v>
      </c>
      <c r="AB304">
        <v>20</v>
      </c>
      <c r="AC304">
        <v>0</v>
      </c>
      <c r="AD304" t="s">
        <v>25</v>
      </c>
      <c r="AE304">
        <v>5.2681438165710298E-3</v>
      </c>
      <c r="AK304" t="str">
        <f t="shared" si="22"/>
        <v>Pass</v>
      </c>
      <c r="AL304">
        <f t="shared" si="23"/>
        <v>1.8519319295883179</v>
      </c>
      <c r="AM304">
        <v>19800</v>
      </c>
      <c r="AN304" t="s">
        <v>25</v>
      </c>
      <c r="AO304">
        <v>1.8519319148668201</v>
      </c>
    </row>
    <row r="305" spans="25:41" x14ac:dyDescent="0.3">
      <c r="Y305" t="str">
        <f t="shared" si="20"/>
        <v>Pass</v>
      </c>
      <c r="Z305">
        <f t="shared" si="21"/>
        <v>2.631432143971324E-3</v>
      </c>
      <c r="AA305">
        <v>10</v>
      </c>
      <c r="AB305">
        <v>20</v>
      </c>
      <c r="AC305">
        <v>0</v>
      </c>
      <c r="AD305" t="s">
        <v>26</v>
      </c>
      <c r="AE305">
        <v>2.63143199865924E-3</v>
      </c>
      <c r="AK305" t="str">
        <f t="shared" si="22"/>
        <v>Pass</v>
      </c>
      <c r="AL305">
        <f t="shared" si="23"/>
        <v>4.3983383178710938</v>
      </c>
      <c r="AM305">
        <v>19800</v>
      </c>
      <c r="AN305" t="s">
        <v>24</v>
      </c>
      <c r="AO305">
        <v>4.3983382978087002</v>
      </c>
    </row>
    <row r="306" spans="25:41" x14ac:dyDescent="0.3">
      <c r="Y306" t="str">
        <f t="shared" si="20"/>
        <v>Pass</v>
      </c>
      <c r="Z306">
        <f t="shared" si="21"/>
        <v>1.7085636034607887E-2</v>
      </c>
      <c r="AA306">
        <v>10</v>
      </c>
      <c r="AB306">
        <v>20</v>
      </c>
      <c r="AC306">
        <v>10</v>
      </c>
      <c r="AD306" t="s">
        <v>24</v>
      </c>
      <c r="AE306">
        <v>1.7085635554056702E-2</v>
      </c>
      <c r="AK306" t="str">
        <f t="shared" si="22"/>
        <v>Pass</v>
      </c>
      <c r="AL306">
        <f t="shared" si="23"/>
        <v>1.8574306964874268</v>
      </c>
      <c r="AM306">
        <v>20000</v>
      </c>
      <c r="AN306" t="s">
        <v>26</v>
      </c>
      <c r="AO306">
        <v>1.8574307610914</v>
      </c>
    </row>
    <row r="307" spans="25:41" x14ac:dyDescent="0.3">
      <c r="Y307" t="str">
        <f t="shared" si="20"/>
        <v>Pass</v>
      </c>
      <c r="Z307">
        <f t="shared" si="21"/>
        <v>1.4231298118829727E-2</v>
      </c>
      <c r="AA307">
        <v>10</v>
      </c>
      <c r="AB307">
        <v>20</v>
      </c>
      <c r="AC307">
        <v>10</v>
      </c>
      <c r="AD307" t="s">
        <v>25</v>
      </c>
      <c r="AE307">
        <v>1.42312969923919E-2</v>
      </c>
      <c r="AK307" t="str">
        <f t="shared" si="22"/>
        <v>Pass</v>
      </c>
      <c r="AL307">
        <f t="shared" si="23"/>
        <v>1.8574306964874268</v>
      </c>
      <c r="AM307">
        <v>20000</v>
      </c>
      <c r="AN307" t="s">
        <v>25</v>
      </c>
      <c r="AO307">
        <v>1.8574307610914</v>
      </c>
    </row>
    <row r="308" spans="25:41" x14ac:dyDescent="0.3">
      <c r="Y308" t="str">
        <f t="shared" si="20"/>
        <v>Pass</v>
      </c>
      <c r="Z308">
        <f t="shared" si="21"/>
        <v>7.1085174567997456E-3</v>
      </c>
      <c r="AA308">
        <v>10</v>
      </c>
      <c r="AB308">
        <v>20</v>
      </c>
      <c r="AC308">
        <v>10</v>
      </c>
      <c r="AD308" t="s">
        <v>26</v>
      </c>
      <c r="AE308">
        <v>7.1085170777623503E-3</v>
      </c>
      <c r="AK308" t="str">
        <f t="shared" si="22"/>
        <v>Pass</v>
      </c>
      <c r="AL308">
        <f t="shared" si="23"/>
        <v>4.4113979339599609</v>
      </c>
      <c r="AM308">
        <v>20000</v>
      </c>
      <c r="AN308" t="s">
        <v>24</v>
      </c>
      <c r="AO308">
        <v>4.4113980575920797</v>
      </c>
    </row>
    <row r="309" spans="25:41" x14ac:dyDescent="0.3">
      <c r="Y309" t="str">
        <f t="shared" si="20"/>
        <v>Pass</v>
      </c>
      <c r="Z309">
        <f t="shared" si="21"/>
        <v>4.5980311930179596E-2</v>
      </c>
      <c r="AA309">
        <v>10</v>
      </c>
      <c r="AB309">
        <v>20</v>
      </c>
      <c r="AC309">
        <v>20</v>
      </c>
      <c r="AD309" t="s">
        <v>24</v>
      </c>
      <c r="AE309">
        <v>4.5980306652054E-2</v>
      </c>
    </row>
    <row r="310" spans="25:41" x14ac:dyDescent="0.3">
      <c r="Y310" t="str">
        <f t="shared" si="20"/>
        <v>Pass</v>
      </c>
      <c r="Z310">
        <f t="shared" si="21"/>
        <v>3.8298808038234711E-2</v>
      </c>
      <c r="AA310">
        <v>10</v>
      </c>
      <c r="AB310">
        <v>20</v>
      </c>
      <c r="AC310">
        <v>20</v>
      </c>
      <c r="AD310" t="s">
        <v>25</v>
      </c>
      <c r="AE310">
        <v>3.8298803559067403E-2</v>
      </c>
    </row>
    <row r="311" spans="25:41" x14ac:dyDescent="0.3">
      <c r="Y311" t="str">
        <f t="shared" si="20"/>
        <v>Pass</v>
      </c>
      <c r="Z311">
        <f t="shared" si="21"/>
        <v>1.9130213186144829E-2</v>
      </c>
      <c r="AA311">
        <v>10</v>
      </c>
      <c r="AB311">
        <v>20</v>
      </c>
      <c r="AC311">
        <v>20</v>
      </c>
      <c r="AD311" t="s">
        <v>26</v>
      </c>
      <c r="AE311">
        <v>1.91302099382115E-2</v>
      </c>
    </row>
    <row r="312" spans="25:41" x14ac:dyDescent="0.3">
      <c r="Y312" t="str">
        <f t="shared" si="20"/>
        <v>Pass</v>
      </c>
      <c r="Z312">
        <f t="shared" si="21"/>
        <v>0.1224963366985321</v>
      </c>
      <c r="AA312">
        <v>10</v>
      </c>
      <c r="AB312">
        <v>20</v>
      </c>
      <c r="AC312">
        <v>30</v>
      </c>
      <c r="AD312" t="s">
        <v>24</v>
      </c>
      <c r="AE312">
        <v>0.122496329705836</v>
      </c>
    </row>
    <row r="313" spans="25:41" x14ac:dyDescent="0.3">
      <c r="Y313" t="str">
        <f t="shared" si="20"/>
        <v>Pass</v>
      </c>
      <c r="Z313">
        <f t="shared" si="21"/>
        <v>0.10203201323747635</v>
      </c>
      <c r="AA313">
        <v>10</v>
      </c>
      <c r="AB313">
        <v>20</v>
      </c>
      <c r="AC313">
        <v>30</v>
      </c>
      <c r="AD313" t="s">
        <v>25</v>
      </c>
      <c r="AE313">
        <v>0.10203200478005001</v>
      </c>
    </row>
    <row r="314" spans="25:41" x14ac:dyDescent="0.3">
      <c r="Y314" t="str">
        <f t="shared" si="20"/>
        <v>Pass</v>
      </c>
      <c r="Z314">
        <f t="shared" si="21"/>
        <v>5.0964877009391785E-2</v>
      </c>
      <c r="AA314">
        <v>10</v>
      </c>
      <c r="AB314">
        <v>20</v>
      </c>
      <c r="AC314">
        <v>30</v>
      </c>
      <c r="AD314" t="s">
        <v>26</v>
      </c>
      <c r="AE314">
        <v>5.0964873324270001E-2</v>
      </c>
    </row>
    <row r="315" spans="25:41" x14ac:dyDescent="0.3">
      <c r="Y315" t="str">
        <f t="shared" si="20"/>
        <v>Pass</v>
      </c>
      <c r="Z315">
        <f t="shared" si="21"/>
        <v>0.31787785887718201</v>
      </c>
      <c r="AA315">
        <v>10</v>
      </c>
      <c r="AB315">
        <v>20</v>
      </c>
      <c r="AC315">
        <v>40</v>
      </c>
      <c r="AD315" t="s">
        <v>24</v>
      </c>
      <c r="AE315">
        <v>0.31787785512165201</v>
      </c>
    </row>
    <row r="316" spans="25:41" x14ac:dyDescent="0.3">
      <c r="Y316" t="str">
        <f t="shared" si="20"/>
        <v>Pass</v>
      </c>
      <c r="Z316">
        <f t="shared" si="21"/>
        <v>0.26477295160293579</v>
      </c>
      <c r="AA316">
        <v>10</v>
      </c>
      <c r="AB316">
        <v>20</v>
      </c>
      <c r="AC316">
        <v>40</v>
      </c>
      <c r="AD316" t="s">
        <v>25</v>
      </c>
      <c r="AE316">
        <v>0.26477295206420698</v>
      </c>
    </row>
    <row r="317" spans="25:41" x14ac:dyDescent="0.3">
      <c r="Y317" t="str">
        <f t="shared" si="20"/>
        <v>Pass</v>
      </c>
      <c r="Z317">
        <f t="shared" si="21"/>
        <v>0.13225379586219788</v>
      </c>
      <c r="AA317">
        <v>10</v>
      </c>
      <c r="AB317">
        <v>20</v>
      </c>
      <c r="AC317">
        <v>40</v>
      </c>
      <c r="AD317" t="s">
        <v>26</v>
      </c>
      <c r="AE317">
        <v>0.13225379615674901</v>
      </c>
    </row>
    <row r="318" spans="25:41" x14ac:dyDescent="0.3">
      <c r="Y318" t="str">
        <f t="shared" si="20"/>
        <v>Pass</v>
      </c>
      <c r="Z318">
        <f t="shared" si="21"/>
        <v>0.77364969253540039</v>
      </c>
      <c r="AA318">
        <v>10</v>
      </c>
      <c r="AB318">
        <v>20</v>
      </c>
      <c r="AC318">
        <v>50</v>
      </c>
      <c r="AD318" t="s">
        <v>24</v>
      </c>
      <c r="AE318">
        <v>0.77364965864039803</v>
      </c>
    </row>
    <row r="319" spans="25:41" x14ac:dyDescent="0.3">
      <c r="Y319" t="str">
        <f t="shared" si="20"/>
        <v>Pass</v>
      </c>
      <c r="Z319">
        <f t="shared" si="21"/>
        <v>0.64440321922302246</v>
      </c>
      <c r="AA319">
        <v>10</v>
      </c>
      <c r="AB319">
        <v>20</v>
      </c>
      <c r="AC319">
        <v>50</v>
      </c>
      <c r="AD319" t="s">
        <v>25</v>
      </c>
      <c r="AE319">
        <v>0.64440319034898297</v>
      </c>
    </row>
    <row r="320" spans="25:41" x14ac:dyDescent="0.3">
      <c r="Y320" t="str">
        <f t="shared" si="20"/>
        <v>Pass</v>
      </c>
      <c r="Z320">
        <f t="shared" si="21"/>
        <v>0.32187870144844055</v>
      </c>
      <c r="AA320">
        <v>10</v>
      </c>
      <c r="AB320">
        <v>20</v>
      </c>
      <c r="AC320">
        <v>50</v>
      </c>
      <c r="AD320" t="s">
        <v>26</v>
      </c>
      <c r="AE320">
        <v>0.3218786795054</v>
      </c>
    </row>
    <row r="321" spans="25:31" x14ac:dyDescent="0.3">
      <c r="Y321" t="str">
        <f t="shared" si="20"/>
        <v>Pass</v>
      </c>
      <c r="Z321">
        <f t="shared" si="21"/>
        <v>1.6445863246917725</v>
      </c>
      <c r="AA321">
        <v>10</v>
      </c>
      <c r="AB321">
        <v>20</v>
      </c>
      <c r="AC321">
        <v>60</v>
      </c>
      <c r="AD321" t="s">
        <v>24</v>
      </c>
      <c r="AE321">
        <v>1.6445862225903001</v>
      </c>
    </row>
    <row r="322" spans="25:31" x14ac:dyDescent="0.3">
      <c r="Y322" t="str">
        <f t="shared" si="20"/>
        <v>Pass</v>
      </c>
      <c r="Z322">
        <f t="shared" si="21"/>
        <v>1.3698405027389526</v>
      </c>
      <c r="AA322">
        <v>10</v>
      </c>
      <c r="AB322">
        <v>20</v>
      </c>
      <c r="AC322">
        <v>60</v>
      </c>
      <c r="AD322" t="s">
        <v>25</v>
      </c>
      <c r="AE322">
        <v>1.36984046564902</v>
      </c>
    </row>
    <row r="323" spans="25:31" x14ac:dyDescent="0.3">
      <c r="Y323" t="str">
        <f t="shared" si="20"/>
        <v>Pass</v>
      </c>
      <c r="Z323">
        <f t="shared" si="21"/>
        <v>0.68423384428024292</v>
      </c>
      <c r="AA323">
        <v>10</v>
      </c>
      <c r="AB323">
        <v>20</v>
      </c>
      <c r="AC323">
        <v>60</v>
      </c>
      <c r="AD323" t="s">
        <v>26</v>
      </c>
      <c r="AE323">
        <v>0.68423379464863499</v>
      </c>
    </row>
    <row r="324" spans="25:31" x14ac:dyDescent="0.3">
      <c r="Y324" t="str">
        <f t="shared" si="20"/>
        <v>Pass</v>
      </c>
      <c r="Z324">
        <f t="shared" si="21"/>
        <v>2.8151102066040039</v>
      </c>
      <c r="AA324">
        <v>10</v>
      </c>
      <c r="AB324">
        <v>20</v>
      </c>
      <c r="AC324">
        <v>70</v>
      </c>
      <c r="AD324" t="s">
        <v>24</v>
      </c>
      <c r="AE324">
        <v>2.8151100496545398</v>
      </c>
    </row>
    <row r="325" spans="25:31" x14ac:dyDescent="0.3">
      <c r="Y325" t="str">
        <f t="shared" si="20"/>
        <v>Pass</v>
      </c>
      <c r="Z325">
        <f t="shared" si="21"/>
        <v>2.3448159694671631</v>
      </c>
      <c r="AA325">
        <v>10</v>
      </c>
      <c r="AB325">
        <v>20</v>
      </c>
      <c r="AC325">
        <v>70</v>
      </c>
      <c r="AD325" t="s">
        <v>25</v>
      </c>
      <c r="AE325">
        <v>2.3448157404591701</v>
      </c>
    </row>
    <row r="326" spans="25:31" x14ac:dyDescent="0.3">
      <c r="Y326" t="str">
        <f t="shared" si="20"/>
        <v>Pass</v>
      </c>
      <c r="Z326">
        <f t="shared" si="21"/>
        <v>1.1712329387664795</v>
      </c>
      <c r="AA326">
        <v>10</v>
      </c>
      <c r="AB326">
        <v>20</v>
      </c>
      <c r="AC326">
        <v>70</v>
      </c>
      <c r="AD326" t="s">
        <v>26</v>
      </c>
      <c r="AE326">
        <v>1.1712328640299401</v>
      </c>
    </row>
    <row r="327" spans="25:31" x14ac:dyDescent="0.3">
      <c r="Y327" t="str">
        <f t="shared" ref="Y327:Y390" si="24">IF(ISBLANK(Z327),"",IF(ROUND(Z327,0)=ROUND(AE327,0),"Pass","Fail"))</f>
        <v>Pass</v>
      </c>
      <c r="Z327">
        <f t="shared" ref="Z327:Z390" si="25">ROS_grass(AA327,AB327,AC327,AD327)</f>
        <v>3.819094181060791</v>
      </c>
      <c r="AA327">
        <v>10</v>
      </c>
      <c r="AB327">
        <v>20</v>
      </c>
      <c r="AC327">
        <v>80</v>
      </c>
      <c r="AD327" t="s">
        <v>24</v>
      </c>
      <c r="AE327">
        <v>3.8190936379419802</v>
      </c>
    </row>
    <row r="328" spans="25:31" x14ac:dyDescent="0.3">
      <c r="Y328" t="str">
        <f t="shared" si="24"/>
        <v>Pass</v>
      </c>
      <c r="Z328">
        <f t="shared" si="25"/>
        <v>3.1810734272003174</v>
      </c>
      <c r="AA328">
        <v>10</v>
      </c>
      <c r="AB328">
        <v>20</v>
      </c>
      <c r="AC328">
        <v>80</v>
      </c>
      <c r="AD328" t="s">
        <v>25</v>
      </c>
      <c r="AE328">
        <v>3.1810731085389601</v>
      </c>
    </row>
    <row r="329" spans="25:31" x14ac:dyDescent="0.3">
      <c r="Y329" t="str">
        <f t="shared" si="24"/>
        <v>Pass</v>
      </c>
      <c r="Z329">
        <f t="shared" si="25"/>
        <v>1.5889426469802856</v>
      </c>
      <c r="AA329">
        <v>10</v>
      </c>
      <c r="AB329">
        <v>20</v>
      </c>
      <c r="AC329">
        <v>80</v>
      </c>
      <c r="AD329" t="s">
        <v>26</v>
      </c>
      <c r="AE329">
        <v>1.5889424927150699</v>
      </c>
    </row>
    <row r="330" spans="25:31" x14ac:dyDescent="0.3">
      <c r="Y330" t="str">
        <f t="shared" si="24"/>
        <v>Pass</v>
      </c>
      <c r="Z330">
        <f t="shared" si="25"/>
        <v>4.3984932899475098</v>
      </c>
      <c r="AA330">
        <v>10</v>
      </c>
      <c r="AB330">
        <v>20</v>
      </c>
      <c r="AC330">
        <v>90</v>
      </c>
      <c r="AD330" t="s">
        <v>24</v>
      </c>
      <c r="AE330">
        <v>4.3984927310174902</v>
      </c>
    </row>
    <row r="331" spans="25:31" x14ac:dyDescent="0.3">
      <c r="Y331" t="str">
        <f t="shared" si="24"/>
        <v>Pass</v>
      </c>
      <c r="Z331">
        <f t="shared" si="25"/>
        <v>3.6636776924133301</v>
      </c>
      <c r="AA331">
        <v>10</v>
      </c>
      <c r="AB331">
        <v>20</v>
      </c>
      <c r="AC331">
        <v>90</v>
      </c>
      <c r="AD331" t="s">
        <v>25</v>
      </c>
      <c r="AE331">
        <v>3.6636773724887699</v>
      </c>
    </row>
    <row r="332" spans="25:31" x14ac:dyDescent="0.3">
      <c r="Y332" t="str">
        <f t="shared" si="24"/>
        <v>Pass</v>
      </c>
      <c r="Z332">
        <f t="shared" si="25"/>
        <v>1.830003023147583</v>
      </c>
      <c r="AA332">
        <v>10</v>
      </c>
      <c r="AB332">
        <v>20</v>
      </c>
      <c r="AC332">
        <v>90</v>
      </c>
      <c r="AD332" t="s">
        <v>26</v>
      </c>
      <c r="AE332">
        <v>1.83000278777617</v>
      </c>
    </row>
    <row r="333" spans="25:31" x14ac:dyDescent="0.3">
      <c r="Y333" t="str">
        <f t="shared" si="24"/>
        <v>Pass</v>
      </c>
      <c r="Z333">
        <f t="shared" si="25"/>
        <v>4.6595940589904785</v>
      </c>
      <c r="AA333">
        <v>10</v>
      </c>
      <c r="AB333">
        <v>20</v>
      </c>
      <c r="AC333">
        <v>100</v>
      </c>
      <c r="AD333" t="s">
        <v>24</v>
      </c>
      <c r="AE333">
        <v>4.6595935511289097</v>
      </c>
    </row>
    <row r="334" spans="25:31" x14ac:dyDescent="0.3">
      <c r="Y334" t="str">
        <f t="shared" si="24"/>
        <v>Pass</v>
      </c>
      <c r="Z334">
        <f t="shared" si="25"/>
        <v>3.8811588287353516</v>
      </c>
      <c r="AA334">
        <v>10</v>
      </c>
      <c r="AB334">
        <v>20</v>
      </c>
      <c r="AC334">
        <v>100</v>
      </c>
      <c r="AD334" t="s">
        <v>25</v>
      </c>
      <c r="AE334">
        <v>3.8811585018389998</v>
      </c>
    </row>
    <row r="335" spans="25:31" x14ac:dyDescent="0.3">
      <c r="Y335" t="str">
        <f t="shared" si="24"/>
        <v>Pass</v>
      </c>
      <c r="Z335">
        <f t="shared" si="25"/>
        <v>1.9386345148086548</v>
      </c>
      <c r="AA335">
        <v>10</v>
      </c>
      <c r="AB335">
        <v>20</v>
      </c>
      <c r="AC335">
        <v>100</v>
      </c>
      <c r="AD335" t="s">
        <v>26</v>
      </c>
      <c r="AE335">
        <v>1.9386343708921401</v>
      </c>
    </row>
    <row r="336" spans="25:31" x14ac:dyDescent="0.3">
      <c r="Y336" t="str">
        <f t="shared" si="24"/>
        <v>Pass</v>
      </c>
      <c r="Z336">
        <f t="shared" si="25"/>
        <v>6.3247638754546642E-3</v>
      </c>
      <c r="AA336">
        <v>10</v>
      </c>
      <c r="AB336">
        <v>25</v>
      </c>
      <c r="AC336">
        <v>0</v>
      </c>
      <c r="AD336" t="s">
        <v>24</v>
      </c>
      <c r="AE336">
        <v>6.32476332581696E-3</v>
      </c>
    </row>
    <row r="337" spans="25:31" x14ac:dyDescent="0.3">
      <c r="Y337" t="str">
        <f t="shared" si="24"/>
        <v>Pass</v>
      </c>
      <c r="Z337">
        <f t="shared" si="25"/>
        <v>5.2681439556181431E-3</v>
      </c>
      <c r="AA337">
        <v>10</v>
      </c>
      <c r="AB337">
        <v>25</v>
      </c>
      <c r="AC337">
        <v>0</v>
      </c>
      <c r="AD337" t="s">
        <v>25</v>
      </c>
      <c r="AE337">
        <v>5.2681438165710298E-3</v>
      </c>
    </row>
    <row r="338" spans="25:31" x14ac:dyDescent="0.3">
      <c r="Y338" t="str">
        <f t="shared" si="24"/>
        <v>Pass</v>
      </c>
      <c r="Z338">
        <f t="shared" si="25"/>
        <v>2.631432143971324E-3</v>
      </c>
      <c r="AA338">
        <v>10</v>
      </c>
      <c r="AB338">
        <v>25</v>
      </c>
      <c r="AC338">
        <v>0</v>
      </c>
      <c r="AD338" t="s">
        <v>26</v>
      </c>
      <c r="AE338">
        <v>2.63143199865924E-3</v>
      </c>
    </row>
    <row r="339" spans="25:31" x14ac:dyDescent="0.3">
      <c r="Y339" t="str">
        <f t="shared" si="24"/>
        <v>Pass</v>
      </c>
      <c r="Z339">
        <f t="shared" si="25"/>
        <v>1.7085636034607887E-2</v>
      </c>
      <c r="AA339">
        <v>10</v>
      </c>
      <c r="AB339">
        <v>25</v>
      </c>
      <c r="AC339">
        <v>10</v>
      </c>
      <c r="AD339" t="s">
        <v>24</v>
      </c>
      <c r="AE339">
        <v>1.7085635554056702E-2</v>
      </c>
    </row>
    <row r="340" spans="25:31" x14ac:dyDescent="0.3">
      <c r="Y340" t="str">
        <f t="shared" si="24"/>
        <v>Pass</v>
      </c>
      <c r="Z340">
        <f t="shared" si="25"/>
        <v>1.4231298118829727E-2</v>
      </c>
      <c r="AA340">
        <v>10</v>
      </c>
      <c r="AB340">
        <v>25</v>
      </c>
      <c r="AC340">
        <v>10</v>
      </c>
      <c r="AD340" t="s">
        <v>25</v>
      </c>
      <c r="AE340">
        <v>1.42312969923919E-2</v>
      </c>
    </row>
    <row r="341" spans="25:31" x14ac:dyDescent="0.3">
      <c r="Y341" t="str">
        <f t="shared" si="24"/>
        <v>Pass</v>
      </c>
      <c r="Z341">
        <f t="shared" si="25"/>
        <v>7.1085174567997456E-3</v>
      </c>
      <c r="AA341">
        <v>10</v>
      </c>
      <c r="AB341">
        <v>25</v>
      </c>
      <c r="AC341">
        <v>10</v>
      </c>
      <c r="AD341" t="s">
        <v>26</v>
      </c>
      <c r="AE341">
        <v>7.1085170777623503E-3</v>
      </c>
    </row>
    <row r="342" spans="25:31" x14ac:dyDescent="0.3">
      <c r="Y342" t="str">
        <f t="shared" si="24"/>
        <v>Pass</v>
      </c>
      <c r="Z342">
        <f t="shared" si="25"/>
        <v>4.5980311930179596E-2</v>
      </c>
      <c r="AA342">
        <v>10</v>
      </c>
      <c r="AB342">
        <v>25</v>
      </c>
      <c r="AC342">
        <v>20</v>
      </c>
      <c r="AD342" t="s">
        <v>24</v>
      </c>
      <c r="AE342">
        <v>4.5980306652054E-2</v>
      </c>
    </row>
    <row r="343" spans="25:31" x14ac:dyDescent="0.3">
      <c r="Y343" t="str">
        <f t="shared" si="24"/>
        <v>Pass</v>
      </c>
      <c r="Z343">
        <f t="shared" si="25"/>
        <v>3.8298808038234711E-2</v>
      </c>
      <c r="AA343">
        <v>10</v>
      </c>
      <c r="AB343">
        <v>25</v>
      </c>
      <c r="AC343">
        <v>20</v>
      </c>
      <c r="AD343" t="s">
        <v>25</v>
      </c>
      <c r="AE343">
        <v>3.8298803559067403E-2</v>
      </c>
    </row>
    <row r="344" spans="25:31" x14ac:dyDescent="0.3">
      <c r="Y344" t="str">
        <f t="shared" si="24"/>
        <v>Pass</v>
      </c>
      <c r="Z344">
        <f t="shared" si="25"/>
        <v>1.9130213186144829E-2</v>
      </c>
      <c r="AA344">
        <v>10</v>
      </c>
      <c r="AB344">
        <v>25</v>
      </c>
      <c r="AC344">
        <v>20</v>
      </c>
      <c r="AD344" t="s">
        <v>26</v>
      </c>
      <c r="AE344">
        <v>1.91302099382115E-2</v>
      </c>
    </row>
    <row r="345" spans="25:31" x14ac:dyDescent="0.3">
      <c r="Y345" t="str">
        <f t="shared" si="24"/>
        <v>Pass</v>
      </c>
      <c r="Z345">
        <f t="shared" si="25"/>
        <v>0.1224963366985321</v>
      </c>
      <c r="AA345">
        <v>10</v>
      </c>
      <c r="AB345">
        <v>25</v>
      </c>
      <c r="AC345">
        <v>30</v>
      </c>
      <c r="AD345" t="s">
        <v>24</v>
      </c>
      <c r="AE345">
        <v>0.122496329705836</v>
      </c>
    </row>
    <row r="346" spans="25:31" x14ac:dyDescent="0.3">
      <c r="Y346" t="str">
        <f t="shared" si="24"/>
        <v>Pass</v>
      </c>
      <c r="Z346">
        <f t="shared" si="25"/>
        <v>0.10203201323747635</v>
      </c>
      <c r="AA346">
        <v>10</v>
      </c>
      <c r="AB346">
        <v>25</v>
      </c>
      <c r="AC346">
        <v>30</v>
      </c>
      <c r="AD346" t="s">
        <v>25</v>
      </c>
      <c r="AE346">
        <v>0.10203200478005001</v>
      </c>
    </row>
    <row r="347" spans="25:31" x14ac:dyDescent="0.3">
      <c r="Y347" t="str">
        <f t="shared" si="24"/>
        <v>Pass</v>
      </c>
      <c r="Z347">
        <f t="shared" si="25"/>
        <v>5.0964877009391785E-2</v>
      </c>
      <c r="AA347">
        <v>10</v>
      </c>
      <c r="AB347">
        <v>25</v>
      </c>
      <c r="AC347">
        <v>30</v>
      </c>
      <c r="AD347" t="s">
        <v>26</v>
      </c>
      <c r="AE347">
        <v>5.0964873324270001E-2</v>
      </c>
    </row>
    <row r="348" spans="25:31" x14ac:dyDescent="0.3">
      <c r="Y348" t="str">
        <f t="shared" si="24"/>
        <v>Pass</v>
      </c>
      <c r="Z348">
        <f t="shared" si="25"/>
        <v>0.31787785887718201</v>
      </c>
      <c r="AA348">
        <v>10</v>
      </c>
      <c r="AB348">
        <v>25</v>
      </c>
      <c r="AC348">
        <v>40</v>
      </c>
      <c r="AD348" t="s">
        <v>24</v>
      </c>
      <c r="AE348">
        <v>0.31787785512165201</v>
      </c>
    </row>
    <row r="349" spans="25:31" x14ac:dyDescent="0.3">
      <c r="Y349" t="str">
        <f t="shared" si="24"/>
        <v>Pass</v>
      </c>
      <c r="Z349">
        <f t="shared" si="25"/>
        <v>0.26477295160293579</v>
      </c>
      <c r="AA349">
        <v>10</v>
      </c>
      <c r="AB349">
        <v>25</v>
      </c>
      <c r="AC349">
        <v>40</v>
      </c>
      <c r="AD349" t="s">
        <v>25</v>
      </c>
      <c r="AE349">
        <v>0.26477295206420698</v>
      </c>
    </row>
    <row r="350" spans="25:31" x14ac:dyDescent="0.3">
      <c r="Y350" t="str">
        <f t="shared" si="24"/>
        <v>Pass</v>
      </c>
      <c r="Z350">
        <f t="shared" si="25"/>
        <v>0.13225379586219788</v>
      </c>
      <c r="AA350">
        <v>10</v>
      </c>
      <c r="AB350">
        <v>25</v>
      </c>
      <c r="AC350">
        <v>40</v>
      </c>
      <c r="AD350" t="s">
        <v>26</v>
      </c>
      <c r="AE350">
        <v>0.13225379615674901</v>
      </c>
    </row>
    <row r="351" spans="25:31" x14ac:dyDescent="0.3">
      <c r="Y351" t="str">
        <f t="shared" si="24"/>
        <v>Pass</v>
      </c>
      <c r="Z351">
        <f t="shared" si="25"/>
        <v>0.77364969253540039</v>
      </c>
      <c r="AA351">
        <v>10</v>
      </c>
      <c r="AB351">
        <v>25</v>
      </c>
      <c r="AC351">
        <v>50</v>
      </c>
      <c r="AD351" t="s">
        <v>24</v>
      </c>
      <c r="AE351">
        <v>0.77364965864039803</v>
      </c>
    </row>
    <row r="352" spans="25:31" x14ac:dyDescent="0.3">
      <c r="Y352" t="str">
        <f t="shared" si="24"/>
        <v>Pass</v>
      </c>
      <c r="Z352">
        <f t="shared" si="25"/>
        <v>0.64440321922302246</v>
      </c>
      <c r="AA352">
        <v>10</v>
      </c>
      <c r="AB352">
        <v>25</v>
      </c>
      <c r="AC352">
        <v>50</v>
      </c>
      <c r="AD352" t="s">
        <v>25</v>
      </c>
      <c r="AE352">
        <v>0.64440319034898297</v>
      </c>
    </row>
    <row r="353" spans="25:31" x14ac:dyDescent="0.3">
      <c r="Y353" t="str">
        <f t="shared" si="24"/>
        <v>Pass</v>
      </c>
      <c r="Z353">
        <f t="shared" si="25"/>
        <v>0.32187870144844055</v>
      </c>
      <c r="AA353">
        <v>10</v>
      </c>
      <c r="AB353">
        <v>25</v>
      </c>
      <c r="AC353">
        <v>50</v>
      </c>
      <c r="AD353" t="s">
        <v>26</v>
      </c>
      <c r="AE353">
        <v>0.3218786795054</v>
      </c>
    </row>
    <row r="354" spans="25:31" x14ac:dyDescent="0.3">
      <c r="Y354" t="str">
        <f t="shared" si="24"/>
        <v>Pass</v>
      </c>
      <c r="Z354">
        <f t="shared" si="25"/>
        <v>1.6445863246917725</v>
      </c>
      <c r="AA354">
        <v>10</v>
      </c>
      <c r="AB354">
        <v>25</v>
      </c>
      <c r="AC354">
        <v>60</v>
      </c>
      <c r="AD354" t="s">
        <v>24</v>
      </c>
      <c r="AE354">
        <v>1.6445862225903001</v>
      </c>
    </row>
    <row r="355" spans="25:31" x14ac:dyDescent="0.3">
      <c r="Y355" t="str">
        <f t="shared" si="24"/>
        <v>Pass</v>
      </c>
      <c r="Z355">
        <f t="shared" si="25"/>
        <v>1.3698405027389526</v>
      </c>
      <c r="AA355">
        <v>10</v>
      </c>
      <c r="AB355">
        <v>25</v>
      </c>
      <c r="AC355">
        <v>60</v>
      </c>
      <c r="AD355" t="s">
        <v>25</v>
      </c>
      <c r="AE355">
        <v>1.36984046564902</v>
      </c>
    </row>
    <row r="356" spans="25:31" x14ac:dyDescent="0.3">
      <c r="Y356" t="str">
        <f t="shared" si="24"/>
        <v>Pass</v>
      </c>
      <c r="Z356">
        <f t="shared" si="25"/>
        <v>0.68423384428024292</v>
      </c>
      <c r="AA356">
        <v>10</v>
      </c>
      <c r="AB356">
        <v>25</v>
      </c>
      <c r="AC356">
        <v>60</v>
      </c>
      <c r="AD356" t="s">
        <v>26</v>
      </c>
      <c r="AE356">
        <v>0.68423379464863499</v>
      </c>
    </row>
    <row r="357" spans="25:31" x14ac:dyDescent="0.3">
      <c r="Y357" t="str">
        <f t="shared" si="24"/>
        <v>Pass</v>
      </c>
      <c r="Z357">
        <f t="shared" si="25"/>
        <v>2.8151102066040039</v>
      </c>
      <c r="AA357">
        <v>10</v>
      </c>
      <c r="AB357">
        <v>25</v>
      </c>
      <c r="AC357">
        <v>70</v>
      </c>
      <c r="AD357" t="s">
        <v>24</v>
      </c>
      <c r="AE357">
        <v>2.8151100496545398</v>
      </c>
    </row>
    <row r="358" spans="25:31" x14ac:dyDescent="0.3">
      <c r="Y358" t="str">
        <f t="shared" si="24"/>
        <v>Pass</v>
      </c>
      <c r="Z358">
        <f t="shared" si="25"/>
        <v>2.3448159694671631</v>
      </c>
      <c r="AA358">
        <v>10</v>
      </c>
      <c r="AB358">
        <v>25</v>
      </c>
      <c r="AC358">
        <v>70</v>
      </c>
      <c r="AD358" t="s">
        <v>25</v>
      </c>
      <c r="AE358">
        <v>2.3448157404591701</v>
      </c>
    </row>
    <row r="359" spans="25:31" x14ac:dyDescent="0.3">
      <c r="Y359" t="str">
        <f t="shared" si="24"/>
        <v>Pass</v>
      </c>
      <c r="Z359">
        <f t="shared" si="25"/>
        <v>1.1712329387664795</v>
      </c>
      <c r="AA359">
        <v>10</v>
      </c>
      <c r="AB359">
        <v>25</v>
      </c>
      <c r="AC359">
        <v>70</v>
      </c>
      <c r="AD359" t="s">
        <v>26</v>
      </c>
      <c r="AE359">
        <v>1.1712328640299401</v>
      </c>
    </row>
    <row r="360" spans="25:31" x14ac:dyDescent="0.3">
      <c r="Y360" t="str">
        <f t="shared" si="24"/>
        <v>Pass</v>
      </c>
      <c r="Z360">
        <f t="shared" si="25"/>
        <v>3.819094181060791</v>
      </c>
      <c r="AA360">
        <v>10</v>
      </c>
      <c r="AB360">
        <v>25</v>
      </c>
      <c r="AC360">
        <v>80</v>
      </c>
      <c r="AD360" t="s">
        <v>24</v>
      </c>
      <c r="AE360">
        <v>3.8190936379419802</v>
      </c>
    </row>
    <row r="361" spans="25:31" x14ac:dyDescent="0.3">
      <c r="Y361" t="str">
        <f t="shared" si="24"/>
        <v>Pass</v>
      </c>
      <c r="Z361">
        <f t="shared" si="25"/>
        <v>3.1810734272003174</v>
      </c>
      <c r="AA361">
        <v>10</v>
      </c>
      <c r="AB361">
        <v>25</v>
      </c>
      <c r="AC361">
        <v>80</v>
      </c>
      <c r="AD361" t="s">
        <v>25</v>
      </c>
      <c r="AE361">
        <v>3.1810731085389601</v>
      </c>
    </row>
    <row r="362" spans="25:31" x14ac:dyDescent="0.3">
      <c r="Y362" t="str">
        <f t="shared" si="24"/>
        <v>Pass</v>
      </c>
      <c r="Z362">
        <f t="shared" si="25"/>
        <v>1.5889426469802856</v>
      </c>
      <c r="AA362">
        <v>10</v>
      </c>
      <c r="AB362">
        <v>25</v>
      </c>
      <c r="AC362">
        <v>80</v>
      </c>
      <c r="AD362" t="s">
        <v>26</v>
      </c>
      <c r="AE362">
        <v>1.5889424927150699</v>
      </c>
    </row>
    <row r="363" spans="25:31" x14ac:dyDescent="0.3">
      <c r="Y363" t="str">
        <f t="shared" si="24"/>
        <v>Pass</v>
      </c>
      <c r="Z363">
        <f t="shared" si="25"/>
        <v>4.3984932899475098</v>
      </c>
      <c r="AA363">
        <v>10</v>
      </c>
      <c r="AB363">
        <v>25</v>
      </c>
      <c r="AC363">
        <v>90</v>
      </c>
      <c r="AD363" t="s">
        <v>24</v>
      </c>
      <c r="AE363">
        <v>4.3984927310174902</v>
      </c>
    </row>
    <row r="364" spans="25:31" x14ac:dyDescent="0.3">
      <c r="Y364" t="str">
        <f t="shared" si="24"/>
        <v>Pass</v>
      </c>
      <c r="Z364">
        <f t="shared" si="25"/>
        <v>3.6636776924133301</v>
      </c>
      <c r="AA364">
        <v>10</v>
      </c>
      <c r="AB364">
        <v>25</v>
      </c>
      <c r="AC364">
        <v>90</v>
      </c>
      <c r="AD364" t="s">
        <v>25</v>
      </c>
      <c r="AE364">
        <v>3.6636773724887699</v>
      </c>
    </row>
    <row r="365" spans="25:31" x14ac:dyDescent="0.3">
      <c r="Y365" t="str">
        <f t="shared" si="24"/>
        <v>Pass</v>
      </c>
      <c r="Z365">
        <f t="shared" si="25"/>
        <v>1.830003023147583</v>
      </c>
      <c r="AA365">
        <v>10</v>
      </c>
      <c r="AB365">
        <v>25</v>
      </c>
      <c r="AC365">
        <v>90</v>
      </c>
      <c r="AD365" t="s">
        <v>26</v>
      </c>
      <c r="AE365">
        <v>1.83000278777617</v>
      </c>
    </row>
    <row r="366" spans="25:31" x14ac:dyDescent="0.3">
      <c r="Y366" t="str">
        <f t="shared" si="24"/>
        <v>Pass</v>
      </c>
      <c r="Z366">
        <f t="shared" si="25"/>
        <v>4.6595940589904785</v>
      </c>
      <c r="AA366">
        <v>10</v>
      </c>
      <c r="AB366">
        <v>25</v>
      </c>
      <c r="AC366">
        <v>100</v>
      </c>
      <c r="AD366" t="s">
        <v>24</v>
      </c>
      <c r="AE366">
        <v>4.6595935511289097</v>
      </c>
    </row>
    <row r="367" spans="25:31" x14ac:dyDescent="0.3">
      <c r="Y367" t="str">
        <f t="shared" si="24"/>
        <v>Pass</v>
      </c>
      <c r="Z367">
        <f t="shared" si="25"/>
        <v>3.8811588287353516</v>
      </c>
      <c r="AA367">
        <v>10</v>
      </c>
      <c r="AB367">
        <v>25</v>
      </c>
      <c r="AC367">
        <v>100</v>
      </c>
      <c r="AD367" t="s">
        <v>25</v>
      </c>
      <c r="AE367">
        <v>3.8811585018389998</v>
      </c>
    </row>
    <row r="368" spans="25:31" x14ac:dyDescent="0.3">
      <c r="Y368" t="str">
        <f t="shared" si="24"/>
        <v>Pass</v>
      </c>
      <c r="Z368">
        <f t="shared" si="25"/>
        <v>1.9386345148086548</v>
      </c>
      <c r="AA368">
        <v>10</v>
      </c>
      <c r="AB368">
        <v>25</v>
      </c>
      <c r="AC368">
        <v>100</v>
      </c>
      <c r="AD368" t="s">
        <v>26</v>
      </c>
      <c r="AE368">
        <v>1.9386343708921401</v>
      </c>
    </row>
    <row r="369" spans="25:31" x14ac:dyDescent="0.3">
      <c r="Y369" t="str">
        <f t="shared" si="24"/>
        <v>Pass</v>
      </c>
      <c r="Z369">
        <f t="shared" si="25"/>
        <v>6.3247638754546642E-3</v>
      </c>
      <c r="AA369">
        <v>10</v>
      </c>
      <c r="AB369">
        <v>30</v>
      </c>
      <c r="AC369">
        <v>0</v>
      </c>
      <c r="AD369" t="s">
        <v>24</v>
      </c>
      <c r="AE369">
        <v>6.32476332581696E-3</v>
      </c>
    </row>
    <row r="370" spans="25:31" x14ac:dyDescent="0.3">
      <c r="Y370" t="str">
        <f t="shared" si="24"/>
        <v>Pass</v>
      </c>
      <c r="Z370">
        <f t="shared" si="25"/>
        <v>5.2681439556181431E-3</v>
      </c>
      <c r="AA370">
        <v>10</v>
      </c>
      <c r="AB370">
        <v>30</v>
      </c>
      <c r="AC370">
        <v>0</v>
      </c>
      <c r="AD370" t="s">
        <v>25</v>
      </c>
      <c r="AE370">
        <v>5.2681438165710298E-3</v>
      </c>
    </row>
    <row r="371" spans="25:31" x14ac:dyDescent="0.3">
      <c r="Y371" t="str">
        <f t="shared" si="24"/>
        <v>Pass</v>
      </c>
      <c r="Z371">
        <f t="shared" si="25"/>
        <v>2.631432143971324E-3</v>
      </c>
      <c r="AA371">
        <v>10</v>
      </c>
      <c r="AB371">
        <v>30</v>
      </c>
      <c r="AC371">
        <v>0</v>
      </c>
      <c r="AD371" t="s">
        <v>26</v>
      </c>
      <c r="AE371">
        <v>2.63143199865924E-3</v>
      </c>
    </row>
    <row r="372" spans="25:31" x14ac:dyDescent="0.3">
      <c r="Y372" t="str">
        <f t="shared" si="24"/>
        <v>Pass</v>
      </c>
      <c r="Z372">
        <f t="shared" si="25"/>
        <v>1.7085636034607887E-2</v>
      </c>
      <c r="AA372">
        <v>10</v>
      </c>
      <c r="AB372">
        <v>30</v>
      </c>
      <c r="AC372">
        <v>10</v>
      </c>
      <c r="AD372" t="s">
        <v>24</v>
      </c>
      <c r="AE372">
        <v>1.7085635554056702E-2</v>
      </c>
    </row>
    <row r="373" spans="25:31" x14ac:dyDescent="0.3">
      <c r="Y373" t="str">
        <f t="shared" si="24"/>
        <v>Pass</v>
      </c>
      <c r="Z373">
        <f t="shared" si="25"/>
        <v>1.4231298118829727E-2</v>
      </c>
      <c r="AA373">
        <v>10</v>
      </c>
      <c r="AB373">
        <v>30</v>
      </c>
      <c r="AC373">
        <v>10</v>
      </c>
      <c r="AD373" t="s">
        <v>25</v>
      </c>
      <c r="AE373">
        <v>1.42312969923919E-2</v>
      </c>
    </row>
    <row r="374" spans="25:31" x14ac:dyDescent="0.3">
      <c r="Y374" t="str">
        <f t="shared" si="24"/>
        <v>Pass</v>
      </c>
      <c r="Z374">
        <f t="shared" si="25"/>
        <v>7.1085174567997456E-3</v>
      </c>
      <c r="AA374">
        <v>10</v>
      </c>
      <c r="AB374">
        <v>30</v>
      </c>
      <c r="AC374">
        <v>10</v>
      </c>
      <c r="AD374" t="s">
        <v>26</v>
      </c>
      <c r="AE374">
        <v>7.1085170777623503E-3</v>
      </c>
    </row>
    <row r="375" spans="25:31" x14ac:dyDescent="0.3">
      <c r="Y375" t="str">
        <f t="shared" si="24"/>
        <v>Pass</v>
      </c>
      <c r="Z375">
        <f t="shared" si="25"/>
        <v>4.5980311930179596E-2</v>
      </c>
      <c r="AA375">
        <v>10</v>
      </c>
      <c r="AB375">
        <v>30</v>
      </c>
      <c r="AC375">
        <v>20</v>
      </c>
      <c r="AD375" t="s">
        <v>24</v>
      </c>
      <c r="AE375">
        <v>4.5980306652054E-2</v>
      </c>
    </row>
    <row r="376" spans="25:31" x14ac:dyDescent="0.3">
      <c r="Y376" t="str">
        <f t="shared" si="24"/>
        <v>Pass</v>
      </c>
      <c r="Z376">
        <f t="shared" si="25"/>
        <v>3.8298808038234711E-2</v>
      </c>
      <c r="AA376">
        <v>10</v>
      </c>
      <c r="AB376">
        <v>30</v>
      </c>
      <c r="AC376">
        <v>20</v>
      </c>
      <c r="AD376" t="s">
        <v>25</v>
      </c>
      <c r="AE376">
        <v>3.8298803559067403E-2</v>
      </c>
    </row>
    <row r="377" spans="25:31" x14ac:dyDescent="0.3">
      <c r="Y377" t="str">
        <f t="shared" si="24"/>
        <v>Pass</v>
      </c>
      <c r="Z377">
        <f t="shared" si="25"/>
        <v>1.9130213186144829E-2</v>
      </c>
      <c r="AA377">
        <v>10</v>
      </c>
      <c r="AB377">
        <v>30</v>
      </c>
      <c r="AC377">
        <v>20</v>
      </c>
      <c r="AD377" t="s">
        <v>26</v>
      </c>
      <c r="AE377">
        <v>1.91302099382115E-2</v>
      </c>
    </row>
    <row r="378" spans="25:31" x14ac:dyDescent="0.3">
      <c r="Y378" t="str">
        <f t="shared" si="24"/>
        <v>Pass</v>
      </c>
      <c r="Z378">
        <f t="shared" si="25"/>
        <v>0.1224963366985321</v>
      </c>
      <c r="AA378">
        <v>10</v>
      </c>
      <c r="AB378">
        <v>30</v>
      </c>
      <c r="AC378">
        <v>30</v>
      </c>
      <c r="AD378" t="s">
        <v>24</v>
      </c>
      <c r="AE378">
        <v>0.122496329705836</v>
      </c>
    </row>
    <row r="379" spans="25:31" x14ac:dyDescent="0.3">
      <c r="Y379" t="str">
        <f t="shared" si="24"/>
        <v>Pass</v>
      </c>
      <c r="Z379">
        <f t="shared" si="25"/>
        <v>0.10203201323747635</v>
      </c>
      <c r="AA379">
        <v>10</v>
      </c>
      <c r="AB379">
        <v>30</v>
      </c>
      <c r="AC379">
        <v>30</v>
      </c>
      <c r="AD379" t="s">
        <v>25</v>
      </c>
      <c r="AE379">
        <v>0.10203200478005001</v>
      </c>
    </row>
    <row r="380" spans="25:31" x14ac:dyDescent="0.3">
      <c r="Y380" t="str">
        <f t="shared" si="24"/>
        <v>Pass</v>
      </c>
      <c r="Z380">
        <f t="shared" si="25"/>
        <v>5.0964877009391785E-2</v>
      </c>
      <c r="AA380">
        <v>10</v>
      </c>
      <c r="AB380">
        <v>30</v>
      </c>
      <c r="AC380">
        <v>30</v>
      </c>
      <c r="AD380" t="s">
        <v>26</v>
      </c>
      <c r="AE380">
        <v>5.0964873324270001E-2</v>
      </c>
    </row>
    <row r="381" spans="25:31" x14ac:dyDescent="0.3">
      <c r="Y381" t="str">
        <f t="shared" si="24"/>
        <v>Pass</v>
      </c>
      <c r="Z381">
        <f t="shared" si="25"/>
        <v>0.31787785887718201</v>
      </c>
      <c r="AA381">
        <v>10</v>
      </c>
      <c r="AB381">
        <v>30</v>
      </c>
      <c r="AC381">
        <v>40</v>
      </c>
      <c r="AD381" t="s">
        <v>24</v>
      </c>
      <c r="AE381">
        <v>0.31787785512165201</v>
      </c>
    </row>
    <row r="382" spans="25:31" x14ac:dyDescent="0.3">
      <c r="Y382" t="str">
        <f t="shared" si="24"/>
        <v>Pass</v>
      </c>
      <c r="Z382">
        <f t="shared" si="25"/>
        <v>0.26477295160293579</v>
      </c>
      <c r="AA382">
        <v>10</v>
      </c>
      <c r="AB382">
        <v>30</v>
      </c>
      <c r="AC382">
        <v>40</v>
      </c>
      <c r="AD382" t="s">
        <v>25</v>
      </c>
      <c r="AE382">
        <v>0.26477295206420698</v>
      </c>
    </row>
    <row r="383" spans="25:31" x14ac:dyDescent="0.3">
      <c r="Y383" t="str">
        <f t="shared" si="24"/>
        <v>Pass</v>
      </c>
      <c r="Z383">
        <f t="shared" si="25"/>
        <v>0.13225379586219788</v>
      </c>
      <c r="AA383">
        <v>10</v>
      </c>
      <c r="AB383">
        <v>30</v>
      </c>
      <c r="AC383">
        <v>40</v>
      </c>
      <c r="AD383" t="s">
        <v>26</v>
      </c>
      <c r="AE383">
        <v>0.13225379615674901</v>
      </c>
    </row>
    <row r="384" spans="25:31" x14ac:dyDescent="0.3">
      <c r="Y384" t="str">
        <f t="shared" si="24"/>
        <v>Pass</v>
      </c>
      <c r="Z384">
        <f t="shared" si="25"/>
        <v>0.77364969253540039</v>
      </c>
      <c r="AA384">
        <v>10</v>
      </c>
      <c r="AB384">
        <v>30</v>
      </c>
      <c r="AC384">
        <v>50</v>
      </c>
      <c r="AD384" t="s">
        <v>24</v>
      </c>
      <c r="AE384">
        <v>0.77364965864039803</v>
      </c>
    </row>
    <row r="385" spans="25:31" x14ac:dyDescent="0.3">
      <c r="Y385" t="str">
        <f t="shared" si="24"/>
        <v>Pass</v>
      </c>
      <c r="Z385">
        <f t="shared" si="25"/>
        <v>0.64440321922302246</v>
      </c>
      <c r="AA385">
        <v>10</v>
      </c>
      <c r="AB385">
        <v>30</v>
      </c>
      <c r="AC385">
        <v>50</v>
      </c>
      <c r="AD385" t="s">
        <v>25</v>
      </c>
      <c r="AE385">
        <v>0.64440319034898297</v>
      </c>
    </row>
    <row r="386" spans="25:31" x14ac:dyDescent="0.3">
      <c r="Y386" t="str">
        <f t="shared" si="24"/>
        <v>Pass</v>
      </c>
      <c r="Z386">
        <f t="shared" si="25"/>
        <v>0.32187870144844055</v>
      </c>
      <c r="AA386">
        <v>10</v>
      </c>
      <c r="AB386">
        <v>30</v>
      </c>
      <c r="AC386">
        <v>50</v>
      </c>
      <c r="AD386" t="s">
        <v>26</v>
      </c>
      <c r="AE386">
        <v>0.3218786795054</v>
      </c>
    </row>
    <row r="387" spans="25:31" x14ac:dyDescent="0.3">
      <c r="Y387" t="str">
        <f t="shared" si="24"/>
        <v>Pass</v>
      </c>
      <c r="Z387">
        <f t="shared" si="25"/>
        <v>1.6445863246917725</v>
      </c>
      <c r="AA387">
        <v>10</v>
      </c>
      <c r="AB387">
        <v>30</v>
      </c>
      <c r="AC387">
        <v>60</v>
      </c>
      <c r="AD387" t="s">
        <v>24</v>
      </c>
      <c r="AE387">
        <v>1.6445862225903001</v>
      </c>
    </row>
    <row r="388" spans="25:31" x14ac:dyDescent="0.3">
      <c r="Y388" t="str">
        <f t="shared" si="24"/>
        <v>Pass</v>
      </c>
      <c r="Z388">
        <f t="shared" si="25"/>
        <v>1.3698405027389526</v>
      </c>
      <c r="AA388">
        <v>10</v>
      </c>
      <c r="AB388">
        <v>30</v>
      </c>
      <c r="AC388">
        <v>60</v>
      </c>
      <c r="AD388" t="s">
        <v>25</v>
      </c>
      <c r="AE388">
        <v>1.36984046564902</v>
      </c>
    </row>
    <row r="389" spans="25:31" x14ac:dyDescent="0.3">
      <c r="Y389" t="str">
        <f t="shared" si="24"/>
        <v>Pass</v>
      </c>
      <c r="Z389">
        <f t="shared" si="25"/>
        <v>0.68423384428024292</v>
      </c>
      <c r="AA389">
        <v>10</v>
      </c>
      <c r="AB389">
        <v>30</v>
      </c>
      <c r="AC389">
        <v>60</v>
      </c>
      <c r="AD389" t="s">
        <v>26</v>
      </c>
      <c r="AE389">
        <v>0.68423379464863499</v>
      </c>
    </row>
    <row r="390" spans="25:31" x14ac:dyDescent="0.3">
      <c r="Y390" t="str">
        <f t="shared" si="24"/>
        <v>Pass</v>
      </c>
      <c r="Z390">
        <f t="shared" si="25"/>
        <v>2.8151102066040039</v>
      </c>
      <c r="AA390">
        <v>10</v>
      </c>
      <c r="AB390">
        <v>30</v>
      </c>
      <c r="AC390">
        <v>70</v>
      </c>
      <c r="AD390" t="s">
        <v>24</v>
      </c>
      <c r="AE390">
        <v>2.8151100496545398</v>
      </c>
    </row>
    <row r="391" spans="25:31" x14ac:dyDescent="0.3">
      <c r="Y391" t="str">
        <f t="shared" ref="Y391:Y454" si="26">IF(ISBLANK(Z391),"",IF(ROUND(Z391,0)=ROUND(AE391,0),"Pass","Fail"))</f>
        <v>Pass</v>
      </c>
      <c r="Z391">
        <f t="shared" ref="Z391:Z454" si="27">ROS_grass(AA391,AB391,AC391,AD391)</f>
        <v>2.3448159694671631</v>
      </c>
      <c r="AA391">
        <v>10</v>
      </c>
      <c r="AB391">
        <v>30</v>
      </c>
      <c r="AC391">
        <v>70</v>
      </c>
      <c r="AD391" t="s">
        <v>25</v>
      </c>
      <c r="AE391">
        <v>2.3448157404591701</v>
      </c>
    </row>
    <row r="392" spans="25:31" x14ac:dyDescent="0.3">
      <c r="Y392" t="str">
        <f t="shared" si="26"/>
        <v>Pass</v>
      </c>
      <c r="Z392">
        <f t="shared" si="27"/>
        <v>1.1712329387664795</v>
      </c>
      <c r="AA392">
        <v>10</v>
      </c>
      <c r="AB392">
        <v>30</v>
      </c>
      <c r="AC392">
        <v>70</v>
      </c>
      <c r="AD392" t="s">
        <v>26</v>
      </c>
      <c r="AE392">
        <v>1.1712328640299401</v>
      </c>
    </row>
    <row r="393" spans="25:31" x14ac:dyDescent="0.3">
      <c r="Y393" t="str">
        <f t="shared" si="26"/>
        <v>Pass</v>
      </c>
      <c r="Z393">
        <f t="shared" si="27"/>
        <v>3.819094181060791</v>
      </c>
      <c r="AA393">
        <v>10</v>
      </c>
      <c r="AB393">
        <v>30</v>
      </c>
      <c r="AC393">
        <v>80</v>
      </c>
      <c r="AD393" t="s">
        <v>24</v>
      </c>
      <c r="AE393">
        <v>3.8190936379419802</v>
      </c>
    </row>
    <row r="394" spans="25:31" x14ac:dyDescent="0.3">
      <c r="Y394" t="str">
        <f t="shared" si="26"/>
        <v>Pass</v>
      </c>
      <c r="Z394">
        <f t="shared" si="27"/>
        <v>3.1810734272003174</v>
      </c>
      <c r="AA394">
        <v>10</v>
      </c>
      <c r="AB394">
        <v>30</v>
      </c>
      <c r="AC394">
        <v>80</v>
      </c>
      <c r="AD394" t="s">
        <v>25</v>
      </c>
      <c r="AE394">
        <v>3.1810731085389601</v>
      </c>
    </row>
    <row r="395" spans="25:31" x14ac:dyDescent="0.3">
      <c r="Y395" t="str">
        <f t="shared" si="26"/>
        <v>Pass</v>
      </c>
      <c r="Z395">
        <f t="shared" si="27"/>
        <v>1.5889426469802856</v>
      </c>
      <c r="AA395">
        <v>10</v>
      </c>
      <c r="AB395">
        <v>30</v>
      </c>
      <c r="AC395">
        <v>80</v>
      </c>
      <c r="AD395" t="s">
        <v>26</v>
      </c>
      <c r="AE395">
        <v>1.5889424927150699</v>
      </c>
    </row>
    <row r="396" spans="25:31" x14ac:dyDescent="0.3">
      <c r="Y396" t="str">
        <f t="shared" si="26"/>
        <v>Pass</v>
      </c>
      <c r="Z396">
        <f t="shared" si="27"/>
        <v>4.3984932899475098</v>
      </c>
      <c r="AA396">
        <v>10</v>
      </c>
      <c r="AB396">
        <v>30</v>
      </c>
      <c r="AC396">
        <v>90</v>
      </c>
      <c r="AD396" t="s">
        <v>24</v>
      </c>
      <c r="AE396">
        <v>4.3984927310174902</v>
      </c>
    </row>
    <row r="397" spans="25:31" x14ac:dyDescent="0.3">
      <c r="Y397" t="str">
        <f t="shared" si="26"/>
        <v>Pass</v>
      </c>
      <c r="Z397">
        <f t="shared" si="27"/>
        <v>3.6636776924133301</v>
      </c>
      <c r="AA397">
        <v>10</v>
      </c>
      <c r="AB397">
        <v>30</v>
      </c>
      <c r="AC397">
        <v>90</v>
      </c>
      <c r="AD397" t="s">
        <v>25</v>
      </c>
      <c r="AE397">
        <v>3.6636773724887699</v>
      </c>
    </row>
    <row r="398" spans="25:31" x14ac:dyDescent="0.3">
      <c r="Y398" t="str">
        <f t="shared" si="26"/>
        <v>Pass</v>
      </c>
      <c r="Z398">
        <f t="shared" si="27"/>
        <v>1.830003023147583</v>
      </c>
      <c r="AA398">
        <v>10</v>
      </c>
      <c r="AB398">
        <v>30</v>
      </c>
      <c r="AC398">
        <v>90</v>
      </c>
      <c r="AD398" t="s">
        <v>26</v>
      </c>
      <c r="AE398">
        <v>1.83000278777617</v>
      </c>
    </row>
    <row r="399" spans="25:31" x14ac:dyDescent="0.3">
      <c r="Y399" t="str">
        <f t="shared" si="26"/>
        <v>Pass</v>
      </c>
      <c r="Z399">
        <f t="shared" si="27"/>
        <v>4.6595940589904785</v>
      </c>
      <c r="AA399">
        <v>10</v>
      </c>
      <c r="AB399">
        <v>30</v>
      </c>
      <c r="AC399">
        <v>100</v>
      </c>
      <c r="AD399" t="s">
        <v>24</v>
      </c>
      <c r="AE399">
        <v>4.6595935511289097</v>
      </c>
    </row>
    <row r="400" spans="25:31" x14ac:dyDescent="0.3">
      <c r="Y400" t="str">
        <f t="shared" si="26"/>
        <v>Pass</v>
      </c>
      <c r="Z400">
        <f t="shared" si="27"/>
        <v>3.8811588287353516</v>
      </c>
      <c r="AA400">
        <v>10</v>
      </c>
      <c r="AB400">
        <v>30</v>
      </c>
      <c r="AC400">
        <v>100</v>
      </c>
      <c r="AD400" t="s">
        <v>25</v>
      </c>
      <c r="AE400">
        <v>3.8811585018389998</v>
      </c>
    </row>
    <row r="401" spans="25:31" x14ac:dyDescent="0.3">
      <c r="Y401" t="str">
        <f t="shared" si="26"/>
        <v>Pass</v>
      </c>
      <c r="Z401">
        <f t="shared" si="27"/>
        <v>1.9386345148086548</v>
      </c>
      <c r="AA401">
        <v>10</v>
      </c>
      <c r="AB401">
        <v>30</v>
      </c>
      <c r="AC401">
        <v>100</v>
      </c>
      <c r="AD401" t="s">
        <v>26</v>
      </c>
      <c r="AE401">
        <v>1.9386343708921401</v>
      </c>
    </row>
    <row r="402" spans="25:31" x14ac:dyDescent="0.3">
      <c r="Y402" t="str">
        <f t="shared" si="26"/>
        <v>Pass</v>
      </c>
      <c r="Z402">
        <f t="shared" si="27"/>
        <v>7.624180793762207</v>
      </c>
      <c r="AA402">
        <v>20</v>
      </c>
      <c r="AB402">
        <v>5</v>
      </c>
      <c r="AC402">
        <v>0</v>
      </c>
      <c r="AD402" t="s">
        <v>24</v>
      </c>
      <c r="AE402">
        <v>7.6241818134091401</v>
      </c>
    </row>
    <row r="403" spans="25:31" x14ac:dyDescent="0.3">
      <c r="Y403" t="str">
        <f t="shared" si="26"/>
        <v>Pass</v>
      </c>
      <c r="Z403">
        <f t="shared" si="27"/>
        <v>6.4303622245788574</v>
      </c>
      <c r="AA403">
        <v>20</v>
      </c>
      <c r="AB403">
        <v>5</v>
      </c>
      <c r="AC403">
        <v>0</v>
      </c>
      <c r="AD403" t="s">
        <v>25</v>
      </c>
      <c r="AE403">
        <v>6.4303625601256797</v>
      </c>
    </row>
    <row r="404" spans="25:31" x14ac:dyDescent="0.3">
      <c r="Y404" t="str">
        <f t="shared" si="26"/>
        <v>Pass</v>
      </c>
      <c r="Z404">
        <f t="shared" si="27"/>
        <v>3.2112927436828613</v>
      </c>
      <c r="AA404">
        <v>20</v>
      </c>
      <c r="AB404">
        <v>5</v>
      </c>
      <c r="AC404">
        <v>0</v>
      </c>
      <c r="AD404" t="s">
        <v>26</v>
      </c>
      <c r="AE404">
        <v>3.2112929745740399</v>
      </c>
    </row>
    <row r="405" spans="25:31" x14ac:dyDescent="0.3">
      <c r="Y405" t="str">
        <f t="shared" si="26"/>
        <v>Pass</v>
      </c>
      <c r="Z405">
        <f t="shared" si="27"/>
        <v>20.595867156982422</v>
      </c>
      <c r="AA405">
        <v>20</v>
      </c>
      <c r="AB405">
        <v>5</v>
      </c>
      <c r="AC405">
        <v>10</v>
      </c>
      <c r="AD405" t="s">
        <v>24</v>
      </c>
      <c r="AE405">
        <v>20.5958682011156</v>
      </c>
    </row>
    <row r="406" spans="25:31" x14ac:dyDescent="0.3">
      <c r="Y406" t="str">
        <f t="shared" si="26"/>
        <v>Pass</v>
      </c>
      <c r="Z406">
        <f t="shared" si="27"/>
        <v>17.370899200439453</v>
      </c>
      <c r="AA406">
        <v>20</v>
      </c>
      <c r="AB406">
        <v>5</v>
      </c>
      <c r="AC406">
        <v>10</v>
      </c>
      <c r="AD406" t="s">
        <v>25</v>
      </c>
      <c r="AE406">
        <v>17.370899988351201</v>
      </c>
    </row>
    <row r="407" spans="25:31" x14ac:dyDescent="0.3">
      <c r="Y407" t="str">
        <f t="shared" si="26"/>
        <v>Pass</v>
      </c>
      <c r="Z407">
        <f t="shared" si="27"/>
        <v>8.6749458312988281</v>
      </c>
      <c r="AA407">
        <v>20</v>
      </c>
      <c r="AB407">
        <v>5</v>
      </c>
      <c r="AC407">
        <v>10</v>
      </c>
      <c r="AD407" t="s">
        <v>26</v>
      </c>
      <c r="AE407">
        <v>8.6749461749681505</v>
      </c>
    </row>
    <row r="408" spans="25:31" x14ac:dyDescent="0.3">
      <c r="Y408" t="str">
        <f t="shared" si="26"/>
        <v>Pass</v>
      </c>
      <c r="Z408">
        <f t="shared" si="27"/>
        <v>55.426929473876953</v>
      </c>
      <c r="AA408">
        <v>20</v>
      </c>
      <c r="AB408">
        <v>5</v>
      </c>
      <c r="AC408">
        <v>20</v>
      </c>
      <c r="AD408" t="s">
        <v>24</v>
      </c>
      <c r="AE408">
        <v>55.426930573134698</v>
      </c>
    </row>
    <row r="409" spans="25:31" x14ac:dyDescent="0.3">
      <c r="Y409" t="str">
        <f t="shared" si="26"/>
        <v>Pass</v>
      </c>
      <c r="Z409">
        <f t="shared" si="27"/>
        <v>46.748001098632813</v>
      </c>
      <c r="AA409">
        <v>20</v>
      </c>
      <c r="AB409">
        <v>5</v>
      </c>
      <c r="AC409">
        <v>20</v>
      </c>
      <c r="AD409" t="s">
        <v>25</v>
      </c>
      <c r="AE409">
        <v>46.748001018721801</v>
      </c>
    </row>
    <row r="410" spans="25:31" x14ac:dyDescent="0.3">
      <c r="Y410" t="str">
        <f t="shared" si="26"/>
        <v>Pass</v>
      </c>
      <c r="Z410">
        <f t="shared" si="27"/>
        <v>23.345731735229492</v>
      </c>
      <c r="AA410">
        <v>20</v>
      </c>
      <c r="AB410">
        <v>5</v>
      </c>
      <c r="AC410">
        <v>20</v>
      </c>
      <c r="AD410" t="s">
        <v>26</v>
      </c>
      <c r="AE410">
        <v>23.345732972771401</v>
      </c>
    </row>
    <row r="411" spans="25:31" x14ac:dyDescent="0.3">
      <c r="Y411" t="str">
        <f t="shared" si="26"/>
        <v>Pass</v>
      </c>
      <c r="Z411">
        <f t="shared" si="27"/>
        <v>147.66310119628906</v>
      </c>
      <c r="AA411">
        <v>20</v>
      </c>
      <c r="AB411">
        <v>5</v>
      </c>
      <c r="AC411">
        <v>30</v>
      </c>
      <c r="AD411" t="s">
        <v>24</v>
      </c>
      <c r="AE411">
        <v>147.663120506089</v>
      </c>
    </row>
    <row r="412" spans="25:31" x14ac:dyDescent="0.3">
      <c r="Y412" t="str">
        <f t="shared" si="26"/>
        <v>Pass</v>
      </c>
      <c r="Z412">
        <f t="shared" si="27"/>
        <v>124.54154205322266</v>
      </c>
      <c r="AA412">
        <v>20</v>
      </c>
      <c r="AB412">
        <v>5</v>
      </c>
      <c r="AC412">
        <v>30</v>
      </c>
      <c r="AD412" t="s">
        <v>25</v>
      </c>
      <c r="AE412">
        <v>124.54154751972</v>
      </c>
    </row>
    <row r="413" spans="25:31" x14ac:dyDescent="0.3">
      <c r="Y413" t="str">
        <f t="shared" si="26"/>
        <v>Pass</v>
      </c>
      <c r="Z413">
        <f t="shared" si="27"/>
        <v>62.195461273193359</v>
      </c>
      <c r="AA413">
        <v>20</v>
      </c>
      <c r="AB413">
        <v>5</v>
      </c>
      <c r="AC413">
        <v>30</v>
      </c>
      <c r="AD413" t="s">
        <v>26</v>
      </c>
      <c r="AE413">
        <v>62.195466095902503</v>
      </c>
    </row>
    <row r="414" spans="25:31" x14ac:dyDescent="0.3">
      <c r="Y414" t="str">
        <f t="shared" si="26"/>
        <v>Pass</v>
      </c>
      <c r="Z414">
        <f t="shared" si="27"/>
        <v>383.18560791015625</v>
      </c>
      <c r="AA414">
        <v>20</v>
      </c>
      <c r="AB414">
        <v>5</v>
      </c>
      <c r="AC414">
        <v>40</v>
      </c>
      <c r="AD414" t="s">
        <v>24</v>
      </c>
      <c r="AE414">
        <v>383.18565249885597</v>
      </c>
    </row>
    <row r="415" spans="25:31" x14ac:dyDescent="0.3">
      <c r="Y415" t="str">
        <f t="shared" si="26"/>
        <v>Pass</v>
      </c>
      <c r="Z415">
        <f t="shared" si="27"/>
        <v>323.1851806640625</v>
      </c>
      <c r="AA415">
        <v>20</v>
      </c>
      <c r="AB415">
        <v>5</v>
      </c>
      <c r="AC415">
        <v>40</v>
      </c>
      <c r="AD415" t="s">
        <v>25</v>
      </c>
      <c r="AE415">
        <v>323.18519333737999</v>
      </c>
    </row>
    <row r="416" spans="25:31" x14ac:dyDescent="0.3">
      <c r="Y416" t="str">
        <f t="shared" si="26"/>
        <v>Pass</v>
      </c>
      <c r="Z416">
        <f t="shared" si="27"/>
        <v>161.39715576171875</v>
      </c>
      <c r="AA416">
        <v>20</v>
      </c>
      <c r="AB416">
        <v>5</v>
      </c>
      <c r="AC416">
        <v>40</v>
      </c>
      <c r="AD416" t="s">
        <v>26</v>
      </c>
      <c r="AE416">
        <v>161.397173354778</v>
      </c>
    </row>
    <row r="417" spans="25:31" x14ac:dyDescent="0.3">
      <c r="Y417" t="str">
        <f t="shared" si="26"/>
        <v>Pass</v>
      </c>
      <c r="Z417">
        <f t="shared" si="27"/>
        <v>932.5953369140625</v>
      </c>
      <c r="AA417">
        <v>20</v>
      </c>
      <c r="AB417">
        <v>5</v>
      </c>
      <c r="AC417">
        <v>50</v>
      </c>
      <c r="AD417" t="s">
        <v>24</v>
      </c>
      <c r="AE417">
        <v>932.59547488196597</v>
      </c>
    </row>
    <row r="418" spans="25:31" x14ac:dyDescent="0.3">
      <c r="Y418" t="str">
        <f t="shared" si="26"/>
        <v>Pass</v>
      </c>
      <c r="Z418">
        <f t="shared" si="27"/>
        <v>786.56658935546875</v>
      </c>
      <c r="AA418">
        <v>20</v>
      </c>
      <c r="AB418">
        <v>5</v>
      </c>
      <c r="AC418">
        <v>50</v>
      </c>
      <c r="AD418" t="s">
        <v>25</v>
      </c>
      <c r="AE418">
        <v>786.56663392738596</v>
      </c>
    </row>
    <row r="419" spans="25:31" x14ac:dyDescent="0.3">
      <c r="Y419" t="str">
        <f t="shared" si="26"/>
        <v>Pass</v>
      </c>
      <c r="Z419">
        <f t="shared" si="27"/>
        <v>392.80764770507813</v>
      </c>
      <c r="AA419">
        <v>20</v>
      </c>
      <c r="AB419">
        <v>5</v>
      </c>
      <c r="AC419">
        <v>50</v>
      </c>
      <c r="AD419" t="s">
        <v>26</v>
      </c>
      <c r="AE419">
        <v>392.80769660303503</v>
      </c>
    </row>
    <row r="420" spans="25:31" x14ac:dyDescent="0.3">
      <c r="Y420" t="str">
        <f t="shared" si="26"/>
        <v>Pass</v>
      </c>
      <c r="Z420">
        <f t="shared" si="27"/>
        <v>1982.4652099609375</v>
      </c>
      <c r="AA420">
        <v>20</v>
      </c>
      <c r="AB420">
        <v>5</v>
      </c>
      <c r="AC420">
        <v>60</v>
      </c>
      <c r="AD420" t="s">
        <v>24</v>
      </c>
      <c r="AE420">
        <v>1982.46538612361</v>
      </c>
    </row>
    <row r="421" spans="25:31" x14ac:dyDescent="0.3">
      <c r="Y421" t="str">
        <f t="shared" si="26"/>
        <v>Pass</v>
      </c>
      <c r="Z421">
        <f t="shared" si="27"/>
        <v>1672.04443359375</v>
      </c>
      <c r="AA421">
        <v>20</v>
      </c>
      <c r="AB421">
        <v>5</v>
      </c>
      <c r="AC421">
        <v>60</v>
      </c>
      <c r="AD421" t="s">
        <v>25</v>
      </c>
      <c r="AE421">
        <v>1672.04449049913</v>
      </c>
    </row>
    <row r="422" spans="25:31" x14ac:dyDescent="0.3">
      <c r="Y422" t="str">
        <f t="shared" si="26"/>
        <v>Pass</v>
      </c>
      <c r="Z422">
        <f t="shared" si="27"/>
        <v>835.0111083984375</v>
      </c>
      <c r="AA422">
        <v>20</v>
      </c>
      <c r="AB422">
        <v>5</v>
      </c>
      <c r="AC422">
        <v>60</v>
      </c>
      <c r="AD422" t="s">
        <v>26</v>
      </c>
      <c r="AE422">
        <v>835.011194984648</v>
      </c>
    </row>
    <row r="423" spans="25:31" x14ac:dyDescent="0.3">
      <c r="Y423" t="str">
        <f t="shared" si="26"/>
        <v>Pass</v>
      </c>
      <c r="Z423">
        <f t="shared" si="27"/>
        <v>3393.47216796875</v>
      </c>
      <c r="AA423">
        <v>20</v>
      </c>
      <c r="AB423">
        <v>5</v>
      </c>
      <c r="AC423">
        <v>70</v>
      </c>
      <c r="AD423" t="s">
        <v>24</v>
      </c>
      <c r="AE423">
        <v>3393.4725676947101</v>
      </c>
    </row>
    <row r="424" spans="25:31" x14ac:dyDescent="0.3">
      <c r="Y424" t="str">
        <f t="shared" si="26"/>
        <v>Pass</v>
      </c>
      <c r="Z424">
        <f t="shared" si="27"/>
        <v>2862.111328125</v>
      </c>
      <c r="AA424">
        <v>20</v>
      </c>
      <c r="AB424">
        <v>5</v>
      </c>
      <c r="AC424">
        <v>70</v>
      </c>
      <c r="AD424" t="s">
        <v>25</v>
      </c>
      <c r="AE424">
        <v>2862.11156582588</v>
      </c>
    </row>
    <row r="425" spans="25:31" x14ac:dyDescent="0.3">
      <c r="Y425" t="str">
        <f t="shared" si="26"/>
        <v>Pass</v>
      </c>
      <c r="Z425">
        <f t="shared" si="27"/>
        <v>1429.324951171875</v>
      </c>
      <c r="AA425">
        <v>20</v>
      </c>
      <c r="AB425">
        <v>5</v>
      </c>
      <c r="AC425">
        <v>70</v>
      </c>
      <c r="AD425" t="s">
        <v>26</v>
      </c>
      <c r="AE425">
        <v>1429.3251240259899</v>
      </c>
    </row>
    <row r="426" spans="25:31" x14ac:dyDescent="0.3">
      <c r="Y426" t="str">
        <f t="shared" si="26"/>
        <v>Pass</v>
      </c>
      <c r="Z426">
        <f t="shared" si="27"/>
        <v>4603.7236328125</v>
      </c>
      <c r="AA426">
        <v>20</v>
      </c>
      <c r="AB426">
        <v>5</v>
      </c>
      <c r="AC426">
        <v>80</v>
      </c>
      <c r="AD426" t="s">
        <v>24</v>
      </c>
      <c r="AE426">
        <v>4603.7239273839104</v>
      </c>
    </row>
    <row r="427" spans="25:31" x14ac:dyDescent="0.3">
      <c r="Y427" t="str">
        <f t="shared" si="26"/>
        <v>Pass</v>
      </c>
      <c r="Z427">
        <f t="shared" si="27"/>
        <v>3882.857666015625</v>
      </c>
      <c r="AA427">
        <v>20</v>
      </c>
      <c r="AB427">
        <v>5</v>
      </c>
      <c r="AC427">
        <v>80</v>
      </c>
      <c r="AD427" t="s">
        <v>25</v>
      </c>
      <c r="AE427">
        <v>3882.8578205911199</v>
      </c>
    </row>
    <row r="428" spans="25:31" x14ac:dyDescent="0.3">
      <c r="Y428" t="str">
        <f t="shared" si="26"/>
        <v>Pass</v>
      </c>
      <c r="Z428">
        <f t="shared" si="27"/>
        <v>1939.0809326171875</v>
      </c>
      <c r="AA428">
        <v>20</v>
      </c>
      <c r="AB428">
        <v>5</v>
      </c>
      <c r="AC428">
        <v>80</v>
      </c>
      <c r="AD428" t="s">
        <v>26</v>
      </c>
      <c r="AE428">
        <v>1939.08102753858</v>
      </c>
    </row>
    <row r="429" spans="25:31" x14ac:dyDescent="0.3">
      <c r="Y429" t="str">
        <f t="shared" si="26"/>
        <v>Pass</v>
      </c>
      <c r="Z429">
        <f t="shared" si="27"/>
        <v>5302.15966796875</v>
      </c>
      <c r="AA429">
        <v>20</v>
      </c>
      <c r="AB429">
        <v>5</v>
      </c>
      <c r="AC429">
        <v>90</v>
      </c>
      <c r="AD429" t="s">
        <v>24</v>
      </c>
      <c r="AE429">
        <v>5302.1601850855304</v>
      </c>
    </row>
    <row r="430" spans="25:31" x14ac:dyDescent="0.3">
      <c r="Y430" t="str">
        <f t="shared" si="26"/>
        <v>Pass</v>
      </c>
      <c r="Z430">
        <f t="shared" si="27"/>
        <v>4471.9306640625</v>
      </c>
      <c r="AA430">
        <v>20</v>
      </c>
      <c r="AB430">
        <v>5</v>
      </c>
      <c r="AC430">
        <v>90</v>
      </c>
      <c r="AD430" t="s">
        <v>25</v>
      </c>
      <c r="AE430">
        <v>4471.9306512337298</v>
      </c>
    </row>
    <row r="431" spans="25:31" x14ac:dyDescent="0.3">
      <c r="Y431" t="str">
        <f t="shared" si="26"/>
        <v>Pass</v>
      </c>
      <c r="Z431">
        <f t="shared" si="27"/>
        <v>2233.260986328125</v>
      </c>
      <c r="AA431">
        <v>20</v>
      </c>
      <c r="AB431">
        <v>5</v>
      </c>
      <c r="AC431">
        <v>90</v>
      </c>
      <c r="AD431" t="s">
        <v>26</v>
      </c>
      <c r="AE431">
        <v>2233.2612428634902</v>
      </c>
    </row>
    <row r="432" spans="25:31" x14ac:dyDescent="0.3">
      <c r="Y432" t="str">
        <f t="shared" si="26"/>
        <v>Pass</v>
      </c>
      <c r="Z432">
        <f t="shared" si="27"/>
        <v>5616.90380859375</v>
      </c>
      <c r="AA432">
        <v>20</v>
      </c>
      <c r="AB432">
        <v>5</v>
      </c>
      <c r="AC432">
        <v>100</v>
      </c>
      <c r="AD432" t="s">
        <v>24</v>
      </c>
      <c r="AE432">
        <v>5616.9039978751698</v>
      </c>
    </row>
    <row r="433" spans="25:31" x14ac:dyDescent="0.3">
      <c r="Y433" t="str">
        <f t="shared" si="26"/>
        <v>Pass</v>
      </c>
      <c r="Z433">
        <f t="shared" si="27"/>
        <v>4737.390625</v>
      </c>
      <c r="AA433">
        <v>20</v>
      </c>
      <c r="AB433">
        <v>5</v>
      </c>
      <c r="AC433">
        <v>100</v>
      </c>
      <c r="AD433" t="s">
        <v>25</v>
      </c>
      <c r="AE433">
        <v>4737.3908513346796</v>
      </c>
    </row>
    <row r="434" spans="25:31" x14ac:dyDescent="0.3">
      <c r="Y434" t="str">
        <f t="shared" si="26"/>
        <v>Pass</v>
      </c>
      <c r="Z434">
        <f t="shared" si="27"/>
        <v>2365.83056640625</v>
      </c>
      <c r="AA434">
        <v>20</v>
      </c>
      <c r="AB434">
        <v>5</v>
      </c>
      <c r="AC434">
        <v>100</v>
      </c>
      <c r="AD434" t="s">
        <v>26</v>
      </c>
      <c r="AE434">
        <v>2365.83082469382</v>
      </c>
    </row>
    <row r="435" spans="25:31" x14ac:dyDescent="0.3">
      <c r="Y435" t="str">
        <f t="shared" si="26"/>
        <v>Pass</v>
      </c>
      <c r="Z435">
        <f t="shared" si="27"/>
        <v>4.4429783821105957</v>
      </c>
      <c r="AA435">
        <v>20</v>
      </c>
      <c r="AB435">
        <v>10</v>
      </c>
      <c r="AC435">
        <v>0</v>
      </c>
      <c r="AD435" t="s">
        <v>24</v>
      </c>
      <c r="AE435">
        <v>4.4429786275457301</v>
      </c>
    </row>
    <row r="436" spans="25:31" x14ac:dyDescent="0.3">
      <c r="Y436" t="str">
        <f t="shared" si="26"/>
        <v>Pass</v>
      </c>
      <c r="Z436">
        <f t="shared" si="27"/>
        <v>3.7472825050354004</v>
      </c>
      <c r="AA436">
        <v>20</v>
      </c>
      <c r="AB436">
        <v>10</v>
      </c>
      <c r="AC436">
        <v>0</v>
      </c>
      <c r="AD436" t="s">
        <v>25</v>
      </c>
      <c r="AE436">
        <v>3.7472825440443698</v>
      </c>
    </row>
    <row r="437" spans="25:31" x14ac:dyDescent="0.3">
      <c r="Y437" t="str">
        <f t="shared" si="26"/>
        <v>Pass</v>
      </c>
      <c r="Z437">
        <f t="shared" si="27"/>
        <v>1.8713753223419189</v>
      </c>
      <c r="AA437">
        <v>20</v>
      </c>
      <c r="AB437">
        <v>10</v>
      </c>
      <c r="AC437">
        <v>0</v>
      </c>
      <c r="AD437" t="s">
        <v>26</v>
      </c>
      <c r="AE437">
        <v>1.8713753687938901</v>
      </c>
    </row>
    <row r="438" spans="25:31" x14ac:dyDescent="0.3">
      <c r="Y438" t="str">
        <f t="shared" si="26"/>
        <v>Pass</v>
      </c>
      <c r="Z438">
        <f t="shared" si="27"/>
        <v>12.002205848693848</v>
      </c>
      <c r="AA438">
        <v>20</v>
      </c>
      <c r="AB438">
        <v>10</v>
      </c>
      <c r="AC438">
        <v>10</v>
      </c>
      <c r="AD438" t="s">
        <v>24</v>
      </c>
      <c r="AE438">
        <v>12.0022062003251</v>
      </c>
    </row>
    <row r="439" spans="25:31" x14ac:dyDescent="0.3">
      <c r="Y439" t="str">
        <f t="shared" si="26"/>
        <v>Pass</v>
      </c>
      <c r="Z439">
        <f t="shared" si="27"/>
        <v>10.122861862182617</v>
      </c>
      <c r="AA439">
        <v>20</v>
      </c>
      <c r="AB439">
        <v>10</v>
      </c>
      <c r="AC439">
        <v>10</v>
      </c>
      <c r="AD439" t="s">
        <v>25</v>
      </c>
      <c r="AE439">
        <v>10.122861610375001</v>
      </c>
    </row>
    <row r="440" spans="25:31" x14ac:dyDescent="0.3">
      <c r="Y440" t="str">
        <f t="shared" si="26"/>
        <v>Pass</v>
      </c>
      <c r="Z440">
        <f t="shared" si="27"/>
        <v>5.0553097724914551</v>
      </c>
      <c r="AA440">
        <v>20</v>
      </c>
      <c r="AB440">
        <v>10</v>
      </c>
      <c r="AC440">
        <v>10</v>
      </c>
      <c r="AD440" t="s">
        <v>26</v>
      </c>
      <c r="AE440">
        <v>5.0553097229011197</v>
      </c>
    </row>
    <row r="441" spans="25:31" x14ac:dyDescent="0.3">
      <c r="Y441" t="str">
        <f t="shared" si="26"/>
        <v>Pass</v>
      </c>
      <c r="Z441">
        <f t="shared" si="27"/>
        <v>32.299949645996094</v>
      </c>
      <c r="AA441">
        <v>20</v>
      </c>
      <c r="AB441">
        <v>10</v>
      </c>
      <c r="AC441">
        <v>20</v>
      </c>
      <c r="AD441" t="s">
        <v>24</v>
      </c>
      <c r="AE441">
        <v>32.299946925948703</v>
      </c>
    </row>
    <row r="442" spans="25:31" x14ac:dyDescent="0.3">
      <c r="Y442" t="str">
        <f t="shared" si="26"/>
        <v>Pass</v>
      </c>
      <c r="Z442">
        <f t="shared" si="27"/>
        <v>27.242317199707031</v>
      </c>
      <c r="AA442">
        <v>20</v>
      </c>
      <c r="AB442">
        <v>10</v>
      </c>
      <c r="AC442">
        <v>20</v>
      </c>
      <c r="AD442" t="s">
        <v>25</v>
      </c>
      <c r="AE442">
        <v>27.242315895637599</v>
      </c>
    </row>
    <row r="443" spans="25:31" x14ac:dyDescent="0.3">
      <c r="Y443" t="str">
        <f t="shared" si="26"/>
        <v>Pass</v>
      </c>
      <c r="Z443">
        <f t="shared" si="27"/>
        <v>13.604684829711914</v>
      </c>
      <c r="AA443">
        <v>20</v>
      </c>
      <c r="AB443">
        <v>10</v>
      </c>
      <c r="AC443">
        <v>20</v>
      </c>
      <c r="AD443" t="s">
        <v>26</v>
      </c>
      <c r="AE443">
        <v>13.604685090272399</v>
      </c>
    </row>
    <row r="444" spans="25:31" x14ac:dyDescent="0.3">
      <c r="Y444" t="str">
        <f t="shared" si="26"/>
        <v>Pass</v>
      </c>
      <c r="Z444">
        <f t="shared" si="27"/>
        <v>86.050422668457031</v>
      </c>
      <c r="AA444">
        <v>20</v>
      </c>
      <c r="AB444">
        <v>10</v>
      </c>
      <c r="AC444">
        <v>30</v>
      </c>
      <c r="AD444" t="s">
        <v>24</v>
      </c>
      <c r="AE444">
        <v>86.050425415013393</v>
      </c>
    </row>
    <row r="445" spans="25:31" x14ac:dyDescent="0.3">
      <c r="Y445" t="str">
        <f t="shared" si="26"/>
        <v>Pass</v>
      </c>
      <c r="Z445">
        <f t="shared" si="27"/>
        <v>72.576370239257813</v>
      </c>
      <c r="AA445">
        <v>20</v>
      </c>
      <c r="AB445">
        <v>10</v>
      </c>
      <c r="AC445">
        <v>30</v>
      </c>
      <c r="AD445" t="s">
        <v>25</v>
      </c>
      <c r="AE445">
        <v>72.576369165069394</v>
      </c>
    </row>
    <row r="446" spans="25:31" x14ac:dyDescent="0.3">
      <c r="Y446" t="str">
        <f t="shared" si="26"/>
        <v>Pass</v>
      </c>
      <c r="Z446">
        <f t="shared" si="27"/>
        <v>36.244297027587891</v>
      </c>
      <c r="AA446">
        <v>20</v>
      </c>
      <c r="AB446">
        <v>10</v>
      </c>
      <c r="AC446">
        <v>30</v>
      </c>
      <c r="AD446" t="s">
        <v>26</v>
      </c>
      <c r="AE446">
        <v>36.244299172972902</v>
      </c>
    </row>
    <row r="447" spans="25:31" x14ac:dyDescent="0.3">
      <c r="Y447" t="str">
        <f t="shared" si="26"/>
        <v>Pass</v>
      </c>
      <c r="Z447">
        <f t="shared" si="27"/>
        <v>223.30075073242188</v>
      </c>
      <c r="AA447">
        <v>20</v>
      </c>
      <c r="AB447">
        <v>10</v>
      </c>
      <c r="AC447">
        <v>40</v>
      </c>
      <c r="AD447" t="s">
        <v>24</v>
      </c>
      <c r="AE447">
        <v>223.30076932849499</v>
      </c>
    </row>
    <row r="448" spans="25:31" x14ac:dyDescent="0.3">
      <c r="Y448" t="str">
        <f t="shared" si="26"/>
        <v>Pass</v>
      </c>
      <c r="Z448">
        <f t="shared" si="27"/>
        <v>188.33560180664063</v>
      </c>
      <c r="AA448">
        <v>20</v>
      </c>
      <c r="AB448">
        <v>10</v>
      </c>
      <c r="AC448">
        <v>40</v>
      </c>
      <c r="AD448" t="s">
        <v>25</v>
      </c>
      <c r="AE448">
        <v>188.33560661050799</v>
      </c>
    </row>
    <row r="449" spans="25:31" x14ac:dyDescent="0.3">
      <c r="Y449" t="str">
        <f t="shared" si="26"/>
        <v>Pass</v>
      </c>
      <c r="Z449">
        <f t="shared" si="27"/>
        <v>94.053916931152344</v>
      </c>
      <c r="AA449">
        <v>20</v>
      </c>
      <c r="AB449">
        <v>10</v>
      </c>
      <c r="AC449">
        <v>40</v>
      </c>
      <c r="AD449" t="s">
        <v>26</v>
      </c>
      <c r="AE449">
        <v>94.053920710599002</v>
      </c>
    </row>
    <row r="450" spans="25:31" x14ac:dyDescent="0.3">
      <c r="Y450" t="str">
        <f t="shared" si="26"/>
        <v>Pass</v>
      </c>
      <c r="Z450">
        <f t="shared" si="27"/>
        <v>543.4683837890625</v>
      </c>
      <c r="AA450">
        <v>20</v>
      </c>
      <c r="AB450">
        <v>10</v>
      </c>
      <c r="AC450">
        <v>50</v>
      </c>
      <c r="AD450" t="s">
        <v>24</v>
      </c>
      <c r="AE450">
        <v>543.46838315935599</v>
      </c>
    </row>
    <row r="451" spans="25:31" x14ac:dyDescent="0.3">
      <c r="Y451" t="str">
        <f t="shared" si="26"/>
        <v>Pass</v>
      </c>
      <c r="Z451">
        <f t="shared" si="27"/>
        <v>458.37033081054688</v>
      </c>
      <c r="AA451">
        <v>20</v>
      </c>
      <c r="AB451">
        <v>10</v>
      </c>
      <c r="AC451">
        <v>50</v>
      </c>
      <c r="AD451" t="s">
        <v>25</v>
      </c>
      <c r="AE451">
        <v>458.37033129687597</v>
      </c>
    </row>
    <row r="452" spans="25:31" x14ac:dyDescent="0.3">
      <c r="Y452" t="str">
        <f t="shared" si="26"/>
        <v>Pass</v>
      </c>
      <c r="Z452">
        <f t="shared" si="27"/>
        <v>228.90798950195313</v>
      </c>
      <c r="AA452">
        <v>20</v>
      </c>
      <c r="AB452">
        <v>10</v>
      </c>
      <c r="AC452">
        <v>50</v>
      </c>
      <c r="AD452" t="s">
        <v>26</v>
      </c>
      <c r="AE452">
        <v>228.90799871447101</v>
      </c>
    </row>
    <row r="453" spans="25:31" x14ac:dyDescent="0.3">
      <c r="Y453" t="str">
        <f t="shared" si="26"/>
        <v>Pass</v>
      </c>
      <c r="Z453">
        <f t="shared" si="27"/>
        <v>1155.2781982421875</v>
      </c>
      <c r="AA453">
        <v>20</v>
      </c>
      <c r="AB453">
        <v>10</v>
      </c>
      <c r="AC453">
        <v>60</v>
      </c>
      <c r="AD453" t="s">
        <v>24</v>
      </c>
      <c r="AE453">
        <v>1155.2782391554599</v>
      </c>
    </row>
    <row r="454" spans="25:31" x14ac:dyDescent="0.3">
      <c r="Y454" t="str">
        <f t="shared" si="26"/>
        <v>Pass</v>
      </c>
      <c r="Z454">
        <f t="shared" si="27"/>
        <v>974.3809814453125</v>
      </c>
      <c r="AA454">
        <v>20</v>
      </c>
      <c r="AB454">
        <v>10</v>
      </c>
      <c r="AC454">
        <v>60</v>
      </c>
      <c r="AD454" t="s">
        <v>25</v>
      </c>
      <c r="AE454">
        <v>974.38100472992596</v>
      </c>
    </row>
    <row r="455" spans="25:31" x14ac:dyDescent="0.3">
      <c r="Y455" t="str">
        <f t="shared" ref="Y455:Y518" si="28">IF(ISBLANK(Z455),"",IF(ROUND(Z455,0)=ROUND(AE455,0),"Pass","Fail"))</f>
        <v>Pass</v>
      </c>
      <c r="Z455">
        <f t="shared" ref="Z455:Z518" si="29">ROS_grass(AA455,AB455,AC455,AD455)</f>
        <v>486.60128784179688</v>
      </c>
      <c r="AA455">
        <v>20</v>
      </c>
      <c r="AB455">
        <v>10</v>
      </c>
      <c r="AC455">
        <v>60</v>
      </c>
      <c r="AD455" t="s">
        <v>26</v>
      </c>
      <c r="AE455">
        <v>486.60131459002002</v>
      </c>
    </row>
    <row r="456" spans="25:31" x14ac:dyDescent="0.3">
      <c r="Y456" t="str">
        <f t="shared" si="28"/>
        <v>Pass</v>
      </c>
      <c r="Z456">
        <f t="shared" si="29"/>
        <v>1977.5401611328125</v>
      </c>
      <c r="AA456">
        <v>20</v>
      </c>
      <c r="AB456">
        <v>10</v>
      </c>
      <c r="AC456">
        <v>70</v>
      </c>
      <c r="AD456" t="s">
        <v>24</v>
      </c>
      <c r="AE456">
        <v>1977.5402083031699</v>
      </c>
    </row>
    <row r="457" spans="25:31" x14ac:dyDescent="0.3">
      <c r="Y457" t="str">
        <f t="shared" si="28"/>
        <v>Pass</v>
      </c>
      <c r="Z457">
        <f t="shared" si="29"/>
        <v>1667.8905029296875</v>
      </c>
      <c r="AA457">
        <v>20</v>
      </c>
      <c r="AB457">
        <v>10</v>
      </c>
      <c r="AC457">
        <v>70</v>
      </c>
      <c r="AD457" t="s">
        <v>25</v>
      </c>
      <c r="AE457">
        <v>1667.89051308441</v>
      </c>
    </row>
    <row r="458" spans="25:31" x14ac:dyDescent="0.3">
      <c r="Y458" t="str">
        <f t="shared" si="28"/>
        <v>Pass</v>
      </c>
      <c r="Z458">
        <f t="shared" si="29"/>
        <v>832.93670654296875</v>
      </c>
      <c r="AA458">
        <v>20</v>
      </c>
      <c r="AB458">
        <v>10</v>
      </c>
      <c r="AC458">
        <v>70</v>
      </c>
      <c r="AD458" t="s">
        <v>26</v>
      </c>
      <c r="AE458">
        <v>832.93671810038495</v>
      </c>
    </row>
    <row r="459" spans="25:31" x14ac:dyDescent="0.3">
      <c r="Y459" t="str">
        <f t="shared" si="28"/>
        <v>Pass</v>
      </c>
      <c r="Z459">
        <f t="shared" si="29"/>
        <v>2682.81201171875</v>
      </c>
      <c r="AA459">
        <v>20</v>
      </c>
      <c r="AB459">
        <v>10</v>
      </c>
      <c r="AC459">
        <v>80</v>
      </c>
      <c r="AD459" t="s">
        <v>24</v>
      </c>
      <c r="AE459">
        <v>2682.8120730952901</v>
      </c>
    </row>
    <row r="460" spans="25:31" x14ac:dyDescent="0.3">
      <c r="Y460" t="str">
        <f t="shared" si="28"/>
        <v>Pass</v>
      </c>
      <c r="Z460">
        <f t="shared" si="29"/>
        <v>2262.728759765625</v>
      </c>
      <c r="AA460">
        <v>20</v>
      </c>
      <c r="AB460">
        <v>10</v>
      </c>
      <c r="AC460">
        <v>80</v>
      </c>
      <c r="AD460" t="s">
        <v>25</v>
      </c>
      <c r="AE460">
        <v>2262.7286091661499</v>
      </c>
    </row>
    <row r="461" spans="25:31" x14ac:dyDescent="0.3">
      <c r="Y461" t="str">
        <f t="shared" si="28"/>
        <v>Pass</v>
      </c>
      <c r="Z461">
        <f t="shared" si="29"/>
        <v>1129.99609375</v>
      </c>
      <c r="AA461">
        <v>20</v>
      </c>
      <c r="AB461">
        <v>10</v>
      </c>
      <c r="AC461">
        <v>80</v>
      </c>
      <c r="AD461" t="s">
        <v>26</v>
      </c>
      <c r="AE461">
        <v>1129.9960800096601</v>
      </c>
    </row>
    <row r="462" spans="25:31" x14ac:dyDescent="0.3">
      <c r="Y462" t="str">
        <f t="shared" si="28"/>
        <v>Pass</v>
      </c>
      <c r="Z462">
        <f t="shared" si="29"/>
        <v>3089.824462890625</v>
      </c>
      <c r="AA462">
        <v>20</v>
      </c>
      <c r="AB462">
        <v>10</v>
      </c>
      <c r="AC462">
        <v>90</v>
      </c>
      <c r="AD462" t="s">
        <v>24</v>
      </c>
      <c r="AE462">
        <v>3089.8245816655399</v>
      </c>
    </row>
    <row r="463" spans="25:31" x14ac:dyDescent="0.3">
      <c r="Y463" t="str">
        <f t="shared" si="28"/>
        <v>Pass</v>
      </c>
      <c r="Z463">
        <f t="shared" si="29"/>
        <v>2606.009765625</v>
      </c>
      <c r="AA463">
        <v>20</v>
      </c>
      <c r="AB463">
        <v>10</v>
      </c>
      <c r="AC463">
        <v>90</v>
      </c>
      <c r="AD463" t="s">
        <v>25</v>
      </c>
      <c r="AE463">
        <v>2606.0097717441299</v>
      </c>
    </row>
    <row r="464" spans="25:31" x14ac:dyDescent="0.3">
      <c r="Y464" t="str">
        <f t="shared" si="28"/>
        <v>Pass</v>
      </c>
      <c r="Z464">
        <f t="shared" si="29"/>
        <v>1301.4290771484375</v>
      </c>
      <c r="AA464">
        <v>20</v>
      </c>
      <c r="AB464">
        <v>10</v>
      </c>
      <c r="AC464">
        <v>90</v>
      </c>
      <c r="AD464" t="s">
        <v>26</v>
      </c>
      <c r="AE464">
        <v>1301.4290863732599</v>
      </c>
    </row>
    <row r="465" spans="25:31" x14ac:dyDescent="0.3">
      <c r="Y465" t="str">
        <f t="shared" si="28"/>
        <v>Pass</v>
      </c>
      <c r="Z465">
        <f t="shared" si="29"/>
        <v>3273.240966796875</v>
      </c>
      <c r="AA465">
        <v>20</v>
      </c>
      <c r="AB465">
        <v>10</v>
      </c>
      <c r="AC465">
        <v>100</v>
      </c>
      <c r="AD465" t="s">
        <v>24</v>
      </c>
      <c r="AE465">
        <v>3273.2409885142301</v>
      </c>
    </row>
    <row r="466" spans="25:31" x14ac:dyDescent="0.3">
      <c r="Y466" t="str">
        <f t="shared" si="28"/>
        <v>Pass</v>
      </c>
      <c r="Z466">
        <f t="shared" si="29"/>
        <v>2760.706298828125</v>
      </c>
      <c r="AA466">
        <v>20</v>
      </c>
      <c r="AB466">
        <v>10</v>
      </c>
      <c r="AC466">
        <v>100</v>
      </c>
      <c r="AD466" t="s">
        <v>25</v>
      </c>
      <c r="AE466">
        <v>2760.70623942781</v>
      </c>
    </row>
    <row r="467" spans="25:31" x14ac:dyDescent="0.3">
      <c r="Y467" t="str">
        <f t="shared" si="28"/>
        <v>Pass</v>
      </c>
      <c r="Z467">
        <f t="shared" si="29"/>
        <v>1378.6837158203125</v>
      </c>
      <c r="AA467">
        <v>20</v>
      </c>
      <c r="AB467">
        <v>10</v>
      </c>
      <c r="AC467">
        <v>100</v>
      </c>
      <c r="AD467" t="s">
        <v>26</v>
      </c>
      <c r="AE467">
        <v>1378.6837785028299</v>
      </c>
    </row>
    <row r="468" spans="25:31" x14ac:dyDescent="0.3">
      <c r="Y468" t="str">
        <f t="shared" si="28"/>
        <v>Pass</v>
      </c>
      <c r="Z468">
        <f t="shared" si="29"/>
        <v>2.6820452213287354</v>
      </c>
      <c r="AA468">
        <v>20</v>
      </c>
      <c r="AB468">
        <v>15</v>
      </c>
      <c r="AC468">
        <v>0</v>
      </c>
      <c r="AD468" t="s">
        <v>24</v>
      </c>
      <c r="AE468">
        <v>2.6820454036227899</v>
      </c>
    </row>
    <row r="469" spans="25:31" x14ac:dyDescent="0.3">
      <c r="Y469" t="str">
        <f t="shared" si="28"/>
        <v>Pass</v>
      </c>
      <c r="Z469">
        <f t="shared" si="29"/>
        <v>2.2620818614959717</v>
      </c>
      <c r="AA469">
        <v>20</v>
      </c>
      <c r="AB469">
        <v>15</v>
      </c>
      <c r="AC469">
        <v>0</v>
      </c>
      <c r="AD469" t="s">
        <v>25</v>
      </c>
      <c r="AE469">
        <v>2.26208198730001</v>
      </c>
    </row>
    <row r="470" spans="25:31" x14ac:dyDescent="0.3">
      <c r="Y470" t="str">
        <f t="shared" si="28"/>
        <v>Pass</v>
      </c>
      <c r="Z470">
        <f t="shared" si="29"/>
        <v>1.1296731233596802</v>
      </c>
      <c r="AA470">
        <v>20</v>
      </c>
      <c r="AB470">
        <v>15</v>
      </c>
      <c r="AC470">
        <v>0</v>
      </c>
      <c r="AD470" t="s">
        <v>26</v>
      </c>
      <c r="AE470">
        <v>1.1296731600752901</v>
      </c>
    </row>
    <row r="471" spans="25:31" x14ac:dyDescent="0.3">
      <c r="Y471" t="str">
        <f t="shared" si="28"/>
        <v>Pass</v>
      </c>
      <c r="Z471">
        <f t="shared" si="29"/>
        <v>7.2452430725097656</v>
      </c>
      <c r="AA471">
        <v>20</v>
      </c>
      <c r="AB471">
        <v>15</v>
      </c>
      <c r="AC471">
        <v>10</v>
      </c>
      <c r="AD471" t="s">
        <v>24</v>
      </c>
      <c r="AE471">
        <v>7.2452434889827</v>
      </c>
    </row>
    <row r="472" spans="25:31" x14ac:dyDescent="0.3">
      <c r="Y472" t="str">
        <f t="shared" si="28"/>
        <v>Pass</v>
      </c>
      <c r="Z472">
        <f t="shared" si="29"/>
        <v>6.1107592582702637</v>
      </c>
      <c r="AA472">
        <v>20</v>
      </c>
      <c r="AB472">
        <v>15</v>
      </c>
      <c r="AC472">
        <v>10</v>
      </c>
      <c r="AD472" t="s">
        <v>25</v>
      </c>
      <c r="AE472">
        <v>6.1107596343792201</v>
      </c>
    </row>
    <row r="473" spans="25:31" x14ac:dyDescent="0.3">
      <c r="Y473" t="str">
        <f t="shared" si="28"/>
        <v>Pass</v>
      </c>
      <c r="Z473">
        <f t="shared" si="29"/>
        <v>3.0516848564147949</v>
      </c>
      <c r="AA473">
        <v>20</v>
      </c>
      <c r="AB473">
        <v>15</v>
      </c>
      <c r="AC473">
        <v>10</v>
      </c>
      <c r="AD473" t="s">
        <v>26</v>
      </c>
      <c r="AE473">
        <v>3.0516847688925699</v>
      </c>
    </row>
    <row r="474" spans="25:31" x14ac:dyDescent="0.3">
      <c r="Y474" t="str">
        <f t="shared" si="28"/>
        <v>Pass</v>
      </c>
      <c r="Z474">
        <f t="shared" si="29"/>
        <v>19.498163223266602</v>
      </c>
      <c r="AA474">
        <v>20</v>
      </c>
      <c r="AB474">
        <v>15</v>
      </c>
      <c r="AC474">
        <v>20</v>
      </c>
      <c r="AD474" t="s">
        <v>24</v>
      </c>
      <c r="AE474">
        <v>19.498163608735201</v>
      </c>
    </row>
    <row r="475" spans="25:31" x14ac:dyDescent="0.3">
      <c r="Y475" t="str">
        <f t="shared" si="28"/>
        <v>Pass</v>
      </c>
      <c r="Z475">
        <f t="shared" si="29"/>
        <v>16.445077896118164</v>
      </c>
      <c r="AA475">
        <v>20</v>
      </c>
      <c r="AB475">
        <v>15</v>
      </c>
      <c r="AC475">
        <v>20</v>
      </c>
      <c r="AD475" t="s">
        <v>25</v>
      </c>
      <c r="AE475">
        <v>16.445077561018</v>
      </c>
    </row>
    <row r="476" spans="25:31" x14ac:dyDescent="0.3">
      <c r="Y476" t="str">
        <f t="shared" si="28"/>
        <v>Pass</v>
      </c>
      <c r="Z476">
        <f t="shared" si="29"/>
        <v>8.2125949859619141</v>
      </c>
      <c r="AA476">
        <v>20</v>
      </c>
      <c r="AB476">
        <v>15</v>
      </c>
      <c r="AC476">
        <v>20</v>
      </c>
      <c r="AD476" t="s">
        <v>26</v>
      </c>
      <c r="AE476">
        <v>8.2125947867222902</v>
      </c>
    </row>
    <row r="477" spans="25:31" x14ac:dyDescent="0.3">
      <c r="Y477" t="str">
        <f t="shared" si="28"/>
        <v>Pass</v>
      </c>
      <c r="Z477">
        <f t="shared" si="29"/>
        <v>51.945137023925781</v>
      </c>
      <c r="AA477">
        <v>20</v>
      </c>
      <c r="AB477">
        <v>15</v>
      </c>
      <c r="AC477">
        <v>30</v>
      </c>
      <c r="AD477" t="s">
        <v>24</v>
      </c>
      <c r="AE477">
        <v>51.945140256416202</v>
      </c>
    </row>
    <row r="478" spans="25:31" x14ac:dyDescent="0.3">
      <c r="Y478" t="str">
        <f t="shared" si="28"/>
        <v>Pass</v>
      </c>
      <c r="Z478">
        <f t="shared" si="29"/>
        <v>43.811397552490234</v>
      </c>
      <c r="AA478">
        <v>20</v>
      </c>
      <c r="AB478">
        <v>15</v>
      </c>
      <c r="AC478">
        <v>30</v>
      </c>
      <c r="AD478" t="s">
        <v>25</v>
      </c>
      <c r="AE478">
        <v>43.811400785047198</v>
      </c>
    </row>
    <row r="479" spans="25:31" x14ac:dyDescent="0.3">
      <c r="Y479" t="str">
        <f t="shared" si="28"/>
        <v>Pass</v>
      </c>
      <c r="Z479">
        <f t="shared" si="29"/>
        <v>21.879207611083984</v>
      </c>
      <c r="AA479">
        <v>20</v>
      </c>
      <c r="AB479">
        <v>15</v>
      </c>
      <c r="AC479">
        <v>30</v>
      </c>
      <c r="AD479" t="s">
        <v>26</v>
      </c>
      <c r="AE479">
        <v>21.8792085565576</v>
      </c>
    </row>
    <row r="480" spans="25:31" x14ac:dyDescent="0.3">
      <c r="Y480" t="str">
        <f t="shared" si="28"/>
        <v>Pass</v>
      </c>
      <c r="Z480">
        <f t="shared" si="29"/>
        <v>134.79757690429688</v>
      </c>
      <c r="AA480">
        <v>20</v>
      </c>
      <c r="AB480">
        <v>15</v>
      </c>
      <c r="AC480">
        <v>40</v>
      </c>
      <c r="AD480" t="s">
        <v>24</v>
      </c>
      <c r="AE480">
        <v>134.79758788165799</v>
      </c>
    </row>
    <row r="481" spans="25:31" x14ac:dyDescent="0.3">
      <c r="Y481" t="str">
        <f t="shared" si="28"/>
        <v>Pass</v>
      </c>
      <c r="Z481">
        <f t="shared" si="29"/>
        <v>113.69052886962891</v>
      </c>
      <c r="AA481">
        <v>20</v>
      </c>
      <c r="AB481">
        <v>15</v>
      </c>
      <c r="AC481">
        <v>40</v>
      </c>
      <c r="AD481" t="s">
        <v>25</v>
      </c>
      <c r="AE481">
        <v>113.69054195231401</v>
      </c>
    </row>
    <row r="482" spans="25:31" x14ac:dyDescent="0.3">
      <c r="Y482" t="str">
        <f t="shared" si="28"/>
        <v>Pass</v>
      </c>
      <c r="Z482">
        <f t="shared" si="29"/>
        <v>56.776523590087891</v>
      </c>
      <c r="AA482">
        <v>20</v>
      </c>
      <c r="AB482">
        <v>15</v>
      </c>
      <c r="AC482">
        <v>40</v>
      </c>
      <c r="AD482" t="s">
        <v>26</v>
      </c>
      <c r="AE482">
        <v>56.776524687878002</v>
      </c>
    </row>
    <row r="483" spans="25:31" x14ac:dyDescent="0.3">
      <c r="Y483" t="str">
        <f t="shared" si="28"/>
        <v>Pass</v>
      </c>
      <c r="Z483">
        <f t="shared" si="29"/>
        <v>328.06973266601563</v>
      </c>
      <c r="AA483">
        <v>20</v>
      </c>
      <c r="AB483">
        <v>15</v>
      </c>
      <c r="AC483">
        <v>50</v>
      </c>
      <c r="AD483" t="s">
        <v>24</v>
      </c>
      <c r="AE483">
        <v>328.06974808069998</v>
      </c>
    </row>
    <row r="484" spans="25:31" x14ac:dyDescent="0.3">
      <c r="Y484" t="str">
        <f t="shared" si="28"/>
        <v>Pass</v>
      </c>
      <c r="Z484">
        <f t="shared" si="29"/>
        <v>276.69949340820313</v>
      </c>
      <c r="AA484">
        <v>20</v>
      </c>
      <c r="AB484">
        <v>15</v>
      </c>
      <c r="AC484">
        <v>50</v>
      </c>
      <c r="AD484" t="s">
        <v>25</v>
      </c>
      <c r="AE484">
        <v>276.69951698393299</v>
      </c>
    </row>
    <row r="485" spans="25:31" x14ac:dyDescent="0.3">
      <c r="Y485" t="str">
        <f t="shared" si="28"/>
        <v>Pass</v>
      </c>
      <c r="Z485">
        <f t="shared" si="29"/>
        <v>138.18243408203125</v>
      </c>
      <c r="AA485">
        <v>20</v>
      </c>
      <c r="AB485">
        <v>15</v>
      </c>
      <c r="AC485">
        <v>50</v>
      </c>
      <c r="AD485" t="s">
        <v>26</v>
      </c>
      <c r="AE485">
        <v>138.18244409241601</v>
      </c>
    </row>
    <row r="486" spans="25:31" x14ac:dyDescent="0.3">
      <c r="Y486" t="str">
        <f t="shared" si="28"/>
        <v>Pass</v>
      </c>
      <c r="Z486">
        <f t="shared" si="29"/>
        <v>697.3944091796875</v>
      </c>
      <c r="AA486">
        <v>20</v>
      </c>
      <c r="AB486">
        <v>15</v>
      </c>
      <c r="AC486">
        <v>60</v>
      </c>
      <c r="AD486" t="s">
        <v>24</v>
      </c>
      <c r="AE486">
        <v>697.39446235957701</v>
      </c>
    </row>
    <row r="487" spans="25:31" x14ac:dyDescent="0.3">
      <c r="Y487" t="str">
        <f t="shared" si="28"/>
        <v>Pass</v>
      </c>
      <c r="Z487">
        <f t="shared" si="29"/>
        <v>588.194091796875</v>
      </c>
      <c r="AA487">
        <v>20</v>
      </c>
      <c r="AB487">
        <v>15</v>
      </c>
      <c r="AC487">
        <v>60</v>
      </c>
      <c r="AD487" t="s">
        <v>25</v>
      </c>
      <c r="AE487">
        <v>588.19416301285298</v>
      </c>
    </row>
    <row r="488" spans="25:31" x14ac:dyDescent="0.3">
      <c r="Y488" t="str">
        <f t="shared" si="28"/>
        <v>Pass</v>
      </c>
      <c r="Z488">
        <f t="shared" si="29"/>
        <v>293.74139404296875</v>
      </c>
      <c r="AA488">
        <v>20</v>
      </c>
      <c r="AB488">
        <v>15</v>
      </c>
      <c r="AC488">
        <v>60</v>
      </c>
      <c r="AD488" t="s">
        <v>26</v>
      </c>
      <c r="AE488">
        <v>293.74141282194103</v>
      </c>
    </row>
    <row r="489" spans="25:31" x14ac:dyDescent="0.3">
      <c r="Y489" t="str">
        <f t="shared" si="28"/>
        <v>Pass</v>
      </c>
      <c r="Z489">
        <f t="shared" si="29"/>
        <v>1193.760498046875</v>
      </c>
      <c r="AA489">
        <v>20</v>
      </c>
      <c r="AB489">
        <v>15</v>
      </c>
      <c r="AC489">
        <v>70</v>
      </c>
      <c r="AD489" t="s">
        <v>24</v>
      </c>
      <c r="AE489">
        <v>1193.7605536240401</v>
      </c>
    </row>
    <row r="490" spans="25:31" x14ac:dyDescent="0.3">
      <c r="Y490" t="str">
        <f t="shared" si="28"/>
        <v>Pass</v>
      </c>
      <c r="Z490">
        <f t="shared" si="29"/>
        <v>1006.8375854492188</v>
      </c>
      <c r="AA490">
        <v>20</v>
      </c>
      <c r="AB490">
        <v>15</v>
      </c>
      <c r="AC490">
        <v>70</v>
      </c>
      <c r="AD490" t="s">
        <v>25</v>
      </c>
      <c r="AE490">
        <v>1006.83763289565</v>
      </c>
    </row>
    <row r="491" spans="25:31" x14ac:dyDescent="0.3">
      <c r="Y491" t="str">
        <f t="shared" si="28"/>
        <v>Pass</v>
      </c>
      <c r="Z491">
        <f t="shared" si="29"/>
        <v>502.80999755859375</v>
      </c>
      <c r="AA491">
        <v>20</v>
      </c>
      <c r="AB491">
        <v>15</v>
      </c>
      <c r="AC491">
        <v>70</v>
      </c>
      <c r="AD491" t="s">
        <v>26</v>
      </c>
      <c r="AE491">
        <v>502.81000282997599</v>
      </c>
    </row>
    <row r="492" spans="25:31" x14ac:dyDescent="0.3">
      <c r="Y492" t="str">
        <f t="shared" si="28"/>
        <v>Pass</v>
      </c>
      <c r="Z492">
        <f t="shared" si="29"/>
        <v>1619.50439453125</v>
      </c>
      <c r="AA492">
        <v>20</v>
      </c>
      <c r="AB492">
        <v>15</v>
      </c>
      <c r="AC492">
        <v>80</v>
      </c>
      <c r="AD492" t="s">
        <v>24</v>
      </c>
      <c r="AE492">
        <v>1619.5044794540599</v>
      </c>
    </row>
    <row r="493" spans="25:31" x14ac:dyDescent="0.3">
      <c r="Y493" t="str">
        <f t="shared" si="28"/>
        <v>Pass</v>
      </c>
      <c r="Z493">
        <f t="shared" si="29"/>
        <v>1365.9171142578125</v>
      </c>
      <c r="AA493">
        <v>20</v>
      </c>
      <c r="AB493">
        <v>15</v>
      </c>
      <c r="AC493">
        <v>80</v>
      </c>
      <c r="AD493" t="s">
        <v>25</v>
      </c>
      <c r="AE493">
        <v>1365.9171863296101</v>
      </c>
    </row>
    <row r="494" spans="25:31" x14ac:dyDescent="0.3">
      <c r="Y494" t="str">
        <f t="shared" si="28"/>
        <v>Pass</v>
      </c>
      <c r="Z494">
        <f t="shared" si="29"/>
        <v>682.1326904296875</v>
      </c>
      <c r="AA494">
        <v>20</v>
      </c>
      <c r="AB494">
        <v>15</v>
      </c>
      <c r="AC494">
        <v>80</v>
      </c>
      <c r="AD494" t="s">
        <v>26</v>
      </c>
      <c r="AE494">
        <v>682.13265166567805</v>
      </c>
    </row>
    <row r="495" spans="25:31" x14ac:dyDescent="0.3">
      <c r="Y495" t="str">
        <f t="shared" si="28"/>
        <v>Pass</v>
      </c>
      <c r="Z495">
        <f t="shared" si="29"/>
        <v>1865.2012939453125</v>
      </c>
      <c r="AA495">
        <v>20</v>
      </c>
      <c r="AB495">
        <v>15</v>
      </c>
      <c r="AC495">
        <v>90</v>
      </c>
      <c r="AD495" t="s">
        <v>24</v>
      </c>
      <c r="AE495">
        <v>1865.20136871207</v>
      </c>
    </row>
    <row r="496" spans="25:31" x14ac:dyDescent="0.3">
      <c r="Y496" t="str">
        <f t="shared" si="28"/>
        <v>Pass</v>
      </c>
      <c r="Z496">
        <f t="shared" si="29"/>
        <v>1573.1419677734375</v>
      </c>
      <c r="AA496">
        <v>20</v>
      </c>
      <c r="AB496">
        <v>15</v>
      </c>
      <c r="AC496">
        <v>90</v>
      </c>
      <c r="AD496" t="s">
        <v>25</v>
      </c>
      <c r="AE496">
        <v>1573.14205537003</v>
      </c>
    </row>
    <row r="497" spans="25:31" x14ac:dyDescent="0.3">
      <c r="Y497" t="str">
        <f t="shared" si="28"/>
        <v>Pass</v>
      </c>
      <c r="Z497">
        <f t="shared" si="29"/>
        <v>785.61981201171875</v>
      </c>
      <c r="AA497">
        <v>20</v>
      </c>
      <c r="AB497">
        <v>15</v>
      </c>
      <c r="AC497">
        <v>90</v>
      </c>
      <c r="AD497" t="s">
        <v>26</v>
      </c>
      <c r="AE497">
        <v>785.61978165007599</v>
      </c>
    </row>
    <row r="498" spans="25:31" x14ac:dyDescent="0.3">
      <c r="Y498" t="str">
        <f t="shared" si="28"/>
        <v>Pass</v>
      </c>
      <c r="Z498">
        <f t="shared" si="29"/>
        <v>1975.92236328125</v>
      </c>
      <c r="AA498">
        <v>20</v>
      </c>
      <c r="AB498">
        <v>15</v>
      </c>
      <c r="AC498">
        <v>100</v>
      </c>
      <c r="AD498" t="s">
        <v>24</v>
      </c>
      <c r="AE498">
        <v>1975.9223899404001</v>
      </c>
    </row>
    <row r="499" spans="25:31" x14ac:dyDescent="0.3">
      <c r="Y499" t="str">
        <f t="shared" si="28"/>
        <v>Pass</v>
      </c>
      <c r="Z499">
        <f t="shared" si="29"/>
        <v>1666.5260009765625</v>
      </c>
      <c r="AA499">
        <v>20</v>
      </c>
      <c r="AB499">
        <v>15</v>
      </c>
      <c r="AC499">
        <v>100</v>
      </c>
      <c r="AD499" t="s">
        <v>25</v>
      </c>
      <c r="AE499">
        <v>1666.5260179971201</v>
      </c>
    </row>
    <row r="500" spans="25:31" x14ac:dyDescent="0.3">
      <c r="Y500" t="str">
        <f t="shared" si="28"/>
        <v>Pass</v>
      </c>
      <c r="Z500">
        <f t="shared" si="29"/>
        <v>832.25531005859375</v>
      </c>
      <c r="AA500">
        <v>20</v>
      </c>
      <c r="AB500">
        <v>15</v>
      </c>
      <c r="AC500">
        <v>100</v>
      </c>
      <c r="AD500" t="s">
        <v>26</v>
      </c>
      <c r="AE500">
        <v>832.25529563832697</v>
      </c>
    </row>
    <row r="501" spans="25:31" x14ac:dyDescent="0.3">
      <c r="Y501" t="str">
        <f t="shared" si="28"/>
        <v>Pass</v>
      </c>
      <c r="Z501">
        <f t="shared" si="29"/>
        <v>1.1905664205551147</v>
      </c>
      <c r="AA501">
        <v>20</v>
      </c>
      <c r="AB501">
        <v>20</v>
      </c>
      <c r="AC501">
        <v>0</v>
      </c>
      <c r="AD501" t="s">
        <v>24</v>
      </c>
      <c r="AE501">
        <v>1.1905664962423099</v>
      </c>
    </row>
    <row r="502" spans="25:31" x14ac:dyDescent="0.3">
      <c r="Y502" t="str">
        <f t="shared" si="28"/>
        <v>Pass</v>
      </c>
      <c r="Z502">
        <f t="shared" si="29"/>
        <v>1.0041435956954956</v>
      </c>
      <c r="AA502">
        <v>20</v>
      </c>
      <c r="AB502">
        <v>20</v>
      </c>
      <c r="AC502">
        <v>0</v>
      </c>
      <c r="AD502" t="s">
        <v>25</v>
      </c>
      <c r="AE502">
        <v>1.00414371143561</v>
      </c>
    </row>
    <row r="503" spans="25:31" x14ac:dyDescent="0.3">
      <c r="Y503" t="str">
        <f t="shared" si="28"/>
        <v>Pass</v>
      </c>
      <c r="Z503">
        <f t="shared" si="29"/>
        <v>0.50146466493606567</v>
      </c>
      <c r="AA503">
        <v>20</v>
      </c>
      <c r="AB503">
        <v>20</v>
      </c>
      <c r="AC503">
        <v>0</v>
      </c>
      <c r="AD503" t="s">
        <v>26</v>
      </c>
      <c r="AE503">
        <v>0.50146467105781201</v>
      </c>
    </row>
    <row r="504" spans="25:31" x14ac:dyDescent="0.3">
      <c r="Y504" t="str">
        <f t="shared" si="28"/>
        <v>Pass</v>
      </c>
      <c r="Z504">
        <f t="shared" si="29"/>
        <v>3.2161810398101807</v>
      </c>
      <c r="AA504">
        <v>20</v>
      </c>
      <c r="AB504">
        <v>20</v>
      </c>
      <c r="AC504">
        <v>10</v>
      </c>
      <c r="AD504" t="s">
        <v>24</v>
      </c>
      <c r="AE504">
        <v>3.2161812560850001</v>
      </c>
    </row>
    <row r="505" spans="25:31" x14ac:dyDescent="0.3">
      <c r="Y505" t="str">
        <f t="shared" si="28"/>
        <v>Pass</v>
      </c>
      <c r="Z505">
        <f t="shared" si="29"/>
        <v>2.7125809192657471</v>
      </c>
      <c r="AA505">
        <v>20</v>
      </c>
      <c r="AB505">
        <v>20</v>
      </c>
      <c r="AC505">
        <v>10</v>
      </c>
      <c r="AD505" t="s">
        <v>25</v>
      </c>
      <c r="AE505">
        <v>2.7125811059927201</v>
      </c>
    </row>
    <row r="506" spans="25:31" x14ac:dyDescent="0.3">
      <c r="Y506" t="str">
        <f t="shared" si="28"/>
        <v>Pass</v>
      </c>
      <c r="Z506">
        <f t="shared" si="29"/>
        <v>1.3546502590179443</v>
      </c>
      <c r="AA506">
        <v>20</v>
      </c>
      <c r="AB506">
        <v>20</v>
      </c>
      <c r="AC506">
        <v>10</v>
      </c>
      <c r="AD506" t="s">
        <v>26</v>
      </c>
      <c r="AE506">
        <v>1.35465031204499</v>
      </c>
    </row>
    <row r="507" spans="25:31" x14ac:dyDescent="0.3">
      <c r="Y507" t="str">
        <f t="shared" si="28"/>
        <v>Pass</v>
      </c>
      <c r="Z507">
        <f t="shared" si="29"/>
        <v>8.6552820205688477</v>
      </c>
      <c r="AA507">
        <v>20</v>
      </c>
      <c r="AB507">
        <v>20</v>
      </c>
      <c r="AC507">
        <v>20</v>
      </c>
      <c r="AD507" t="s">
        <v>24</v>
      </c>
      <c r="AE507">
        <v>8.6552823824141996</v>
      </c>
    </row>
    <row r="508" spans="25:31" x14ac:dyDescent="0.3">
      <c r="Y508" t="str">
        <f t="shared" si="28"/>
        <v>Pass</v>
      </c>
      <c r="Z508">
        <f t="shared" si="29"/>
        <v>7.3000097274780273</v>
      </c>
      <c r="AA508">
        <v>20</v>
      </c>
      <c r="AB508">
        <v>20</v>
      </c>
      <c r="AC508">
        <v>20</v>
      </c>
      <c r="AD508" t="s">
        <v>25</v>
      </c>
      <c r="AE508">
        <v>7.3000100392811698</v>
      </c>
    </row>
    <row r="509" spans="25:31" x14ac:dyDescent="0.3">
      <c r="Y509" t="str">
        <f t="shared" si="28"/>
        <v>Pass</v>
      </c>
      <c r="Z509">
        <f t="shared" si="29"/>
        <v>3.6455907821655273</v>
      </c>
      <c r="AA509">
        <v>20</v>
      </c>
      <c r="AB509">
        <v>20</v>
      </c>
      <c r="AC509">
        <v>20</v>
      </c>
      <c r="AD509" t="s">
        <v>26</v>
      </c>
      <c r="AE509">
        <v>3.6455908565450099</v>
      </c>
    </row>
    <row r="510" spans="25:31" x14ac:dyDescent="0.3">
      <c r="Y510" t="str">
        <f t="shared" si="28"/>
        <v>Pass</v>
      </c>
      <c r="Z510">
        <f t="shared" si="29"/>
        <v>23.058572769165039</v>
      </c>
      <c r="AA510">
        <v>20</v>
      </c>
      <c r="AB510">
        <v>20</v>
      </c>
      <c r="AC510">
        <v>30</v>
      </c>
      <c r="AD510" t="s">
        <v>24</v>
      </c>
      <c r="AE510">
        <v>23.0585744552872</v>
      </c>
    </row>
    <row r="511" spans="25:31" x14ac:dyDescent="0.3">
      <c r="Y511" t="str">
        <f t="shared" si="28"/>
        <v>Pass</v>
      </c>
      <c r="Z511">
        <f t="shared" si="29"/>
        <v>19.447986602783203</v>
      </c>
      <c r="AA511">
        <v>20</v>
      </c>
      <c r="AB511">
        <v>20</v>
      </c>
      <c r="AC511">
        <v>30</v>
      </c>
      <c r="AD511" t="s">
        <v>25</v>
      </c>
      <c r="AE511">
        <v>19.447987665557498</v>
      </c>
    </row>
    <row r="512" spans="25:31" x14ac:dyDescent="0.3">
      <c r="Y512" t="str">
        <f t="shared" si="28"/>
        <v>Pass</v>
      </c>
      <c r="Z512">
        <f t="shared" si="29"/>
        <v>9.7122335433959961</v>
      </c>
      <c r="AA512">
        <v>20</v>
      </c>
      <c r="AB512">
        <v>20</v>
      </c>
      <c r="AC512">
        <v>30</v>
      </c>
      <c r="AD512" t="s">
        <v>26</v>
      </c>
      <c r="AE512">
        <v>9.7122340421792597</v>
      </c>
    </row>
    <row r="513" spans="25:31" x14ac:dyDescent="0.3">
      <c r="Y513" t="str">
        <f t="shared" si="28"/>
        <v>Pass</v>
      </c>
      <c r="Z513">
        <f t="shared" si="29"/>
        <v>59.836971282958984</v>
      </c>
      <c r="AA513">
        <v>20</v>
      </c>
      <c r="AB513">
        <v>20</v>
      </c>
      <c r="AC513">
        <v>40</v>
      </c>
      <c r="AD513" t="s">
        <v>24</v>
      </c>
      <c r="AE513">
        <v>59.836978035272502</v>
      </c>
    </row>
    <row r="514" spans="25:31" x14ac:dyDescent="0.3">
      <c r="Y514" t="str">
        <f t="shared" si="28"/>
        <v>Pass</v>
      </c>
      <c r="Z514">
        <f t="shared" si="29"/>
        <v>50.467502593994141</v>
      </c>
      <c r="AA514">
        <v>20</v>
      </c>
      <c r="AB514">
        <v>20</v>
      </c>
      <c r="AC514">
        <v>40</v>
      </c>
      <c r="AD514" t="s">
        <v>25</v>
      </c>
      <c r="AE514">
        <v>50.467508866637097</v>
      </c>
    </row>
    <row r="515" spans="25:31" x14ac:dyDescent="0.3">
      <c r="Y515" t="str">
        <f t="shared" si="28"/>
        <v>Pass</v>
      </c>
      <c r="Z515">
        <f t="shared" si="29"/>
        <v>25.203235626220703</v>
      </c>
      <c r="AA515">
        <v>20</v>
      </c>
      <c r="AB515">
        <v>20</v>
      </c>
      <c r="AC515">
        <v>40</v>
      </c>
      <c r="AD515" t="s">
        <v>26</v>
      </c>
      <c r="AE515">
        <v>25.203237788277502</v>
      </c>
    </row>
    <row r="516" spans="25:31" x14ac:dyDescent="0.3">
      <c r="Y516" t="str">
        <f t="shared" si="28"/>
        <v>Pass</v>
      </c>
      <c r="Z516">
        <f t="shared" si="29"/>
        <v>145.63095092773438</v>
      </c>
      <c r="AA516">
        <v>20</v>
      </c>
      <c r="AB516">
        <v>20</v>
      </c>
      <c r="AC516">
        <v>50</v>
      </c>
      <c r="AD516" t="s">
        <v>24</v>
      </c>
      <c r="AE516">
        <v>145.63096134314</v>
      </c>
    </row>
    <row r="517" spans="25:31" x14ac:dyDescent="0.3">
      <c r="Y517" t="str">
        <f t="shared" si="28"/>
        <v>Pass</v>
      </c>
      <c r="Z517">
        <f t="shared" si="29"/>
        <v>122.82757568359375</v>
      </c>
      <c r="AA517">
        <v>20</v>
      </c>
      <c r="AB517">
        <v>20</v>
      </c>
      <c r="AC517">
        <v>50</v>
      </c>
      <c r="AD517" t="s">
        <v>25</v>
      </c>
      <c r="AE517">
        <v>122.827590466038</v>
      </c>
    </row>
    <row r="518" spans="25:31" x14ac:dyDescent="0.3">
      <c r="Y518" t="str">
        <f t="shared" si="28"/>
        <v>Pass</v>
      </c>
      <c r="Z518">
        <f t="shared" si="29"/>
        <v>61.339519500732422</v>
      </c>
      <c r="AA518">
        <v>20</v>
      </c>
      <c r="AB518">
        <v>20</v>
      </c>
      <c r="AC518">
        <v>50</v>
      </c>
      <c r="AD518" t="s">
        <v>26</v>
      </c>
      <c r="AE518">
        <v>61.3395239629751</v>
      </c>
    </row>
    <row r="519" spans="25:31" x14ac:dyDescent="0.3">
      <c r="Y519" t="str">
        <f t="shared" ref="Y519:Y582" si="30">IF(ISBLANK(Z519),"",IF(ROUND(Z519,0)=ROUND(AE519,0),"Pass","Fail"))</f>
        <v>Pass</v>
      </c>
      <c r="Z519">
        <f t="shared" ref="Z519:Z582" si="31">ROS_grass(AA519,AB519,AC519,AD519)</f>
        <v>309.5750732421875</v>
      </c>
      <c r="AA519">
        <v>20</v>
      </c>
      <c r="AB519">
        <v>20</v>
      </c>
      <c r="AC519">
        <v>60</v>
      </c>
      <c r="AD519" t="s">
        <v>24</v>
      </c>
      <c r="AE519">
        <v>309.57510280351897</v>
      </c>
    </row>
    <row r="520" spans="25:31" x14ac:dyDescent="0.3">
      <c r="Y520" t="str">
        <f t="shared" si="30"/>
        <v>Pass</v>
      </c>
      <c r="Z520">
        <f t="shared" si="31"/>
        <v>261.10079956054688</v>
      </c>
      <c r="AA520">
        <v>20</v>
      </c>
      <c r="AB520">
        <v>20</v>
      </c>
      <c r="AC520">
        <v>60</v>
      </c>
      <c r="AD520" t="s">
        <v>25</v>
      </c>
      <c r="AE520">
        <v>261.10082358131501</v>
      </c>
    </row>
    <row r="521" spans="25:31" x14ac:dyDescent="0.3">
      <c r="Y521" t="str">
        <f t="shared" si="30"/>
        <v>Pass</v>
      </c>
      <c r="Z521">
        <f t="shared" si="31"/>
        <v>130.39251708984375</v>
      </c>
      <c r="AA521">
        <v>20</v>
      </c>
      <c r="AB521">
        <v>20</v>
      </c>
      <c r="AC521">
        <v>60</v>
      </c>
      <c r="AD521" t="s">
        <v>26</v>
      </c>
      <c r="AE521">
        <v>130.39252959413</v>
      </c>
    </row>
    <row r="522" spans="25:31" x14ac:dyDescent="0.3">
      <c r="Y522" t="str">
        <f t="shared" si="30"/>
        <v>Pass</v>
      </c>
      <c r="Z522">
        <f t="shared" si="31"/>
        <v>529.9132080078125</v>
      </c>
      <c r="AA522">
        <v>20</v>
      </c>
      <c r="AB522">
        <v>20</v>
      </c>
      <c r="AC522">
        <v>70</v>
      </c>
      <c r="AD522" t="s">
        <v>24</v>
      </c>
      <c r="AE522">
        <v>529.91322136481801</v>
      </c>
    </row>
    <row r="523" spans="25:31" x14ac:dyDescent="0.3">
      <c r="Y523" t="str">
        <f t="shared" si="30"/>
        <v>Pass</v>
      </c>
      <c r="Z523">
        <f t="shared" si="31"/>
        <v>446.93765258789063</v>
      </c>
      <c r="AA523">
        <v>20</v>
      </c>
      <c r="AB523">
        <v>20</v>
      </c>
      <c r="AC523">
        <v>70</v>
      </c>
      <c r="AD523" t="s">
        <v>25</v>
      </c>
      <c r="AE523">
        <v>446.937680943923</v>
      </c>
    </row>
    <row r="524" spans="25:31" x14ac:dyDescent="0.3">
      <c r="Y524" t="str">
        <f t="shared" si="30"/>
        <v>Pass</v>
      </c>
      <c r="Z524">
        <f t="shared" si="31"/>
        <v>223.19857788085938</v>
      </c>
      <c r="AA524">
        <v>20</v>
      </c>
      <c r="AB524">
        <v>20</v>
      </c>
      <c r="AC524">
        <v>70</v>
      </c>
      <c r="AD524" t="s">
        <v>26</v>
      </c>
      <c r="AE524">
        <v>223.19858662208699</v>
      </c>
    </row>
    <row r="525" spans="25:31" x14ac:dyDescent="0.3">
      <c r="Y525" t="str">
        <f t="shared" si="30"/>
        <v>Pass</v>
      </c>
      <c r="Z525">
        <f t="shared" si="31"/>
        <v>718.9019775390625</v>
      </c>
      <c r="AA525">
        <v>20</v>
      </c>
      <c r="AB525">
        <v>20</v>
      </c>
      <c r="AC525">
        <v>80</v>
      </c>
      <c r="AD525" t="s">
        <v>24</v>
      </c>
      <c r="AE525">
        <v>718.90198844058398</v>
      </c>
    </row>
    <row r="526" spans="25:31" x14ac:dyDescent="0.3">
      <c r="Y526" t="str">
        <f t="shared" si="30"/>
        <v>Pass</v>
      </c>
      <c r="Z526">
        <f t="shared" si="31"/>
        <v>606.33392333984375</v>
      </c>
      <c r="AA526">
        <v>20</v>
      </c>
      <c r="AB526">
        <v>20</v>
      </c>
      <c r="AC526">
        <v>80</v>
      </c>
      <c r="AD526" t="s">
        <v>25</v>
      </c>
      <c r="AE526">
        <v>606.33397051704799</v>
      </c>
    </row>
    <row r="527" spans="25:31" x14ac:dyDescent="0.3">
      <c r="Y527" t="str">
        <f t="shared" si="30"/>
        <v>Pass</v>
      </c>
      <c r="Z527">
        <f t="shared" si="31"/>
        <v>302.80035400390625</v>
      </c>
      <c r="AA527">
        <v>20</v>
      </c>
      <c r="AB527">
        <v>20</v>
      </c>
      <c r="AC527">
        <v>80</v>
      </c>
      <c r="AD527" t="s">
        <v>26</v>
      </c>
      <c r="AE527">
        <v>302.80034781256899</v>
      </c>
    </row>
    <row r="528" spans="25:31" x14ac:dyDescent="0.3">
      <c r="Y528" t="str">
        <f t="shared" si="30"/>
        <v>Pass</v>
      </c>
      <c r="Z528">
        <f t="shared" si="31"/>
        <v>827.9674072265625</v>
      </c>
      <c r="AA528">
        <v>20</v>
      </c>
      <c r="AB528">
        <v>20</v>
      </c>
      <c r="AC528">
        <v>90</v>
      </c>
      <c r="AD528" t="s">
        <v>24</v>
      </c>
      <c r="AE528">
        <v>827.96743684292096</v>
      </c>
    </row>
    <row r="529" spans="25:31" x14ac:dyDescent="0.3">
      <c r="Y529" t="str">
        <f t="shared" si="30"/>
        <v>Pass</v>
      </c>
      <c r="Z529">
        <f t="shared" si="31"/>
        <v>698.321533203125</v>
      </c>
      <c r="AA529">
        <v>20</v>
      </c>
      <c r="AB529">
        <v>20</v>
      </c>
      <c r="AC529">
        <v>90</v>
      </c>
      <c r="AD529" t="s">
        <v>25</v>
      </c>
      <c r="AE529">
        <v>698.32159531060097</v>
      </c>
    </row>
    <row r="530" spans="25:31" x14ac:dyDescent="0.3">
      <c r="Y530" t="str">
        <f t="shared" si="30"/>
        <v>Pass</v>
      </c>
      <c r="Z530">
        <f t="shared" si="31"/>
        <v>348.738525390625</v>
      </c>
      <c r="AA530">
        <v>20</v>
      </c>
      <c r="AB530">
        <v>20</v>
      </c>
      <c r="AC530">
        <v>90</v>
      </c>
      <c r="AD530" t="s">
        <v>26</v>
      </c>
      <c r="AE530">
        <v>348.73853722027701</v>
      </c>
    </row>
    <row r="531" spans="25:31" x14ac:dyDescent="0.3">
      <c r="Y531" t="str">
        <f t="shared" si="30"/>
        <v>Pass</v>
      </c>
      <c r="Z531">
        <f t="shared" si="31"/>
        <v>877.11676025390625</v>
      </c>
      <c r="AA531">
        <v>20</v>
      </c>
      <c r="AB531">
        <v>20</v>
      </c>
      <c r="AC531">
        <v>100</v>
      </c>
      <c r="AD531" t="s">
        <v>24</v>
      </c>
      <c r="AE531">
        <v>877.11676821745004</v>
      </c>
    </row>
    <row r="532" spans="25:31" x14ac:dyDescent="0.3">
      <c r="Y532" t="str">
        <f t="shared" si="30"/>
        <v>Pass</v>
      </c>
      <c r="Z532">
        <f t="shared" si="31"/>
        <v>739.77490234375</v>
      </c>
      <c r="AA532">
        <v>20</v>
      </c>
      <c r="AB532">
        <v>20</v>
      </c>
      <c r="AC532">
        <v>100</v>
      </c>
      <c r="AD532" t="s">
        <v>25</v>
      </c>
      <c r="AE532">
        <v>739.77496408652996</v>
      </c>
    </row>
    <row r="533" spans="25:31" x14ac:dyDescent="0.3">
      <c r="Y533" t="str">
        <f t="shared" si="30"/>
        <v>Pass</v>
      </c>
      <c r="Z533">
        <f t="shared" si="31"/>
        <v>369.44015502929688</v>
      </c>
      <c r="AA533">
        <v>20</v>
      </c>
      <c r="AB533">
        <v>20</v>
      </c>
      <c r="AC533">
        <v>100</v>
      </c>
      <c r="AD533" t="s">
        <v>26</v>
      </c>
      <c r="AE533">
        <v>369.44015562481798</v>
      </c>
    </row>
    <row r="534" spans="25:31" x14ac:dyDescent="0.3">
      <c r="Y534" t="str">
        <f t="shared" si="30"/>
        <v>Pass</v>
      </c>
      <c r="Z534">
        <f t="shared" si="31"/>
        <v>1.3083147816359997E-2</v>
      </c>
      <c r="AA534">
        <v>20</v>
      </c>
      <c r="AB534">
        <v>25</v>
      </c>
      <c r="AC534">
        <v>0</v>
      </c>
      <c r="AD534" t="s">
        <v>24</v>
      </c>
      <c r="AE534">
        <v>1.3083148310355E-2</v>
      </c>
    </row>
    <row r="535" spans="25:31" x14ac:dyDescent="0.3">
      <c r="Y535" t="str">
        <f t="shared" si="30"/>
        <v>Pass</v>
      </c>
      <c r="Z535">
        <f t="shared" si="31"/>
        <v>1.1034547351300716E-2</v>
      </c>
      <c r="AA535">
        <v>20</v>
      </c>
      <c r="AB535">
        <v>25</v>
      </c>
      <c r="AC535">
        <v>0</v>
      </c>
      <c r="AD535" t="s">
        <v>25</v>
      </c>
      <c r="AE535">
        <v>1.1034546279512201E-2</v>
      </c>
    </row>
    <row r="536" spans="25:31" x14ac:dyDescent="0.3">
      <c r="Y536" t="str">
        <f t="shared" si="30"/>
        <v>Pass</v>
      </c>
      <c r="Z536">
        <f t="shared" si="31"/>
        <v>5.510600283741951E-3</v>
      </c>
      <c r="AA536">
        <v>20</v>
      </c>
      <c r="AB536">
        <v>25</v>
      </c>
      <c r="AC536">
        <v>0</v>
      </c>
      <c r="AD536" t="s">
        <v>26</v>
      </c>
      <c r="AE536">
        <v>5.5106007808550803E-3</v>
      </c>
    </row>
    <row r="537" spans="25:31" x14ac:dyDescent="0.3">
      <c r="Y537" t="str">
        <f t="shared" si="30"/>
        <v>Pass</v>
      </c>
      <c r="Z537">
        <f t="shared" si="31"/>
        <v>3.5342652350664139E-2</v>
      </c>
      <c r="AA537">
        <v>20</v>
      </c>
      <c r="AB537">
        <v>25</v>
      </c>
      <c r="AC537">
        <v>10</v>
      </c>
      <c r="AD537" t="s">
        <v>24</v>
      </c>
      <c r="AE537">
        <v>3.5342651165769297E-2</v>
      </c>
    </row>
    <row r="538" spans="25:31" x14ac:dyDescent="0.3">
      <c r="Y538" t="str">
        <f t="shared" si="30"/>
        <v>Pass</v>
      </c>
      <c r="Z538">
        <f t="shared" si="31"/>
        <v>2.9808586463332176E-2</v>
      </c>
      <c r="AA538">
        <v>20</v>
      </c>
      <c r="AB538">
        <v>25</v>
      </c>
      <c r="AC538">
        <v>10</v>
      </c>
      <c r="AD538" t="s">
        <v>25</v>
      </c>
      <c r="AE538">
        <v>2.9808583582337601E-2</v>
      </c>
    </row>
    <row r="539" spans="25:31" x14ac:dyDescent="0.3">
      <c r="Y539" t="str">
        <f t="shared" si="30"/>
        <v>Pass</v>
      </c>
      <c r="Z539">
        <f t="shared" si="31"/>
        <v>1.4886266551911831E-2</v>
      </c>
      <c r="AA539">
        <v>20</v>
      </c>
      <c r="AB539">
        <v>25</v>
      </c>
      <c r="AC539">
        <v>10</v>
      </c>
      <c r="AD539" t="s">
        <v>26</v>
      </c>
      <c r="AE539">
        <v>1.4886267165329601E-2</v>
      </c>
    </row>
    <row r="540" spans="25:31" x14ac:dyDescent="0.3">
      <c r="Y540" t="str">
        <f t="shared" si="30"/>
        <v>Pass</v>
      </c>
      <c r="Z540">
        <f t="shared" si="31"/>
        <v>9.5112994313240051E-2</v>
      </c>
      <c r="AA540">
        <v>20</v>
      </c>
      <c r="AB540">
        <v>25</v>
      </c>
      <c r="AC540">
        <v>20</v>
      </c>
      <c r="AD540" t="s">
        <v>24</v>
      </c>
      <c r="AE540">
        <v>9.5112993213342795E-2</v>
      </c>
    </row>
    <row r="541" spans="25:31" x14ac:dyDescent="0.3">
      <c r="Y541" t="str">
        <f t="shared" si="30"/>
        <v>Pass</v>
      </c>
      <c r="Z541">
        <f t="shared" si="31"/>
        <v>8.0219902098178864E-2</v>
      </c>
      <c r="AA541">
        <v>20</v>
      </c>
      <c r="AB541">
        <v>25</v>
      </c>
      <c r="AC541">
        <v>20</v>
      </c>
      <c r="AD541" t="s">
        <v>25</v>
      </c>
      <c r="AE541">
        <v>8.0219890541551306E-2</v>
      </c>
    </row>
    <row r="542" spans="25:31" x14ac:dyDescent="0.3">
      <c r="Y542" t="str">
        <f t="shared" si="30"/>
        <v>Pass</v>
      </c>
      <c r="Z542">
        <f t="shared" si="31"/>
        <v>4.0061440318822861E-2</v>
      </c>
      <c r="AA542">
        <v>20</v>
      </c>
      <c r="AB542">
        <v>25</v>
      </c>
      <c r="AC542">
        <v>20</v>
      </c>
      <c r="AD542" t="s">
        <v>26</v>
      </c>
      <c r="AE542">
        <v>4.0061437984011197E-2</v>
      </c>
    </row>
    <row r="543" spans="25:31" x14ac:dyDescent="0.3">
      <c r="Y543" t="str">
        <f t="shared" si="30"/>
        <v>Pass</v>
      </c>
      <c r="Z543">
        <f t="shared" si="31"/>
        <v>0.25339093804359436</v>
      </c>
      <c r="AA543">
        <v>20</v>
      </c>
      <c r="AB543">
        <v>25</v>
      </c>
      <c r="AC543">
        <v>30</v>
      </c>
      <c r="AD543" t="s">
        <v>24</v>
      </c>
      <c r="AE543">
        <v>0.25339092808007901</v>
      </c>
    </row>
    <row r="544" spans="25:31" x14ac:dyDescent="0.3">
      <c r="Y544" t="str">
        <f t="shared" si="30"/>
        <v>Pass</v>
      </c>
      <c r="Z544">
        <f t="shared" si="31"/>
        <v>0.21371416747570038</v>
      </c>
      <c r="AA544">
        <v>20</v>
      </c>
      <c r="AB544">
        <v>25</v>
      </c>
      <c r="AC544">
        <v>30</v>
      </c>
      <c r="AD544" t="s">
        <v>25</v>
      </c>
      <c r="AE544">
        <v>0.21371415017096199</v>
      </c>
    </row>
    <row r="545" spans="25:31" x14ac:dyDescent="0.3">
      <c r="Y545" t="str">
        <f t="shared" si="30"/>
        <v>Pass</v>
      </c>
      <c r="Z545">
        <f t="shared" si="31"/>
        <v>0.10672784596681595</v>
      </c>
      <c r="AA545">
        <v>20</v>
      </c>
      <c r="AB545">
        <v>25</v>
      </c>
      <c r="AC545">
        <v>30</v>
      </c>
      <c r="AD545" t="s">
        <v>26</v>
      </c>
      <c r="AE545">
        <v>0.106727846617354</v>
      </c>
    </row>
    <row r="546" spans="25:31" x14ac:dyDescent="0.3">
      <c r="Y546" t="str">
        <f t="shared" si="30"/>
        <v>Pass</v>
      </c>
      <c r="Z546">
        <f t="shared" si="31"/>
        <v>0.65754920244216919</v>
      </c>
      <c r="AA546">
        <v>20</v>
      </c>
      <c r="AB546">
        <v>25</v>
      </c>
      <c r="AC546">
        <v>40</v>
      </c>
      <c r="AD546" t="s">
        <v>24</v>
      </c>
      <c r="AE546">
        <v>0.65754920917881898</v>
      </c>
    </row>
    <row r="547" spans="25:31" x14ac:dyDescent="0.3">
      <c r="Y547" t="str">
        <f t="shared" si="30"/>
        <v>Pass</v>
      </c>
      <c r="Z547">
        <f t="shared" si="31"/>
        <v>0.55458801984786987</v>
      </c>
      <c r="AA547">
        <v>20</v>
      </c>
      <c r="AB547">
        <v>25</v>
      </c>
      <c r="AC547">
        <v>40</v>
      </c>
      <c r="AD547" t="s">
        <v>25</v>
      </c>
      <c r="AE547">
        <v>0.55458800952348497</v>
      </c>
    </row>
    <row r="548" spans="25:31" x14ac:dyDescent="0.3">
      <c r="Y548" t="str">
        <f t="shared" si="30"/>
        <v>Pass</v>
      </c>
      <c r="Z548">
        <f t="shared" si="31"/>
        <v>0.2769586443901062</v>
      </c>
      <c r="AA548">
        <v>20</v>
      </c>
      <c r="AB548">
        <v>25</v>
      </c>
      <c r="AC548">
        <v>40</v>
      </c>
      <c r="AD548" t="s">
        <v>26</v>
      </c>
      <c r="AE548">
        <v>0.27695865701403899</v>
      </c>
    </row>
    <row r="549" spans="25:31" x14ac:dyDescent="0.3">
      <c r="Y549" t="str">
        <f t="shared" si="30"/>
        <v>Pass</v>
      </c>
      <c r="Z549">
        <f t="shared" si="31"/>
        <v>1.6003401279449463</v>
      </c>
      <c r="AA549">
        <v>20</v>
      </c>
      <c r="AB549">
        <v>25</v>
      </c>
      <c r="AC549">
        <v>50</v>
      </c>
      <c r="AD549" t="s">
        <v>24</v>
      </c>
      <c r="AE549">
        <v>1.60034023454</v>
      </c>
    </row>
    <row r="550" spans="25:31" x14ac:dyDescent="0.3">
      <c r="Y550" t="str">
        <f t="shared" si="30"/>
        <v>Pass</v>
      </c>
      <c r="Z550">
        <f t="shared" si="31"/>
        <v>1.3497538566589355</v>
      </c>
      <c r="AA550">
        <v>20</v>
      </c>
      <c r="AB550">
        <v>25</v>
      </c>
      <c r="AC550">
        <v>50</v>
      </c>
      <c r="AD550" t="s">
        <v>25</v>
      </c>
      <c r="AE550">
        <v>1.34975374138504</v>
      </c>
    </row>
    <row r="551" spans="25:31" x14ac:dyDescent="0.3">
      <c r="Y551" t="str">
        <f t="shared" si="30"/>
        <v>Pass</v>
      </c>
      <c r="Z551">
        <f t="shared" si="31"/>
        <v>0.6740606427192688</v>
      </c>
      <c r="AA551">
        <v>20</v>
      </c>
      <c r="AB551">
        <v>25</v>
      </c>
      <c r="AC551">
        <v>50</v>
      </c>
      <c r="AD551" t="s">
        <v>26</v>
      </c>
      <c r="AE551">
        <v>0.67406070288983599</v>
      </c>
    </row>
    <row r="552" spans="25:31" x14ac:dyDescent="0.3">
      <c r="Y552" t="str">
        <f t="shared" si="30"/>
        <v>Pass</v>
      </c>
      <c r="Z552">
        <f t="shared" si="31"/>
        <v>3.4019241333007813</v>
      </c>
      <c r="AA552">
        <v>20</v>
      </c>
      <c r="AB552">
        <v>25</v>
      </c>
      <c r="AC552">
        <v>60</v>
      </c>
      <c r="AD552" t="s">
        <v>24</v>
      </c>
      <c r="AE552">
        <v>3.4019242066320801</v>
      </c>
    </row>
    <row r="553" spans="25:31" x14ac:dyDescent="0.3">
      <c r="Y553" t="str">
        <f t="shared" si="30"/>
        <v>Pass</v>
      </c>
      <c r="Z553">
        <f t="shared" si="31"/>
        <v>2.8692400455474854</v>
      </c>
      <c r="AA553">
        <v>20</v>
      </c>
      <c r="AB553">
        <v>25</v>
      </c>
      <c r="AC553">
        <v>60</v>
      </c>
      <c r="AD553" t="s">
        <v>25</v>
      </c>
      <c r="AE553">
        <v>2.86923981957489</v>
      </c>
    </row>
    <row r="554" spans="25:31" x14ac:dyDescent="0.3">
      <c r="Y554" t="str">
        <f t="shared" si="30"/>
        <v>Pass</v>
      </c>
      <c r="Z554">
        <f t="shared" si="31"/>
        <v>1.4328849315643311</v>
      </c>
      <c r="AA554">
        <v>20</v>
      </c>
      <c r="AB554">
        <v>25</v>
      </c>
      <c r="AC554">
        <v>60</v>
      </c>
      <c r="AD554" t="s">
        <v>26</v>
      </c>
      <c r="AE554">
        <v>1.4328849405948301</v>
      </c>
    </row>
    <row r="555" spans="25:31" x14ac:dyDescent="0.3">
      <c r="Y555" t="str">
        <f t="shared" si="30"/>
        <v>Pass</v>
      </c>
      <c r="Z555">
        <f t="shared" si="31"/>
        <v>5.8232221603393555</v>
      </c>
      <c r="AA555">
        <v>20</v>
      </c>
      <c r="AB555">
        <v>25</v>
      </c>
      <c r="AC555">
        <v>70</v>
      </c>
      <c r="AD555" t="s">
        <v>24</v>
      </c>
      <c r="AE555">
        <v>5.8232222128002</v>
      </c>
    </row>
    <row r="556" spans="25:31" x14ac:dyDescent="0.3">
      <c r="Y556" t="str">
        <f t="shared" si="30"/>
        <v>Pass</v>
      </c>
      <c r="Z556">
        <f t="shared" si="31"/>
        <v>4.9114036560058594</v>
      </c>
      <c r="AA556">
        <v>20</v>
      </c>
      <c r="AB556">
        <v>25</v>
      </c>
      <c r="AC556">
        <v>70</v>
      </c>
      <c r="AD556" t="s">
        <v>25</v>
      </c>
      <c r="AE556">
        <v>4.9114030872958603</v>
      </c>
    </row>
    <row r="557" spans="25:31" x14ac:dyDescent="0.3">
      <c r="Y557" t="str">
        <f t="shared" si="30"/>
        <v>Pass</v>
      </c>
      <c r="Z557">
        <f t="shared" si="31"/>
        <v>2.4527316093444824</v>
      </c>
      <c r="AA557">
        <v>20</v>
      </c>
      <c r="AB557">
        <v>25</v>
      </c>
      <c r="AC557">
        <v>70</v>
      </c>
      <c r="AD557" t="s">
        <v>26</v>
      </c>
      <c r="AE557">
        <v>2.4527317211218298</v>
      </c>
    </row>
    <row r="558" spans="25:31" x14ac:dyDescent="0.3">
      <c r="Y558" t="str">
        <f t="shared" si="30"/>
        <v>Pass</v>
      </c>
      <c r="Z558">
        <f t="shared" si="31"/>
        <v>7.900022029876709</v>
      </c>
      <c r="AA558">
        <v>20</v>
      </c>
      <c r="AB558">
        <v>25</v>
      </c>
      <c r="AC558">
        <v>80</v>
      </c>
      <c r="AD558" t="s">
        <v>24</v>
      </c>
      <c r="AE558">
        <v>7.9000218509954196</v>
      </c>
    </row>
    <row r="559" spans="25:31" x14ac:dyDescent="0.3">
      <c r="Y559" t="str">
        <f t="shared" si="30"/>
        <v>Pass</v>
      </c>
      <c r="Z559">
        <f t="shared" si="31"/>
        <v>6.6630115509033203</v>
      </c>
      <c r="AA559">
        <v>20</v>
      </c>
      <c r="AB559">
        <v>25</v>
      </c>
      <c r="AC559">
        <v>80</v>
      </c>
      <c r="AD559" t="s">
        <v>25</v>
      </c>
      <c r="AE559">
        <v>6.6630106650225098</v>
      </c>
    </row>
    <row r="560" spans="25:31" x14ac:dyDescent="0.3">
      <c r="Y560" t="str">
        <f t="shared" si="30"/>
        <v>Pass</v>
      </c>
      <c r="Z560">
        <f t="shared" si="31"/>
        <v>3.3274762630462646</v>
      </c>
      <c r="AA560">
        <v>20</v>
      </c>
      <c r="AB560">
        <v>25</v>
      </c>
      <c r="AC560">
        <v>80</v>
      </c>
      <c r="AD560" t="s">
        <v>26</v>
      </c>
      <c r="AE560">
        <v>3.3274763495886699</v>
      </c>
    </row>
    <row r="561" spans="25:31" x14ac:dyDescent="0.3">
      <c r="Y561" t="str">
        <f t="shared" si="30"/>
        <v>Pass</v>
      </c>
      <c r="Z561">
        <f t="shared" si="31"/>
        <v>9.0985431671142578</v>
      </c>
      <c r="AA561">
        <v>20</v>
      </c>
      <c r="AB561">
        <v>25</v>
      </c>
      <c r="AC561">
        <v>90</v>
      </c>
      <c r="AD561" t="s">
        <v>24</v>
      </c>
      <c r="AE561">
        <v>9.0985432620101196</v>
      </c>
    </row>
    <row r="562" spans="25:31" x14ac:dyDescent="0.3">
      <c r="Y562" t="str">
        <f t="shared" si="30"/>
        <v>Pass</v>
      </c>
      <c r="Z562">
        <f t="shared" si="31"/>
        <v>7.6738643646240234</v>
      </c>
      <c r="AA562">
        <v>20</v>
      </c>
      <c r="AB562">
        <v>25</v>
      </c>
      <c r="AC562">
        <v>90</v>
      </c>
      <c r="AD562" t="s">
        <v>25</v>
      </c>
      <c r="AE562">
        <v>7.67386368473188</v>
      </c>
    </row>
    <row r="563" spans="25:31" x14ac:dyDescent="0.3">
      <c r="Y563" t="str">
        <f t="shared" si="30"/>
        <v>Pass</v>
      </c>
      <c r="Z563">
        <f t="shared" si="31"/>
        <v>3.8322916030883789</v>
      </c>
      <c r="AA563">
        <v>20</v>
      </c>
      <c r="AB563">
        <v>25</v>
      </c>
      <c r="AC563">
        <v>90</v>
      </c>
      <c r="AD563" t="s">
        <v>26</v>
      </c>
      <c r="AE563">
        <v>3.8322916178052502</v>
      </c>
    </row>
    <row r="564" spans="25:31" x14ac:dyDescent="0.3">
      <c r="Y564" t="str">
        <f t="shared" si="30"/>
        <v>Pass</v>
      </c>
      <c r="Z564">
        <f t="shared" si="31"/>
        <v>9.638646125793457</v>
      </c>
      <c r="AA564">
        <v>20</v>
      </c>
      <c r="AB564">
        <v>25</v>
      </c>
      <c r="AC564">
        <v>100</v>
      </c>
      <c r="AD564" t="s">
        <v>24</v>
      </c>
      <c r="AE564">
        <v>9.6386458045873606</v>
      </c>
    </row>
    <row r="565" spans="25:31" x14ac:dyDescent="0.3">
      <c r="Y565" t="str">
        <f t="shared" si="30"/>
        <v>Pass</v>
      </c>
      <c r="Z565">
        <f t="shared" si="31"/>
        <v>8.1293964385986328</v>
      </c>
      <c r="AA565">
        <v>20</v>
      </c>
      <c r="AB565">
        <v>25</v>
      </c>
      <c r="AC565">
        <v>100</v>
      </c>
      <c r="AD565" t="s">
        <v>25</v>
      </c>
      <c r="AE565">
        <v>8.1293952097420892</v>
      </c>
    </row>
    <row r="566" spans="25:31" x14ac:dyDescent="0.3">
      <c r="Y566" t="str">
        <f t="shared" si="30"/>
        <v>Pass</v>
      </c>
      <c r="Z566">
        <f t="shared" si="31"/>
        <v>4.0597820281982422</v>
      </c>
      <c r="AA566">
        <v>20</v>
      </c>
      <c r="AB566">
        <v>25</v>
      </c>
      <c r="AC566">
        <v>100</v>
      </c>
      <c r="AD566" t="s">
        <v>26</v>
      </c>
      <c r="AE566">
        <v>4.0597819299430604</v>
      </c>
    </row>
    <row r="567" spans="25:31" x14ac:dyDescent="0.3">
      <c r="Y567" t="str">
        <f t="shared" si="30"/>
        <v>Pass</v>
      </c>
      <c r="Z567">
        <f t="shared" si="31"/>
        <v>1.3083147816359997E-2</v>
      </c>
      <c r="AA567">
        <v>20</v>
      </c>
      <c r="AB567">
        <v>30</v>
      </c>
      <c r="AC567">
        <v>0</v>
      </c>
      <c r="AD567" t="s">
        <v>24</v>
      </c>
      <c r="AE567">
        <v>1.3083148310355E-2</v>
      </c>
    </row>
    <row r="568" spans="25:31" x14ac:dyDescent="0.3">
      <c r="Y568" t="str">
        <f t="shared" si="30"/>
        <v>Pass</v>
      </c>
      <c r="Z568">
        <f t="shared" si="31"/>
        <v>1.1034547351300716E-2</v>
      </c>
      <c r="AA568">
        <v>20</v>
      </c>
      <c r="AB568">
        <v>30</v>
      </c>
      <c r="AC568">
        <v>0</v>
      </c>
      <c r="AD568" t="s">
        <v>25</v>
      </c>
      <c r="AE568">
        <v>1.1034546279512201E-2</v>
      </c>
    </row>
    <row r="569" spans="25:31" x14ac:dyDescent="0.3">
      <c r="Y569" t="str">
        <f t="shared" si="30"/>
        <v>Pass</v>
      </c>
      <c r="Z569">
        <f t="shared" si="31"/>
        <v>5.510600283741951E-3</v>
      </c>
      <c r="AA569">
        <v>20</v>
      </c>
      <c r="AB569">
        <v>30</v>
      </c>
      <c r="AC569">
        <v>0</v>
      </c>
      <c r="AD569" t="s">
        <v>26</v>
      </c>
      <c r="AE569">
        <v>5.5106007808550803E-3</v>
      </c>
    </row>
    <row r="570" spans="25:31" x14ac:dyDescent="0.3">
      <c r="Y570" t="str">
        <f t="shared" si="30"/>
        <v>Pass</v>
      </c>
      <c r="Z570">
        <f t="shared" si="31"/>
        <v>3.5342652350664139E-2</v>
      </c>
      <c r="AA570">
        <v>20</v>
      </c>
      <c r="AB570">
        <v>30</v>
      </c>
      <c r="AC570">
        <v>10</v>
      </c>
      <c r="AD570" t="s">
        <v>24</v>
      </c>
      <c r="AE570">
        <v>3.5342651165769297E-2</v>
      </c>
    </row>
    <row r="571" spans="25:31" x14ac:dyDescent="0.3">
      <c r="Y571" t="str">
        <f t="shared" si="30"/>
        <v>Pass</v>
      </c>
      <c r="Z571">
        <f t="shared" si="31"/>
        <v>2.9808586463332176E-2</v>
      </c>
      <c r="AA571">
        <v>20</v>
      </c>
      <c r="AB571">
        <v>30</v>
      </c>
      <c r="AC571">
        <v>10</v>
      </c>
      <c r="AD571" t="s">
        <v>25</v>
      </c>
      <c r="AE571">
        <v>2.9808583582337601E-2</v>
      </c>
    </row>
    <row r="572" spans="25:31" x14ac:dyDescent="0.3">
      <c r="Y572" t="str">
        <f t="shared" si="30"/>
        <v>Pass</v>
      </c>
      <c r="Z572">
        <f t="shared" si="31"/>
        <v>1.4886266551911831E-2</v>
      </c>
      <c r="AA572">
        <v>20</v>
      </c>
      <c r="AB572">
        <v>30</v>
      </c>
      <c r="AC572">
        <v>10</v>
      </c>
      <c r="AD572" t="s">
        <v>26</v>
      </c>
      <c r="AE572">
        <v>1.4886267165329601E-2</v>
      </c>
    </row>
    <row r="573" spans="25:31" x14ac:dyDescent="0.3">
      <c r="Y573" t="str">
        <f t="shared" si="30"/>
        <v>Pass</v>
      </c>
      <c r="Z573">
        <f t="shared" si="31"/>
        <v>9.5112994313240051E-2</v>
      </c>
      <c r="AA573">
        <v>20</v>
      </c>
      <c r="AB573">
        <v>30</v>
      </c>
      <c r="AC573">
        <v>20</v>
      </c>
      <c r="AD573" t="s">
        <v>24</v>
      </c>
      <c r="AE573">
        <v>9.5112993213342795E-2</v>
      </c>
    </row>
    <row r="574" spans="25:31" x14ac:dyDescent="0.3">
      <c r="Y574" t="str">
        <f t="shared" si="30"/>
        <v>Pass</v>
      </c>
      <c r="Z574">
        <f t="shared" si="31"/>
        <v>8.0219902098178864E-2</v>
      </c>
      <c r="AA574">
        <v>20</v>
      </c>
      <c r="AB574">
        <v>30</v>
      </c>
      <c r="AC574">
        <v>20</v>
      </c>
      <c r="AD574" t="s">
        <v>25</v>
      </c>
      <c r="AE574">
        <v>8.0219890541551306E-2</v>
      </c>
    </row>
    <row r="575" spans="25:31" x14ac:dyDescent="0.3">
      <c r="Y575" t="str">
        <f t="shared" si="30"/>
        <v>Pass</v>
      </c>
      <c r="Z575">
        <f t="shared" si="31"/>
        <v>4.0061440318822861E-2</v>
      </c>
      <c r="AA575">
        <v>20</v>
      </c>
      <c r="AB575">
        <v>30</v>
      </c>
      <c r="AC575">
        <v>20</v>
      </c>
      <c r="AD575" t="s">
        <v>26</v>
      </c>
      <c r="AE575">
        <v>4.0061437984011197E-2</v>
      </c>
    </row>
    <row r="576" spans="25:31" x14ac:dyDescent="0.3">
      <c r="Y576" t="str">
        <f t="shared" si="30"/>
        <v>Pass</v>
      </c>
      <c r="Z576">
        <f t="shared" si="31"/>
        <v>0.25339093804359436</v>
      </c>
      <c r="AA576">
        <v>20</v>
      </c>
      <c r="AB576">
        <v>30</v>
      </c>
      <c r="AC576">
        <v>30</v>
      </c>
      <c r="AD576" t="s">
        <v>24</v>
      </c>
      <c r="AE576">
        <v>0.25339092808007901</v>
      </c>
    </row>
    <row r="577" spans="25:31" x14ac:dyDescent="0.3">
      <c r="Y577" t="str">
        <f t="shared" si="30"/>
        <v>Pass</v>
      </c>
      <c r="Z577">
        <f t="shared" si="31"/>
        <v>0.21371416747570038</v>
      </c>
      <c r="AA577">
        <v>20</v>
      </c>
      <c r="AB577">
        <v>30</v>
      </c>
      <c r="AC577">
        <v>30</v>
      </c>
      <c r="AD577" t="s">
        <v>25</v>
      </c>
      <c r="AE577">
        <v>0.21371415017096199</v>
      </c>
    </row>
    <row r="578" spans="25:31" x14ac:dyDescent="0.3">
      <c r="Y578" t="str">
        <f t="shared" si="30"/>
        <v>Pass</v>
      </c>
      <c r="Z578">
        <f t="shared" si="31"/>
        <v>0.10672784596681595</v>
      </c>
      <c r="AA578">
        <v>20</v>
      </c>
      <c r="AB578">
        <v>30</v>
      </c>
      <c r="AC578">
        <v>30</v>
      </c>
      <c r="AD578" t="s">
        <v>26</v>
      </c>
      <c r="AE578">
        <v>0.106727846617354</v>
      </c>
    </row>
    <row r="579" spans="25:31" x14ac:dyDescent="0.3">
      <c r="Y579" t="str">
        <f t="shared" si="30"/>
        <v>Pass</v>
      </c>
      <c r="Z579">
        <f t="shared" si="31"/>
        <v>0.65754920244216919</v>
      </c>
      <c r="AA579">
        <v>20</v>
      </c>
      <c r="AB579">
        <v>30</v>
      </c>
      <c r="AC579">
        <v>40</v>
      </c>
      <c r="AD579" t="s">
        <v>24</v>
      </c>
      <c r="AE579">
        <v>0.65754920917881898</v>
      </c>
    </row>
    <row r="580" spans="25:31" x14ac:dyDescent="0.3">
      <c r="Y580" t="str">
        <f t="shared" si="30"/>
        <v>Pass</v>
      </c>
      <c r="Z580">
        <f t="shared" si="31"/>
        <v>0.55458801984786987</v>
      </c>
      <c r="AA580">
        <v>20</v>
      </c>
      <c r="AB580">
        <v>30</v>
      </c>
      <c r="AC580">
        <v>40</v>
      </c>
      <c r="AD580" t="s">
        <v>25</v>
      </c>
      <c r="AE580">
        <v>0.55458800952348497</v>
      </c>
    </row>
    <row r="581" spans="25:31" x14ac:dyDescent="0.3">
      <c r="Y581" t="str">
        <f t="shared" si="30"/>
        <v>Pass</v>
      </c>
      <c r="Z581">
        <f t="shared" si="31"/>
        <v>0.2769586443901062</v>
      </c>
      <c r="AA581">
        <v>20</v>
      </c>
      <c r="AB581">
        <v>30</v>
      </c>
      <c r="AC581">
        <v>40</v>
      </c>
      <c r="AD581" t="s">
        <v>26</v>
      </c>
      <c r="AE581">
        <v>0.27695865701403899</v>
      </c>
    </row>
    <row r="582" spans="25:31" x14ac:dyDescent="0.3">
      <c r="Y582" t="str">
        <f t="shared" si="30"/>
        <v>Pass</v>
      </c>
      <c r="Z582">
        <f t="shared" si="31"/>
        <v>1.6003401279449463</v>
      </c>
      <c r="AA582">
        <v>20</v>
      </c>
      <c r="AB582">
        <v>30</v>
      </c>
      <c r="AC582">
        <v>50</v>
      </c>
      <c r="AD582" t="s">
        <v>24</v>
      </c>
      <c r="AE582">
        <v>1.60034023454</v>
      </c>
    </row>
    <row r="583" spans="25:31" x14ac:dyDescent="0.3">
      <c r="Y583" t="str">
        <f t="shared" ref="Y583:Y646" si="32">IF(ISBLANK(Z583),"",IF(ROUND(Z583,0)=ROUND(AE583,0),"Pass","Fail"))</f>
        <v>Pass</v>
      </c>
      <c r="Z583">
        <f t="shared" ref="Z583:Z646" si="33">ROS_grass(AA583,AB583,AC583,AD583)</f>
        <v>1.3497538566589355</v>
      </c>
      <c r="AA583">
        <v>20</v>
      </c>
      <c r="AB583">
        <v>30</v>
      </c>
      <c r="AC583">
        <v>50</v>
      </c>
      <c r="AD583" t="s">
        <v>25</v>
      </c>
      <c r="AE583">
        <v>1.34975374138504</v>
      </c>
    </row>
    <row r="584" spans="25:31" x14ac:dyDescent="0.3">
      <c r="Y584" t="str">
        <f t="shared" si="32"/>
        <v>Pass</v>
      </c>
      <c r="Z584">
        <f t="shared" si="33"/>
        <v>0.6740606427192688</v>
      </c>
      <c r="AA584">
        <v>20</v>
      </c>
      <c r="AB584">
        <v>30</v>
      </c>
      <c r="AC584">
        <v>50</v>
      </c>
      <c r="AD584" t="s">
        <v>26</v>
      </c>
      <c r="AE584">
        <v>0.67406070288983599</v>
      </c>
    </row>
    <row r="585" spans="25:31" x14ac:dyDescent="0.3">
      <c r="Y585" t="str">
        <f t="shared" si="32"/>
        <v>Pass</v>
      </c>
      <c r="Z585">
        <f t="shared" si="33"/>
        <v>3.4019241333007813</v>
      </c>
      <c r="AA585">
        <v>20</v>
      </c>
      <c r="AB585">
        <v>30</v>
      </c>
      <c r="AC585">
        <v>60</v>
      </c>
      <c r="AD585" t="s">
        <v>24</v>
      </c>
      <c r="AE585">
        <v>3.4019242066320801</v>
      </c>
    </row>
    <row r="586" spans="25:31" x14ac:dyDescent="0.3">
      <c r="Y586" t="str">
        <f t="shared" si="32"/>
        <v>Pass</v>
      </c>
      <c r="Z586">
        <f t="shared" si="33"/>
        <v>2.8692400455474854</v>
      </c>
      <c r="AA586">
        <v>20</v>
      </c>
      <c r="AB586">
        <v>30</v>
      </c>
      <c r="AC586">
        <v>60</v>
      </c>
      <c r="AD586" t="s">
        <v>25</v>
      </c>
      <c r="AE586">
        <v>2.86923981957489</v>
      </c>
    </row>
    <row r="587" spans="25:31" x14ac:dyDescent="0.3">
      <c r="Y587" t="str">
        <f t="shared" si="32"/>
        <v>Pass</v>
      </c>
      <c r="Z587">
        <f t="shared" si="33"/>
        <v>1.4328849315643311</v>
      </c>
      <c r="AA587">
        <v>20</v>
      </c>
      <c r="AB587">
        <v>30</v>
      </c>
      <c r="AC587">
        <v>60</v>
      </c>
      <c r="AD587" t="s">
        <v>26</v>
      </c>
      <c r="AE587">
        <v>1.4328849405948301</v>
      </c>
    </row>
    <row r="588" spans="25:31" x14ac:dyDescent="0.3">
      <c r="Y588" t="str">
        <f t="shared" si="32"/>
        <v>Pass</v>
      </c>
      <c r="Z588">
        <f t="shared" si="33"/>
        <v>5.8232221603393555</v>
      </c>
      <c r="AA588">
        <v>20</v>
      </c>
      <c r="AB588">
        <v>30</v>
      </c>
      <c r="AC588">
        <v>70</v>
      </c>
      <c r="AD588" t="s">
        <v>24</v>
      </c>
      <c r="AE588">
        <v>5.8232222128002</v>
      </c>
    </row>
    <row r="589" spans="25:31" x14ac:dyDescent="0.3">
      <c r="Y589" t="str">
        <f t="shared" si="32"/>
        <v>Pass</v>
      </c>
      <c r="Z589">
        <f t="shared" si="33"/>
        <v>4.9114036560058594</v>
      </c>
      <c r="AA589">
        <v>20</v>
      </c>
      <c r="AB589">
        <v>30</v>
      </c>
      <c r="AC589">
        <v>70</v>
      </c>
      <c r="AD589" t="s">
        <v>25</v>
      </c>
      <c r="AE589">
        <v>4.9114030872958603</v>
      </c>
    </row>
    <row r="590" spans="25:31" x14ac:dyDescent="0.3">
      <c r="Y590" t="str">
        <f t="shared" si="32"/>
        <v>Pass</v>
      </c>
      <c r="Z590">
        <f t="shared" si="33"/>
        <v>2.4527316093444824</v>
      </c>
      <c r="AA590">
        <v>20</v>
      </c>
      <c r="AB590">
        <v>30</v>
      </c>
      <c r="AC590">
        <v>70</v>
      </c>
      <c r="AD590" t="s">
        <v>26</v>
      </c>
      <c r="AE590">
        <v>2.4527317211218298</v>
      </c>
    </row>
    <row r="591" spans="25:31" x14ac:dyDescent="0.3">
      <c r="Y591" t="str">
        <f t="shared" si="32"/>
        <v>Pass</v>
      </c>
      <c r="Z591">
        <f t="shared" si="33"/>
        <v>7.900022029876709</v>
      </c>
      <c r="AA591">
        <v>20</v>
      </c>
      <c r="AB591">
        <v>30</v>
      </c>
      <c r="AC591">
        <v>80</v>
      </c>
      <c r="AD591" t="s">
        <v>24</v>
      </c>
      <c r="AE591">
        <v>7.9000218509954196</v>
      </c>
    </row>
    <row r="592" spans="25:31" x14ac:dyDescent="0.3">
      <c r="Y592" t="str">
        <f t="shared" si="32"/>
        <v>Pass</v>
      </c>
      <c r="Z592">
        <f t="shared" si="33"/>
        <v>6.6630115509033203</v>
      </c>
      <c r="AA592">
        <v>20</v>
      </c>
      <c r="AB592">
        <v>30</v>
      </c>
      <c r="AC592">
        <v>80</v>
      </c>
      <c r="AD592" t="s">
        <v>25</v>
      </c>
      <c r="AE592">
        <v>6.6630106650225098</v>
      </c>
    </row>
    <row r="593" spans="25:31" x14ac:dyDescent="0.3">
      <c r="Y593" t="str">
        <f t="shared" si="32"/>
        <v>Pass</v>
      </c>
      <c r="Z593">
        <f t="shared" si="33"/>
        <v>3.3274762630462646</v>
      </c>
      <c r="AA593">
        <v>20</v>
      </c>
      <c r="AB593">
        <v>30</v>
      </c>
      <c r="AC593">
        <v>80</v>
      </c>
      <c r="AD593" t="s">
        <v>26</v>
      </c>
      <c r="AE593">
        <v>3.3274763495886699</v>
      </c>
    </row>
    <row r="594" spans="25:31" x14ac:dyDescent="0.3">
      <c r="Y594" t="str">
        <f t="shared" si="32"/>
        <v>Pass</v>
      </c>
      <c r="Z594">
        <f t="shared" si="33"/>
        <v>9.0985431671142578</v>
      </c>
      <c r="AA594">
        <v>20</v>
      </c>
      <c r="AB594">
        <v>30</v>
      </c>
      <c r="AC594">
        <v>90</v>
      </c>
      <c r="AD594" t="s">
        <v>24</v>
      </c>
      <c r="AE594">
        <v>9.0985432620101196</v>
      </c>
    </row>
    <row r="595" spans="25:31" x14ac:dyDescent="0.3">
      <c r="Y595" t="str">
        <f t="shared" si="32"/>
        <v>Pass</v>
      </c>
      <c r="Z595">
        <f t="shared" si="33"/>
        <v>7.6738643646240234</v>
      </c>
      <c r="AA595">
        <v>20</v>
      </c>
      <c r="AB595">
        <v>30</v>
      </c>
      <c r="AC595">
        <v>90</v>
      </c>
      <c r="AD595" t="s">
        <v>25</v>
      </c>
      <c r="AE595">
        <v>7.67386368473188</v>
      </c>
    </row>
    <row r="596" spans="25:31" x14ac:dyDescent="0.3">
      <c r="Y596" t="str">
        <f t="shared" si="32"/>
        <v>Pass</v>
      </c>
      <c r="Z596">
        <f t="shared" si="33"/>
        <v>3.8322916030883789</v>
      </c>
      <c r="AA596">
        <v>20</v>
      </c>
      <c r="AB596">
        <v>30</v>
      </c>
      <c r="AC596">
        <v>90</v>
      </c>
      <c r="AD596" t="s">
        <v>26</v>
      </c>
      <c r="AE596">
        <v>3.8322916178052502</v>
      </c>
    </row>
    <row r="597" spans="25:31" x14ac:dyDescent="0.3">
      <c r="Y597" t="str">
        <f t="shared" si="32"/>
        <v>Pass</v>
      </c>
      <c r="Z597">
        <f t="shared" si="33"/>
        <v>9.638646125793457</v>
      </c>
      <c r="AA597">
        <v>20</v>
      </c>
      <c r="AB597">
        <v>30</v>
      </c>
      <c r="AC597">
        <v>100</v>
      </c>
      <c r="AD597" t="s">
        <v>24</v>
      </c>
      <c r="AE597">
        <v>9.6386458045873606</v>
      </c>
    </row>
    <row r="598" spans="25:31" x14ac:dyDescent="0.3">
      <c r="Y598" t="str">
        <f t="shared" si="32"/>
        <v>Pass</v>
      </c>
      <c r="Z598">
        <f t="shared" si="33"/>
        <v>8.1293964385986328</v>
      </c>
      <c r="AA598">
        <v>20</v>
      </c>
      <c r="AB598">
        <v>30</v>
      </c>
      <c r="AC598">
        <v>100</v>
      </c>
      <c r="AD598" t="s">
        <v>25</v>
      </c>
      <c r="AE598">
        <v>8.1293952097420892</v>
      </c>
    </row>
    <row r="599" spans="25:31" x14ac:dyDescent="0.3">
      <c r="Y599" t="str">
        <f t="shared" si="32"/>
        <v>Pass</v>
      </c>
      <c r="Z599">
        <f t="shared" si="33"/>
        <v>4.0597820281982422</v>
      </c>
      <c r="AA599">
        <v>20</v>
      </c>
      <c r="AB599">
        <v>30</v>
      </c>
      <c r="AC599">
        <v>100</v>
      </c>
      <c r="AD599" t="s">
        <v>26</v>
      </c>
      <c r="AE599">
        <v>4.0597819299430604</v>
      </c>
    </row>
    <row r="600" spans="25:31" x14ac:dyDescent="0.3">
      <c r="Y600" t="str">
        <f t="shared" si="32"/>
        <v>Pass</v>
      </c>
      <c r="Z600">
        <f t="shared" si="33"/>
        <v>11.136775970458984</v>
      </c>
      <c r="AA600">
        <v>30</v>
      </c>
      <c r="AB600">
        <v>5</v>
      </c>
      <c r="AC600">
        <v>0</v>
      </c>
      <c r="AD600" t="s">
        <v>24</v>
      </c>
      <c r="AE600">
        <v>11.136776845677099</v>
      </c>
    </row>
    <row r="601" spans="25:31" x14ac:dyDescent="0.3">
      <c r="Y601" t="str">
        <f t="shared" si="32"/>
        <v>Pass</v>
      </c>
      <c r="Z601">
        <f t="shared" si="33"/>
        <v>9.4273843765258789</v>
      </c>
      <c r="AA601">
        <v>30</v>
      </c>
      <c r="AB601">
        <v>5</v>
      </c>
      <c r="AC601">
        <v>0</v>
      </c>
      <c r="AD601" t="s">
        <v>25</v>
      </c>
      <c r="AE601">
        <v>9.4273857678483708</v>
      </c>
    </row>
    <row r="602" spans="25:31" x14ac:dyDescent="0.3">
      <c r="Y602" t="str">
        <f t="shared" si="32"/>
        <v>Pass</v>
      </c>
      <c r="Z602">
        <f t="shared" si="33"/>
        <v>4.7077088356018066</v>
      </c>
      <c r="AA602">
        <v>30</v>
      </c>
      <c r="AB602">
        <v>5</v>
      </c>
      <c r="AC602">
        <v>0</v>
      </c>
      <c r="AD602" t="s">
        <v>26</v>
      </c>
      <c r="AE602">
        <v>4.7077087580103996</v>
      </c>
    </row>
    <row r="603" spans="25:31" x14ac:dyDescent="0.3">
      <c r="Y603" t="str">
        <f t="shared" si="32"/>
        <v>Pass</v>
      </c>
      <c r="Z603">
        <f t="shared" si="33"/>
        <v>30.084747314453125</v>
      </c>
      <c r="AA603">
        <v>30</v>
      </c>
      <c r="AB603">
        <v>5</v>
      </c>
      <c r="AC603">
        <v>10</v>
      </c>
      <c r="AD603" t="s">
        <v>24</v>
      </c>
      <c r="AE603">
        <v>30.084747939167901</v>
      </c>
    </row>
    <row r="604" spans="25:31" x14ac:dyDescent="0.3">
      <c r="Y604" t="str">
        <f t="shared" si="32"/>
        <v>Pass</v>
      </c>
      <c r="Z604">
        <f t="shared" si="33"/>
        <v>25.467018127441406</v>
      </c>
      <c r="AA604">
        <v>30</v>
      </c>
      <c r="AB604">
        <v>5</v>
      </c>
      <c r="AC604">
        <v>10</v>
      </c>
      <c r="AD604" t="s">
        <v>25</v>
      </c>
      <c r="AE604">
        <v>25.467020528574899</v>
      </c>
    </row>
    <row r="605" spans="25:31" x14ac:dyDescent="0.3">
      <c r="Y605" t="str">
        <f t="shared" si="32"/>
        <v>Pass</v>
      </c>
      <c r="Z605">
        <f t="shared" si="33"/>
        <v>12.717344284057617</v>
      </c>
      <c r="AA605">
        <v>30</v>
      </c>
      <c r="AB605">
        <v>5</v>
      </c>
      <c r="AC605">
        <v>10</v>
      </c>
      <c r="AD605" t="s">
        <v>26</v>
      </c>
      <c r="AE605">
        <v>12.717344822324501</v>
      </c>
    </row>
    <row r="606" spans="25:31" x14ac:dyDescent="0.3">
      <c r="Y606" t="str">
        <f t="shared" si="32"/>
        <v>Pass</v>
      </c>
      <c r="Z606">
        <f t="shared" si="33"/>
        <v>80.963096618652344</v>
      </c>
      <c r="AA606">
        <v>30</v>
      </c>
      <c r="AB606">
        <v>5</v>
      </c>
      <c r="AC606">
        <v>20</v>
      </c>
      <c r="AD606" t="s">
        <v>24</v>
      </c>
      <c r="AE606">
        <v>80.963095075748896</v>
      </c>
    </row>
    <row r="607" spans="25:31" x14ac:dyDescent="0.3">
      <c r="Y607" t="str">
        <f t="shared" si="32"/>
        <v>Pass</v>
      </c>
      <c r="Z607">
        <f t="shared" si="33"/>
        <v>68.5360107421875</v>
      </c>
      <c r="AA607">
        <v>30</v>
      </c>
      <c r="AB607">
        <v>5</v>
      </c>
      <c r="AC607">
        <v>20</v>
      </c>
      <c r="AD607" t="s">
        <v>25</v>
      </c>
      <c r="AE607">
        <v>68.5360172709523</v>
      </c>
    </row>
    <row r="608" spans="25:31" x14ac:dyDescent="0.3">
      <c r="Y608" t="str">
        <f t="shared" si="32"/>
        <v>Pass</v>
      </c>
      <c r="Z608">
        <f t="shared" si="33"/>
        <v>34.224506378173828</v>
      </c>
      <c r="AA608">
        <v>30</v>
      </c>
      <c r="AB608">
        <v>5</v>
      </c>
      <c r="AC608">
        <v>20</v>
      </c>
      <c r="AD608" t="s">
        <v>26</v>
      </c>
      <c r="AE608">
        <v>34.224504723885197</v>
      </c>
    </row>
    <row r="609" spans="25:31" x14ac:dyDescent="0.3">
      <c r="Y609" t="str">
        <f t="shared" si="32"/>
        <v>Pass</v>
      </c>
      <c r="Z609">
        <f t="shared" si="33"/>
        <v>215.69412231445313</v>
      </c>
      <c r="AA609">
        <v>30</v>
      </c>
      <c r="AB609">
        <v>5</v>
      </c>
      <c r="AC609">
        <v>30</v>
      </c>
      <c r="AD609" t="s">
        <v>24</v>
      </c>
      <c r="AE609">
        <v>215.694124518433</v>
      </c>
    </row>
    <row r="610" spans="25:31" x14ac:dyDescent="0.3">
      <c r="Y610" t="str">
        <f t="shared" si="32"/>
        <v>Pass</v>
      </c>
      <c r="Z610">
        <f t="shared" si="33"/>
        <v>182.58708190917969</v>
      </c>
      <c r="AA610">
        <v>30</v>
      </c>
      <c r="AB610">
        <v>5</v>
      </c>
      <c r="AC610">
        <v>30</v>
      </c>
      <c r="AD610" t="s">
        <v>25</v>
      </c>
      <c r="AE610">
        <v>182.587093902568</v>
      </c>
    </row>
    <row r="611" spans="25:31" x14ac:dyDescent="0.3">
      <c r="Y611" t="str">
        <f t="shared" si="32"/>
        <v>Pass</v>
      </c>
      <c r="Z611">
        <f t="shared" si="33"/>
        <v>91.177642822265625</v>
      </c>
      <c r="AA611">
        <v>30</v>
      </c>
      <c r="AB611">
        <v>5</v>
      </c>
      <c r="AC611">
        <v>30</v>
      </c>
      <c r="AD611" t="s">
        <v>26</v>
      </c>
      <c r="AE611">
        <v>91.177647996149403</v>
      </c>
    </row>
    <row r="612" spans="25:31" x14ac:dyDescent="0.3">
      <c r="Y612" t="str">
        <f t="shared" si="32"/>
        <v>Pass</v>
      </c>
      <c r="Z612">
        <f t="shared" si="33"/>
        <v>559.72601318359375</v>
      </c>
      <c r="AA612">
        <v>30</v>
      </c>
      <c r="AB612">
        <v>5</v>
      </c>
      <c r="AC612">
        <v>40</v>
      </c>
      <c r="AD612" t="s">
        <v>24</v>
      </c>
      <c r="AE612">
        <v>559.72604100803198</v>
      </c>
    </row>
    <row r="613" spans="25:31" x14ac:dyDescent="0.3">
      <c r="Y613" t="str">
        <f t="shared" si="32"/>
        <v>Pass</v>
      </c>
      <c r="Z613">
        <f t="shared" si="33"/>
        <v>473.81326293945313</v>
      </c>
      <c r="AA613">
        <v>30</v>
      </c>
      <c r="AB613">
        <v>5</v>
      </c>
      <c r="AC613">
        <v>40</v>
      </c>
      <c r="AD613" t="s">
        <v>25</v>
      </c>
      <c r="AE613">
        <v>473.81332911788297</v>
      </c>
    </row>
    <row r="614" spans="25:31" x14ac:dyDescent="0.3">
      <c r="Y614" t="str">
        <f t="shared" si="32"/>
        <v>Pass</v>
      </c>
      <c r="Z614">
        <f t="shared" si="33"/>
        <v>236.60589599609375</v>
      </c>
      <c r="AA614">
        <v>30</v>
      </c>
      <c r="AB614">
        <v>5</v>
      </c>
      <c r="AC614">
        <v>40</v>
      </c>
      <c r="AD614" t="s">
        <v>26</v>
      </c>
      <c r="AE614">
        <v>236.60590688434399</v>
      </c>
    </row>
    <row r="615" spans="25:31" x14ac:dyDescent="0.3">
      <c r="Y615" t="str">
        <f t="shared" si="32"/>
        <v>Pass</v>
      </c>
      <c r="Z615">
        <f t="shared" si="33"/>
        <v>1362.258544921875</v>
      </c>
      <c r="AA615">
        <v>30</v>
      </c>
      <c r="AB615">
        <v>5</v>
      </c>
      <c r="AC615">
        <v>50</v>
      </c>
      <c r="AD615" t="s">
        <v>24</v>
      </c>
      <c r="AE615">
        <v>1362.25865873004</v>
      </c>
    </row>
    <row r="616" spans="25:31" x14ac:dyDescent="0.3">
      <c r="Y616" t="str">
        <f t="shared" si="32"/>
        <v>Pass</v>
      </c>
      <c r="Z616">
        <f t="shared" si="33"/>
        <v>1153.16455078125</v>
      </c>
      <c r="AA616">
        <v>30</v>
      </c>
      <c r="AB616">
        <v>5</v>
      </c>
      <c r="AC616">
        <v>50</v>
      </c>
      <c r="AD616" t="s">
        <v>25</v>
      </c>
      <c r="AE616">
        <v>1153.16469651852</v>
      </c>
    </row>
    <row r="617" spans="25:31" x14ac:dyDescent="0.3">
      <c r="Y617" t="str">
        <f t="shared" si="32"/>
        <v>Pass</v>
      </c>
      <c r="Z617">
        <f t="shared" si="33"/>
        <v>575.850341796875</v>
      </c>
      <c r="AA617">
        <v>30</v>
      </c>
      <c r="AB617">
        <v>5</v>
      </c>
      <c r="AC617">
        <v>50</v>
      </c>
      <c r="AD617" t="s">
        <v>26</v>
      </c>
      <c r="AE617">
        <v>575.85036561707398</v>
      </c>
    </row>
    <row r="618" spans="25:31" x14ac:dyDescent="0.3">
      <c r="Y618" t="str">
        <f t="shared" si="32"/>
        <v>Pass</v>
      </c>
      <c r="Z618">
        <f t="shared" si="33"/>
        <v>2895.822021484375</v>
      </c>
      <c r="AA618">
        <v>30</v>
      </c>
      <c r="AB618">
        <v>5</v>
      </c>
      <c r="AC618">
        <v>60</v>
      </c>
      <c r="AD618" t="s">
        <v>24</v>
      </c>
      <c r="AE618">
        <v>2895.8221550681501</v>
      </c>
    </row>
    <row r="619" spans="25:31" x14ac:dyDescent="0.3">
      <c r="Y619" t="str">
        <f t="shared" si="32"/>
        <v>Pass</v>
      </c>
      <c r="Z619">
        <f t="shared" si="33"/>
        <v>2451.34033203125</v>
      </c>
      <c r="AA619">
        <v>30</v>
      </c>
      <c r="AB619">
        <v>5</v>
      </c>
      <c r="AC619">
        <v>60</v>
      </c>
      <c r="AD619" t="s">
        <v>25</v>
      </c>
      <c r="AE619">
        <v>2451.3405403742399</v>
      </c>
    </row>
    <row r="620" spans="25:31" x14ac:dyDescent="0.3">
      <c r="Y620" t="str">
        <f t="shared" si="32"/>
        <v>Pass</v>
      </c>
      <c r="Z620">
        <f t="shared" si="33"/>
        <v>1224.1142578125</v>
      </c>
      <c r="AA620">
        <v>30</v>
      </c>
      <c r="AB620">
        <v>5</v>
      </c>
      <c r="AC620">
        <v>60</v>
      </c>
      <c r="AD620" t="s">
        <v>26</v>
      </c>
      <c r="AE620">
        <v>1224.1142576495599</v>
      </c>
    </row>
    <row r="621" spans="25:31" x14ac:dyDescent="0.3">
      <c r="Y621" t="str">
        <f t="shared" si="32"/>
        <v>Pass</v>
      </c>
      <c r="Z621">
        <f t="shared" si="33"/>
        <v>4956.9052734375</v>
      </c>
      <c r="AA621">
        <v>30</v>
      </c>
      <c r="AB621">
        <v>5</v>
      </c>
      <c r="AC621">
        <v>70</v>
      </c>
      <c r="AD621" t="s">
        <v>24</v>
      </c>
      <c r="AE621">
        <v>4956.90523170305</v>
      </c>
    </row>
    <row r="622" spans="25:31" x14ac:dyDescent="0.3">
      <c r="Y622" t="str">
        <f t="shared" si="32"/>
        <v>Pass</v>
      </c>
      <c r="Z622">
        <f t="shared" si="33"/>
        <v>4196.06640625</v>
      </c>
      <c r="AA622">
        <v>30</v>
      </c>
      <c r="AB622">
        <v>5</v>
      </c>
      <c r="AC622">
        <v>70</v>
      </c>
      <c r="AD622" t="s">
        <v>25</v>
      </c>
      <c r="AE622">
        <v>4196.0666431122299</v>
      </c>
    </row>
    <row r="623" spans="25:31" x14ac:dyDescent="0.3">
      <c r="Y623" t="str">
        <f t="shared" si="32"/>
        <v>Pass</v>
      </c>
      <c r="Z623">
        <f t="shared" si="33"/>
        <v>2095.369873046875</v>
      </c>
      <c r="AA623">
        <v>30</v>
      </c>
      <c r="AB623">
        <v>5</v>
      </c>
      <c r="AC623">
        <v>70</v>
      </c>
      <c r="AD623" t="s">
        <v>26</v>
      </c>
      <c r="AE623">
        <v>2095.36982695079</v>
      </c>
    </row>
    <row r="624" spans="25:31" x14ac:dyDescent="0.3">
      <c r="Y624" t="str">
        <f t="shared" si="32"/>
        <v>Pass</v>
      </c>
      <c r="Z624">
        <f t="shared" si="33"/>
        <v>6724.74072265625</v>
      </c>
      <c r="AA624">
        <v>30</v>
      </c>
      <c r="AB624">
        <v>5</v>
      </c>
      <c r="AC624">
        <v>80</v>
      </c>
      <c r="AD624" t="s">
        <v>24</v>
      </c>
      <c r="AE624">
        <v>6724.7407385020597</v>
      </c>
    </row>
    <row r="625" spans="25:31" x14ac:dyDescent="0.3">
      <c r="Y625" t="str">
        <f t="shared" si="32"/>
        <v>Pass</v>
      </c>
      <c r="Z625">
        <f t="shared" si="33"/>
        <v>5692.5556640625</v>
      </c>
      <c r="AA625">
        <v>30</v>
      </c>
      <c r="AB625">
        <v>5</v>
      </c>
      <c r="AC625">
        <v>80</v>
      </c>
      <c r="AD625" t="s">
        <v>25</v>
      </c>
      <c r="AE625">
        <v>5692.5559350893</v>
      </c>
    </row>
    <row r="626" spans="25:31" x14ac:dyDescent="0.3">
      <c r="Y626" t="str">
        <f t="shared" si="32"/>
        <v>Pass</v>
      </c>
      <c r="Z626">
        <f t="shared" si="33"/>
        <v>2842.66455078125</v>
      </c>
      <c r="AA626">
        <v>30</v>
      </c>
      <c r="AB626">
        <v>5</v>
      </c>
      <c r="AC626">
        <v>80</v>
      </c>
      <c r="AD626" t="s">
        <v>26</v>
      </c>
      <c r="AE626">
        <v>2842.6645616306801</v>
      </c>
    </row>
    <row r="627" spans="25:31" x14ac:dyDescent="0.3">
      <c r="Y627" t="str">
        <f t="shared" si="32"/>
        <v>Pass</v>
      </c>
      <c r="Z627">
        <f t="shared" si="33"/>
        <v>7744.958984375</v>
      </c>
      <c r="AA627">
        <v>30</v>
      </c>
      <c r="AB627">
        <v>5</v>
      </c>
      <c r="AC627">
        <v>90</v>
      </c>
      <c r="AD627" t="s">
        <v>24</v>
      </c>
      <c r="AE627">
        <v>7744.9588987343604</v>
      </c>
    </row>
    <row r="628" spans="25:31" x14ac:dyDescent="0.3">
      <c r="Y628" t="str">
        <f t="shared" si="32"/>
        <v>Pass</v>
      </c>
      <c r="Z628">
        <f t="shared" si="33"/>
        <v>6556.1796875</v>
      </c>
      <c r="AA628">
        <v>30</v>
      </c>
      <c r="AB628">
        <v>5</v>
      </c>
      <c r="AC628">
        <v>90</v>
      </c>
      <c r="AD628" t="s">
        <v>25</v>
      </c>
      <c r="AE628">
        <v>6556.1801503493698</v>
      </c>
    </row>
    <row r="629" spans="25:31" x14ac:dyDescent="0.3">
      <c r="Y629" t="str">
        <f t="shared" si="32"/>
        <v>Pass</v>
      </c>
      <c r="Z629">
        <f t="shared" si="33"/>
        <v>3273.928466796875</v>
      </c>
      <c r="AA629">
        <v>30</v>
      </c>
      <c r="AB629">
        <v>5</v>
      </c>
      <c r="AC629">
        <v>90</v>
      </c>
      <c r="AD629" t="s">
        <v>26</v>
      </c>
      <c r="AE629">
        <v>3273.9284752890699</v>
      </c>
    </row>
    <row r="630" spans="25:31" x14ac:dyDescent="0.3">
      <c r="Y630" t="str">
        <f t="shared" si="32"/>
        <v>Pass</v>
      </c>
      <c r="Z630">
        <f t="shared" si="33"/>
        <v>8204.7109375</v>
      </c>
      <c r="AA630">
        <v>30</v>
      </c>
      <c r="AB630">
        <v>5</v>
      </c>
      <c r="AC630">
        <v>100</v>
      </c>
      <c r="AD630" t="s">
        <v>24</v>
      </c>
      <c r="AE630">
        <v>8204.7107373422496</v>
      </c>
    </row>
    <row r="631" spans="25:31" x14ac:dyDescent="0.3">
      <c r="Y631" t="str">
        <f t="shared" si="32"/>
        <v>Pass</v>
      </c>
      <c r="Z631">
        <f t="shared" si="33"/>
        <v>6945.36376953125</v>
      </c>
      <c r="AA631">
        <v>30</v>
      </c>
      <c r="AB631">
        <v>5</v>
      </c>
      <c r="AC631">
        <v>100</v>
      </c>
      <c r="AD631" t="s">
        <v>25</v>
      </c>
      <c r="AE631">
        <v>6945.3643820255702</v>
      </c>
    </row>
    <row r="632" spans="25:31" x14ac:dyDescent="0.3">
      <c r="Y632" t="str">
        <f t="shared" si="32"/>
        <v>Pass</v>
      </c>
      <c r="Z632">
        <f t="shared" si="33"/>
        <v>3468.273681640625</v>
      </c>
      <c r="AA632">
        <v>30</v>
      </c>
      <c r="AB632">
        <v>5</v>
      </c>
      <c r="AC632">
        <v>100</v>
      </c>
      <c r="AD632" t="s">
        <v>26</v>
      </c>
      <c r="AE632">
        <v>3468.2735526052102</v>
      </c>
    </row>
    <row r="633" spans="25:31" x14ac:dyDescent="0.3">
      <c r="Y633" t="str">
        <f t="shared" si="32"/>
        <v>Pass</v>
      </c>
      <c r="Z633">
        <f t="shared" si="33"/>
        <v>6.4899373054504395</v>
      </c>
      <c r="AA633">
        <v>30</v>
      </c>
      <c r="AB633">
        <v>10</v>
      </c>
      <c r="AC633">
        <v>0</v>
      </c>
      <c r="AD633" t="s">
        <v>24</v>
      </c>
      <c r="AE633">
        <v>6.4899372438974599</v>
      </c>
    </row>
    <row r="634" spans="25:31" x14ac:dyDescent="0.3">
      <c r="Y634" t="str">
        <f t="shared" si="32"/>
        <v>Pass</v>
      </c>
      <c r="Z634">
        <f t="shared" si="33"/>
        <v>5.4937920570373535</v>
      </c>
      <c r="AA634">
        <v>30</v>
      </c>
      <c r="AB634">
        <v>10</v>
      </c>
      <c r="AC634">
        <v>0</v>
      </c>
      <c r="AD634" t="s">
        <v>25</v>
      </c>
      <c r="AE634">
        <v>5.4937925806690604</v>
      </c>
    </row>
    <row r="635" spans="25:31" x14ac:dyDescent="0.3">
      <c r="Y635" t="str">
        <f t="shared" si="32"/>
        <v>Pass</v>
      </c>
      <c r="Z635">
        <f t="shared" si="33"/>
        <v>2.7434091567993164</v>
      </c>
      <c r="AA635">
        <v>30</v>
      </c>
      <c r="AB635">
        <v>10</v>
      </c>
      <c r="AC635">
        <v>0</v>
      </c>
      <c r="AD635" t="s">
        <v>26</v>
      </c>
      <c r="AE635">
        <v>2.7434090514162901</v>
      </c>
    </row>
    <row r="636" spans="25:31" x14ac:dyDescent="0.3">
      <c r="Y636" t="str">
        <f t="shared" si="32"/>
        <v>Pass</v>
      </c>
      <c r="Z636">
        <f t="shared" si="33"/>
        <v>17.531835556030273</v>
      </c>
      <c r="AA636">
        <v>30</v>
      </c>
      <c r="AB636">
        <v>10</v>
      </c>
      <c r="AC636">
        <v>10</v>
      </c>
      <c r="AD636" t="s">
        <v>24</v>
      </c>
      <c r="AE636">
        <v>17.531834284662001</v>
      </c>
    </row>
    <row r="637" spans="25:31" x14ac:dyDescent="0.3">
      <c r="Y637" t="str">
        <f t="shared" si="32"/>
        <v>Pass</v>
      </c>
      <c r="Z637">
        <f t="shared" si="33"/>
        <v>14.840861320495605</v>
      </c>
      <c r="AA637">
        <v>30</v>
      </c>
      <c r="AB637">
        <v>10</v>
      </c>
      <c r="AC637">
        <v>10</v>
      </c>
      <c r="AD637" t="s">
        <v>25</v>
      </c>
      <c r="AE637">
        <v>14.840861706199499</v>
      </c>
    </row>
    <row r="638" spans="25:31" x14ac:dyDescent="0.3">
      <c r="Y638" t="str">
        <f t="shared" si="32"/>
        <v>Pass</v>
      </c>
      <c r="Z638">
        <f t="shared" si="33"/>
        <v>7.4110107421875</v>
      </c>
      <c r="AA638">
        <v>30</v>
      </c>
      <c r="AB638">
        <v>10</v>
      </c>
      <c r="AC638">
        <v>10</v>
      </c>
      <c r="AD638" t="s">
        <v>26</v>
      </c>
      <c r="AE638">
        <v>7.4110104700470503</v>
      </c>
    </row>
    <row r="639" spans="25:31" x14ac:dyDescent="0.3">
      <c r="Y639" t="str">
        <f t="shared" si="32"/>
        <v>Pass</v>
      </c>
      <c r="Z639">
        <f t="shared" si="33"/>
        <v>47.181106567382813</v>
      </c>
      <c r="AA639">
        <v>30</v>
      </c>
      <c r="AB639">
        <v>10</v>
      </c>
      <c r="AC639">
        <v>20</v>
      </c>
      <c r="AD639" t="s">
        <v>24</v>
      </c>
      <c r="AE639">
        <v>47.181102162181801</v>
      </c>
    </row>
    <row r="640" spans="25:31" x14ac:dyDescent="0.3">
      <c r="Y640" t="str">
        <f t="shared" si="32"/>
        <v>Pass</v>
      </c>
      <c r="Z640">
        <f t="shared" si="33"/>
        <v>39.939243316650391</v>
      </c>
      <c r="AA640">
        <v>30</v>
      </c>
      <c r="AB640">
        <v>10</v>
      </c>
      <c r="AC640">
        <v>20</v>
      </c>
      <c r="AD640" t="s">
        <v>25</v>
      </c>
      <c r="AE640">
        <v>39.939244289321003</v>
      </c>
    </row>
    <row r="641" spans="25:31" x14ac:dyDescent="0.3">
      <c r="Y641" t="str">
        <f t="shared" si="32"/>
        <v>Pass</v>
      </c>
      <c r="Z641">
        <f t="shared" si="33"/>
        <v>19.944272994995117</v>
      </c>
      <c r="AA641">
        <v>30</v>
      </c>
      <c r="AB641">
        <v>10</v>
      </c>
      <c r="AC641">
        <v>20</v>
      </c>
      <c r="AD641" t="s">
        <v>26</v>
      </c>
      <c r="AE641">
        <v>19.944270316209401</v>
      </c>
    </row>
    <row r="642" spans="25:31" x14ac:dyDescent="0.3">
      <c r="Y642" t="str">
        <f t="shared" si="32"/>
        <v>Pass</v>
      </c>
      <c r="Z642">
        <f t="shared" si="33"/>
        <v>125.69537353515625</v>
      </c>
      <c r="AA642">
        <v>30</v>
      </c>
      <c r="AB642">
        <v>10</v>
      </c>
      <c r="AC642">
        <v>30</v>
      </c>
      <c r="AD642" t="s">
        <v>24</v>
      </c>
      <c r="AE642">
        <v>125.69537411045501</v>
      </c>
    </row>
    <row r="643" spans="25:31" x14ac:dyDescent="0.3">
      <c r="Y643" t="str">
        <f t="shared" si="32"/>
        <v>Pass</v>
      </c>
      <c r="Z643">
        <f t="shared" si="33"/>
        <v>106.40230560302734</v>
      </c>
      <c r="AA643">
        <v>30</v>
      </c>
      <c r="AB643">
        <v>10</v>
      </c>
      <c r="AC643">
        <v>30</v>
      </c>
      <c r="AD643" t="s">
        <v>25</v>
      </c>
      <c r="AE643">
        <v>106.402309877767</v>
      </c>
    </row>
    <row r="644" spans="25:31" x14ac:dyDescent="0.3">
      <c r="Y644" t="str">
        <f t="shared" si="32"/>
        <v>Pass</v>
      </c>
      <c r="Z644">
        <f t="shared" si="33"/>
        <v>53.133617401123047</v>
      </c>
      <c r="AA644">
        <v>30</v>
      </c>
      <c r="AB644">
        <v>10</v>
      </c>
      <c r="AC644">
        <v>30</v>
      </c>
      <c r="AD644" t="s">
        <v>26</v>
      </c>
      <c r="AE644">
        <v>53.133615025326897</v>
      </c>
    </row>
    <row r="645" spans="25:31" x14ac:dyDescent="0.3">
      <c r="Y645" t="str">
        <f t="shared" si="32"/>
        <v>Pass</v>
      </c>
      <c r="Z645">
        <f t="shared" si="33"/>
        <v>326.17935180664063</v>
      </c>
      <c r="AA645">
        <v>30</v>
      </c>
      <c r="AB645">
        <v>10</v>
      </c>
      <c r="AC645">
        <v>40</v>
      </c>
      <c r="AD645" t="s">
        <v>24</v>
      </c>
      <c r="AE645">
        <v>326.17937220564301</v>
      </c>
    </row>
    <row r="646" spans="25:31" x14ac:dyDescent="0.3">
      <c r="Y646" t="str">
        <f t="shared" si="32"/>
        <v>Pass</v>
      </c>
      <c r="Z646">
        <f t="shared" si="33"/>
        <v>276.11386108398438</v>
      </c>
      <c r="AA646">
        <v>30</v>
      </c>
      <c r="AB646">
        <v>10</v>
      </c>
      <c r="AC646">
        <v>40</v>
      </c>
      <c r="AD646" t="s">
        <v>25</v>
      </c>
      <c r="AE646">
        <v>276.11388949494801</v>
      </c>
    </row>
    <row r="647" spans="25:31" x14ac:dyDescent="0.3">
      <c r="Y647" t="str">
        <f t="shared" ref="Y647:Y710" si="34">IF(ISBLANK(Z647),"",IF(ROUND(Z647,0)=ROUND(AE647,0),"Pass","Fail"))</f>
        <v>Pass</v>
      </c>
      <c r="Z647">
        <f t="shared" ref="Z647:Z710" si="35">ROS_grass(AA647,AB647,AC647,AD647)</f>
        <v>137.88168334960938</v>
      </c>
      <c r="AA647">
        <v>30</v>
      </c>
      <c r="AB647">
        <v>10</v>
      </c>
      <c r="AC647">
        <v>40</v>
      </c>
      <c r="AD647" t="s">
        <v>26</v>
      </c>
      <c r="AE647">
        <v>137.88167873821399</v>
      </c>
    </row>
    <row r="648" spans="25:31" x14ac:dyDescent="0.3">
      <c r="Y648" t="str">
        <f t="shared" si="34"/>
        <v>Pass</v>
      </c>
      <c r="Z648">
        <f t="shared" si="35"/>
        <v>793.85382080078125</v>
      </c>
      <c r="AA648">
        <v>30</v>
      </c>
      <c r="AB648">
        <v>10</v>
      </c>
      <c r="AC648">
        <v>50</v>
      </c>
      <c r="AD648" t="s">
        <v>24</v>
      </c>
      <c r="AE648">
        <v>793.85385265626905</v>
      </c>
    </row>
    <row r="649" spans="25:31" x14ac:dyDescent="0.3">
      <c r="Y649" t="str">
        <f t="shared" si="34"/>
        <v>Pass</v>
      </c>
      <c r="Z649">
        <f t="shared" si="35"/>
        <v>672.004638671875</v>
      </c>
      <c r="AA649">
        <v>30</v>
      </c>
      <c r="AB649">
        <v>10</v>
      </c>
      <c r="AC649">
        <v>50</v>
      </c>
      <c r="AD649" t="s">
        <v>25</v>
      </c>
      <c r="AE649">
        <v>672.00471159555502</v>
      </c>
    </row>
    <row r="650" spans="25:31" x14ac:dyDescent="0.3">
      <c r="Y650" t="str">
        <f t="shared" si="34"/>
        <v>Pass</v>
      </c>
      <c r="Z650">
        <f t="shared" si="35"/>
        <v>335.5758056640625</v>
      </c>
      <c r="AA650">
        <v>30</v>
      </c>
      <c r="AB650">
        <v>10</v>
      </c>
      <c r="AC650">
        <v>50</v>
      </c>
      <c r="AD650" t="s">
        <v>26</v>
      </c>
      <c r="AE650">
        <v>335.57579419227301</v>
      </c>
    </row>
    <row r="651" spans="25:31" x14ac:dyDescent="0.3">
      <c r="Y651" t="str">
        <f t="shared" si="34"/>
        <v>Pass</v>
      </c>
      <c r="Z651">
        <f t="shared" si="35"/>
        <v>1687.5352783203125</v>
      </c>
      <c r="AA651">
        <v>30</v>
      </c>
      <c r="AB651">
        <v>10</v>
      </c>
      <c r="AC651">
        <v>60</v>
      </c>
      <c r="AD651" t="s">
        <v>24</v>
      </c>
      <c r="AE651">
        <v>1687.5353000518401</v>
      </c>
    </row>
    <row r="652" spans="25:31" x14ac:dyDescent="0.3">
      <c r="Y652" t="str">
        <f t="shared" si="34"/>
        <v>Pass</v>
      </c>
      <c r="Z652">
        <f t="shared" si="35"/>
        <v>1428.5142822265625</v>
      </c>
      <c r="AA652">
        <v>30</v>
      </c>
      <c r="AB652">
        <v>10</v>
      </c>
      <c r="AC652">
        <v>60</v>
      </c>
      <c r="AD652" t="s">
        <v>25</v>
      </c>
      <c r="AE652">
        <v>1428.5144158766</v>
      </c>
    </row>
    <row r="653" spans="25:31" x14ac:dyDescent="0.3">
      <c r="Y653" t="str">
        <f t="shared" si="34"/>
        <v>Pass</v>
      </c>
      <c r="Z653">
        <f t="shared" si="35"/>
        <v>713.3504638671875</v>
      </c>
      <c r="AA653">
        <v>30</v>
      </c>
      <c r="AB653">
        <v>10</v>
      </c>
      <c r="AC653">
        <v>60</v>
      </c>
      <c r="AD653" t="s">
        <v>26</v>
      </c>
      <c r="AE653">
        <v>713.35044435136695</v>
      </c>
    </row>
    <row r="654" spans="25:31" x14ac:dyDescent="0.3">
      <c r="Y654" t="str">
        <f t="shared" si="34"/>
        <v>Pass</v>
      </c>
      <c r="Z654">
        <f t="shared" si="35"/>
        <v>2888.6279296875</v>
      </c>
      <c r="AA654">
        <v>30</v>
      </c>
      <c r="AB654">
        <v>10</v>
      </c>
      <c r="AC654">
        <v>70</v>
      </c>
      <c r="AD654" t="s">
        <v>24</v>
      </c>
      <c r="AE654">
        <v>2888.6278609584401</v>
      </c>
    </row>
    <row r="655" spans="25:31" x14ac:dyDescent="0.3">
      <c r="Y655" t="str">
        <f t="shared" si="34"/>
        <v>Pass</v>
      </c>
      <c r="Z655">
        <f t="shared" si="35"/>
        <v>2445.25048828125</v>
      </c>
      <c r="AA655">
        <v>30</v>
      </c>
      <c r="AB655">
        <v>10</v>
      </c>
      <c r="AC655">
        <v>70</v>
      </c>
      <c r="AD655" t="s">
        <v>25</v>
      </c>
      <c r="AE655">
        <v>2445.2505031184401</v>
      </c>
    </row>
    <row r="656" spans="25:31" x14ac:dyDescent="0.3">
      <c r="Y656" t="str">
        <f t="shared" si="34"/>
        <v>Pass</v>
      </c>
      <c r="Z656">
        <f t="shared" si="35"/>
        <v>1221.0731201171875</v>
      </c>
      <c r="AA656">
        <v>30</v>
      </c>
      <c r="AB656">
        <v>10</v>
      </c>
      <c r="AC656">
        <v>70</v>
      </c>
      <c r="AD656" t="s">
        <v>26</v>
      </c>
      <c r="AE656">
        <v>1221.0731047327599</v>
      </c>
    </row>
    <row r="657" spans="25:31" x14ac:dyDescent="0.3">
      <c r="Y657" t="str">
        <f t="shared" si="34"/>
        <v>Pass</v>
      </c>
      <c r="Z657">
        <f t="shared" si="35"/>
        <v>3918.8310546875</v>
      </c>
      <c r="AA657">
        <v>30</v>
      </c>
      <c r="AB657">
        <v>10</v>
      </c>
      <c r="AC657">
        <v>80</v>
      </c>
      <c r="AD657" t="s">
        <v>24</v>
      </c>
      <c r="AE657">
        <v>3918.83091303025</v>
      </c>
    </row>
    <row r="658" spans="25:31" x14ac:dyDescent="0.3">
      <c r="Y658" t="str">
        <f t="shared" si="34"/>
        <v>Pass</v>
      </c>
      <c r="Z658">
        <f t="shared" si="35"/>
        <v>3317.326904296875</v>
      </c>
      <c r="AA658">
        <v>30</v>
      </c>
      <c r="AB658">
        <v>10</v>
      </c>
      <c r="AC658">
        <v>80</v>
      </c>
      <c r="AD658" t="s">
        <v>25</v>
      </c>
      <c r="AE658">
        <v>3317.3270227144699</v>
      </c>
    </row>
    <row r="659" spans="25:31" x14ac:dyDescent="0.3">
      <c r="Y659" t="str">
        <f t="shared" si="34"/>
        <v>Pass</v>
      </c>
      <c r="Z659">
        <f t="shared" si="35"/>
        <v>1656.5579833984375</v>
      </c>
      <c r="AA659">
        <v>30</v>
      </c>
      <c r="AB659">
        <v>10</v>
      </c>
      <c r="AC659">
        <v>80</v>
      </c>
      <c r="AD659" t="s">
        <v>26</v>
      </c>
      <c r="AE659">
        <v>1656.5578053757499</v>
      </c>
    </row>
    <row r="660" spans="25:31" x14ac:dyDescent="0.3">
      <c r="Y660" t="str">
        <f t="shared" si="34"/>
        <v>Pass</v>
      </c>
      <c r="Z660">
        <f t="shared" si="35"/>
        <v>4513.361328125</v>
      </c>
      <c r="AA660">
        <v>30</v>
      </c>
      <c r="AB660">
        <v>10</v>
      </c>
      <c r="AC660">
        <v>90</v>
      </c>
      <c r="AD660" t="s">
        <v>24</v>
      </c>
      <c r="AE660">
        <v>4513.3612629458203</v>
      </c>
    </row>
    <row r="661" spans="25:31" x14ac:dyDescent="0.3">
      <c r="Y661" t="str">
        <f t="shared" si="34"/>
        <v>Pass</v>
      </c>
      <c r="Z661">
        <f t="shared" si="35"/>
        <v>3820.602294921875</v>
      </c>
      <c r="AA661">
        <v>30</v>
      </c>
      <c r="AB661">
        <v>10</v>
      </c>
      <c r="AC661">
        <v>90</v>
      </c>
      <c r="AD661" t="s">
        <v>25</v>
      </c>
      <c r="AE661">
        <v>3820.6025248651299</v>
      </c>
    </row>
    <row r="662" spans="25:31" x14ac:dyDescent="0.3">
      <c r="Y662" t="str">
        <f t="shared" si="34"/>
        <v>Pass</v>
      </c>
      <c r="Z662">
        <f t="shared" si="35"/>
        <v>1907.876220703125</v>
      </c>
      <c r="AA662">
        <v>30</v>
      </c>
      <c r="AB662">
        <v>10</v>
      </c>
      <c r="AC662">
        <v>90</v>
      </c>
      <c r="AD662" t="s">
        <v>26</v>
      </c>
      <c r="AE662">
        <v>1907.8760973721401</v>
      </c>
    </row>
    <row r="663" spans="25:31" x14ac:dyDescent="0.3">
      <c r="Y663" t="str">
        <f t="shared" si="34"/>
        <v>Pass</v>
      </c>
      <c r="Z663">
        <f t="shared" si="35"/>
        <v>4781.28125</v>
      </c>
      <c r="AA663">
        <v>30</v>
      </c>
      <c r="AB663">
        <v>10</v>
      </c>
      <c r="AC663">
        <v>100</v>
      </c>
      <c r="AD663" t="s">
        <v>24</v>
      </c>
      <c r="AE663">
        <v>4781.2808434202998</v>
      </c>
    </row>
    <row r="664" spans="25:31" x14ac:dyDescent="0.3">
      <c r="Y664" t="str">
        <f t="shared" si="34"/>
        <v>Pass</v>
      </c>
      <c r="Z664">
        <f t="shared" si="35"/>
        <v>4047.39892578125</v>
      </c>
      <c r="AA664">
        <v>30</v>
      </c>
      <c r="AB664">
        <v>10</v>
      </c>
      <c r="AC664">
        <v>100</v>
      </c>
      <c r="AD664" t="s">
        <v>25</v>
      </c>
      <c r="AE664">
        <v>4047.3989557259501</v>
      </c>
    </row>
    <row r="665" spans="25:31" x14ac:dyDescent="0.3">
      <c r="Y665" t="str">
        <f t="shared" si="34"/>
        <v>Pass</v>
      </c>
      <c r="Z665">
        <f t="shared" si="35"/>
        <v>2021.1304931640625</v>
      </c>
      <c r="AA665">
        <v>30</v>
      </c>
      <c r="AB665">
        <v>10</v>
      </c>
      <c r="AC665">
        <v>100</v>
      </c>
      <c r="AD665" t="s">
        <v>26</v>
      </c>
      <c r="AE665">
        <v>2021.1303515356101</v>
      </c>
    </row>
    <row r="666" spans="25:31" x14ac:dyDescent="0.3">
      <c r="Y666" t="str">
        <f t="shared" si="34"/>
        <v>Pass</v>
      </c>
      <c r="Z666">
        <f t="shared" si="35"/>
        <v>3.9177110195159912</v>
      </c>
      <c r="AA666">
        <v>30</v>
      </c>
      <c r="AB666">
        <v>15</v>
      </c>
      <c r="AC666">
        <v>0</v>
      </c>
      <c r="AD666" t="s">
        <v>24</v>
      </c>
      <c r="AE666">
        <v>3.9177110254096998</v>
      </c>
    </row>
    <row r="667" spans="25:31" x14ac:dyDescent="0.3">
      <c r="Y667" t="str">
        <f t="shared" si="34"/>
        <v>Pass</v>
      </c>
      <c r="Z667">
        <f t="shared" si="35"/>
        <v>3.3163785934448242</v>
      </c>
      <c r="AA667">
        <v>30</v>
      </c>
      <c r="AB667">
        <v>15</v>
      </c>
      <c r="AC667">
        <v>0</v>
      </c>
      <c r="AD667" t="s">
        <v>25</v>
      </c>
      <c r="AE667">
        <v>3.3163790273687899</v>
      </c>
    </row>
    <row r="668" spans="25:31" x14ac:dyDescent="0.3">
      <c r="Y668" t="str">
        <f t="shared" si="34"/>
        <v>Pass</v>
      </c>
      <c r="Z668">
        <f t="shared" si="35"/>
        <v>1.656084418296814</v>
      </c>
      <c r="AA668">
        <v>30</v>
      </c>
      <c r="AB668">
        <v>15</v>
      </c>
      <c r="AC668">
        <v>0</v>
      </c>
      <c r="AD668" t="s">
        <v>26</v>
      </c>
      <c r="AE668">
        <v>1.65608440945229</v>
      </c>
    </row>
    <row r="669" spans="25:31" x14ac:dyDescent="0.3">
      <c r="Y669" t="str">
        <f t="shared" si="34"/>
        <v>Pass</v>
      </c>
      <c r="Z669">
        <f t="shared" si="35"/>
        <v>10.583255767822266</v>
      </c>
      <c r="AA669">
        <v>30</v>
      </c>
      <c r="AB669">
        <v>15</v>
      </c>
      <c r="AC669">
        <v>10</v>
      </c>
      <c r="AD669" t="s">
        <v>24</v>
      </c>
      <c r="AE669">
        <v>10.583254951696301</v>
      </c>
    </row>
    <row r="670" spans="25:31" x14ac:dyDescent="0.3">
      <c r="Y670" t="str">
        <f t="shared" si="34"/>
        <v>Pass</v>
      </c>
      <c r="Z670">
        <f t="shared" si="35"/>
        <v>8.9588232040405273</v>
      </c>
      <c r="AA670">
        <v>30</v>
      </c>
      <c r="AB670">
        <v>15</v>
      </c>
      <c r="AC670">
        <v>10</v>
      </c>
      <c r="AD670" t="s">
        <v>25</v>
      </c>
      <c r="AE670">
        <v>8.9588243072196292</v>
      </c>
    </row>
    <row r="671" spans="25:31" x14ac:dyDescent="0.3">
      <c r="Y671" t="str">
        <f t="shared" si="34"/>
        <v>Pass</v>
      </c>
      <c r="Z671">
        <f t="shared" si="35"/>
        <v>4.4737257957458496</v>
      </c>
      <c r="AA671">
        <v>30</v>
      </c>
      <c r="AB671">
        <v>15</v>
      </c>
      <c r="AC671">
        <v>10</v>
      </c>
      <c r="AD671" t="s">
        <v>26</v>
      </c>
      <c r="AE671">
        <v>4.4737254516954099</v>
      </c>
    </row>
    <row r="672" spans="25:31" x14ac:dyDescent="0.3">
      <c r="Y672" t="str">
        <f t="shared" si="34"/>
        <v>Pass</v>
      </c>
      <c r="Z672">
        <f t="shared" si="35"/>
        <v>28.481313705444336</v>
      </c>
      <c r="AA672">
        <v>30</v>
      </c>
      <c r="AB672">
        <v>15</v>
      </c>
      <c r="AC672">
        <v>20</v>
      </c>
      <c r="AD672" t="s">
        <v>24</v>
      </c>
      <c r="AE672">
        <v>28.4813114804106</v>
      </c>
    </row>
    <row r="673" spans="25:31" x14ac:dyDescent="0.3">
      <c r="Y673" t="str">
        <f t="shared" si="34"/>
        <v>Pass</v>
      </c>
      <c r="Z673">
        <f t="shared" si="35"/>
        <v>24.109695434570313</v>
      </c>
      <c r="AA673">
        <v>30</v>
      </c>
      <c r="AB673">
        <v>15</v>
      </c>
      <c r="AC673">
        <v>20</v>
      </c>
      <c r="AD673" t="s">
        <v>25</v>
      </c>
      <c r="AE673">
        <v>24.109696568473701</v>
      </c>
    </row>
    <row r="674" spans="25:31" x14ac:dyDescent="0.3">
      <c r="Y674" t="str">
        <f t="shared" si="34"/>
        <v>Pass</v>
      </c>
      <c r="Z674">
        <f t="shared" si="35"/>
        <v>12.039545059204102</v>
      </c>
      <c r="AA674">
        <v>30</v>
      </c>
      <c r="AB674">
        <v>15</v>
      </c>
      <c r="AC674">
        <v>20</v>
      </c>
      <c r="AD674" t="s">
        <v>26</v>
      </c>
      <c r="AE674">
        <v>12.0395444170183</v>
      </c>
    </row>
    <row r="675" spans="25:31" x14ac:dyDescent="0.3">
      <c r="Y675" t="str">
        <f t="shared" si="34"/>
        <v>Pass</v>
      </c>
      <c r="Z675">
        <f t="shared" si="35"/>
        <v>75.877182006835938</v>
      </c>
      <c r="AA675">
        <v>30</v>
      </c>
      <c r="AB675">
        <v>15</v>
      </c>
      <c r="AC675">
        <v>30</v>
      </c>
      <c r="AD675" t="s">
        <v>24</v>
      </c>
      <c r="AE675">
        <v>75.877182550350398</v>
      </c>
    </row>
    <row r="676" spans="25:31" x14ac:dyDescent="0.3">
      <c r="Y676" t="str">
        <f t="shared" si="34"/>
        <v>Pass</v>
      </c>
      <c r="Z676">
        <f t="shared" si="35"/>
        <v>64.230743408203125</v>
      </c>
      <c r="AA676">
        <v>30</v>
      </c>
      <c r="AB676">
        <v>15</v>
      </c>
      <c r="AC676">
        <v>30</v>
      </c>
      <c r="AD676" t="s">
        <v>25</v>
      </c>
      <c r="AE676">
        <v>64.230744747055596</v>
      </c>
    </row>
    <row r="677" spans="25:31" x14ac:dyDescent="0.3">
      <c r="Y677" t="str">
        <f t="shared" si="34"/>
        <v>Pass</v>
      </c>
      <c r="Z677">
        <f t="shared" si="35"/>
        <v>32.074600219726563</v>
      </c>
      <c r="AA677">
        <v>30</v>
      </c>
      <c r="AB677">
        <v>15</v>
      </c>
      <c r="AC677">
        <v>30</v>
      </c>
      <c r="AD677" t="s">
        <v>26</v>
      </c>
      <c r="AE677">
        <v>32.074601276049897</v>
      </c>
    </row>
    <row r="678" spans="25:31" x14ac:dyDescent="0.3">
      <c r="Y678" t="str">
        <f t="shared" si="34"/>
        <v>Pass</v>
      </c>
      <c r="Z678">
        <f t="shared" si="35"/>
        <v>196.90121459960938</v>
      </c>
      <c r="AA678">
        <v>30</v>
      </c>
      <c r="AB678">
        <v>15</v>
      </c>
      <c r="AC678">
        <v>40</v>
      </c>
      <c r="AD678" t="s">
        <v>24</v>
      </c>
      <c r="AE678">
        <v>196.901214099236</v>
      </c>
    </row>
    <row r="679" spans="25:31" x14ac:dyDescent="0.3">
      <c r="Y679" t="str">
        <f t="shared" si="34"/>
        <v>Pass</v>
      </c>
      <c r="Z679">
        <f t="shared" si="35"/>
        <v>166.67869567871094</v>
      </c>
      <c r="AA679">
        <v>30</v>
      </c>
      <c r="AB679">
        <v>15</v>
      </c>
      <c r="AC679">
        <v>40</v>
      </c>
      <c r="AD679" t="s">
        <v>25</v>
      </c>
      <c r="AE679">
        <v>166.678719452992</v>
      </c>
    </row>
    <row r="680" spans="25:31" x14ac:dyDescent="0.3">
      <c r="Y680" t="str">
        <f t="shared" si="34"/>
        <v>Pass</v>
      </c>
      <c r="Z680">
        <f t="shared" si="35"/>
        <v>83.233558654785156</v>
      </c>
      <c r="AA680">
        <v>30</v>
      </c>
      <c r="AB680">
        <v>15</v>
      </c>
      <c r="AC680">
        <v>40</v>
      </c>
      <c r="AD680" t="s">
        <v>26</v>
      </c>
      <c r="AE680">
        <v>83.2335587686363</v>
      </c>
    </row>
    <row r="681" spans="25:31" x14ac:dyDescent="0.3">
      <c r="Y681" t="str">
        <f t="shared" si="34"/>
        <v>Pass</v>
      </c>
      <c r="Z681">
        <f t="shared" si="35"/>
        <v>479.21725463867188</v>
      </c>
      <c r="AA681">
        <v>30</v>
      </c>
      <c r="AB681">
        <v>15</v>
      </c>
      <c r="AC681">
        <v>50</v>
      </c>
      <c r="AD681" t="s">
        <v>24</v>
      </c>
      <c r="AE681">
        <v>479.21726732255701</v>
      </c>
    </row>
    <row r="682" spans="25:31" x14ac:dyDescent="0.3">
      <c r="Y682" t="str">
        <f t="shared" si="34"/>
        <v>Pass</v>
      </c>
      <c r="Z682">
        <f t="shared" si="35"/>
        <v>405.661865234375</v>
      </c>
      <c r="AA682">
        <v>30</v>
      </c>
      <c r="AB682">
        <v>15</v>
      </c>
      <c r="AC682">
        <v>50</v>
      </c>
      <c r="AD682" t="s">
        <v>25</v>
      </c>
      <c r="AE682">
        <v>405.66189915329801</v>
      </c>
    </row>
    <row r="683" spans="25:31" x14ac:dyDescent="0.3">
      <c r="Y683" t="str">
        <f t="shared" si="34"/>
        <v>Pass</v>
      </c>
      <c r="Z683">
        <f t="shared" si="35"/>
        <v>202.57345581054688</v>
      </c>
      <c r="AA683">
        <v>30</v>
      </c>
      <c r="AB683">
        <v>15</v>
      </c>
      <c r="AC683">
        <v>50</v>
      </c>
      <c r="AD683" t="s">
        <v>26</v>
      </c>
      <c r="AE683">
        <v>202.57345169306399</v>
      </c>
    </row>
    <row r="684" spans="25:31" x14ac:dyDescent="0.3">
      <c r="Y684" t="str">
        <f t="shared" si="34"/>
        <v>Pass</v>
      </c>
      <c r="Z684">
        <f t="shared" si="35"/>
        <v>1018.6964111328125</v>
      </c>
      <c r="AA684">
        <v>30</v>
      </c>
      <c r="AB684">
        <v>15</v>
      </c>
      <c r="AC684">
        <v>60</v>
      </c>
      <c r="AD684" t="s">
        <v>24</v>
      </c>
      <c r="AE684">
        <v>1018.6963914015899</v>
      </c>
    </row>
    <row r="685" spans="25:31" x14ac:dyDescent="0.3">
      <c r="Y685" t="str">
        <f t="shared" si="34"/>
        <v>Pass</v>
      </c>
      <c r="Z685">
        <f t="shared" si="35"/>
        <v>862.3359375</v>
      </c>
      <c r="AA685">
        <v>30</v>
      </c>
      <c r="AB685">
        <v>15</v>
      </c>
      <c r="AC685">
        <v>60</v>
      </c>
      <c r="AD685" t="s">
        <v>25</v>
      </c>
      <c r="AE685">
        <v>862.33602371099801</v>
      </c>
    </row>
    <row r="686" spans="25:31" x14ac:dyDescent="0.3">
      <c r="Y686" t="str">
        <f t="shared" si="34"/>
        <v>Pass</v>
      </c>
      <c r="Z686">
        <f t="shared" si="35"/>
        <v>430.62063598632813</v>
      </c>
      <c r="AA686">
        <v>30</v>
      </c>
      <c r="AB686">
        <v>15</v>
      </c>
      <c r="AC686">
        <v>60</v>
      </c>
      <c r="AD686" t="s">
        <v>26</v>
      </c>
      <c r="AE686">
        <v>430.62063557611998</v>
      </c>
    </row>
    <row r="687" spans="25:31" x14ac:dyDescent="0.3">
      <c r="Y687" t="str">
        <f t="shared" si="34"/>
        <v>Pass</v>
      </c>
      <c r="Z687">
        <f t="shared" si="35"/>
        <v>1743.7471923828125</v>
      </c>
      <c r="AA687">
        <v>30</v>
      </c>
      <c r="AB687">
        <v>15</v>
      </c>
      <c r="AC687">
        <v>70</v>
      </c>
      <c r="AD687" t="s">
        <v>24</v>
      </c>
      <c r="AE687">
        <v>1743.7470955245001</v>
      </c>
    </row>
    <row r="688" spans="25:31" x14ac:dyDescent="0.3">
      <c r="Y688" t="str">
        <f t="shared" si="34"/>
        <v>Pass</v>
      </c>
      <c r="Z688">
        <f t="shared" si="35"/>
        <v>1476.09814453125</v>
      </c>
      <c r="AA688">
        <v>30</v>
      </c>
      <c r="AB688">
        <v>15</v>
      </c>
      <c r="AC688">
        <v>70</v>
      </c>
      <c r="AD688" t="s">
        <v>25</v>
      </c>
      <c r="AE688">
        <v>1476.09822652194</v>
      </c>
    </row>
    <row r="689" spans="25:31" x14ac:dyDescent="0.3">
      <c r="Y689" t="str">
        <f t="shared" si="34"/>
        <v>Pass</v>
      </c>
      <c r="Z689">
        <f t="shared" si="35"/>
        <v>737.1121826171875</v>
      </c>
      <c r="AA689">
        <v>30</v>
      </c>
      <c r="AB689">
        <v>15</v>
      </c>
      <c r="AC689">
        <v>70</v>
      </c>
      <c r="AD689" t="s">
        <v>26</v>
      </c>
      <c r="AE689">
        <v>737.11214538184402</v>
      </c>
    </row>
    <row r="690" spans="25:31" x14ac:dyDescent="0.3">
      <c r="Y690" t="str">
        <f t="shared" si="34"/>
        <v>Pass</v>
      </c>
      <c r="Z690">
        <f t="shared" si="35"/>
        <v>2365.638916015625</v>
      </c>
      <c r="AA690">
        <v>30</v>
      </c>
      <c r="AB690">
        <v>15</v>
      </c>
      <c r="AC690">
        <v>80</v>
      </c>
      <c r="AD690" t="s">
        <v>24</v>
      </c>
      <c r="AE690">
        <v>2365.6387570051402</v>
      </c>
    </row>
    <row r="691" spans="25:31" x14ac:dyDescent="0.3">
      <c r="Y691" t="str">
        <f t="shared" si="34"/>
        <v>Pass</v>
      </c>
      <c r="Z691">
        <f t="shared" si="35"/>
        <v>2002.5352783203125</v>
      </c>
      <c r="AA691">
        <v>30</v>
      </c>
      <c r="AB691">
        <v>15</v>
      </c>
      <c r="AC691">
        <v>80</v>
      </c>
      <c r="AD691" t="s">
        <v>25</v>
      </c>
      <c r="AE691">
        <v>2002.5353348368001</v>
      </c>
    </row>
    <row r="692" spans="25:31" x14ac:dyDescent="0.3">
      <c r="Y692" t="str">
        <f t="shared" si="34"/>
        <v>Pass</v>
      </c>
      <c r="Z692">
        <f t="shared" si="35"/>
        <v>999.99658203125</v>
      </c>
      <c r="AA692">
        <v>30</v>
      </c>
      <c r="AB692">
        <v>15</v>
      </c>
      <c r="AC692">
        <v>80</v>
      </c>
      <c r="AD692" t="s">
        <v>26</v>
      </c>
      <c r="AE692">
        <v>999.99653840283202</v>
      </c>
    </row>
    <row r="693" spans="25:31" x14ac:dyDescent="0.3">
      <c r="Y693" t="str">
        <f t="shared" si="34"/>
        <v>Pass</v>
      </c>
      <c r="Z693">
        <f t="shared" si="35"/>
        <v>2724.53271484375</v>
      </c>
      <c r="AA693">
        <v>30</v>
      </c>
      <c r="AB693">
        <v>15</v>
      </c>
      <c r="AC693">
        <v>90</v>
      </c>
      <c r="AD693" t="s">
        <v>24</v>
      </c>
      <c r="AE693">
        <v>2724.5325366013999</v>
      </c>
    </row>
    <row r="694" spans="25:31" x14ac:dyDescent="0.3">
      <c r="Y694" t="str">
        <f t="shared" si="34"/>
        <v>Pass</v>
      </c>
      <c r="Z694">
        <f t="shared" si="35"/>
        <v>2306.342041015625</v>
      </c>
      <c r="AA694">
        <v>30</v>
      </c>
      <c r="AB694">
        <v>15</v>
      </c>
      <c r="AC694">
        <v>90</v>
      </c>
      <c r="AD694" t="s">
        <v>25</v>
      </c>
      <c r="AE694">
        <v>2306.34227618253</v>
      </c>
    </row>
    <row r="695" spans="25:31" x14ac:dyDescent="0.3">
      <c r="Y695" t="str">
        <f t="shared" si="34"/>
        <v>Pass</v>
      </c>
      <c r="Z695">
        <f t="shared" si="35"/>
        <v>1151.707275390625</v>
      </c>
      <c r="AA695">
        <v>30</v>
      </c>
      <c r="AB695">
        <v>15</v>
      </c>
      <c r="AC695">
        <v>90</v>
      </c>
      <c r="AD695" t="s">
        <v>26</v>
      </c>
      <c r="AE695">
        <v>1151.7071646291799</v>
      </c>
    </row>
    <row r="696" spans="25:31" x14ac:dyDescent="0.3">
      <c r="Y696" t="str">
        <f t="shared" si="34"/>
        <v>Pass</v>
      </c>
      <c r="Z696">
        <f t="shared" si="35"/>
        <v>2886.264892578125</v>
      </c>
      <c r="AA696">
        <v>30</v>
      </c>
      <c r="AB696">
        <v>15</v>
      </c>
      <c r="AC696">
        <v>100</v>
      </c>
      <c r="AD696" t="s">
        <v>24</v>
      </c>
      <c r="AE696">
        <v>2886.2646851418199</v>
      </c>
    </row>
    <row r="697" spans="25:31" x14ac:dyDescent="0.3">
      <c r="Y697" t="str">
        <f t="shared" si="34"/>
        <v>Pass</v>
      </c>
      <c r="Z697">
        <f t="shared" si="35"/>
        <v>2443.25</v>
      </c>
      <c r="AA697">
        <v>30</v>
      </c>
      <c r="AB697">
        <v>15</v>
      </c>
      <c r="AC697">
        <v>100</v>
      </c>
      <c r="AD697" t="s">
        <v>25</v>
      </c>
      <c r="AE697">
        <v>2443.2500526856802</v>
      </c>
    </row>
    <row r="698" spans="25:31" x14ac:dyDescent="0.3">
      <c r="Y698" t="str">
        <f t="shared" si="34"/>
        <v>Pass</v>
      </c>
      <c r="Z698">
        <f t="shared" si="35"/>
        <v>1220.07421875</v>
      </c>
      <c r="AA698">
        <v>30</v>
      </c>
      <c r="AB698">
        <v>15</v>
      </c>
      <c r="AC698">
        <v>100</v>
      </c>
      <c r="AD698" t="s">
        <v>26</v>
      </c>
      <c r="AE698">
        <v>1220.07414932198</v>
      </c>
    </row>
    <row r="699" spans="25:31" x14ac:dyDescent="0.3">
      <c r="Y699" t="str">
        <f t="shared" si="34"/>
        <v>Pass</v>
      </c>
      <c r="Z699">
        <f t="shared" si="35"/>
        <v>1.7390813827514648</v>
      </c>
      <c r="AA699">
        <v>30</v>
      </c>
      <c r="AB699">
        <v>20</v>
      </c>
      <c r="AC699">
        <v>0</v>
      </c>
      <c r="AD699" t="s">
        <v>24</v>
      </c>
      <c r="AE699">
        <v>1.7390814795721099</v>
      </c>
    </row>
    <row r="700" spans="25:31" x14ac:dyDescent="0.3">
      <c r="Y700" t="str">
        <f t="shared" si="34"/>
        <v>Pass</v>
      </c>
      <c r="Z700">
        <f t="shared" si="35"/>
        <v>1.4721485376358032</v>
      </c>
      <c r="AA700">
        <v>30</v>
      </c>
      <c r="AB700">
        <v>20</v>
      </c>
      <c r="AC700">
        <v>0</v>
      </c>
      <c r="AD700" t="s">
        <v>25</v>
      </c>
      <c r="AE700">
        <v>1.4721487389783401</v>
      </c>
    </row>
    <row r="701" spans="25:31" x14ac:dyDescent="0.3">
      <c r="Y701" t="str">
        <f t="shared" si="34"/>
        <v>Pass</v>
      </c>
      <c r="Z701">
        <f t="shared" si="35"/>
        <v>0.73513984680175781</v>
      </c>
      <c r="AA701">
        <v>30</v>
      </c>
      <c r="AB701">
        <v>20</v>
      </c>
      <c r="AC701">
        <v>0</v>
      </c>
      <c r="AD701" t="s">
        <v>26</v>
      </c>
      <c r="AE701">
        <v>0.73513990858613898</v>
      </c>
    </row>
    <row r="702" spans="25:31" x14ac:dyDescent="0.3">
      <c r="Y702" t="str">
        <f t="shared" si="34"/>
        <v>Pass</v>
      </c>
      <c r="Z702">
        <f t="shared" si="35"/>
        <v>4.6979327201843262</v>
      </c>
      <c r="AA702">
        <v>30</v>
      </c>
      <c r="AB702">
        <v>20</v>
      </c>
      <c r="AC702">
        <v>10</v>
      </c>
      <c r="AD702" t="s">
        <v>24</v>
      </c>
      <c r="AE702">
        <v>4.6979326858749699</v>
      </c>
    </row>
    <row r="703" spans="25:31" x14ac:dyDescent="0.3">
      <c r="Y703" t="str">
        <f t="shared" si="34"/>
        <v>Pass</v>
      </c>
      <c r="Z703">
        <f t="shared" si="35"/>
        <v>3.9768435955047607</v>
      </c>
      <c r="AA703">
        <v>30</v>
      </c>
      <c r="AB703">
        <v>20</v>
      </c>
      <c r="AC703">
        <v>10</v>
      </c>
      <c r="AD703" t="s">
        <v>25</v>
      </c>
      <c r="AE703">
        <v>3.97684396076578</v>
      </c>
    </row>
    <row r="704" spans="25:31" x14ac:dyDescent="0.3">
      <c r="Y704" t="str">
        <f t="shared" si="34"/>
        <v>Pass</v>
      </c>
      <c r="Z704">
        <f t="shared" si="35"/>
        <v>1.9858975410461426</v>
      </c>
      <c r="AA704">
        <v>30</v>
      </c>
      <c r="AB704">
        <v>20</v>
      </c>
      <c r="AC704">
        <v>10</v>
      </c>
      <c r="AD704" t="s">
        <v>26</v>
      </c>
      <c r="AE704">
        <v>1.9858976395330801</v>
      </c>
    </row>
    <row r="705" spans="25:31" x14ac:dyDescent="0.3">
      <c r="Y705" t="str">
        <f t="shared" si="34"/>
        <v>Pass</v>
      </c>
      <c r="Z705">
        <f t="shared" si="35"/>
        <v>12.642924308776855</v>
      </c>
      <c r="AA705">
        <v>30</v>
      </c>
      <c r="AB705">
        <v>20</v>
      </c>
      <c r="AC705">
        <v>20</v>
      </c>
      <c r="AD705" t="s">
        <v>24</v>
      </c>
      <c r="AE705">
        <v>12.6429236327676</v>
      </c>
    </row>
    <row r="706" spans="25:31" x14ac:dyDescent="0.3">
      <c r="Y706" t="str">
        <f t="shared" si="34"/>
        <v>Pass</v>
      </c>
      <c r="Z706">
        <f t="shared" si="35"/>
        <v>10.702352523803711</v>
      </c>
      <c r="AA706">
        <v>30</v>
      </c>
      <c r="AB706">
        <v>20</v>
      </c>
      <c r="AC706">
        <v>20</v>
      </c>
      <c r="AD706" t="s">
        <v>25</v>
      </c>
      <c r="AE706">
        <v>10.702353110883401</v>
      </c>
    </row>
    <row r="707" spans="25:31" x14ac:dyDescent="0.3">
      <c r="Y707" t="str">
        <f t="shared" si="34"/>
        <v>Pass</v>
      </c>
      <c r="Z707">
        <f t="shared" si="35"/>
        <v>5.3443832397460938</v>
      </c>
      <c r="AA707">
        <v>30</v>
      </c>
      <c r="AB707">
        <v>20</v>
      </c>
      <c r="AC707">
        <v>20</v>
      </c>
      <c r="AD707" t="s">
        <v>26</v>
      </c>
      <c r="AE707">
        <v>5.3443831314569197</v>
      </c>
    </row>
    <row r="708" spans="25:31" x14ac:dyDescent="0.3">
      <c r="Y708" t="str">
        <f t="shared" si="34"/>
        <v>Pass</v>
      </c>
      <c r="Z708">
        <f t="shared" si="35"/>
        <v>33.68206787109375</v>
      </c>
      <c r="AA708">
        <v>30</v>
      </c>
      <c r="AB708">
        <v>20</v>
      </c>
      <c r="AC708">
        <v>30</v>
      </c>
      <c r="AD708" t="s">
        <v>24</v>
      </c>
      <c r="AE708">
        <v>33.6820664003994</v>
      </c>
    </row>
    <row r="709" spans="25:31" x14ac:dyDescent="0.3">
      <c r="Y709" t="str">
        <f t="shared" si="34"/>
        <v>Pass</v>
      </c>
      <c r="Z709">
        <f t="shared" si="35"/>
        <v>28.512182235717773</v>
      </c>
      <c r="AA709">
        <v>30</v>
      </c>
      <c r="AB709">
        <v>20</v>
      </c>
      <c r="AC709">
        <v>30</v>
      </c>
      <c r="AD709" t="s">
        <v>25</v>
      </c>
      <c r="AE709">
        <v>28.512184253571</v>
      </c>
    </row>
    <row r="710" spans="25:31" x14ac:dyDescent="0.3">
      <c r="Y710" t="str">
        <f t="shared" si="34"/>
        <v>Pass</v>
      </c>
      <c r="Z710">
        <f t="shared" si="35"/>
        <v>14.237993240356445</v>
      </c>
      <c r="AA710">
        <v>30</v>
      </c>
      <c r="AB710">
        <v>20</v>
      </c>
      <c r="AC710">
        <v>30</v>
      </c>
      <c r="AD710" t="s">
        <v>26</v>
      </c>
      <c r="AE710">
        <v>14.2379937371733</v>
      </c>
    </row>
    <row r="711" spans="25:31" x14ac:dyDescent="0.3">
      <c r="Y711" t="str">
        <f t="shared" ref="Y711:Y774" si="36">IF(ISBLANK(Z711),"",IF(ROUND(Z711,0)=ROUND(AE711,0),"Pass","Fail"))</f>
        <v>Pass</v>
      </c>
      <c r="Z711">
        <f t="shared" ref="Z711:Z774" si="37">ROS_grass(AA711,AB711,AC711,AD711)</f>
        <v>87.404922485351563</v>
      </c>
      <c r="AA711">
        <v>30</v>
      </c>
      <c r="AB711">
        <v>20</v>
      </c>
      <c r="AC711">
        <v>40</v>
      </c>
      <c r="AD711" t="s">
        <v>24</v>
      </c>
      <c r="AE711">
        <v>87.404929185514604</v>
      </c>
    </row>
    <row r="712" spans="25:31" x14ac:dyDescent="0.3">
      <c r="Y712" t="str">
        <f t="shared" si="36"/>
        <v>Pass</v>
      </c>
      <c r="Z712">
        <f t="shared" si="37"/>
        <v>73.989082336425781</v>
      </c>
      <c r="AA712">
        <v>30</v>
      </c>
      <c r="AB712">
        <v>20</v>
      </c>
      <c r="AC712">
        <v>40</v>
      </c>
      <c r="AD712" t="s">
        <v>25</v>
      </c>
      <c r="AE712">
        <v>73.989090098645605</v>
      </c>
    </row>
    <row r="713" spans="25:31" x14ac:dyDescent="0.3">
      <c r="Y713" t="str">
        <f t="shared" si="36"/>
        <v>Pass</v>
      </c>
      <c r="Z713">
        <f t="shared" si="37"/>
        <v>36.947578430175781</v>
      </c>
      <c r="AA713">
        <v>30</v>
      </c>
      <c r="AB713">
        <v>20</v>
      </c>
      <c r="AC713">
        <v>40</v>
      </c>
      <c r="AD713" t="s">
        <v>26</v>
      </c>
      <c r="AE713">
        <v>36.947579746077601</v>
      </c>
    </row>
    <row r="714" spans="25:31" x14ac:dyDescent="0.3">
      <c r="Y714" t="str">
        <f t="shared" si="36"/>
        <v>Pass</v>
      </c>
      <c r="Z714">
        <f t="shared" si="37"/>
        <v>212.7257080078125</v>
      </c>
      <c r="AA714">
        <v>30</v>
      </c>
      <c r="AB714">
        <v>20</v>
      </c>
      <c r="AC714">
        <v>50</v>
      </c>
      <c r="AD714" t="s">
        <v>24</v>
      </c>
      <c r="AE714">
        <v>212.72571378708599</v>
      </c>
    </row>
    <row r="715" spans="25:31" x14ac:dyDescent="0.3">
      <c r="Y715" t="str">
        <f t="shared" si="36"/>
        <v>Pass</v>
      </c>
      <c r="Z715">
        <f t="shared" si="37"/>
        <v>180.07427978515625</v>
      </c>
      <c r="AA715">
        <v>30</v>
      </c>
      <c r="AB715">
        <v>20</v>
      </c>
      <c r="AC715">
        <v>50</v>
      </c>
      <c r="AD715" t="s">
        <v>25</v>
      </c>
      <c r="AE715">
        <v>180.07430645341501</v>
      </c>
    </row>
    <row r="716" spans="25:31" x14ac:dyDescent="0.3">
      <c r="Y716" t="str">
        <f t="shared" si="36"/>
        <v>Pass</v>
      </c>
      <c r="Z716">
        <f t="shared" si="37"/>
        <v>89.922843933105469</v>
      </c>
      <c r="AA716">
        <v>30</v>
      </c>
      <c r="AB716">
        <v>20</v>
      </c>
      <c r="AC716">
        <v>50</v>
      </c>
      <c r="AD716" t="s">
        <v>26</v>
      </c>
      <c r="AE716">
        <v>89.922849288140895</v>
      </c>
    </row>
    <row r="717" spans="25:31" x14ac:dyDescent="0.3">
      <c r="Y717" t="str">
        <f t="shared" si="36"/>
        <v>Pass</v>
      </c>
      <c r="Z717">
        <f t="shared" si="37"/>
        <v>452.20181274414063</v>
      </c>
      <c r="AA717">
        <v>30</v>
      </c>
      <c r="AB717">
        <v>20</v>
      </c>
      <c r="AC717">
        <v>60</v>
      </c>
      <c r="AD717" t="s">
        <v>24</v>
      </c>
      <c r="AE717">
        <v>452.20181276851503</v>
      </c>
    </row>
    <row r="718" spans="25:31" x14ac:dyDescent="0.3">
      <c r="Y718" t="str">
        <f t="shared" si="36"/>
        <v>Pass</v>
      </c>
      <c r="Z718">
        <f t="shared" si="37"/>
        <v>382.79302978515625</v>
      </c>
      <c r="AA718">
        <v>30</v>
      </c>
      <c r="AB718">
        <v>20</v>
      </c>
      <c r="AC718">
        <v>60</v>
      </c>
      <c r="AD718" t="s">
        <v>25</v>
      </c>
      <c r="AE718">
        <v>382.79306418390598</v>
      </c>
    </row>
    <row r="719" spans="25:31" x14ac:dyDescent="0.3">
      <c r="Y719" t="str">
        <f t="shared" si="36"/>
        <v>Pass</v>
      </c>
      <c r="Z719">
        <f t="shared" si="37"/>
        <v>191.15353393554688</v>
      </c>
      <c r="AA719">
        <v>30</v>
      </c>
      <c r="AB719">
        <v>20</v>
      </c>
      <c r="AC719">
        <v>60</v>
      </c>
      <c r="AD719" t="s">
        <v>26</v>
      </c>
      <c r="AE719">
        <v>191.15355042647201</v>
      </c>
    </row>
    <row r="720" spans="25:31" x14ac:dyDescent="0.3">
      <c r="Y720" t="str">
        <f t="shared" si="36"/>
        <v>Pass</v>
      </c>
      <c r="Z720">
        <f t="shared" si="37"/>
        <v>774.0535888671875</v>
      </c>
      <c r="AA720">
        <v>30</v>
      </c>
      <c r="AB720">
        <v>20</v>
      </c>
      <c r="AC720">
        <v>70</v>
      </c>
      <c r="AD720" t="s">
        <v>24</v>
      </c>
      <c r="AE720">
        <v>774.05358874502394</v>
      </c>
    </row>
    <row r="721" spans="25:31" x14ac:dyDescent="0.3">
      <c r="Y721" t="str">
        <f t="shared" si="36"/>
        <v>Pass</v>
      </c>
      <c r="Z721">
        <f t="shared" si="37"/>
        <v>655.2435302734375</v>
      </c>
      <c r="AA721">
        <v>30</v>
      </c>
      <c r="AB721">
        <v>20</v>
      </c>
      <c r="AC721">
        <v>70</v>
      </c>
      <c r="AD721" t="s">
        <v>25</v>
      </c>
      <c r="AE721">
        <v>655.24360299266698</v>
      </c>
    </row>
    <row r="722" spans="25:31" x14ac:dyDescent="0.3">
      <c r="Y722" t="str">
        <f t="shared" si="36"/>
        <v>Pass</v>
      </c>
      <c r="Z722">
        <f t="shared" si="37"/>
        <v>327.20587158203125</v>
      </c>
      <c r="AA722">
        <v>30</v>
      </c>
      <c r="AB722">
        <v>20</v>
      </c>
      <c r="AC722">
        <v>70</v>
      </c>
      <c r="AD722" t="s">
        <v>26</v>
      </c>
      <c r="AE722">
        <v>327.20587916950097</v>
      </c>
    </row>
    <row r="723" spans="25:31" x14ac:dyDescent="0.3">
      <c r="Y723" t="str">
        <f t="shared" si="36"/>
        <v>Pass</v>
      </c>
      <c r="Z723">
        <f t="shared" si="37"/>
        <v>1050.11279296875</v>
      </c>
      <c r="AA723">
        <v>30</v>
      </c>
      <c r="AB723">
        <v>20</v>
      </c>
      <c r="AC723">
        <v>80</v>
      </c>
      <c r="AD723" t="s">
        <v>24</v>
      </c>
      <c r="AE723">
        <v>1050.1128140851999</v>
      </c>
    </row>
    <row r="724" spans="25:31" x14ac:dyDescent="0.3">
      <c r="Y724" t="str">
        <f t="shared" si="36"/>
        <v>Pass</v>
      </c>
      <c r="Z724">
        <f t="shared" si="37"/>
        <v>888.93023681640625</v>
      </c>
      <c r="AA724">
        <v>30</v>
      </c>
      <c r="AB724">
        <v>20</v>
      </c>
      <c r="AC724">
        <v>80</v>
      </c>
      <c r="AD724" t="s">
        <v>25</v>
      </c>
      <c r="AE724">
        <v>888.93031936657906</v>
      </c>
    </row>
    <row r="725" spans="25:31" x14ac:dyDescent="0.3">
      <c r="Y725" t="str">
        <f t="shared" si="36"/>
        <v>Pass</v>
      </c>
      <c r="Z725">
        <f t="shared" si="37"/>
        <v>443.90090942382813</v>
      </c>
      <c r="AA725">
        <v>30</v>
      </c>
      <c r="AB725">
        <v>20</v>
      </c>
      <c r="AC725">
        <v>80</v>
      </c>
      <c r="AD725" t="s">
        <v>26</v>
      </c>
      <c r="AE725">
        <v>443.900902412964</v>
      </c>
    </row>
    <row r="726" spans="25:31" x14ac:dyDescent="0.3">
      <c r="Y726" t="str">
        <f t="shared" si="36"/>
        <v>Pass</v>
      </c>
      <c r="Z726">
        <f t="shared" si="37"/>
        <v>1209.4266357421875</v>
      </c>
      <c r="AA726">
        <v>30</v>
      </c>
      <c r="AB726">
        <v>20</v>
      </c>
      <c r="AC726">
        <v>90</v>
      </c>
      <c r="AD726" t="s">
        <v>24</v>
      </c>
      <c r="AE726">
        <v>1209.4266381986699</v>
      </c>
    </row>
    <row r="727" spans="25:31" x14ac:dyDescent="0.3">
      <c r="Y727" t="str">
        <f t="shared" si="36"/>
        <v>Pass</v>
      </c>
      <c r="Z727">
        <f t="shared" si="37"/>
        <v>1023.7908935546875</v>
      </c>
      <c r="AA727">
        <v>30</v>
      </c>
      <c r="AB727">
        <v>20</v>
      </c>
      <c r="AC727">
        <v>90</v>
      </c>
      <c r="AD727" t="s">
        <v>25</v>
      </c>
      <c r="AE727">
        <v>1023.79096162249</v>
      </c>
    </row>
    <row r="728" spans="25:31" x14ac:dyDescent="0.3">
      <c r="Y728" t="str">
        <f t="shared" si="36"/>
        <v>Pass</v>
      </c>
      <c r="Z728">
        <f t="shared" si="37"/>
        <v>511.24560546875</v>
      </c>
      <c r="AA728">
        <v>30</v>
      </c>
      <c r="AB728">
        <v>20</v>
      </c>
      <c r="AC728">
        <v>90</v>
      </c>
      <c r="AD728" t="s">
        <v>26</v>
      </c>
      <c r="AE728">
        <v>511.245619420759</v>
      </c>
    </row>
    <row r="729" spans="25:31" x14ac:dyDescent="0.3">
      <c r="Y729" t="str">
        <f t="shared" si="36"/>
        <v>Pass</v>
      </c>
      <c r="Z729">
        <f t="shared" si="37"/>
        <v>1281.219970703125</v>
      </c>
      <c r="AA729">
        <v>30</v>
      </c>
      <c r="AB729">
        <v>20</v>
      </c>
      <c r="AC729">
        <v>100</v>
      </c>
      <c r="AD729" t="s">
        <v>24</v>
      </c>
      <c r="AE729">
        <v>1281.2199334044201</v>
      </c>
    </row>
    <row r="730" spans="25:31" x14ac:dyDescent="0.3">
      <c r="Y730" t="str">
        <f t="shared" si="36"/>
        <v>Pass</v>
      </c>
      <c r="Z730">
        <f t="shared" si="37"/>
        <v>1084.5645751953125</v>
      </c>
      <c r="AA730">
        <v>30</v>
      </c>
      <c r="AB730">
        <v>20</v>
      </c>
      <c r="AC730">
        <v>100</v>
      </c>
      <c r="AD730" t="s">
        <v>25</v>
      </c>
      <c r="AE730">
        <v>1084.56465753364</v>
      </c>
    </row>
    <row r="731" spans="25:31" x14ac:dyDescent="0.3">
      <c r="Y731" t="str">
        <f t="shared" si="36"/>
        <v>Pass</v>
      </c>
      <c r="Z731">
        <f t="shared" si="37"/>
        <v>541.5938720703125</v>
      </c>
      <c r="AA731">
        <v>30</v>
      </c>
      <c r="AB731">
        <v>20</v>
      </c>
      <c r="AC731">
        <v>100</v>
      </c>
      <c r="AD731" t="s">
        <v>26</v>
      </c>
      <c r="AE731">
        <v>541.59389067463701</v>
      </c>
    </row>
    <row r="732" spans="25:31" x14ac:dyDescent="0.3">
      <c r="Y732" t="str">
        <f t="shared" si="36"/>
        <v>Pass</v>
      </c>
      <c r="Z732">
        <f t="shared" si="37"/>
        <v>1.911078579723835E-2</v>
      </c>
      <c r="AA732">
        <v>30</v>
      </c>
      <c r="AB732">
        <v>25</v>
      </c>
      <c r="AC732">
        <v>0</v>
      </c>
      <c r="AD732" t="s">
        <v>24</v>
      </c>
      <c r="AE732">
        <v>1.9110785489803401E-2</v>
      </c>
    </row>
    <row r="733" spans="25:31" x14ac:dyDescent="0.3">
      <c r="Y733" t="str">
        <f t="shared" si="36"/>
        <v>Pass</v>
      </c>
      <c r="Z733">
        <f t="shared" si="37"/>
        <v>1.6177458688616753E-2</v>
      </c>
      <c r="AA733">
        <v>30</v>
      </c>
      <c r="AB733">
        <v>25</v>
      </c>
      <c r="AC733">
        <v>0</v>
      </c>
      <c r="AD733" t="s">
        <v>25</v>
      </c>
      <c r="AE733">
        <v>1.6177458670091599E-2</v>
      </c>
    </row>
    <row r="734" spans="25:31" x14ac:dyDescent="0.3">
      <c r="Y734" t="str">
        <f t="shared" si="36"/>
        <v>Pass</v>
      </c>
      <c r="Z734">
        <f t="shared" si="37"/>
        <v>8.0784615129232407E-3</v>
      </c>
      <c r="AA734">
        <v>30</v>
      </c>
      <c r="AB734">
        <v>25</v>
      </c>
      <c r="AC734">
        <v>0</v>
      </c>
      <c r="AD734" t="s">
        <v>26</v>
      </c>
      <c r="AE734">
        <v>8.0784605339136104E-3</v>
      </c>
    </row>
    <row r="735" spans="25:31" x14ac:dyDescent="0.3">
      <c r="Y735" t="str">
        <f t="shared" si="36"/>
        <v>Pass</v>
      </c>
      <c r="Z735">
        <f t="shared" si="37"/>
        <v>5.1625639200210571E-2</v>
      </c>
      <c r="AA735">
        <v>30</v>
      </c>
      <c r="AB735">
        <v>25</v>
      </c>
      <c r="AC735">
        <v>10</v>
      </c>
      <c r="AD735" t="s">
        <v>24</v>
      </c>
      <c r="AE735">
        <v>5.1625633910713897E-2</v>
      </c>
    </row>
    <row r="736" spans="25:31" x14ac:dyDescent="0.3">
      <c r="Y736" t="str">
        <f t="shared" si="36"/>
        <v>Pass</v>
      </c>
      <c r="Z736">
        <f t="shared" si="37"/>
        <v>4.3701581656932831E-2</v>
      </c>
      <c r="AA736">
        <v>30</v>
      </c>
      <c r="AB736">
        <v>25</v>
      </c>
      <c r="AC736">
        <v>10</v>
      </c>
      <c r="AD736" t="s">
        <v>25</v>
      </c>
      <c r="AE736">
        <v>4.3701581986437199E-2</v>
      </c>
    </row>
    <row r="737" spans="25:31" x14ac:dyDescent="0.3">
      <c r="Y737" t="str">
        <f t="shared" si="36"/>
        <v>Pass</v>
      </c>
      <c r="Z737">
        <f t="shared" si="37"/>
        <v>2.1823052316904068E-2</v>
      </c>
      <c r="AA737">
        <v>30</v>
      </c>
      <c r="AB737">
        <v>25</v>
      </c>
      <c r="AC737">
        <v>10</v>
      </c>
      <c r="AD737" t="s">
        <v>26</v>
      </c>
      <c r="AE737">
        <v>2.1823050983879998E-2</v>
      </c>
    </row>
    <row r="738" spans="25:31" x14ac:dyDescent="0.3">
      <c r="Y738" t="str">
        <f t="shared" si="36"/>
        <v>Pass</v>
      </c>
      <c r="Z738">
        <f t="shared" si="37"/>
        <v>0.13893324136734009</v>
      </c>
      <c r="AA738">
        <v>30</v>
      </c>
      <c r="AB738">
        <v>25</v>
      </c>
      <c r="AC738">
        <v>20</v>
      </c>
      <c r="AD738" t="s">
        <v>24</v>
      </c>
      <c r="AE738">
        <v>0.13893322673371</v>
      </c>
    </row>
    <row r="739" spans="25:31" x14ac:dyDescent="0.3">
      <c r="Y739" t="str">
        <f t="shared" si="36"/>
        <v>Pass</v>
      </c>
      <c r="Z739">
        <f t="shared" si="37"/>
        <v>0.11760828644037247</v>
      </c>
      <c r="AA739">
        <v>30</v>
      </c>
      <c r="AB739">
        <v>25</v>
      </c>
      <c r="AC739">
        <v>20</v>
      </c>
      <c r="AD739" t="s">
        <v>25</v>
      </c>
      <c r="AE739">
        <v>0.117608275943774</v>
      </c>
    </row>
    <row r="740" spans="25:31" x14ac:dyDescent="0.3">
      <c r="Y740" t="str">
        <f t="shared" si="36"/>
        <v>Pass</v>
      </c>
      <c r="Z740">
        <f t="shared" si="37"/>
        <v>5.8729492127895355E-2</v>
      </c>
      <c r="AA740">
        <v>30</v>
      </c>
      <c r="AB740">
        <v>25</v>
      </c>
      <c r="AC740">
        <v>20</v>
      </c>
      <c r="AD740" t="s">
        <v>26</v>
      </c>
      <c r="AE740">
        <v>5.8729484961065101E-2</v>
      </c>
    </row>
    <row r="741" spans="25:31" x14ac:dyDescent="0.3">
      <c r="Y741" t="str">
        <f t="shared" si="36"/>
        <v>Pass</v>
      </c>
      <c r="Z741">
        <f t="shared" si="37"/>
        <v>0.37013262510299683</v>
      </c>
      <c r="AA741">
        <v>30</v>
      </c>
      <c r="AB741">
        <v>25</v>
      </c>
      <c r="AC741">
        <v>30</v>
      </c>
      <c r="AD741" t="s">
        <v>24</v>
      </c>
      <c r="AE741">
        <v>0.37013259780658703</v>
      </c>
    </row>
    <row r="742" spans="25:31" x14ac:dyDescent="0.3">
      <c r="Y742" t="str">
        <f t="shared" si="36"/>
        <v>Pass</v>
      </c>
      <c r="Z742">
        <f t="shared" si="37"/>
        <v>0.31332072615623474</v>
      </c>
      <c r="AA742">
        <v>30</v>
      </c>
      <c r="AB742">
        <v>25</v>
      </c>
      <c r="AC742">
        <v>30</v>
      </c>
      <c r="AD742" t="s">
        <v>25</v>
      </c>
      <c r="AE742">
        <v>0.31332070608319801</v>
      </c>
    </row>
    <row r="743" spans="25:31" x14ac:dyDescent="0.3">
      <c r="Y743" t="str">
        <f t="shared" si="36"/>
        <v>Pass</v>
      </c>
      <c r="Z743">
        <f t="shared" si="37"/>
        <v>0.15646147727966309</v>
      </c>
      <c r="AA743">
        <v>30</v>
      </c>
      <c r="AB743">
        <v>25</v>
      </c>
      <c r="AC743">
        <v>30</v>
      </c>
      <c r="AD743" t="s">
        <v>26</v>
      </c>
      <c r="AE743">
        <v>0.15646146963926799</v>
      </c>
    </row>
    <row r="744" spans="25:31" x14ac:dyDescent="0.3">
      <c r="Y744" t="str">
        <f t="shared" si="36"/>
        <v>Pass</v>
      </c>
      <c r="Z744">
        <f t="shared" si="37"/>
        <v>0.96049374341964722</v>
      </c>
      <c r="AA744">
        <v>30</v>
      </c>
      <c r="AB744">
        <v>25</v>
      </c>
      <c r="AC744">
        <v>40</v>
      </c>
      <c r="AD744" t="s">
        <v>24</v>
      </c>
      <c r="AE744">
        <v>0.96049372731334803</v>
      </c>
    </row>
    <row r="745" spans="25:31" x14ac:dyDescent="0.3">
      <c r="Y745" t="str">
        <f t="shared" si="36"/>
        <v>Pass</v>
      </c>
      <c r="Z745">
        <f t="shared" si="37"/>
        <v>0.81306689977645874</v>
      </c>
      <c r="AA745">
        <v>30</v>
      </c>
      <c r="AB745">
        <v>25</v>
      </c>
      <c r="AC745">
        <v>40</v>
      </c>
      <c r="AD745" t="s">
        <v>25</v>
      </c>
      <c r="AE745">
        <v>0.81306692416093995</v>
      </c>
    </row>
    <row r="746" spans="25:31" x14ac:dyDescent="0.3">
      <c r="Y746" t="str">
        <f t="shared" si="36"/>
        <v>Pass</v>
      </c>
      <c r="Z746">
        <f t="shared" si="37"/>
        <v>0.40601739287376404</v>
      </c>
      <c r="AA746">
        <v>30</v>
      </c>
      <c r="AB746">
        <v>25</v>
      </c>
      <c r="AC746">
        <v>40</v>
      </c>
      <c r="AD746" t="s">
        <v>26</v>
      </c>
      <c r="AE746">
        <v>0.40601735984700599</v>
      </c>
    </row>
    <row r="747" spans="25:31" x14ac:dyDescent="0.3">
      <c r="Y747" t="str">
        <f t="shared" si="36"/>
        <v>Pass</v>
      </c>
      <c r="Z747">
        <f t="shared" si="37"/>
        <v>2.3376452922821045</v>
      </c>
      <c r="AA747">
        <v>30</v>
      </c>
      <c r="AB747">
        <v>25</v>
      </c>
      <c r="AC747">
        <v>50</v>
      </c>
      <c r="AD747" t="s">
        <v>24</v>
      </c>
      <c r="AE747">
        <v>2.3376452064515001</v>
      </c>
    </row>
    <row r="748" spans="25:31" x14ac:dyDescent="0.3">
      <c r="Y748" t="str">
        <f t="shared" si="36"/>
        <v>Pass</v>
      </c>
      <c r="Z748">
        <f t="shared" si="37"/>
        <v>1.9788385629653931</v>
      </c>
      <c r="AA748">
        <v>30</v>
      </c>
      <c r="AB748">
        <v>25</v>
      </c>
      <c r="AC748">
        <v>50</v>
      </c>
      <c r="AD748" t="s">
        <v>25</v>
      </c>
      <c r="AE748">
        <v>1.9788385324551101</v>
      </c>
    </row>
    <row r="749" spans="25:31" x14ac:dyDescent="0.3">
      <c r="Y749" t="str">
        <f t="shared" si="36"/>
        <v>Pass</v>
      </c>
      <c r="Z749">
        <f t="shared" si="37"/>
        <v>0.98816323280334473</v>
      </c>
      <c r="AA749">
        <v>30</v>
      </c>
      <c r="AB749">
        <v>25</v>
      </c>
      <c r="AC749">
        <v>50</v>
      </c>
      <c r="AD749" t="s">
        <v>26</v>
      </c>
      <c r="AE749">
        <v>0.98816317899055905</v>
      </c>
    </row>
    <row r="750" spans="25:31" x14ac:dyDescent="0.3">
      <c r="Y750" t="str">
        <f t="shared" si="36"/>
        <v>Pass</v>
      </c>
      <c r="Z750">
        <f t="shared" si="37"/>
        <v>4.9692511558532715</v>
      </c>
      <c r="AA750">
        <v>30</v>
      </c>
      <c r="AB750">
        <v>25</v>
      </c>
      <c r="AC750">
        <v>60</v>
      </c>
      <c r="AD750" t="s">
        <v>24</v>
      </c>
      <c r="AE750">
        <v>4.9692506897638999</v>
      </c>
    </row>
    <row r="751" spans="25:31" x14ac:dyDescent="0.3">
      <c r="Y751" t="str">
        <f t="shared" si="36"/>
        <v>Pass</v>
      </c>
      <c r="Z751">
        <f t="shared" si="37"/>
        <v>4.206517219543457</v>
      </c>
      <c r="AA751">
        <v>30</v>
      </c>
      <c r="AB751">
        <v>25</v>
      </c>
      <c r="AC751">
        <v>60</v>
      </c>
      <c r="AD751" t="s">
        <v>25</v>
      </c>
      <c r="AE751">
        <v>4.2065171888341304</v>
      </c>
    </row>
    <row r="752" spans="25:31" x14ac:dyDescent="0.3">
      <c r="Y752" t="str">
        <f t="shared" si="36"/>
        <v>Pass</v>
      </c>
      <c r="Z752">
        <f t="shared" si="37"/>
        <v>2.1005885601043701</v>
      </c>
      <c r="AA752">
        <v>30</v>
      </c>
      <c r="AB752">
        <v>25</v>
      </c>
      <c r="AC752">
        <v>60</v>
      </c>
      <c r="AD752" t="s">
        <v>26</v>
      </c>
      <c r="AE752">
        <v>2.1005884662249699</v>
      </c>
    </row>
    <row r="753" spans="25:31" x14ac:dyDescent="0.3">
      <c r="Y753" t="str">
        <f t="shared" si="36"/>
        <v>Pass</v>
      </c>
      <c r="Z753">
        <f t="shared" si="37"/>
        <v>8.5060844421386719</v>
      </c>
      <c r="AA753">
        <v>30</v>
      </c>
      <c r="AB753">
        <v>25</v>
      </c>
      <c r="AC753">
        <v>70</v>
      </c>
      <c r="AD753" t="s">
        <v>24</v>
      </c>
      <c r="AE753">
        <v>8.5060833928024593</v>
      </c>
    </row>
    <row r="754" spans="25:31" x14ac:dyDescent="0.3">
      <c r="Y754" t="str">
        <f t="shared" si="36"/>
        <v>Pass</v>
      </c>
      <c r="Z754">
        <f t="shared" si="37"/>
        <v>7.2004795074462891</v>
      </c>
      <c r="AA754">
        <v>30</v>
      </c>
      <c r="AB754">
        <v>25</v>
      </c>
      <c r="AC754">
        <v>70</v>
      </c>
      <c r="AD754" t="s">
        <v>25</v>
      </c>
      <c r="AE754">
        <v>7.2004791537655697</v>
      </c>
    </row>
    <row r="755" spans="25:31" x14ac:dyDescent="0.3">
      <c r="Y755" t="str">
        <f t="shared" si="36"/>
        <v>Pass</v>
      </c>
      <c r="Z755">
        <f t="shared" si="37"/>
        <v>3.5956692695617676</v>
      </c>
      <c r="AA755">
        <v>30</v>
      </c>
      <c r="AB755">
        <v>25</v>
      </c>
      <c r="AC755">
        <v>70</v>
      </c>
      <c r="AD755" t="s">
        <v>26</v>
      </c>
      <c r="AE755">
        <v>3.59566900186265</v>
      </c>
    </row>
    <row r="756" spans="25:31" x14ac:dyDescent="0.3">
      <c r="Y756" t="str">
        <f t="shared" si="36"/>
        <v>Pass</v>
      </c>
      <c r="Z756">
        <f t="shared" si="37"/>
        <v>11.539702415466309</v>
      </c>
      <c r="AA756">
        <v>30</v>
      </c>
      <c r="AB756">
        <v>25</v>
      </c>
      <c r="AC756">
        <v>80</v>
      </c>
      <c r="AD756" t="s">
        <v>24</v>
      </c>
      <c r="AE756">
        <v>11.539701253683599</v>
      </c>
    </row>
    <row r="757" spans="25:31" x14ac:dyDescent="0.3">
      <c r="Y757" t="str">
        <f t="shared" si="36"/>
        <v>Pass</v>
      </c>
      <c r="Z757">
        <f t="shared" si="37"/>
        <v>9.7684659957885742</v>
      </c>
      <c r="AA757">
        <v>30</v>
      </c>
      <c r="AB757">
        <v>25</v>
      </c>
      <c r="AC757">
        <v>80</v>
      </c>
      <c r="AD757" t="s">
        <v>25</v>
      </c>
      <c r="AE757">
        <v>9.76846504798438</v>
      </c>
    </row>
    <row r="758" spans="25:31" x14ac:dyDescent="0.3">
      <c r="Y758" t="str">
        <f t="shared" si="36"/>
        <v>Pass</v>
      </c>
      <c r="Z758">
        <f t="shared" si="37"/>
        <v>4.8780326843261719</v>
      </c>
      <c r="AA758">
        <v>30</v>
      </c>
      <c r="AB758">
        <v>25</v>
      </c>
      <c r="AC758">
        <v>80</v>
      </c>
      <c r="AD758" t="s">
        <v>26</v>
      </c>
      <c r="AE758">
        <v>4.8780318946479602</v>
      </c>
    </row>
    <row r="759" spans="25:31" x14ac:dyDescent="0.3">
      <c r="Y759" t="str">
        <f t="shared" si="36"/>
        <v>Pass</v>
      </c>
      <c r="Z759">
        <f t="shared" si="37"/>
        <v>13.290404319763184</v>
      </c>
      <c r="AA759">
        <v>30</v>
      </c>
      <c r="AB759">
        <v>25</v>
      </c>
      <c r="AC759">
        <v>90</v>
      </c>
      <c r="AD759" t="s">
        <v>24</v>
      </c>
      <c r="AE759">
        <v>13.2904026175678</v>
      </c>
    </row>
    <row r="760" spans="25:31" x14ac:dyDescent="0.3">
      <c r="Y760" t="str">
        <f t="shared" si="36"/>
        <v>Pass</v>
      </c>
      <c r="Z760">
        <f t="shared" si="37"/>
        <v>11.25045108795166</v>
      </c>
      <c r="AA760">
        <v>30</v>
      </c>
      <c r="AB760">
        <v>25</v>
      </c>
      <c r="AC760">
        <v>90</v>
      </c>
      <c r="AD760" t="s">
        <v>25</v>
      </c>
      <c r="AE760">
        <v>11.250450127719599</v>
      </c>
    </row>
    <row r="761" spans="25:31" x14ac:dyDescent="0.3">
      <c r="Y761" t="str">
        <f t="shared" si="36"/>
        <v>Pass</v>
      </c>
      <c r="Z761">
        <f t="shared" si="37"/>
        <v>5.6180844306945801</v>
      </c>
      <c r="AA761">
        <v>30</v>
      </c>
      <c r="AB761">
        <v>25</v>
      </c>
      <c r="AC761">
        <v>90</v>
      </c>
      <c r="AD761" t="s">
        <v>26</v>
      </c>
      <c r="AE761">
        <v>5.6180837298984496</v>
      </c>
    </row>
    <row r="762" spans="25:31" x14ac:dyDescent="0.3">
      <c r="Y762" t="str">
        <f t="shared" si="36"/>
        <v>Pass</v>
      </c>
      <c r="Z762">
        <f t="shared" si="37"/>
        <v>14.079340934753418</v>
      </c>
      <c r="AA762">
        <v>30</v>
      </c>
      <c r="AB762">
        <v>25</v>
      </c>
      <c r="AC762">
        <v>100</v>
      </c>
      <c r="AD762" t="s">
        <v>24</v>
      </c>
      <c r="AE762">
        <v>14.079339927521101</v>
      </c>
    </row>
    <row r="763" spans="25:31" x14ac:dyDescent="0.3">
      <c r="Y763" t="str">
        <f t="shared" si="36"/>
        <v>Pass</v>
      </c>
      <c r="Z763">
        <f t="shared" si="37"/>
        <v>11.918293952941895</v>
      </c>
      <c r="AA763">
        <v>30</v>
      </c>
      <c r="AB763">
        <v>25</v>
      </c>
      <c r="AC763">
        <v>100</v>
      </c>
      <c r="AD763" t="s">
        <v>25</v>
      </c>
      <c r="AE763">
        <v>11.918292939930099</v>
      </c>
    </row>
    <row r="764" spans="25:31" x14ac:dyDescent="0.3">
      <c r="Y764" t="str">
        <f t="shared" si="36"/>
        <v>Pass</v>
      </c>
      <c r="Z764">
        <f t="shared" si="37"/>
        <v>5.9515819549560547</v>
      </c>
      <c r="AA764">
        <v>30</v>
      </c>
      <c r="AB764">
        <v>25</v>
      </c>
      <c r="AC764">
        <v>100</v>
      </c>
      <c r="AD764" t="s">
        <v>26</v>
      </c>
      <c r="AE764">
        <v>5.9515812162048096</v>
      </c>
    </row>
    <row r="765" spans="25:31" x14ac:dyDescent="0.3">
      <c r="Y765" t="str">
        <f t="shared" si="36"/>
        <v>Pass</v>
      </c>
      <c r="Z765">
        <f t="shared" si="37"/>
        <v>1.911078579723835E-2</v>
      </c>
      <c r="AA765">
        <v>30</v>
      </c>
      <c r="AB765">
        <v>30</v>
      </c>
      <c r="AC765">
        <v>0</v>
      </c>
      <c r="AD765" t="s">
        <v>24</v>
      </c>
      <c r="AE765">
        <v>1.9110785489803401E-2</v>
      </c>
    </row>
    <row r="766" spans="25:31" x14ac:dyDescent="0.3">
      <c r="Y766" t="str">
        <f t="shared" si="36"/>
        <v>Pass</v>
      </c>
      <c r="Z766">
        <f t="shared" si="37"/>
        <v>1.6177458688616753E-2</v>
      </c>
      <c r="AA766">
        <v>30</v>
      </c>
      <c r="AB766">
        <v>30</v>
      </c>
      <c r="AC766">
        <v>0</v>
      </c>
      <c r="AD766" t="s">
        <v>25</v>
      </c>
      <c r="AE766">
        <v>1.6177458670091599E-2</v>
      </c>
    </row>
    <row r="767" spans="25:31" x14ac:dyDescent="0.3">
      <c r="Y767" t="str">
        <f t="shared" si="36"/>
        <v>Pass</v>
      </c>
      <c r="Z767">
        <f t="shared" si="37"/>
        <v>8.0784615129232407E-3</v>
      </c>
      <c r="AA767">
        <v>30</v>
      </c>
      <c r="AB767">
        <v>30</v>
      </c>
      <c r="AC767">
        <v>0</v>
      </c>
      <c r="AD767" t="s">
        <v>26</v>
      </c>
      <c r="AE767">
        <v>8.0784605339136104E-3</v>
      </c>
    </row>
    <row r="768" spans="25:31" x14ac:dyDescent="0.3">
      <c r="Y768" t="str">
        <f t="shared" si="36"/>
        <v>Pass</v>
      </c>
      <c r="Z768">
        <f t="shared" si="37"/>
        <v>5.1625639200210571E-2</v>
      </c>
      <c r="AA768">
        <v>30</v>
      </c>
      <c r="AB768">
        <v>30</v>
      </c>
      <c r="AC768">
        <v>10</v>
      </c>
      <c r="AD768" t="s">
        <v>24</v>
      </c>
      <c r="AE768">
        <v>5.1625633910713897E-2</v>
      </c>
    </row>
    <row r="769" spans="25:31" x14ac:dyDescent="0.3">
      <c r="Y769" t="str">
        <f t="shared" si="36"/>
        <v>Pass</v>
      </c>
      <c r="Z769">
        <f t="shared" si="37"/>
        <v>4.3701581656932831E-2</v>
      </c>
      <c r="AA769">
        <v>30</v>
      </c>
      <c r="AB769">
        <v>30</v>
      </c>
      <c r="AC769">
        <v>10</v>
      </c>
      <c r="AD769" t="s">
        <v>25</v>
      </c>
      <c r="AE769">
        <v>4.3701581986437199E-2</v>
      </c>
    </row>
    <row r="770" spans="25:31" x14ac:dyDescent="0.3">
      <c r="Y770" t="str">
        <f t="shared" si="36"/>
        <v>Pass</v>
      </c>
      <c r="Z770">
        <f t="shared" si="37"/>
        <v>2.1823052316904068E-2</v>
      </c>
      <c r="AA770">
        <v>30</v>
      </c>
      <c r="AB770">
        <v>30</v>
      </c>
      <c r="AC770">
        <v>10</v>
      </c>
      <c r="AD770" t="s">
        <v>26</v>
      </c>
      <c r="AE770">
        <v>2.1823050983879998E-2</v>
      </c>
    </row>
    <row r="771" spans="25:31" x14ac:dyDescent="0.3">
      <c r="Y771" t="str">
        <f t="shared" si="36"/>
        <v>Pass</v>
      </c>
      <c r="Z771">
        <f t="shared" si="37"/>
        <v>0.13893324136734009</v>
      </c>
      <c r="AA771">
        <v>30</v>
      </c>
      <c r="AB771">
        <v>30</v>
      </c>
      <c r="AC771">
        <v>20</v>
      </c>
      <c r="AD771" t="s">
        <v>24</v>
      </c>
      <c r="AE771">
        <v>0.13893322673371</v>
      </c>
    </row>
    <row r="772" spans="25:31" x14ac:dyDescent="0.3">
      <c r="Y772" t="str">
        <f t="shared" si="36"/>
        <v>Pass</v>
      </c>
      <c r="Z772">
        <f t="shared" si="37"/>
        <v>0.11760828644037247</v>
      </c>
      <c r="AA772">
        <v>30</v>
      </c>
      <c r="AB772">
        <v>30</v>
      </c>
      <c r="AC772">
        <v>20</v>
      </c>
      <c r="AD772" t="s">
        <v>25</v>
      </c>
      <c r="AE772">
        <v>0.117608275943774</v>
      </c>
    </row>
    <row r="773" spans="25:31" x14ac:dyDescent="0.3">
      <c r="Y773" t="str">
        <f t="shared" si="36"/>
        <v>Pass</v>
      </c>
      <c r="Z773">
        <f t="shared" si="37"/>
        <v>5.8729492127895355E-2</v>
      </c>
      <c r="AA773">
        <v>30</v>
      </c>
      <c r="AB773">
        <v>30</v>
      </c>
      <c r="AC773">
        <v>20</v>
      </c>
      <c r="AD773" t="s">
        <v>26</v>
      </c>
      <c r="AE773">
        <v>5.8729484961065101E-2</v>
      </c>
    </row>
    <row r="774" spans="25:31" x14ac:dyDescent="0.3">
      <c r="Y774" t="str">
        <f t="shared" si="36"/>
        <v>Pass</v>
      </c>
      <c r="Z774">
        <f t="shared" si="37"/>
        <v>0.37013262510299683</v>
      </c>
      <c r="AA774">
        <v>30</v>
      </c>
      <c r="AB774">
        <v>30</v>
      </c>
      <c r="AC774">
        <v>30</v>
      </c>
      <c r="AD774" t="s">
        <v>24</v>
      </c>
      <c r="AE774">
        <v>0.37013259780658703</v>
      </c>
    </row>
    <row r="775" spans="25:31" x14ac:dyDescent="0.3">
      <c r="Y775" t="str">
        <f t="shared" ref="Y775:Y838" si="38">IF(ISBLANK(Z775),"",IF(ROUND(Z775,0)=ROUND(AE775,0),"Pass","Fail"))</f>
        <v>Pass</v>
      </c>
      <c r="Z775">
        <f t="shared" ref="Z775:Z838" si="39">ROS_grass(AA775,AB775,AC775,AD775)</f>
        <v>0.31332072615623474</v>
      </c>
      <c r="AA775">
        <v>30</v>
      </c>
      <c r="AB775">
        <v>30</v>
      </c>
      <c r="AC775">
        <v>30</v>
      </c>
      <c r="AD775" t="s">
        <v>25</v>
      </c>
      <c r="AE775">
        <v>0.31332070608319801</v>
      </c>
    </row>
    <row r="776" spans="25:31" x14ac:dyDescent="0.3">
      <c r="Y776" t="str">
        <f t="shared" si="38"/>
        <v>Pass</v>
      </c>
      <c r="Z776">
        <f t="shared" si="39"/>
        <v>0.15646147727966309</v>
      </c>
      <c r="AA776">
        <v>30</v>
      </c>
      <c r="AB776">
        <v>30</v>
      </c>
      <c r="AC776">
        <v>30</v>
      </c>
      <c r="AD776" t="s">
        <v>26</v>
      </c>
      <c r="AE776">
        <v>0.15646146963926799</v>
      </c>
    </row>
    <row r="777" spans="25:31" x14ac:dyDescent="0.3">
      <c r="Y777" t="str">
        <f t="shared" si="38"/>
        <v>Pass</v>
      </c>
      <c r="Z777">
        <f t="shared" si="39"/>
        <v>0.96049374341964722</v>
      </c>
      <c r="AA777">
        <v>30</v>
      </c>
      <c r="AB777">
        <v>30</v>
      </c>
      <c r="AC777">
        <v>40</v>
      </c>
      <c r="AD777" t="s">
        <v>24</v>
      </c>
      <c r="AE777">
        <v>0.96049372731334803</v>
      </c>
    </row>
    <row r="778" spans="25:31" x14ac:dyDescent="0.3">
      <c r="Y778" t="str">
        <f t="shared" si="38"/>
        <v>Pass</v>
      </c>
      <c r="Z778">
        <f t="shared" si="39"/>
        <v>0.81306689977645874</v>
      </c>
      <c r="AA778">
        <v>30</v>
      </c>
      <c r="AB778">
        <v>30</v>
      </c>
      <c r="AC778">
        <v>40</v>
      </c>
      <c r="AD778" t="s">
        <v>25</v>
      </c>
      <c r="AE778">
        <v>0.81306692416093995</v>
      </c>
    </row>
    <row r="779" spans="25:31" x14ac:dyDescent="0.3">
      <c r="Y779" t="str">
        <f t="shared" si="38"/>
        <v>Pass</v>
      </c>
      <c r="Z779">
        <f t="shared" si="39"/>
        <v>0.40601739287376404</v>
      </c>
      <c r="AA779">
        <v>30</v>
      </c>
      <c r="AB779">
        <v>30</v>
      </c>
      <c r="AC779">
        <v>40</v>
      </c>
      <c r="AD779" t="s">
        <v>26</v>
      </c>
      <c r="AE779">
        <v>0.40601735984700599</v>
      </c>
    </row>
    <row r="780" spans="25:31" x14ac:dyDescent="0.3">
      <c r="Y780" t="str">
        <f t="shared" si="38"/>
        <v>Pass</v>
      </c>
      <c r="Z780">
        <f t="shared" si="39"/>
        <v>2.3376452922821045</v>
      </c>
      <c r="AA780">
        <v>30</v>
      </c>
      <c r="AB780">
        <v>30</v>
      </c>
      <c r="AC780">
        <v>50</v>
      </c>
      <c r="AD780" t="s">
        <v>24</v>
      </c>
      <c r="AE780">
        <v>2.3376452064515001</v>
      </c>
    </row>
    <row r="781" spans="25:31" x14ac:dyDescent="0.3">
      <c r="Y781" t="str">
        <f t="shared" si="38"/>
        <v>Pass</v>
      </c>
      <c r="Z781">
        <f t="shared" si="39"/>
        <v>1.9788385629653931</v>
      </c>
      <c r="AA781">
        <v>30</v>
      </c>
      <c r="AB781">
        <v>30</v>
      </c>
      <c r="AC781">
        <v>50</v>
      </c>
      <c r="AD781" t="s">
        <v>25</v>
      </c>
      <c r="AE781">
        <v>1.9788385324551101</v>
      </c>
    </row>
    <row r="782" spans="25:31" x14ac:dyDescent="0.3">
      <c r="Y782" t="str">
        <f t="shared" si="38"/>
        <v>Pass</v>
      </c>
      <c r="Z782">
        <f t="shared" si="39"/>
        <v>0.98816323280334473</v>
      </c>
      <c r="AA782">
        <v>30</v>
      </c>
      <c r="AB782">
        <v>30</v>
      </c>
      <c r="AC782">
        <v>50</v>
      </c>
      <c r="AD782" t="s">
        <v>26</v>
      </c>
      <c r="AE782">
        <v>0.98816317899055905</v>
      </c>
    </row>
    <row r="783" spans="25:31" x14ac:dyDescent="0.3">
      <c r="Y783" t="str">
        <f t="shared" si="38"/>
        <v>Pass</v>
      </c>
      <c r="Z783">
        <f t="shared" si="39"/>
        <v>4.9692511558532715</v>
      </c>
      <c r="AA783">
        <v>30</v>
      </c>
      <c r="AB783">
        <v>30</v>
      </c>
      <c r="AC783">
        <v>60</v>
      </c>
      <c r="AD783" t="s">
        <v>24</v>
      </c>
      <c r="AE783">
        <v>4.9692506897638999</v>
      </c>
    </row>
    <row r="784" spans="25:31" x14ac:dyDescent="0.3">
      <c r="Y784" t="str">
        <f t="shared" si="38"/>
        <v>Pass</v>
      </c>
      <c r="Z784">
        <f t="shared" si="39"/>
        <v>4.206517219543457</v>
      </c>
      <c r="AA784">
        <v>30</v>
      </c>
      <c r="AB784">
        <v>30</v>
      </c>
      <c r="AC784">
        <v>60</v>
      </c>
      <c r="AD784" t="s">
        <v>25</v>
      </c>
      <c r="AE784">
        <v>4.2065171888341304</v>
      </c>
    </row>
    <row r="785" spans="25:31" x14ac:dyDescent="0.3">
      <c r="Y785" t="str">
        <f t="shared" si="38"/>
        <v>Pass</v>
      </c>
      <c r="Z785">
        <f t="shared" si="39"/>
        <v>2.1005885601043701</v>
      </c>
      <c r="AA785">
        <v>30</v>
      </c>
      <c r="AB785">
        <v>30</v>
      </c>
      <c r="AC785">
        <v>60</v>
      </c>
      <c r="AD785" t="s">
        <v>26</v>
      </c>
      <c r="AE785">
        <v>2.1005884662249699</v>
      </c>
    </row>
    <row r="786" spans="25:31" x14ac:dyDescent="0.3">
      <c r="Y786" t="str">
        <f t="shared" si="38"/>
        <v>Pass</v>
      </c>
      <c r="Z786">
        <f t="shared" si="39"/>
        <v>8.5060844421386719</v>
      </c>
      <c r="AA786">
        <v>30</v>
      </c>
      <c r="AB786">
        <v>30</v>
      </c>
      <c r="AC786">
        <v>70</v>
      </c>
      <c r="AD786" t="s">
        <v>24</v>
      </c>
      <c r="AE786">
        <v>8.5060833928024593</v>
      </c>
    </row>
    <row r="787" spans="25:31" x14ac:dyDescent="0.3">
      <c r="Y787" t="str">
        <f t="shared" si="38"/>
        <v>Pass</v>
      </c>
      <c r="Z787">
        <f t="shared" si="39"/>
        <v>7.2004795074462891</v>
      </c>
      <c r="AA787">
        <v>30</v>
      </c>
      <c r="AB787">
        <v>30</v>
      </c>
      <c r="AC787">
        <v>70</v>
      </c>
      <c r="AD787" t="s">
        <v>25</v>
      </c>
      <c r="AE787">
        <v>7.2004791537655697</v>
      </c>
    </row>
    <row r="788" spans="25:31" x14ac:dyDescent="0.3">
      <c r="Y788" t="str">
        <f t="shared" si="38"/>
        <v>Pass</v>
      </c>
      <c r="Z788">
        <f t="shared" si="39"/>
        <v>3.5956692695617676</v>
      </c>
      <c r="AA788">
        <v>30</v>
      </c>
      <c r="AB788">
        <v>30</v>
      </c>
      <c r="AC788">
        <v>70</v>
      </c>
      <c r="AD788" t="s">
        <v>26</v>
      </c>
      <c r="AE788">
        <v>3.59566900186265</v>
      </c>
    </row>
    <row r="789" spans="25:31" x14ac:dyDescent="0.3">
      <c r="Y789" t="str">
        <f t="shared" si="38"/>
        <v>Pass</v>
      </c>
      <c r="Z789">
        <f t="shared" si="39"/>
        <v>11.539702415466309</v>
      </c>
      <c r="AA789">
        <v>30</v>
      </c>
      <c r="AB789">
        <v>30</v>
      </c>
      <c r="AC789">
        <v>80</v>
      </c>
      <c r="AD789" t="s">
        <v>24</v>
      </c>
      <c r="AE789">
        <v>11.539701253683599</v>
      </c>
    </row>
    <row r="790" spans="25:31" x14ac:dyDescent="0.3">
      <c r="Y790" t="str">
        <f t="shared" si="38"/>
        <v>Pass</v>
      </c>
      <c r="Z790">
        <f t="shared" si="39"/>
        <v>9.7684659957885742</v>
      </c>
      <c r="AA790">
        <v>30</v>
      </c>
      <c r="AB790">
        <v>30</v>
      </c>
      <c r="AC790">
        <v>80</v>
      </c>
      <c r="AD790" t="s">
        <v>25</v>
      </c>
      <c r="AE790">
        <v>9.76846504798438</v>
      </c>
    </row>
    <row r="791" spans="25:31" x14ac:dyDescent="0.3">
      <c r="Y791" t="str">
        <f t="shared" si="38"/>
        <v>Pass</v>
      </c>
      <c r="Z791">
        <f t="shared" si="39"/>
        <v>4.8780326843261719</v>
      </c>
      <c r="AA791">
        <v>30</v>
      </c>
      <c r="AB791">
        <v>30</v>
      </c>
      <c r="AC791">
        <v>80</v>
      </c>
      <c r="AD791" t="s">
        <v>26</v>
      </c>
      <c r="AE791">
        <v>4.8780318946479602</v>
      </c>
    </row>
    <row r="792" spans="25:31" x14ac:dyDescent="0.3">
      <c r="Y792" t="str">
        <f t="shared" si="38"/>
        <v>Pass</v>
      </c>
      <c r="Z792">
        <f t="shared" si="39"/>
        <v>13.290404319763184</v>
      </c>
      <c r="AA792">
        <v>30</v>
      </c>
      <c r="AB792">
        <v>30</v>
      </c>
      <c r="AC792">
        <v>90</v>
      </c>
      <c r="AD792" t="s">
        <v>24</v>
      </c>
      <c r="AE792">
        <v>13.2904026175678</v>
      </c>
    </row>
    <row r="793" spans="25:31" x14ac:dyDescent="0.3">
      <c r="Y793" t="str">
        <f t="shared" si="38"/>
        <v>Pass</v>
      </c>
      <c r="Z793">
        <f t="shared" si="39"/>
        <v>11.25045108795166</v>
      </c>
      <c r="AA793">
        <v>30</v>
      </c>
      <c r="AB793">
        <v>30</v>
      </c>
      <c r="AC793">
        <v>90</v>
      </c>
      <c r="AD793" t="s">
        <v>25</v>
      </c>
      <c r="AE793">
        <v>11.250450127719599</v>
      </c>
    </row>
    <row r="794" spans="25:31" x14ac:dyDescent="0.3">
      <c r="Y794" t="str">
        <f t="shared" si="38"/>
        <v>Pass</v>
      </c>
      <c r="Z794">
        <f t="shared" si="39"/>
        <v>5.6180844306945801</v>
      </c>
      <c r="AA794">
        <v>30</v>
      </c>
      <c r="AB794">
        <v>30</v>
      </c>
      <c r="AC794">
        <v>90</v>
      </c>
      <c r="AD794" t="s">
        <v>26</v>
      </c>
      <c r="AE794">
        <v>5.6180837298984496</v>
      </c>
    </row>
    <row r="795" spans="25:31" x14ac:dyDescent="0.3">
      <c r="Y795" t="str">
        <f t="shared" si="38"/>
        <v>Pass</v>
      </c>
      <c r="Z795">
        <f t="shared" si="39"/>
        <v>14.079340934753418</v>
      </c>
      <c r="AA795">
        <v>30</v>
      </c>
      <c r="AB795">
        <v>30</v>
      </c>
      <c r="AC795">
        <v>100</v>
      </c>
      <c r="AD795" t="s">
        <v>24</v>
      </c>
      <c r="AE795">
        <v>14.079339927521101</v>
      </c>
    </row>
    <row r="796" spans="25:31" x14ac:dyDescent="0.3">
      <c r="Y796" t="str">
        <f t="shared" si="38"/>
        <v>Pass</v>
      </c>
      <c r="Z796">
        <f t="shared" si="39"/>
        <v>11.918293952941895</v>
      </c>
      <c r="AA796">
        <v>30</v>
      </c>
      <c r="AB796">
        <v>30</v>
      </c>
      <c r="AC796">
        <v>100</v>
      </c>
      <c r="AD796" t="s">
        <v>25</v>
      </c>
      <c r="AE796">
        <v>11.918292939930099</v>
      </c>
    </row>
    <row r="797" spans="25:31" x14ac:dyDescent="0.3">
      <c r="Y797" t="str">
        <f t="shared" si="38"/>
        <v>Pass</v>
      </c>
      <c r="Z797">
        <f t="shared" si="39"/>
        <v>5.9515819549560547</v>
      </c>
      <c r="AA797">
        <v>30</v>
      </c>
      <c r="AB797">
        <v>30</v>
      </c>
      <c r="AC797">
        <v>100</v>
      </c>
      <c r="AD797" t="s">
        <v>26</v>
      </c>
      <c r="AE797">
        <v>5.9515812162048096</v>
      </c>
    </row>
    <row r="798" spans="25:31" x14ac:dyDescent="0.3">
      <c r="Y798" t="str">
        <f t="shared" si="38"/>
        <v>Pass</v>
      </c>
      <c r="Z798">
        <f t="shared" si="39"/>
        <v>14.430526733398438</v>
      </c>
      <c r="AA798">
        <v>40</v>
      </c>
      <c r="AB798">
        <v>5</v>
      </c>
      <c r="AC798">
        <v>0</v>
      </c>
      <c r="AD798" t="s">
        <v>24</v>
      </c>
      <c r="AE798">
        <v>14.4305281945506</v>
      </c>
    </row>
    <row r="799" spans="25:31" x14ac:dyDescent="0.3">
      <c r="Y799" t="str">
        <f t="shared" si="38"/>
        <v>Pass</v>
      </c>
      <c r="Z799">
        <f t="shared" si="39"/>
        <v>12.237686157226563</v>
      </c>
      <c r="AA799">
        <v>40</v>
      </c>
      <c r="AB799">
        <v>5</v>
      </c>
      <c r="AC799">
        <v>0</v>
      </c>
      <c r="AD799" t="s">
        <v>25</v>
      </c>
      <c r="AE799">
        <v>12.237686739739299</v>
      </c>
    </row>
    <row r="800" spans="25:31" x14ac:dyDescent="0.3">
      <c r="Y800" t="str">
        <f t="shared" si="38"/>
        <v>Pass</v>
      </c>
      <c r="Z800">
        <f t="shared" si="39"/>
        <v>6.110893726348877</v>
      </c>
      <c r="AA800">
        <v>40</v>
      </c>
      <c r="AB800">
        <v>5</v>
      </c>
      <c r="AC800">
        <v>0</v>
      </c>
      <c r="AD800" t="s">
        <v>26</v>
      </c>
      <c r="AE800">
        <v>6.1108939985209698</v>
      </c>
    </row>
    <row r="801" spans="25:31" x14ac:dyDescent="0.3">
      <c r="Y801" t="str">
        <f t="shared" si="38"/>
        <v>Pass</v>
      </c>
      <c r="Z801">
        <f t="shared" si="39"/>
        <v>38.982440948486328</v>
      </c>
      <c r="AA801">
        <v>40</v>
      </c>
      <c r="AB801">
        <v>5</v>
      </c>
      <c r="AC801">
        <v>10</v>
      </c>
      <c r="AD801" t="s">
        <v>24</v>
      </c>
      <c r="AE801">
        <v>38.982446122248497</v>
      </c>
    </row>
    <row r="802" spans="25:31" x14ac:dyDescent="0.3">
      <c r="Y802" t="str">
        <f t="shared" si="38"/>
        <v>Pass</v>
      </c>
      <c r="Z802">
        <f t="shared" si="39"/>
        <v>33.058731079101563</v>
      </c>
      <c r="AA802">
        <v>40</v>
      </c>
      <c r="AB802">
        <v>5</v>
      </c>
      <c r="AC802">
        <v>10</v>
      </c>
      <c r="AD802" t="s">
        <v>25</v>
      </c>
      <c r="AE802">
        <v>33.0587319854992</v>
      </c>
    </row>
    <row r="803" spans="25:31" x14ac:dyDescent="0.3">
      <c r="Y803" t="str">
        <f t="shared" si="38"/>
        <v>Pass</v>
      </c>
      <c r="Z803">
        <f t="shared" si="39"/>
        <v>16.507890701293945</v>
      </c>
      <c r="AA803">
        <v>40</v>
      </c>
      <c r="AB803">
        <v>5</v>
      </c>
      <c r="AC803">
        <v>10</v>
      </c>
      <c r="AD803" t="s">
        <v>26</v>
      </c>
      <c r="AE803">
        <v>16.507891661656</v>
      </c>
    </row>
    <row r="804" spans="25:31" x14ac:dyDescent="0.3">
      <c r="Y804" t="str">
        <f t="shared" si="38"/>
        <v>Pass</v>
      </c>
      <c r="Z804">
        <f t="shared" si="39"/>
        <v>104.90828704833984</v>
      </c>
      <c r="AA804">
        <v>40</v>
      </c>
      <c r="AB804">
        <v>5</v>
      </c>
      <c r="AC804">
        <v>20</v>
      </c>
      <c r="AD804" t="s">
        <v>24</v>
      </c>
      <c r="AE804">
        <v>104.908291007212</v>
      </c>
    </row>
    <row r="805" spans="25:31" x14ac:dyDescent="0.3">
      <c r="Y805" t="str">
        <f t="shared" si="38"/>
        <v>Pass</v>
      </c>
      <c r="Z805">
        <f t="shared" si="39"/>
        <v>88.966583251953125</v>
      </c>
      <c r="AA805">
        <v>40</v>
      </c>
      <c r="AB805">
        <v>5</v>
      </c>
      <c r="AC805">
        <v>20</v>
      </c>
      <c r="AD805" t="s">
        <v>25</v>
      </c>
      <c r="AE805">
        <v>88.966584205315698</v>
      </c>
    </row>
    <row r="806" spans="25:31" x14ac:dyDescent="0.3">
      <c r="Y806" t="str">
        <f t="shared" si="38"/>
        <v>Pass</v>
      </c>
      <c r="Z806">
        <f t="shared" si="39"/>
        <v>44.425502777099609</v>
      </c>
      <c r="AA806">
        <v>40</v>
      </c>
      <c r="AB806">
        <v>5</v>
      </c>
      <c r="AC806">
        <v>20</v>
      </c>
      <c r="AD806" t="s">
        <v>26</v>
      </c>
      <c r="AE806">
        <v>44.425501081322501</v>
      </c>
    </row>
    <row r="807" spans="25:31" x14ac:dyDescent="0.3">
      <c r="Y807" t="str">
        <f t="shared" si="38"/>
        <v>Pass</v>
      </c>
      <c r="Z807">
        <f t="shared" si="39"/>
        <v>279.48660278320313</v>
      </c>
      <c r="AA807">
        <v>40</v>
      </c>
      <c r="AB807">
        <v>5</v>
      </c>
      <c r="AC807">
        <v>30</v>
      </c>
      <c r="AD807" t="s">
        <v>24</v>
      </c>
      <c r="AE807">
        <v>279.486622421672</v>
      </c>
    </row>
    <row r="808" spans="25:31" x14ac:dyDescent="0.3">
      <c r="Y808" t="str">
        <f t="shared" si="38"/>
        <v>Pass</v>
      </c>
      <c r="Z808">
        <f t="shared" si="39"/>
        <v>237.0162353515625</v>
      </c>
      <c r="AA808">
        <v>40</v>
      </c>
      <c r="AB808">
        <v>5</v>
      </c>
      <c r="AC808">
        <v>30</v>
      </c>
      <c r="AD808" t="s">
        <v>25</v>
      </c>
      <c r="AE808">
        <v>237.01625380807499</v>
      </c>
    </row>
    <row r="809" spans="25:31" x14ac:dyDescent="0.3">
      <c r="Y809" t="str">
        <f t="shared" si="38"/>
        <v>Pass</v>
      </c>
      <c r="Z809">
        <f t="shared" si="39"/>
        <v>118.35416412353516</v>
      </c>
      <c r="AA809">
        <v>40</v>
      </c>
      <c r="AB809">
        <v>5</v>
      </c>
      <c r="AC809">
        <v>30</v>
      </c>
      <c r="AD809" t="s">
        <v>26</v>
      </c>
      <c r="AE809">
        <v>118.354165599319</v>
      </c>
    </row>
    <row r="810" spans="25:31" x14ac:dyDescent="0.3">
      <c r="Y810" t="str">
        <f t="shared" si="38"/>
        <v>Pass</v>
      </c>
      <c r="Z810">
        <f t="shared" si="39"/>
        <v>725.26739501953125</v>
      </c>
      <c r="AA810">
        <v>40</v>
      </c>
      <c r="AB810">
        <v>5</v>
      </c>
      <c r="AC810">
        <v>40</v>
      </c>
      <c r="AD810" t="s">
        <v>24</v>
      </c>
      <c r="AE810">
        <v>725.26751033229903</v>
      </c>
    </row>
    <row r="811" spans="25:31" x14ac:dyDescent="0.3">
      <c r="Y811" t="str">
        <f t="shared" si="38"/>
        <v>Pass</v>
      </c>
      <c r="Z811">
        <f t="shared" si="39"/>
        <v>615.056884765625</v>
      </c>
      <c r="AA811">
        <v>40</v>
      </c>
      <c r="AB811">
        <v>5</v>
      </c>
      <c r="AC811">
        <v>40</v>
      </c>
      <c r="AD811" t="s">
        <v>25</v>
      </c>
      <c r="AE811">
        <v>615.05694554610602</v>
      </c>
    </row>
    <row r="812" spans="25:31" x14ac:dyDescent="0.3">
      <c r="Y812" t="str">
        <f t="shared" si="38"/>
        <v>Pass</v>
      </c>
      <c r="Z812">
        <f t="shared" si="39"/>
        <v>307.12893676757813</v>
      </c>
      <c r="AA812">
        <v>40</v>
      </c>
      <c r="AB812">
        <v>5</v>
      </c>
      <c r="AC812">
        <v>40</v>
      </c>
      <c r="AD812" t="s">
        <v>26</v>
      </c>
      <c r="AE812">
        <v>307.12894333871498</v>
      </c>
    </row>
    <row r="813" spans="25:31" x14ac:dyDescent="0.3">
      <c r="Y813" t="str">
        <f t="shared" si="38"/>
        <v>Pass</v>
      </c>
      <c r="Z813">
        <f t="shared" si="39"/>
        <v>1765.1524658203125</v>
      </c>
      <c r="AA813">
        <v>40</v>
      </c>
      <c r="AB813">
        <v>5</v>
      </c>
      <c r="AC813">
        <v>50</v>
      </c>
      <c r="AD813" t="s">
        <v>24</v>
      </c>
      <c r="AE813">
        <v>1765.15272376183</v>
      </c>
    </row>
    <row r="814" spans="25:31" x14ac:dyDescent="0.3">
      <c r="Y814" t="str">
        <f t="shared" si="38"/>
        <v>Pass</v>
      </c>
      <c r="Z814">
        <f t="shared" si="39"/>
        <v>1496.922607421875</v>
      </c>
      <c r="AA814">
        <v>40</v>
      </c>
      <c r="AB814">
        <v>5</v>
      </c>
      <c r="AC814">
        <v>50</v>
      </c>
      <c r="AD814" t="s">
        <v>25</v>
      </c>
      <c r="AE814">
        <v>1496.9227591649801</v>
      </c>
    </row>
    <row r="815" spans="25:31" x14ac:dyDescent="0.3">
      <c r="Y815" t="str">
        <f t="shared" si="38"/>
        <v>Pass</v>
      </c>
      <c r="Z815">
        <f t="shared" si="39"/>
        <v>747.48895263671875</v>
      </c>
      <c r="AA815">
        <v>40</v>
      </c>
      <c r="AB815">
        <v>5</v>
      </c>
      <c r="AC815">
        <v>50</v>
      </c>
      <c r="AD815" t="s">
        <v>26</v>
      </c>
      <c r="AE815">
        <v>747.48900668670296</v>
      </c>
    </row>
    <row r="816" spans="25:31" x14ac:dyDescent="0.3">
      <c r="Y816" t="str">
        <f t="shared" si="38"/>
        <v>Pass</v>
      </c>
      <c r="Z816">
        <f t="shared" si="39"/>
        <v>3752.274169921875</v>
      </c>
      <c r="AA816">
        <v>40</v>
      </c>
      <c r="AB816">
        <v>5</v>
      </c>
      <c r="AC816">
        <v>60</v>
      </c>
      <c r="AD816" t="s">
        <v>24</v>
      </c>
      <c r="AE816">
        <v>3752.2744537470098</v>
      </c>
    </row>
    <row r="817" spans="25:31" x14ac:dyDescent="0.3">
      <c r="Y817" t="str">
        <f t="shared" si="38"/>
        <v>Pass</v>
      </c>
      <c r="Z817">
        <f t="shared" si="39"/>
        <v>3182.084228515625</v>
      </c>
      <c r="AA817">
        <v>40</v>
      </c>
      <c r="AB817">
        <v>5</v>
      </c>
      <c r="AC817">
        <v>60</v>
      </c>
      <c r="AD817" t="s">
        <v>25</v>
      </c>
      <c r="AE817">
        <v>3182.0844467649099</v>
      </c>
    </row>
    <row r="818" spans="25:31" x14ac:dyDescent="0.3">
      <c r="Y818" t="str">
        <f t="shared" si="38"/>
        <v>Pass</v>
      </c>
      <c r="Z818">
        <f t="shared" si="39"/>
        <v>1588.97509765625</v>
      </c>
      <c r="AA818">
        <v>40</v>
      </c>
      <c r="AB818">
        <v>5</v>
      </c>
      <c r="AC818">
        <v>60</v>
      </c>
      <c r="AD818" t="s">
        <v>26</v>
      </c>
      <c r="AE818">
        <v>1588.9752011201499</v>
      </c>
    </row>
    <row r="819" spans="25:31" x14ac:dyDescent="0.3">
      <c r="Y819" t="str">
        <f t="shared" si="38"/>
        <v>Pass</v>
      </c>
      <c r="Z819">
        <f t="shared" si="39"/>
        <v>6422.931640625</v>
      </c>
      <c r="AA819">
        <v>40</v>
      </c>
      <c r="AB819">
        <v>5</v>
      </c>
      <c r="AC819">
        <v>70</v>
      </c>
      <c r="AD819" t="s">
        <v>24</v>
      </c>
      <c r="AE819">
        <v>6422.9320291689401</v>
      </c>
    </row>
    <row r="820" spans="25:31" x14ac:dyDescent="0.3">
      <c r="Y820" t="str">
        <f t="shared" si="38"/>
        <v>Pass</v>
      </c>
      <c r="Z820">
        <f t="shared" si="39"/>
        <v>5446.91259765625</v>
      </c>
      <c r="AA820">
        <v>40</v>
      </c>
      <c r="AB820">
        <v>5</v>
      </c>
      <c r="AC820">
        <v>70</v>
      </c>
      <c r="AD820" t="s">
        <v>25</v>
      </c>
      <c r="AE820">
        <v>5446.9128963200001</v>
      </c>
    </row>
    <row r="821" spans="25:31" x14ac:dyDescent="0.3">
      <c r="Y821" t="str">
        <f t="shared" si="38"/>
        <v>Pass</v>
      </c>
      <c r="Z821">
        <f t="shared" si="39"/>
        <v>2719.918212890625</v>
      </c>
      <c r="AA821">
        <v>40</v>
      </c>
      <c r="AB821">
        <v>5</v>
      </c>
      <c r="AC821">
        <v>70</v>
      </c>
      <c r="AD821" t="s">
        <v>26</v>
      </c>
      <c r="AE821">
        <v>2719.9182358950802</v>
      </c>
    </row>
    <row r="822" spans="25:31" x14ac:dyDescent="0.3">
      <c r="Y822" t="str">
        <f t="shared" si="38"/>
        <v>Pass</v>
      </c>
      <c r="Z822">
        <f t="shared" si="39"/>
        <v>8713.6123046875</v>
      </c>
      <c r="AA822">
        <v>40</v>
      </c>
      <c r="AB822">
        <v>5</v>
      </c>
      <c r="AC822">
        <v>80</v>
      </c>
      <c r="AD822" t="s">
        <v>24</v>
      </c>
      <c r="AE822">
        <v>8713.6127600209002</v>
      </c>
    </row>
    <row r="823" spans="25:31" x14ac:dyDescent="0.3">
      <c r="Y823" t="str">
        <f t="shared" si="38"/>
        <v>Pass</v>
      </c>
      <c r="Z823">
        <f t="shared" si="39"/>
        <v>7389.5048828125</v>
      </c>
      <c r="AA823">
        <v>40</v>
      </c>
      <c r="AB823">
        <v>5</v>
      </c>
      <c r="AC823">
        <v>80</v>
      </c>
      <c r="AD823" t="s">
        <v>25</v>
      </c>
      <c r="AE823">
        <v>7389.5052135928499</v>
      </c>
    </row>
    <row r="824" spans="25:31" x14ac:dyDescent="0.3">
      <c r="Y824" t="str">
        <f t="shared" si="38"/>
        <v>Pass</v>
      </c>
      <c r="Z824">
        <f t="shared" si="39"/>
        <v>3689.952392578125</v>
      </c>
      <c r="AA824">
        <v>40</v>
      </c>
      <c r="AB824">
        <v>5</v>
      </c>
      <c r="AC824">
        <v>80</v>
      </c>
      <c r="AD824" t="s">
        <v>26</v>
      </c>
      <c r="AE824">
        <v>3689.9525230653198</v>
      </c>
    </row>
    <row r="825" spans="25:31" x14ac:dyDescent="0.3">
      <c r="Y825" t="str">
        <f t="shared" si="38"/>
        <v>Pass</v>
      </c>
      <c r="Z825">
        <f t="shared" si="39"/>
        <v>10035.564453125</v>
      </c>
      <c r="AA825">
        <v>40</v>
      </c>
      <c r="AB825">
        <v>5</v>
      </c>
      <c r="AC825">
        <v>90</v>
      </c>
      <c r="AD825" t="s">
        <v>24</v>
      </c>
      <c r="AE825">
        <v>10035.564984603599</v>
      </c>
    </row>
    <row r="826" spans="25:31" x14ac:dyDescent="0.3">
      <c r="Y826" t="str">
        <f t="shared" si="38"/>
        <v>Pass</v>
      </c>
      <c r="Z826">
        <f t="shared" si="39"/>
        <v>8510.5751953125</v>
      </c>
      <c r="AA826">
        <v>40</v>
      </c>
      <c r="AB826">
        <v>5</v>
      </c>
      <c r="AC826">
        <v>90</v>
      </c>
      <c r="AD826" t="s">
        <v>25</v>
      </c>
      <c r="AE826">
        <v>8510.5755577438304</v>
      </c>
    </row>
    <row r="827" spans="25:31" x14ac:dyDescent="0.3">
      <c r="Y827" t="str">
        <f t="shared" si="38"/>
        <v>Pass</v>
      </c>
      <c r="Z827">
        <f t="shared" si="39"/>
        <v>4249.75927734375</v>
      </c>
      <c r="AA827">
        <v>40</v>
      </c>
      <c r="AB827">
        <v>5</v>
      </c>
      <c r="AC827">
        <v>90</v>
      </c>
      <c r="AD827" t="s">
        <v>26</v>
      </c>
      <c r="AE827">
        <v>4249.7594689112002</v>
      </c>
    </row>
    <row r="828" spans="25:31" x14ac:dyDescent="0.3">
      <c r="Y828" t="str">
        <f t="shared" si="38"/>
        <v>Pass</v>
      </c>
      <c r="Z828">
        <f t="shared" si="39"/>
        <v>10631.2900390625</v>
      </c>
      <c r="AA828">
        <v>40</v>
      </c>
      <c r="AB828">
        <v>5</v>
      </c>
      <c r="AC828">
        <v>100</v>
      </c>
      <c r="AD828" t="s">
        <v>24</v>
      </c>
      <c r="AE828">
        <v>10631.2904769487</v>
      </c>
    </row>
    <row r="829" spans="25:31" x14ac:dyDescent="0.3">
      <c r="Y829" t="str">
        <f t="shared" si="38"/>
        <v>Pass</v>
      </c>
      <c r="Z829">
        <f t="shared" si="39"/>
        <v>9015.775390625</v>
      </c>
      <c r="AA829">
        <v>40</v>
      </c>
      <c r="AB829">
        <v>5</v>
      </c>
      <c r="AC829">
        <v>100</v>
      </c>
      <c r="AD829" t="s">
        <v>25</v>
      </c>
      <c r="AE829">
        <v>9015.7754963675907</v>
      </c>
    </row>
    <row r="830" spans="25:31" x14ac:dyDescent="0.3">
      <c r="Y830" t="str">
        <f t="shared" si="38"/>
        <v>Pass</v>
      </c>
      <c r="Z830">
        <f t="shared" si="39"/>
        <v>4502.03125</v>
      </c>
      <c r="AA830">
        <v>40</v>
      </c>
      <c r="AB830">
        <v>5</v>
      </c>
      <c r="AC830">
        <v>100</v>
      </c>
      <c r="AD830" t="s">
        <v>26</v>
      </c>
      <c r="AE830">
        <v>4502.0312698361204</v>
      </c>
    </row>
    <row r="831" spans="25:31" x14ac:dyDescent="0.3">
      <c r="Y831" t="str">
        <f t="shared" si="38"/>
        <v>Pass</v>
      </c>
      <c r="Z831">
        <f t="shared" si="39"/>
        <v>8.4093647003173828</v>
      </c>
      <c r="AA831">
        <v>40</v>
      </c>
      <c r="AB831">
        <v>10</v>
      </c>
      <c r="AC831">
        <v>0</v>
      </c>
      <c r="AD831" t="s">
        <v>24</v>
      </c>
      <c r="AE831">
        <v>8.4093650862080001</v>
      </c>
    </row>
    <row r="832" spans="25:31" x14ac:dyDescent="0.3">
      <c r="Y832" t="str">
        <f t="shared" si="38"/>
        <v>Pass</v>
      </c>
      <c r="Z832">
        <f t="shared" si="39"/>
        <v>7.1314902305603027</v>
      </c>
      <c r="AA832">
        <v>40</v>
      </c>
      <c r="AB832">
        <v>10</v>
      </c>
      <c r="AC832">
        <v>0</v>
      </c>
      <c r="AD832" t="s">
        <v>25</v>
      </c>
      <c r="AE832">
        <v>7.13149056068342</v>
      </c>
    </row>
    <row r="833" spans="25:31" x14ac:dyDescent="0.3">
      <c r="Y833" t="str">
        <f t="shared" si="38"/>
        <v>Pass</v>
      </c>
      <c r="Z833">
        <f t="shared" si="39"/>
        <v>3.561112642288208</v>
      </c>
      <c r="AA833">
        <v>40</v>
      </c>
      <c r="AB833">
        <v>10</v>
      </c>
      <c r="AC833">
        <v>0</v>
      </c>
      <c r="AD833" t="s">
        <v>26</v>
      </c>
      <c r="AE833">
        <v>3.5611127980808002</v>
      </c>
    </row>
    <row r="834" spans="25:31" x14ac:dyDescent="0.3">
      <c r="Y834" t="str">
        <f t="shared" si="38"/>
        <v>Pass</v>
      </c>
      <c r="Z834">
        <f t="shared" si="39"/>
        <v>22.716951370239258</v>
      </c>
      <c r="AA834">
        <v>40</v>
      </c>
      <c r="AB834">
        <v>10</v>
      </c>
      <c r="AC834">
        <v>10</v>
      </c>
      <c r="AD834" t="s">
        <v>24</v>
      </c>
      <c r="AE834">
        <v>22.716952351003499</v>
      </c>
    </row>
    <row r="835" spans="25:31" x14ac:dyDescent="0.3">
      <c r="Y835" t="str">
        <f t="shared" si="38"/>
        <v>Pass</v>
      </c>
      <c r="Z835">
        <f t="shared" si="39"/>
        <v>19.264917373657227</v>
      </c>
      <c r="AA835">
        <v>40</v>
      </c>
      <c r="AB835">
        <v>10</v>
      </c>
      <c r="AC835">
        <v>10</v>
      </c>
      <c r="AD835" t="s">
        <v>25</v>
      </c>
      <c r="AE835">
        <v>19.264918290249799</v>
      </c>
    </row>
    <row r="836" spans="25:31" x14ac:dyDescent="0.3">
      <c r="Y836" t="str">
        <f t="shared" si="38"/>
        <v>Pass</v>
      </c>
      <c r="Z836">
        <f t="shared" si="39"/>
        <v>9.6199445724487305</v>
      </c>
      <c r="AA836">
        <v>40</v>
      </c>
      <c r="AB836">
        <v>10</v>
      </c>
      <c r="AC836">
        <v>10</v>
      </c>
      <c r="AD836" t="s">
        <v>26</v>
      </c>
      <c r="AE836">
        <v>9.6199450162092095</v>
      </c>
    </row>
    <row r="837" spans="25:31" x14ac:dyDescent="0.3">
      <c r="Y837" t="str">
        <f t="shared" si="38"/>
        <v>Pass</v>
      </c>
      <c r="Z837">
        <f t="shared" si="39"/>
        <v>61.135124206542969</v>
      </c>
      <c r="AA837">
        <v>40</v>
      </c>
      <c r="AB837">
        <v>10</v>
      </c>
      <c r="AC837">
        <v>20</v>
      </c>
      <c r="AD837" t="s">
        <v>24</v>
      </c>
      <c r="AE837">
        <v>61.135123243994997</v>
      </c>
    </row>
    <row r="838" spans="25:31" x14ac:dyDescent="0.3">
      <c r="Y838" t="str">
        <f t="shared" si="38"/>
        <v>Pass</v>
      </c>
      <c r="Z838">
        <f t="shared" si="39"/>
        <v>51.845119476318359</v>
      </c>
      <c r="AA838">
        <v>40</v>
      </c>
      <c r="AB838">
        <v>10</v>
      </c>
      <c r="AC838">
        <v>20</v>
      </c>
      <c r="AD838" t="s">
        <v>25</v>
      </c>
      <c r="AE838">
        <v>51.845121465331097</v>
      </c>
    </row>
    <row r="839" spans="25:31" x14ac:dyDescent="0.3">
      <c r="Y839" t="str">
        <f t="shared" ref="Y839:Y902" si="40">IF(ISBLANK(Z839),"",IF(ROUND(Z839,0)=ROUND(AE839,0),"Pass","Fail"))</f>
        <v>Pass</v>
      </c>
      <c r="Z839">
        <f t="shared" ref="Z839:Z902" si="41">ROS_grass(AA839,AB839,AC839,AD839)</f>
        <v>25.888883590698242</v>
      </c>
      <c r="AA839">
        <v>40</v>
      </c>
      <c r="AB839">
        <v>10</v>
      </c>
      <c r="AC839">
        <v>20</v>
      </c>
      <c r="AD839" t="s">
        <v>26</v>
      </c>
      <c r="AE839">
        <v>25.8888831159795</v>
      </c>
    </row>
    <row r="840" spans="25:31" x14ac:dyDescent="0.3">
      <c r="Y840" t="str">
        <f t="shared" si="40"/>
        <v>Pass</v>
      </c>
      <c r="Z840">
        <f t="shared" si="41"/>
        <v>162.87033081054688</v>
      </c>
      <c r="AA840">
        <v>40</v>
      </c>
      <c r="AB840">
        <v>10</v>
      </c>
      <c r="AC840">
        <v>30</v>
      </c>
      <c r="AD840" t="s">
        <v>24</v>
      </c>
      <c r="AE840">
        <v>162.870340778138</v>
      </c>
    </row>
    <row r="841" spans="25:31" x14ac:dyDescent="0.3">
      <c r="Y841" t="str">
        <f t="shared" si="40"/>
        <v>Pass</v>
      </c>
      <c r="Z841">
        <f t="shared" si="41"/>
        <v>138.12080383300781</v>
      </c>
      <c r="AA841">
        <v>40</v>
      </c>
      <c r="AB841">
        <v>10</v>
      </c>
      <c r="AC841">
        <v>30</v>
      </c>
      <c r="AD841" t="s">
        <v>25</v>
      </c>
      <c r="AE841">
        <v>138.12080769088601</v>
      </c>
    </row>
    <row r="842" spans="25:31" x14ac:dyDescent="0.3">
      <c r="Y842" t="str">
        <f t="shared" si="40"/>
        <v>Pass</v>
      </c>
      <c r="Z842">
        <f t="shared" si="41"/>
        <v>68.970680236816406</v>
      </c>
      <c r="AA842">
        <v>40</v>
      </c>
      <c r="AB842">
        <v>10</v>
      </c>
      <c r="AC842">
        <v>30</v>
      </c>
      <c r="AD842" t="s">
        <v>26</v>
      </c>
      <c r="AE842">
        <v>68.970683164184905</v>
      </c>
    </row>
    <row r="843" spans="25:31" x14ac:dyDescent="0.3">
      <c r="Y843" t="str">
        <f t="shared" si="40"/>
        <v>Pass</v>
      </c>
      <c r="Z843">
        <f t="shared" si="41"/>
        <v>422.64834594726563</v>
      </c>
      <c r="AA843">
        <v>40</v>
      </c>
      <c r="AB843">
        <v>10</v>
      </c>
      <c r="AC843">
        <v>40</v>
      </c>
      <c r="AD843" t="s">
        <v>24</v>
      </c>
      <c r="AE843">
        <v>422.64837414978098</v>
      </c>
    </row>
    <row r="844" spans="25:31" x14ac:dyDescent="0.3">
      <c r="Y844" t="str">
        <f t="shared" si="40"/>
        <v>Pass</v>
      </c>
      <c r="Z844">
        <f t="shared" si="41"/>
        <v>358.42333984375</v>
      </c>
      <c r="AA844">
        <v>40</v>
      </c>
      <c r="AB844">
        <v>10</v>
      </c>
      <c r="AC844">
        <v>40</v>
      </c>
      <c r="AD844" t="s">
        <v>25</v>
      </c>
      <c r="AE844">
        <v>358.423360127477</v>
      </c>
    </row>
    <row r="845" spans="25:31" x14ac:dyDescent="0.3">
      <c r="Y845" t="str">
        <f t="shared" si="40"/>
        <v>Pass</v>
      </c>
      <c r="Z845">
        <f t="shared" si="41"/>
        <v>178.97885131835938</v>
      </c>
      <c r="AA845">
        <v>40</v>
      </c>
      <c r="AB845">
        <v>10</v>
      </c>
      <c r="AC845">
        <v>40</v>
      </c>
      <c r="AD845" t="s">
        <v>26</v>
      </c>
      <c r="AE845">
        <v>178.97885498410599</v>
      </c>
    </row>
    <row r="846" spans="25:31" x14ac:dyDescent="0.3">
      <c r="Y846" t="str">
        <f t="shared" si="40"/>
        <v>Pass</v>
      </c>
      <c r="Z846">
        <f t="shared" si="41"/>
        <v>1028.6395263671875</v>
      </c>
      <c r="AA846">
        <v>40</v>
      </c>
      <c r="AB846">
        <v>10</v>
      </c>
      <c r="AC846">
        <v>50</v>
      </c>
      <c r="AD846" t="s">
        <v>24</v>
      </c>
      <c r="AE846">
        <v>1028.63966494539</v>
      </c>
    </row>
    <row r="847" spans="25:31" x14ac:dyDescent="0.3">
      <c r="Y847" t="str">
        <f t="shared" si="40"/>
        <v>Pass</v>
      </c>
      <c r="Z847">
        <f t="shared" si="41"/>
        <v>872.32904052734375</v>
      </c>
      <c r="AA847">
        <v>40</v>
      </c>
      <c r="AB847">
        <v>10</v>
      </c>
      <c r="AC847">
        <v>50</v>
      </c>
      <c r="AD847" t="s">
        <v>25</v>
      </c>
      <c r="AE847">
        <v>872.32912184224494</v>
      </c>
    </row>
    <row r="848" spans="25:31" x14ac:dyDescent="0.3">
      <c r="Y848" t="str">
        <f t="shared" si="40"/>
        <v>Pass</v>
      </c>
      <c r="Z848">
        <f t="shared" si="41"/>
        <v>435.597900390625</v>
      </c>
      <c r="AA848">
        <v>40</v>
      </c>
      <c r="AB848">
        <v>10</v>
      </c>
      <c r="AC848">
        <v>50</v>
      </c>
      <c r="AD848" t="s">
        <v>26</v>
      </c>
      <c r="AE848">
        <v>435.597912315445</v>
      </c>
    </row>
    <row r="849" spans="25:31" x14ac:dyDescent="0.3">
      <c r="Y849" t="str">
        <f t="shared" si="40"/>
        <v>Pass</v>
      </c>
      <c r="Z849">
        <f t="shared" si="41"/>
        <v>2186.63134765625</v>
      </c>
      <c r="AA849">
        <v>40</v>
      </c>
      <c r="AB849">
        <v>10</v>
      </c>
      <c r="AC849">
        <v>60</v>
      </c>
      <c r="AD849" t="s">
        <v>24</v>
      </c>
      <c r="AE849">
        <v>2186.63138034863</v>
      </c>
    </row>
    <row r="850" spans="25:31" x14ac:dyDescent="0.3">
      <c r="Y850" t="str">
        <f t="shared" si="40"/>
        <v>Pass</v>
      </c>
      <c r="Z850">
        <f t="shared" si="41"/>
        <v>1854.35400390625</v>
      </c>
      <c r="AA850">
        <v>40</v>
      </c>
      <c r="AB850">
        <v>10</v>
      </c>
      <c r="AC850">
        <v>60</v>
      </c>
      <c r="AD850" t="s">
        <v>25</v>
      </c>
      <c r="AE850">
        <v>1854.3541502587</v>
      </c>
    </row>
    <row r="851" spans="25:31" x14ac:dyDescent="0.3">
      <c r="Y851" t="str">
        <f t="shared" si="40"/>
        <v>Pass</v>
      </c>
      <c r="Z851">
        <f t="shared" si="41"/>
        <v>925.97247314453125</v>
      </c>
      <c r="AA851">
        <v>40</v>
      </c>
      <c r="AB851">
        <v>10</v>
      </c>
      <c r="AC851">
        <v>60</v>
      </c>
      <c r="AD851" t="s">
        <v>26</v>
      </c>
      <c r="AE851">
        <v>925.97252151837699</v>
      </c>
    </row>
    <row r="852" spans="25:31" x14ac:dyDescent="0.3">
      <c r="Y852" t="str">
        <f t="shared" si="40"/>
        <v>Pass</v>
      </c>
      <c r="Z852">
        <f t="shared" si="41"/>
        <v>3742.9521484375</v>
      </c>
      <c r="AA852">
        <v>40</v>
      </c>
      <c r="AB852">
        <v>10</v>
      </c>
      <c r="AC852">
        <v>70</v>
      </c>
      <c r="AD852" t="s">
        <v>24</v>
      </c>
      <c r="AE852">
        <v>3742.9524151151199</v>
      </c>
    </row>
    <row r="853" spans="25:31" x14ac:dyDescent="0.3">
      <c r="Y853" t="str">
        <f t="shared" si="40"/>
        <v>Pass</v>
      </c>
      <c r="Z853">
        <f t="shared" si="41"/>
        <v>3174.1787109375</v>
      </c>
      <c r="AA853">
        <v>40</v>
      </c>
      <c r="AB853">
        <v>10</v>
      </c>
      <c r="AC853">
        <v>70</v>
      </c>
      <c r="AD853" t="s">
        <v>25</v>
      </c>
      <c r="AE853">
        <v>3174.1789711638198</v>
      </c>
    </row>
    <row r="854" spans="25:31" x14ac:dyDescent="0.3">
      <c r="Y854" t="str">
        <f t="shared" si="40"/>
        <v>Pass</v>
      </c>
      <c r="Z854">
        <f t="shared" si="41"/>
        <v>1585.027587890625</v>
      </c>
      <c r="AA854">
        <v>40</v>
      </c>
      <c r="AB854">
        <v>10</v>
      </c>
      <c r="AC854">
        <v>70</v>
      </c>
      <c r="AD854" t="s">
        <v>26</v>
      </c>
      <c r="AE854">
        <v>1585.027598568</v>
      </c>
    </row>
    <row r="855" spans="25:31" x14ac:dyDescent="0.3">
      <c r="Y855" t="str">
        <f t="shared" si="40"/>
        <v>Pass</v>
      </c>
      <c r="Z855">
        <f t="shared" si="41"/>
        <v>5077.84228515625</v>
      </c>
      <c r="AA855">
        <v>40</v>
      </c>
      <c r="AB855">
        <v>10</v>
      </c>
      <c r="AC855">
        <v>80</v>
      </c>
      <c r="AD855" t="s">
        <v>24</v>
      </c>
      <c r="AE855">
        <v>5077.8426077658796</v>
      </c>
    </row>
    <row r="856" spans="25:31" x14ac:dyDescent="0.3">
      <c r="Y856" t="str">
        <f t="shared" si="40"/>
        <v>Pass</v>
      </c>
      <c r="Z856">
        <f t="shared" si="41"/>
        <v>4306.22119140625</v>
      </c>
      <c r="AA856">
        <v>40</v>
      </c>
      <c r="AB856">
        <v>10</v>
      </c>
      <c r="AC856">
        <v>80</v>
      </c>
      <c r="AD856" t="s">
        <v>25</v>
      </c>
      <c r="AE856">
        <v>4306.2212491297196</v>
      </c>
    </row>
    <row r="857" spans="25:31" x14ac:dyDescent="0.3">
      <c r="Y857" t="str">
        <f t="shared" si="40"/>
        <v>Pass</v>
      </c>
      <c r="Z857">
        <f t="shared" si="41"/>
        <v>2150.3134765625</v>
      </c>
      <c r="AA857">
        <v>40</v>
      </c>
      <c r="AB857">
        <v>10</v>
      </c>
      <c r="AC857">
        <v>80</v>
      </c>
      <c r="AD857" t="s">
        <v>26</v>
      </c>
      <c r="AE857">
        <v>2150.3133841593099</v>
      </c>
    </row>
    <row r="858" spans="25:31" x14ac:dyDescent="0.3">
      <c r="Y858" t="str">
        <f t="shared" si="40"/>
        <v>Pass</v>
      </c>
      <c r="Z858">
        <f t="shared" si="41"/>
        <v>5848.2080078125</v>
      </c>
      <c r="AA858">
        <v>40</v>
      </c>
      <c r="AB858">
        <v>10</v>
      </c>
      <c r="AC858">
        <v>90</v>
      </c>
      <c r="AD858" t="s">
        <v>24</v>
      </c>
      <c r="AE858">
        <v>5848.2079563633897</v>
      </c>
    </row>
    <row r="859" spans="25:31" x14ac:dyDescent="0.3">
      <c r="Y859" t="str">
        <f t="shared" si="40"/>
        <v>Pass</v>
      </c>
      <c r="Z859">
        <f t="shared" si="41"/>
        <v>4959.52294921875</v>
      </c>
      <c r="AA859">
        <v>40</v>
      </c>
      <c r="AB859">
        <v>10</v>
      </c>
      <c r="AC859">
        <v>90</v>
      </c>
      <c r="AD859" t="s">
        <v>25</v>
      </c>
      <c r="AE859">
        <v>4959.5230329720098</v>
      </c>
    </row>
    <row r="860" spans="25:31" x14ac:dyDescent="0.3">
      <c r="Y860" t="str">
        <f t="shared" si="40"/>
        <v>Pass</v>
      </c>
      <c r="Z860">
        <f t="shared" si="41"/>
        <v>2476.539794921875</v>
      </c>
      <c r="AA860">
        <v>40</v>
      </c>
      <c r="AB860">
        <v>10</v>
      </c>
      <c r="AC860">
        <v>90</v>
      </c>
      <c r="AD860" t="s">
        <v>26</v>
      </c>
      <c r="AE860">
        <v>2476.5399035178102</v>
      </c>
    </row>
    <row r="861" spans="25:31" x14ac:dyDescent="0.3">
      <c r="Y861" t="str">
        <f t="shared" si="40"/>
        <v>Pass</v>
      </c>
      <c r="Z861">
        <f t="shared" si="41"/>
        <v>6195.36572265625</v>
      </c>
      <c r="AA861">
        <v>40</v>
      </c>
      <c r="AB861">
        <v>10</v>
      </c>
      <c r="AC861">
        <v>100</v>
      </c>
      <c r="AD861" t="s">
        <v>24</v>
      </c>
      <c r="AE861">
        <v>6195.3659459220999</v>
      </c>
    </row>
    <row r="862" spans="25:31" x14ac:dyDescent="0.3">
      <c r="Y862" t="str">
        <f t="shared" si="40"/>
        <v>Pass</v>
      </c>
      <c r="Z862">
        <f t="shared" si="41"/>
        <v>5253.92724609375</v>
      </c>
      <c r="AA862">
        <v>40</v>
      </c>
      <c r="AB862">
        <v>10</v>
      </c>
      <c r="AC862">
        <v>100</v>
      </c>
      <c r="AD862" t="s">
        <v>25</v>
      </c>
      <c r="AE862">
        <v>5253.9274143044504</v>
      </c>
    </row>
    <row r="863" spans="25:31" x14ac:dyDescent="0.3">
      <c r="Y863" t="str">
        <f t="shared" si="40"/>
        <v>Pass</v>
      </c>
      <c r="Z863">
        <f t="shared" si="41"/>
        <v>2623.55078125</v>
      </c>
      <c r="AA863">
        <v>40</v>
      </c>
      <c r="AB863">
        <v>10</v>
      </c>
      <c r="AC863">
        <v>100</v>
      </c>
      <c r="AD863" t="s">
        <v>26</v>
      </c>
      <c r="AE863">
        <v>2623.5508546300498</v>
      </c>
    </row>
    <row r="864" spans="25:31" x14ac:dyDescent="0.3">
      <c r="Y864" t="str">
        <f t="shared" si="40"/>
        <v>Pass</v>
      </c>
      <c r="Z864">
        <f t="shared" si="41"/>
        <v>5.0763912200927734</v>
      </c>
      <c r="AA864">
        <v>40</v>
      </c>
      <c r="AB864">
        <v>15</v>
      </c>
      <c r="AC864">
        <v>0</v>
      </c>
      <c r="AD864" t="s">
        <v>24</v>
      </c>
      <c r="AE864">
        <v>5.0763915083942104</v>
      </c>
    </row>
    <row r="865" spans="25:31" x14ac:dyDescent="0.3">
      <c r="Y865" t="str">
        <f t="shared" si="40"/>
        <v>Pass</v>
      </c>
      <c r="Z865">
        <f t="shared" si="41"/>
        <v>4.304990291595459</v>
      </c>
      <c r="AA865">
        <v>40</v>
      </c>
      <c r="AB865">
        <v>15</v>
      </c>
      <c r="AC865">
        <v>0</v>
      </c>
      <c r="AD865" t="s">
        <v>25</v>
      </c>
      <c r="AE865">
        <v>4.3049906566455602</v>
      </c>
    </row>
    <row r="866" spans="25:31" x14ac:dyDescent="0.3">
      <c r="Y866" t="str">
        <f t="shared" si="40"/>
        <v>Pass</v>
      </c>
      <c r="Z866">
        <f t="shared" si="41"/>
        <v>2.1496989727020264</v>
      </c>
      <c r="AA866">
        <v>40</v>
      </c>
      <c r="AB866">
        <v>15</v>
      </c>
      <c r="AC866">
        <v>0</v>
      </c>
      <c r="AD866" t="s">
        <v>26</v>
      </c>
      <c r="AE866">
        <v>2.1496988872869802</v>
      </c>
    </row>
    <row r="867" spans="25:31" x14ac:dyDescent="0.3">
      <c r="Y867" t="str">
        <f t="shared" si="40"/>
        <v>Pass</v>
      </c>
      <c r="Z867">
        <f t="shared" si="41"/>
        <v>13.713298797607422</v>
      </c>
      <c r="AA867">
        <v>40</v>
      </c>
      <c r="AB867">
        <v>15</v>
      </c>
      <c r="AC867">
        <v>10</v>
      </c>
      <c r="AD867" t="s">
        <v>24</v>
      </c>
      <c r="AE867">
        <v>13.7132997353586</v>
      </c>
    </row>
    <row r="868" spans="25:31" x14ac:dyDescent="0.3">
      <c r="Y868" t="str">
        <f t="shared" si="40"/>
        <v>Pass</v>
      </c>
      <c r="Z868">
        <f t="shared" si="41"/>
        <v>11.629446983337402</v>
      </c>
      <c r="AA868">
        <v>40</v>
      </c>
      <c r="AB868">
        <v>15</v>
      </c>
      <c r="AC868">
        <v>10</v>
      </c>
      <c r="AD868" t="s">
        <v>25</v>
      </c>
      <c r="AE868">
        <v>11.6294472431605</v>
      </c>
    </row>
    <row r="869" spans="25:31" x14ac:dyDescent="0.3">
      <c r="Y869" t="str">
        <f t="shared" si="40"/>
        <v>Pass</v>
      </c>
      <c r="Z869">
        <f t="shared" si="41"/>
        <v>5.8071694374084473</v>
      </c>
      <c r="AA869">
        <v>40</v>
      </c>
      <c r="AB869">
        <v>15</v>
      </c>
      <c r="AC869">
        <v>10</v>
      </c>
      <c r="AD869" t="s">
        <v>26</v>
      </c>
      <c r="AE869">
        <v>5.80716935117922</v>
      </c>
    </row>
    <row r="870" spans="25:31" x14ac:dyDescent="0.3">
      <c r="Y870" t="str">
        <f t="shared" si="40"/>
        <v>Pass</v>
      </c>
      <c r="Z870">
        <f t="shared" si="41"/>
        <v>36.90478515625</v>
      </c>
      <c r="AA870">
        <v>40</v>
      </c>
      <c r="AB870">
        <v>15</v>
      </c>
      <c r="AC870">
        <v>20</v>
      </c>
      <c r="AD870" t="s">
        <v>24</v>
      </c>
      <c r="AE870">
        <v>36.904786190034798</v>
      </c>
    </row>
    <row r="871" spans="25:31" x14ac:dyDescent="0.3">
      <c r="Y871" t="str">
        <f t="shared" si="40"/>
        <v>Pass</v>
      </c>
      <c r="Z871">
        <f t="shared" si="41"/>
        <v>31.296791076660156</v>
      </c>
      <c r="AA871">
        <v>40</v>
      </c>
      <c r="AB871">
        <v>15</v>
      </c>
      <c r="AC871">
        <v>20</v>
      </c>
      <c r="AD871" t="s">
        <v>25</v>
      </c>
      <c r="AE871">
        <v>31.296790145301099</v>
      </c>
    </row>
    <row r="872" spans="25:31" x14ac:dyDescent="0.3">
      <c r="Y872" t="str">
        <f t="shared" si="40"/>
        <v>Pass</v>
      </c>
      <c r="Z872">
        <f t="shared" si="41"/>
        <v>15.628066062927246</v>
      </c>
      <c r="AA872">
        <v>40</v>
      </c>
      <c r="AB872">
        <v>15</v>
      </c>
      <c r="AC872">
        <v>20</v>
      </c>
      <c r="AD872" t="s">
        <v>26</v>
      </c>
      <c r="AE872">
        <v>15.6280652658678</v>
      </c>
    </row>
    <row r="873" spans="25:31" x14ac:dyDescent="0.3">
      <c r="Y873" t="str">
        <f t="shared" si="40"/>
        <v>Pass</v>
      </c>
      <c r="Z873">
        <f t="shared" si="41"/>
        <v>98.318191528320313</v>
      </c>
      <c r="AA873">
        <v>40</v>
      </c>
      <c r="AB873">
        <v>15</v>
      </c>
      <c r="AC873">
        <v>30</v>
      </c>
      <c r="AD873" t="s">
        <v>24</v>
      </c>
      <c r="AE873">
        <v>98.318197202713804</v>
      </c>
    </row>
    <row r="874" spans="25:31" x14ac:dyDescent="0.3">
      <c r="Y874" t="str">
        <f t="shared" si="40"/>
        <v>Pass</v>
      </c>
      <c r="Z874">
        <f t="shared" si="41"/>
        <v>83.377906799316406</v>
      </c>
      <c r="AA874">
        <v>40</v>
      </c>
      <c r="AB874">
        <v>15</v>
      </c>
      <c r="AC874">
        <v>30</v>
      </c>
      <c r="AD874" t="s">
        <v>25</v>
      </c>
      <c r="AE874">
        <v>83.377911186721207</v>
      </c>
    </row>
    <row r="875" spans="25:31" x14ac:dyDescent="0.3">
      <c r="Y875" t="str">
        <f t="shared" si="40"/>
        <v>Pass</v>
      </c>
      <c r="Z875">
        <f t="shared" si="41"/>
        <v>41.634796142578125</v>
      </c>
      <c r="AA875">
        <v>40</v>
      </c>
      <c r="AB875">
        <v>15</v>
      </c>
      <c r="AC875">
        <v>30</v>
      </c>
      <c r="AD875" t="s">
        <v>26</v>
      </c>
      <c r="AE875">
        <v>41.634794869001801</v>
      </c>
    </row>
    <row r="876" spans="25:31" x14ac:dyDescent="0.3">
      <c r="Y876" t="str">
        <f t="shared" si="40"/>
        <v>Pass</v>
      </c>
      <c r="Z876">
        <f t="shared" si="41"/>
        <v>255.13560485839844</v>
      </c>
      <c r="AA876">
        <v>40</v>
      </c>
      <c r="AB876">
        <v>15</v>
      </c>
      <c r="AC876">
        <v>40</v>
      </c>
      <c r="AD876" t="s">
        <v>24</v>
      </c>
      <c r="AE876">
        <v>255.13562505324001</v>
      </c>
    </row>
    <row r="877" spans="25:31" x14ac:dyDescent="0.3">
      <c r="Y877" t="str">
        <f t="shared" si="40"/>
        <v>Pass</v>
      </c>
      <c r="Z877">
        <f t="shared" si="41"/>
        <v>216.36558532714844</v>
      </c>
      <c r="AA877">
        <v>40</v>
      </c>
      <c r="AB877">
        <v>15</v>
      </c>
      <c r="AC877">
        <v>40</v>
      </c>
      <c r="AD877" t="s">
        <v>25</v>
      </c>
      <c r="AE877">
        <v>216.36559753427301</v>
      </c>
    </row>
    <row r="878" spans="25:31" x14ac:dyDescent="0.3">
      <c r="Y878" t="str">
        <f t="shared" si="40"/>
        <v>Pass</v>
      </c>
      <c r="Z878">
        <f t="shared" si="41"/>
        <v>108.04225158691406</v>
      </c>
      <c r="AA878">
        <v>40</v>
      </c>
      <c r="AB878">
        <v>15</v>
      </c>
      <c r="AC878">
        <v>40</v>
      </c>
      <c r="AD878" t="s">
        <v>26</v>
      </c>
      <c r="AE878">
        <v>108.042251740688</v>
      </c>
    </row>
    <row r="879" spans="25:31" x14ac:dyDescent="0.3">
      <c r="Y879" t="str">
        <f t="shared" si="40"/>
        <v>Pass</v>
      </c>
      <c r="Z879">
        <f t="shared" si="41"/>
        <v>620.9478759765625</v>
      </c>
      <c r="AA879">
        <v>40</v>
      </c>
      <c r="AB879">
        <v>15</v>
      </c>
      <c r="AC879">
        <v>50</v>
      </c>
      <c r="AD879" t="s">
        <v>24</v>
      </c>
      <c r="AE879">
        <v>620.947908289819</v>
      </c>
    </row>
    <row r="880" spans="25:31" x14ac:dyDescent="0.3">
      <c r="Y880" t="str">
        <f t="shared" si="40"/>
        <v>Pass</v>
      </c>
      <c r="Z880">
        <f t="shared" si="41"/>
        <v>526.58953857421875</v>
      </c>
      <c r="AA880">
        <v>40</v>
      </c>
      <c r="AB880">
        <v>15</v>
      </c>
      <c r="AC880">
        <v>50</v>
      </c>
      <c r="AD880" t="s">
        <v>25</v>
      </c>
      <c r="AE880">
        <v>526.58959401200002</v>
      </c>
    </row>
    <row r="881" spans="25:31" x14ac:dyDescent="0.3">
      <c r="Y881" t="str">
        <f t="shared" si="40"/>
        <v>Pass</v>
      </c>
      <c r="Z881">
        <f t="shared" si="41"/>
        <v>262.95272827148438</v>
      </c>
      <c r="AA881">
        <v>40</v>
      </c>
      <c r="AB881">
        <v>15</v>
      </c>
      <c r="AC881">
        <v>50</v>
      </c>
      <c r="AD881" t="s">
        <v>26</v>
      </c>
      <c r="AE881">
        <v>262.952734300835</v>
      </c>
    </row>
    <row r="882" spans="25:31" x14ac:dyDescent="0.3">
      <c r="Y882" t="str">
        <f t="shared" si="40"/>
        <v>Pass</v>
      </c>
      <c r="Z882">
        <f t="shared" si="41"/>
        <v>1319.9803466796875</v>
      </c>
      <c r="AA882">
        <v>40</v>
      </c>
      <c r="AB882">
        <v>15</v>
      </c>
      <c r="AC882">
        <v>60</v>
      </c>
      <c r="AD882" t="s">
        <v>24</v>
      </c>
      <c r="AE882">
        <v>1319.9803858433099</v>
      </c>
    </row>
    <row r="883" spans="25:31" x14ac:dyDescent="0.3">
      <c r="Y883" t="str">
        <f t="shared" si="40"/>
        <v>Pass</v>
      </c>
      <c r="Z883">
        <f t="shared" si="41"/>
        <v>1119.3980712890625</v>
      </c>
      <c r="AA883">
        <v>40</v>
      </c>
      <c r="AB883">
        <v>15</v>
      </c>
      <c r="AC883">
        <v>60</v>
      </c>
      <c r="AD883" t="s">
        <v>25</v>
      </c>
      <c r="AE883">
        <v>1119.39814307356</v>
      </c>
    </row>
    <row r="884" spans="25:31" x14ac:dyDescent="0.3">
      <c r="Y884" t="str">
        <f t="shared" si="40"/>
        <v>Pass</v>
      </c>
      <c r="Z884">
        <f t="shared" si="41"/>
        <v>558.971923828125</v>
      </c>
      <c r="AA884">
        <v>40</v>
      </c>
      <c r="AB884">
        <v>15</v>
      </c>
      <c r="AC884">
        <v>60</v>
      </c>
      <c r="AD884" t="s">
        <v>26</v>
      </c>
      <c r="AE884">
        <v>558.97193153756803</v>
      </c>
    </row>
    <row r="885" spans="25:31" x14ac:dyDescent="0.3">
      <c r="Y885" t="str">
        <f t="shared" si="40"/>
        <v>Pass</v>
      </c>
      <c r="Z885">
        <f t="shared" si="41"/>
        <v>2259.468017578125</v>
      </c>
      <c r="AA885">
        <v>40</v>
      </c>
      <c r="AB885">
        <v>15</v>
      </c>
      <c r="AC885">
        <v>70</v>
      </c>
      <c r="AD885" t="s">
        <v>24</v>
      </c>
      <c r="AE885">
        <v>2259.46806466716</v>
      </c>
    </row>
    <row r="886" spans="25:31" x14ac:dyDescent="0.3">
      <c r="Y886" t="str">
        <f t="shared" si="40"/>
        <v>Pass</v>
      </c>
      <c r="Z886">
        <f t="shared" si="41"/>
        <v>1916.1226806640625</v>
      </c>
      <c r="AA886">
        <v>40</v>
      </c>
      <c r="AB886">
        <v>15</v>
      </c>
      <c r="AC886">
        <v>70</v>
      </c>
      <c r="AD886" t="s">
        <v>25</v>
      </c>
      <c r="AE886">
        <v>1916.1226811007</v>
      </c>
    </row>
    <row r="887" spans="25:31" x14ac:dyDescent="0.3">
      <c r="Y887" t="str">
        <f t="shared" si="40"/>
        <v>Pass</v>
      </c>
      <c r="Z887">
        <f t="shared" si="41"/>
        <v>956.816650390625</v>
      </c>
      <c r="AA887">
        <v>40</v>
      </c>
      <c r="AB887">
        <v>15</v>
      </c>
      <c r="AC887">
        <v>70</v>
      </c>
      <c r="AD887" t="s">
        <v>26</v>
      </c>
      <c r="AE887">
        <v>956.81666326242896</v>
      </c>
    </row>
    <row r="888" spans="25:31" x14ac:dyDescent="0.3">
      <c r="Y888" t="str">
        <f t="shared" si="40"/>
        <v>Pass</v>
      </c>
      <c r="Z888">
        <f t="shared" si="41"/>
        <v>3065.286865234375</v>
      </c>
      <c r="AA888">
        <v>40</v>
      </c>
      <c r="AB888">
        <v>15</v>
      </c>
      <c r="AC888">
        <v>80</v>
      </c>
      <c r="AD888" t="s">
        <v>24</v>
      </c>
      <c r="AE888">
        <v>3065.2869545765702</v>
      </c>
    </row>
    <row r="889" spans="25:31" x14ac:dyDescent="0.3">
      <c r="Y889" t="str">
        <f t="shared" si="40"/>
        <v>Pass</v>
      </c>
      <c r="Z889">
        <f t="shared" si="41"/>
        <v>2599.490478515625</v>
      </c>
      <c r="AA889">
        <v>40</v>
      </c>
      <c r="AB889">
        <v>15</v>
      </c>
      <c r="AC889">
        <v>80</v>
      </c>
      <c r="AD889" t="s">
        <v>25</v>
      </c>
      <c r="AE889">
        <v>2599.4905392085998</v>
      </c>
    </row>
    <row r="890" spans="25:31" x14ac:dyDescent="0.3">
      <c r="Y890" t="str">
        <f t="shared" si="40"/>
        <v>Pass</v>
      </c>
      <c r="Z890">
        <f t="shared" si="41"/>
        <v>1298.0567626953125</v>
      </c>
      <c r="AA890">
        <v>40</v>
      </c>
      <c r="AB890">
        <v>15</v>
      </c>
      <c r="AC890">
        <v>80</v>
      </c>
      <c r="AD890" t="s">
        <v>26</v>
      </c>
      <c r="AE890">
        <v>1298.0566893968601</v>
      </c>
    </row>
    <row r="891" spans="25:31" x14ac:dyDescent="0.3">
      <c r="Y891" t="str">
        <f t="shared" si="40"/>
        <v>Pass</v>
      </c>
      <c r="Z891">
        <f t="shared" si="41"/>
        <v>3530.3251953125</v>
      </c>
      <c r="AA891">
        <v>40</v>
      </c>
      <c r="AB891">
        <v>15</v>
      </c>
      <c r="AC891">
        <v>90</v>
      </c>
      <c r="AD891" t="s">
        <v>24</v>
      </c>
      <c r="AE891">
        <v>3530.3251677938001</v>
      </c>
    </row>
    <row r="892" spans="25:31" x14ac:dyDescent="0.3">
      <c r="Y892" t="str">
        <f t="shared" si="40"/>
        <v>Pass</v>
      </c>
      <c r="Z892">
        <f t="shared" si="41"/>
        <v>2993.8623046875</v>
      </c>
      <c r="AA892">
        <v>40</v>
      </c>
      <c r="AB892">
        <v>15</v>
      </c>
      <c r="AC892">
        <v>90</v>
      </c>
      <c r="AD892" t="s">
        <v>25</v>
      </c>
      <c r="AE892">
        <v>2993.8622419373801</v>
      </c>
    </row>
    <row r="893" spans="25:31" x14ac:dyDescent="0.3">
      <c r="Y893" t="str">
        <f t="shared" si="40"/>
        <v>Pass</v>
      </c>
      <c r="Z893">
        <f t="shared" si="41"/>
        <v>1494.9864501953125</v>
      </c>
      <c r="AA893">
        <v>40</v>
      </c>
      <c r="AB893">
        <v>15</v>
      </c>
      <c r="AC893">
        <v>90</v>
      </c>
      <c r="AD893" t="s">
        <v>26</v>
      </c>
      <c r="AE893">
        <v>1494.9863643137701</v>
      </c>
    </row>
    <row r="894" spans="25:31" x14ac:dyDescent="0.3">
      <c r="Y894" t="str">
        <f t="shared" si="40"/>
        <v>Pass</v>
      </c>
      <c r="Z894">
        <f t="shared" si="41"/>
        <v>3739.89013671875</v>
      </c>
      <c r="AA894">
        <v>40</v>
      </c>
      <c r="AB894">
        <v>15</v>
      </c>
      <c r="AC894">
        <v>100</v>
      </c>
      <c r="AD894" t="s">
        <v>24</v>
      </c>
      <c r="AE894">
        <v>3739.8903195265202</v>
      </c>
    </row>
    <row r="895" spans="25:31" x14ac:dyDescent="0.3">
      <c r="Y895" t="str">
        <f t="shared" si="40"/>
        <v>Pass</v>
      </c>
      <c r="Z895">
        <f t="shared" si="41"/>
        <v>3171.582275390625</v>
      </c>
      <c r="AA895">
        <v>40</v>
      </c>
      <c r="AB895">
        <v>15</v>
      </c>
      <c r="AC895">
        <v>100</v>
      </c>
      <c r="AD895" t="s">
        <v>25</v>
      </c>
      <c r="AE895">
        <v>3171.5821870353998</v>
      </c>
    </row>
    <row r="896" spans="25:31" x14ac:dyDescent="0.3">
      <c r="Y896" t="str">
        <f t="shared" si="40"/>
        <v>Pass</v>
      </c>
      <c r="Z896">
        <f t="shared" si="41"/>
        <v>1583.73095703125</v>
      </c>
      <c r="AA896">
        <v>40</v>
      </c>
      <c r="AB896">
        <v>15</v>
      </c>
      <c r="AC896">
        <v>100</v>
      </c>
      <c r="AD896" t="s">
        <v>26</v>
      </c>
      <c r="AE896">
        <v>1583.7308933259601</v>
      </c>
    </row>
    <row r="897" spans="25:31" x14ac:dyDescent="0.3">
      <c r="Y897" t="str">
        <f t="shared" si="40"/>
        <v>Pass</v>
      </c>
      <c r="Z897">
        <f t="shared" si="41"/>
        <v>2.2534222602844238</v>
      </c>
      <c r="AA897">
        <v>40</v>
      </c>
      <c r="AB897">
        <v>20</v>
      </c>
      <c r="AC897">
        <v>0</v>
      </c>
      <c r="AD897" t="s">
        <v>24</v>
      </c>
      <c r="AE897">
        <v>2.2534225720188901</v>
      </c>
    </row>
    <row r="898" spans="25:31" x14ac:dyDescent="0.3">
      <c r="Y898" t="str">
        <f t="shared" si="40"/>
        <v>Pass</v>
      </c>
      <c r="Z898">
        <f t="shared" si="41"/>
        <v>1.9109957218170166</v>
      </c>
      <c r="AA898">
        <v>40</v>
      </c>
      <c r="AB898">
        <v>20</v>
      </c>
      <c r="AC898">
        <v>0</v>
      </c>
      <c r="AD898" t="s">
        <v>25</v>
      </c>
      <c r="AE898">
        <v>1.91099585246217</v>
      </c>
    </row>
    <row r="899" spans="25:31" x14ac:dyDescent="0.3">
      <c r="Y899" t="str">
        <f t="shared" si="40"/>
        <v>Pass</v>
      </c>
      <c r="Z899">
        <f t="shared" si="41"/>
        <v>0.95425653457641602</v>
      </c>
      <c r="AA899">
        <v>40</v>
      </c>
      <c r="AB899">
        <v>20</v>
      </c>
      <c r="AC899">
        <v>0</v>
      </c>
      <c r="AD899" t="s">
        <v>26</v>
      </c>
      <c r="AE899">
        <v>0.95425657923470997</v>
      </c>
    </row>
    <row r="900" spans="25:31" x14ac:dyDescent="0.3">
      <c r="Y900" t="str">
        <f t="shared" si="40"/>
        <v>Pass</v>
      </c>
      <c r="Z900">
        <f t="shared" si="41"/>
        <v>6.0873665809631348</v>
      </c>
      <c r="AA900">
        <v>40</v>
      </c>
      <c r="AB900">
        <v>20</v>
      </c>
      <c r="AC900">
        <v>10</v>
      </c>
      <c r="AD900" t="s">
        <v>24</v>
      </c>
      <c r="AE900">
        <v>6.0873671995982201</v>
      </c>
    </row>
    <row r="901" spans="25:31" x14ac:dyDescent="0.3">
      <c r="Y901" t="str">
        <f t="shared" si="40"/>
        <v>Pass</v>
      </c>
      <c r="Z901">
        <f t="shared" si="41"/>
        <v>5.1623396873474121</v>
      </c>
      <c r="AA901">
        <v>40</v>
      </c>
      <c r="AB901">
        <v>20</v>
      </c>
      <c r="AC901">
        <v>10</v>
      </c>
      <c r="AD901" t="s">
        <v>25</v>
      </c>
      <c r="AE901">
        <v>5.1623399957444596</v>
      </c>
    </row>
    <row r="902" spans="25:31" x14ac:dyDescent="0.3">
      <c r="Y902" t="str">
        <f t="shared" si="40"/>
        <v>Pass</v>
      </c>
      <c r="Z902">
        <f t="shared" si="41"/>
        <v>2.5778164863586426</v>
      </c>
      <c r="AA902">
        <v>40</v>
      </c>
      <c r="AB902">
        <v>20</v>
      </c>
      <c r="AC902">
        <v>10</v>
      </c>
      <c r="AD902" t="s">
        <v>26</v>
      </c>
      <c r="AE902">
        <v>2.5778166388161399</v>
      </c>
    </row>
    <row r="903" spans="25:31" x14ac:dyDescent="0.3">
      <c r="Y903" t="str">
        <f t="shared" ref="Y903:Y966" si="42">IF(ISBLANK(Z903),"",IF(ROUND(Z903,0)=ROUND(AE903,0),"Pass","Fail"))</f>
        <v>Pass</v>
      </c>
      <c r="Z903">
        <f t="shared" ref="Z903:Z966" si="43">ROS_grass(AA903,AB903,AC903,AD903)</f>
        <v>16.382123947143555</v>
      </c>
      <c r="AA903">
        <v>40</v>
      </c>
      <c r="AB903">
        <v>20</v>
      </c>
      <c r="AC903">
        <v>20</v>
      </c>
      <c r="AD903" t="s">
        <v>24</v>
      </c>
      <c r="AE903">
        <v>16.3821246014301</v>
      </c>
    </row>
    <row r="904" spans="25:31" x14ac:dyDescent="0.3">
      <c r="Y904" t="str">
        <f t="shared" si="42"/>
        <v>Pass</v>
      </c>
      <c r="Z904">
        <f t="shared" si="43"/>
        <v>13.892722129821777</v>
      </c>
      <c r="AA904">
        <v>40</v>
      </c>
      <c r="AB904">
        <v>20</v>
      </c>
      <c r="AC904">
        <v>20</v>
      </c>
      <c r="AD904" t="s">
        <v>25</v>
      </c>
      <c r="AE904">
        <v>13.8927214791336</v>
      </c>
    </row>
    <row r="905" spans="25:31" x14ac:dyDescent="0.3">
      <c r="Y905" t="str">
        <f t="shared" si="42"/>
        <v>Pass</v>
      </c>
      <c r="Z905">
        <f t="shared" si="43"/>
        <v>6.9373364448547363</v>
      </c>
      <c r="AA905">
        <v>40</v>
      </c>
      <c r="AB905">
        <v>20</v>
      </c>
      <c r="AC905">
        <v>20</v>
      </c>
      <c r="AD905" t="s">
        <v>26</v>
      </c>
      <c r="AE905">
        <v>6.9373362887510801</v>
      </c>
    </row>
    <row r="906" spans="25:31" x14ac:dyDescent="0.3">
      <c r="Y906" t="str">
        <f t="shared" si="42"/>
        <v>Pass</v>
      </c>
      <c r="Z906">
        <f t="shared" si="43"/>
        <v>43.643684387207031</v>
      </c>
      <c r="AA906">
        <v>40</v>
      </c>
      <c r="AB906">
        <v>20</v>
      </c>
      <c r="AC906">
        <v>30</v>
      </c>
      <c r="AD906" t="s">
        <v>24</v>
      </c>
      <c r="AE906">
        <v>43.643687538765597</v>
      </c>
    </row>
    <row r="907" spans="25:31" x14ac:dyDescent="0.3">
      <c r="Y907" t="str">
        <f t="shared" si="42"/>
        <v>Pass</v>
      </c>
      <c r="Z907">
        <f t="shared" si="43"/>
        <v>37.01165771484375</v>
      </c>
      <c r="AA907">
        <v>40</v>
      </c>
      <c r="AB907">
        <v>20</v>
      </c>
      <c r="AC907">
        <v>30</v>
      </c>
      <c r="AD907" t="s">
        <v>25</v>
      </c>
      <c r="AE907">
        <v>37.011658136544497</v>
      </c>
    </row>
    <row r="908" spans="25:31" x14ac:dyDescent="0.3">
      <c r="Y908" t="str">
        <f t="shared" si="42"/>
        <v>Pass</v>
      </c>
      <c r="Z908">
        <f t="shared" si="43"/>
        <v>18.481786727905273</v>
      </c>
      <c r="AA908">
        <v>40</v>
      </c>
      <c r="AB908">
        <v>20</v>
      </c>
      <c r="AC908">
        <v>30</v>
      </c>
      <c r="AD908" t="s">
        <v>26</v>
      </c>
      <c r="AE908">
        <v>18.481786990630098</v>
      </c>
    </row>
    <row r="909" spans="25:31" x14ac:dyDescent="0.3">
      <c r="Y909" t="str">
        <f t="shared" si="42"/>
        <v>Pass</v>
      </c>
      <c r="Z909">
        <f t="shared" si="43"/>
        <v>113.25531005859375</v>
      </c>
      <c r="AA909">
        <v>40</v>
      </c>
      <c r="AB909">
        <v>20</v>
      </c>
      <c r="AC909">
        <v>40</v>
      </c>
      <c r="AD909" t="s">
        <v>24</v>
      </c>
      <c r="AE909">
        <v>113.25532624314501</v>
      </c>
    </row>
    <row r="910" spans="25:31" x14ac:dyDescent="0.3">
      <c r="Y910" t="str">
        <f t="shared" si="42"/>
        <v>Pass</v>
      </c>
      <c r="Z910">
        <f t="shared" si="43"/>
        <v>96.045211791992188</v>
      </c>
      <c r="AA910">
        <v>40</v>
      </c>
      <c r="AB910">
        <v>20</v>
      </c>
      <c r="AC910">
        <v>40</v>
      </c>
      <c r="AD910" t="s">
        <v>25</v>
      </c>
      <c r="AE910">
        <v>96.045216466433502</v>
      </c>
    </row>
    <row r="911" spans="25:31" x14ac:dyDescent="0.3">
      <c r="Y911" t="str">
        <f t="shared" si="42"/>
        <v>Pass</v>
      </c>
      <c r="Z911">
        <f t="shared" si="43"/>
        <v>47.960216522216797</v>
      </c>
      <c r="AA911">
        <v>40</v>
      </c>
      <c r="AB911">
        <v>20</v>
      </c>
      <c r="AC911">
        <v>40</v>
      </c>
      <c r="AD911" t="s">
        <v>26</v>
      </c>
      <c r="AE911">
        <v>47.960219065378702</v>
      </c>
    </row>
    <row r="912" spans="25:31" x14ac:dyDescent="0.3">
      <c r="Y912" t="str">
        <f t="shared" si="42"/>
        <v>Pass</v>
      </c>
      <c r="Z912">
        <f t="shared" si="43"/>
        <v>275.6402587890625</v>
      </c>
      <c r="AA912">
        <v>40</v>
      </c>
      <c r="AB912">
        <v>20</v>
      </c>
      <c r="AC912">
        <v>50</v>
      </c>
      <c r="AD912" t="s">
        <v>24</v>
      </c>
      <c r="AE912">
        <v>275.64029099694397</v>
      </c>
    </row>
    <row r="913" spans="25:31" x14ac:dyDescent="0.3">
      <c r="Y913" t="str">
        <f t="shared" si="42"/>
        <v>Pass</v>
      </c>
      <c r="Z913">
        <f t="shared" si="43"/>
        <v>233.75439453125</v>
      </c>
      <c r="AA913">
        <v>40</v>
      </c>
      <c r="AB913">
        <v>20</v>
      </c>
      <c r="AC913">
        <v>50</v>
      </c>
      <c r="AD913" t="s">
        <v>25</v>
      </c>
      <c r="AE913">
        <v>233.75440514678999</v>
      </c>
    </row>
    <row r="914" spans="25:31" x14ac:dyDescent="0.3">
      <c r="Y914" t="str">
        <f t="shared" si="42"/>
        <v>Pass</v>
      </c>
      <c r="Z914">
        <f t="shared" si="43"/>
        <v>116.72534942626953</v>
      </c>
      <c r="AA914">
        <v>40</v>
      </c>
      <c r="AB914">
        <v>20</v>
      </c>
      <c r="AC914">
        <v>50</v>
      </c>
      <c r="AD914" t="s">
        <v>26</v>
      </c>
      <c r="AE914">
        <v>116.72536010427299</v>
      </c>
    </row>
    <row r="915" spans="25:31" x14ac:dyDescent="0.3">
      <c r="Y915" t="str">
        <f t="shared" si="42"/>
        <v>Pass</v>
      </c>
      <c r="Z915">
        <f t="shared" si="43"/>
        <v>585.94244384765625</v>
      </c>
      <c r="AA915">
        <v>40</v>
      </c>
      <c r="AB915">
        <v>20</v>
      </c>
      <c r="AC915">
        <v>60</v>
      </c>
      <c r="AD915" t="s">
        <v>24</v>
      </c>
      <c r="AE915">
        <v>585.94251274020405</v>
      </c>
    </row>
    <row r="916" spans="25:31" x14ac:dyDescent="0.3">
      <c r="Y916" t="str">
        <f t="shared" si="42"/>
        <v>Pass</v>
      </c>
      <c r="Z916">
        <f t="shared" si="43"/>
        <v>496.90353393554688</v>
      </c>
      <c r="AA916">
        <v>40</v>
      </c>
      <c r="AB916">
        <v>20</v>
      </c>
      <c r="AC916">
        <v>60</v>
      </c>
      <c r="AD916" t="s">
        <v>25</v>
      </c>
      <c r="AE916">
        <v>496.90356594972701</v>
      </c>
    </row>
    <row r="917" spans="25:31" x14ac:dyDescent="0.3">
      <c r="Y917" t="str">
        <f t="shared" si="42"/>
        <v>Pass</v>
      </c>
      <c r="Z917">
        <f t="shared" si="43"/>
        <v>248.12898254394531</v>
      </c>
      <c r="AA917">
        <v>40</v>
      </c>
      <c r="AB917">
        <v>20</v>
      </c>
      <c r="AC917">
        <v>60</v>
      </c>
      <c r="AD917" t="s">
        <v>26</v>
      </c>
      <c r="AE917">
        <v>248.12900375570101</v>
      </c>
    </row>
    <row r="918" spans="25:31" x14ac:dyDescent="0.3">
      <c r="Y918" t="str">
        <f t="shared" si="42"/>
        <v>Pass</v>
      </c>
      <c r="Z918">
        <f t="shared" si="43"/>
        <v>1002.9832763671875</v>
      </c>
      <c r="AA918">
        <v>40</v>
      </c>
      <c r="AB918">
        <v>20</v>
      </c>
      <c r="AC918">
        <v>70</v>
      </c>
      <c r="AD918" t="s">
        <v>24</v>
      </c>
      <c r="AE918">
        <v>1002.98338480347</v>
      </c>
    </row>
    <row r="919" spans="25:31" x14ac:dyDescent="0.3">
      <c r="Y919" t="str">
        <f t="shared" si="42"/>
        <v>Pass</v>
      </c>
      <c r="Z919">
        <f t="shared" si="43"/>
        <v>850.571533203125</v>
      </c>
      <c r="AA919">
        <v>40</v>
      </c>
      <c r="AB919">
        <v>20</v>
      </c>
      <c r="AC919">
        <v>70</v>
      </c>
      <c r="AD919" t="s">
        <v>25</v>
      </c>
      <c r="AE919">
        <v>850.57153161055703</v>
      </c>
    </row>
    <row r="920" spans="25:31" x14ac:dyDescent="0.3">
      <c r="Y920" t="str">
        <f t="shared" si="42"/>
        <v>Pass</v>
      </c>
      <c r="Z920">
        <f t="shared" si="43"/>
        <v>424.73324584960938</v>
      </c>
      <c r="AA920">
        <v>40</v>
      </c>
      <c r="AB920">
        <v>20</v>
      </c>
      <c r="AC920">
        <v>70</v>
      </c>
      <c r="AD920" t="s">
        <v>26</v>
      </c>
      <c r="AE920">
        <v>424.73325052137102</v>
      </c>
    </row>
    <row r="921" spans="25:31" x14ac:dyDescent="0.3">
      <c r="Y921" t="str">
        <f t="shared" si="42"/>
        <v>Pass</v>
      </c>
      <c r="Z921">
        <f t="shared" si="43"/>
        <v>1360.688232421875</v>
      </c>
      <c r="AA921">
        <v>40</v>
      </c>
      <c r="AB921">
        <v>20</v>
      </c>
      <c r="AC921">
        <v>80</v>
      </c>
      <c r="AD921" t="s">
        <v>24</v>
      </c>
      <c r="AE921">
        <v>1360.6883554461799</v>
      </c>
    </row>
    <row r="922" spans="25:31" x14ac:dyDescent="0.3">
      <c r="Y922" t="str">
        <f t="shared" si="42"/>
        <v>Pass</v>
      </c>
      <c r="Z922">
        <f t="shared" si="43"/>
        <v>1153.920166015625</v>
      </c>
      <c r="AA922">
        <v>40</v>
      </c>
      <c r="AB922">
        <v>20</v>
      </c>
      <c r="AC922">
        <v>80</v>
      </c>
      <c r="AD922" t="s">
        <v>25</v>
      </c>
      <c r="AE922">
        <v>1153.9201905755201</v>
      </c>
    </row>
    <row r="923" spans="25:31" x14ac:dyDescent="0.3">
      <c r="Y923" t="str">
        <f t="shared" si="42"/>
        <v>Pass</v>
      </c>
      <c r="Z923">
        <f t="shared" si="43"/>
        <v>576.21051025390625</v>
      </c>
      <c r="AA923">
        <v>40</v>
      </c>
      <c r="AB923">
        <v>20</v>
      </c>
      <c r="AC923">
        <v>80</v>
      </c>
      <c r="AD923" t="s">
        <v>26</v>
      </c>
      <c r="AE923">
        <v>576.21053041519394</v>
      </c>
    </row>
    <row r="924" spans="25:31" x14ac:dyDescent="0.3">
      <c r="Y924" t="str">
        <f t="shared" si="42"/>
        <v>Pass</v>
      </c>
      <c r="Z924">
        <f t="shared" si="43"/>
        <v>1567.119873046875</v>
      </c>
      <c r="AA924">
        <v>40</v>
      </c>
      <c r="AB924">
        <v>20</v>
      </c>
      <c r="AC924">
        <v>90</v>
      </c>
      <c r="AD924" t="s">
        <v>24</v>
      </c>
      <c r="AE924">
        <v>1567.11995253286</v>
      </c>
    </row>
    <row r="925" spans="25:31" x14ac:dyDescent="0.3">
      <c r="Y925" t="str">
        <f t="shared" si="42"/>
        <v>Pass</v>
      </c>
      <c r="Z925">
        <f t="shared" si="43"/>
        <v>1328.9827880859375</v>
      </c>
      <c r="AA925">
        <v>40</v>
      </c>
      <c r="AB925">
        <v>20</v>
      </c>
      <c r="AC925">
        <v>90</v>
      </c>
      <c r="AD925" t="s">
        <v>25</v>
      </c>
      <c r="AE925">
        <v>1328.98275129903</v>
      </c>
    </row>
    <row r="926" spans="25:31" x14ac:dyDescent="0.3">
      <c r="Y926" t="str">
        <f t="shared" si="42"/>
        <v>Pass</v>
      </c>
      <c r="Z926">
        <f t="shared" si="43"/>
        <v>663.6280517578125</v>
      </c>
      <c r="AA926">
        <v>40</v>
      </c>
      <c r="AB926">
        <v>20</v>
      </c>
      <c r="AC926">
        <v>90</v>
      </c>
      <c r="AD926" t="s">
        <v>26</v>
      </c>
      <c r="AE926">
        <v>663.62809342708999</v>
      </c>
    </row>
    <row r="927" spans="25:31" x14ac:dyDescent="0.3">
      <c r="Y927" t="str">
        <f t="shared" si="42"/>
        <v>Pass</v>
      </c>
      <c r="Z927">
        <f t="shared" si="43"/>
        <v>1660.1463623046875</v>
      </c>
      <c r="AA927">
        <v>40</v>
      </c>
      <c r="AB927">
        <v>20</v>
      </c>
      <c r="AC927">
        <v>100</v>
      </c>
      <c r="AD927" t="s">
        <v>24</v>
      </c>
      <c r="AE927">
        <v>1660.14643452153</v>
      </c>
    </row>
    <row r="928" spans="25:31" x14ac:dyDescent="0.3">
      <c r="Y928" t="str">
        <f t="shared" si="42"/>
        <v>Pass</v>
      </c>
      <c r="Z928">
        <f t="shared" si="43"/>
        <v>1407.873046875</v>
      </c>
      <c r="AA928">
        <v>40</v>
      </c>
      <c r="AB928">
        <v>20</v>
      </c>
      <c r="AC928">
        <v>100</v>
      </c>
      <c r="AD928" t="s">
        <v>25</v>
      </c>
      <c r="AE928">
        <v>1407.87306839132</v>
      </c>
    </row>
    <row r="929" spans="25:31" x14ac:dyDescent="0.3">
      <c r="Y929" t="str">
        <f t="shared" si="42"/>
        <v>Pass</v>
      </c>
      <c r="Z929">
        <f t="shared" si="43"/>
        <v>703.02197265625</v>
      </c>
      <c r="AA929">
        <v>40</v>
      </c>
      <c r="AB929">
        <v>20</v>
      </c>
      <c r="AC929">
        <v>100</v>
      </c>
      <c r="AD929" t="s">
        <v>26</v>
      </c>
      <c r="AE929">
        <v>703.02200630567404</v>
      </c>
    </row>
    <row r="930" spans="25:31" x14ac:dyDescent="0.3">
      <c r="Y930" t="str">
        <f t="shared" si="42"/>
        <v>Pass</v>
      </c>
      <c r="Z930">
        <f t="shared" si="43"/>
        <v>2.476288378238678E-2</v>
      </c>
      <c r="AA930">
        <v>40</v>
      </c>
      <c r="AB930">
        <v>25</v>
      </c>
      <c r="AC930">
        <v>0</v>
      </c>
      <c r="AD930" t="s">
        <v>24</v>
      </c>
      <c r="AE930">
        <v>2.4762885406801001E-2</v>
      </c>
    </row>
    <row r="931" spans="25:31" x14ac:dyDescent="0.3">
      <c r="Y931" t="str">
        <f t="shared" si="42"/>
        <v>Pass</v>
      </c>
      <c r="Z931">
        <f t="shared" si="43"/>
        <v>2.0999955013394356E-2</v>
      </c>
      <c r="AA931">
        <v>40</v>
      </c>
      <c r="AB931">
        <v>25</v>
      </c>
      <c r="AC931">
        <v>0</v>
      </c>
      <c r="AD931" t="s">
        <v>25</v>
      </c>
      <c r="AE931">
        <v>2.0999954422661199E-2</v>
      </c>
    </row>
    <row r="932" spans="25:31" x14ac:dyDescent="0.3">
      <c r="Y932" t="str">
        <f t="shared" si="42"/>
        <v>Pass</v>
      </c>
      <c r="Z932">
        <f t="shared" si="43"/>
        <v>1.0486336424946785E-2</v>
      </c>
      <c r="AA932">
        <v>40</v>
      </c>
      <c r="AB932">
        <v>25</v>
      </c>
      <c r="AC932">
        <v>0</v>
      </c>
      <c r="AD932" t="s">
        <v>26</v>
      </c>
      <c r="AE932">
        <v>1.04863360355462E-2</v>
      </c>
    </row>
    <row r="933" spans="25:31" x14ac:dyDescent="0.3">
      <c r="Y933" t="str">
        <f t="shared" si="42"/>
        <v>Pass</v>
      </c>
      <c r="Z933">
        <f t="shared" si="43"/>
        <v>6.689414381980896E-2</v>
      </c>
      <c r="AA933">
        <v>40</v>
      </c>
      <c r="AB933">
        <v>25</v>
      </c>
      <c r="AC933">
        <v>10</v>
      </c>
      <c r="AD933" t="s">
        <v>24</v>
      </c>
      <c r="AE933">
        <v>6.6894145050529902E-2</v>
      </c>
    </row>
    <row r="934" spans="25:31" x14ac:dyDescent="0.3">
      <c r="Y934" t="str">
        <f t="shared" si="42"/>
        <v>Pass</v>
      </c>
      <c r="Z934">
        <f t="shared" si="43"/>
        <v>5.6729011237621307E-2</v>
      </c>
      <c r="AA934">
        <v>40</v>
      </c>
      <c r="AB934">
        <v>25</v>
      </c>
      <c r="AC934">
        <v>10</v>
      </c>
      <c r="AD934" t="s">
        <v>25</v>
      </c>
      <c r="AE934">
        <v>5.6729010942246798E-2</v>
      </c>
    </row>
    <row r="935" spans="25:31" x14ac:dyDescent="0.3">
      <c r="Y935" t="str">
        <f t="shared" si="42"/>
        <v>Pass</v>
      </c>
      <c r="Z935">
        <f t="shared" si="43"/>
        <v>2.8327656909823418E-2</v>
      </c>
      <c r="AA935">
        <v>40</v>
      </c>
      <c r="AB935">
        <v>25</v>
      </c>
      <c r="AC935">
        <v>10</v>
      </c>
      <c r="AD935" t="s">
        <v>26</v>
      </c>
      <c r="AE935">
        <v>2.8327655371605899E-2</v>
      </c>
    </row>
    <row r="936" spans="25:31" x14ac:dyDescent="0.3">
      <c r="Y936" t="str">
        <f t="shared" si="42"/>
        <v>Pass</v>
      </c>
      <c r="Z936">
        <f t="shared" si="43"/>
        <v>0.18002335727214813</v>
      </c>
      <c r="AA936">
        <v>40</v>
      </c>
      <c r="AB936">
        <v>25</v>
      </c>
      <c r="AC936">
        <v>20</v>
      </c>
      <c r="AD936" t="s">
        <v>24</v>
      </c>
      <c r="AE936">
        <v>0.180023347268462</v>
      </c>
    </row>
    <row r="937" spans="25:31" x14ac:dyDescent="0.3">
      <c r="Y937" t="str">
        <f t="shared" si="42"/>
        <v>Pass</v>
      </c>
      <c r="Z937">
        <f t="shared" si="43"/>
        <v>0.15266728401184082</v>
      </c>
      <c r="AA937">
        <v>40</v>
      </c>
      <c r="AB937">
        <v>25</v>
      </c>
      <c r="AC937">
        <v>20</v>
      </c>
      <c r="AD937" t="s">
        <v>25</v>
      </c>
      <c r="AE937">
        <v>0.15266726900146799</v>
      </c>
    </row>
    <row r="938" spans="25:31" x14ac:dyDescent="0.3">
      <c r="Y938" t="str">
        <f t="shared" si="42"/>
        <v>Pass</v>
      </c>
      <c r="Z938">
        <f t="shared" si="43"/>
        <v>7.6234474778175354E-2</v>
      </c>
      <c r="AA938">
        <v>40</v>
      </c>
      <c r="AB938">
        <v>25</v>
      </c>
      <c r="AC938">
        <v>20</v>
      </c>
      <c r="AD938" t="s">
        <v>26</v>
      </c>
      <c r="AE938">
        <v>7.6234464711550307E-2</v>
      </c>
    </row>
    <row r="939" spans="25:31" x14ac:dyDescent="0.3">
      <c r="Y939" t="str">
        <f t="shared" si="42"/>
        <v>Pass</v>
      </c>
      <c r="Z939">
        <f t="shared" si="43"/>
        <v>0.47960096597671509</v>
      </c>
      <c r="AA939">
        <v>40</v>
      </c>
      <c r="AB939">
        <v>25</v>
      </c>
      <c r="AC939">
        <v>30</v>
      </c>
      <c r="AD939" t="s">
        <v>24</v>
      </c>
      <c r="AE939">
        <v>0.47960096196445701</v>
      </c>
    </row>
    <row r="940" spans="25:31" x14ac:dyDescent="0.3">
      <c r="Y940" t="str">
        <f t="shared" si="42"/>
        <v>Pass</v>
      </c>
      <c r="Z940">
        <f t="shared" si="43"/>
        <v>0.40672153234481812</v>
      </c>
      <c r="AA940">
        <v>40</v>
      </c>
      <c r="AB940">
        <v>25</v>
      </c>
      <c r="AC940">
        <v>30</v>
      </c>
      <c r="AD940" t="s">
        <v>25</v>
      </c>
      <c r="AE940">
        <v>0.40672151798400602</v>
      </c>
    </row>
    <row r="941" spans="25:31" x14ac:dyDescent="0.3">
      <c r="Y941" t="str">
        <f t="shared" si="42"/>
        <v>Pass</v>
      </c>
      <c r="Z941">
        <f t="shared" si="43"/>
        <v>0.20309656858444214</v>
      </c>
      <c r="AA941">
        <v>40</v>
      </c>
      <c r="AB941">
        <v>25</v>
      </c>
      <c r="AC941">
        <v>30</v>
      </c>
      <c r="AD941" t="s">
        <v>26</v>
      </c>
      <c r="AE941">
        <v>0.20309656033659401</v>
      </c>
    </row>
    <row r="942" spans="25:31" x14ac:dyDescent="0.3">
      <c r="Y942" t="str">
        <f t="shared" si="42"/>
        <v>Pass</v>
      </c>
      <c r="Z942">
        <f t="shared" si="43"/>
        <v>1.2445639371871948</v>
      </c>
      <c r="AA942">
        <v>40</v>
      </c>
      <c r="AB942">
        <v>25</v>
      </c>
      <c r="AC942">
        <v>40</v>
      </c>
      <c r="AD942" t="s">
        <v>24</v>
      </c>
      <c r="AE942">
        <v>1.2445640246499501</v>
      </c>
    </row>
    <row r="943" spans="25:31" x14ac:dyDescent="0.3">
      <c r="Y943" t="str">
        <f t="shared" si="42"/>
        <v>Pass</v>
      </c>
      <c r="Z943">
        <f t="shared" si="43"/>
        <v>1.0554419755935669</v>
      </c>
      <c r="AA943">
        <v>40</v>
      </c>
      <c r="AB943">
        <v>25</v>
      </c>
      <c r="AC943">
        <v>40</v>
      </c>
      <c r="AD943" t="s">
        <v>25</v>
      </c>
      <c r="AE943">
        <v>1.0554419391915699</v>
      </c>
    </row>
    <row r="944" spans="25:31" x14ac:dyDescent="0.3">
      <c r="Y944" t="str">
        <f t="shared" si="42"/>
        <v>Pass</v>
      </c>
      <c r="Z944">
        <f t="shared" si="43"/>
        <v>0.52703535556793213</v>
      </c>
      <c r="AA944">
        <v>40</v>
      </c>
      <c r="AB944">
        <v>25</v>
      </c>
      <c r="AC944">
        <v>40</v>
      </c>
      <c r="AD944" t="s">
        <v>26</v>
      </c>
      <c r="AE944">
        <v>0.52703537434481995</v>
      </c>
    </row>
    <row r="945" spans="25:31" x14ac:dyDescent="0.3">
      <c r="Y945" t="str">
        <f t="shared" si="42"/>
        <v>Pass</v>
      </c>
      <c r="Z945">
        <f t="shared" si="43"/>
        <v>3.0290141105651855</v>
      </c>
      <c r="AA945">
        <v>40</v>
      </c>
      <c r="AB945">
        <v>25</v>
      </c>
      <c r="AC945">
        <v>50</v>
      </c>
      <c r="AD945" t="s">
        <v>24</v>
      </c>
      <c r="AE945">
        <v>3.0290141867795999</v>
      </c>
    </row>
    <row r="946" spans="25:31" x14ac:dyDescent="0.3">
      <c r="Y946" t="str">
        <f t="shared" si="42"/>
        <v>Pass</v>
      </c>
      <c r="Z946">
        <f t="shared" si="43"/>
        <v>2.5687296390533447</v>
      </c>
      <c r="AA946">
        <v>40</v>
      </c>
      <c r="AB946">
        <v>25</v>
      </c>
      <c r="AC946">
        <v>50</v>
      </c>
      <c r="AD946" t="s">
        <v>25</v>
      </c>
      <c r="AE946">
        <v>2.5687297268878</v>
      </c>
    </row>
    <row r="947" spans="25:31" x14ac:dyDescent="0.3">
      <c r="Y947" t="str">
        <f t="shared" si="42"/>
        <v>Pass</v>
      </c>
      <c r="Z947">
        <f t="shared" si="43"/>
        <v>1.2826962471008301</v>
      </c>
      <c r="AA947">
        <v>40</v>
      </c>
      <c r="AB947">
        <v>25</v>
      </c>
      <c r="AC947">
        <v>50</v>
      </c>
      <c r="AD947" t="s">
        <v>26</v>
      </c>
      <c r="AE947">
        <v>1.2826962648821201</v>
      </c>
    </row>
    <row r="948" spans="25:31" x14ac:dyDescent="0.3">
      <c r="Y948" t="str">
        <f t="shared" si="42"/>
        <v>Pass</v>
      </c>
      <c r="Z948">
        <f t="shared" si="43"/>
        <v>6.4389286041259766</v>
      </c>
      <c r="AA948">
        <v>40</v>
      </c>
      <c r="AB948">
        <v>25</v>
      </c>
      <c r="AC948">
        <v>60</v>
      </c>
      <c r="AD948" t="s">
        <v>24</v>
      </c>
      <c r="AE948">
        <v>6.43892871143081</v>
      </c>
    </row>
    <row r="949" spans="25:31" x14ac:dyDescent="0.3">
      <c r="Y949" t="str">
        <f t="shared" si="42"/>
        <v>Pass</v>
      </c>
      <c r="Z949">
        <f t="shared" si="43"/>
        <v>5.4604787826538086</v>
      </c>
      <c r="AA949">
        <v>40</v>
      </c>
      <c r="AB949">
        <v>25</v>
      </c>
      <c r="AC949">
        <v>60</v>
      </c>
      <c r="AD949" t="s">
        <v>25</v>
      </c>
      <c r="AE949">
        <v>5.4604787467003</v>
      </c>
    </row>
    <row r="950" spans="25:31" x14ac:dyDescent="0.3">
      <c r="Y950" t="str">
        <f t="shared" si="42"/>
        <v>Pass</v>
      </c>
      <c r="Z950">
        <f t="shared" si="43"/>
        <v>2.7266924381256104</v>
      </c>
      <c r="AA950">
        <v>40</v>
      </c>
      <c r="AB950">
        <v>25</v>
      </c>
      <c r="AC950">
        <v>60</v>
      </c>
      <c r="AD950" t="s">
        <v>26</v>
      </c>
      <c r="AE950">
        <v>2.72669234896374</v>
      </c>
    </row>
    <row r="951" spans="25:31" x14ac:dyDescent="0.3">
      <c r="Y951" t="str">
        <f t="shared" si="42"/>
        <v>Pass</v>
      </c>
      <c r="Z951">
        <f t="shared" si="43"/>
        <v>11.021795272827148</v>
      </c>
      <c r="AA951">
        <v>40</v>
      </c>
      <c r="AB951">
        <v>25</v>
      </c>
      <c r="AC951">
        <v>70</v>
      </c>
      <c r="AD951" t="s">
        <v>24</v>
      </c>
      <c r="AE951">
        <v>11.021795437400799</v>
      </c>
    </row>
    <row r="952" spans="25:31" x14ac:dyDescent="0.3">
      <c r="Y952" t="str">
        <f t="shared" si="42"/>
        <v>Pass</v>
      </c>
      <c r="Z952">
        <f t="shared" si="43"/>
        <v>9.3469400405883789</v>
      </c>
      <c r="AA952">
        <v>40</v>
      </c>
      <c r="AB952">
        <v>25</v>
      </c>
      <c r="AC952">
        <v>70</v>
      </c>
      <c r="AD952" t="s">
        <v>25</v>
      </c>
      <c r="AE952">
        <v>9.34693990780832</v>
      </c>
    </row>
    <row r="953" spans="25:31" x14ac:dyDescent="0.3">
      <c r="Y953" t="str">
        <f t="shared" si="42"/>
        <v>Pass</v>
      </c>
      <c r="Z953">
        <f t="shared" si="43"/>
        <v>4.6673984527587891</v>
      </c>
      <c r="AA953">
        <v>40</v>
      </c>
      <c r="AB953">
        <v>25</v>
      </c>
      <c r="AC953">
        <v>70</v>
      </c>
      <c r="AD953" t="s">
        <v>26</v>
      </c>
      <c r="AE953">
        <v>4.6673983573777003</v>
      </c>
    </row>
    <row r="954" spans="25:31" x14ac:dyDescent="0.3">
      <c r="Y954" t="str">
        <f t="shared" si="42"/>
        <v>Pass</v>
      </c>
      <c r="Z954">
        <f t="shared" si="43"/>
        <v>14.952619552612305</v>
      </c>
      <c r="AA954">
        <v>40</v>
      </c>
      <c r="AB954">
        <v>25</v>
      </c>
      <c r="AC954">
        <v>80</v>
      </c>
      <c r="AD954" t="s">
        <v>24</v>
      </c>
      <c r="AE954">
        <v>14.952619290617401</v>
      </c>
    </row>
    <row r="955" spans="25:31" x14ac:dyDescent="0.3">
      <c r="Y955" t="str">
        <f t="shared" si="42"/>
        <v>Pass</v>
      </c>
      <c r="Z955">
        <f t="shared" si="43"/>
        <v>12.680441856384277</v>
      </c>
      <c r="AA955">
        <v>40</v>
      </c>
      <c r="AB955">
        <v>25</v>
      </c>
      <c r="AC955">
        <v>80</v>
      </c>
      <c r="AD955" t="s">
        <v>25</v>
      </c>
      <c r="AE955">
        <v>12.6804416546761</v>
      </c>
    </row>
    <row r="956" spans="25:31" x14ac:dyDescent="0.3">
      <c r="Y956" t="str">
        <f t="shared" si="42"/>
        <v>Pass</v>
      </c>
      <c r="Z956">
        <f t="shared" si="43"/>
        <v>6.3319840431213379</v>
      </c>
      <c r="AA956">
        <v>40</v>
      </c>
      <c r="AB956">
        <v>25</v>
      </c>
      <c r="AC956">
        <v>80</v>
      </c>
      <c r="AD956" t="s">
        <v>26</v>
      </c>
      <c r="AE956">
        <v>6.3319838507164201</v>
      </c>
    </row>
    <row r="957" spans="25:31" x14ac:dyDescent="0.3">
      <c r="Y957" t="str">
        <f t="shared" si="42"/>
        <v>Pass</v>
      </c>
      <c r="Z957">
        <f t="shared" si="43"/>
        <v>17.221097946166992</v>
      </c>
      <c r="AA957">
        <v>40</v>
      </c>
      <c r="AB957">
        <v>25</v>
      </c>
      <c r="AC957">
        <v>90</v>
      </c>
      <c r="AD957" t="s">
        <v>24</v>
      </c>
      <c r="AE957">
        <v>17.221098379481901</v>
      </c>
    </row>
    <row r="958" spans="25:31" x14ac:dyDescent="0.3">
      <c r="Y958" t="str">
        <f t="shared" si="42"/>
        <v>Pass</v>
      </c>
      <c r="Z958">
        <f t="shared" si="43"/>
        <v>14.604207038879395</v>
      </c>
      <c r="AA958">
        <v>40</v>
      </c>
      <c r="AB958">
        <v>25</v>
      </c>
      <c r="AC958">
        <v>90</v>
      </c>
      <c r="AD958" t="s">
        <v>25</v>
      </c>
      <c r="AE958">
        <v>14.6042060582311</v>
      </c>
    </row>
    <row r="959" spans="25:31" x14ac:dyDescent="0.3">
      <c r="Y959" t="str">
        <f t="shared" si="42"/>
        <v>Pass</v>
      </c>
      <c r="Z959">
        <f t="shared" si="43"/>
        <v>7.2926168441772461</v>
      </c>
      <c r="AA959">
        <v>40</v>
      </c>
      <c r="AB959">
        <v>25</v>
      </c>
      <c r="AC959">
        <v>90</v>
      </c>
      <c r="AD959" t="s">
        <v>26</v>
      </c>
      <c r="AE959">
        <v>7.2926164112866996</v>
      </c>
    </row>
    <row r="960" spans="25:31" x14ac:dyDescent="0.3">
      <c r="Y960" t="str">
        <f t="shared" si="42"/>
        <v>Pass</v>
      </c>
      <c r="Z960">
        <f t="shared" si="43"/>
        <v>18.243368148803711</v>
      </c>
      <c r="AA960">
        <v>40</v>
      </c>
      <c r="AB960">
        <v>25</v>
      </c>
      <c r="AC960">
        <v>100</v>
      </c>
      <c r="AD960" t="s">
        <v>24</v>
      </c>
      <c r="AE960">
        <v>18.243367412324499</v>
      </c>
    </row>
    <row r="961" spans="25:31" x14ac:dyDescent="0.3">
      <c r="Y961" t="str">
        <f t="shared" si="42"/>
        <v>Pass</v>
      </c>
      <c r="Z961">
        <f t="shared" si="43"/>
        <v>15.471133232116699</v>
      </c>
      <c r="AA961">
        <v>40</v>
      </c>
      <c r="AB961">
        <v>25</v>
      </c>
      <c r="AC961">
        <v>100</v>
      </c>
      <c r="AD961" t="s">
        <v>25</v>
      </c>
      <c r="AE961">
        <v>15.4711326196848</v>
      </c>
    </row>
    <row r="962" spans="25:31" x14ac:dyDescent="0.3">
      <c r="Y962" t="str">
        <f t="shared" si="42"/>
        <v>Pass</v>
      </c>
      <c r="Z962">
        <f t="shared" si="43"/>
        <v>7.7255167961120605</v>
      </c>
      <c r="AA962">
        <v>40</v>
      </c>
      <c r="AB962">
        <v>25</v>
      </c>
      <c r="AC962">
        <v>100</v>
      </c>
      <c r="AD962" t="s">
        <v>26</v>
      </c>
      <c r="AE962">
        <v>7.7255165528095997</v>
      </c>
    </row>
    <row r="963" spans="25:31" x14ac:dyDescent="0.3">
      <c r="Y963" t="str">
        <f t="shared" si="42"/>
        <v>Pass</v>
      </c>
      <c r="Z963">
        <f t="shared" si="43"/>
        <v>2.476288378238678E-2</v>
      </c>
      <c r="AA963">
        <v>40</v>
      </c>
      <c r="AB963">
        <v>30</v>
      </c>
      <c r="AC963">
        <v>0</v>
      </c>
      <c r="AD963" t="s">
        <v>24</v>
      </c>
      <c r="AE963">
        <v>2.4762885406801001E-2</v>
      </c>
    </row>
    <row r="964" spans="25:31" x14ac:dyDescent="0.3">
      <c r="Y964" t="str">
        <f t="shared" si="42"/>
        <v>Pass</v>
      </c>
      <c r="Z964">
        <f t="shared" si="43"/>
        <v>2.0999955013394356E-2</v>
      </c>
      <c r="AA964">
        <v>40</v>
      </c>
      <c r="AB964">
        <v>30</v>
      </c>
      <c r="AC964">
        <v>0</v>
      </c>
      <c r="AD964" t="s">
        <v>25</v>
      </c>
      <c r="AE964">
        <v>2.0999954422661199E-2</v>
      </c>
    </row>
    <row r="965" spans="25:31" x14ac:dyDescent="0.3">
      <c r="Y965" t="str">
        <f t="shared" si="42"/>
        <v>Pass</v>
      </c>
      <c r="Z965">
        <f t="shared" si="43"/>
        <v>1.0486336424946785E-2</v>
      </c>
      <c r="AA965">
        <v>40</v>
      </c>
      <c r="AB965">
        <v>30</v>
      </c>
      <c r="AC965">
        <v>0</v>
      </c>
      <c r="AD965" t="s">
        <v>26</v>
      </c>
      <c r="AE965">
        <v>1.04863360355462E-2</v>
      </c>
    </row>
    <row r="966" spans="25:31" x14ac:dyDescent="0.3">
      <c r="Y966" t="str">
        <f t="shared" si="42"/>
        <v>Pass</v>
      </c>
      <c r="Z966">
        <f t="shared" si="43"/>
        <v>6.689414381980896E-2</v>
      </c>
      <c r="AA966">
        <v>40</v>
      </c>
      <c r="AB966">
        <v>30</v>
      </c>
      <c r="AC966">
        <v>10</v>
      </c>
      <c r="AD966" t="s">
        <v>24</v>
      </c>
      <c r="AE966">
        <v>6.6894145050529902E-2</v>
      </c>
    </row>
    <row r="967" spans="25:31" x14ac:dyDescent="0.3">
      <c r="Y967" t="str">
        <f t="shared" ref="Y967:Y1030" si="44">IF(ISBLANK(Z967),"",IF(ROUND(Z967,0)=ROUND(AE967,0),"Pass","Fail"))</f>
        <v>Pass</v>
      </c>
      <c r="Z967">
        <f t="shared" ref="Z967:Z1030" si="45">ROS_grass(AA967,AB967,AC967,AD967)</f>
        <v>5.6729011237621307E-2</v>
      </c>
      <c r="AA967">
        <v>40</v>
      </c>
      <c r="AB967">
        <v>30</v>
      </c>
      <c r="AC967">
        <v>10</v>
      </c>
      <c r="AD967" t="s">
        <v>25</v>
      </c>
      <c r="AE967">
        <v>5.6729010942246798E-2</v>
      </c>
    </row>
    <row r="968" spans="25:31" x14ac:dyDescent="0.3">
      <c r="Y968" t="str">
        <f t="shared" si="44"/>
        <v>Pass</v>
      </c>
      <c r="Z968">
        <f t="shared" si="45"/>
        <v>2.8327656909823418E-2</v>
      </c>
      <c r="AA968">
        <v>40</v>
      </c>
      <c r="AB968">
        <v>30</v>
      </c>
      <c r="AC968">
        <v>10</v>
      </c>
      <c r="AD968" t="s">
        <v>26</v>
      </c>
      <c r="AE968">
        <v>2.8327655371605899E-2</v>
      </c>
    </row>
    <row r="969" spans="25:31" x14ac:dyDescent="0.3">
      <c r="Y969" t="str">
        <f t="shared" si="44"/>
        <v>Pass</v>
      </c>
      <c r="Z969">
        <f t="shared" si="45"/>
        <v>0.18002335727214813</v>
      </c>
      <c r="AA969">
        <v>40</v>
      </c>
      <c r="AB969">
        <v>30</v>
      </c>
      <c r="AC969">
        <v>20</v>
      </c>
      <c r="AD969" t="s">
        <v>24</v>
      </c>
      <c r="AE969">
        <v>0.180023347268462</v>
      </c>
    </row>
    <row r="970" spans="25:31" x14ac:dyDescent="0.3">
      <c r="Y970" t="str">
        <f t="shared" si="44"/>
        <v>Pass</v>
      </c>
      <c r="Z970">
        <f t="shared" si="45"/>
        <v>0.15266728401184082</v>
      </c>
      <c r="AA970">
        <v>40</v>
      </c>
      <c r="AB970">
        <v>30</v>
      </c>
      <c r="AC970">
        <v>20</v>
      </c>
      <c r="AD970" t="s">
        <v>25</v>
      </c>
      <c r="AE970">
        <v>0.15266726900146799</v>
      </c>
    </row>
    <row r="971" spans="25:31" x14ac:dyDescent="0.3">
      <c r="Y971" t="str">
        <f t="shared" si="44"/>
        <v>Pass</v>
      </c>
      <c r="Z971">
        <f t="shared" si="45"/>
        <v>7.6234474778175354E-2</v>
      </c>
      <c r="AA971">
        <v>40</v>
      </c>
      <c r="AB971">
        <v>30</v>
      </c>
      <c r="AC971">
        <v>20</v>
      </c>
      <c r="AD971" t="s">
        <v>26</v>
      </c>
      <c r="AE971">
        <v>7.6234464711550307E-2</v>
      </c>
    </row>
    <row r="972" spans="25:31" x14ac:dyDescent="0.3">
      <c r="Y972" t="str">
        <f t="shared" si="44"/>
        <v>Pass</v>
      </c>
      <c r="Z972">
        <f t="shared" si="45"/>
        <v>0.47960096597671509</v>
      </c>
      <c r="AA972">
        <v>40</v>
      </c>
      <c r="AB972">
        <v>30</v>
      </c>
      <c r="AC972">
        <v>30</v>
      </c>
      <c r="AD972" t="s">
        <v>24</v>
      </c>
      <c r="AE972">
        <v>0.47960096196445701</v>
      </c>
    </row>
    <row r="973" spans="25:31" x14ac:dyDescent="0.3">
      <c r="Y973" t="str">
        <f t="shared" si="44"/>
        <v>Pass</v>
      </c>
      <c r="Z973">
        <f t="shared" si="45"/>
        <v>0.40672153234481812</v>
      </c>
      <c r="AA973">
        <v>40</v>
      </c>
      <c r="AB973">
        <v>30</v>
      </c>
      <c r="AC973">
        <v>30</v>
      </c>
      <c r="AD973" t="s">
        <v>25</v>
      </c>
      <c r="AE973">
        <v>0.40672151798400602</v>
      </c>
    </row>
    <row r="974" spans="25:31" x14ac:dyDescent="0.3">
      <c r="Y974" t="str">
        <f t="shared" si="44"/>
        <v>Pass</v>
      </c>
      <c r="Z974">
        <f t="shared" si="45"/>
        <v>0.20309656858444214</v>
      </c>
      <c r="AA974">
        <v>40</v>
      </c>
      <c r="AB974">
        <v>30</v>
      </c>
      <c r="AC974">
        <v>30</v>
      </c>
      <c r="AD974" t="s">
        <v>26</v>
      </c>
      <c r="AE974">
        <v>0.20309656033659401</v>
      </c>
    </row>
    <row r="975" spans="25:31" x14ac:dyDescent="0.3">
      <c r="Y975" t="str">
        <f t="shared" si="44"/>
        <v>Pass</v>
      </c>
      <c r="Z975">
        <f t="shared" si="45"/>
        <v>1.2445639371871948</v>
      </c>
      <c r="AA975">
        <v>40</v>
      </c>
      <c r="AB975">
        <v>30</v>
      </c>
      <c r="AC975">
        <v>40</v>
      </c>
      <c r="AD975" t="s">
        <v>24</v>
      </c>
      <c r="AE975">
        <v>1.2445640246499501</v>
      </c>
    </row>
    <row r="976" spans="25:31" x14ac:dyDescent="0.3">
      <c r="Y976" t="str">
        <f t="shared" si="44"/>
        <v>Pass</v>
      </c>
      <c r="Z976">
        <f t="shared" si="45"/>
        <v>1.0554419755935669</v>
      </c>
      <c r="AA976">
        <v>40</v>
      </c>
      <c r="AB976">
        <v>30</v>
      </c>
      <c r="AC976">
        <v>40</v>
      </c>
      <c r="AD976" t="s">
        <v>25</v>
      </c>
      <c r="AE976">
        <v>1.0554419391915699</v>
      </c>
    </row>
    <row r="977" spans="25:31" x14ac:dyDescent="0.3">
      <c r="Y977" t="str">
        <f t="shared" si="44"/>
        <v>Pass</v>
      </c>
      <c r="Z977">
        <f t="shared" si="45"/>
        <v>0.52703535556793213</v>
      </c>
      <c r="AA977">
        <v>40</v>
      </c>
      <c r="AB977">
        <v>30</v>
      </c>
      <c r="AC977">
        <v>40</v>
      </c>
      <c r="AD977" t="s">
        <v>26</v>
      </c>
      <c r="AE977">
        <v>0.52703537434481995</v>
      </c>
    </row>
    <row r="978" spans="25:31" x14ac:dyDescent="0.3">
      <c r="Y978" t="str">
        <f t="shared" si="44"/>
        <v>Pass</v>
      </c>
      <c r="Z978">
        <f t="shared" si="45"/>
        <v>3.0290141105651855</v>
      </c>
      <c r="AA978">
        <v>40</v>
      </c>
      <c r="AB978">
        <v>30</v>
      </c>
      <c r="AC978">
        <v>50</v>
      </c>
      <c r="AD978" t="s">
        <v>24</v>
      </c>
      <c r="AE978">
        <v>3.0290141867795999</v>
      </c>
    </row>
    <row r="979" spans="25:31" x14ac:dyDescent="0.3">
      <c r="Y979" t="str">
        <f t="shared" si="44"/>
        <v>Pass</v>
      </c>
      <c r="Z979">
        <f t="shared" si="45"/>
        <v>2.5687296390533447</v>
      </c>
      <c r="AA979">
        <v>40</v>
      </c>
      <c r="AB979">
        <v>30</v>
      </c>
      <c r="AC979">
        <v>50</v>
      </c>
      <c r="AD979" t="s">
        <v>25</v>
      </c>
      <c r="AE979">
        <v>2.5687297268878</v>
      </c>
    </row>
    <row r="980" spans="25:31" x14ac:dyDescent="0.3">
      <c r="Y980" t="str">
        <f t="shared" si="44"/>
        <v>Pass</v>
      </c>
      <c r="Z980">
        <f t="shared" si="45"/>
        <v>1.2826962471008301</v>
      </c>
      <c r="AA980">
        <v>40</v>
      </c>
      <c r="AB980">
        <v>30</v>
      </c>
      <c r="AC980">
        <v>50</v>
      </c>
      <c r="AD980" t="s">
        <v>26</v>
      </c>
      <c r="AE980">
        <v>1.2826962648821201</v>
      </c>
    </row>
    <row r="981" spans="25:31" x14ac:dyDescent="0.3">
      <c r="Y981" t="str">
        <f t="shared" si="44"/>
        <v>Pass</v>
      </c>
      <c r="Z981">
        <f t="shared" si="45"/>
        <v>6.4389286041259766</v>
      </c>
      <c r="AA981">
        <v>40</v>
      </c>
      <c r="AB981">
        <v>30</v>
      </c>
      <c r="AC981">
        <v>60</v>
      </c>
      <c r="AD981" t="s">
        <v>24</v>
      </c>
      <c r="AE981">
        <v>6.43892871143081</v>
      </c>
    </row>
    <row r="982" spans="25:31" x14ac:dyDescent="0.3">
      <c r="Y982" t="str">
        <f t="shared" si="44"/>
        <v>Pass</v>
      </c>
      <c r="Z982">
        <f t="shared" si="45"/>
        <v>5.4604787826538086</v>
      </c>
      <c r="AA982">
        <v>40</v>
      </c>
      <c r="AB982">
        <v>30</v>
      </c>
      <c r="AC982">
        <v>60</v>
      </c>
      <c r="AD982" t="s">
        <v>25</v>
      </c>
      <c r="AE982">
        <v>5.4604787467003</v>
      </c>
    </row>
    <row r="983" spans="25:31" x14ac:dyDescent="0.3">
      <c r="Y983" t="str">
        <f t="shared" si="44"/>
        <v>Pass</v>
      </c>
      <c r="Z983">
        <f t="shared" si="45"/>
        <v>2.7266924381256104</v>
      </c>
      <c r="AA983">
        <v>40</v>
      </c>
      <c r="AB983">
        <v>30</v>
      </c>
      <c r="AC983">
        <v>60</v>
      </c>
      <c r="AD983" t="s">
        <v>26</v>
      </c>
      <c r="AE983">
        <v>2.72669234896374</v>
      </c>
    </row>
    <row r="984" spans="25:31" x14ac:dyDescent="0.3">
      <c r="Y984" t="str">
        <f t="shared" si="44"/>
        <v>Pass</v>
      </c>
      <c r="Z984">
        <f t="shared" si="45"/>
        <v>11.021795272827148</v>
      </c>
      <c r="AA984">
        <v>40</v>
      </c>
      <c r="AB984">
        <v>30</v>
      </c>
      <c r="AC984">
        <v>70</v>
      </c>
      <c r="AD984" t="s">
        <v>24</v>
      </c>
      <c r="AE984">
        <v>11.021795437400799</v>
      </c>
    </row>
    <row r="985" spans="25:31" x14ac:dyDescent="0.3">
      <c r="Y985" t="str">
        <f t="shared" si="44"/>
        <v>Pass</v>
      </c>
      <c r="Z985">
        <f t="shared" si="45"/>
        <v>9.3469400405883789</v>
      </c>
      <c r="AA985">
        <v>40</v>
      </c>
      <c r="AB985">
        <v>30</v>
      </c>
      <c r="AC985">
        <v>70</v>
      </c>
      <c r="AD985" t="s">
        <v>25</v>
      </c>
      <c r="AE985">
        <v>9.34693990780832</v>
      </c>
    </row>
    <row r="986" spans="25:31" x14ac:dyDescent="0.3">
      <c r="Y986" t="str">
        <f t="shared" si="44"/>
        <v>Pass</v>
      </c>
      <c r="Z986">
        <f t="shared" si="45"/>
        <v>4.6673984527587891</v>
      </c>
      <c r="AA986">
        <v>40</v>
      </c>
      <c r="AB986">
        <v>30</v>
      </c>
      <c r="AC986">
        <v>70</v>
      </c>
      <c r="AD986" t="s">
        <v>26</v>
      </c>
      <c r="AE986">
        <v>4.6673983573777003</v>
      </c>
    </row>
    <row r="987" spans="25:31" x14ac:dyDescent="0.3">
      <c r="Y987" t="str">
        <f t="shared" si="44"/>
        <v>Pass</v>
      </c>
      <c r="Z987">
        <f t="shared" si="45"/>
        <v>14.952619552612305</v>
      </c>
      <c r="AA987">
        <v>40</v>
      </c>
      <c r="AB987">
        <v>30</v>
      </c>
      <c r="AC987">
        <v>80</v>
      </c>
      <c r="AD987" t="s">
        <v>24</v>
      </c>
      <c r="AE987">
        <v>14.952619290617401</v>
      </c>
    </row>
    <row r="988" spans="25:31" x14ac:dyDescent="0.3">
      <c r="Y988" t="str">
        <f t="shared" si="44"/>
        <v>Pass</v>
      </c>
      <c r="Z988">
        <f t="shared" si="45"/>
        <v>12.680441856384277</v>
      </c>
      <c r="AA988">
        <v>40</v>
      </c>
      <c r="AB988">
        <v>30</v>
      </c>
      <c r="AC988">
        <v>80</v>
      </c>
      <c r="AD988" t="s">
        <v>25</v>
      </c>
      <c r="AE988">
        <v>12.6804416546761</v>
      </c>
    </row>
    <row r="989" spans="25:31" x14ac:dyDescent="0.3">
      <c r="Y989" t="str">
        <f t="shared" si="44"/>
        <v>Pass</v>
      </c>
      <c r="Z989">
        <f t="shared" si="45"/>
        <v>6.3319840431213379</v>
      </c>
      <c r="AA989">
        <v>40</v>
      </c>
      <c r="AB989">
        <v>30</v>
      </c>
      <c r="AC989">
        <v>80</v>
      </c>
      <c r="AD989" t="s">
        <v>26</v>
      </c>
      <c r="AE989">
        <v>6.3319838507164201</v>
      </c>
    </row>
    <row r="990" spans="25:31" x14ac:dyDescent="0.3">
      <c r="Y990" t="str">
        <f t="shared" si="44"/>
        <v>Pass</v>
      </c>
      <c r="Z990">
        <f t="shared" si="45"/>
        <v>17.221097946166992</v>
      </c>
      <c r="AA990">
        <v>40</v>
      </c>
      <c r="AB990">
        <v>30</v>
      </c>
      <c r="AC990">
        <v>90</v>
      </c>
      <c r="AD990" t="s">
        <v>24</v>
      </c>
      <c r="AE990">
        <v>17.221098379481901</v>
      </c>
    </row>
    <row r="991" spans="25:31" x14ac:dyDescent="0.3">
      <c r="Y991" t="str">
        <f t="shared" si="44"/>
        <v>Pass</v>
      </c>
      <c r="Z991">
        <f t="shared" si="45"/>
        <v>14.604207038879395</v>
      </c>
      <c r="AA991">
        <v>40</v>
      </c>
      <c r="AB991">
        <v>30</v>
      </c>
      <c r="AC991">
        <v>90</v>
      </c>
      <c r="AD991" t="s">
        <v>25</v>
      </c>
      <c r="AE991">
        <v>14.6042060582311</v>
      </c>
    </row>
    <row r="992" spans="25:31" x14ac:dyDescent="0.3">
      <c r="Y992" t="str">
        <f t="shared" si="44"/>
        <v>Pass</v>
      </c>
      <c r="Z992">
        <f t="shared" si="45"/>
        <v>7.2926168441772461</v>
      </c>
      <c r="AA992">
        <v>40</v>
      </c>
      <c r="AB992">
        <v>30</v>
      </c>
      <c r="AC992">
        <v>90</v>
      </c>
      <c r="AD992" t="s">
        <v>26</v>
      </c>
      <c r="AE992">
        <v>7.2926164112866996</v>
      </c>
    </row>
    <row r="993" spans="25:31" x14ac:dyDescent="0.3">
      <c r="Y993" t="str">
        <f t="shared" si="44"/>
        <v>Pass</v>
      </c>
      <c r="Z993">
        <f t="shared" si="45"/>
        <v>18.243368148803711</v>
      </c>
      <c r="AA993">
        <v>40</v>
      </c>
      <c r="AB993">
        <v>30</v>
      </c>
      <c r="AC993">
        <v>100</v>
      </c>
      <c r="AD993" t="s">
        <v>24</v>
      </c>
      <c r="AE993">
        <v>18.243367412324499</v>
      </c>
    </row>
    <row r="994" spans="25:31" x14ac:dyDescent="0.3">
      <c r="Y994" t="str">
        <f t="shared" si="44"/>
        <v>Pass</v>
      </c>
      <c r="Z994">
        <f t="shared" si="45"/>
        <v>15.471133232116699</v>
      </c>
      <c r="AA994">
        <v>40</v>
      </c>
      <c r="AB994">
        <v>30</v>
      </c>
      <c r="AC994">
        <v>100</v>
      </c>
      <c r="AD994" t="s">
        <v>25</v>
      </c>
      <c r="AE994">
        <v>15.4711326196848</v>
      </c>
    </row>
    <row r="995" spans="25:31" x14ac:dyDescent="0.3">
      <c r="Y995" t="str">
        <f t="shared" si="44"/>
        <v>Pass</v>
      </c>
      <c r="Z995">
        <f t="shared" si="45"/>
        <v>7.7255167961120605</v>
      </c>
      <c r="AA995">
        <v>40</v>
      </c>
      <c r="AB995">
        <v>30</v>
      </c>
      <c r="AC995">
        <v>100</v>
      </c>
      <c r="AD995" t="s">
        <v>26</v>
      </c>
      <c r="AE995">
        <v>7.7255165528095997</v>
      </c>
    </row>
    <row r="996" spans="25:31" x14ac:dyDescent="0.3">
      <c r="Y996" t="str">
        <f t="shared" si="44"/>
        <v>Pass</v>
      </c>
      <c r="Z996">
        <f t="shared" si="45"/>
        <v>17.578561782836914</v>
      </c>
      <c r="AA996">
        <v>50</v>
      </c>
      <c r="AB996">
        <v>5</v>
      </c>
      <c r="AC996">
        <v>0</v>
      </c>
      <c r="AD996" t="s">
        <v>24</v>
      </c>
      <c r="AE996">
        <v>17.5785625124017</v>
      </c>
    </row>
    <row r="997" spans="25:31" x14ac:dyDescent="0.3">
      <c r="Y997" t="str">
        <f t="shared" si="44"/>
        <v>Pass</v>
      </c>
      <c r="Z997">
        <f t="shared" si="45"/>
        <v>14.923657417297363</v>
      </c>
      <c r="AA997">
        <v>50</v>
      </c>
      <c r="AB997">
        <v>5</v>
      </c>
      <c r="AC997">
        <v>0</v>
      </c>
      <c r="AD997" t="s">
        <v>25</v>
      </c>
      <c r="AE997">
        <v>14.923658741246999</v>
      </c>
    </row>
    <row r="998" spans="25:31" x14ac:dyDescent="0.3">
      <c r="Y998" t="str">
        <f t="shared" si="44"/>
        <v>Pass</v>
      </c>
      <c r="Z998">
        <f t="shared" si="45"/>
        <v>7.4520010948181152</v>
      </c>
      <c r="AA998">
        <v>50</v>
      </c>
      <c r="AB998">
        <v>5</v>
      </c>
      <c r="AC998">
        <v>0</v>
      </c>
      <c r="AD998" t="s">
        <v>26</v>
      </c>
      <c r="AE998">
        <v>7.4520016971758798</v>
      </c>
    </row>
    <row r="999" spans="25:31" x14ac:dyDescent="0.3">
      <c r="Y999" t="str">
        <f t="shared" si="44"/>
        <v>Pass</v>
      </c>
      <c r="Z999">
        <f t="shared" si="45"/>
        <v>47.486503601074219</v>
      </c>
      <c r="AA999">
        <v>50</v>
      </c>
      <c r="AB999">
        <v>5</v>
      </c>
      <c r="AC999">
        <v>10</v>
      </c>
      <c r="AD999" t="s">
        <v>24</v>
      </c>
      <c r="AE999">
        <v>47.486506163027698</v>
      </c>
    </row>
    <row r="1000" spans="25:31" x14ac:dyDescent="0.3">
      <c r="Y1000" t="str">
        <f t="shared" si="44"/>
        <v>Pass</v>
      </c>
      <c r="Z1000">
        <f t="shared" si="45"/>
        <v>40.314579010009766</v>
      </c>
      <c r="AA1000">
        <v>50</v>
      </c>
      <c r="AB1000">
        <v>5</v>
      </c>
      <c r="AC1000">
        <v>10</v>
      </c>
      <c r="AD1000" t="s">
        <v>25</v>
      </c>
      <c r="AE1000">
        <v>40.314582736283398</v>
      </c>
    </row>
    <row r="1001" spans="25:31" x14ac:dyDescent="0.3">
      <c r="Y1001" t="str">
        <f t="shared" si="44"/>
        <v>Pass</v>
      </c>
      <c r="Z1001">
        <f t="shared" si="45"/>
        <v>20.130741119384766</v>
      </c>
      <c r="AA1001">
        <v>50</v>
      </c>
      <c r="AB1001">
        <v>5</v>
      </c>
      <c r="AC1001">
        <v>10</v>
      </c>
      <c r="AD1001" t="s">
        <v>26</v>
      </c>
      <c r="AE1001">
        <v>20.130743015543999</v>
      </c>
    </row>
    <row r="1002" spans="25:31" x14ac:dyDescent="0.3">
      <c r="Y1002" t="str">
        <f t="shared" si="44"/>
        <v>Pass</v>
      </c>
      <c r="Z1002">
        <f t="shared" si="45"/>
        <v>127.79414367675781</v>
      </c>
      <c r="AA1002">
        <v>50</v>
      </c>
      <c r="AB1002">
        <v>5</v>
      </c>
      <c r="AC1002">
        <v>20</v>
      </c>
      <c r="AD1002" t="s">
        <v>24</v>
      </c>
      <c r="AE1002">
        <v>127.794140774133</v>
      </c>
    </row>
    <row r="1003" spans="25:31" x14ac:dyDescent="0.3">
      <c r="Y1003" t="str">
        <f t="shared" si="44"/>
        <v>Pass</v>
      </c>
      <c r="Z1003">
        <f t="shared" si="45"/>
        <v>108.4932861328125</v>
      </c>
      <c r="AA1003">
        <v>50</v>
      </c>
      <c r="AB1003">
        <v>5</v>
      </c>
      <c r="AC1003">
        <v>20</v>
      </c>
      <c r="AD1003" t="s">
        <v>25</v>
      </c>
      <c r="AE1003">
        <v>108.493293731984</v>
      </c>
    </row>
    <row r="1004" spans="25:31" x14ac:dyDescent="0.3">
      <c r="Y1004" t="str">
        <f t="shared" si="44"/>
        <v>Pass</v>
      </c>
      <c r="Z1004">
        <f t="shared" si="45"/>
        <v>54.175201416015625</v>
      </c>
      <c r="AA1004">
        <v>50</v>
      </c>
      <c r="AB1004">
        <v>5</v>
      </c>
      <c r="AC1004">
        <v>20</v>
      </c>
      <c r="AD1004" t="s">
        <v>26</v>
      </c>
      <c r="AE1004">
        <v>54.175200803029902</v>
      </c>
    </row>
    <row r="1005" spans="25:31" x14ac:dyDescent="0.3">
      <c r="Y1005" t="str">
        <f t="shared" si="44"/>
        <v>Pass</v>
      </c>
      <c r="Z1005">
        <f t="shared" si="45"/>
        <v>340.4569091796875</v>
      </c>
      <c r="AA1005">
        <v>50</v>
      </c>
      <c r="AB1005">
        <v>5</v>
      </c>
      <c r="AC1005">
        <v>30</v>
      </c>
      <c r="AD1005" t="s">
        <v>24</v>
      </c>
      <c r="AE1005">
        <v>340.45691172098799</v>
      </c>
    </row>
    <row r="1006" spans="25:31" x14ac:dyDescent="0.3">
      <c r="Y1006" t="str">
        <f t="shared" si="44"/>
        <v>Pass</v>
      </c>
      <c r="Z1006">
        <f t="shared" si="45"/>
        <v>289.03741455078125</v>
      </c>
      <c r="AA1006">
        <v>50</v>
      </c>
      <c r="AB1006">
        <v>5</v>
      </c>
      <c r="AC1006">
        <v>30</v>
      </c>
      <c r="AD1006" t="s">
        <v>25</v>
      </c>
      <c r="AE1006">
        <v>289.03744336536801</v>
      </c>
    </row>
    <row r="1007" spans="25:31" x14ac:dyDescent="0.3">
      <c r="Y1007" t="str">
        <f t="shared" si="44"/>
        <v>Pass</v>
      </c>
      <c r="Z1007">
        <f t="shared" si="45"/>
        <v>144.328369140625</v>
      </c>
      <c r="AA1007">
        <v>50</v>
      </c>
      <c r="AB1007">
        <v>5</v>
      </c>
      <c r="AC1007">
        <v>30</v>
      </c>
      <c r="AD1007" t="s">
        <v>26</v>
      </c>
      <c r="AE1007">
        <v>144.32838192372901</v>
      </c>
    </row>
    <row r="1008" spans="25:31" x14ac:dyDescent="0.3">
      <c r="Y1008" t="str">
        <f t="shared" si="44"/>
        <v>Pass</v>
      </c>
      <c r="Z1008">
        <f t="shared" si="45"/>
        <v>883.48529052734375</v>
      </c>
      <c r="AA1008">
        <v>50</v>
      </c>
      <c r="AB1008">
        <v>5</v>
      </c>
      <c r="AC1008">
        <v>40</v>
      </c>
      <c r="AD1008" t="s">
        <v>24</v>
      </c>
      <c r="AE1008">
        <v>883.48535110479497</v>
      </c>
    </row>
    <row r="1009" spans="25:31" x14ac:dyDescent="0.3">
      <c r="Y1009" t="str">
        <f t="shared" si="44"/>
        <v>Pass</v>
      </c>
      <c r="Z1009">
        <f t="shared" si="45"/>
        <v>750.0517578125</v>
      </c>
      <c r="AA1009">
        <v>50</v>
      </c>
      <c r="AB1009">
        <v>5</v>
      </c>
      <c r="AC1009">
        <v>40</v>
      </c>
      <c r="AD1009" t="s">
        <v>25</v>
      </c>
      <c r="AE1009">
        <v>750.05188128874897</v>
      </c>
    </row>
    <row r="1010" spans="25:31" x14ac:dyDescent="0.3">
      <c r="Y1010" t="str">
        <f t="shared" si="44"/>
        <v>Pass</v>
      </c>
      <c r="Z1010">
        <f t="shared" si="45"/>
        <v>374.531982421875</v>
      </c>
      <c r="AA1010">
        <v>50</v>
      </c>
      <c r="AB1010">
        <v>5</v>
      </c>
      <c r="AC1010">
        <v>40</v>
      </c>
      <c r="AD1010" t="s">
        <v>26</v>
      </c>
      <c r="AE1010">
        <v>374.53200915706998</v>
      </c>
    </row>
    <row r="1011" spans="25:31" x14ac:dyDescent="0.3">
      <c r="Y1011" t="str">
        <f t="shared" si="44"/>
        <v>Pass</v>
      </c>
      <c r="Z1011">
        <f t="shared" si="45"/>
        <v>2150.222412109375</v>
      </c>
      <c r="AA1011">
        <v>50</v>
      </c>
      <c r="AB1011">
        <v>5</v>
      </c>
      <c r="AC1011">
        <v>50</v>
      </c>
      <c r="AD1011" t="s">
        <v>24</v>
      </c>
      <c r="AE1011">
        <v>2150.2225753802099</v>
      </c>
    </row>
    <row r="1012" spans="25:31" x14ac:dyDescent="0.3">
      <c r="Y1012" t="str">
        <f t="shared" si="44"/>
        <v>Pass</v>
      </c>
      <c r="Z1012">
        <f t="shared" si="45"/>
        <v>1825.4725341796875</v>
      </c>
      <c r="AA1012">
        <v>50</v>
      </c>
      <c r="AB1012">
        <v>5</v>
      </c>
      <c r="AC1012">
        <v>50</v>
      </c>
      <c r="AD1012" t="s">
        <v>25</v>
      </c>
      <c r="AE1012">
        <v>1825.4728115601299</v>
      </c>
    </row>
    <row r="1013" spans="25:31" x14ac:dyDescent="0.3">
      <c r="Y1013" t="str">
        <f t="shared" si="44"/>
        <v>Pass</v>
      </c>
      <c r="Z1013">
        <f t="shared" si="45"/>
        <v>911.5341796875</v>
      </c>
      <c r="AA1013">
        <v>50</v>
      </c>
      <c r="AB1013">
        <v>5</v>
      </c>
      <c r="AC1013">
        <v>50</v>
      </c>
      <c r="AD1013" t="s">
        <v>26</v>
      </c>
      <c r="AE1013">
        <v>911.53427760288503</v>
      </c>
    </row>
    <row r="1014" spans="25:31" x14ac:dyDescent="0.3">
      <c r="Y1014" t="str">
        <f t="shared" si="44"/>
        <v>Pass</v>
      </c>
      <c r="Z1014">
        <f t="shared" si="45"/>
        <v>4570.8369140625</v>
      </c>
      <c r="AA1014">
        <v>50</v>
      </c>
      <c r="AB1014">
        <v>5</v>
      </c>
      <c r="AC1014">
        <v>60</v>
      </c>
      <c r="AD1014" t="s">
        <v>24</v>
      </c>
      <c r="AE1014">
        <v>4570.8369201473597</v>
      </c>
    </row>
    <row r="1015" spans="25:31" x14ac:dyDescent="0.3">
      <c r="Y1015" t="str">
        <f t="shared" si="44"/>
        <v>Pass</v>
      </c>
      <c r="Z1015">
        <f t="shared" si="45"/>
        <v>3880.49951171875</v>
      </c>
      <c r="AA1015">
        <v>50</v>
      </c>
      <c r="AB1015">
        <v>5</v>
      </c>
      <c r="AC1015">
        <v>60</v>
      </c>
      <c r="AD1015" t="s">
        <v>25</v>
      </c>
      <c r="AE1015">
        <v>3880.4999163069801</v>
      </c>
    </row>
    <row r="1016" spans="25:31" x14ac:dyDescent="0.3">
      <c r="Y1016" t="str">
        <f t="shared" si="44"/>
        <v>Pass</v>
      </c>
      <c r="Z1016">
        <f t="shared" si="45"/>
        <v>1937.6943359375</v>
      </c>
      <c r="AA1016">
        <v>50</v>
      </c>
      <c r="AB1016">
        <v>5</v>
      </c>
      <c r="AC1016">
        <v>60</v>
      </c>
      <c r="AD1016" t="s">
        <v>26</v>
      </c>
      <c r="AE1016">
        <v>1937.6945334649299</v>
      </c>
    </row>
    <row r="1017" spans="25:31" x14ac:dyDescent="0.3">
      <c r="Y1017" t="str">
        <f t="shared" si="44"/>
        <v>Pass</v>
      </c>
      <c r="Z1017">
        <f t="shared" si="45"/>
        <v>7824.10107421875</v>
      </c>
      <c r="AA1017">
        <v>50</v>
      </c>
      <c r="AB1017">
        <v>5</v>
      </c>
      <c r="AC1017">
        <v>70</v>
      </c>
      <c r="AD1017" t="s">
        <v>24</v>
      </c>
      <c r="AE1017">
        <v>7824.1011462275601</v>
      </c>
    </row>
    <row r="1018" spans="25:31" x14ac:dyDescent="0.3">
      <c r="Y1018" t="str">
        <f t="shared" si="44"/>
        <v>Pass</v>
      </c>
      <c r="Z1018">
        <f t="shared" si="45"/>
        <v>6642.42041015625</v>
      </c>
      <c r="AA1018">
        <v>50</v>
      </c>
      <c r="AB1018">
        <v>5</v>
      </c>
      <c r="AC1018">
        <v>70</v>
      </c>
      <c r="AD1018" t="s">
        <v>25</v>
      </c>
      <c r="AE1018">
        <v>6642.4211525215696</v>
      </c>
    </row>
    <row r="1019" spans="25:31" x14ac:dyDescent="0.3">
      <c r="Y1019" t="str">
        <f t="shared" si="44"/>
        <v>Pass</v>
      </c>
      <c r="Z1019">
        <f t="shared" si="45"/>
        <v>3316.836181640625</v>
      </c>
      <c r="AA1019">
        <v>50</v>
      </c>
      <c r="AB1019">
        <v>5</v>
      </c>
      <c r="AC1019">
        <v>70</v>
      </c>
      <c r="AD1019" t="s">
        <v>26</v>
      </c>
      <c r="AE1019">
        <v>3316.8363442362902</v>
      </c>
    </row>
    <row r="1020" spans="25:31" x14ac:dyDescent="0.3">
      <c r="Y1020" t="str">
        <f t="shared" si="44"/>
        <v>Pass</v>
      </c>
      <c r="Z1020">
        <f t="shared" si="45"/>
        <v>10614.49609375</v>
      </c>
      <c r="AA1020">
        <v>50</v>
      </c>
      <c r="AB1020">
        <v>5</v>
      </c>
      <c r="AC1020">
        <v>80</v>
      </c>
      <c r="AD1020" t="s">
        <v>24</v>
      </c>
      <c r="AE1020">
        <v>10614.4961948607</v>
      </c>
    </row>
    <row r="1021" spans="25:31" x14ac:dyDescent="0.3">
      <c r="Y1021" t="str">
        <f t="shared" si="44"/>
        <v>Pass</v>
      </c>
      <c r="Z1021">
        <f t="shared" si="45"/>
        <v>9011.3798828125</v>
      </c>
      <c r="AA1021">
        <v>50</v>
      </c>
      <c r="AB1021">
        <v>5</v>
      </c>
      <c r="AC1021">
        <v>80</v>
      </c>
      <c r="AD1021" t="s">
        <v>25</v>
      </c>
      <c r="AE1021">
        <v>9011.3806979728797</v>
      </c>
    </row>
    <row r="1022" spans="25:31" x14ac:dyDescent="0.3">
      <c r="Y1022" t="str">
        <f t="shared" si="44"/>
        <v>Pass</v>
      </c>
      <c r="Z1022">
        <f t="shared" si="45"/>
        <v>4499.755859375</v>
      </c>
      <c r="AA1022">
        <v>50</v>
      </c>
      <c r="AB1022">
        <v>5</v>
      </c>
      <c r="AC1022">
        <v>80</v>
      </c>
      <c r="AD1022" t="s">
        <v>26</v>
      </c>
      <c r="AE1022">
        <v>4499.7560865949299</v>
      </c>
    </row>
    <row r="1023" spans="25:31" x14ac:dyDescent="0.3">
      <c r="Y1023" t="str">
        <f t="shared" si="44"/>
        <v>Pass</v>
      </c>
      <c r="Z1023">
        <f t="shared" si="45"/>
        <v>12224.833984375</v>
      </c>
      <c r="AA1023">
        <v>50</v>
      </c>
      <c r="AB1023">
        <v>5</v>
      </c>
      <c r="AC1023">
        <v>90</v>
      </c>
      <c r="AD1023" t="s">
        <v>24</v>
      </c>
      <c r="AE1023">
        <v>12224.8336339997</v>
      </c>
    </row>
    <row r="1024" spans="25:31" x14ac:dyDescent="0.3">
      <c r="Y1024" t="str">
        <f t="shared" si="44"/>
        <v>Pass</v>
      </c>
      <c r="Z1024">
        <f t="shared" si="45"/>
        <v>10378.5068359375</v>
      </c>
      <c r="AA1024">
        <v>50</v>
      </c>
      <c r="AB1024">
        <v>5</v>
      </c>
      <c r="AC1024">
        <v>90</v>
      </c>
      <c r="AD1024" t="s">
        <v>25</v>
      </c>
      <c r="AE1024">
        <v>10378.507639269101</v>
      </c>
    </row>
    <row r="1025" spans="25:31" x14ac:dyDescent="0.3">
      <c r="Y1025" t="str">
        <f t="shared" si="44"/>
        <v>Pass</v>
      </c>
      <c r="Z1025">
        <f t="shared" si="45"/>
        <v>5182.4189453125</v>
      </c>
      <c r="AA1025">
        <v>50</v>
      </c>
      <c r="AB1025">
        <v>5</v>
      </c>
      <c r="AC1025">
        <v>90</v>
      </c>
      <c r="AD1025" t="s">
        <v>26</v>
      </c>
      <c r="AE1025">
        <v>5182.4192634629999</v>
      </c>
    </row>
    <row r="1026" spans="25:31" x14ac:dyDescent="0.3">
      <c r="Y1026" t="str">
        <f t="shared" si="44"/>
        <v>Pass</v>
      </c>
      <c r="Z1026">
        <f t="shared" si="45"/>
        <v>12950.517578125</v>
      </c>
      <c r="AA1026">
        <v>50</v>
      </c>
      <c r="AB1026">
        <v>5</v>
      </c>
      <c r="AC1026">
        <v>100</v>
      </c>
      <c r="AD1026" t="s">
        <v>24</v>
      </c>
      <c r="AE1026">
        <v>12950.5172448999</v>
      </c>
    </row>
    <row r="1027" spans="25:31" x14ac:dyDescent="0.3">
      <c r="Y1027" t="str">
        <f t="shared" si="44"/>
        <v>Pass</v>
      </c>
      <c r="Z1027">
        <f t="shared" si="45"/>
        <v>10994.58984375</v>
      </c>
      <c r="AA1027">
        <v>50</v>
      </c>
      <c r="AB1027">
        <v>5</v>
      </c>
      <c r="AC1027">
        <v>100</v>
      </c>
      <c r="AD1027" t="s">
        <v>25</v>
      </c>
      <c r="AE1027">
        <v>10994.5906981398</v>
      </c>
    </row>
    <row r="1028" spans="25:31" x14ac:dyDescent="0.3">
      <c r="Y1028" t="str">
        <f t="shared" si="44"/>
        <v>Pass</v>
      </c>
      <c r="Z1028">
        <f t="shared" si="45"/>
        <v>5490.0546875</v>
      </c>
      <c r="AA1028">
        <v>50</v>
      </c>
      <c r="AB1028">
        <v>5</v>
      </c>
      <c r="AC1028">
        <v>100</v>
      </c>
      <c r="AD1028" t="s">
        <v>26</v>
      </c>
      <c r="AE1028">
        <v>5490.05508386786</v>
      </c>
    </row>
    <row r="1029" spans="25:31" x14ac:dyDescent="0.3">
      <c r="Y1029" t="str">
        <f t="shared" si="44"/>
        <v>Pass</v>
      </c>
      <c r="Z1029">
        <f t="shared" si="45"/>
        <v>10.243876457214355</v>
      </c>
      <c r="AA1029">
        <v>50</v>
      </c>
      <c r="AB1029">
        <v>10</v>
      </c>
      <c r="AC1029">
        <v>0</v>
      </c>
      <c r="AD1029" t="s">
        <v>24</v>
      </c>
      <c r="AE1029">
        <v>10.243876583349</v>
      </c>
    </row>
    <row r="1030" spans="25:31" x14ac:dyDescent="0.3">
      <c r="Y1030" t="str">
        <f t="shared" si="44"/>
        <v>Pass</v>
      </c>
      <c r="Z1030">
        <f t="shared" si="45"/>
        <v>8.6967353820800781</v>
      </c>
      <c r="AA1030">
        <v>50</v>
      </c>
      <c r="AB1030">
        <v>10</v>
      </c>
      <c r="AC1030">
        <v>0</v>
      </c>
      <c r="AD1030" t="s">
        <v>25</v>
      </c>
      <c r="AE1030">
        <v>8.6967360504875106</v>
      </c>
    </row>
    <row r="1031" spans="25:31" x14ac:dyDescent="0.3">
      <c r="Y1031" t="str">
        <f t="shared" ref="Y1031:Y1094" si="46">IF(ISBLANK(Z1031),"",IF(ROUND(Z1031,0)=ROUND(AE1031,0),"Pass","Fail"))</f>
        <v>Pass</v>
      </c>
      <c r="Z1031">
        <f t="shared" ref="Z1031:Z1094" si="47">ROS_grass(AA1031,AB1031,AC1031,AD1031)</f>
        <v>4.3426408767700195</v>
      </c>
      <c r="AA1031">
        <v>50</v>
      </c>
      <c r="AB1031">
        <v>10</v>
      </c>
      <c r="AC1031">
        <v>0</v>
      </c>
      <c r="AD1031" t="s">
        <v>26</v>
      </c>
      <c r="AE1031">
        <v>4.3426409657172496</v>
      </c>
    </row>
    <row r="1032" spans="25:31" x14ac:dyDescent="0.3">
      <c r="Y1032" t="str">
        <f t="shared" si="46"/>
        <v>Pass</v>
      </c>
      <c r="Z1032">
        <f t="shared" si="47"/>
        <v>27.672677993774414</v>
      </c>
      <c r="AA1032">
        <v>50</v>
      </c>
      <c r="AB1032">
        <v>10</v>
      </c>
      <c r="AC1032">
        <v>10</v>
      </c>
      <c r="AD1032" t="s">
        <v>24</v>
      </c>
      <c r="AE1032">
        <v>27.672678477851001</v>
      </c>
    </row>
    <row r="1033" spans="25:31" x14ac:dyDescent="0.3">
      <c r="Y1033" t="str">
        <f t="shared" si="46"/>
        <v>Pass</v>
      </c>
      <c r="Z1033">
        <f t="shared" si="47"/>
        <v>23.493251800537109</v>
      </c>
      <c r="AA1033">
        <v>50</v>
      </c>
      <c r="AB1033">
        <v>10</v>
      </c>
      <c r="AC1033">
        <v>10</v>
      </c>
      <c r="AD1033" t="s">
        <v>25</v>
      </c>
      <c r="AE1033">
        <v>23.493252634755699</v>
      </c>
    </row>
    <row r="1034" spans="25:31" x14ac:dyDescent="0.3">
      <c r="Y1034" t="str">
        <f t="shared" si="46"/>
        <v>Pass</v>
      </c>
      <c r="Z1034">
        <f t="shared" si="47"/>
        <v>11.731154441833496</v>
      </c>
      <c r="AA1034">
        <v>50</v>
      </c>
      <c r="AB1034">
        <v>10</v>
      </c>
      <c r="AC1034">
        <v>10</v>
      </c>
      <c r="AD1034" t="s">
        <v>26</v>
      </c>
      <c r="AE1034">
        <v>11.731155311298201</v>
      </c>
    </row>
    <row r="1035" spans="25:31" x14ac:dyDescent="0.3">
      <c r="Y1035" t="str">
        <f t="shared" si="46"/>
        <v>Pass</v>
      </c>
      <c r="Z1035">
        <f t="shared" si="47"/>
        <v>74.471817016601563</v>
      </c>
      <c r="AA1035">
        <v>50</v>
      </c>
      <c r="AB1035">
        <v>10</v>
      </c>
      <c r="AC1035">
        <v>20</v>
      </c>
      <c r="AD1035" t="s">
        <v>24</v>
      </c>
      <c r="AE1035">
        <v>74.471812199761899</v>
      </c>
    </row>
    <row r="1036" spans="25:31" x14ac:dyDescent="0.3">
      <c r="Y1036" t="str">
        <f t="shared" si="46"/>
        <v>Pass</v>
      </c>
      <c r="Z1036">
        <f t="shared" si="47"/>
        <v>63.224277496337891</v>
      </c>
      <c r="AA1036">
        <v>50</v>
      </c>
      <c r="AB1036">
        <v>10</v>
      </c>
      <c r="AC1036">
        <v>20</v>
      </c>
      <c r="AD1036" t="s">
        <v>25</v>
      </c>
      <c r="AE1036">
        <v>63.224277316611897</v>
      </c>
    </row>
    <row r="1037" spans="25:31" x14ac:dyDescent="0.3">
      <c r="Y1037" t="str">
        <f t="shared" si="46"/>
        <v>Pass</v>
      </c>
      <c r="Z1037">
        <f t="shared" si="47"/>
        <v>31.570503234863281</v>
      </c>
      <c r="AA1037">
        <v>50</v>
      </c>
      <c r="AB1037">
        <v>10</v>
      </c>
      <c r="AC1037">
        <v>20</v>
      </c>
      <c r="AD1037" t="s">
        <v>26</v>
      </c>
      <c r="AE1037">
        <v>31.570503589975601</v>
      </c>
    </row>
    <row r="1038" spans="25:31" x14ac:dyDescent="0.3">
      <c r="Y1038" t="str">
        <f t="shared" si="46"/>
        <v>Pass</v>
      </c>
      <c r="Z1038">
        <f t="shared" si="47"/>
        <v>198.40068054199219</v>
      </c>
      <c r="AA1038">
        <v>50</v>
      </c>
      <c r="AB1038">
        <v>10</v>
      </c>
      <c r="AC1038">
        <v>30</v>
      </c>
      <c r="AD1038" t="s">
        <v>24</v>
      </c>
      <c r="AE1038">
        <v>198.40067031405101</v>
      </c>
    </row>
    <row r="1039" spans="25:31" x14ac:dyDescent="0.3">
      <c r="Y1039" t="str">
        <f t="shared" si="46"/>
        <v>Pass</v>
      </c>
      <c r="Z1039">
        <f t="shared" si="47"/>
        <v>168.43605041503906</v>
      </c>
      <c r="AA1039">
        <v>50</v>
      </c>
      <c r="AB1039">
        <v>10</v>
      </c>
      <c r="AC1039">
        <v>30</v>
      </c>
      <c r="AD1039" t="s">
        <v>25</v>
      </c>
      <c r="AE1039">
        <v>168.43606499181399</v>
      </c>
    </row>
    <row r="1040" spans="25:31" x14ac:dyDescent="0.3">
      <c r="Y1040" t="str">
        <f t="shared" si="46"/>
        <v>Pass</v>
      </c>
      <c r="Z1040">
        <f t="shared" si="47"/>
        <v>84.107109069824219</v>
      </c>
      <c r="AA1040">
        <v>50</v>
      </c>
      <c r="AB1040">
        <v>10</v>
      </c>
      <c r="AC1040">
        <v>30</v>
      </c>
      <c r="AD1040" t="s">
        <v>26</v>
      </c>
      <c r="AE1040">
        <v>84.107112334018893</v>
      </c>
    </row>
    <row r="1041" spans="25:31" x14ac:dyDescent="0.3">
      <c r="Y1041" t="str">
        <f t="shared" si="46"/>
        <v>Pass</v>
      </c>
      <c r="Z1041">
        <f t="shared" si="47"/>
        <v>514.84954833984375</v>
      </c>
      <c r="AA1041">
        <v>50</v>
      </c>
      <c r="AB1041">
        <v>10</v>
      </c>
      <c r="AC1041">
        <v>40</v>
      </c>
      <c r="AD1041" t="s">
        <v>24</v>
      </c>
      <c r="AE1041">
        <v>514.84954435433997</v>
      </c>
    </row>
    <row r="1042" spans="25:31" x14ac:dyDescent="0.3">
      <c r="Y1042" t="str">
        <f t="shared" si="46"/>
        <v>Pass</v>
      </c>
      <c r="Z1042">
        <f t="shared" si="47"/>
        <v>437.09136962890625</v>
      </c>
      <c r="AA1042">
        <v>50</v>
      </c>
      <c r="AB1042">
        <v>10</v>
      </c>
      <c r="AC1042">
        <v>40</v>
      </c>
      <c r="AD1042" t="s">
        <v>25</v>
      </c>
      <c r="AE1042">
        <v>437.09142301084103</v>
      </c>
    </row>
    <row r="1043" spans="25:31" x14ac:dyDescent="0.3">
      <c r="Y1043" t="str">
        <f t="shared" si="46"/>
        <v>Pass</v>
      </c>
      <c r="Z1043">
        <f t="shared" si="47"/>
        <v>218.25785827636719</v>
      </c>
      <c r="AA1043">
        <v>50</v>
      </c>
      <c r="AB1043">
        <v>10</v>
      </c>
      <c r="AC1043">
        <v>40</v>
      </c>
      <c r="AD1043" t="s">
        <v>26</v>
      </c>
      <c r="AE1043">
        <v>218.25787379440101</v>
      </c>
    </row>
    <row r="1044" spans="25:31" x14ac:dyDescent="0.3">
      <c r="Y1044" t="str">
        <f t="shared" si="46"/>
        <v>Pass</v>
      </c>
      <c r="Z1044">
        <f t="shared" si="47"/>
        <v>1253.0384521484375</v>
      </c>
      <c r="AA1044">
        <v>50</v>
      </c>
      <c r="AB1044">
        <v>10</v>
      </c>
      <c r="AC1044">
        <v>50</v>
      </c>
      <c r="AD1044" t="s">
        <v>24</v>
      </c>
      <c r="AE1044">
        <v>1253.03844801791</v>
      </c>
    </row>
    <row r="1045" spans="25:31" x14ac:dyDescent="0.3">
      <c r="Y1045" t="str">
        <f t="shared" si="46"/>
        <v>Pass</v>
      </c>
      <c r="Z1045">
        <f t="shared" si="47"/>
        <v>1063.791015625</v>
      </c>
      <c r="AA1045">
        <v>50</v>
      </c>
      <c r="AB1045">
        <v>10</v>
      </c>
      <c r="AC1045">
        <v>50</v>
      </c>
      <c r="AD1045" t="s">
        <v>25</v>
      </c>
      <c r="AE1045">
        <v>1063.7910906929001</v>
      </c>
    </row>
    <row r="1046" spans="25:31" x14ac:dyDescent="0.3">
      <c r="Y1046" t="str">
        <f t="shared" si="46"/>
        <v>Pass</v>
      </c>
      <c r="Z1046">
        <f t="shared" si="47"/>
        <v>531.1949462890625</v>
      </c>
      <c r="AA1046">
        <v>50</v>
      </c>
      <c r="AB1046">
        <v>10</v>
      </c>
      <c r="AC1046">
        <v>50</v>
      </c>
      <c r="AD1046" t="s">
        <v>26</v>
      </c>
      <c r="AE1046">
        <v>531.19500725206797</v>
      </c>
    </row>
    <row r="1047" spans="25:31" x14ac:dyDescent="0.3">
      <c r="Y1047" t="str">
        <f t="shared" si="46"/>
        <v>Pass</v>
      </c>
      <c r="Z1047">
        <f t="shared" si="47"/>
        <v>2663.647216796875</v>
      </c>
      <c r="AA1047">
        <v>50</v>
      </c>
      <c r="AB1047">
        <v>10</v>
      </c>
      <c r="AC1047">
        <v>60</v>
      </c>
      <c r="AD1047" t="s">
        <v>24</v>
      </c>
      <c r="AE1047">
        <v>2663.6472271023799</v>
      </c>
    </row>
    <row r="1048" spans="25:31" x14ac:dyDescent="0.3">
      <c r="Y1048" t="str">
        <f t="shared" si="46"/>
        <v>Pass</v>
      </c>
      <c r="Z1048">
        <f t="shared" si="47"/>
        <v>2261.354248046875</v>
      </c>
      <c r="AA1048">
        <v>50</v>
      </c>
      <c r="AB1048">
        <v>10</v>
      </c>
      <c r="AC1048">
        <v>60</v>
      </c>
      <c r="AD1048" t="s">
        <v>25</v>
      </c>
      <c r="AE1048">
        <v>2261.3545445652999</v>
      </c>
    </row>
    <row r="1049" spans="25:31" x14ac:dyDescent="0.3">
      <c r="Y1049" t="str">
        <f t="shared" si="46"/>
        <v>Pass</v>
      </c>
      <c r="Z1049">
        <f t="shared" si="47"/>
        <v>1129.18798828125</v>
      </c>
      <c r="AA1049">
        <v>50</v>
      </c>
      <c r="AB1049">
        <v>10</v>
      </c>
      <c r="AC1049">
        <v>60</v>
      </c>
      <c r="AD1049" t="s">
        <v>26</v>
      </c>
      <c r="AE1049">
        <v>1129.18810301132</v>
      </c>
    </row>
    <row r="1050" spans="25:31" x14ac:dyDescent="0.3">
      <c r="Y1050" t="str">
        <f t="shared" si="46"/>
        <v>Pass</v>
      </c>
      <c r="Z1050">
        <f t="shared" si="47"/>
        <v>4559.4814453125</v>
      </c>
      <c r="AA1050">
        <v>50</v>
      </c>
      <c r="AB1050">
        <v>10</v>
      </c>
      <c r="AC1050">
        <v>70</v>
      </c>
      <c r="AD1050" t="s">
        <v>24</v>
      </c>
      <c r="AE1050">
        <v>4559.4812693614404</v>
      </c>
    </row>
    <row r="1051" spans="25:31" x14ac:dyDescent="0.3">
      <c r="Y1051" t="str">
        <f t="shared" si="46"/>
        <v>Pass</v>
      </c>
      <c r="Z1051">
        <f t="shared" si="47"/>
        <v>3870.859130859375</v>
      </c>
      <c r="AA1051">
        <v>50</v>
      </c>
      <c r="AB1051">
        <v>10</v>
      </c>
      <c r="AC1051">
        <v>70</v>
      </c>
      <c r="AD1051" t="s">
        <v>25</v>
      </c>
      <c r="AE1051">
        <v>3870.8593181639699</v>
      </c>
    </row>
    <row r="1052" spans="25:31" x14ac:dyDescent="0.3">
      <c r="Y1052" t="str">
        <f t="shared" si="46"/>
        <v>Pass</v>
      </c>
      <c r="Z1052">
        <f t="shared" si="47"/>
        <v>1932.8804931640625</v>
      </c>
      <c r="AA1052">
        <v>50</v>
      </c>
      <c r="AB1052">
        <v>10</v>
      </c>
      <c r="AC1052">
        <v>70</v>
      </c>
      <c r="AD1052" t="s">
        <v>26</v>
      </c>
      <c r="AE1052">
        <v>1932.8805830142301</v>
      </c>
    </row>
    <row r="1053" spans="25:31" x14ac:dyDescent="0.3">
      <c r="Y1053" t="str">
        <f t="shared" si="46"/>
        <v>Pass</v>
      </c>
      <c r="Z1053">
        <f t="shared" si="47"/>
        <v>6185.57958984375</v>
      </c>
      <c r="AA1053">
        <v>50</v>
      </c>
      <c r="AB1053">
        <v>10</v>
      </c>
      <c r="AC1053">
        <v>80</v>
      </c>
      <c r="AD1053" t="s">
        <v>24</v>
      </c>
      <c r="AE1053">
        <v>6185.5791073854398</v>
      </c>
    </row>
    <row r="1054" spans="25:31" x14ac:dyDescent="0.3">
      <c r="Y1054" t="str">
        <f t="shared" si="46"/>
        <v>Pass</v>
      </c>
      <c r="Z1054">
        <f t="shared" si="47"/>
        <v>5251.3662109375</v>
      </c>
      <c r="AA1054">
        <v>50</v>
      </c>
      <c r="AB1054">
        <v>10</v>
      </c>
      <c r="AC1054">
        <v>80</v>
      </c>
      <c r="AD1054" t="s">
        <v>25</v>
      </c>
      <c r="AE1054">
        <v>5251.3663532204</v>
      </c>
    </row>
    <row r="1055" spans="25:31" x14ac:dyDescent="0.3">
      <c r="Y1055" t="str">
        <f t="shared" si="46"/>
        <v>Pass</v>
      </c>
      <c r="Z1055">
        <f t="shared" si="47"/>
        <v>2622.22509765625</v>
      </c>
      <c r="AA1055">
        <v>50</v>
      </c>
      <c r="AB1055">
        <v>10</v>
      </c>
      <c r="AC1055">
        <v>80</v>
      </c>
      <c r="AD1055" t="s">
        <v>26</v>
      </c>
      <c r="AE1055">
        <v>2622.2249955724101</v>
      </c>
    </row>
    <row r="1056" spans="25:31" x14ac:dyDescent="0.3">
      <c r="Y1056" t="str">
        <f t="shared" si="46"/>
        <v>Pass</v>
      </c>
      <c r="Z1056">
        <f t="shared" si="47"/>
        <v>7124.00048828125</v>
      </c>
      <c r="AA1056">
        <v>50</v>
      </c>
      <c r="AB1056">
        <v>10</v>
      </c>
      <c r="AC1056">
        <v>90</v>
      </c>
      <c r="AD1056" t="s">
        <v>24</v>
      </c>
      <c r="AE1056">
        <v>7124.00043577613</v>
      </c>
    </row>
    <row r="1057" spans="25:31" x14ac:dyDescent="0.3">
      <c r="Y1057" t="str">
        <f t="shared" si="46"/>
        <v>Pass</v>
      </c>
      <c r="Z1057">
        <f t="shared" si="47"/>
        <v>6048.05712890625</v>
      </c>
      <c r="AA1057">
        <v>50</v>
      </c>
      <c r="AB1057">
        <v>10</v>
      </c>
      <c r="AC1057">
        <v>90</v>
      </c>
      <c r="AD1057" t="s">
        <v>25</v>
      </c>
      <c r="AE1057">
        <v>6048.0571890341898</v>
      </c>
    </row>
    <row r="1058" spans="25:31" x14ac:dyDescent="0.3">
      <c r="Y1058" t="str">
        <f t="shared" si="46"/>
        <v>Pass</v>
      </c>
      <c r="Z1058">
        <f t="shared" si="47"/>
        <v>3020.045654296875</v>
      </c>
      <c r="AA1058">
        <v>50</v>
      </c>
      <c r="AB1058">
        <v>10</v>
      </c>
      <c r="AC1058">
        <v>90</v>
      </c>
      <c r="AD1058" t="s">
        <v>26</v>
      </c>
      <c r="AE1058">
        <v>3020.0457688523602</v>
      </c>
    </row>
    <row r="1059" spans="25:31" x14ac:dyDescent="0.3">
      <c r="Y1059" t="str">
        <f t="shared" si="46"/>
        <v>Pass</v>
      </c>
      <c r="Z1059">
        <f t="shared" si="47"/>
        <v>7546.8916015625</v>
      </c>
      <c r="AA1059">
        <v>50</v>
      </c>
      <c r="AB1059">
        <v>10</v>
      </c>
      <c r="AC1059">
        <v>100</v>
      </c>
      <c r="AD1059" t="s">
        <v>24</v>
      </c>
      <c r="AE1059">
        <v>7546.8912918046599</v>
      </c>
    </row>
    <row r="1060" spans="25:31" x14ac:dyDescent="0.3">
      <c r="Y1060" t="str">
        <f t="shared" si="46"/>
        <v>Pass</v>
      </c>
      <c r="Z1060">
        <f t="shared" si="47"/>
        <v>6407.078125</v>
      </c>
      <c r="AA1060">
        <v>50</v>
      </c>
      <c r="AB1060">
        <v>10</v>
      </c>
      <c r="AC1060">
        <v>100</v>
      </c>
      <c r="AD1060" t="s">
        <v>25</v>
      </c>
      <c r="AE1060">
        <v>6407.0785149083104</v>
      </c>
    </row>
    <row r="1061" spans="25:31" x14ac:dyDescent="0.3">
      <c r="Y1061" t="str">
        <f t="shared" si="46"/>
        <v>Pass</v>
      </c>
      <c r="Z1061">
        <f t="shared" si="47"/>
        <v>3199.320068359375</v>
      </c>
      <c r="AA1061">
        <v>50</v>
      </c>
      <c r="AB1061">
        <v>10</v>
      </c>
      <c r="AC1061">
        <v>100</v>
      </c>
      <c r="AD1061" t="s">
        <v>26</v>
      </c>
      <c r="AE1061">
        <v>3199.32000556093</v>
      </c>
    </row>
    <row r="1062" spans="25:31" x14ac:dyDescent="0.3">
      <c r="Y1062" t="str">
        <f t="shared" si="46"/>
        <v>Pass</v>
      </c>
      <c r="Z1062">
        <f t="shared" si="47"/>
        <v>6.1838116645812988</v>
      </c>
      <c r="AA1062">
        <v>50</v>
      </c>
      <c r="AB1062">
        <v>15</v>
      </c>
      <c r="AC1062">
        <v>0</v>
      </c>
      <c r="AD1062" t="s">
        <v>24</v>
      </c>
      <c r="AE1062">
        <v>6.1838114492185001</v>
      </c>
    </row>
    <row r="1063" spans="25:31" x14ac:dyDescent="0.3">
      <c r="Y1063" t="str">
        <f t="shared" si="46"/>
        <v>Pass</v>
      </c>
      <c r="Z1063">
        <f t="shared" si="47"/>
        <v>5.2498655319213867</v>
      </c>
      <c r="AA1063">
        <v>50</v>
      </c>
      <c r="AB1063">
        <v>15</v>
      </c>
      <c r="AC1063">
        <v>0</v>
      </c>
      <c r="AD1063" t="s">
        <v>25</v>
      </c>
      <c r="AE1063">
        <v>5.2498656658214102</v>
      </c>
    </row>
    <row r="1064" spans="25:31" x14ac:dyDescent="0.3">
      <c r="Y1064" t="str">
        <f t="shared" si="46"/>
        <v>Pass</v>
      </c>
      <c r="Z1064">
        <f t="shared" si="47"/>
        <v>2.6214754581451416</v>
      </c>
      <c r="AA1064">
        <v>50</v>
      </c>
      <c r="AB1064">
        <v>15</v>
      </c>
      <c r="AC1064">
        <v>0</v>
      </c>
      <c r="AD1064" t="s">
        <v>26</v>
      </c>
      <c r="AE1064">
        <v>2.6214756401202401</v>
      </c>
    </row>
    <row r="1065" spans="25:31" x14ac:dyDescent="0.3">
      <c r="Y1065" t="str">
        <f t="shared" si="46"/>
        <v>Pass</v>
      </c>
      <c r="Z1065">
        <f t="shared" si="47"/>
        <v>16.704870223999023</v>
      </c>
      <c r="AA1065">
        <v>50</v>
      </c>
      <c r="AB1065">
        <v>15</v>
      </c>
      <c r="AC1065">
        <v>10</v>
      </c>
      <c r="AD1065" t="s">
        <v>24</v>
      </c>
      <c r="AE1065">
        <v>16.7048699395725</v>
      </c>
    </row>
    <row r="1066" spans="25:31" x14ac:dyDescent="0.3">
      <c r="Y1066" t="str">
        <f t="shared" si="46"/>
        <v>Pass</v>
      </c>
      <c r="Z1066">
        <f t="shared" si="47"/>
        <v>14.181920051574707</v>
      </c>
      <c r="AA1066">
        <v>50</v>
      </c>
      <c r="AB1066">
        <v>15</v>
      </c>
      <c r="AC1066">
        <v>10</v>
      </c>
      <c r="AD1066" t="s">
        <v>25</v>
      </c>
      <c r="AE1066">
        <v>14.1819206274242</v>
      </c>
    </row>
    <row r="1067" spans="25:31" x14ac:dyDescent="0.3">
      <c r="Y1067" t="str">
        <f t="shared" si="46"/>
        <v>Pass</v>
      </c>
      <c r="Z1067">
        <f t="shared" si="47"/>
        <v>7.0816206932067871</v>
      </c>
      <c r="AA1067">
        <v>50</v>
      </c>
      <c r="AB1067">
        <v>15</v>
      </c>
      <c r="AC1067">
        <v>10</v>
      </c>
      <c r="AD1067" t="s">
        <v>26</v>
      </c>
      <c r="AE1067">
        <v>7.0816210968884699</v>
      </c>
    </row>
    <row r="1068" spans="25:31" x14ac:dyDescent="0.3">
      <c r="Y1068" t="str">
        <f t="shared" si="46"/>
        <v>Pass</v>
      </c>
      <c r="Z1068">
        <f t="shared" si="47"/>
        <v>44.955604553222656</v>
      </c>
      <c r="AA1068">
        <v>50</v>
      </c>
      <c r="AB1068">
        <v>15</v>
      </c>
      <c r="AC1068">
        <v>20</v>
      </c>
      <c r="AD1068" t="s">
        <v>24</v>
      </c>
      <c r="AE1068">
        <v>44.955602615663302</v>
      </c>
    </row>
    <row r="1069" spans="25:31" x14ac:dyDescent="0.3">
      <c r="Y1069" t="str">
        <f t="shared" si="46"/>
        <v>Pass</v>
      </c>
      <c r="Z1069">
        <f t="shared" si="47"/>
        <v>38.165924072265625</v>
      </c>
      <c r="AA1069">
        <v>50</v>
      </c>
      <c r="AB1069">
        <v>15</v>
      </c>
      <c r="AC1069">
        <v>20</v>
      </c>
      <c r="AD1069" t="s">
        <v>25</v>
      </c>
      <c r="AE1069">
        <v>38.165923491750199</v>
      </c>
    </row>
    <row r="1070" spans="25:31" x14ac:dyDescent="0.3">
      <c r="Y1070" t="str">
        <f t="shared" si="46"/>
        <v>Pass</v>
      </c>
      <c r="Z1070">
        <f t="shared" si="47"/>
        <v>19.057828903198242</v>
      </c>
      <c r="AA1070">
        <v>50</v>
      </c>
      <c r="AB1070">
        <v>15</v>
      </c>
      <c r="AC1070">
        <v>20</v>
      </c>
      <c r="AD1070" t="s">
        <v>26</v>
      </c>
      <c r="AE1070">
        <v>19.057828349339601</v>
      </c>
    </row>
    <row r="1071" spans="25:31" x14ac:dyDescent="0.3">
      <c r="Y1071" t="str">
        <f t="shared" si="46"/>
        <v>Pass</v>
      </c>
      <c r="Z1071">
        <f t="shared" si="47"/>
        <v>119.76641845703125</v>
      </c>
      <c r="AA1071">
        <v>50</v>
      </c>
      <c r="AB1071">
        <v>15</v>
      </c>
      <c r="AC1071">
        <v>30</v>
      </c>
      <c r="AD1071" t="s">
        <v>24</v>
      </c>
      <c r="AE1071">
        <v>119.76641134225299</v>
      </c>
    </row>
    <row r="1072" spans="25:31" x14ac:dyDescent="0.3">
      <c r="Y1072" t="str">
        <f t="shared" si="46"/>
        <v>Pass</v>
      </c>
      <c r="Z1072">
        <f t="shared" si="47"/>
        <v>101.67799377441406</v>
      </c>
      <c r="AA1072">
        <v>50</v>
      </c>
      <c r="AB1072">
        <v>15</v>
      </c>
      <c r="AC1072">
        <v>30</v>
      </c>
      <c r="AD1072" t="s">
        <v>25</v>
      </c>
      <c r="AE1072">
        <v>101.677998429884</v>
      </c>
    </row>
    <row r="1073" spans="25:31" x14ac:dyDescent="0.3">
      <c r="Y1073" t="str">
        <f t="shared" si="46"/>
        <v>Pass</v>
      </c>
      <c r="Z1073">
        <f t="shared" si="47"/>
        <v>50.772037506103516</v>
      </c>
      <c r="AA1073">
        <v>50</v>
      </c>
      <c r="AB1073">
        <v>15</v>
      </c>
      <c r="AC1073">
        <v>30</v>
      </c>
      <c r="AD1073" t="s">
        <v>26</v>
      </c>
      <c r="AE1073">
        <v>50.772041226776999</v>
      </c>
    </row>
    <row r="1074" spans="25:31" x14ac:dyDescent="0.3">
      <c r="Y1074" t="str">
        <f t="shared" si="46"/>
        <v>Pass</v>
      </c>
      <c r="Z1074">
        <f t="shared" si="47"/>
        <v>310.79373168945313</v>
      </c>
      <c r="AA1074">
        <v>50</v>
      </c>
      <c r="AB1074">
        <v>15</v>
      </c>
      <c r="AC1074">
        <v>40</v>
      </c>
      <c r="AD1074" t="s">
        <v>24</v>
      </c>
      <c r="AE1074">
        <v>310.79371965280302</v>
      </c>
    </row>
    <row r="1075" spans="25:31" x14ac:dyDescent="0.3">
      <c r="Y1075" t="str">
        <f t="shared" si="46"/>
        <v>Pass</v>
      </c>
      <c r="Z1075">
        <f t="shared" si="47"/>
        <v>263.85427856445313</v>
      </c>
      <c r="AA1075">
        <v>50</v>
      </c>
      <c r="AB1075">
        <v>15</v>
      </c>
      <c r="AC1075">
        <v>40</v>
      </c>
      <c r="AD1075" t="s">
        <v>25</v>
      </c>
      <c r="AE1075">
        <v>263.85430593366198</v>
      </c>
    </row>
    <row r="1076" spans="25:31" x14ac:dyDescent="0.3">
      <c r="Y1076" t="str">
        <f t="shared" si="46"/>
        <v>Pass</v>
      </c>
      <c r="Z1076">
        <f t="shared" si="47"/>
        <v>131.75338745117188</v>
      </c>
      <c r="AA1076">
        <v>50</v>
      </c>
      <c r="AB1076">
        <v>15</v>
      </c>
      <c r="AC1076">
        <v>40</v>
      </c>
      <c r="AD1076" t="s">
        <v>26</v>
      </c>
      <c r="AE1076">
        <v>131.75339705338999</v>
      </c>
    </row>
    <row r="1077" spans="25:31" x14ac:dyDescent="0.3">
      <c r="Y1077" t="str">
        <f t="shared" si="46"/>
        <v>Pass</v>
      </c>
      <c r="Z1077">
        <f t="shared" si="47"/>
        <v>756.4083251953125</v>
      </c>
      <c r="AA1077">
        <v>50</v>
      </c>
      <c r="AB1077">
        <v>15</v>
      </c>
      <c r="AC1077">
        <v>50</v>
      </c>
      <c r="AD1077" t="s">
        <v>24</v>
      </c>
      <c r="AE1077">
        <v>756.40832238833502</v>
      </c>
    </row>
    <row r="1078" spans="25:31" x14ac:dyDescent="0.3">
      <c r="Y1078" t="str">
        <f t="shared" si="46"/>
        <v>Pass</v>
      </c>
      <c r="Z1078">
        <f t="shared" si="47"/>
        <v>642.1673583984375</v>
      </c>
      <c r="AA1078">
        <v>50</v>
      </c>
      <c r="AB1078">
        <v>15</v>
      </c>
      <c r="AC1078">
        <v>50</v>
      </c>
      <c r="AD1078" t="s">
        <v>25</v>
      </c>
      <c r="AE1078">
        <v>642.16739363066199</v>
      </c>
    </row>
    <row r="1079" spans="25:31" x14ac:dyDescent="0.3">
      <c r="Y1079" t="str">
        <f t="shared" si="46"/>
        <v>Pass</v>
      </c>
      <c r="Z1079">
        <f t="shared" si="47"/>
        <v>320.66079711914063</v>
      </c>
      <c r="AA1079">
        <v>50</v>
      </c>
      <c r="AB1079">
        <v>15</v>
      </c>
      <c r="AC1079">
        <v>50</v>
      </c>
      <c r="AD1079" t="s">
        <v>26</v>
      </c>
      <c r="AE1079">
        <v>320.66081047406999</v>
      </c>
    </row>
    <row r="1080" spans="25:31" x14ac:dyDescent="0.3">
      <c r="Y1080" t="str">
        <f t="shared" si="46"/>
        <v>Pass</v>
      </c>
      <c r="Z1080">
        <f t="shared" si="47"/>
        <v>1607.9354248046875</v>
      </c>
      <c r="AA1080">
        <v>50</v>
      </c>
      <c r="AB1080">
        <v>15</v>
      </c>
      <c r="AC1080">
        <v>60</v>
      </c>
      <c r="AD1080" t="s">
        <v>24</v>
      </c>
      <c r="AE1080">
        <v>1607.93544178466</v>
      </c>
    </row>
    <row r="1081" spans="25:31" x14ac:dyDescent="0.3">
      <c r="Y1081" t="str">
        <f t="shared" si="46"/>
        <v>Pass</v>
      </c>
      <c r="Z1081">
        <f t="shared" si="47"/>
        <v>1365.087646484375</v>
      </c>
      <c r="AA1081">
        <v>50</v>
      </c>
      <c r="AB1081">
        <v>15</v>
      </c>
      <c r="AC1081">
        <v>60</v>
      </c>
      <c r="AD1081" t="s">
        <v>25</v>
      </c>
      <c r="AE1081">
        <v>1365.08771944356</v>
      </c>
    </row>
    <row r="1082" spans="25:31" x14ac:dyDescent="0.3">
      <c r="Y1082" t="str">
        <f t="shared" si="46"/>
        <v>Pass</v>
      </c>
      <c r="Z1082">
        <f t="shared" si="47"/>
        <v>681.64483642578125</v>
      </c>
      <c r="AA1082">
        <v>50</v>
      </c>
      <c r="AB1082">
        <v>15</v>
      </c>
      <c r="AC1082">
        <v>60</v>
      </c>
      <c r="AD1082" t="s">
        <v>26</v>
      </c>
      <c r="AE1082">
        <v>681.64490883000201</v>
      </c>
    </row>
    <row r="1083" spans="25:31" x14ac:dyDescent="0.3">
      <c r="Y1083" t="str">
        <f t="shared" si="46"/>
        <v>Pass</v>
      </c>
      <c r="Z1083">
        <f t="shared" si="47"/>
        <v>2752.37353515625</v>
      </c>
      <c r="AA1083">
        <v>50</v>
      </c>
      <c r="AB1083">
        <v>15</v>
      </c>
      <c r="AC1083">
        <v>70</v>
      </c>
      <c r="AD1083" t="s">
        <v>24</v>
      </c>
      <c r="AE1083">
        <v>2752.3733077577599</v>
      </c>
    </row>
    <row r="1084" spans="25:31" x14ac:dyDescent="0.3">
      <c r="Y1084" t="str">
        <f t="shared" si="46"/>
        <v>Pass</v>
      </c>
      <c r="Z1084">
        <f t="shared" si="47"/>
        <v>2336.68017578125</v>
      </c>
      <c r="AA1084">
        <v>50</v>
      </c>
      <c r="AB1084">
        <v>15</v>
      </c>
      <c r="AC1084">
        <v>70</v>
      </c>
      <c r="AD1084" t="s">
        <v>25</v>
      </c>
      <c r="AE1084">
        <v>2336.6802572460201</v>
      </c>
    </row>
    <row r="1085" spans="25:31" x14ac:dyDescent="0.3">
      <c r="Y1085" t="str">
        <f t="shared" si="46"/>
        <v>Pass</v>
      </c>
      <c r="Z1085">
        <f t="shared" si="47"/>
        <v>1166.80126953125</v>
      </c>
      <c r="AA1085">
        <v>50</v>
      </c>
      <c r="AB1085">
        <v>15</v>
      </c>
      <c r="AC1085">
        <v>70</v>
      </c>
      <c r="AD1085" t="s">
        <v>26</v>
      </c>
      <c r="AE1085">
        <v>1166.8013551279901</v>
      </c>
    </row>
    <row r="1086" spans="25:31" x14ac:dyDescent="0.3">
      <c r="Y1086" t="str">
        <f t="shared" si="46"/>
        <v>Pass</v>
      </c>
      <c r="Z1086">
        <f t="shared" si="47"/>
        <v>3733.982666015625</v>
      </c>
      <c r="AA1086">
        <v>50</v>
      </c>
      <c r="AB1086">
        <v>15</v>
      </c>
      <c r="AC1086">
        <v>80</v>
      </c>
      <c r="AD1086" t="s">
        <v>24</v>
      </c>
      <c r="AE1086">
        <v>3733.9824033482901</v>
      </c>
    </row>
    <row r="1087" spans="25:31" x14ac:dyDescent="0.3">
      <c r="Y1087" t="str">
        <f t="shared" si="46"/>
        <v>Pass</v>
      </c>
      <c r="Z1087">
        <f t="shared" si="47"/>
        <v>3170.0361328125</v>
      </c>
      <c r="AA1087">
        <v>50</v>
      </c>
      <c r="AB1087">
        <v>15</v>
      </c>
      <c r="AC1087">
        <v>80</v>
      </c>
      <c r="AD1087" t="s">
        <v>25</v>
      </c>
      <c r="AE1087">
        <v>3170.0361786737299</v>
      </c>
    </row>
    <row r="1088" spans="25:31" x14ac:dyDescent="0.3">
      <c r="Y1088" t="str">
        <f t="shared" si="46"/>
        <v>Pass</v>
      </c>
      <c r="Z1088">
        <f t="shared" si="47"/>
        <v>1582.9305419921875</v>
      </c>
      <c r="AA1088">
        <v>50</v>
      </c>
      <c r="AB1088">
        <v>15</v>
      </c>
      <c r="AC1088">
        <v>80</v>
      </c>
      <c r="AD1088" t="s">
        <v>26</v>
      </c>
      <c r="AE1088">
        <v>1582.9305261647701</v>
      </c>
    </row>
    <row r="1089" spans="25:31" x14ac:dyDescent="0.3">
      <c r="Y1089" t="str">
        <f t="shared" si="46"/>
        <v>Pass</v>
      </c>
      <c r="Z1089">
        <f t="shared" si="47"/>
        <v>4300.46923828125</v>
      </c>
      <c r="AA1089">
        <v>50</v>
      </c>
      <c r="AB1089">
        <v>15</v>
      </c>
      <c r="AC1089">
        <v>90</v>
      </c>
      <c r="AD1089" t="s">
        <v>24</v>
      </c>
      <c r="AE1089">
        <v>4300.4691730274299</v>
      </c>
    </row>
    <row r="1090" spans="25:31" x14ac:dyDescent="0.3">
      <c r="Y1090" t="str">
        <f t="shared" si="46"/>
        <v>Pass</v>
      </c>
      <c r="Z1090">
        <f t="shared" si="47"/>
        <v>3650.966064453125</v>
      </c>
      <c r="AA1090">
        <v>50</v>
      </c>
      <c r="AB1090">
        <v>15</v>
      </c>
      <c r="AC1090">
        <v>90</v>
      </c>
      <c r="AD1090" t="s">
        <v>25</v>
      </c>
      <c r="AE1090">
        <v>3650.9660172858798</v>
      </c>
    </row>
    <row r="1091" spans="25:31" x14ac:dyDescent="0.3">
      <c r="Y1091" t="str">
        <f t="shared" si="46"/>
        <v>Pass</v>
      </c>
      <c r="Z1091">
        <f t="shared" si="47"/>
        <v>1823.0787353515625</v>
      </c>
      <c r="AA1091">
        <v>50</v>
      </c>
      <c r="AB1091">
        <v>15</v>
      </c>
      <c r="AC1091">
        <v>90</v>
      </c>
      <c r="AD1091" t="s">
        <v>26</v>
      </c>
      <c r="AE1091">
        <v>1823.0787388584099</v>
      </c>
    </row>
    <row r="1092" spans="25:31" x14ac:dyDescent="0.3">
      <c r="Y1092" t="str">
        <f t="shared" si="46"/>
        <v>Pass</v>
      </c>
      <c r="Z1092">
        <f t="shared" si="47"/>
        <v>4555.75146484375</v>
      </c>
      <c r="AA1092">
        <v>50</v>
      </c>
      <c r="AB1092">
        <v>15</v>
      </c>
      <c r="AC1092">
        <v>100</v>
      </c>
      <c r="AD1092" t="s">
        <v>24</v>
      </c>
      <c r="AE1092">
        <v>4555.7511745237898</v>
      </c>
    </row>
    <row r="1093" spans="25:31" x14ac:dyDescent="0.3">
      <c r="Y1093" t="str">
        <f t="shared" si="46"/>
        <v>Pass</v>
      </c>
      <c r="Z1093">
        <f t="shared" si="47"/>
        <v>3867.692626953125</v>
      </c>
      <c r="AA1093">
        <v>50</v>
      </c>
      <c r="AB1093">
        <v>15</v>
      </c>
      <c r="AC1093">
        <v>100</v>
      </c>
      <c r="AD1093" t="s">
        <v>25</v>
      </c>
      <c r="AE1093">
        <v>3867.6925824089599</v>
      </c>
    </row>
    <row r="1094" spans="25:31" x14ac:dyDescent="0.3">
      <c r="Y1094" t="str">
        <f t="shared" si="46"/>
        <v>Pass</v>
      </c>
      <c r="Z1094">
        <f t="shared" si="47"/>
        <v>1931.2991943359375</v>
      </c>
      <c r="AA1094">
        <v>50</v>
      </c>
      <c r="AB1094">
        <v>15</v>
      </c>
      <c r="AC1094">
        <v>100</v>
      </c>
      <c r="AD1094" t="s">
        <v>26</v>
      </c>
      <c r="AE1094">
        <v>1931.29930052647</v>
      </c>
    </row>
    <row r="1095" spans="25:31" x14ac:dyDescent="0.3">
      <c r="Y1095" t="str">
        <f t="shared" ref="Y1095:Y1158" si="48">IF(ISBLANK(Z1095),"",IF(ROUND(Z1095,0)=ROUND(AE1095,0),"Pass","Fail"))</f>
        <v>Pass</v>
      </c>
      <c r="Z1095">
        <f t="shared" ref="Z1095:Z1158" si="49">ROS_grass(AA1095,AB1095,AC1095,AD1095)</f>
        <v>2.7450089454650879</v>
      </c>
      <c r="AA1095">
        <v>50</v>
      </c>
      <c r="AB1095">
        <v>20</v>
      </c>
      <c r="AC1095">
        <v>0</v>
      </c>
      <c r="AD1095" t="s">
        <v>24</v>
      </c>
      <c r="AE1095">
        <v>2.7450089847750401</v>
      </c>
    </row>
    <row r="1096" spans="25:31" x14ac:dyDescent="0.3">
      <c r="Y1096" t="str">
        <f t="shared" si="48"/>
        <v>Pass</v>
      </c>
      <c r="Z1096">
        <f t="shared" si="49"/>
        <v>2.330427885055542</v>
      </c>
      <c r="AA1096">
        <v>50</v>
      </c>
      <c r="AB1096">
        <v>20</v>
      </c>
      <c r="AC1096">
        <v>0</v>
      </c>
      <c r="AD1096" t="s">
        <v>25</v>
      </c>
      <c r="AE1096">
        <v>2.3304281736085199</v>
      </c>
    </row>
    <row r="1097" spans="25:31" x14ac:dyDescent="0.3">
      <c r="Y1097" t="str">
        <f t="shared" si="48"/>
        <v>Pass</v>
      </c>
      <c r="Z1097">
        <f t="shared" si="49"/>
        <v>1.1636793613433838</v>
      </c>
      <c r="AA1097">
        <v>50</v>
      </c>
      <c r="AB1097">
        <v>20</v>
      </c>
      <c r="AC1097">
        <v>0</v>
      </c>
      <c r="AD1097" t="s">
        <v>26</v>
      </c>
      <c r="AE1097">
        <v>1.1636794304923901</v>
      </c>
    </row>
    <row r="1098" spans="25:31" x14ac:dyDescent="0.3">
      <c r="Y1098" t="str">
        <f t="shared" si="48"/>
        <v>Pass</v>
      </c>
      <c r="Z1098">
        <f t="shared" si="49"/>
        <v>7.4153323173522949</v>
      </c>
      <c r="AA1098">
        <v>50</v>
      </c>
      <c r="AB1098">
        <v>20</v>
      </c>
      <c r="AC1098">
        <v>10</v>
      </c>
      <c r="AD1098" t="s">
        <v>24</v>
      </c>
      <c r="AE1098">
        <v>7.41533250976146</v>
      </c>
    </row>
    <row r="1099" spans="25:31" x14ac:dyDescent="0.3">
      <c r="Y1099" t="str">
        <f t="shared" si="48"/>
        <v>Pass</v>
      </c>
      <c r="Z1099">
        <f t="shared" si="49"/>
        <v>6.2953886985778809</v>
      </c>
      <c r="AA1099">
        <v>50</v>
      </c>
      <c r="AB1099">
        <v>20</v>
      </c>
      <c r="AC1099">
        <v>10</v>
      </c>
      <c r="AD1099" t="s">
        <v>25</v>
      </c>
      <c r="AE1099">
        <v>6.2953891565639202</v>
      </c>
    </row>
    <row r="1100" spans="25:31" x14ac:dyDescent="0.3">
      <c r="Y1100" t="str">
        <f t="shared" si="48"/>
        <v>Pass</v>
      </c>
      <c r="Z1100">
        <f t="shared" si="49"/>
        <v>3.1435487270355225</v>
      </c>
      <c r="AA1100">
        <v>50</v>
      </c>
      <c r="AB1100">
        <v>20</v>
      </c>
      <c r="AC1100">
        <v>10</v>
      </c>
      <c r="AD1100" t="s">
        <v>26</v>
      </c>
      <c r="AE1100">
        <v>3.1435488771553701</v>
      </c>
    </row>
    <row r="1101" spans="25:31" x14ac:dyDescent="0.3">
      <c r="Y1101" t="str">
        <f t="shared" si="48"/>
        <v>Pass</v>
      </c>
      <c r="Z1101">
        <f t="shared" si="49"/>
        <v>19.955902099609375</v>
      </c>
      <c r="AA1101">
        <v>50</v>
      </c>
      <c r="AB1101">
        <v>20</v>
      </c>
      <c r="AC1101">
        <v>20</v>
      </c>
      <c r="AD1101" t="s">
        <v>24</v>
      </c>
      <c r="AE1101">
        <v>19.955901648904199</v>
      </c>
    </row>
    <row r="1102" spans="25:31" x14ac:dyDescent="0.3">
      <c r="Y1102" t="str">
        <f t="shared" si="48"/>
        <v>Pass</v>
      </c>
      <c r="Z1102">
        <f t="shared" si="49"/>
        <v>16.941946029663086</v>
      </c>
      <c r="AA1102">
        <v>50</v>
      </c>
      <c r="AB1102">
        <v>20</v>
      </c>
      <c r="AC1102">
        <v>20</v>
      </c>
      <c r="AD1102" t="s">
        <v>25</v>
      </c>
      <c r="AE1102">
        <v>16.941946525606198</v>
      </c>
    </row>
    <row r="1103" spans="25:31" x14ac:dyDescent="0.3">
      <c r="Y1103" t="str">
        <f t="shared" si="48"/>
        <v>Pass</v>
      </c>
      <c r="Z1103">
        <f t="shared" si="49"/>
        <v>8.4598159790039063</v>
      </c>
      <c r="AA1103">
        <v>50</v>
      </c>
      <c r="AB1103">
        <v>20</v>
      </c>
      <c r="AC1103">
        <v>20</v>
      </c>
      <c r="AD1103" t="s">
        <v>26</v>
      </c>
      <c r="AE1103">
        <v>8.4598164867800296</v>
      </c>
    </row>
    <row r="1104" spans="25:31" x14ac:dyDescent="0.3">
      <c r="Y1104" t="str">
        <f t="shared" si="48"/>
        <v>Pass</v>
      </c>
      <c r="Z1104">
        <f t="shared" si="49"/>
        <v>53.164600372314453</v>
      </c>
      <c r="AA1104">
        <v>50</v>
      </c>
      <c r="AB1104">
        <v>20</v>
      </c>
      <c r="AC1104">
        <v>30</v>
      </c>
      <c r="AD1104" t="s">
        <v>24</v>
      </c>
      <c r="AE1104">
        <v>53.164602108024603</v>
      </c>
    </row>
    <row r="1105" spans="25:31" x14ac:dyDescent="0.3">
      <c r="Y1105" t="str">
        <f t="shared" si="48"/>
        <v>Pass</v>
      </c>
      <c r="Z1105">
        <f t="shared" si="49"/>
        <v>45.135108947753906</v>
      </c>
      <c r="AA1105">
        <v>50</v>
      </c>
      <c r="AB1105">
        <v>20</v>
      </c>
      <c r="AC1105">
        <v>30</v>
      </c>
      <c r="AD1105" t="s">
        <v>25</v>
      </c>
      <c r="AE1105">
        <v>45.1351114981438</v>
      </c>
    </row>
    <row r="1106" spans="25:31" x14ac:dyDescent="0.3">
      <c r="Y1106" t="str">
        <f t="shared" si="48"/>
        <v>Pass</v>
      </c>
      <c r="Z1106">
        <f t="shared" si="49"/>
        <v>22.537832260131836</v>
      </c>
      <c r="AA1106">
        <v>50</v>
      </c>
      <c r="AB1106">
        <v>20</v>
      </c>
      <c r="AC1106">
        <v>30</v>
      </c>
      <c r="AD1106" t="s">
        <v>26</v>
      </c>
      <c r="AE1106">
        <v>22.537832934813199</v>
      </c>
    </row>
    <row r="1107" spans="25:31" x14ac:dyDescent="0.3">
      <c r="Y1107" t="str">
        <f t="shared" si="48"/>
        <v>Pass</v>
      </c>
      <c r="Z1107">
        <f t="shared" si="49"/>
        <v>137.96208190917969</v>
      </c>
      <c r="AA1107">
        <v>50</v>
      </c>
      <c r="AB1107">
        <v>20</v>
      </c>
      <c r="AC1107">
        <v>40</v>
      </c>
      <c r="AD1107" t="s">
        <v>24</v>
      </c>
      <c r="AE1107">
        <v>137.962090187342</v>
      </c>
    </row>
    <row r="1108" spans="25:31" x14ac:dyDescent="0.3">
      <c r="Y1108" t="str">
        <f t="shared" si="48"/>
        <v>Pass</v>
      </c>
      <c r="Z1108">
        <f t="shared" si="49"/>
        <v>117.12555694580078</v>
      </c>
      <c r="AA1108">
        <v>50</v>
      </c>
      <c r="AB1108">
        <v>20</v>
      </c>
      <c r="AC1108">
        <v>40</v>
      </c>
      <c r="AD1108" t="s">
        <v>25</v>
      </c>
      <c r="AE1108">
        <v>117.12556995104001</v>
      </c>
    </row>
    <row r="1109" spans="25:31" x14ac:dyDescent="0.3">
      <c r="Y1109" t="str">
        <f t="shared" si="48"/>
        <v>Pass</v>
      </c>
      <c r="Z1109">
        <f t="shared" si="49"/>
        <v>58.485649108886719</v>
      </c>
      <c r="AA1109">
        <v>50</v>
      </c>
      <c r="AB1109">
        <v>20</v>
      </c>
      <c r="AC1109">
        <v>40</v>
      </c>
      <c r="AD1109" t="s">
        <v>26</v>
      </c>
      <c r="AE1109">
        <v>58.485654301748703</v>
      </c>
    </row>
    <row r="1110" spans="25:31" x14ac:dyDescent="0.3">
      <c r="Y1110" t="str">
        <f t="shared" si="48"/>
        <v>Pass</v>
      </c>
      <c r="Z1110">
        <f t="shared" si="49"/>
        <v>335.771484375</v>
      </c>
      <c r="AA1110">
        <v>50</v>
      </c>
      <c r="AB1110">
        <v>20</v>
      </c>
      <c r="AC1110">
        <v>50</v>
      </c>
      <c r="AD1110" t="s">
        <v>24</v>
      </c>
      <c r="AE1110">
        <v>335.77149920652897</v>
      </c>
    </row>
    <row r="1111" spans="25:31" x14ac:dyDescent="0.3">
      <c r="Y1111" t="str">
        <f t="shared" si="48"/>
        <v>Pass</v>
      </c>
      <c r="Z1111">
        <f t="shared" si="49"/>
        <v>285.05963134765625</v>
      </c>
      <c r="AA1111">
        <v>50</v>
      </c>
      <c r="AB1111">
        <v>20</v>
      </c>
      <c r="AC1111">
        <v>50</v>
      </c>
      <c r="AD1111" t="s">
        <v>25</v>
      </c>
      <c r="AE1111">
        <v>285.05967229458599</v>
      </c>
    </row>
    <row r="1112" spans="25:31" x14ac:dyDescent="0.3">
      <c r="Y1112" t="str">
        <f t="shared" si="48"/>
        <v>Pass</v>
      </c>
      <c r="Z1112">
        <f t="shared" si="49"/>
        <v>142.34210205078125</v>
      </c>
      <c r="AA1112">
        <v>50</v>
      </c>
      <c r="AB1112">
        <v>20</v>
      </c>
      <c r="AC1112">
        <v>50</v>
      </c>
      <c r="AD1112" t="s">
        <v>26</v>
      </c>
      <c r="AE1112">
        <v>142.342115868977</v>
      </c>
    </row>
    <row r="1113" spans="25:31" x14ac:dyDescent="0.3">
      <c r="Y1113" t="str">
        <f t="shared" si="48"/>
        <v>Pass</v>
      </c>
      <c r="Z1113">
        <f t="shared" si="49"/>
        <v>713.76641845703125</v>
      </c>
      <c r="AA1113">
        <v>50</v>
      </c>
      <c r="AB1113">
        <v>20</v>
      </c>
      <c r="AC1113">
        <v>60</v>
      </c>
      <c r="AD1113" t="s">
        <v>24</v>
      </c>
      <c r="AE1113">
        <v>713.76646440197101</v>
      </c>
    </row>
    <row r="1114" spans="25:31" x14ac:dyDescent="0.3">
      <c r="Y1114" t="str">
        <f t="shared" si="48"/>
        <v>Pass</v>
      </c>
      <c r="Z1114">
        <f t="shared" si="49"/>
        <v>605.9656982421875</v>
      </c>
      <c r="AA1114">
        <v>50</v>
      </c>
      <c r="AB1114">
        <v>20</v>
      </c>
      <c r="AC1114">
        <v>60</v>
      </c>
      <c r="AD1114" t="s">
        <v>25</v>
      </c>
      <c r="AE1114">
        <v>605.96576814323998</v>
      </c>
    </row>
    <row r="1115" spans="25:31" x14ac:dyDescent="0.3">
      <c r="Y1115" t="str">
        <f t="shared" si="48"/>
        <v>Pass</v>
      </c>
      <c r="Z1115">
        <f t="shared" si="49"/>
        <v>302.58380126953125</v>
      </c>
      <c r="AA1115">
        <v>50</v>
      </c>
      <c r="AB1115">
        <v>20</v>
      </c>
      <c r="AC1115">
        <v>60</v>
      </c>
      <c r="AD1115" t="s">
        <v>26</v>
      </c>
      <c r="AE1115">
        <v>302.58383757819598</v>
      </c>
    </row>
    <row r="1116" spans="25:31" x14ac:dyDescent="0.3">
      <c r="Y1116" t="str">
        <f t="shared" si="48"/>
        <v>Pass</v>
      </c>
      <c r="Z1116">
        <f t="shared" si="49"/>
        <v>1221.78515625</v>
      </c>
      <c r="AA1116">
        <v>50</v>
      </c>
      <c r="AB1116">
        <v>20</v>
      </c>
      <c r="AC1116">
        <v>70</v>
      </c>
      <c r="AD1116" t="s">
        <v>24</v>
      </c>
      <c r="AE1116">
        <v>1221.78522441929</v>
      </c>
    </row>
    <row r="1117" spans="25:31" x14ac:dyDescent="0.3">
      <c r="Y1117" t="str">
        <f t="shared" si="48"/>
        <v>Pass</v>
      </c>
      <c r="Z1117">
        <f t="shared" si="49"/>
        <v>1037.2579345703125</v>
      </c>
      <c r="AA1117">
        <v>50</v>
      </c>
      <c r="AB1117">
        <v>20</v>
      </c>
      <c r="AC1117">
        <v>70</v>
      </c>
      <c r="AD1117" t="s">
        <v>25</v>
      </c>
      <c r="AE1117">
        <v>1037.25806541164</v>
      </c>
    </row>
    <row r="1118" spans="25:31" x14ac:dyDescent="0.3">
      <c r="Y1118" t="str">
        <f t="shared" si="48"/>
        <v>Pass</v>
      </c>
      <c r="Z1118">
        <f t="shared" si="49"/>
        <v>517.9459228515625</v>
      </c>
      <c r="AA1118">
        <v>50</v>
      </c>
      <c r="AB1118">
        <v>20</v>
      </c>
      <c r="AC1118">
        <v>70</v>
      </c>
      <c r="AD1118" t="s">
        <v>26</v>
      </c>
      <c r="AE1118">
        <v>517.94596739827898</v>
      </c>
    </row>
    <row r="1119" spans="25:31" x14ac:dyDescent="0.3">
      <c r="Y1119" t="str">
        <f t="shared" si="48"/>
        <v>Pass</v>
      </c>
      <c r="Z1119">
        <f t="shared" si="49"/>
        <v>1657.52392578125</v>
      </c>
      <c r="AA1119">
        <v>50</v>
      </c>
      <c r="AB1119">
        <v>20</v>
      </c>
      <c r="AC1119">
        <v>80</v>
      </c>
      <c r="AD1119" t="s">
        <v>24</v>
      </c>
      <c r="AE1119">
        <v>1657.52389612046</v>
      </c>
    </row>
    <row r="1120" spans="25:31" x14ac:dyDescent="0.3">
      <c r="Y1120" t="str">
        <f t="shared" si="48"/>
        <v>Pass</v>
      </c>
      <c r="Z1120">
        <f t="shared" si="49"/>
        <v>1407.186767578125</v>
      </c>
      <c r="AA1120">
        <v>50</v>
      </c>
      <c r="AB1120">
        <v>20</v>
      </c>
      <c r="AC1120">
        <v>80</v>
      </c>
      <c r="AD1120" t="s">
        <v>25</v>
      </c>
      <c r="AE1120">
        <v>1407.1867915088301</v>
      </c>
    </row>
    <row r="1121" spans="25:31" x14ac:dyDescent="0.3">
      <c r="Y1121" t="str">
        <f t="shared" si="48"/>
        <v>Pass</v>
      </c>
      <c r="Z1121">
        <f t="shared" si="49"/>
        <v>702.66668701171875</v>
      </c>
      <c r="AA1121">
        <v>50</v>
      </c>
      <c r="AB1121">
        <v>20</v>
      </c>
      <c r="AC1121">
        <v>80</v>
      </c>
      <c r="AD1121" t="s">
        <v>26</v>
      </c>
      <c r="AE1121">
        <v>702.66672137070304</v>
      </c>
    </row>
    <row r="1122" spans="25:31" x14ac:dyDescent="0.3">
      <c r="Y1122" t="str">
        <f t="shared" si="48"/>
        <v>Pass</v>
      </c>
      <c r="Z1122">
        <f t="shared" si="49"/>
        <v>1908.98876953125</v>
      </c>
      <c r="AA1122">
        <v>50</v>
      </c>
      <c r="AB1122">
        <v>20</v>
      </c>
      <c r="AC1122">
        <v>90</v>
      </c>
      <c r="AD1122" t="s">
        <v>24</v>
      </c>
      <c r="AE1122">
        <v>1908.98875485608</v>
      </c>
    </row>
    <row r="1123" spans="25:31" x14ac:dyDescent="0.3">
      <c r="Y1123" t="str">
        <f t="shared" si="48"/>
        <v>Pass</v>
      </c>
      <c r="Z1123">
        <f t="shared" si="49"/>
        <v>1620.672607421875</v>
      </c>
      <c r="AA1123">
        <v>50</v>
      </c>
      <c r="AB1123">
        <v>20</v>
      </c>
      <c r="AC1123">
        <v>90</v>
      </c>
      <c r="AD1123" t="s">
        <v>25</v>
      </c>
      <c r="AE1123">
        <v>1620.67271986836</v>
      </c>
    </row>
    <row r="1124" spans="25:31" x14ac:dyDescent="0.3">
      <c r="Y1124" t="str">
        <f t="shared" si="48"/>
        <v>Pass</v>
      </c>
      <c r="Z1124">
        <f t="shared" si="49"/>
        <v>809.26904296875</v>
      </c>
      <c r="AA1124">
        <v>50</v>
      </c>
      <c r="AB1124">
        <v>20</v>
      </c>
      <c r="AC1124">
        <v>90</v>
      </c>
      <c r="AD1124" t="s">
        <v>26</v>
      </c>
      <c r="AE1124">
        <v>809.269098712757</v>
      </c>
    </row>
    <row r="1125" spans="25:31" x14ac:dyDescent="0.3">
      <c r="Y1125" t="str">
        <f t="shared" si="48"/>
        <v>Pass</v>
      </c>
      <c r="Z1125">
        <f t="shared" si="49"/>
        <v>2022.30908203125</v>
      </c>
      <c r="AA1125">
        <v>50</v>
      </c>
      <c r="AB1125">
        <v>20</v>
      </c>
      <c r="AC1125">
        <v>100</v>
      </c>
      <c r="AD1125" t="s">
        <v>24</v>
      </c>
      <c r="AE1125">
        <v>2022.30905795934</v>
      </c>
    </row>
    <row r="1126" spans="25:31" x14ac:dyDescent="0.3">
      <c r="Y1126" t="str">
        <f t="shared" si="48"/>
        <v>Pass</v>
      </c>
      <c r="Z1126">
        <f t="shared" si="49"/>
        <v>1716.8780517578125</v>
      </c>
      <c r="AA1126">
        <v>50</v>
      </c>
      <c r="AB1126">
        <v>20</v>
      </c>
      <c r="AC1126">
        <v>100</v>
      </c>
      <c r="AD1126" t="s">
        <v>25</v>
      </c>
      <c r="AE1126">
        <v>1716.8781707278799</v>
      </c>
    </row>
    <row r="1127" spans="25:31" x14ac:dyDescent="0.3">
      <c r="Y1127" t="str">
        <f t="shared" si="48"/>
        <v>Pass</v>
      </c>
      <c r="Z1127">
        <f t="shared" si="49"/>
        <v>857.30841064453125</v>
      </c>
      <c r="AA1127">
        <v>50</v>
      </c>
      <c r="AB1127">
        <v>20</v>
      </c>
      <c r="AC1127">
        <v>100</v>
      </c>
      <c r="AD1127" t="s">
        <v>26</v>
      </c>
      <c r="AE1127">
        <v>857.30846998980098</v>
      </c>
    </row>
    <row r="1128" spans="25:31" x14ac:dyDescent="0.3">
      <c r="Y1128" t="str">
        <f t="shared" si="48"/>
        <v>Pass</v>
      </c>
      <c r="Z1128">
        <f t="shared" si="49"/>
        <v>3.0164936557412148E-2</v>
      </c>
      <c r="AA1128">
        <v>50</v>
      </c>
      <c r="AB1128">
        <v>25</v>
      </c>
      <c r="AC1128">
        <v>0</v>
      </c>
      <c r="AD1128" t="s">
        <v>24</v>
      </c>
      <c r="AE1128">
        <v>3.0164933898626799E-2</v>
      </c>
    </row>
    <row r="1129" spans="25:31" x14ac:dyDescent="0.3">
      <c r="Y1129" t="str">
        <f t="shared" si="48"/>
        <v>Pass</v>
      </c>
      <c r="Z1129">
        <f t="shared" si="49"/>
        <v>2.5609102100133896E-2</v>
      </c>
      <c r="AA1129">
        <v>50</v>
      </c>
      <c r="AB1129">
        <v>25</v>
      </c>
      <c r="AC1129">
        <v>0</v>
      </c>
      <c r="AD1129" t="s">
        <v>25</v>
      </c>
      <c r="AE1129">
        <v>2.5609100808884899E-2</v>
      </c>
    </row>
    <row r="1130" spans="25:31" x14ac:dyDescent="0.3">
      <c r="Y1130" t="str">
        <f t="shared" si="48"/>
        <v>Pass</v>
      </c>
      <c r="Z1130">
        <f t="shared" si="49"/>
        <v>1.2787684798240662E-2</v>
      </c>
      <c r="AA1130">
        <v>50</v>
      </c>
      <c r="AB1130">
        <v>25</v>
      </c>
      <c r="AC1130">
        <v>0</v>
      </c>
      <c r="AD1130" t="s">
        <v>26</v>
      </c>
      <c r="AE1130">
        <v>1.2787686049367E-2</v>
      </c>
    </row>
    <row r="1131" spans="25:31" x14ac:dyDescent="0.3">
      <c r="Y1131" t="str">
        <f t="shared" si="48"/>
        <v>Pass</v>
      </c>
      <c r="Z1131">
        <f t="shared" si="49"/>
        <v>8.1487178802490234E-2</v>
      </c>
      <c r="AA1131">
        <v>50</v>
      </c>
      <c r="AB1131">
        <v>25</v>
      </c>
      <c r="AC1131">
        <v>10</v>
      </c>
      <c r="AD1131" t="s">
        <v>24</v>
      </c>
      <c r="AE1131">
        <v>8.1487170436939094E-2</v>
      </c>
    </row>
    <row r="1132" spans="25:31" x14ac:dyDescent="0.3">
      <c r="Y1132" t="str">
        <f t="shared" si="48"/>
        <v>Pass</v>
      </c>
      <c r="Z1132">
        <f t="shared" si="49"/>
        <v>6.9180101156234741E-2</v>
      </c>
      <c r="AA1132">
        <v>50</v>
      </c>
      <c r="AB1132">
        <v>25</v>
      </c>
      <c r="AC1132">
        <v>10</v>
      </c>
      <c r="AD1132" t="s">
        <v>25</v>
      </c>
      <c r="AE1132">
        <v>6.91801006215816E-2</v>
      </c>
    </row>
    <row r="1133" spans="25:31" x14ac:dyDescent="0.3">
      <c r="Y1133" t="str">
        <f t="shared" si="48"/>
        <v>Pass</v>
      </c>
      <c r="Z1133">
        <f t="shared" si="49"/>
        <v>3.4544490277767181E-2</v>
      </c>
      <c r="AA1133">
        <v>50</v>
      </c>
      <c r="AB1133">
        <v>25</v>
      </c>
      <c r="AC1133">
        <v>10</v>
      </c>
      <c r="AD1133" t="s">
        <v>26</v>
      </c>
      <c r="AE1133">
        <v>3.4544493155553503E-2</v>
      </c>
    </row>
    <row r="1134" spans="25:31" x14ac:dyDescent="0.3">
      <c r="Y1134" t="str">
        <f t="shared" si="48"/>
        <v>Pass</v>
      </c>
      <c r="Z1134">
        <f t="shared" si="49"/>
        <v>0.21929565072059631</v>
      </c>
      <c r="AA1134">
        <v>50</v>
      </c>
      <c r="AB1134">
        <v>25</v>
      </c>
      <c r="AC1134">
        <v>20</v>
      </c>
      <c r="AD1134" t="s">
        <v>24</v>
      </c>
      <c r="AE1134">
        <v>0.219295622515431</v>
      </c>
    </row>
    <row r="1135" spans="25:31" x14ac:dyDescent="0.3">
      <c r="Y1135" t="str">
        <f t="shared" si="48"/>
        <v>Pass</v>
      </c>
      <c r="Z1135">
        <f t="shared" si="49"/>
        <v>0.18617525696754456</v>
      </c>
      <c r="AA1135">
        <v>50</v>
      </c>
      <c r="AB1135">
        <v>25</v>
      </c>
      <c r="AC1135">
        <v>20</v>
      </c>
      <c r="AD1135" t="s">
        <v>25</v>
      </c>
      <c r="AE1135">
        <v>0.186175236545123</v>
      </c>
    </row>
    <row r="1136" spans="25:31" x14ac:dyDescent="0.3">
      <c r="Y1136" t="str">
        <f t="shared" si="48"/>
        <v>Pass</v>
      </c>
      <c r="Z1136">
        <f t="shared" si="49"/>
        <v>9.2965014278888702E-2</v>
      </c>
      <c r="AA1136">
        <v>50</v>
      </c>
      <c r="AB1136">
        <v>25</v>
      </c>
      <c r="AC1136">
        <v>20</v>
      </c>
      <c r="AD1136" t="s">
        <v>26</v>
      </c>
      <c r="AE1136">
        <v>9.2965016338242099E-2</v>
      </c>
    </row>
    <row r="1137" spans="25:31" x14ac:dyDescent="0.3">
      <c r="Y1137" t="str">
        <f t="shared" si="48"/>
        <v>Pass</v>
      </c>
      <c r="Z1137">
        <f t="shared" si="49"/>
        <v>0.58422642946243286</v>
      </c>
      <c r="AA1137">
        <v>50</v>
      </c>
      <c r="AB1137">
        <v>25</v>
      </c>
      <c r="AC1137">
        <v>30</v>
      </c>
      <c r="AD1137" t="s">
        <v>24</v>
      </c>
      <c r="AE1137">
        <v>0.58422639679148003</v>
      </c>
    </row>
    <row r="1138" spans="25:31" x14ac:dyDescent="0.3">
      <c r="Y1138" t="str">
        <f t="shared" si="48"/>
        <v>Pass</v>
      </c>
      <c r="Z1138">
        <f t="shared" si="49"/>
        <v>0.49599024653434753</v>
      </c>
      <c r="AA1138">
        <v>50</v>
      </c>
      <c r="AB1138">
        <v>25</v>
      </c>
      <c r="AC1138">
        <v>30</v>
      </c>
      <c r="AD1138" t="s">
        <v>25</v>
      </c>
      <c r="AE1138">
        <v>0.49599023624333799</v>
      </c>
    </row>
    <row r="1139" spans="25:31" x14ac:dyDescent="0.3">
      <c r="Y1139" t="str">
        <f t="shared" si="48"/>
        <v>Pass</v>
      </c>
      <c r="Z1139">
        <f t="shared" si="49"/>
        <v>0.24766847491264343</v>
      </c>
      <c r="AA1139">
        <v>50</v>
      </c>
      <c r="AB1139">
        <v>25</v>
      </c>
      <c r="AC1139">
        <v>30</v>
      </c>
      <c r="AD1139" t="s">
        <v>26</v>
      </c>
      <c r="AE1139">
        <v>0.24766849378915601</v>
      </c>
    </row>
    <row r="1140" spans="25:31" x14ac:dyDescent="0.3">
      <c r="Y1140" t="str">
        <f t="shared" si="48"/>
        <v>Pass</v>
      </c>
      <c r="Z1140">
        <f t="shared" si="49"/>
        <v>1.5160670280456543</v>
      </c>
      <c r="AA1140">
        <v>50</v>
      </c>
      <c r="AB1140">
        <v>25</v>
      </c>
      <c r="AC1140">
        <v>40</v>
      </c>
      <c r="AD1140" t="s">
        <v>24</v>
      </c>
      <c r="AE1140">
        <v>1.51606692513562</v>
      </c>
    </row>
    <row r="1141" spans="25:31" x14ac:dyDescent="0.3">
      <c r="Y1141" t="str">
        <f t="shared" si="48"/>
        <v>Pass</v>
      </c>
      <c r="Z1141">
        <f t="shared" si="49"/>
        <v>1.2870941162109375</v>
      </c>
      <c r="AA1141">
        <v>50</v>
      </c>
      <c r="AB1141">
        <v>25</v>
      </c>
      <c r="AC1141">
        <v>40</v>
      </c>
      <c r="AD1141" t="s">
        <v>25</v>
      </c>
      <c r="AE1141">
        <v>1.28709417528615</v>
      </c>
    </row>
    <row r="1142" spans="25:31" x14ac:dyDescent="0.3">
      <c r="Y1142" t="str">
        <f t="shared" si="48"/>
        <v>Pass</v>
      </c>
      <c r="Z1142">
        <f t="shared" si="49"/>
        <v>0.64269942045211792</v>
      </c>
      <c r="AA1142">
        <v>50</v>
      </c>
      <c r="AB1142">
        <v>25</v>
      </c>
      <c r="AC1142">
        <v>40</v>
      </c>
      <c r="AD1142" t="s">
        <v>26</v>
      </c>
      <c r="AE1142">
        <v>0.642699497821415</v>
      </c>
    </row>
    <row r="1143" spans="25:31" x14ac:dyDescent="0.3">
      <c r="Y1143" t="str">
        <f t="shared" si="48"/>
        <v>Pass</v>
      </c>
      <c r="Z1143">
        <f t="shared" si="49"/>
        <v>3.6897969245910645</v>
      </c>
      <c r="AA1143">
        <v>50</v>
      </c>
      <c r="AB1143">
        <v>25</v>
      </c>
      <c r="AC1143">
        <v>50</v>
      </c>
      <c r="AD1143" t="s">
        <v>24</v>
      </c>
      <c r="AE1143">
        <v>3.68979669457724</v>
      </c>
    </row>
    <row r="1144" spans="25:31" x14ac:dyDescent="0.3">
      <c r="Y1144" t="str">
        <f t="shared" si="48"/>
        <v>Pass</v>
      </c>
      <c r="Z1144">
        <f t="shared" si="49"/>
        <v>3.132523775100708</v>
      </c>
      <c r="AA1144">
        <v>50</v>
      </c>
      <c r="AB1144">
        <v>25</v>
      </c>
      <c r="AC1144">
        <v>50</v>
      </c>
      <c r="AD1144" t="s">
        <v>25</v>
      </c>
      <c r="AE1144">
        <v>3.1325238713690799</v>
      </c>
    </row>
    <row r="1145" spans="25:31" x14ac:dyDescent="0.3">
      <c r="Y1145" t="str">
        <f t="shared" si="48"/>
        <v>Pass</v>
      </c>
      <c r="Z1145">
        <f t="shared" si="49"/>
        <v>1.5641989707946777</v>
      </c>
      <c r="AA1145">
        <v>50</v>
      </c>
      <c r="AB1145">
        <v>25</v>
      </c>
      <c r="AC1145">
        <v>50</v>
      </c>
      <c r="AD1145" t="s">
        <v>26</v>
      </c>
      <c r="AE1145">
        <v>1.56419907548326</v>
      </c>
    </row>
    <row r="1146" spans="25:31" x14ac:dyDescent="0.3">
      <c r="Y1146" t="str">
        <f t="shared" si="48"/>
        <v>Pass</v>
      </c>
      <c r="Z1146">
        <f t="shared" si="49"/>
        <v>7.8435878753662109</v>
      </c>
      <c r="AA1146">
        <v>50</v>
      </c>
      <c r="AB1146">
        <v>25</v>
      </c>
      <c r="AC1146">
        <v>60</v>
      </c>
      <c r="AD1146" t="s">
        <v>24</v>
      </c>
      <c r="AE1146">
        <v>7.8435875209007797</v>
      </c>
    </row>
    <row r="1147" spans="25:31" x14ac:dyDescent="0.3">
      <c r="Y1147" t="str">
        <f t="shared" si="48"/>
        <v>Pass</v>
      </c>
      <c r="Z1147">
        <f t="shared" si="49"/>
        <v>6.6589646339416504</v>
      </c>
      <c r="AA1147">
        <v>50</v>
      </c>
      <c r="AB1147">
        <v>25</v>
      </c>
      <c r="AC1147">
        <v>60</v>
      </c>
      <c r="AD1147" t="s">
        <v>25</v>
      </c>
      <c r="AE1147">
        <v>6.6589644850905501</v>
      </c>
    </row>
    <row r="1148" spans="25:31" x14ac:dyDescent="0.3">
      <c r="Y1148" t="str">
        <f t="shared" si="48"/>
        <v>Pass</v>
      </c>
      <c r="Z1148">
        <f t="shared" si="49"/>
        <v>3.3250968456268311</v>
      </c>
      <c r="AA1148">
        <v>50</v>
      </c>
      <c r="AB1148">
        <v>25</v>
      </c>
      <c r="AC1148">
        <v>60</v>
      </c>
      <c r="AD1148" t="s">
        <v>26</v>
      </c>
      <c r="AE1148">
        <v>3.32509711624391</v>
      </c>
    </row>
    <row r="1149" spans="25:31" x14ac:dyDescent="0.3">
      <c r="Y1149" t="str">
        <f t="shared" si="48"/>
        <v>Pass</v>
      </c>
      <c r="Z1149">
        <f t="shared" si="49"/>
        <v>13.426212310791016</v>
      </c>
      <c r="AA1149">
        <v>50</v>
      </c>
      <c r="AB1149">
        <v>25</v>
      </c>
      <c r="AC1149">
        <v>70</v>
      </c>
      <c r="AD1149" t="s">
        <v>24</v>
      </c>
      <c r="AE1149">
        <v>13.4262112573549</v>
      </c>
    </row>
    <row r="1150" spans="25:31" x14ac:dyDescent="0.3">
      <c r="Y1150" t="str">
        <f t="shared" si="48"/>
        <v>Pass</v>
      </c>
      <c r="Z1150">
        <f t="shared" si="49"/>
        <v>11.398440361022949</v>
      </c>
      <c r="AA1150">
        <v>50</v>
      </c>
      <c r="AB1150">
        <v>25</v>
      </c>
      <c r="AC1150">
        <v>70</v>
      </c>
      <c r="AD1150" t="s">
        <v>25</v>
      </c>
      <c r="AE1150">
        <v>11.398440279248801</v>
      </c>
    </row>
    <row r="1151" spans="25:31" x14ac:dyDescent="0.3">
      <c r="Y1151" t="str">
        <f t="shared" si="48"/>
        <v>Pass</v>
      </c>
      <c r="Z1151">
        <f t="shared" si="49"/>
        <v>5.691713809967041</v>
      </c>
      <c r="AA1151">
        <v>50</v>
      </c>
      <c r="AB1151">
        <v>25</v>
      </c>
      <c r="AC1151">
        <v>70</v>
      </c>
      <c r="AD1151" t="s">
        <v>26</v>
      </c>
      <c r="AE1151">
        <v>5.6917139274536197</v>
      </c>
    </row>
    <row r="1152" spans="25:31" x14ac:dyDescent="0.3">
      <c r="Y1152" t="str">
        <f t="shared" si="48"/>
        <v>Pass</v>
      </c>
      <c r="Z1152">
        <f t="shared" si="49"/>
        <v>18.214550018310547</v>
      </c>
      <c r="AA1152">
        <v>50</v>
      </c>
      <c r="AB1152">
        <v>25</v>
      </c>
      <c r="AC1152">
        <v>80</v>
      </c>
      <c r="AD1152" t="s">
        <v>24</v>
      </c>
      <c r="AE1152">
        <v>18.214548309015999</v>
      </c>
    </row>
    <row r="1153" spans="25:31" x14ac:dyDescent="0.3">
      <c r="Y1153" t="str">
        <f t="shared" si="48"/>
        <v>Pass</v>
      </c>
      <c r="Z1153">
        <f t="shared" si="49"/>
        <v>15.463592529296875</v>
      </c>
      <c r="AA1153">
        <v>50</v>
      </c>
      <c r="AB1153">
        <v>25</v>
      </c>
      <c r="AC1153">
        <v>80</v>
      </c>
      <c r="AD1153" t="s">
        <v>25</v>
      </c>
      <c r="AE1153">
        <v>15.4635911154816</v>
      </c>
    </row>
    <row r="1154" spans="25:31" x14ac:dyDescent="0.3">
      <c r="Y1154" t="str">
        <f t="shared" si="48"/>
        <v>Pass</v>
      </c>
      <c r="Z1154">
        <f t="shared" si="49"/>
        <v>7.7216119766235352</v>
      </c>
      <c r="AA1154">
        <v>50</v>
      </c>
      <c r="AB1154">
        <v>25</v>
      </c>
      <c r="AC1154">
        <v>80</v>
      </c>
      <c r="AD1154" t="s">
        <v>26</v>
      </c>
      <c r="AE1154">
        <v>7.7216123227549804</v>
      </c>
    </row>
    <row r="1155" spans="25:31" x14ac:dyDescent="0.3">
      <c r="Y1155" t="str">
        <f t="shared" si="48"/>
        <v>Pass</v>
      </c>
      <c r="Z1155">
        <f t="shared" si="49"/>
        <v>20.977901458740234</v>
      </c>
      <c r="AA1155">
        <v>50</v>
      </c>
      <c r="AB1155">
        <v>25</v>
      </c>
      <c r="AC1155">
        <v>90</v>
      </c>
      <c r="AD1155" t="s">
        <v>24</v>
      </c>
      <c r="AE1155">
        <v>20.9778984050118</v>
      </c>
    </row>
    <row r="1156" spans="25:31" x14ac:dyDescent="0.3">
      <c r="Y1156" t="str">
        <f t="shared" si="48"/>
        <v>Pass</v>
      </c>
      <c r="Z1156">
        <f t="shared" si="49"/>
        <v>17.809591293334961</v>
      </c>
      <c r="AA1156">
        <v>50</v>
      </c>
      <c r="AB1156">
        <v>25</v>
      </c>
      <c r="AC1156">
        <v>90</v>
      </c>
      <c r="AD1156" t="s">
        <v>25</v>
      </c>
      <c r="AE1156">
        <v>17.809590328223798</v>
      </c>
    </row>
    <row r="1157" spans="25:31" x14ac:dyDescent="0.3">
      <c r="Y1157" t="str">
        <f t="shared" si="48"/>
        <v>Pass</v>
      </c>
      <c r="Z1157">
        <f t="shared" si="49"/>
        <v>8.89306640625</v>
      </c>
      <c r="AA1157">
        <v>50</v>
      </c>
      <c r="AB1157">
        <v>25</v>
      </c>
      <c r="AC1157">
        <v>90</v>
      </c>
      <c r="AD1157" t="s">
        <v>26</v>
      </c>
      <c r="AE1157">
        <v>8.89306701882151</v>
      </c>
    </row>
    <row r="1158" spans="25:31" x14ac:dyDescent="0.3">
      <c r="Y1158" t="str">
        <f t="shared" si="48"/>
        <v>Pass</v>
      </c>
      <c r="Z1158">
        <f t="shared" si="49"/>
        <v>22.223178863525391</v>
      </c>
      <c r="AA1158">
        <v>50</v>
      </c>
      <c r="AB1158">
        <v>25</v>
      </c>
      <c r="AC1158">
        <v>100</v>
      </c>
      <c r="AD1158" t="s">
        <v>24</v>
      </c>
      <c r="AE1158">
        <v>22.223176461091601</v>
      </c>
    </row>
    <row r="1159" spans="25:31" x14ac:dyDescent="0.3">
      <c r="Y1159" t="str">
        <f t="shared" ref="Y1159:Y1222" si="50">IF(ISBLANK(Z1159),"",IF(ROUND(Z1159,0)=ROUND(AE1159,0),"Pass","Fail"))</f>
        <v>Pass</v>
      </c>
      <c r="Z1159">
        <f t="shared" ref="Z1159:Z1222" si="51">ROS_grass(AA1159,AB1159,AC1159,AD1159)</f>
        <v>18.866794586181641</v>
      </c>
      <c r="AA1159">
        <v>50</v>
      </c>
      <c r="AB1159">
        <v>25</v>
      </c>
      <c r="AC1159">
        <v>100</v>
      </c>
      <c r="AD1159" t="s">
        <v>25</v>
      </c>
      <c r="AE1159">
        <v>18.866793084921699</v>
      </c>
    </row>
    <row r="1160" spans="25:31" x14ac:dyDescent="0.3">
      <c r="Y1160" t="str">
        <f t="shared" si="50"/>
        <v>Pass</v>
      </c>
      <c r="Z1160">
        <f t="shared" si="51"/>
        <v>9.4209718704223633</v>
      </c>
      <c r="AA1160">
        <v>50</v>
      </c>
      <c r="AB1160">
        <v>25</v>
      </c>
      <c r="AC1160">
        <v>100</v>
      </c>
      <c r="AD1160" t="s">
        <v>26</v>
      </c>
      <c r="AE1160">
        <v>9.4209721976901193</v>
      </c>
    </row>
    <row r="1161" spans="25:31" x14ac:dyDescent="0.3">
      <c r="Y1161" t="str">
        <f t="shared" si="50"/>
        <v>Pass</v>
      </c>
      <c r="Z1161">
        <f t="shared" si="51"/>
        <v>3.0164936557412148E-2</v>
      </c>
      <c r="AA1161">
        <v>50</v>
      </c>
      <c r="AB1161">
        <v>30</v>
      </c>
      <c r="AC1161">
        <v>0</v>
      </c>
      <c r="AD1161" t="s">
        <v>24</v>
      </c>
      <c r="AE1161">
        <v>3.0164933898626799E-2</v>
      </c>
    </row>
    <row r="1162" spans="25:31" x14ac:dyDescent="0.3">
      <c r="Y1162" t="str">
        <f t="shared" si="50"/>
        <v>Pass</v>
      </c>
      <c r="Z1162">
        <f t="shared" si="51"/>
        <v>2.5609102100133896E-2</v>
      </c>
      <c r="AA1162">
        <v>50</v>
      </c>
      <c r="AB1162">
        <v>30</v>
      </c>
      <c r="AC1162">
        <v>0</v>
      </c>
      <c r="AD1162" t="s">
        <v>25</v>
      </c>
      <c r="AE1162">
        <v>2.5609100808884899E-2</v>
      </c>
    </row>
    <row r="1163" spans="25:31" x14ac:dyDescent="0.3">
      <c r="Y1163" t="str">
        <f t="shared" si="50"/>
        <v>Pass</v>
      </c>
      <c r="Z1163">
        <f t="shared" si="51"/>
        <v>1.2787684798240662E-2</v>
      </c>
      <c r="AA1163">
        <v>50</v>
      </c>
      <c r="AB1163">
        <v>30</v>
      </c>
      <c r="AC1163">
        <v>0</v>
      </c>
      <c r="AD1163" t="s">
        <v>26</v>
      </c>
      <c r="AE1163">
        <v>1.2787686049367E-2</v>
      </c>
    </row>
    <row r="1164" spans="25:31" x14ac:dyDescent="0.3">
      <c r="Y1164" t="str">
        <f t="shared" si="50"/>
        <v>Pass</v>
      </c>
      <c r="Z1164">
        <f t="shared" si="51"/>
        <v>8.1487178802490234E-2</v>
      </c>
      <c r="AA1164">
        <v>50</v>
      </c>
      <c r="AB1164">
        <v>30</v>
      </c>
      <c r="AC1164">
        <v>10</v>
      </c>
      <c r="AD1164" t="s">
        <v>24</v>
      </c>
      <c r="AE1164">
        <v>8.1487170436939094E-2</v>
      </c>
    </row>
    <row r="1165" spans="25:31" x14ac:dyDescent="0.3">
      <c r="Y1165" t="str">
        <f t="shared" si="50"/>
        <v>Pass</v>
      </c>
      <c r="Z1165">
        <f t="shared" si="51"/>
        <v>6.9180101156234741E-2</v>
      </c>
      <c r="AA1165">
        <v>50</v>
      </c>
      <c r="AB1165">
        <v>30</v>
      </c>
      <c r="AC1165">
        <v>10</v>
      </c>
      <c r="AD1165" t="s">
        <v>25</v>
      </c>
      <c r="AE1165">
        <v>6.91801006215816E-2</v>
      </c>
    </row>
    <row r="1166" spans="25:31" x14ac:dyDescent="0.3">
      <c r="Y1166" t="str">
        <f t="shared" si="50"/>
        <v>Pass</v>
      </c>
      <c r="Z1166">
        <f t="shared" si="51"/>
        <v>3.4544490277767181E-2</v>
      </c>
      <c r="AA1166">
        <v>50</v>
      </c>
      <c r="AB1166">
        <v>30</v>
      </c>
      <c r="AC1166">
        <v>10</v>
      </c>
      <c r="AD1166" t="s">
        <v>26</v>
      </c>
      <c r="AE1166">
        <v>3.4544493155553503E-2</v>
      </c>
    </row>
    <row r="1167" spans="25:31" x14ac:dyDescent="0.3">
      <c r="Y1167" t="str">
        <f t="shared" si="50"/>
        <v>Pass</v>
      </c>
      <c r="Z1167">
        <f t="shared" si="51"/>
        <v>0.21929565072059631</v>
      </c>
      <c r="AA1167">
        <v>50</v>
      </c>
      <c r="AB1167">
        <v>30</v>
      </c>
      <c r="AC1167">
        <v>20</v>
      </c>
      <c r="AD1167" t="s">
        <v>24</v>
      </c>
      <c r="AE1167">
        <v>0.219295622515431</v>
      </c>
    </row>
    <row r="1168" spans="25:31" x14ac:dyDescent="0.3">
      <c r="Y1168" t="str">
        <f t="shared" si="50"/>
        <v>Pass</v>
      </c>
      <c r="Z1168">
        <f t="shared" si="51"/>
        <v>0.18617525696754456</v>
      </c>
      <c r="AA1168">
        <v>50</v>
      </c>
      <c r="AB1168">
        <v>30</v>
      </c>
      <c r="AC1168">
        <v>20</v>
      </c>
      <c r="AD1168" t="s">
        <v>25</v>
      </c>
      <c r="AE1168">
        <v>0.186175236545123</v>
      </c>
    </row>
    <row r="1169" spans="25:31" x14ac:dyDescent="0.3">
      <c r="Y1169" t="str">
        <f t="shared" si="50"/>
        <v>Pass</v>
      </c>
      <c r="Z1169">
        <f t="shared" si="51"/>
        <v>9.2965014278888702E-2</v>
      </c>
      <c r="AA1169">
        <v>50</v>
      </c>
      <c r="AB1169">
        <v>30</v>
      </c>
      <c r="AC1169">
        <v>20</v>
      </c>
      <c r="AD1169" t="s">
        <v>26</v>
      </c>
      <c r="AE1169">
        <v>9.2965016338242099E-2</v>
      </c>
    </row>
    <row r="1170" spans="25:31" x14ac:dyDescent="0.3">
      <c r="Y1170" t="str">
        <f t="shared" si="50"/>
        <v>Pass</v>
      </c>
      <c r="Z1170">
        <f t="shared" si="51"/>
        <v>0.58422642946243286</v>
      </c>
      <c r="AA1170">
        <v>50</v>
      </c>
      <c r="AB1170">
        <v>30</v>
      </c>
      <c r="AC1170">
        <v>30</v>
      </c>
      <c r="AD1170" t="s">
        <v>24</v>
      </c>
      <c r="AE1170">
        <v>0.58422639679148003</v>
      </c>
    </row>
    <row r="1171" spans="25:31" x14ac:dyDescent="0.3">
      <c r="Y1171" t="str">
        <f t="shared" si="50"/>
        <v>Pass</v>
      </c>
      <c r="Z1171">
        <f t="shared" si="51"/>
        <v>0.49599024653434753</v>
      </c>
      <c r="AA1171">
        <v>50</v>
      </c>
      <c r="AB1171">
        <v>30</v>
      </c>
      <c r="AC1171">
        <v>30</v>
      </c>
      <c r="AD1171" t="s">
        <v>25</v>
      </c>
      <c r="AE1171">
        <v>0.49599023624333799</v>
      </c>
    </row>
    <row r="1172" spans="25:31" x14ac:dyDescent="0.3">
      <c r="Y1172" t="str">
        <f t="shared" si="50"/>
        <v>Pass</v>
      </c>
      <c r="Z1172">
        <f t="shared" si="51"/>
        <v>0.24766847491264343</v>
      </c>
      <c r="AA1172">
        <v>50</v>
      </c>
      <c r="AB1172">
        <v>30</v>
      </c>
      <c r="AC1172">
        <v>30</v>
      </c>
      <c r="AD1172" t="s">
        <v>26</v>
      </c>
      <c r="AE1172">
        <v>0.24766849378915601</v>
      </c>
    </row>
    <row r="1173" spans="25:31" x14ac:dyDescent="0.3">
      <c r="Y1173" t="str">
        <f t="shared" si="50"/>
        <v>Pass</v>
      </c>
      <c r="Z1173">
        <f t="shared" si="51"/>
        <v>1.5160670280456543</v>
      </c>
      <c r="AA1173">
        <v>50</v>
      </c>
      <c r="AB1173">
        <v>30</v>
      </c>
      <c r="AC1173">
        <v>40</v>
      </c>
      <c r="AD1173" t="s">
        <v>24</v>
      </c>
      <c r="AE1173">
        <v>1.51606692513562</v>
      </c>
    </row>
    <row r="1174" spans="25:31" x14ac:dyDescent="0.3">
      <c r="Y1174" t="str">
        <f t="shared" si="50"/>
        <v>Pass</v>
      </c>
      <c r="Z1174">
        <f t="shared" si="51"/>
        <v>1.2870941162109375</v>
      </c>
      <c r="AA1174">
        <v>50</v>
      </c>
      <c r="AB1174">
        <v>30</v>
      </c>
      <c r="AC1174">
        <v>40</v>
      </c>
      <c r="AD1174" t="s">
        <v>25</v>
      </c>
      <c r="AE1174">
        <v>1.28709417528615</v>
      </c>
    </row>
    <row r="1175" spans="25:31" x14ac:dyDescent="0.3">
      <c r="Y1175" t="str">
        <f t="shared" si="50"/>
        <v>Pass</v>
      </c>
      <c r="Z1175">
        <f t="shared" si="51"/>
        <v>0.64269942045211792</v>
      </c>
      <c r="AA1175">
        <v>50</v>
      </c>
      <c r="AB1175">
        <v>30</v>
      </c>
      <c r="AC1175">
        <v>40</v>
      </c>
      <c r="AD1175" t="s">
        <v>26</v>
      </c>
      <c r="AE1175">
        <v>0.642699497821415</v>
      </c>
    </row>
    <row r="1176" spans="25:31" x14ac:dyDescent="0.3">
      <c r="Y1176" t="str">
        <f t="shared" si="50"/>
        <v>Pass</v>
      </c>
      <c r="Z1176">
        <f t="shared" si="51"/>
        <v>3.6897969245910645</v>
      </c>
      <c r="AA1176">
        <v>50</v>
      </c>
      <c r="AB1176">
        <v>30</v>
      </c>
      <c r="AC1176">
        <v>50</v>
      </c>
      <c r="AD1176" t="s">
        <v>24</v>
      </c>
      <c r="AE1176">
        <v>3.68979669457724</v>
      </c>
    </row>
    <row r="1177" spans="25:31" x14ac:dyDescent="0.3">
      <c r="Y1177" t="str">
        <f t="shared" si="50"/>
        <v>Pass</v>
      </c>
      <c r="Z1177">
        <f t="shared" si="51"/>
        <v>3.132523775100708</v>
      </c>
      <c r="AA1177">
        <v>50</v>
      </c>
      <c r="AB1177">
        <v>30</v>
      </c>
      <c r="AC1177">
        <v>50</v>
      </c>
      <c r="AD1177" t="s">
        <v>25</v>
      </c>
      <c r="AE1177">
        <v>3.1325238713690799</v>
      </c>
    </row>
    <row r="1178" spans="25:31" x14ac:dyDescent="0.3">
      <c r="Y1178" t="str">
        <f t="shared" si="50"/>
        <v>Pass</v>
      </c>
      <c r="Z1178">
        <f t="shared" si="51"/>
        <v>1.5641989707946777</v>
      </c>
      <c r="AA1178">
        <v>50</v>
      </c>
      <c r="AB1178">
        <v>30</v>
      </c>
      <c r="AC1178">
        <v>50</v>
      </c>
      <c r="AD1178" t="s">
        <v>26</v>
      </c>
      <c r="AE1178">
        <v>1.56419907548326</v>
      </c>
    </row>
    <row r="1179" spans="25:31" x14ac:dyDescent="0.3">
      <c r="Y1179" t="str">
        <f t="shared" si="50"/>
        <v>Pass</v>
      </c>
      <c r="Z1179">
        <f t="shared" si="51"/>
        <v>7.8435878753662109</v>
      </c>
      <c r="AA1179">
        <v>50</v>
      </c>
      <c r="AB1179">
        <v>30</v>
      </c>
      <c r="AC1179">
        <v>60</v>
      </c>
      <c r="AD1179" t="s">
        <v>24</v>
      </c>
      <c r="AE1179">
        <v>7.8435875209007797</v>
      </c>
    </row>
    <row r="1180" spans="25:31" x14ac:dyDescent="0.3">
      <c r="Y1180" t="str">
        <f t="shared" si="50"/>
        <v>Pass</v>
      </c>
      <c r="Z1180">
        <f t="shared" si="51"/>
        <v>6.6589646339416504</v>
      </c>
      <c r="AA1180">
        <v>50</v>
      </c>
      <c r="AB1180">
        <v>30</v>
      </c>
      <c r="AC1180">
        <v>60</v>
      </c>
      <c r="AD1180" t="s">
        <v>25</v>
      </c>
      <c r="AE1180">
        <v>6.6589644850905501</v>
      </c>
    </row>
    <row r="1181" spans="25:31" x14ac:dyDescent="0.3">
      <c r="Y1181" t="str">
        <f t="shared" si="50"/>
        <v>Pass</v>
      </c>
      <c r="Z1181">
        <f t="shared" si="51"/>
        <v>3.3250968456268311</v>
      </c>
      <c r="AA1181">
        <v>50</v>
      </c>
      <c r="AB1181">
        <v>30</v>
      </c>
      <c r="AC1181">
        <v>60</v>
      </c>
      <c r="AD1181" t="s">
        <v>26</v>
      </c>
      <c r="AE1181">
        <v>3.32509711624391</v>
      </c>
    </row>
    <row r="1182" spans="25:31" x14ac:dyDescent="0.3">
      <c r="Y1182" t="str">
        <f t="shared" si="50"/>
        <v>Pass</v>
      </c>
      <c r="Z1182">
        <f t="shared" si="51"/>
        <v>13.426212310791016</v>
      </c>
      <c r="AA1182">
        <v>50</v>
      </c>
      <c r="AB1182">
        <v>30</v>
      </c>
      <c r="AC1182">
        <v>70</v>
      </c>
      <c r="AD1182" t="s">
        <v>24</v>
      </c>
      <c r="AE1182">
        <v>13.4262112573549</v>
      </c>
    </row>
    <row r="1183" spans="25:31" x14ac:dyDescent="0.3">
      <c r="Y1183" t="str">
        <f t="shared" si="50"/>
        <v>Pass</v>
      </c>
      <c r="Z1183">
        <f t="shared" si="51"/>
        <v>11.398440361022949</v>
      </c>
      <c r="AA1183">
        <v>50</v>
      </c>
      <c r="AB1183">
        <v>30</v>
      </c>
      <c r="AC1183">
        <v>70</v>
      </c>
      <c r="AD1183" t="s">
        <v>25</v>
      </c>
      <c r="AE1183">
        <v>11.398440279248801</v>
      </c>
    </row>
    <row r="1184" spans="25:31" x14ac:dyDescent="0.3">
      <c r="Y1184" t="str">
        <f t="shared" si="50"/>
        <v>Pass</v>
      </c>
      <c r="Z1184">
        <f t="shared" si="51"/>
        <v>5.691713809967041</v>
      </c>
      <c r="AA1184">
        <v>50</v>
      </c>
      <c r="AB1184">
        <v>30</v>
      </c>
      <c r="AC1184">
        <v>70</v>
      </c>
      <c r="AD1184" t="s">
        <v>26</v>
      </c>
      <c r="AE1184">
        <v>5.6917139274536197</v>
      </c>
    </row>
    <row r="1185" spans="25:31" x14ac:dyDescent="0.3">
      <c r="Y1185" t="str">
        <f t="shared" si="50"/>
        <v>Pass</v>
      </c>
      <c r="Z1185">
        <f t="shared" si="51"/>
        <v>18.214550018310547</v>
      </c>
      <c r="AA1185">
        <v>50</v>
      </c>
      <c r="AB1185">
        <v>30</v>
      </c>
      <c r="AC1185">
        <v>80</v>
      </c>
      <c r="AD1185" t="s">
        <v>24</v>
      </c>
      <c r="AE1185">
        <v>18.214548309015999</v>
      </c>
    </row>
    <row r="1186" spans="25:31" x14ac:dyDescent="0.3">
      <c r="Y1186" t="str">
        <f t="shared" si="50"/>
        <v>Pass</v>
      </c>
      <c r="Z1186">
        <f t="shared" si="51"/>
        <v>15.463592529296875</v>
      </c>
      <c r="AA1186">
        <v>50</v>
      </c>
      <c r="AB1186">
        <v>30</v>
      </c>
      <c r="AC1186">
        <v>80</v>
      </c>
      <c r="AD1186" t="s">
        <v>25</v>
      </c>
      <c r="AE1186">
        <v>15.4635911154816</v>
      </c>
    </row>
    <row r="1187" spans="25:31" x14ac:dyDescent="0.3">
      <c r="Y1187" t="str">
        <f t="shared" si="50"/>
        <v>Pass</v>
      </c>
      <c r="Z1187">
        <f t="shared" si="51"/>
        <v>7.7216119766235352</v>
      </c>
      <c r="AA1187">
        <v>50</v>
      </c>
      <c r="AB1187">
        <v>30</v>
      </c>
      <c r="AC1187">
        <v>80</v>
      </c>
      <c r="AD1187" t="s">
        <v>26</v>
      </c>
      <c r="AE1187">
        <v>7.7216123227549804</v>
      </c>
    </row>
    <row r="1188" spans="25:31" x14ac:dyDescent="0.3">
      <c r="Y1188" t="str">
        <f t="shared" si="50"/>
        <v>Pass</v>
      </c>
      <c r="Z1188">
        <f t="shared" si="51"/>
        <v>20.977901458740234</v>
      </c>
      <c r="AA1188">
        <v>50</v>
      </c>
      <c r="AB1188">
        <v>30</v>
      </c>
      <c r="AC1188">
        <v>90</v>
      </c>
      <c r="AD1188" t="s">
        <v>24</v>
      </c>
      <c r="AE1188">
        <v>20.9778984050118</v>
      </c>
    </row>
    <row r="1189" spans="25:31" x14ac:dyDescent="0.3">
      <c r="Y1189" t="str">
        <f t="shared" si="50"/>
        <v>Pass</v>
      </c>
      <c r="Z1189">
        <f t="shared" si="51"/>
        <v>17.809591293334961</v>
      </c>
      <c r="AA1189">
        <v>50</v>
      </c>
      <c r="AB1189">
        <v>30</v>
      </c>
      <c r="AC1189">
        <v>90</v>
      </c>
      <c r="AD1189" t="s">
        <v>25</v>
      </c>
      <c r="AE1189">
        <v>17.809590328223798</v>
      </c>
    </row>
    <row r="1190" spans="25:31" x14ac:dyDescent="0.3">
      <c r="Y1190" t="str">
        <f t="shared" si="50"/>
        <v>Pass</v>
      </c>
      <c r="Z1190">
        <f t="shared" si="51"/>
        <v>8.89306640625</v>
      </c>
      <c r="AA1190">
        <v>50</v>
      </c>
      <c r="AB1190">
        <v>30</v>
      </c>
      <c r="AC1190">
        <v>90</v>
      </c>
      <c r="AD1190" t="s">
        <v>26</v>
      </c>
      <c r="AE1190">
        <v>8.89306701882151</v>
      </c>
    </row>
    <row r="1191" spans="25:31" x14ac:dyDescent="0.3">
      <c r="Y1191" t="str">
        <f t="shared" si="50"/>
        <v>Pass</v>
      </c>
      <c r="Z1191">
        <f t="shared" si="51"/>
        <v>22.223178863525391</v>
      </c>
      <c r="AA1191">
        <v>50</v>
      </c>
      <c r="AB1191">
        <v>30</v>
      </c>
      <c r="AC1191">
        <v>100</v>
      </c>
      <c r="AD1191" t="s">
        <v>24</v>
      </c>
      <c r="AE1191">
        <v>22.223176461091601</v>
      </c>
    </row>
    <row r="1192" spans="25:31" x14ac:dyDescent="0.3">
      <c r="Y1192" t="str">
        <f t="shared" si="50"/>
        <v>Pass</v>
      </c>
      <c r="Z1192">
        <f t="shared" si="51"/>
        <v>18.866794586181641</v>
      </c>
      <c r="AA1192">
        <v>50</v>
      </c>
      <c r="AB1192">
        <v>30</v>
      </c>
      <c r="AC1192">
        <v>100</v>
      </c>
      <c r="AD1192" t="s">
        <v>25</v>
      </c>
      <c r="AE1192">
        <v>18.866793084921699</v>
      </c>
    </row>
    <row r="1193" spans="25:31" x14ac:dyDescent="0.3">
      <c r="Y1193" t="str">
        <f t="shared" si="50"/>
        <v>Pass</v>
      </c>
      <c r="Z1193">
        <f t="shared" si="51"/>
        <v>9.4209718704223633</v>
      </c>
      <c r="AA1193">
        <v>50</v>
      </c>
      <c r="AB1193">
        <v>30</v>
      </c>
      <c r="AC1193">
        <v>100</v>
      </c>
      <c r="AD1193" t="s">
        <v>26</v>
      </c>
      <c r="AE1193">
        <v>9.4209721976901193</v>
      </c>
    </row>
    <row r="1194" spans="25:31" x14ac:dyDescent="0.3">
      <c r="Y1194" t="str">
        <f t="shared" si="50"/>
        <v>Pass</v>
      </c>
      <c r="Z1194">
        <f t="shared" si="51"/>
        <v>20.618377685546875</v>
      </c>
      <c r="AA1194">
        <v>60</v>
      </c>
      <c r="AB1194">
        <v>5</v>
      </c>
      <c r="AC1194">
        <v>0</v>
      </c>
      <c r="AD1194" t="s">
        <v>24</v>
      </c>
      <c r="AE1194">
        <v>20.618379615521398</v>
      </c>
    </row>
    <row r="1195" spans="25:31" x14ac:dyDescent="0.3">
      <c r="Y1195" t="str">
        <f t="shared" si="50"/>
        <v>Pass</v>
      </c>
      <c r="Z1195">
        <f t="shared" si="51"/>
        <v>17.517295837402344</v>
      </c>
      <c r="AA1195">
        <v>60</v>
      </c>
      <c r="AB1195">
        <v>5</v>
      </c>
      <c r="AC1195">
        <v>0</v>
      </c>
      <c r="AD1195" t="s">
        <v>25</v>
      </c>
      <c r="AE1195">
        <v>17.5172974390162</v>
      </c>
    </row>
    <row r="1196" spans="25:31" x14ac:dyDescent="0.3">
      <c r="Y1196" t="str">
        <f t="shared" si="50"/>
        <v>Pass</v>
      </c>
      <c r="Z1196">
        <f t="shared" si="51"/>
        <v>8.7470064163208008</v>
      </c>
      <c r="AA1196">
        <v>60</v>
      </c>
      <c r="AB1196">
        <v>5</v>
      </c>
      <c r="AC1196">
        <v>0</v>
      </c>
      <c r="AD1196" t="s">
        <v>26</v>
      </c>
      <c r="AE1196">
        <v>8.7470073127054295</v>
      </c>
    </row>
    <row r="1197" spans="25:31" x14ac:dyDescent="0.3">
      <c r="Y1197" t="str">
        <f t="shared" si="50"/>
        <v>Pass</v>
      </c>
      <c r="Z1197">
        <f t="shared" si="51"/>
        <v>55.698226928710938</v>
      </c>
      <c r="AA1197">
        <v>60</v>
      </c>
      <c r="AB1197">
        <v>5</v>
      </c>
      <c r="AC1197">
        <v>10</v>
      </c>
      <c r="AD1197" t="s">
        <v>24</v>
      </c>
      <c r="AE1197">
        <v>55.698229590352</v>
      </c>
    </row>
    <row r="1198" spans="25:31" x14ac:dyDescent="0.3">
      <c r="Y1198" t="str">
        <f t="shared" si="50"/>
        <v>Pass</v>
      </c>
      <c r="Z1198">
        <f t="shared" si="51"/>
        <v>47.321002960205078</v>
      </c>
      <c r="AA1198">
        <v>60</v>
      </c>
      <c r="AB1198">
        <v>5</v>
      </c>
      <c r="AC1198">
        <v>10</v>
      </c>
      <c r="AD1198" t="s">
        <v>25</v>
      </c>
      <c r="AE1198">
        <v>47.321005469620999</v>
      </c>
    </row>
    <row r="1199" spans="25:31" x14ac:dyDescent="0.3">
      <c r="Y1199" t="str">
        <f t="shared" si="50"/>
        <v>Pass</v>
      </c>
      <c r="Z1199">
        <f t="shared" si="51"/>
        <v>23.629053115844727</v>
      </c>
      <c r="AA1199">
        <v>60</v>
      </c>
      <c r="AB1199">
        <v>5</v>
      </c>
      <c r="AC1199">
        <v>10</v>
      </c>
      <c r="AD1199" t="s">
        <v>26</v>
      </c>
      <c r="AE1199">
        <v>23.6290547858958</v>
      </c>
    </row>
    <row r="1200" spans="25:31" x14ac:dyDescent="0.3">
      <c r="Y1200" t="str">
        <f t="shared" si="50"/>
        <v>Pass</v>
      </c>
      <c r="Z1200">
        <f t="shared" si="51"/>
        <v>149.89326477050781</v>
      </c>
      <c r="AA1200">
        <v>60</v>
      </c>
      <c r="AB1200">
        <v>5</v>
      </c>
      <c r="AC1200">
        <v>20</v>
      </c>
      <c r="AD1200" t="s">
        <v>24</v>
      </c>
      <c r="AE1200">
        <v>149.89326375587001</v>
      </c>
    </row>
    <row r="1201" spans="25:31" x14ac:dyDescent="0.3">
      <c r="Y1201" t="str">
        <f t="shared" si="50"/>
        <v>Pass</v>
      </c>
      <c r="Z1201">
        <f t="shared" si="51"/>
        <v>127.34874725341797</v>
      </c>
      <c r="AA1201">
        <v>60</v>
      </c>
      <c r="AB1201">
        <v>5</v>
      </c>
      <c r="AC1201">
        <v>20</v>
      </c>
      <c r="AD1201" t="s">
        <v>25</v>
      </c>
      <c r="AE1201">
        <v>127.348750691342</v>
      </c>
    </row>
    <row r="1202" spans="25:31" x14ac:dyDescent="0.3">
      <c r="Y1202" t="str">
        <f t="shared" si="50"/>
        <v>Pass</v>
      </c>
      <c r="Z1202">
        <f t="shared" si="51"/>
        <v>63.589740753173828</v>
      </c>
      <c r="AA1202">
        <v>60</v>
      </c>
      <c r="AB1202">
        <v>5</v>
      </c>
      <c r="AC1202">
        <v>20</v>
      </c>
      <c r="AD1202" t="s">
        <v>26</v>
      </c>
      <c r="AE1202">
        <v>63.589743648471398</v>
      </c>
    </row>
    <row r="1203" spans="25:31" x14ac:dyDescent="0.3">
      <c r="Y1203" t="str">
        <f t="shared" si="50"/>
        <v>Pass</v>
      </c>
      <c r="Z1203">
        <f t="shared" si="51"/>
        <v>399.33126831054688</v>
      </c>
      <c r="AA1203">
        <v>60</v>
      </c>
      <c r="AB1203">
        <v>5</v>
      </c>
      <c r="AC1203">
        <v>30</v>
      </c>
      <c r="AD1203" t="s">
        <v>24</v>
      </c>
      <c r="AE1203">
        <v>399.33127885963501</v>
      </c>
    </row>
    <row r="1204" spans="25:31" x14ac:dyDescent="0.3">
      <c r="Y1204" t="str">
        <f t="shared" si="50"/>
        <v>Pass</v>
      </c>
      <c r="Z1204">
        <f t="shared" si="51"/>
        <v>339.27032470703125</v>
      </c>
      <c r="AA1204">
        <v>60</v>
      </c>
      <c r="AB1204">
        <v>5</v>
      </c>
      <c r="AC1204">
        <v>30</v>
      </c>
      <c r="AD1204" t="s">
        <v>25</v>
      </c>
      <c r="AE1204">
        <v>339.270346114929</v>
      </c>
    </row>
    <row r="1205" spans="25:31" x14ac:dyDescent="0.3">
      <c r="Y1205" t="str">
        <f t="shared" si="50"/>
        <v>Pass</v>
      </c>
      <c r="Z1205">
        <f t="shared" si="51"/>
        <v>169.40969848632813</v>
      </c>
      <c r="AA1205">
        <v>60</v>
      </c>
      <c r="AB1205">
        <v>5</v>
      </c>
      <c r="AC1205">
        <v>30</v>
      </c>
      <c r="AD1205" t="s">
        <v>26</v>
      </c>
      <c r="AE1205">
        <v>169.40970539448901</v>
      </c>
    </row>
    <row r="1206" spans="25:31" x14ac:dyDescent="0.3">
      <c r="Y1206" t="str">
        <f t="shared" si="50"/>
        <v>Pass</v>
      </c>
      <c r="Z1206">
        <f t="shared" si="51"/>
        <v>1036.26416015625</v>
      </c>
      <c r="AA1206">
        <v>60</v>
      </c>
      <c r="AB1206">
        <v>5</v>
      </c>
      <c r="AC1206">
        <v>40</v>
      </c>
      <c r="AD1206" t="s">
        <v>24</v>
      </c>
      <c r="AE1206">
        <v>1036.2642759315199</v>
      </c>
    </row>
    <row r="1207" spans="25:31" x14ac:dyDescent="0.3">
      <c r="Y1207" t="str">
        <f t="shared" si="50"/>
        <v>Pass</v>
      </c>
      <c r="Z1207">
        <f t="shared" si="51"/>
        <v>880.4061279296875</v>
      </c>
      <c r="AA1207">
        <v>60</v>
      </c>
      <c r="AB1207">
        <v>5</v>
      </c>
      <c r="AC1207">
        <v>40</v>
      </c>
      <c r="AD1207" t="s">
        <v>25</v>
      </c>
      <c r="AE1207">
        <v>880.40621452396294</v>
      </c>
    </row>
    <row r="1208" spans="25:31" x14ac:dyDescent="0.3">
      <c r="Y1208" t="str">
        <f t="shared" si="50"/>
        <v>Pass</v>
      </c>
      <c r="Z1208">
        <f t="shared" si="51"/>
        <v>439.61798095703125</v>
      </c>
      <c r="AA1208">
        <v>60</v>
      </c>
      <c r="AB1208">
        <v>5</v>
      </c>
      <c r="AC1208">
        <v>40</v>
      </c>
      <c r="AD1208" t="s">
        <v>26</v>
      </c>
      <c r="AE1208">
        <v>439.61801889828899</v>
      </c>
    </row>
    <row r="1209" spans="25:31" x14ac:dyDescent="0.3">
      <c r="Y1209" t="str">
        <f t="shared" si="50"/>
        <v>Pass</v>
      </c>
      <c r="Z1209">
        <f t="shared" si="51"/>
        <v>2522.054931640625</v>
      </c>
      <c r="AA1209">
        <v>60</v>
      </c>
      <c r="AB1209">
        <v>5</v>
      </c>
      <c r="AC1209">
        <v>50</v>
      </c>
      <c r="AD1209" t="s">
        <v>24</v>
      </c>
      <c r="AE1209">
        <v>2522.0552184386902</v>
      </c>
    </row>
    <row r="1210" spans="25:31" x14ac:dyDescent="0.3">
      <c r="Y1210" t="str">
        <f t="shared" si="50"/>
        <v>Pass</v>
      </c>
      <c r="Z1210">
        <f t="shared" si="51"/>
        <v>2142.728515625</v>
      </c>
      <c r="AA1210">
        <v>60</v>
      </c>
      <c r="AB1210">
        <v>5</v>
      </c>
      <c r="AC1210">
        <v>50</v>
      </c>
      <c r="AD1210" t="s">
        <v>25</v>
      </c>
      <c r="AE1210">
        <v>2142.72858696206</v>
      </c>
    </row>
    <row r="1211" spans="25:31" x14ac:dyDescent="0.3">
      <c r="Y1211" t="str">
        <f t="shared" si="50"/>
        <v>Pass</v>
      </c>
      <c r="Z1211">
        <f t="shared" si="51"/>
        <v>1069.940185546875</v>
      </c>
      <c r="AA1211">
        <v>60</v>
      </c>
      <c r="AB1211">
        <v>5</v>
      </c>
      <c r="AC1211">
        <v>50</v>
      </c>
      <c r="AD1211" t="s">
        <v>26</v>
      </c>
      <c r="AE1211">
        <v>1069.94030811825</v>
      </c>
    </row>
    <row r="1212" spans="25:31" x14ac:dyDescent="0.3">
      <c r="Y1212" t="str">
        <f t="shared" si="50"/>
        <v>Pass</v>
      </c>
      <c r="Z1212">
        <f t="shared" si="51"/>
        <v>5361.26025390625</v>
      </c>
      <c r="AA1212">
        <v>60</v>
      </c>
      <c r="AB1212">
        <v>5</v>
      </c>
      <c r="AC1212">
        <v>60</v>
      </c>
      <c r="AD1212" t="s">
        <v>24</v>
      </c>
      <c r="AE1212">
        <v>5361.26038256829</v>
      </c>
    </row>
    <row r="1213" spans="25:31" x14ac:dyDescent="0.3">
      <c r="Y1213" t="str">
        <f t="shared" si="50"/>
        <v>Pass</v>
      </c>
      <c r="Z1213">
        <f t="shared" si="51"/>
        <v>4554.90625</v>
      </c>
      <c r="AA1213">
        <v>60</v>
      </c>
      <c r="AB1213">
        <v>5</v>
      </c>
      <c r="AC1213">
        <v>60</v>
      </c>
      <c r="AD1213" t="s">
        <v>25</v>
      </c>
      <c r="AE1213">
        <v>4554.9065698045497</v>
      </c>
    </row>
    <row r="1214" spans="25:31" x14ac:dyDescent="0.3">
      <c r="Y1214" t="str">
        <f t="shared" si="50"/>
        <v>Pass</v>
      </c>
      <c r="Z1214">
        <f t="shared" si="51"/>
        <v>2274.426025390625</v>
      </c>
      <c r="AA1214">
        <v>60</v>
      </c>
      <c r="AB1214">
        <v>5</v>
      </c>
      <c r="AC1214">
        <v>60</v>
      </c>
      <c r="AD1214" t="s">
        <v>26</v>
      </c>
      <c r="AE1214">
        <v>2274.42624716931</v>
      </c>
    </row>
    <row r="1215" spans="25:31" x14ac:dyDescent="0.3">
      <c r="Y1215" t="str">
        <f t="shared" si="50"/>
        <v>Pass</v>
      </c>
      <c r="Z1215">
        <f t="shared" si="51"/>
        <v>9177.103515625</v>
      </c>
      <c r="AA1215">
        <v>60</v>
      </c>
      <c r="AB1215">
        <v>5</v>
      </c>
      <c r="AC1215">
        <v>70</v>
      </c>
      <c r="AD1215" t="s">
        <v>24</v>
      </c>
      <c r="AE1215">
        <v>9177.1035014578192</v>
      </c>
    </row>
    <row r="1216" spans="25:31" x14ac:dyDescent="0.3">
      <c r="Y1216" t="str">
        <f t="shared" si="50"/>
        <v>Pass</v>
      </c>
      <c r="Z1216">
        <f t="shared" si="51"/>
        <v>7796.83203125</v>
      </c>
      <c r="AA1216">
        <v>60</v>
      </c>
      <c r="AB1216">
        <v>5</v>
      </c>
      <c r="AC1216">
        <v>70</v>
      </c>
      <c r="AD1216" t="s">
        <v>25</v>
      </c>
      <c r="AE1216">
        <v>7796.8324699316299</v>
      </c>
    </row>
    <row r="1217" spans="25:31" x14ac:dyDescent="0.3">
      <c r="Y1217" t="str">
        <f t="shared" si="50"/>
        <v>Pass</v>
      </c>
      <c r="Z1217">
        <f t="shared" si="51"/>
        <v>3893.234375</v>
      </c>
      <c r="AA1217">
        <v>60</v>
      </c>
      <c r="AB1217">
        <v>5</v>
      </c>
      <c r="AC1217">
        <v>70</v>
      </c>
      <c r="AD1217" t="s">
        <v>26</v>
      </c>
      <c r="AE1217">
        <v>3893.2347222997701</v>
      </c>
    </row>
    <row r="1218" spans="25:31" x14ac:dyDescent="0.3">
      <c r="Y1218" t="str">
        <f t="shared" si="50"/>
        <v>Pass</v>
      </c>
      <c r="Z1218">
        <f t="shared" si="51"/>
        <v>12450.0341796875</v>
      </c>
      <c r="AA1218">
        <v>60</v>
      </c>
      <c r="AB1218">
        <v>5</v>
      </c>
      <c r="AC1218">
        <v>80</v>
      </c>
      <c r="AD1218" t="s">
        <v>24</v>
      </c>
      <c r="AE1218">
        <v>12450.034627048901</v>
      </c>
    </row>
    <row r="1219" spans="25:31" x14ac:dyDescent="0.3">
      <c r="Y1219" t="str">
        <f t="shared" si="50"/>
        <v>Pass</v>
      </c>
      <c r="Z1219">
        <f t="shared" si="51"/>
        <v>10577.501953125</v>
      </c>
      <c r="AA1219">
        <v>60</v>
      </c>
      <c r="AB1219">
        <v>5</v>
      </c>
      <c r="AC1219">
        <v>80</v>
      </c>
      <c r="AD1219" t="s">
        <v>25</v>
      </c>
      <c r="AE1219">
        <v>10577.5023913077</v>
      </c>
    </row>
    <row r="1220" spans="25:31" x14ac:dyDescent="0.3">
      <c r="Y1220" t="str">
        <f t="shared" si="50"/>
        <v>Pass</v>
      </c>
      <c r="Z1220">
        <f t="shared" si="51"/>
        <v>5281.7216796875</v>
      </c>
      <c r="AA1220">
        <v>60</v>
      </c>
      <c r="AB1220">
        <v>5</v>
      </c>
      <c r="AC1220">
        <v>80</v>
      </c>
      <c r="AD1220" t="s">
        <v>26</v>
      </c>
      <c r="AE1220">
        <v>5281.7217432670204</v>
      </c>
    </row>
    <row r="1221" spans="25:31" x14ac:dyDescent="0.3">
      <c r="Y1221" t="str">
        <f t="shared" si="50"/>
        <v>Pass</v>
      </c>
      <c r="Z1221">
        <f t="shared" si="51"/>
        <v>14338.84375</v>
      </c>
      <c r="AA1221">
        <v>60</v>
      </c>
      <c r="AB1221">
        <v>5</v>
      </c>
      <c r="AC1221">
        <v>90</v>
      </c>
      <c r="AD1221" t="s">
        <v>24</v>
      </c>
      <c r="AE1221">
        <v>14338.8437151545</v>
      </c>
    </row>
    <row r="1222" spans="25:31" x14ac:dyDescent="0.3">
      <c r="Y1222" t="str">
        <f t="shared" si="50"/>
        <v>Pass</v>
      </c>
      <c r="Z1222">
        <f t="shared" si="51"/>
        <v>12182.2265625</v>
      </c>
      <c r="AA1222">
        <v>60</v>
      </c>
      <c r="AB1222">
        <v>5</v>
      </c>
      <c r="AC1222">
        <v>90</v>
      </c>
      <c r="AD1222" t="s">
        <v>25</v>
      </c>
      <c r="AE1222">
        <v>12182.2274579155</v>
      </c>
    </row>
    <row r="1223" spans="25:31" x14ac:dyDescent="0.3">
      <c r="Y1223" t="str">
        <f t="shared" ref="Y1223:Y1286" si="52">IF(ISBLANK(Z1223),"",IF(ROUND(Z1223,0)=ROUND(AE1223,0),"Pass","Fail"))</f>
        <v>Pass</v>
      </c>
      <c r="Z1223">
        <f t="shared" ref="Z1223:Z1286" si="53">ROS_grass(AA1223,AB1223,AC1223,AD1223)</f>
        <v>6083.017578125</v>
      </c>
      <c r="AA1223">
        <v>60</v>
      </c>
      <c r="AB1223">
        <v>5</v>
      </c>
      <c r="AC1223">
        <v>90</v>
      </c>
      <c r="AD1223" t="s">
        <v>26</v>
      </c>
      <c r="AE1223">
        <v>6083.0178302556596</v>
      </c>
    </row>
    <row r="1224" spans="25:31" x14ac:dyDescent="0.3">
      <c r="Y1224" t="str">
        <f t="shared" si="52"/>
        <v>Pass</v>
      </c>
      <c r="Z1224">
        <f t="shared" si="53"/>
        <v>15190.017578125</v>
      </c>
      <c r="AA1224">
        <v>60</v>
      </c>
      <c r="AB1224">
        <v>5</v>
      </c>
      <c r="AC1224">
        <v>100</v>
      </c>
      <c r="AD1224" t="s">
        <v>24</v>
      </c>
      <c r="AE1224">
        <v>15190.0179883493</v>
      </c>
    </row>
    <row r="1225" spans="25:31" x14ac:dyDescent="0.3">
      <c r="Y1225" t="str">
        <f t="shared" si="52"/>
        <v>Pass</v>
      </c>
      <c r="Z1225">
        <f t="shared" si="53"/>
        <v>12905.3818359375</v>
      </c>
      <c r="AA1225">
        <v>60</v>
      </c>
      <c r="AB1225">
        <v>5</v>
      </c>
      <c r="AC1225">
        <v>100</v>
      </c>
      <c r="AD1225" t="s">
        <v>25</v>
      </c>
      <c r="AE1225">
        <v>12905.381905259501</v>
      </c>
    </row>
    <row r="1226" spans="25:31" x14ac:dyDescent="0.3">
      <c r="Y1226" t="str">
        <f t="shared" si="52"/>
        <v>Pass</v>
      </c>
      <c r="Z1226">
        <f t="shared" si="53"/>
        <v>6444.1142578125</v>
      </c>
      <c r="AA1226">
        <v>60</v>
      </c>
      <c r="AB1226">
        <v>5</v>
      </c>
      <c r="AC1226">
        <v>100</v>
      </c>
      <c r="AD1226" t="s">
        <v>26</v>
      </c>
      <c r="AE1226">
        <v>6444.11446980034</v>
      </c>
    </row>
    <row r="1227" spans="25:31" x14ac:dyDescent="0.3">
      <c r="Y1227" t="str">
        <f t="shared" si="52"/>
        <v>Pass</v>
      </c>
      <c r="Z1227">
        <f t="shared" si="53"/>
        <v>12.015324592590332</v>
      </c>
      <c r="AA1227">
        <v>60</v>
      </c>
      <c r="AB1227">
        <v>10</v>
      </c>
      <c r="AC1227">
        <v>0</v>
      </c>
      <c r="AD1227" t="s">
        <v>24</v>
      </c>
      <c r="AE1227">
        <v>12.015324687728601</v>
      </c>
    </row>
    <row r="1228" spans="25:31" x14ac:dyDescent="0.3">
      <c r="Y1228" t="str">
        <f t="shared" si="52"/>
        <v>Pass</v>
      </c>
      <c r="Z1228">
        <f t="shared" si="53"/>
        <v>10.208173751831055</v>
      </c>
      <c r="AA1228">
        <v>60</v>
      </c>
      <c r="AB1228">
        <v>10</v>
      </c>
      <c r="AC1228">
        <v>0</v>
      </c>
      <c r="AD1228" t="s">
        <v>25</v>
      </c>
      <c r="AE1228">
        <v>10.208174468902101</v>
      </c>
    </row>
    <row r="1229" spans="25:31" x14ac:dyDescent="0.3">
      <c r="Y1229" t="str">
        <f t="shared" si="52"/>
        <v>Pass</v>
      </c>
      <c r="Z1229">
        <f t="shared" si="53"/>
        <v>5.0973029136657715</v>
      </c>
      <c r="AA1229">
        <v>60</v>
      </c>
      <c r="AB1229">
        <v>10</v>
      </c>
      <c r="AC1229">
        <v>0</v>
      </c>
      <c r="AD1229" t="s">
        <v>26</v>
      </c>
      <c r="AE1229">
        <v>5.0973032249815997</v>
      </c>
    </row>
    <row r="1230" spans="25:31" x14ac:dyDescent="0.3">
      <c r="Y1230" t="str">
        <f t="shared" si="52"/>
        <v>Pass</v>
      </c>
      <c r="Z1230">
        <f t="shared" si="53"/>
        <v>32.458045959472656</v>
      </c>
      <c r="AA1230">
        <v>60</v>
      </c>
      <c r="AB1230">
        <v>10</v>
      </c>
      <c r="AC1230">
        <v>10</v>
      </c>
      <c r="AD1230" t="s">
        <v>24</v>
      </c>
      <c r="AE1230">
        <v>32.458045954102801</v>
      </c>
    </row>
    <row r="1231" spans="25:31" x14ac:dyDescent="0.3">
      <c r="Y1231" t="str">
        <f t="shared" si="52"/>
        <v>Pass</v>
      </c>
      <c r="Z1231">
        <f t="shared" si="53"/>
        <v>27.57623291015625</v>
      </c>
      <c r="AA1231">
        <v>60</v>
      </c>
      <c r="AB1231">
        <v>10</v>
      </c>
      <c r="AC1231">
        <v>10</v>
      </c>
      <c r="AD1231" t="s">
        <v>25</v>
      </c>
      <c r="AE1231">
        <v>27.576233238001599</v>
      </c>
    </row>
    <row r="1232" spans="25:31" x14ac:dyDescent="0.3">
      <c r="Y1232" t="str">
        <f t="shared" si="52"/>
        <v>Pass</v>
      </c>
      <c r="Z1232">
        <f t="shared" si="53"/>
        <v>13.769789695739746</v>
      </c>
      <c r="AA1232">
        <v>60</v>
      </c>
      <c r="AB1232">
        <v>10</v>
      </c>
      <c r="AC1232">
        <v>10</v>
      </c>
      <c r="AD1232" t="s">
        <v>26</v>
      </c>
      <c r="AE1232">
        <v>13.769790381729999</v>
      </c>
    </row>
    <row r="1233" spans="25:31" x14ac:dyDescent="0.3">
      <c r="Y1233" t="str">
        <f t="shared" si="52"/>
        <v>Pass</v>
      </c>
      <c r="Z1233">
        <f t="shared" si="53"/>
        <v>87.350044250488281</v>
      </c>
      <c r="AA1233">
        <v>60</v>
      </c>
      <c r="AB1233">
        <v>10</v>
      </c>
      <c r="AC1233">
        <v>20</v>
      </c>
      <c r="AD1233" t="s">
        <v>24</v>
      </c>
      <c r="AE1233">
        <v>87.350037496366696</v>
      </c>
    </row>
    <row r="1234" spans="25:31" x14ac:dyDescent="0.3">
      <c r="Y1234" t="str">
        <f t="shared" si="52"/>
        <v>Pass</v>
      </c>
      <c r="Z1234">
        <f t="shared" si="53"/>
        <v>74.212265014648438</v>
      </c>
      <c r="AA1234">
        <v>60</v>
      </c>
      <c r="AB1234">
        <v>10</v>
      </c>
      <c r="AC1234">
        <v>20</v>
      </c>
      <c r="AD1234" t="s">
        <v>25</v>
      </c>
      <c r="AE1234">
        <v>74.212261907390499</v>
      </c>
    </row>
    <row r="1235" spans="25:31" x14ac:dyDescent="0.3">
      <c r="Y1235" t="str">
        <f t="shared" si="52"/>
        <v>Pass</v>
      </c>
      <c r="Z1235">
        <f t="shared" si="53"/>
        <v>37.056812286376953</v>
      </c>
      <c r="AA1235">
        <v>60</v>
      </c>
      <c r="AB1235">
        <v>10</v>
      </c>
      <c r="AC1235">
        <v>20</v>
      </c>
      <c r="AD1235" t="s">
        <v>26</v>
      </c>
      <c r="AE1235">
        <v>37.0568119800567</v>
      </c>
    </row>
    <row r="1236" spans="25:31" x14ac:dyDescent="0.3">
      <c r="Y1236" t="str">
        <f t="shared" si="52"/>
        <v>Pass</v>
      </c>
      <c r="Z1236">
        <f t="shared" si="53"/>
        <v>232.70960998535156</v>
      </c>
      <c r="AA1236">
        <v>60</v>
      </c>
      <c r="AB1236">
        <v>10</v>
      </c>
      <c r="AC1236">
        <v>30</v>
      </c>
      <c r="AD1236" t="s">
        <v>24</v>
      </c>
      <c r="AE1236">
        <v>232.70960487372199</v>
      </c>
    </row>
    <row r="1237" spans="25:31" x14ac:dyDescent="0.3">
      <c r="Y1237" t="str">
        <f t="shared" si="52"/>
        <v>Pass</v>
      </c>
      <c r="Z1237">
        <f t="shared" si="53"/>
        <v>197.70919799804688</v>
      </c>
      <c r="AA1237">
        <v>60</v>
      </c>
      <c r="AB1237">
        <v>10</v>
      </c>
      <c r="AC1237">
        <v>30</v>
      </c>
      <c r="AD1237" t="s">
        <v>25</v>
      </c>
      <c r="AE1237">
        <v>197.70920128079399</v>
      </c>
    </row>
    <row r="1238" spans="25:31" x14ac:dyDescent="0.3">
      <c r="Y1238" t="str">
        <f t="shared" si="52"/>
        <v>Pass</v>
      </c>
      <c r="Z1238">
        <f t="shared" si="53"/>
        <v>98.72320556640625</v>
      </c>
      <c r="AA1238">
        <v>60</v>
      </c>
      <c r="AB1238">
        <v>10</v>
      </c>
      <c r="AC1238">
        <v>30</v>
      </c>
      <c r="AD1238" t="s">
        <v>26</v>
      </c>
      <c r="AE1238">
        <v>98.723209753831199</v>
      </c>
    </row>
    <row r="1239" spans="25:31" x14ac:dyDescent="0.3">
      <c r="Y1239" t="str">
        <f t="shared" si="52"/>
        <v>Pass</v>
      </c>
      <c r="Z1239">
        <f t="shared" si="53"/>
        <v>603.88116455078125</v>
      </c>
      <c r="AA1239">
        <v>60</v>
      </c>
      <c r="AB1239">
        <v>10</v>
      </c>
      <c r="AC1239">
        <v>40</v>
      </c>
      <c r="AD1239" t="s">
        <v>24</v>
      </c>
      <c r="AE1239">
        <v>603.88119579669205</v>
      </c>
    </row>
    <row r="1240" spans="25:31" x14ac:dyDescent="0.3">
      <c r="Y1240" t="str">
        <f t="shared" si="52"/>
        <v>Pass</v>
      </c>
      <c r="Z1240">
        <f t="shared" si="53"/>
        <v>513.05517578125</v>
      </c>
      <c r="AA1240">
        <v>60</v>
      </c>
      <c r="AB1240">
        <v>10</v>
      </c>
      <c r="AC1240">
        <v>40</v>
      </c>
      <c r="AD1240" t="s">
        <v>25</v>
      </c>
      <c r="AE1240">
        <v>513.05518289303905</v>
      </c>
    </row>
    <row r="1241" spans="25:31" x14ac:dyDescent="0.3">
      <c r="Y1241" t="str">
        <f t="shared" si="52"/>
        <v>Pass</v>
      </c>
      <c r="Z1241">
        <f t="shared" si="53"/>
        <v>256.18661499023438</v>
      </c>
      <c r="AA1241">
        <v>60</v>
      </c>
      <c r="AB1241">
        <v>10</v>
      </c>
      <c r="AC1241">
        <v>40</v>
      </c>
      <c r="AD1241" t="s">
        <v>26</v>
      </c>
      <c r="AE1241">
        <v>256.18663222509298</v>
      </c>
    </row>
    <row r="1242" spans="25:31" x14ac:dyDescent="0.3">
      <c r="Y1242" t="str">
        <f t="shared" si="52"/>
        <v>Pass</v>
      </c>
      <c r="Z1242">
        <f t="shared" si="53"/>
        <v>1469.7232666015625</v>
      </c>
      <c r="AA1242">
        <v>60</v>
      </c>
      <c r="AB1242">
        <v>10</v>
      </c>
      <c r="AC1242">
        <v>50</v>
      </c>
      <c r="AD1242" t="s">
        <v>24</v>
      </c>
      <c r="AE1242">
        <v>1469.72327093584</v>
      </c>
    </row>
    <row r="1243" spans="25:31" x14ac:dyDescent="0.3">
      <c r="Y1243" t="str">
        <f t="shared" si="52"/>
        <v>Pass</v>
      </c>
      <c r="Z1243">
        <f t="shared" si="53"/>
        <v>1248.6712646484375</v>
      </c>
      <c r="AA1243">
        <v>60</v>
      </c>
      <c r="AB1243">
        <v>10</v>
      </c>
      <c r="AC1243">
        <v>50</v>
      </c>
      <c r="AD1243" t="s">
        <v>25</v>
      </c>
      <c r="AE1243">
        <v>1248.67133936393</v>
      </c>
    </row>
    <row r="1244" spans="25:31" x14ac:dyDescent="0.3">
      <c r="Y1244" t="str">
        <f t="shared" si="52"/>
        <v>Pass</v>
      </c>
      <c r="Z1244">
        <f t="shared" si="53"/>
        <v>623.50579833984375</v>
      </c>
      <c r="AA1244">
        <v>60</v>
      </c>
      <c r="AB1244">
        <v>10</v>
      </c>
      <c r="AC1244">
        <v>50</v>
      </c>
      <c r="AD1244" t="s">
        <v>26</v>
      </c>
      <c r="AE1244">
        <v>623.50584470039905</v>
      </c>
    </row>
    <row r="1245" spans="25:31" x14ac:dyDescent="0.3">
      <c r="Y1245" t="str">
        <f t="shared" si="52"/>
        <v>Pass</v>
      </c>
      <c r="Z1245">
        <f t="shared" si="53"/>
        <v>3124.26513671875</v>
      </c>
      <c r="AA1245">
        <v>60</v>
      </c>
      <c r="AB1245">
        <v>10</v>
      </c>
      <c r="AC1245">
        <v>60</v>
      </c>
      <c r="AD1245" t="s">
        <v>24</v>
      </c>
      <c r="AE1245">
        <v>3124.2651184635802</v>
      </c>
    </row>
    <row r="1246" spans="25:31" x14ac:dyDescent="0.3">
      <c r="Y1246" t="str">
        <f t="shared" si="52"/>
        <v>Pass</v>
      </c>
      <c r="Z1246">
        <f t="shared" si="53"/>
        <v>2654.36376953125</v>
      </c>
      <c r="AA1246">
        <v>60</v>
      </c>
      <c r="AB1246">
        <v>10</v>
      </c>
      <c r="AC1246">
        <v>60</v>
      </c>
      <c r="AD1246" t="s">
        <v>25</v>
      </c>
      <c r="AE1246">
        <v>2654.3638432804</v>
      </c>
    </row>
    <row r="1247" spans="25:31" x14ac:dyDescent="0.3">
      <c r="Y1247" t="str">
        <f t="shared" si="52"/>
        <v>Pass</v>
      </c>
      <c r="Z1247">
        <f t="shared" si="53"/>
        <v>1325.4178466796875</v>
      </c>
      <c r="AA1247">
        <v>60</v>
      </c>
      <c r="AB1247">
        <v>10</v>
      </c>
      <c r="AC1247">
        <v>60</v>
      </c>
      <c r="AD1247" t="s">
        <v>26</v>
      </c>
      <c r="AE1247">
        <v>1325.41792069145</v>
      </c>
    </row>
    <row r="1248" spans="25:31" x14ac:dyDescent="0.3">
      <c r="Y1248" t="str">
        <f t="shared" si="52"/>
        <v>Pass</v>
      </c>
      <c r="Z1248">
        <f t="shared" si="53"/>
        <v>5347.94091796875</v>
      </c>
      <c r="AA1248">
        <v>60</v>
      </c>
      <c r="AB1248">
        <v>10</v>
      </c>
      <c r="AC1248">
        <v>70</v>
      </c>
      <c r="AD1248" t="s">
        <v>24</v>
      </c>
      <c r="AE1248">
        <v>5347.9410273297599</v>
      </c>
    </row>
    <row r="1249" spans="25:31" x14ac:dyDescent="0.3">
      <c r="Y1249" t="str">
        <f t="shared" si="52"/>
        <v>Pass</v>
      </c>
      <c r="Z1249">
        <f t="shared" si="53"/>
        <v>4543.59033203125</v>
      </c>
      <c r="AA1249">
        <v>60</v>
      </c>
      <c r="AB1249">
        <v>10</v>
      </c>
      <c r="AC1249">
        <v>70</v>
      </c>
      <c r="AD1249" t="s">
        <v>25</v>
      </c>
      <c r="AE1249">
        <v>4543.5904959054296</v>
      </c>
    </row>
    <row r="1250" spans="25:31" x14ac:dyDescent="0.3">
      <c r="Y1250" t="str">
        <f t="shared" si="52"/>
        <v>Pass</v>
      </c>
      <c r="Z1250">
        <f t="shared" si="53"/>
        <v>2268.775634765625</v>
      </c>
      <c r="AA1250">
        <v>60</v>
      </c>
      <c r="AB1250">
        <v>10</v>
      </c>
      <c r="AC1250">
        <v>70</v>
      </c>
      <c r="AD1250" t="s">
        <v>26</v>
      </c>
      <c r="AE1250">
        <v>2268.77573050193</v>
      </c>
    </row>
    <row r="1251" spans="25:31" x14ac:dyDescent="0.3">
      <c r="Y1251" t="str">
        <f t="shared" si="52"/>
        <v>Pass</v>
      </c>
      <c r="Z1251">
        <f t="shared" si="53"/>
        <v>7255.236328125</v>
      </c>
      <c r="AA1251">
        <v>60</v>
      </c>
      <c r="AB1251">
        <v>10</v>
      </c>
      <c r="AC1251">
        <v>80</v>
      </c>
      <c r="AD1251" t="s">
        <v>24</v>
      </c>
      <c r="AE1251">
        <v>7255.2359209084498</v>
      </c>
    </row>
    <row r="1252" spans="25:31" x14ac:dyDescent="0.3">
      <c r="Y1252" t="str">
        <f t="shared" si="52"/>
        <v>Pass</v>
      </c>
      <c r="Z1252">
        <f t="shared" si="53"/>
        <v>6164.02099609375</v>
      </c>
      <c r="AA1252">
        <v>60</v>
      </c>
      <c r="AB1252">
        <v>10</v>
      </c>
      <c r="AC1252">
        <v>80</v>
      </c>
      <c r="AD1252" t="s">
        <v>25</v>
      </c>
      <c r="AE1252">
        <v>6164.0210330162799</v>
      </c>
    </row>
    <row r="1253" spans="25:31" x14ac:dyDescent="0.3">
      <c r="Y1253" t="str">
        <f t="shared" si="52"/>
        <v>Pass</v>
      </c>
      <c r="Z1253">
        <f t="shared" si="53"/>
        <v>3077.9140625</v>
      </c>
      <c r="AA1253">
        <v>60</v>
      </c>
      <c r="AB1253">
        <v>10</v>
      </c>
      <c r="AC1253">
        <v>80</v>
      </c>
      <c r="AD1253" t="s">
        <v>26</v>
      </c>
      <c r="AE1253">
        <v>3077.91411541456</v>
      </c>
    </row>
    <row r="1254" spans="25:31" x14ac:dyDescent="0.3">
      <c r="Y1254" t="str">
        <f t="shared" si="52"/>
        <v>Pass</v>
      </c>
      <c r="Z1254">
        <f t="shared" si="53"/>
        <v>8355.9365234375</v>
      </c>
      <c r="AA1254">
        <v>60</v>
      </c>
      <c r="AB1254">
        <v>10</v>
      </c>
      <c r="AC1254">
        <v>90</v>
      </c>
      <c r="AD1254" t="s">
        <v>24</v>
      </c>
      <c r="AE1254">
        <v>8355.9361160700701</v>
      </c>
    </row>
    <row r="1255" spans="25:31" x14ac:dyDescent="0.3">
      <c r="Y1255" t="str">
        <f t="shared" si="52"/>
        <v>Pass</v>
      </c>
      <c r="Z1255">
        <f t="shared" si="53"/>
        <v>7099.171875</v>
      </c>
      <c r="AA1255">
        <v>60</v>
      </c>
      <c r="AB1255">
        <v>10</v>
      </c>
      <c r="AC1255">
        <v>90</v>
      </c>
      <c r="AD1255" t="s">
        <v>25</v>
      </c>
      <c r="AE1255">
        <v>7099.1717611227004</v>
      </c>
    </row>
    <row r="1256" spans="25:31" x14ac:dyDescent="0.3">
      <c r="Y1256" t="str">
        <f t="shared" si="52"/>
        <v>Pass</v>
      </c>
      <c r="Z1256">
        <f t="shared" si="53"/>
        <v>3544.867919921875</v>
      </c>
      <c r="AA1256">
        <v>60</v>
      </c>
      <c r="AB1256">
        <v>10</v>
      </c>
      <c r="AC1256">
        <v>90</v>
      </c>
      <c r="AD1256" t="s">
        <v>26</v>
      </c>
      <c r="AE1256">
        <v>3544.8680097412998</v>
      </c>
    </row>
    <row r="1257" spans="25:31" x14ac:dyDescent="0.3">
      <c r="Y1257" t="str">
        <f t="shared" si="52"/>
        <v>Pass</v>
      </c>
      <c r="Z1257">
        <f t="shared" si="53"/>
        <v>8851.95703125</v>
      </c>
      <c r="AA1257">
        <v>60</v>
      </c>
      <c r="AB1257">
        <v>10</v>
      </c>
      <c r="AC1257">
        <v>100</v>
      </c>
      <c r="AD1257" t="s">
        <v>24</v>
      </c>
      <c r="AE1257">
        <v>8851.9564362400197</v>
      </c>
    </row>
    <row r="1258" spans="25:31" x14ac:dyDescent="0.3">
      <c r="Y1258" t="str">
        <f t="shared" si="52"/>
        <v>Pass</v>
      </c>
      <c r="Z1258">
        <f t="shared" si="53"/>
        <v>7520.5888671875</v>
      </c>
      <c r="AA1258">
        <v>60</v>
      </c>
      <c r="AB1258">
        <v>10</v>
      </c>
      <c r="AC1258">
        <v>100</v>
      </c>
      <c r="AD1258" t="s">
        <v>25</v>
      </c>
      <c r="AE1258">
        <v>7520.5887515088898</v>
      </c>
    </row>
    <row r="1259" spans="25:31" x14ac:dyDescent="0.3">
      <c r="Y1259" t="str">
        <f t="shared" si="52"/>
        <v>Pass</v>
      </c>
      <c r="Z1259">
        <f t="shared" si="53"/>
        <v>3755.29638671875</v>
      </c>
      <c r="AA1259">
        <v>60</v>
      </c>
      <c r="AB1259">
        <v>10</v>
      </c>
      <c r="AC1259">
        <v>100</v>
      </c>
      <c r="AD1259" t="s">
        <v>26</v>
      </c>
      <c r="AE1259">
        <v>3755.2964453740901</v>
      </c>
    </row>
    <row r="1260" spans="25:31" x14ac:dyDescent="0.3">
      <c r="Y1260" t="str">
        <f t="shared" si="52"/>
        <v>Pass</v>
      </c>
      <c r="Z1260">
        <f t="shared" si="53"/>
        <v>7.2531628608703613</v>
      </c>
      <c r="AA1260">
        <v>60</v>
      </c>
      <c r="AB1260">
        <v>15</v>
      </c>
      <c r="AC1260">
        <v>0</v>
      </c>
      <c r="AD1260" t="s">
        <v>24</v>
      </c>
      <c r="AE1260">
        <v>7.2531625860102897</v>
      </c>
    </row>
    <row r="1261" spans="25:31" x14ac:dyDescent="0.3">
      <c r="Y1261" t="str">
        <f t="shared" si="52"/>
        <v>Pass</v>
      </c>
      <c r="Z1261">
        <f t="shared" si="53"/>
        <v>6.1622591018676758</v>
      </c>
      <c r="AA1261">
        <v>60</v>
      </c>
      <c r="AB1261">
        <v>15</v>
      </c>
      <c r="AC1261">
        <v>0</v>
      </c>
      <c r="AD1261" t="s">
        <v>25</v>
      </c>
      <c r="AE1261">
        <v>6.1622595355184604</v>
      </c>
    </row>
    <row r="1262" spans="25:31" x14ac:dyDescent="0.3">
      <c r="Y1262" t="str">
        <f t="shared" si="52"/>
        <v>Pass</v>
      </c>
      <c r="Z1262">
        <f t="shared" si="53"/>
        <v>3.0770344734191895</v>
      </c>
      <c r="AA1262">
        <v>60</v>
      </c>
      <c r="AB1262">
        <v>15</v>
      </c>
      <c r="AC1262">
        <v>0</v>
      </c>
      <c r="AD1262" t="s">
        <v>26</v>
      </c>
      <c r="AE1262">
        <v>3.0770345372976502</v>
      </c>
    </row>
    <row r="1263" spans="25:31" x14ac:dyDescent="0.3">
      <c r="Y1263" t="str">
        <f t="shared" si="52"/>
        <v>Pass</v>
      </c>
      <c r="Z1263">
        <f t="shared" si="53"/>
        <v>19.593603134155273</v>
      </c>
      <c r="AA1263">
        <v>60</v>
      </c>
      <c r="AB1263">
        <v>15</v>
      </c>
      <c r="AC1263">
        <v>10</v>
      </c>
      <c r="AD1263" t="s">
        <v>24</v>
      </c>
      <c r="AE1263">
        <v>19.593601558661302</v>
      </c>
    </row>
    <row r="1264" spans="25:31" x14ac:dyDescent="0.3">
      <c r="Y1264" t="str">
        <f t="shared" si="52"/>
        <v>Pass</v>
      </c>
      <c r="Z1264">
        <f t="shared" si="53"/>
        <v>16.646648406982422</v>
      </c>
      <c r="AA1264">
        <v>60</v>
      </c>
      <c r="AB1264">
        <v>15</v>
      </c>
      <c r="AC1264">
        <v>10</v>
      </c>
      <c r="AD1264" t="s">
        <v>25</v>
      </c>
      <c r="AE1264">
        <v>16.6466498728281</v>
      </c>
    </row>
    <row r="1265" spans="25:31" x14ac:dyDescent="0.3">
      <c r="Y1265" t="str">
        <f t="shared" si="52"/>
        <v>Pass</v>
      </c>
      <c r="Z1265">
        <f t="shared" si="53"/>
        <v>8.3122615814208984</v>
      </c>
      <c r="AA1265">
        <v>60</v>
      </c>
      <c r="AB1265">
        <v>15</v>
      </c>
      <c r="AC1265">
        <v>10</v>
      </c>
      <c r="AD1265" t="s">
        <v>26</v>
      </c>
      <c r="AE1265">
        <v>8.3122621327055501</v>
      </c>
    </row>
    <row r="1266" spans="25:31" x14ac:dyDescent="0.3">
      <c r="Y1266" t="str">
        <f t="shared" si="52"/>
        <v>Pass</v>
      </c>
      <c r="Z1266">
        <f t="shared" si="53"/>
        <v>52.729667663574219</v>
      </c>
      <c r="AA1266">
        <v>60</v>
      </c>
      <c r="AB1266">
        <v>15</v>
      </c>
      <c r="AC1266">
        <v>20</v>
      </c>
      <c r="AD1266" t="s">
        <v>24</v>
      </c>
      <c r="AE1266">
        <v>52.729663186073402</v>
      </c>
    </row>
    <row r="1267" spans="25:31" x14ac:dyDescent="0.3">
      <c r="Y1267" t="str">
        <f t="shared" si="52"/>
        <v>Pass</v>
      </c>
      <c r="Z1267">
        <f t="shared" si="53"/>
        <v>44.798923492431641</v>
      </c>
      <c r="AA1267">
        <v>60</v>
      </c>
      <c r="AB1267">
        <v>15</v>
      </c>
      <c r="AC1267">
        <v>20</v>
      </c>
      <c r="AD1267" t="s">
        <v>25</v>
      </c>
      <c r="AE1267">
        <v>44.798922665787401</v>
      </c>
    </row>
    <row r="1268" spans="25:31" x14ac:dyDescent="0.3">
      <c r="Y1268" t="str">
        <f t="shared" si="52"/>
        <v>Pass</v>
      </c>
      <c r="Z1268">
        <f t="shared" si="53"/>
        <v>22.36968994140625</v>
      </c>
      <c r="AA1268">
        <v>60</v>
      </c>
      <c r="AB1268">
        <v>15</v>
      </c>
      <c r="AC1268">
        <v>20</v>
      </c>
      <c r="AD1268" t="s">
        <v>26</v>
      </c>
      <c r="AE1268">
        <v>22.369689475397301</v>
      </c>
    </row>
    <row r="1269" spans="25:31" x14ac:dyDescent="0.3">
      <c r="Y1269" t="str">
        <f t="shared" si="52"/>
        <v>Pass</v>
      </c>
      <c r="Z1269">
        <f t="shared" si="53"/>
        <v>140.47732543945313</v>
      </c>
      <c r="AA1269">
        <v>60</v>
      </c>
      <c r="AB1269">
        <v>15</v>
      </c>
      <c r="AC1269">
        <v>30</v>
      </c>
      <c r="AD1269" t="s">
        <v>24</v>
      </c>
      <c r="AE1269">
        <v>140.47731903567799</v>
      </c>
    </row>
    <row r="1270" spans="25:31" x14ac:dyDescent="0.3">
      <c r="Y1270" t="str">
        <f t="shared" si="52"/>
        <v>Pass</v>
      </c>
      <c r="Z1270">
        <f t="shared" si="53"/>
        <v>119.34899139404297</v>
      </c>
      <c r="AA1270">
        <v>60</v>
      </c>
      <c r="AB1270">
        <v>15</v>
      </c>
      <c r="AC1270">
        <v>30</v>
      </c>
      <c r="AD1270" t="s">
        <v>25</v>
      </c>
      <c r="AE1270">
        <v>119.348999624155</v>
      </c>
    </row>
    <row r="1271" spans="25:31" x14ac:dyDescent="0.3">
      <c r="Y1271" t="str">
        <f t="shared" si="52"/>
        <v>Pass</v>
      </c>
      <c r="Z1271">
        <f t="shared" si="53"/>
        <v>59.595180511474609</v>
      </c>
      <c r="AA1271">
        <v>60</v>
      </c>
      <c r="AB1271">
        <v>15</v>
      </c>
      <c r="AC1271">
        <v>30</v>
      </c>
      <c r="AD1271" t="s">
        <v>26</v>
      </c>
      <c r="AE1271">
        <v>59.595184480420102</v>
      </c>
    </row>
    <row r="1272" spans="25:31" x14ac:dyDescent="0.3">
      <c r="Y1272" t="str">
        <f t="shared" si="52"/>
        <v>Pass</v>
      </c>
      <c r="Z1272">
        <f t="shared" si="53"/>
        <v>364.53851318359375</v>
      </c>
      <c r="AA1272">
        <v>60</v>
      </c>
      <c r="AB1272">
        <v>15</v>
      </c>
      <c r="AC1272">
        <v>40</v>
      </c>
      <c r="AD1272" t="s">
        <v>24</v>
      </c>
      <c r="AE1272">
        <v>364.538504749781</v>
      </c>
    </row>
    <row r="1273" spans="25:31" x14ac:dyDescent="0.3">
      <c r="Y1273" t="str">
        <f t="shared" si="52"/>
        <v>Pass</v>
      </c>
      <c r="Z1273">
        <f t="shared" si="53"/>
        <v>309.71051025390625</v>
      </c>
      <c r="AA1273">
        <v>60</v>
      </c>
      <c r="AB1273">
        <v>15</v>
      </c>
      <c r="AC1273">
        <v>40</v>
      </c>
      <c r="AD1273" t="s">
        <v>25</v>
      </c>
      <c r="AE1273">
        <v>309.71053665482901</v>
      </c>
    </row>
    <row r="1274" spans="25:31" x14ac:dyDescent="0.3">
      <c r="Y1274" t="str">
        <f t="shared" si="52"/>
        <v>Pass</v>
      </c>
      <c r="Z1274">
        <f t="shared" si="53"/>
        <v>154.64942932128906</v>
      </c>
      <c r="AA1274">
        <v>60</v>
      </c>
      <c r="AB1274">
        <v>15</v>
      </c>
      <c r="AC1274">
        <v>40</v>
      </c>
      <c r="AD1274" t="s">
        <v>26</v>
      </c>
      <c r="AE1274">
        <v>154.64944511976299</v>
      </c>
    </row>
    <row r="1275" spans="25:31" x14ac:dyDescent="0.3">
      <c r="Y1275" t="str">
        <f t="shared" si="52"/>
        <v>Pass</v>
      </c>
      <c r="Z1275">
        <f t="shared" si="53"/>
        <v>887.212158203125</v>
      </c>
      <c r="AA1275">
        <v>60</v>
      </c>
      <c r="AB1275">
        <v>15</v>
      </c>
      <c r="AC1275">
        <v>50</v>
      </c>
      <c r="AD1275" t="s">
        <v>24</v>
      </c>
      <c r="AE1275">
        <v>887.21213263823495</v>
      </c>
    </row>
    <row r="1276" spans="25:31" x14ac:dyDescent="0.3">
      <c r="Y1276" t="str">
        <f t="shared" si="52"/>
        <v>Pass</v>
      </c>
      <c r="Z1276">
        <f t="shared" si="53"/>
        <v>753.77203369140625</v>
      </c>
      <c r="AA1276">
        <v>60</v>
      </c>
      <c r="AB1276">
        <v>15</v>
      </c>
      <c r="AC1276">
        <v>50</v>
      </c>
      <c r="AD1276" t="s">
        <v>25</v>
      </c>
      <c r="AE1276">
        <v>753.77207660044598</v>
      </c>
    </row>
    <row r="1277" spans="25:31" x14ac:dyDescent="0.3">
      <c r="Y1277" t="str">
        <f t="shared" si="52"/>
        <v>Pass</v>
      </c>
      <c r="Z1277">
        <f t="shared" si="53"/>
        <v>376.38507080078125</v>
      </c>
      <c r="AA1277">
        <v>60</v>
      </c>
      <c r="AB1277">
        <v>15</v>
      </c>
      <c r="AC1277">
        <v>50</v>
      </c>
      <c r="AD1277" t="s">
        <v>26</v>
      </c>
      <c r="AE1277">
        <v>376.38510672611602</v>
      </c>
    </row>
    <row r="1278" spans="25:31" x14ac:dyDescent="0.3">
      <c r="Y1278" t="str">
        <f t="shared" si="52"/>
        <v>Pass</v>
      </c>
      <c r="Z1278">
        <f t="shared" si="53"/>
        <v>1885.9918212890625</v>
      </c>
      <c r="AA1278">
        <v>60</v>
      </c>
      <c r="AB1278">
        <v>15</v>
      </c>
      <c r="AC1278">
        <v>60</v>
      </c>
      <c r="AD1278" t="s">
        <v>24</v>
      </c>
      <c r="AE1278">
        <v>1885.9917193216299</v>
      </c>
    </row>
    <row r="1279" spans="25:31" x14ac:dyDescent="0.3">
      <c r="Y1279" t="str">
        <f t="shared" si="52"/>
        <v>Pass</v>
      </c>
      <c r="Z1279">
        <f t="shared" si="53"/>
        <v>1602.331298828125</v>
      </c>
      <c r="AA1279">
        <v>60</v>
      </c>
      <c r="AB1279">
        <v>15</v>
      </c>
      <c r="AC1279">
        <v>60</v>
      </c>
      <c r="AD1279" t="s">
        <v>25</v>
      </c>
      <c r="AE1279">
        <v>1602.33144073108</v>
      </c>
    </row>
    <row r="1280" spans="25:31" x14ac:dyDescent="0.3">
      <c r="Y1280" t="str">
        <f t="shared" si="52"/>
        <v>Pass</v>
      </c>
      <c r="Z1280">
        <f t="shared" si="53"/>
        <v>800.100830078125</v>
      </c>
      <c r="AA1280">
        <v>60</v>
      </c>
      <c r="AB1280">
        <v>15</v>
      </c>
      <c r="AC1280">
        <v>60</v>
      </c>
      <c r="AD1280" t="s">
        <v>26</v>
      </c>
      <c r="AE1280">
        <v>800.10086477355901</v>
      </c>
    </row>
    <row r="1281" spans="25:31" x14ac:dyDescent="0.3">
      <c r="Y1281" t="str">
        <f t="shared" si="52"/>
        <v>Pass</v>
      </c>
      <c r="Z1281">
        <f t="shared" si="53"/>
        <v>3228.33447265625</v>
      </c>
      <c r="AA1281">
        <v>60</v>
      </c>
      <c r="AB1281">
        <v>15</v>
      </c>
      <c r="AC1281">
        <v>70</v>
      </c>
      <c r="AD1281" t="s">
        <v>24</v>
      </c>
      <c r="AE1281">
        <v>3228.3343796138702</v>
      </c>
    </row>
    <row r="1282" spans="25:31" x14ac:dyDescent="0.3">
      <c r="Y1282" t="str">
        <f t="shared" si="52"/>
        <v>Pass</v>
      </c>
      <c r="Z1282">
        <f t="shared" si="53"/>
        <v>2742.780517578125</v>
      </c>
      <c r="AA1282">
        <v>60</v>
      </c>
      <c r="AB1282">
        <v>15</v>
      </c>
      <c r="AC1282">
        <v>70</v>
      </c>
      <c r="AD1282" t="s">
        <v>25</v>
      </c>
      <c r="AE1282">
        <v>2742.7806944502199</v>
      </c>
    </row>
    <row r="1283" spans="25:31" x14ac:dyDescent="0.3">
      <c r="Y1283" t="str">
        <f t="shared" si="52"/>
        <v>Pass</v>
      </c>
      <c r="Z1283">
        <f t="shared" si="53"/>
        <v>1369.5675048828125</v>
      </c>
      <c r="AA1283">
        <v>60</v>
      </c>
      <c r="AB1283">
        <v>15</v>
      </c>
      <c r="AC1283">
        <v>70</v>
      </c>
      <c r="AD1283" t="s">
        <v>26</v>
      </c>
      <c r="AE1283">
        <v>1369.5675874103699</v>
      </c>
    </row>
    <row r="1284" spans="25:31" x14ac:dyDescent="0.3">
      <c r="Y1284" t="str">
        <f t="shared" si="52"/>
        <v>Pass</v>
      </c>
      <c r="Z1284">
        <f t="shared" si="53"/>
        <v>4379.69091796875</v>
      </c>
      <c r="AA1284">
        <v>60</v>
      </c>
      <c r="AB1284">
        <v>15</v>
      </c>
      <c r="AC1284">
        <v>80</v>
      </c>
      <c r="AD1284" t="s">
        <v>24</v>
      </c>
      <c r="AE1284">
        <v>4379.69069516331</v>
      </c>
    </row>
    <row r="1285" spans="25:31" x14ac:dyDescent="0.3">
      <c r="Y1285" t="str">
        <f t="shared" si="52"/>
        <v>Pass</v>
      </c>
      <c r="Z1285">
        <f t="shared" si="53"/>
        <v>3720.968505859375</v>
      </c>
      <c r="AA1285">
        <v>60</v>
      </c>
      <c r="AB1285">
        <v>15</v>
      </c>
      <c r="AC1285">
        <v>80</v>
      </c>
      <c r="AD1285" t="s">
        <v>25</v>
      </c>
      <c r="AE1285">
        <v>3720.9686710934702</v>
      </c>
    </row>
    <row r="1286" spans="25:31" x14ac:dyDescent="0.3">
      <c r="Y1286" t="str">
        <f t="shared" si="52"/>
        <v>Pass</v>
      </c>
      <c r="Z1286">
        <f t="shared" si="53"/>
        <v>1858.011474609375</v>
      </c>
      <c r="AA1286">
        <v>60</v>
      </c>
      <c r="AB1286">
        <v>15</v>
      </c>
      <c r="AC1286">
        <v>80</v>
      </c>
      <c r="AD1286" t="s">
        <v>26</v>
      </c>
      <c r="AE1286">
        <v>1858.0115048974201</v>
      </c>
    </row>
    <row r="1287" spans="25:31" x14ac:dyDescent="0.3">
      <c r="Y1287" t="str">
        <f t="shared" ref="Y1287:Y1350" si="54">IF(ISBLANK(Z1287),"",IF(ROUND(Z1287,0)=ROUND(AE1287,0),"Pass","Fail"))</f>
        <v>Pass</v>
      </c>
      <c r="Z1287">
        <f t="shared" ref="Z1287:Z1350" si="55">ROS_grass(AA1287,AB1287,AC1287,AD1287)</f>
        <v>5044.13916015625</v>
      </c>
      <c r="AA1287">
        <v>60</v>
      </c>
      <c r="AB1287">
        <v>15</v>
      </c>
      <c r="AC1287">
        <v>90</v>
      </c>
      <c r="AD1287" t="s">
        <v>24</v>
      </c>
      <c r="AE1287">
        <v>5044.1386132552898</v>
      </c>
    </row>
    <row r="1288" spans="25:31" x14ac:dyDescent="0.3">
      <c r="Y1288" t="str">
        <f t="shared" si="54"/>
        <v>Pass</v>
      </c>
      <c r="Z1288">
        <f t="shared" si="55"/>
        <v>4285.48095703125</v>
      </c>
      <c r="AA1288">
        <v>60</v>
      </c>
      <c r="AB1288">
        <v>15</v>
      </c>
      <c r="AC1288">
        <v>90</v>
      </c>
      <c r="AD1288" t="s">
        <v>25</v>
      </c>
      <c r="AE1288">
        <v>4285.4811124683602</v>
      </c>
    </row>
    <row r="1289" spans="25:31" x14ac:dyDescent="0.3">
      <c r="Y1289" t="str">
        <f t="shared" si="54"/>
        <v>Pass</v>
      </c>
      <c r="Z1289">
        <f t="shared" si="55"/>
        <v>2139.892578125</v>
      </c>
      <c r="AA1289">
        <v>60</v>
      </c>
      <c r="AB1289">
        <v>15</v>
      </c>
      <c r="AC1289">
        <v>90</v>
      </c>
      <c r="AD1289" t="s">
        <v>26</v>
      </c>
      <c r="AE1289">
        <v>2139.8925695998701</v>
      </c>
    </row>
    <row r="1290" spans="25:31" x14ac:dyDescent="0.3">
      <c r="Y1290" t="str">
        <f t="shared" si="54"/>
        <v>Pass</v>
      </c>
      <c r="Z1290">
        <f t="shared" si="55"/>
        <v>5343.56640625</v>
      </c>
      <c r="AA1290">
        <v>60</v>
      </c>
      <c r="AB1290">
        <v>15</v>
      </c>
      <c r="AC1290">
        <v>100</v>
      </c>
      <c r="AD1290" t="s">
        <v>24</v>
      </c>
      <c r="AE1290">
        <v>5343.5658964673603</v>
      </c>
    </row>
    <row r="1291" spans="25:31" x14ac:dyDescent="0.3">
      <c r="Y1291" t="str">
        <f t="shared" si="54"/>
        <v>Pass</v>
      </c>
      <c r="Z1291">
        <f t="shared" si="55"/>
        <v>4539.87353515625</v>
      </c>
      <c r="AA1291">
        <v>60</v>
      </c>
      <c r="AB1291">
        <v>15</v>
      </c>
      <c r="AC1291">
        <v>100</v>
      </c>
      <c r="AD1291" t="s">
        <v>25</v>
      </c>
      <c r="AE1291">
        <v>4539.8734012510304</v>
      </c>
    </row>
    <row r="1292" spans="25:31" x14ac:dyDescent="0.3">
      <c r="Y1292" t="str">
        <f t="shared" si="54"/>
        <v>Pass</v>
      </c>
      <c r="Z1292">
        <f t="shared" si="55"/>
        <v>2266.919677734375</v>
      </c>
      <c r="AA1292">
        <v>60</v>
      </c>
      <c r="AB1292">
        <v>15</v>
      </c>
      <c r="AC1292">
        <v>100</v>
      </c>
      <c r="AD1292" t="s">
        <v>26</v>
      </c>
      <c r="AE1292">
        <v>2266.9196534308298</v>
      </c>
    </row>
    <row r="1293" spans="25:31" x14ac:dyDescent="0.3">
      <c r="Y1293" t="str">
        <f t="shared" si="54"/>
        <v>Pass</v>
      </c>
      <c r="Z1293">
        <f t="shared" si="55"/>
        <v>3.2196965217590332</v>
      </c>
      <c r="AA1293">
        <v>60</v>
      </c>
      <c r="AB1293">
        <v>20</v>
      </c>
      <c r="AC1293">
        <v>0</v>
      </c>
      <c r="AD1293" t="s">
        <v>24</v>
      </c>
      <c r="AE1293">
        <v>3.2196965625704199</v>
      </c>
    </row>
    <row r="1294" spans="25:31" x14ac:dyDescent="0.3">
      <c r="Y1294" t="str">
        <f t="shared" si="54"/>
        <v>Pass</v>
      </c>
      <c r="Z1294">
        <f t="shared" si="55"/>
        <v>2.7354419231414795</v>
      </c>
      <c r="AA1294">
        <v>60</v>
      </c>
      <c r="AB1294">
        <v>20</v>
      </c>
      <c r="AC1294">
        <v>0</v>
      </c>
      <c r="AD1294" t="s">
        <v>25</v>
      </c>
      <c r="AE1294">
        <v>2.73544203771795</v>
      </c>
    </row>
    <row r="1295" spans="25:31" x14ac:dyDescent="0.3">
      <c r="Y1295" t="str">
        <f t="shared" si="54"/>
        <v>Pass</v>
      </c>
      <c r="Z1295">
        <f t="shared" si="55"/>
        <v>1.3659030199050903</v>
      </c>
      <c r="AA1295">
        <v>60</v>
      </c>
      <c r="AB1295">
        <v>20</v>
      </c>
      <c r="AC1295">
        <v>0</v>
      </c>
      <c r="AD1295" t="s">
        <v>26</v>
      </c>
      <c r="AE1295">
        <v>1.3659031360687099</v>
      </c>
    </row>
    <row r="1296" spans="25:31" x14ac:dyDescent="0.3">
      <c r="Y1296" t="str">
        <f t="shared" si="54"/>
        <v>Pass</v>
      </c>
      <c r="Z1296">
        <f t="shared" si="55"/>
        <v>8.6976470947265625</v>
      </c>
      <c r="AA1296">
        <v>60</v>
      </c>
      <c r="AB1296">
        <v>20</v>
      </c>
      <c r="AC1296">
        <v>10</v>
      </c>
      <c r="AD1296" t="s">
        <v>24</v>
      </c>
      <c r="AE1296">
        <v>8.6976475211618602</v>
      </c>
    </row>
    <row r="1297" spans="25:31" x14ac:dyDescent="0.3">
      <c r="Y1297" t="str">
        <f t="shared" si="54"/>
        <v>Pass</v>
      </c>
      <c r="Z1297">
        <f t="shared" si="55"/>
        <v>7.3894882202148438</v>
      </c>
      <c r="AA1297">
        <v>60</v>
      </c>
      <c r="AB1297">
        <v>20</v>
      </c>
      <c r="AC1297">
        <v>10</v>
      </c>
      <c r="AD1297" t="s">
        <v>25</v>
      </c>
      <c r="AE1297">
        <v>7.3894884801334797</v>
      </c>
    </row>
    <row r="1298" spans="25:31" x14ac:dyDescent="0.3">
      <c r="Y1298" t="str">
        <f t="shared" si="54"/>
        <v>Pass</v>
      </c>
      <c r="Z1298">
        <f t="shared" si="55"/>
        <v>3.6898331642150879</v>
      </c>
      <c r="AA1298">
        <v>60</v>
      </c>
      <c r="AB1298">
        <v>20</v>
      </c>
      <c r="AC1298">
        <v>10</v>
      </c>
      <c r="AD1298" t="s">
        <v>26</v>
      </c>
      <c r="AE1298">
        <v>3.6898334345180701</v>
      </c>
    </row>
    <row r="1299" spans="25:31" x14ac:dyDescent="0.3">
      <c r="Y1299" t="str">
        <f t="shared" si="54"/>
        <v>Pass</v>
      </c>
      <c r="Z1299">
        <f t="shared" si="55"/>
        <v>23.406827926635742</v>
      </c>
      <c r="AA1299">
        <v>60</v>
      </c>
      <c r="AB1299">
        <v>20</v>
      </c>
      <c r="AC1299">
        <v>20</v>
      </c>
      <c r="AD1299" t="s">
        <v>24</v>
      </c>
      <c r="AE1299">
        <v>23.4068260972325</v>
      </c>
    </row>
    <row r="1300" spans="25:31" x14ac:dyDescent="0.3">
      <c r="Y1300" t="str">
        <f t="shared" si="54"/>
        <v>Pass</v>
      </c>
      <c r="Z1300">
        <f t="shared" si="55"/>
        <v>19.886350631713867</v>
      </c>
      <c r="AA1300">
        <v>60</v>
      </c>
      <c r="AB1300">
        <v>20</v>
      </c>
      <c r="AC1300">
        <v>20</v>
      </c>
      <c r="AD1300" t="s">
        <v>25</v>
      </c>
      <c r="AE1300">
        <v>19.886351037008001</v>
      </c>
    </row>
    <row r="1301" spans="25:31" x14ac:dyDescent="0.3">
      <c r="Y1301" t="str">
        <f t="shared" si="54"/>
        <v>Pass</v>
      </c>
      <c r="Z1301">
        <f t="shared" si="55"/>
        <v>9.9299592971801758</v>
      </c>
      <c r="AA1301">
        <v>60</v>
      </c>
      <c r="AB1301">
        <v>20</v>
      </c>
      <c r="AC1301">
        <v>20</v>
      </c>
      <c r="AD1301" t="s">
        <v>26</v>
      </c>
      <c r="AE1301">
        <v>9.9299597183471207</v>
      </c>
    </row>
    <row r="1302" spans="25:31" x14ac:dyDescent="0.3">
      <c r="Y1302" t="str">
        <f t="shared" si="54"/>
        <v>Pass</v>
      </c>
      <c r="Z1302">
        <f t="shared" si="55"/>
        <v>62.358222961425781</v>
      </c>
      <c r="AA1302">
        <v>60</v>
      </c>
      <c r="AB1302">
        <v>20</v>
      </c>
      <c r="AC1302">
        <v>30</v>
      </c>
      <c r="AD1302" t="s">
        <v>24</v>
      </c>
      <c r="AE1302">
        <v>62.358224547545198</v>
      </c>
    </row>
    <row r="1303" spans="25:31" x14ac:dyDescent="0.3">
      <c r="Y1303" t="str">
        <f t="shared" si="54"/>
        <v>Pass</v>
      </c>
      <c r="Z1303">
        <f t="shared" si="55"/>
        <v>52.97930908203125</v>
      </c>
      <c r="AA1303">
        <v>60</v>
      </c>
      <c r="AB1303">
        <v>20</v>
      </c>
      <c r="AC1303">
        <v>30</v>
      </c>
      <c r="AD1303" t="s">
        <v>25</v>
      </c>
      <c r="AE1303">
        <v>52.979312028283701</v>
      </c>
    </row>
    <row r="1304" spans="25:31" x14ac:dyDescent="0.3">
      <c r="Y1304" t="str">
        <f t="shared" si="54"/>
        <v>Pass</v>
      </c>
      <c r="Z1304">
        <f t="shared" si="55"/>
        <v>26.454444885253906</v>
      </c>
      <c r="AA1304">
        <v>60</v>
      </c>
      <c r="AB1304">
        <v>20</v>
      </c>
      <c r="AC1304">
        <v>30</v>
      </c>
      <c r="AD1304" t="s">
        <v>26</v>
      </c>
      <c r="AE1304">
        <v>26.454447744966998</v>
      </c>
    </row>
    <row r="1305" spans="25:31" x14ac:dyDescent="0.3">
      <c r="Y1305" t="str">
        <f t="shared" si="54"/>
        <v>Pass</v>
      </c>
      <c r="Z1305">
        <f t="shared" si="55"/>
        <v>161.81951904296875</v>
      </c>
      <c r="AA1305">
        <v>60</v>
      </c>
      <c r="AB1305">
        <v>20</v>
      </c>
      <c r="AC1305">
        <v>40</v>
      </c>
      <c r="AD1305" t="s">
        <v>24</v>
      </c>
      <c r="AE1305">
        <v>161.81953137673199</v>
      </c>
    </row>
    <row r="1306" spans="25:31" x14ac:dyDescent="0.3">
      <c r="Y1306" t="str">
        <f t="shared" si="54"/>
        <v>Pass</v>
      </c>
      <c r="Z1306">
        <f t="shared" si="55"/>
        <v>137.48124694824219</v>
      </c>
      <c r="AA1306">
        <v>60</v>
      </c>
      <c r="AB1306">
        <v>20</v>
      </c>
      <c r="AC1306">
        <v>40</v>
      </c>
      <c r="AD1306" t="s">
        <v>25</v>
      </c>
      <c r="AE1306">
        <v>137.48126261263101</v>
      </c>
    </row>
    <row r="1307" spans="25:31" x14ac:dyDescent="0.3">
      <c r="Y1307" t="str">
        <f t="shared" si="54"/>
        <v>Pass</v>
      </c>
      <c r="Z1307">
        <f t="shared" si="55"/>
        <v>68.649253845214844</v>
      </c>
      <c r="AA1307">
        <v>60</v>
      </c>
      <c r="AB1307">
        <v>20</v>
      </c>
      <c r="AC1307">
        <v>40</v>
      </c>
      <c r="AD1307" t="s">
        <v>26</v>
      </c>
      <c r="AE1307">
        <v>68.649265882431493</v>
      </c>
    </row>
    <row r="1308" spans="25:31" x14ac:dyDescent="0.3">
      <c r="Y1308" t="str">
        <f t="shared" si="54"/>
        <v>Pass</v>
      </c>
      <c r="Z1308">
        <f t="shared" si="55"/>
        <v>393.83560180664063</v>
      </c>
      <c r="AA1308">
        <v>60</v>
      </c>
      <c r="AB1308">
        <v>20</v>
      </c>
      <c r="AC1308">
        <v>50</v>
      </c>
      <c r="AD1308" t="s">
        <v>24</v>
      </c>
      <c r="AE1308">
        <v>393.83562961014297</v>
      </c>
    </row>
    <row r="1309" spans="25:31" x14ac:dyDescent="0.3">
      <c r="Y1309" t="str">
        <f t="shared" si="54"/>
        <v>Pass</v>
      </c>
      <c r="Z1309">
        <f t="shared" si="55"/>
        <v>334.60122680664063</v>
      </c>
      <c r="AA1309">
        <v>60</v>
      </c>
      <c r="AB1309">
        <v>20</v>
      </c>
      <c r="AC1309">
        <v>50</v>
      </c>
      <c r="AD1309" t="s">
        <v>25</v>
      </c>
      <c r="AE1309">
        <v>334.601263271417</v>
      </c>
    </row>
    <row r="1310" spans="25:31" x14ac:dyDescent="0.3">
      <c r="Y1310" t="str">
        <f t="shared" si="54"/>
        <v>Pass</v>
      </c>
      <c r="Z1310">
        <f t="shared" si="55"/>
        <v>167.0782470703125</v>
      </c>
      <c r="AA1310">
        <v>60</v>
      </c>
      <c r="AB1310">
        <v>20</v>
      </c>
      <c r="AC1310">
        <v>50</v>
      </c>
      <c r="AD1310" t="s">
        <v>26</v>
      </c>
      <c r="AE1310">
        <v>167.07826688817801</v>
      </c>
    </row>
    <row r="1311" spans="25:31" x14ac:dyDescent="0.3">
      <c r="Y1311" t="str">
        <f t="shared" si="54"/>
        <v>Pass</v>
      </c>
      <c r="Z1311">
        <f t="shared" si="55"/>
        <v>837.1962890625</v>
      </c>
      <c r="AA1311">
        <v>60</v>
      </c>
      <c r="AB1311">
        <v>20</v>
      </c>
      <c r="AC1311">
        <v>60</v>
      </c>
      <c r="AD1311" t="s">
        <v>24</v>
      </c>
      <c r="AE1311">
        <v>837.19632418667902</v>
      </c>
    </row>
    <row r="1312" spans="25:31" x14ac:dyDescent="0.3">
      <c r="Y1312" t="str">
        <f t="shared" si="54"/>
        <v>Pass</v>
      </c>
      <c r="Z1312">
        <f t="shared" si="55"/>
        <v>711.27880859375</v>
      </c>
      <c r="AA1312">
        <v>60</v>
      </c>
      <c r="AB1312">
        <v>20</v>
      </c>
      <c r="AC1312">
        <v>60</v>
      </c>
      <c r="AD1312" t="s">
        <v>25</v>
      </c>
      <c r="AE1312">
        <v>711.27883466599098</v>
      </c>
    </row>
    <row r="1313" spans="25:31" x14ac:dyDescent="0.3">
      <c r="Y1313" t="str">
        <f t="shared" si="54"/>
        <v>Pass</v>
      </c>
      <c r="Z1313">
        <f t="shared" si="55"/>
        <v>355.16668701171875</v>
      </c>
      <c r="AA1313">
        <v>60</v>
      </c>
      <c r="AB1313">
        <v>20</v>
      </c>
      <c r="AC1313">
        <v>60</v>
      </c>
      <c r="AD1313" t="s">
        <v>26</v>
      </c>
      <c r="AE1313">
        <v>355.16672533850698</v>
      </c>
    </row>
    <row r="1314" spans="25:31" x14ac:dyDescent="0.3">
      <c r="Y1314" t="str">
        <f t="shared" si="54"/>
        <v>Pass</v>
      </c>
      <c r="Z1314">
        <f t="shared" si="55"/>
        <v>1433.0655517578125</v>
      </c>
      <c r="AA1314">
        <v>60</v>
      </c>
      <c r="AB1314">
        <v>20</v>
      </c>
      <c r="AC1314">
        <v>70</v>
      </c>
      <c r="AD1314" t="s">
        <v>24</v>
      </c>
      <c r="AE1314">
        <v>1433.0655050968901</v>
      </c>
    </row>
    <row r="1315" spans="25:31" x14ac:dyDescent="0.3">
      <c r="Y1315" t="str">
        <f t="shared" si="54"/>
        <v>Pass</v>
      </c>
      <c r="Z1315">
        <f t="shared" si="55"/>
        <v>1217.5269775390625</v>
      </c>
      <c r="AA1315">
        <v>60</v>
      </c>
      <c r="AB1315">
        <v>20</v>
      </c>
      <c r="AC1315">
        <v>70</v>
      </c>
      <c r="AD1315" t="s">
        <v>25</v>
      </c>
      <c r="AE1315">
        <v>1217.52703997546</v>
      </c>
    </row>
    <row r="1316" spans="25:31" x14ac:dyDescent="0.3">
      <c r="Y1316" t="str">
        <f t="shared" si="54"/>
        <v>Pass</v>
      </c>
      <c r="Z1316">
        <f t="shared" si="55"/>
        <v>607.954345703125</v>
      </c>
      <c r="AA1316">
        <v>60</v>
      </c>
      <c r="AB1316">
        <v>20</v>
      </c>
      <c r="AC1316">
        <v>70</v>
      </c>
      <c r="AD1316" t="s">
        <v>26</v>
      </c>
      <c r="AE1316">
        <v>607.95439246021294</v>
      </c>
    </row>
    <row r="1317" spans="25:31" x14ac:dyDescent="0.3">
      <c r="Y1317" t="str">
        <f t="shared" si="54"/>
        <v>Pass</v>
      </c>
      <c r="Z1317">
        <f t="shared" si="55"/>
        <v>1944.1553955078125</v>
      </c>
      <c r="AA1317">
        <v>60</v>
      </c>
      <c r="AB1317">
        <v>20</v>
      </c>
      <c r="AC1317">
        <v>80</v>
      </c>
      <c r="AD1317" t="s">
        <v>24</v>
      </c>
      <c r="AE1317">
        <v>1944.15538175542</v>
      </c>
    </row>
    <row r="1318" spans="25:31" x14ac:dyDescent="0.3">
      <c r="Y1318" t="str">
        <f t="shared" si="54"/>
        <v>Pass</v>
      </c>
      <c r="Z1318">
        <f t="shared" si="55"/>
        <v>1651.7470703125</v>
      </c>
      <c r="AA1318">
        <v>60</v>
      </c>
      <c r="AB1318">
        <v>20</v>
      </c>
      <c r="AC1318">
        <v>80</v>
      </c>
      <c r="AD1318" t="s">
        <v>25</v>
      </c>
      <c r="AE1318">
        <v>1651.7470686317299</v>
      </c>
    </row>
    <row r="1319" spans="25:31" x14ac:dyDescent="0.3">
      <c r="Y1319" t="str">
        <f t="shared" si="54"/>
        <v>Pass</v>
      </c>
      <c r="Z1319">
        <f t="shared" si="55"/>
        <v>824.77581787109375</v>
      </c>
      <c r="AA1319">
        <v>60</v>
      </c>
      <c r="AB1319">
        <v>20</v>
      </c>
      <c r="AC1319">
        <v>80</v>
      </c>
      <c r="AD1319" t="s">
        <v>26</v>
      </c>
      <c r="AE1319">
        <v>824.77583875934397</v>
      </c>
    </row>
    <row r="1320" spans="25:31" x14ac:dyDescent="0.3">
      <c r="Y1320" t="str">
        <f t="shared" si="54"/>
        <v>Pass</v>
      </c>
      <c r="Z1320">
        <f t="shared" si="55"/>
        <v>2239.10546875</v>
      </c>
      <c r="AA1320">
        <v>60</v>
      </c>
      <c r="AB1320">
        <v>20</v>
      </c>
      <c r="AC1320">
        <v>90</v>
      </c>
      <c r="AD1320" t="s">
        <v>24</v>
      </c>
      <c r="AE1320">
        <v>2239.1054332011299</v>
      </c>
    </row>
    <row r="1321" spans="25:31" x14ac:dyDescent="0.3">
      <c r="Y1321" t="str">
        <f t="shared" si="54"/>
        <v>Pass</v>
      </c>
      <c r="Z1321">
        <f t="shared" si="55"/>
        <v>1902.33544921875</v>
      </c>
      <c r="AA1321">
        <v>60</v>
      </c>
      <c r="AB1321">
        <v>20</v>
      </c>
      <c r="AC1321">
        <v>90</v>
      </c>
      <c r="AD1321" t="s">
        <v>25</v>
      </c>
      <c r="AE1321">
        <v>1902.3355182176599</v>
      </c>
    </row>
    <row r="1322" spans="25:31" x14ac:dyDescent="0.3">
      <c r="Y1322" t="str">
        <f t="shared" si="54"/>
        <v>Pass</v>
      </c>
      <c r="Z1322">
        <f t="shared" si="55"/>
        <v>949.9034423828125</v>
      </c>
      <c r="AA1322">
        <v>60</v>
      </c>
      <c r="AB1322">
        <v>20</v>
      </c>
      <c r="AC1322">
        <v>90</v>
      </c>
      <c r="AD1322" t="s">
        <v>26</v>
      </c>
      <c r="AE1322">
        <v>949.90353089555299</v>
      </c>
    </row>
    <row r="1323" spans="25:31" x14ac:dyDescent="0.3">
      <c r="Y1323" t="str">
        <f t="shared" si="54"/>
        <v>Pass</v>
      </c>
      <c r="Z1323">
        <f t="shared" si="55"/>
        <v>2372.02197265625</v>
      </c>
      <c r="AA1323">
        <v>60</v>
      </c>
      <c r="AB1323">
        <v>20</v>
      </c>
      <c r="AC1323">
        <v>100</v>
      </c>
      <c r="AD1323" t="s">
        <v>24</v>
      </c>
      <c r="AE1323">
        <v>2372.0219345294099</v>
      </c>
    </row>
    <row r="1324" spans="25:31" x14ac:dyDescent="0.3">
      <c r="Y1324" t="str">
        <f t="shared" si="54"/>
        <v>Pass</v>
      </c>
      <c r="Z1324">
        <f t="shared" si="55"/>
        <v>2015.2608642578125</v>
      </c>
      <c r="AA1324">
        <v>60</v>
      </c>
      <c r="AB1324">
        <v>20</v>
      </c>
      <c r="AC1324">
        <v>100</v>
      </c>
      <c r="AD1324" t="s">
        <v>25</v>
      </c>
      <c r="AE1324">
        <v>2015.26087567729</v>
      </c>
    </row>
    <row r="1325" spans="25:31" x14ac:dyDescent="0.3">
      <c r="Y1325" t="str">
        <f t="shared" si="54"/>
        <v>Pass</v>
      </c>
      <c r="Z1325">
        <f t="shared" si="55"/>
        <v>1006.2910766601563</v>
      </c>
      <c r="AA1325">
        <v>60</v>
      </c>
      <c r="AB1325">
        <v>20</v>
      </c>
      <c r="AC1325">
        <v>100</v>
      </c>
      <c r="AD1325" t="s">
        <v>26</v>
      </c>
      <c r="AE1325">
        <v>1006.2911632302699</v>
      </c>
    </row>
    <row r="1326" spans="25:31" x14ac:dyDescent="0.3">
      <c r="Y1326" t="str">
        <f t="shared" si="54"/>
        <v>Pass</v>
      </c>
      <c r="Z1326">
        <f t="shared" si="55"/>
        <v>3.5381283611059189E-2</v>
      </c>
      <c r="AA1326">
        <v>60</v>
      </c>
      <c r="AB1326">
        <v>25</v>
      </c>
      <c r="AC1326">
        <v>0</v>
      </c>
      <c r="AD1326" t="s">
        <v>24</v>
      </c>
      <c r="AE1326">
        <v>3.5381280907367203E-2</v>
      </c>
    </row>
    <row r="1327" spans="25:31" x14ac:dyDescent="0.3">
      <c r="Y1327" t="str">
        <f t="shared" si="54"/>
        <v>Pass</v>
      </c>
      <c r="Z1327">
        <f t="shared" si="55"/>
        <v>3.0059801414608955E-2</v>
      </c>
      <c r="AA1327">
        <v>60</v>
      </c>
      <c r="AB1327">
        <v>25</v>
      </c>
      <c r="AC1327">
        <v>0</v>
      </c>
      <c r="AD1327" t="s">
        <v>25</v>
      </c>
      <c r="AE1327">
        <v>3.0059802612285198E-2</v>
      </c>
    </row>
    <row r="1328" spans="25:31" x14ac:dyDescent="0.3">
      <c r="Y1328" t="str">
        <f t="shared" si="54"/>
        <v>Pass</v>
      </c>
      <c r="Z1328">
        <f t="shared" si="55"/>
        <v>1.5009923838078976E-2</v>
      </c>
      <c r="AA1328">
        <v>60</v>
      </c>
      <c r="AB1328">
        <v>25</v>
      </c>
      <c r="AC1328">
        <v>0</v>
      </c>
      <c r="AD1328" t="s">
        <v>26</v>
      </c>
      <c r="AE1328">
        <v>1.50099245721836E-2</v>
      </c>
    </row>
    <row r="1329" spans="25:31" x14ac:dyDescent="0.3">
      <c r="Y1329" t="str">
        <f t="shared" si="54"/>
        <v>Pass</v>
      </c>
      <c r="Z1329">
        <f t="shared" si="55"/>
        <v>9.5578551292419434E-2</v>
      </c>
      <c r="AA1329">
        <v>60</v>
      </c>
      <c r="AB1329">
        <v>25</v>
      </c>
      <c r="AC1329">
        <v>10</v>
      </c>
      <c r="AD1329" t="s">
        <v>24</v>
      </c>
      <c r="AE1329">
        <v>9.5578544188591796E-2</v>
      </c>
    </row>
    <row r="1330" spans="25:31" x14ac:dyDescent="0.3">
      <c r="Y1330" t="str">
        <f t="shared" si="54"/>
        <v>Pass</v>
      </c>
      <c r="Z1330">
        <f t="shared" si="55"/>
        <v>8.1203170120716095E-2</v>
      </c>
      <c r="AA1330">
        <v>60</v>
      </c>
      <c r="AB1330">
        <v>25</v>
      </c>
      <c r="AC1330">
        <v>10</v>
      </c>
      <c r="AD1330" t="s">
        <v>25</v>
      </c>
      <c r="AE1330">
        <v>8.1203170111356901E-2</v>
      </c>
    </row>
    <row r="1331" spans="25:31" x14ac:dyDescent="0.3">
      <c r="Y1331" t="str">
        <f t="shared" si="54"/>
        <v>Pass</v>
      </c>
      <c r="Z1331">
        <f t="shared" si="55"/>
        <v>4.0547620505094528E-2</v>
      </c>
      <c r="AA1331">
        <v>60</v>
      </c>
      <c r="AB1331">
        <v>25</v>
      </c>
      <c r="AC1331">
        <v>10</v>
      </c>
      <c r="AD1331" t="s">
        <v>26</v>
      </c>
      <c r="AE1331">
        <v>4.0547620159539201E-2</v>
      </c>
    </row>
    <row r="1332" spans="25:31" x14ac:dyDescent="0.3">
      <c r="Y1332" t="str">
        <f t="shared" si="54"/>
        <v>Pass</v>
      </c>
      <c r="Z1332">
        <f t="shared" si="55"/>
        <v>0.25721791386604309</v>
      </c>
      <c r="AA1332">
        <v>60</v>
      </c>
      <c r="AB1332">
        <v>25</v>
      </c>
      <c r="AC1332">
        <v>20</v>
      </c>
      <c r="AD1332" t="s">
        <v>24</v>
      </c>
      <c r="AE1332">
        <v>0.257217869200358</v>
      </c>
    </row>
    <row r="1333" spans="25:31" x14ac:dyDescent="0.3">
      <c r="Y1333" t="str">
        <f t="shared" si="54"/>
        <v>Pass</v>
      </c>
      <c r="Z1333">
        <f t="shared" si="55"/>
        <v>0.21853134036064148</v>
      </c>
      <c r="AA1333">
        <v>60</v>
      </c>
      <c r="AB1333">
        <v>25</v>
      </c>
      <c r="AC1333">
        <v>20</v>
      </c>
      <c r="AD1333" t="s">
        <v>25</v>
      </c>
      <c r="AE1333">
        <v>0.218531330077011</v>
      </c>
    </row>
    <row r="1334" spans="25:31" x14ac:dyDescent="0.3">
      <c r="Y1334" t="str">
        <f t="shared" si="54"/>
        <v>Pass</v>
      </c>
      <c r="Z1334">
        <f t="shared" si="55"/>
        <v>0.1091204360127449</v>
      </c>
      <c r="AA1334">
        <v>60</v>
      </c>
      <c r="AB1334">
        <v>25</v>
      </c>
      <c r="AC1334">
        <v>20</v>
      </c>
      <c r="AD1334" t="s">
        <v>26</v>
      </c>
      <c r="AE1334">
        <v>0.10912043646535299</v>
      </c>
    </row>
    <row r="1335" spans="25:31" x14ac:dyDescent="0.3">
      <c r="Y1335" t="str">
        <f t="shared" si="54"/>
        <v>Pass</v>
      </c>
      <c r="Z1335">
        <f t="shared" si="55"/>
        <v>0.68525528907775879</v>
      </c>
      <c r="AA1335">
        <v>60</v>
      </c>
      <c r="AB1335">
        <v>25</v>
      </c>
      <c r="AC1335">
        <v>30</v>
      </c>
      <c r="AD1335" t="s">
        <v>24</v>
      </c>
      <c r="AE1335">
        <v>0.68525521480818896</v>
      </c>
    </row>
    <row r="1336" spans="25:31" x14ac:dyDescent="0.3">
      <c r="Y1336" t="str">
        <f t="shared" si="54"/>
        <v>Pass</v>
      </c>
      <c r="Z1336">
        <f t="shared" si="55"/>
        <v>0.58219021558761597</v>
      </c>
      <c r="AA1336">
        <v>60</v>
      </c>
      <c r="AB1336">
        <v>25</v>
      </c>
      <c r="AC1336">
        <v>30</v>
      </c>
      <c r="AD1336" t="s">
        <v>25</v>
      </c>
      <c r="AE1336">
        <v>0.58219024206905101</v>
      </c>
    </row>
    <row r="1337" spans="25:31" x14ac:dyDescent="0.3">
      <c r="Y1337" t="str">
        <f t="shared" si="54"/>
        <v>Pass</v>
      </c>
      <c r="Z1337">
        <f t="shared" si="55"/>
        <v>0.29070821404457092</v>
      </c>
      <c r="AA1337">
        <v>60</v>
      </c>
      <c r="AB1337">
        <v>25</v>
      </c>
      <c r="AC1337">
        <v>30</v>
      </c>
      <c r="AD1337" t="s">
        <v>26</v>
      </c>
      <c r="AE1337">
        <v>0.29070821697765897</v>
      </c>
    </row>
    <row r="1338" spans="25:31" x14ac:dyDescent="0.3">
      <c r="Y1338" t="str">
        <f t="shared" si="54"/>
        <v>Pass</v>
      </c>
      <c r="Z1338">
        <f t="shared" si="55"/>
        <v>1.7782367467880249</v>
      </c>
      <c r="AA1338">
        <v>60</v>
      </c>
      <c r="AB1338">
        <v>25</v>
      </c>
      <c r="AC1338">
        <v>40</v>
      </c>
      <c r="AD1338" t="s">
        <v>24</v>
      </c>
      <c r="AE1338">
        <v>1.7782366085355099</v>
      </c>
    </row>
    <row r="1339" spans="25:31" x14ac:dyDescent="0.3">
      <c r="Y1339" t="str">
        <f t="shared" si="54"/>
        <v>Pass</v>
      </c>
      <c r="Z1339">
        <f t="shared" si="55"/>
        <v>1.5107830762863159</v>
      </c>
      <c r="AA1339">
        <v>60</v>
      </c>
      <c r="AB1339">
        <v>25</v>
      </c>
      <c r="AC1339">
        <v>40</v>
      </c>
      <c r="AD1339" t="s">
        <v>25</v>
      </c>
      <c r="AE1339">
        <v>1.5107831056333101</v>
      </c>
    </row>
    <row r="1340" spans="25:31" x14ac:dyDescent="0.3">
      <c r="Y1340" t="str">
        <f t="shared" si="54"/>
        <v>Pass</v>
      </c>
      <c r="Z1340">
        <f t="shared" si="55"/>
        <v>0.7543874979019165</v>
      </c>
      <c r="AA1340">
        <v>60</v>
      </c>
      <c r="AB1340">
        <v>25</v>
      </c>
      <c r="AC1340">
        <v>40</v>
      </c>
      <c r="AD1340" t="s">
        <v>26</v>
      </c>
      <c r="AE1340">
        <v>0.75438753716957696</v>
      </c>
    </row>
    <row r="1341" spans="25:31" x14ac:dyDescent="0.3">
      <c r="Y1341" t="str">
        <f t="shared" si="54"/>
        <v>Pass</v>
      </c>
      <c r="Z1341">
        <f t="shared" si="55"/>
        <v>4.3278641700744629</v>
      </c>
      <c r="AA1341">
        <v>60</v>
      </c>
      <c r="AB1341">
        <v>25</v>
      </c>
      <c r="AC1341">
        <v>50</v>
      </c>
      <c r="AD1341" t="s">
        <v>24</v>
      </c>
      <c r="AE1341">
        <v>4.3278640616499198</v>
      </c>
    </row>
    <row r="1342" spans="25:31" x14ac:dyDescent="0.3">
      <c r="Y1342" t="str">
        <f t="shared" si="54"/>
        <v>Pass</v>
      </c>
      <c r="Z1342">
        <f t="shared" si="55"/>
        <v>3.6769368648529053</v>
      </c>
      <c r="AA1342">
        <v>60</v>
      </c>
      <c r="AB1342">
        <v>25</v>
      </c>
      <c r="AC1342">
        <v>50</v>
      </c>
      <c r="AD1342" t="s">
        <v>25</v>
      </c>
      <c r="AE1342">
        <v>3.6769369590265599</v>
      </c>
    </row>
    <row r="1343" spans="25:31" x14ac:dyDescent="0.3">
      <c r="Y1343" t="str">
        <f t="shared" si="54"/>
        <v>Pass</v>
      </c>
      <c r="Z1343">
        <f t="shared" si="55"/>
        <v>1.8360247611999512</v>
      </c>
      <c r="AA1343">
        <v>60</v>
      </c>
      <c r="AB1343">
        <v>25</v>
      </c>
      <c r="AC1343">
        <v>50</v>
      </c>
      <c r="AD1343" t="s">
        <v>26</v>
      </c>
      <c r="AE1343">
        <v>1.8360249108591</v>
      </c>
    </row>
    <row r="1344" spans="25:31" x14ac:dyDescent="0.3">
      <c r="Y1344" t="str">
        <f t="shared" si="54"/>
        <v>Pass</v>
      </c>
      <c r="Z1344">
        <f t="shared" si="55"/>
        <v>9.1999607086181641</v>
      </c>
      <c r="AA1344">
        <v>60</v>
      </c>
      <c r="AB1344">
        <v>25</v>
      </c>
      <c r="AC1344">
        <v>60</v>
      </c>
      <c r="AD1344" t="s">
        <v>24</v>
      </c>
      <c r="AE1344">
        <v>9.1999596064470097</v>
      </c>
    </row>
    <row r="1345" spans="25:31" x14ac:dyDescent="0.3">
      <c r="Y1345" t="str">
        <f t="shared" si="54"/>
        <v>Pass</v>
      </c>
      <c r="Z1345">
        <f t="shared" si="55"/>
        <v>7.8162508010864258</v>
      </c>
      <c r="AA1345">
        <v>60</v>
      </c>
      <c r="AB1345">
        <v>25</v>
      </c>
      <c r="AC1345">
        <v>60</v>
      </c>
      <c r="AD1345" t="s">
        <v>25</v>
      </c>
      <c r="AE1345">
        <v>7.8162509303955101</v>
      </c>
    </row>
    <row r="1346" spans="25:31" x14ac:dyDescent="0.3">
      <c r="Y1346" t="str">
        <f t="shared" si="54"/>
        <v>Pass</v>
      </c>
      <c r="Z1346">
        <f t="shared" si="55"/>
        <v>3.902930736541748</v>
      </c>
      <c r="AA1346">
        <v>60</v>
      </c>
      <c r="AB1346">
        <v>25</v>
      </c>
      <c r="AC1346">
        <v>60</v>
      </c>
      <c r="AD1346" t="s">
        <v>26</v>
      </c>
      <c r="AE1346">
        <v>3.9029310476758901</v>
      </c>
    </row>
    <row r="1347" spans="25:31" x14ac:dyDescent="0.3">
      <c r="Y1347" t="str">
        <f t="shared" si="54"/>
        <v>Pass</v>
      </c>
      <c r="Z1347">
        <f t="shared" si="55"/>
        <v>15.747974395751953</v>
      </c>
      <c r="AA1347">
        <v>60</v>
      </c>
      <c r="AB1347">
        <v>25</v>
      </c>
      <c r="AC1347">
        <v>70</v>
      </c>
      <c r="AD1347" t="s">
        <v>24</v>
      </c>
      <c r="AE1347">
        <v>15.7479725834823</v>
      </c>
    </row>
    <row r="1348" spans="25:31" x14ac:dyDescent="0.3">
      <c r="Y1348" t="str">
        <f t="shared" si="54"/>
        <v>Pass</v>
      </c>
      <c r="Z1348">
        <f t="shared" si="55"/>
        <v>13.37941837310791</v>
      </c>
      <c r="AA1348">
        <v>60</v>
      </c>
      <c r="AB1348">
        <v>25</v>
      </c>
      <c r="AC1348">
        <v>70</v>
      </c>
      <c r="AD1348" t="s">
        <v>25</v>
      </c>
      <c r="AE1348">
        <v>13.3794180217084</v>
      </c>
    </row>
    <row r="1349" spans="25:31" x14ac:dyDescent="0.3">
      <c r="Y1349" t="str">
        <f t="shared" si="54"/>
        <v>Pass</v>
      </c>
      <c r="Z1349">
        <f t="shared" si="55"/>
        <v>6.6808171272277832</v>
      </c>
      <c r="AA1349">
        <v>60</v>
      </c>
      <c r="AB1349">
        <v>25</v>
      </c>
      <c r="AC1349">
        <v>70</v>
      </c>
      <c r="AD1349" t="s">
        <v>26</v>
      </c>
      <c r="AE1349">
        <v>6.6808174995627798</v>
      </c>
    </row>
    <row r="1350" spans="25:31" x14ac:dyDescent="0.3">
      <c r="Y1350" t="str">
        <f t="shared" si="54"/>
        <v>Pass</v>
      </c>
      <c r="Z1350">
        <f t="shared" si="55"/>
        <v>21.364347457885742</v>
      </c>
      <c r="AA1350">
        <v>60</v>
      </c>
      <c r="AB1350">
        <v>25</v>
      </c>
      <c r="AC1350">
        <v>80</v>
      </c>
      <c r="AD1350" t="s">
        <v>24</v>
      </c>
      <c r="AE1350">
        <v>21.364344854455101</v>
      </c>
    </row>
    <row r="1351" spans="25:31" x14ac:dyDescent="0.3">
      <c r="Y1351" t="str">
        <f t="shared" ref="Y1351:Y1414" si="56">IF(ISBLANK(Z1351),"",IF(ROUND(Z1351,0)=ROUND(AE1351,0),"Pass","Fail"))</f>
        <v>Pass</v>
      </c>
      <c r="Z1351">
        <f t="shared" ref="Z1351:Z1414" si="57">ROS_grass(AA1351,AB1351,AC1351,AD1351)</f>
        <v>18.151067733764648</v>
      </c>
      <c r="AA1351">
        <v>60</v>
      </c>
      <c r="AB1351">
        <v>25</v>
      </c>
      <c r="AC1351">
        <v>80</v>
      </c>
      <c r="AD1351" t="s">
        <v>25</v>
      </c>
      <c r="AE1351">
        <v>18.151066688260801</v>
      </c>
    </row>
    <row r="1352" spans="25:31" x14ac:dyDescent="0.3">
      <c r="Y1352" t="str">
        <f t="shared" si="56"/>
        <v>Pass</v>
      </c>
      <c r="Z1352">
        <f t="shared" si="57"/>
        <v>9.0634708404541016</v>
      </c>
      <c r="AA1352">
        <v>60</v>
      </c>
      <c r="AB1352">
        <v>25</v>
      </c>
      <c r="AC1352">
        <v>80</v>
      </c>
      <c r="AD1352" t="s">
        <v>26</v>
      </c>
      <c r="AE1352">
        <v>9.0634707555971801</v>
      </c>
    </row>
    <row r="1353" spans="25:31" x14ac:dyDescent="0.3">
      <c r="Y1353" t="str">
        <f t="shared" si="56"/>
        <v>Pass</v>
      </c>
      <c r="Z1353">
        <f t="shared" si="57"/>
        <v>24.605556488037109</v>
      </c>
      <c r="AA1353">
        <v>60</v>
      </c>
      <c r="AB1353">
        <v>25</v>
      </c>
      <c r="AC1353">
        <v>90</v>
      </c>
      <c r="AD1353" t="s">
        <v>24</v>
      </c>
      <c r="AE1353">
        <v>24.605554211001401</v>
      </c>
    </row>
    <row r="1354" spans="25:31" x14ac:dyDescent="0.3">
      <c r="Y1354" t="str">
        <f t="shared" si="56"/>
        <v>Pass</v>
      </c>
      <c r="Z1354">
        <f t="shared" si="57"/>
        <v>20.904787063598633</v>
      </c>
      <c r="AA1354">
        <v>60</v>
      </c>
      <c r="AB1354">
        <v>25</v>
      </c>
      <c r="AC1354">
        <v>90</v>
      </c>
      <c r="AD1354" t="s">
        <v>25</v>
      </c>
      <c r="AE1354">
        <v>20.904785914479799</v>
      </c>
    </row>
    <row r="1355" spans="25:31" x14ac:dyDescent="0.3">
      <c r="Y1355" t="str">
        <f t="shared" si="56"/>
        <v>Pass</v>
      </c>
      <c r="Z1355">
        <f t="shared" si="57"/>
        <v>10.43850040435791</v>
      </c>
      <c r="AA1355">
        <v>60</v>
      </c>
      <c r="AB1355">
        <v>25</v>
      </c>
      <c r="AC1355">
        <v>90</v>
      </c>
      <c r="AD1355" t="s">
        <v>26</v>
      </c>
      <c r="AE1355">
        <v>10.438500339511499</v>
      </c>
    </row>
    <row r="1356" spans="25:31" x14ac:dyDescent="0.3">
      <c r="Y1356" t="str">
        <f t="shared" si="56"/>
        <v>Pass</v>
      </c>
      <c r="Z1356">
        <f t="shared" si="57"/>
        <v>26.066177368164063</v>
      </c>
      <c r="AA1356">
        <v>60</v>
      </c>
      <c r="AB1356">
        <v>25</v>
      </c>
      <c r="AC1356">
        <v>100</v>
      </c>
      <c r="AD1356" t="s">
        <v>24</v>
      </c>
      <c r="AE1356">
        <v>26.066175104718798</v>
      </c>
    </row>
    <row r="1357" spans="25:31" x14ac:dyDescent="0.3">
      <c r="Y1357" t="str">
        <f t="shared" si="56"/>
        <v>Pass</v>
      </c>
      <c r="Z1357">
        <f t="shared" si="57"/>
        <v>22.145725250244141</v>
      </c>
      <c r="AA1357">
        <v>60</v>
      </c>
      <c r="AB1357">
        <v>25</v>
      </c>
      <c r="AC1357">
        <v>100</v>
      </c>
      <c r="AD1357" t="s">
        <v>25</v>
      </c>
      <c r="AE1357">
        <v>22.145723908541601</v>
      </c>
    </row>
    <row r="1358" spans="25:31" x14ac:dyDescent="0.3">
      <c r="Y1358" t="str">
        <f t="shared" si="56"/>
        <v>Pass</v>
      </c>
      <c r="Z1358">
        <f t="shared" si="57"/>
        <v>11.058144569396973</v>
      </c>
      <c r="AA1358">
        <v>60</v>
      </c>
      <c r="AB1358">
        <v>25</v>
      </c>
      <c r="AC1358">
        <v>100</v>
      </c>
      <c r="AD1358" t="s">
        <v>26</v>
      </c>
      <c r="AE1358">
        <v>11.058144650882101</v>
      </c>
    </row>
    <row r="1359" spans="25:31" x14ac:dyDescent="0.3">
      <c r="Y1359" t="str">
        <f t="shared" si="56"/>
        <v>Pass</v>
      </c>
      <c r="Z1359">
        <f t="shared" si="57"/>
        <v>3.5381283611059189E-2</v>
      </c>
      <c r="AA1359">
        <v>60</v>
      </c>
      <c r="AB1359">
        <v>30</v>
      </c>
      <c r="AC1359">
        <v>0</v>
      </c>
      <c r="AD1359" t="s">
        <v>24</v>
      </c>
      <c r="AE1359">
        <v>3.5381280907367203E-2</v>
      </c>
    </row>
    <row r="1360" spans="25:31" x14ac:dyDescent="0.3">
      <c r="Y1360" t="str">
        <f t="shared" si="56"/>
        <v>Pass</v>
      </c>
      <c r="Z1360">
        <f t="shared" si="57"/>
        <v>3.0059801414608955E-2</v>
      </c>
      <c r="AA1360">
        <v>60</v>
      </c>
      <c r="AB1360">
        <v>30</v>
      </c>
      <c r="AC1360">
        <v>0</v>
      </c>
      <c r="AD1360" t="s">
        <v>25</v>
      </c>
      <c r="AE1360">
        <v>3.0059802612285198E-2</v>
      </c>
    </row>
    <row r="1361" spans="25:31" x14ac:dyDescent="0.3">
      <c r="Y1361" t="str">
        <f t="shared" si="56"/>
        <v>Pass</v>
      </c>
      <c r="Z1361">
        <f t="shared" si="57"/>
        <v>1.5009923838078976E-2</v>
      </c>
      <c r="AA1361">
        <v>60</v>
      </c>
      <c r="AB1361">
        <v>30</v>
      </c>
      <c r="AC1361">
        <v>0</v>
      </c>
      <c r="AD1361" t="s">
        <v>26</v>
      </c>
      <c r="AE1361">
        <v>1.50099245721836E-2</v>
      </c>
    </row>
    <row r="1362" spans="25:31" x14ac:dyDescent="0.3">
      <c r="Y1362" t="str">
        <f t="shared" si="56"/>
        <v>Pass</v>
      </c>
      <c r="Z1362">
        <f t="shared" si="57"/>
        <v>9.5578551292419434E-2</v>
      </c>
      <c r="AA1362">
        <v>60</v>
      </c>
      <c r="AB1362">
        <v>30</v>
      </c>
      <c r="AC1362">
        <v>10</v>
      </c>
      <c r="AD1362" t="s">
        <v>24</v>
      </c>
      <c r="AE1362">
        <v>9.5578544188591796E-2</v>
      </c>
    </row>
    <row r="1363" spans="25:31" x14ac:dyDescent="0.3">
      <c r="Y1363" t="str">
        <f t="shared" si="56"/>
        <v>Pass</v>
      </c>
      <c r="Z1363">
        <f t="shared" si="57"/>
        <v>8.1203170120716095E-2</v>
      </c>
      <c r="AA1363">
        <v>60</v>
      </c>
      <c r="AB1363">
        <v>30</v>
      </c>
      <c r="AC1363">
        <v>10</v>
      </c>
      <c r="AD1363" t="s">
        <v>25</v>
      </c>
      <c r="AE1363">
        <v>8.1203170111356901E-2</v>
      </c>
    </row>
    <row r="1364" spans="25:31" x14ac:dyDescent="0.3">
      <c r="Y1364" t="str">
        <f t="shared" si="56"/>
        <v>Pass</v>
      </c>
      <c r="Z1364">
        <f t="shared" si="57"/>
        <v>4.0547620505094528E-2</v>
      </c>
      <c r="AA1364">
        <v>60</v>
      </c>
      <c r="AB1364">
        <v>30</v>
      </c>
      <c r="AC1364">
        <v>10</v>
      </c>
      <c r="AD1364" t="s">
        <v>26</v>
      </c>
      <c r="AE1364">
        <v>4.0547620159539201E-2</v>
      </c>
    </row>
    <row r="1365" spans="25:31" x14ac:dyDescent="0.3">
      <c r="Y1365" t="str">
        <f t="shared" si="56"/>
        <v>Pass</v>
      </c>
      <c r="Z1365">
        <f t="shared" si="57"/>
        <v>0.25721791386604309</v>
      </c>
      <c r="AA1365">
        <v>60</v>
      </c>
      <c r="AB1365">
        <v>30</v>
      </c>
      <c r="AC1365">
        <v>20</v>
      </c>
      <c r="AD1365" t="s">
        <v>24</v>
      </c>
      <c r="AE1365">
        <v>0.257217869200358</v>
      </c>
    </row>
    <row r="1366" spans="25:31" x14ac:dyDescent="0.3">
      <c r="Y1366" t="str">
        <f t="shared" si="56"/>
        <v>Pass</v>
      </c>
      <c r="Z1366">
        <f t="shared" si="57"/>
        <v>0.21853134036064148</v>
      </c>
      <c r="AA1366">
        <v>60</v>
      </c>
      <c r="AB1366">
        <v>30</v>
      </c>
      <c r="AC1366">
        <v>20</v>
      </c>
      <c r="AD1366" t="s">
        <v>25</v>
      </c>
      <c r="AE1366">
        <v>0.218531330077011</v>
      </c>
    </row>
    <row r="1367" spans="25:31" x14ac:dyDescent="0.3">
      <c r="Y1367" t="str">
        <f t="shared" si="56"/>
        <v>Pass</v>
      </c>
      <c r="Z1367">
        <f t="shared" si="57"/>
        <v>0.1091204360127449</v>
      </c>
      <c r="AA1367">
        <v>60</v>
      </c>
      <c r="AB1367">
        <v>30</v>
      </c>
      <c r="AC1367">
        <v>20</v>
      </c>
      <c r="AD1367" t="s">
        <v>26</v>
      </c>
      <c r="AE1367">
        <v>0.10912043646535299</v>
      </c>
    </row>
    <row r="1368" spans="25:31" x14ac:dyDescent="0.3">
      <c r="Y1368" t="str">
        <f t="shared" si="56"/>
        <v>Pass</v>
      </c>
      <c r="Z1368">
        <f t="shared" si="57"/>
        <v>0.68525528907775879</v>
      </c>
      <c r="AA1368">
        <v>60</v>
      </c>
      <c r="AB1368">
        <v>30</v>
      </c>
      <c r="AC1368">
        <v>30</v>
      </c>
      <c r="AD1368" t="s">
        <v>24</v>
      </c>
      <c r="AE1368">
        <v>0.68525521480818896</v>
      </c>
    </row>
    <row r="1369" spans="25:31" x14ac:dyDescent="0.3">
      <c r="Y1369" t="str">
        <f t="shared" si="56"/>
        <v>Pass</v>
      </c>
      <c r="Z1369">
        <f t="shared" si="57"/>
        <v>0.58219021558761597</v>
      </c>
      <c r="AA1369">
        <v>60</v>
      </c>
      <c r="AB1369">
        <v>30</v>
      </c>
      <c r="AC1369">
        <v>30</v>
      </c>
      <c r="AD1369" t="s">
        <v>25</v>
      </c>
      <c r="AE1369">
        <v>0.58219024206905101</v>
      </c>
    </row>
    <row r="1370" spans="25:31" x14ac:dyDescent="0.3">
      <c r="Y1370" t="str">
        <f t="shared" si="56"/>
        <v>Pass</v>
      </c>
      <c r="Z1370">
        <f t="shared" si="57"/>
        <v>0.29070821404457092</v>
      </c>
      <c r="AA1370">
        <v>60</v>
      </c>
      <c r="AB1370">
        <v>30</v>
      </c>
      <c r="AC1370">
        <v>30</v>
      </c>
      <c r="AD1370" t="s">
        <v>26</v>
      </c>
      <c r="AE1370">
        <v>0.29070821697765897</v>
      </c>
    </row>
    <row r="1371" spans="25:31" x14ac:dyDescent="0.3">
      <c r="Y1371" t="str">
        <f t="shared" si="56"/>
        <v>Pass</v>
      </c>
      <c r="Z1371">
        <f t="shared" si="57"/>
        <v>1.7782367467880249</v>
      </c>
      <c r="AA1371">
        <v>60</v>
      </c>
      <c r="AB1371">
        <v>30</v>
      </c>
      <c r="AC1371">
        <v>40</v>
      </c>
      <c r="AD1371" t="s">
        <v>24</v>
      </c>
      <c r="AE1371">
        <v>1.7782366085355099</v>
      </c>
    </row>
    <row r="1372" spans="25:31" x14ac:dyDescent="0.3">
      <c r="Y1372" t="str">
        <f t="shared" si="56"/>
        <v>Pass</v>
      </c>
      <c r="Z1372">
        <f t="shared" si="57"/>
        <v>1.5107830762863159</v>
      </c>
      <c r="AA1372">
        <v>60</v>
      </c>
      <c r="AB1372">
        <v>30</v>
      </c>
      <c r="AC1372">
        <v>40</v>
      </c>
      <c r="AD1372" t="s">
        <v>25</v>
      </c>
      <c r="AE1372">
        <v>1.5107831056333101</v>
      </c>
    </row>
    <row r="1373" spans="25:31" x14ac:dyDescent="0.3">
      <c r="Y1373" t="str">
        <f t="shared" si="56"/>
        <v>Pass</v>
      </c>
      <c r="Z1373">
        <f t="shared" si="57"/>
        <v>0.7543874979019165</v>
      </c>
      <c r="AA1373">
        <v>60</v>
      </c>
      <c r="AB1373">
        <v>30</v>
      </c>
      <c r="AC1373">
        <v>40</v>
      </c>
      <c r="AD1373" t="s">
        <v>26</v>
      </c>
      <c r="AE1373">
        <v>0.75438753716957696</v>
      </c>
    </row>
    <row r="1374" spans="25:31" x14ac:dyDescent="0.3">
      <c r="Y1374" t="str">
        <f t="shared" si="56"/>
        <v>Pass</v>
      </c>
      <c r="Z1374">
        <f t="shared" si="57"/>
        <v>4.3278641700744629</v>
      </c>
      <c r="AA1374">
        <v>60</v>
      </c>
      <c r="AB1374">
        <v>30</v>
      </c>
      <c r="AC1374">
        <v>50</v>
      </c>
      <c r="AD1374" t="s">
        <v>24</v>
      </c>
      <c r="AE1374">
        <v>4.3278640616499198</v>
      </c>
    </row>
    <row r="1375" spans="25:31" x14ac:dyDescent="0.3">
      <c r="Y1375" t="str">
        <f t="shared" si="56"/>
        <v>Pass</v>
      </c>
      <c r="Z1375">
        <f t="shared" si="57"/>
        <v>3.6769368648529053</v>
      </c>
      <c r="AA1375">
        <v>60</v>
      </c>
      <c r="AB1375">
        <v>30</v>
      </c>
      <c r="AC1375">
        <v>50</v>
      </c>
      <c r="AD1375" t="s">
        <v>25</v>
      </c>
      <c r="AE1375">
        <v>3.6769369590265599</v>
      </c>
    </row>
    <row r="1376" spans="25:31" x14ac:dyDescent="0.3">
      <c r="Y1376" t="str">
        <f t="shared" si="56"/>
        <v>Pass</v>
      </c>
      <c r="Z1376">
        <f t="shared" si="57"/>
        <v>1.8360247611999512</v>
      </c>
      <c r="AA1376">
        <v>60</v>
      </c>
      <c r="AB1376">
        <v>30</v>
      </c>
      <c r="AC1376">
        <v>50</v>
      </c>
      <c r="AD1376" t="s">
        <v>26</v>
      </c>
      <c r="AE1376">
        <v>1.8360249108591</v>
      </c>
    </row>
    <row r="1377" spans="25:31" x14ac:dyDescent="0.3">
      <c r="Y1377" t="str">
        <f t="shared" si="56"/>
        <v>Pass</v>
      </c>
      <c r="Z1377">
        <f t="shared" si="57"/>
        <v>9.1999607086181641</v>
      </c>
      <c r="AA1377">
        <v>60</v>
      </c>
      <c r="AB1377">
        <v>30</v>
      </c>
      <c r="AC1377">
        <v>60</v>
      </c>
      <c r="AD1377" t="s">
        <v>24</v>
      </c>
      <c r="AE1377">
        <v>9.1999596064470097</v>
      </c>
    </row>
    <row r="1378" spans="25:31" x14ac:dyDescent="0.3">
      <c r="Y1378" t="str">
        <f t="shared" si="56"/>
        <v>Pass</v>
      </c>
      <c r="Z1378">
        <f t="shared" si="57"/>
        <v>7.8162508010864258</v>
      </c>
      <c r="AA1378">
        <v>60</v>
      </c>
      <c r="AB1378">
        <v>30</v>
      </c>
      <c r="AC1378">
        <v>60</v>
      </c>
      <c r="AD1378" t="s">
        <v>25</v>
      </c>
      <c r="AE1378">
        <v>7.8162509303955101</v>
      </c>
    </row>
    <row r="1379" spans="25:31" x14ac:dyDescent="0.3">
      <c r="Y1379" t="str">
        <f t="shared" si="56"/>
        <v>Pass</v>
      </c>
      <c r="Z1379">
        <f t="shared" si="57"/>
        <v>3.902930736541748</v>
      </c>
      <c r="AA1379">
        <v>60</v>
      </c>
      <c r="AB1379">
        <v>30</v>
      </c>
      <c r="AC1379">
        <v>60</v>
      </c>
      <c r="AD1379" t="s">
        <v>26</v>
      </c>
      <c r="AE1379">
        <v>3.9029310476758901</v>
      </c>
    </row>
    <row r="1380" spans="25:31" x14ac:dyDescent="0.3">
      <c r="Y1380" t="str">
        <f t="shared" si="56"/>
        <v>Pass</v>
      </c>
      <c r="Z1380">
        <f t="shared" si="57"/>
        <v>15.747974395751953</v>
      </c>
      <c r="AA1380">
        <v>60</v>
      </c>
      <c r="AB1380">
        <v>30</v>
      </c>
      <c r="AC1380">
        <v>70</v>
      </c>
      <c r="AD1380" t="s">
        <v>24</v>
      </c>
      <c r="AE1380">
        <v>15.7479725834823</v>
      </c>
    </row>
    <row r="1381" spans="25:31" x14ac:dyDescent="0.3">
      <c r="Y1381" t="str">
        <f t="shared" si="56"/>
        <v>Pass</v>
      </c>
      <c r="Z1381">
        <f t="shared" si="57"/>
        <v>13.37941837310791</v>
      </c>
      <c r="AA1381">
        <v>60</v>
      </c>
      <c r="AB1381">
        <v>30</v>
      </c>
      <c r="AC1381">
        <v>70</v>
      </c>
      <c r="AD1381" t="s">
        <v>25</v>
      </c>
      <c r="AE1381">
        <v>13.3794180217084</v>
      </c>
    </row>
    <row r="1382" spans="25:31" x14ac:dyDescent="0.3">
      <c r="Y1382" t="str">
        <f t="shared" si="56"/>
        <v>Pass</v>
      </c>
      <c r="Z1382">
        <f t="shared" si="57"/>
        <v>6.6808171272277832</v>
      </c>
      <c r="AA1382">
        <v>60</v>
      </c>
      <c r="AB1382">
        <v>30</v>
      </c>
      <c r="AC1382">
        <v>70</v>
      </c>
      <c r="AD1382" t="s">
        <v>26</v>
      </c>
      <c r="AE1382">
        <v>6.6808174995627798</v>
      </c>
    </row>
    <row r="1383" spans="25:31" x14ac:dyDescent="0.3">
      <c r="Y1383" t="str">
        <f t="shared" si="56"/>
        <v>Pass</v>
      </c>
      <c r="Z1383">
        <f t="shared" si="57"/>
        <v>21.364347457885742</v>
      </c>
      <c r="AA1383">
        <v>60</v>
      </c>
      <c r="AB1383">
        <v>30</v>
      </c>
      <c r="AC1383">
        <v>80</v>
      </c>
      <c r="AD1383" t="s">
        <v>24</v>
      </c>
      <c r="AE1383">
        <v>21.364344854455101</v>
      </c>
    </row>
    <row r="1384" spans="25:31" x14ac:dyDescent="0.3">
      <c r="Y1384" t="str">
        <f t="shared" si="56"/>
        <v>Pass</v>
      </c>
      <c r="Z1384">
        <f t="shared" si="57"/>
        <v>18.151067733764648</v>
      </c>
      <c r="AA1384">
        <v>60</v>
      </c>
      <c r="AB1384">
        <v>30</v>
      </c>
      <c r="AC1384">
        <v>80</v>
      </c>
      <c r="AD1384" t="s">
        <v>25</v>
      </c>
      <c r="AE1384">
        <v>18.151066688260801</v>
      </c>
    </row>
    <row r="1385" spans="25:31" x14ac:dyDescent="0.3">
      <c r="Y1385" t="str">
        <f t="shared" si="56"/>
        <v>Pass</v>
      </c>
      <c r="Z1385">
        <f t="shared" si="57"/>
        <v>9.0634708404541016</v>
      </c>
      <c r="AA1385">
        <v>60</v>
      </c>
      <c r="AB1385">
        <v>30</v>
      </c>
      <c r="AC1385">
        <v>80</v>
      </c>
      <c r="AD1385" t="s">
        <v>26</v>
      </c>
      <c r="AE1385">
        <v>9.0634707555971801</v>
      </c>
    </row>
    <row r="1386" spans="25:31" x14ac:dyDescent="0.3">
      <c r="Y1386" t="str">
        <f t="shared" si="56"/>
        <v>Pass</v>
      </c>
      <c r="Z1386">
        <f t="shared" si="57"/>
        <v>24.605556488037109</v>
      </c>
      <c r="AA1386">
        <v>60</v>
      </c>
      <c r="AB1386">
        <v>30</v>
      </c>
      <c r="AC1386">
        <v>90</v>
      </c>
      <c r="AD1386" t="s">
        <v>24</v>
      </c>
      <c r="AE1386">
        <v>24.605554211001401</v>
      </c>
    </row>
    <row r="1387" spans="25:31" x14ac:dyDescent="0.3">
      <c r="Y1387" t="str">
        <f t="shared" si="56"/>
        <v>Pass</v>
      </c>
      <c r="Z1387">
        <f t="shared" si="57"/>
        <v>20.904787063598633</v>
      </c>
      <c r="AA1387">
        <v>60</v>
      </c>
      <c r="AB1387">
        <v>30</v>
      </c>
      <c r="AC1387">
        <v>90</v>
      </c>
      <c r="AD1387" t="s">
        <v>25</v>
      </c>
      <c r="AE1387">
        <v>20.904785914479799</v>
      </c>
    </row>
    <row r="1388" spans="25:31" x14ac:dyDescent="0.3">
      <c r="Y1388" t="str">
        <f t="shared" si="56"/>
        <v>Pass</v>
      </c>
      <c r="Z1388">
        <f t="shared" si="57"/>
        <v>10.43850040435791</v>
      </c>
      <c r="AA1388">
        <v>60</v>
      </c>
      <c r="AB1388">
        <v>30</v>
      </c>
      <c r="AC1388">
        <v>90</v>
      </c>
      <c r="AD1388" t="s">
        <v>26</v>
      </c>
      <c r="AE1388">
        <v>10.438500339511499</v>
      </c>
    </row>
    <row r="1389" spans="25:31" x14ac:dyDescent="0.3">
      <c r="Y1389" t="str">
        <f t="shared" si="56"/>
        <v>Pass</v>
      </c>
      <c r="Z1389">
        <f t="shared" si="57"/>
        <v>26.066177368164063</v>
      </c>
      <c r="AA1389">
        <v>60</v>
      </c>
      <c r="AB1389">
        <v>30</v>
      </c>
      <c r="AC1389">
        <v>100</v>
      </c>
      <c r="AD1389" t="s">
        <v>24</v>
      </c>
      <c r="AE1389">
        <v>26.066175104718798</v>
      </c>
    </row>
    <row r="1390" spans="25:31" x14ac:dyDescent="0.3">
      <c r="Y1390" t="str">
        <f t="shared" si="56"/>
        <v>Pass</v>
      </c>
      <c r="Z1390">
        <f t="shared" si="57"/>
        <v>22.145725250244141</v>
      </c>
      <c r="AA1390">
        <v>60</v>
      </c>
      <c r="AB1390">
        <v>30</v>
      </c>
      <c r="AC1390">
        <v>100</v>
      </c>
      <c r="AD1390" t="s">
        <v>25</v>
      </c>
      <c r="AE1390">
        <v>22.145723908541601</v>
      </c>
    </row>
    <row r="1391" spans="25:31" x14ac:dyDescent="0.3">
      <c r="Y1391" t="str">
        <f t="shared" si="56"/>
        <v>Pass</v>
      </c>
      <c r="Z1391">
        <f t="shared" si="57"/>
        <v>11.058144569396973</v>
      </c>
      <c r="AA1391">
        <v>60</v>
      </c>
      <c r="AB1391">
        <v>30</v>
      </c>
      <c r="AC1391">
        <v>100</v>
      </c>
      <c r="AD1391" t="s">
        <v>26</v>
      </c>
      <c r="AE1391">
        <v>11.058144650882101</v>
      </c>
    </row>
    <row r="1392" spans="25:31" x14ac:dyDescent="0.3">
      <c r="Y1392" t="str">
        <f t="shared" si="56"/>
        <v>Pass</v>
      </c>
      <c r="Z1392">
        <f t="shared" si="57"/>
        <v>23.57267951965332</v>
      </c>
      <c r="AA1392">
        <v>70</v>
      </c>
      <c r="AB1392">
        <v>5</v>
      </c>
      <c r="AC1392">
        <v>0</v>
      </c>
      <c r="AD1392" t="s">
        <v>24</v>
      </c>
      <c r="AE1392">
        <v>23.5726828771474</v>
      </c>
    </row>
    <row r="1393" spans="25:31" x14ac:dyDescent="0.3">
      <c r="Y1393" t="str">
        <f t="shared" si="56"/>
        <v>Pass</v>
      </c>
      <c r="Z1393">
        <f t="shared" si="57"/>
        <v>20.037973403930664</v>
      </c>
      <c r="AA1393">
        <v>70</v>
      </c>
      <c r="AB1393">
        <v>5</v>
      </c>
      <c r="AC1393">
        <v>0</v>
      </c>
      <c r="AD1393" t="s">
        <v>25</v>
      </c>
      <c r="AE1393">
        <v>20.037973849592099</v>
      </c>
    </row>
    <row r="1394" spans="25:31" x14ac:dyDescent="0.3">
      <c r="Y1394" t="str">
        <f t="shared" si="56"/>
        <v>Pass</v>
      </c>
      <c r="Z1394">
        <f t="shared" si="57"/>
        <v>10.005581855773926</v>
      </c>
      <c r="AA1394">
        <v>70</v>
      </c>
      <c r="AB1394">
        <v>5</v>
      </c>
      <c r="AC1394">
        <v>0</v>
      </c>
      <c r="AD1394" t="s">
        <v>26</v>
      </c>
      <c r="AE1394">
        <v>10.005582807216699</v>
      </c>
    </row>
    <row r="1395" spans="25:31" x14ac:dyDescent="0.3">
      <c r="Y1395" t="str">
        <f t="shared" si="56"/>
        <v>Pass</v>
      </c>
      <c r="Z1395">
        <f t="shared" si="57"/>
        <v>63.678939819335938</v>
      </c>
      <c r="AA1395">
        <v>70</v>
      </c>
      <c r="AB1395">
        <v>5</v>
      </c>
      <c r="AC1395">
        <v>10</v>
      </c>
      <c r="AD1395" t="s">
        <v>24</v>
      </c>
      <c r="AE1395">
        <v>63.678947009178401</v>
      </c>
    </row>
    <row r="1396" spans="25:31" x14ac:dyDescent="0.3">
      <c r="Y1396" t="str">
        <f t="shared" si="56"/>
        <v>Pass</v>
      </c>
      <c r="Z1396">
        <f t="shared" si="57"/>
        <v>54.130329132080078</v>
      </c>
      <c r="AA1396">
        <v>70</v>
      </c>
      <c r="AB1396">
        <v>5</v>
      </c>
      <c r="AC1396">
        <v>10</v>
      </c>
      <c r="AD1396" t="s">
        <v>25</v>
      </c>
      <c r="AE1396">
        <v>54.130328804299801</v>
      </c>
    </row>
    <row r="1397" spans="25:31" x14ac:dyDescent="0.3">
      <c r="Y1397" t="str">
        <f t="shared" si="56"/>
        <v>Pass</v>
      </c>
      <c r="Z1397">
        <f t="shared" si="57"/>
        <v>27.028953552246094</v>
      </c>
      <c r="AA1397">
        <v>70</v>
      </c>
      <c r="AB1397">
        <v>5</v>
      </c>
      <c r="AC1397">
        <v>10</v>
      </c>
      <c r="AD1397" t="s">
        <v>26</v>
      </c>
      <c r="AE1397">
        <v>27.0289546886655</v>
      </c>
    </row>
    <row r="1398" spans="25:31" x14ac:dyDescent="0.3">
      <c r="Y1398" t="str">
        <f t="shared" si="56"/>
        <v>Pass</v>
      </c>
      <c r="Z1398">
        <f t="shared" si="57"/>
        <v>171.37069702148438</v>
      </c>
      <c r="AA1398">
        <v>70</v>
      </c>
      <c r="AB1398">
        <v>5</v>
      </c>
      <c r="AC1398">
        <v>20</v>
      </c>
      <c r="AD1398" t="s">
        <v>24</v>
      </c>
      <c r="AE1398">
        <v>171.37071088155801</v>
      </c>
    </row>
    <row r="1399" spans="25:31" x14ac:dyDescent="0.3">
      <c r="Y1399" t="str">
        <f t="shared" si="56"/>
        <v>Pass</v>
      </c>
      <c r="Z1399">
        <f t="shared" si="57"/>
        <v>145.67379760742188</v>
      </c>
      <c r="AA1399">
        <v>70</v>
      </c>
      <c r="AB1399">
        <v>5</v>
      </c>
      <c r="AC1399">
        <v>20</v>
      </c>
      <c r="AD1399" t="s">
        <v>25</v>
      </c>
      <c r="AE1399">
        <v>145.67378016015601</v>
      </c>
    </row>
    <row r="1400" spans="25:31" x14ac:dyDescent="0.3">
      <c r="Y1400" t="str">
        <f t="shared" si="56"/>
        <v>Pass</v>
      </c>
      <c r="Z1400">
        <f t="shared" si="57"/>
        <v>72.73944091796875</v>
      </c>
      <c r="AA1400">
        <v>70</v>
      </c>
      <c r="AB1400">
        <v>5</v>
      </c>
      <c r="AC1400">
        <v>20</v>
      </c>
      <c r="AD1400" t="s">
        <v>26</v>
      </c>
      <c r="AE1400">
        <v>72.739443676956597</v>
      </c>
    </row>
    <row r="1401" spans="25:31" x14ac:dyDescent="0.3">
      <c r="Y1401" t="str">
        <f t="shared" si="56"/>
        <v>Pass</v>
      </c>
      <c r="Z1401">
        <f t="shared" si="57"/>
        <v>456.54937744140625</v>
      </c>
      <c r="AA1401">
        <v>70</v>
      </c>
      <c r="AB1401">
        <v>5</v>
      </c>
      <c r="AC1401">
        <v>30</v>
      </c>
      <c r="AD1401" t="s">
        <v>24</v>
      </c>
      <c r="AE1401">
        <v>456.54943671701398</v>
      </c>
    </row>
    <row r="1402" spans="25:31" x14ac:dyDescent="0.3">
      <c r="Y1402" t="str">
        <f t="shared" si="56"/>
        <v>Pass</v>
      </c>
      <c r="Z1402">
        <f t="shared" si="57"/>
        <v>388.09014892578125</v>
      </c>
      <c r="AA1402">
        <v>70</v>
      </c>
      <c r="AB1402">
        <v>5</v>
      </c>
      <c r="AC1402">
        <v>30</v>
      </c>
      <c r="AD1402" t="s">
        <v>25</v>
      </c>
      <c r="AE1402">
        <v>388.09013474025897</v>
      </c>
    </row>
    <row r="1403" spans="25:31" x14ac:dyDescent="0.3">
      <c r="Y1403" t="str">
        <f t="shared" si="56"/>
        <v>Pass</v>
      </c>
      <c r="Z1403">
        <f t="shared" si="57"/>
        <v>193.78544616699219</v>
      </c>
      <c r="AA1403">
        <v>70</v>
      </c>
      <c r="AB1403">
        <v>5</v>
      </c>
      <c r="AC1403">
        <v>30</v>
      </c>
      <c r="AD1403" t="s">
        <v>26</v>
      </c>
      <c r="AE1403">
        <v>193.78545999482799</v>
      </c>
    </row>
    <row r="1404" spans="25:31" x14ac:dyDescent="0.3">
      <c r="Y1404" t="str">
        <f t="shared" si="56"/>
        <v>Pass</v>
      </c>
      <c r="Z1404">
        <f t="shared" si="57"/>
        <v>1184.7451171875</v>
      </c>
      <c r="AA1404">
        <v>70</v>
      </c>
      <c r="AB1404">
        <v>5</v>
      </c>
      <c r="AC1404">
        <v>40</v>
      </c>
      <c r="AD1404" t="s">
        <v>24</v>
      </c>
      <c r="AE1404">
        <v>1184.7453393021001</v>
      </c>
    </row>
    <row r="1405" spans="25:31" x14ac:dyDescent="0.3">
      <c r="Y1405" t="str">
        <f t="shared" si="56"/>
        <v>Pass</v>
      </c>
      <c r="Z1405">
        <f t="shared" si="57"/>
        <v>1007.093505859375</v>
      </c>
      <c r="AA1405">
        <v>70</v>
      </c>
      <c r="AB1405">
        <v>5</v>
      </c>
      <c r="AC1405">
        <v>40</v>
      </c>
      <c r="AD1405" t="s">
        <v>25</v>
      </c>
      <c r="AE1405">
        <v>1007.09351799647</v>
      </c>
    </row>
    <row r="1406" spans="25:31" x14ac:dyDescent="0.3">
      <c r="Y1406" t="str">
        <f t="shared" si="56"/>
        <v>Pass</v>
      </c>
      <c r="Z1406">
        <f t="shared" si="57"/>
        <v>502.87301635742188</v>
      </c>
      <c r="AA1406">
        <v>70</v>
      </c>
      <c r="AB1406">
        <v>5</v>
      </c>
      <c r="AC1406">
        <v>40</v>
      </c>
      <c r="AD1406" t="s">
        <v>26</v>
      </c>
      <c r="AE1406">
        <v>502.87307811463398</v>
      </c>
    </row>
    <row r="1407" spans="25:31" x14ac:dyDescent="0.3">
      <c r="Y1407" t="str">
        <f t="shared" si="56"/>
        <v>Pass</v>
      </c>
      <c r="Z1407">
        <f t="shared" si="57"/>
        <v>2883.42724609375</v>
      </c>
      <c r="AA1407">
        <v>70</v>
      </c>
      <c r="AB1407">
        <v>5</v>
      </c>
      <c r="AC1407">
        <v>50</v>
      </c>
      <c r="AD1407" t="s">
        <v>24</v>
      </c>
      <c r="AE1407">
        <v>2883.4277460947901</v>
      </c>
    </row>
    <row r="1408" spans="25:31" x14ac:dyDescent="0.3">
      <c r="Y1408" t="str">
        <f t="shared" si="56"/>
        <v>Pass</v>
      </c>
      <c r="Z1408">
        <f t="shared" si="57"/>
        <v>2451.0595703125</v>
      </c>
      <c r="AA1408">
        <v>70</v>
      </c>
      <c r="AB1408">
        <v>5</v>
      </c>
      <c r="AC1408">
        <v>50</v>
      </c>
      <c r="AD1408" t="s">
        <v>25</v>
      </c>
      <c r="AE1408">
        <v>2451.0595622295</v>
      </c>
    </row>
    <row r="1409" spans="25:31" x14ac:dyDescent="0.3">
      <c r="Y1409" t="str">
        <f t="shared" si="56"/>
        <v>Pass</v>
      </c>
      <c r="Z1409">
        <f t="shared" si="57"/>
        <v>1223.8900146484375</v>
      </c>
      <c r="AA1409">
        <v>70</v>
      </c>
      <c r="AB1409">
        <v>5</v>
      </c>
      <c r="AC1409">
        <v>50</v>
      </c>
      <c r="AD1409" t="s">
        <v>26</v>
      </c>
      <c r="AE1409">
        <v>1223.8901796853499</v>
      </c>
    </row>
    <row r="1410" spans="25:31" x14ac:dyDescent="0.3">
      <c r="Y1410" t="str">
        <f t="shared" si="56"/>
        <v>Pass</v>
      </c>
      <c r="Z1410">
        <f t="shared" si="57"/>
        <v>6129.447265625</v>
      </c>
      <c r="AA1410">
        <v>70</v>
      </c>
      <c r="AB1410">
        <v>5</v>
      </c>
      <c r="AC1410">
        <v>60</v>
      </c>
      <c r="AD1410" t="s">
        <v>24</v>
      </c>
      <c r="AE1410">
        <v>6129.4482484432601</v>
      </c>
    </row>
    <row r="1411" spans="25:31" x14ac:dyDescent="0.3">
      <c r="Y1411" t="str">
        <f t="shared" si="56"/>
        <v>Pass</v>
      </c>
      <c r="Z1411">
        <f t="shared" si="57"/>
        <v>5210.34130859375</v>
      </c>
      <c r="AA1411">
        <v>70</v>
      </c>
      <c r="AB1411">
        <v>5</v>
      </c>
      <c r="AC1411">
        <v>60</v>
      </c>
      <c r="AD1411" t="s">
        <v>25</v>
      </c>
      <c r="AE1411">
        <v>5210.3413241012104</v>
      </c>
    </row>
    <row r="1412" spans="25:31" x14ac:dyDescent="0.3">
      <c r="Y1412" t="str">
        <f t="shared" si="56"/>
        <v>Pass</v>
      </c>
      <c r="Z1412">
        <f t="shared" si="57"/>
        <v>2601.68505859375</v>
      </c>
      <c r="AA1412">
        <v>70</v>
      </c>
      <c r="AB1412">
        <v>5</v>
      </c>
      <c r="AC1412">
        <v>60</v>
      </c>
      <c r="AD1412" t="s">
        <v>26</v>
      </c>
      <c r="AE1412">
        <v>2601.6852783356198</v>
      </c>
    </row>
    <row r="1413" spans="25:31" x14ac:dyDescent="0.3">
      <c r="Y1413" t="str">
        <f t="shared" si="56"/>
        <v>Pass</v>
      </c>
      <c r="Z1413">
        <f t="shared" si="57"/>
        <v>10492.04296875</v>
      </c>
      <c r="AA1413">
        <v>70</v>
      </c>
      <c r="AB1413">
        <v>5</v>
      </c>
      <c r="AC1413">
        <v>70</v>
      </c>
      <c r="AD1413" t="s">
        <v>24</v>
      </c>
      <c r="AE1413">
        <v>10492.044215141501</v>
      </c>
    </row>
    <row r="1414" spans="25:31" x14ac:dyDescent="0.3">
      <c r="Y1414" t="str">
        <f t="shared" si="56"/>
        <v>Pass</v>
      </c>
      <c r="Z1414">
        <f t="shared" si="57"/>
        <v>8918.76953125</v>
      </c>
      <c r="AA1414">
        <v>70</v>
      </c>
      <c r="AB1414">
        <v>5</v>
      </c>
      <c r="AC1414">
        <v>70</v>
      </c>
      <c r="AD1414" t="s">
        <v>25</v>
      </c>
      <c r="AE1414">
        <v>8918.7687590531805</v>
      </c>
    </row>
    <row r="1415" spans="25:31" x14ac:dyDescent="0.3">
      <c r="Y1415" t="str">
        <f t="shared" ref="Y1415:Y1478" si="58">IF(ISBLANK(Z1415),"",IF(ROUND(Z1415,0)=ROUND(AE1415,0),"Pass","Fail"))</f>
        <v>Pass</v>
      </c>
      <c r="Z1415">
        <f t="shared" ref="Z1415:Z1478" si="59">ROS_grass(AA1415,AB1415,AC1415,AD1415)</f>
        <v>4453.41796875</v>
      </c>
      <c r="AA1415">
        <v>70</v>
      </c>
      <c r="AB1415">
        <v>5</v>
      </c>
      <c r="AC1415">
        <v>70</v>
      </c>
      <c r="AD1415" t="s">
        <v>26</v>
      </c>
      <c r="AE1415">
        <v>4453.41829602899</v>
      </c>
    </row>
    <row r="1416" spans="25:31" x14ac:dyDescent="0.3">
      <c r="Y1416" t="str">
        <f t="shared" si="58"/>
        <v>Pass</v>
      </c>
      <c r="Z1416">
        <f t="shared" si="59"/>
        <v>14233.935546875</v>
      </c>
      <c r="AA1416">
        <v>70</v>
      </c>
      <c r="AB1416">
        <v>5</v>
      </c>
      <c r="AC1416">
        <v>80</v>
      </c>
      <c r="AD1416" t="s">
        <v>24</v>
      </c>
      <c r="AE1416">
        <v>14233.937076800999</v>
      </c>
    </row>
    <row r="1417" spans="25:31" x14ac:dyDescent="0.3">
      <c r="Y1417" t="str">
        <f t="shared" si="58"/>
        <v>Pass</v>
      </c>
      <c r="Z1417">
        <f t="shared" si="59"/>
        <v>12099.568359375</v>
      </c>
      <c r="AA1417">
        <v>70</v>
      </c>
      <c r="AB1417">
        <v>5</v>
      </c>
      <c r="AC1417">
        <v>80</v>
      </c>
      <c r="AD1417" t="s">
        <v>25</v>
      </c>
      <c r="AE1417">
        <v>12099.567130654599</v>
      </c>
    </row>
    <row r="1418" spans="25:31" x14ac:dyDescent="0.3">
      <c r="Y1418" t="str">
        <f t="shared" si="58"/>
        <v>Pass</v>
      </c>
      <c r="Z1418">
        <f t="shared" si="59"/>
        <v>6041.689453125</v>
      </c>
      <c r="AA1418">
        <v>70</v>
      </c>
      <c r="AB1418">
        <v>5</v>
      </c>
      <c r="AC1418">
        <v>80</v>
      </c>
      <c r="AD1418" t="s">
        <v>26</v>
      </c>
      <c r="AE1418">
        <v>6041.6897320038797</v>
      </c>
    </row>
    <row r="1419" spans="25:31" x14ac:dyDescent="0.3">
      <c r="Y1419" t="str">
        <f t="shared" si="58"/>
        <v>Pass</v>
      </c>
      <c r="Z1419">
        <f t="shared" si="59"/>
        <v>16393.3828125</v>
      </c>
      <c r="AA1419">
        <v>70</v>
      </c>
      <c r="AB1419">
        <v>5</v>
      </c>
      <c r="AC1419">
        <v>90</v>
      </c>
      <c r="AD1419" t="s">
        <v>24</v>
      </c>
      <c r="AE1419">
        <v>16393.384059524498</v>
      </c>
    </row>
    <row r="1420" spans="25:31" x14ac:dyDescent="0.3">
      <c r="Y1420" t="str">
        <f t="shared" si="58"/>
        <v>Pass</v>
      </c>
      <c r="Z1420">
        <f t="shared" si="59"/>
        <v>13935.20703125</v>
      </c>
      <c r="AA1420">
        <v>70</v>
      </c>
      <c r="AB1420">
        <v>5</v>
      </c>
      <c r="AC1420">
        <v>90</v>
      </c>
      <c r="AD1420" t="s">
        <v>25</v>
      </c>
      <c r="AE1420">
        <v>13935.2063913577</v>
      </c>
    </row>
    <row r="1421" spans="25:31" x14ac:dyDescent="0.3">
      <c r="Y1421" t="str">
        <f t="shared" si="58"/>
        <v>Pass</v>
      </c>
      <c r="Z1421">
        <f t="shared" si="59"/>
        <v>6958.28125</v>
      </c>
      <c r="AA1421">
        <v>70</v>
      </c>
      <c r="AB1421">
        <v>5</v>
      </c>
      <c r="AC1421">
        <v>90</v>
      </c>
      <c r="AD1421" t="s">
        <v>26</v>
      </c>
      <c r="AE1421">
        <v>6958.2814375827502</v>
      </c>
    </row>
    <row r="1422" spans="25:31" x14ac:dyDescent="0.3">
      <c r="Y1422" t="str">
        <f t="shared" si="58"/>
        <v>Pass</v>
      </c>
      <c r="Z1422">
        <f t="shared" si="59"/>
        <v>17366.517578125</v>
      </c>
      <c r="AA1422">
        <v>70</v>
      </c>
      <c r="AB1422">
        <v>5</v>
      </c>
      <c r="AC1422">
        <v>100</v>
      </c>
      <c r="AD1422" t="s">
        <v>24</v>
      </c>
      <c r="AE1422">
        <v>17366.518786372901</v>
      </c>
    </row>
    <row r="1423" spans="25:31" x14ac:dyDescent="0.3">
      <c r="Y1423" t="str">
        <f t="shared" si="58"/>
        <v>Pass</v>
      </c>
      <c r="Z1423">
        <f t="shared" si="59"/>
        <v>14762.4208984375</v>
      </c>
      <c r="AA1423">
        <v>70</v>
      </c>
      <c r="AB1423">
        <v>5</v>
      </c>
      <c r="AC1423">
        <v>100</v>
      </c>
      <c r="AD1423" t="s">
        <v>25</v>
      </c>
      <c r="AE1423">
        <v>14762.4201756496</v>
      </c>
    </row>
    <row r="1424" spans="25:31" x14ac:dyDescent="0.3">
      <c r="Y1424" t="str">
        <f t="shared" si="58"/>
        <v>Pass</v>
      </c>
      <c r="Z1424">
        <f t="shared" si="59"/>
        <v>7371.33447265625</v>
      </c>
      <c r="AA1424">
        <v>70</v>
      </c>
      <c r="AB1424">
        <v>5</v>
      </c>
      <c r="AC1424">
        <v>100</v>
      </c>
      <c r="AD1424" t="s">
        <v>26</v>
      </c>
      <c r="AE1424">
        <v>7371.3349768342796</v>
      </c>
    </row>
    <row r="1425" spans="25:31" x14ac:dyDescent="0.3">
      <c r="Y1425" t="str">
        <f t="shared" si="58"/>
        <v>Pass</v>
      </c>
      <c r="Z1425">
        <f t="shared" si="59"/>
        <v>13.736939430236816</v>
      </c>
      <c r="AA1425">
        <v>70</v>
      </c>
      <c r="AB1425">
        <v>10</v>
      </c>
      <c r="AC1425">
        <v>0</v>
      </c>
      <c r="AD1425" t="s">
        <v>24</v>
      </c>
      <c r="AE1425">
        <v>13.7369397504239</v>
      </c>
    </row>
    <row r="1426" spans="25:31" x14ac:dyDescent="0.3">
      <c r="Y1426" t="str">
        <f t="shared" si="58"/>
        <v>Pass</v>
      </c>
      <c r="Z1426">
        <f t="shared" si="59"/>
        <v>11.677094459533691</v>
      </c>
      <c r="AA1426">
        <v>70</v>
      </c>
      <c r="AB1426">
        <v>10</v>
      </c>
      <c r="AC1426">
        <v>0</v>
      </c>
      <c r="AD1426" t="s">
        <v>25</v>
      </c>
      <c r="AE1426">
        <v>11.6770942419655</v>
      </c>
    </row>
    <row r="1427" spans="25:31" x14ac:dyDescent="0.3">
      <c r="Y1427" t="str">
        <f t="shared" si="58"/>
        <v>Pass</v>
      </c>
      <c r="Z1427">
        <f t="shared" si="59"/>
        <v>5.8307356834411621</v>
      </c>
      <c r="AA1427">
        <v>70</v>
      </c>
      <c r="AB1427">
        <v>10</v>
      </c>
      <c r="AC1427">
        <v>0</v>
      </c>
      <c r="AD1427" t="s">
        <v>26</v>
      </c>
      <c r="AE1427">
        <v>5.8307358948887797</v>
      </c>
    </row>
    <row r="1428" spans="25:31" x14ac:dyDescent="0.3">
      <c r="Y1428" t="str">
        <f t="shared" si="58"/>
        <v>Pass</v>
      </c>
      <c r="Z1428">
        <f t="shared" si="59"/>
        <v>37.108795166015625</v>
      </c>
      <c r="AA1428">
        <v>70</v>
      </c>
      <c r="AB1428">
        <v>10</v>
      </c>
      <c r="AC1428">
        <v>10</v>
      </c>
      <c r="AD1428" t="s">
        <v>24</v>
      </c>
      <c r="AE1428">
        <v>37.108795082614598</v>
      </c>
    </row>
    <row r="1429" spans="25:31" x14ac:dyDescent="0.3">
      <c r="Y1429" t="str">
        <f t="shared" si="58"/>
        <v>Pass</v>
      </c>
      <c r="Z1429">
        <f t="shared" si="59"/>
        <v>31.544355392456055</v>
      </c>
      <c r="AA1429">
        <v>70</v>
      </c>
      <c r="AB1429">
        <v>10</v>
      </c>
      <c r="AC1429">
        <v>10</v>
      </c>
      <c r="AD1429" t="s">
        <v>25</v>
      </c>
      <c r="AE1429">
        <v>31.544354511135101</v>
      </c>
    </row>
    <row r="1430" spans="25:31" x14ac:dyDescent="0.3">
      <c r="Y1430" t="str">
        <f t="shared" si="58"/>
        <v>Pass</v>
      </c>
      <c r="Z1430">
        <f t="shared" si="59"/>
        <v>15.751075744628906</v>
      </c>
      <c r="AA1430">
        <v>70</v>
      </c>
      <c r="AB1430">
        <v>10</v>
      </c>
      <c r="AC1430">
        <v>10</v>
      </c>
      <c r="AD1430" t="s">
        <v>26</v>
      </c>
      <c r="AE1430">
        <v>15.751076108315599</v>
      </c>
    </row>
    <row r="1431" spans="25:31" x14ac:dyDescent="0.3">
      <c r="Y1431" t="str">
        <f t="shared" si="58"/>
        <v>Pass</v>
      </c>
      <c r="Z1431">
        <f t="shared" si="59"/>
        <v>99.865989685058594</v>
      </c>
      <c r="AA1431">
        <v>70</v>
      </c>
      <c r="AB1431">
        <v>10</v>
      </c>
      <c r="AC1431">
        <v>20</v>
      </c>
      <c r="AD1431" t="s">
        <v>24</v>
      </c>
      <c r="AE1431">
        <v>99.865982274316096</v>
      </c>
    </row>
    <row r="1432" spans="25:31" x14ac:dyDescent="0.3">
      <c r="Y1432" t="str">
        <f t="shared" si="58"/>
        <v>Pass</v>
      </c>
      <c r="Z1432">
        <f t="shared" si="59"/>
        <v>84.891143798828125</v>
      </c>
      <c r="AA1432">
        <v>70</v>
      </c>
      <c r="AB1432">
        <v>10</v>
      </c>
      <c r="AC1432">
        <v>20</v>
      </c>
      <c r="AD1432" t="s">
        <v>25</v>
      </c>
      <c r="AE1432">
        <v>84.891140805044202</v>
      </c>
    </row>
    <row r="1433" spans="25:31" x14ac:dyDescent="0.3">
      <c r="Y1433" t="str">
        <f t="shared" si="58"/>
        <v>Pass</v>
      </c>
      <c r="Z1433">
        <f t="shared" si="59"/>
        <v>42.388786315917969</v>
      </c>
      <c r="AA1433">
        <v>70</v>
      </c>
      <c r="AB1433">
        <v>10</v>
      </c>
      <c r="AC1433">
        <v>20</v>
      </c>
      <c r="AD1433" t="s">
        <v>26</v>
      </c>
      <c r="AE1433">
        <v>42.3887836814027</v>
      </c>
    </row>
    <row r="1434" spans="25:31" x14ac:dyDescent="0.3">
      <c r="Y1434" t="str">
        <f t="shared" si="58"/>
        <v>Pass</v>
      </c>
      <c r="Z1434">
        <f t="shared" si="59"/>
        <v>266.05337524414063</v>
      </c>
      <c r="AA1434">
        <v>70</v>
      </c>
      <c r="AB1434">
        <v>10</v>
      </c>
      <c r="AC1434">
        <v>30</v>
      </c>
      <c r="AD1434" t="s">
        <v>24</v>
      </c>
      <c r="AE1434">
        <v>266.053386369169</v>
      </c>
    </row>
    <row r="1435" spans="25:31" x14ac:dyDescent="0.3">
      <c r="Y1435" t="str">
        <f t="shared" si="58"/>
        <v>Pass</v>
      </c>
      <c r="Z1435">
        <f t="shared" si="59"/>
        <v>226.15884399414063</v>
      </c>
      <c r="AA1435">
        <v>70</v>
      </c>
      <c r="AB1435">
        <v>10</v>
      </c>
      <c r="AC1435">
        <v>30</v>
      </c>
      <c r="AD1435" t="s">
        <v>25</v>
      </c>
      <c r="AE1435">
        <v>226.158847783472</v>
      </c>
    </row>
    <row r="1436" spans="25:31" x14ac:dyDescent="0.3">
      <c r="Y1436" t="str">
        <f t="shared" si="58"/>
        <v>Pass</v>
      </c>
      <c r="Z1436">
        <f t="shared" si="59"/>
        <v>112.92813873291016</v>
      </c>
      <c r="AA1436">
        <v>70</v>
      </c>
      <c r="AB1436">
        <v>10</v>
      </c>
      <c r="AC1436">
        <v>30</v>
      </c>
      <c r="AD1436" t="s">
        <v>26</v>
      </c>
      <c r="AE1436">
        <v>112.92813814747601</v>
      </c>
    </row>
    <row r="1437" spans="25:31" x14ac:dyDescent="0.3">
      <c r="Y1437" t="str">
        <f t="shared" si="58"/>
        <v>Pass</v>
      </c>
      <c r="Z1437">
        <f t="shared" si="59"/>
        <v>690.40826416015625</v>
      </c>
      <c r="AA1437">
        <v>70</v>
      </c>
      <c r="AB1437">
        <v>10</v>
      </c>
      <c r="AC1437">
        <v>40</v>
      </c>
      <c r="AD1437" t="s">
        <v>24</v>
      </c>
      <c r="AE1437">
        <v>690.40827598653004</v>
      </c>
    </row>
    <row r="1438" spans="25:31" x14ac:dyDescent="0.3">
      <c r="Y1438" t="str">
        <f t="shared" si="58"/>
        <v>Pass</v>
      </c>
      <c r="Z1438">
        <f t="shared" si="59"/>
        <v>586.8819580078125</v>
      </c>
      <c r="AA1438">
        <v>70</v>
      </c>
      <c r="AB1438">
        <v>10</v>
      </c>
      <c r="AC1438">
        <v>40</v>
      </c>
      <c r="AD1438" t="s">
        <v>25</v>
      </c>
      <c r="AE1438">
        <v>586.88198758961903</v>
      </c>
    </row>
    <row r="1439" spans="25:31" x14ac:dyDescent="0.3">
      <c r="Y1439" t="str">
        <f t="shared" si="58"/>
        <v>Pass</v>
      </c>
      <c r="Z1439">
        <f t="shared" si="59"/>
        <v>293.04840087890625</v>
      </c>
      <c r="AA1439">
        <v>70</v>
      </c>
      <c r="AB1439">
        <v>10</v>
      </c>
      <c r="AC1439">
        <v>40</v>
      </c>
      <c r="AD1439" t="s">
        <v>26</v>
      </c>
      <c r="AE1439">
        <v>293.04840743723202</v>
      </c>
    </row>
    <row r="1440" spans="25:31" x14ac:dyDescent="0.3">
      <c r="Y1440" t="str">
        <f t="shared" si="58"/>
        <v>Pass</v>
      </c>
      <c r="Z1440">
        <f t="shared" si="59"/>
        <v>1680.3125</v>
      </c>
      <c r="AA1440">
        <v>70</v>
      </c>
      <c r="AB1440">
        <v>10</v>
      </c>
      <c r="AC1440">
        <v>50</v>
      </c>
      <c r="AD1440" t="s">
        <v>24</v>
      </c>
      <c r="AE1440">
        <v>1680.3124798834101</v>
      </c>
    </row>
    <row r="1441" spans="25:31" x14ac:dyDescent="0.3">
      <c r="Y1441" t="str">
        <f t="shared" si="58"/>
        <v>Pass</v>
      </c>
      <c r="Z1441">
        <f t="shared" si="59"/>
        <v>1428.3505859375</v>
      </c>
      <c r="AA1441">
        <v>70</v>
      </c>
      <c r="AB1441">
        <v>10</v>
      </c>
      <c r="AC1441">
        <v>50</v>
      </c>
      <c r="AD1441" t="s">
        <v>25</v>
      </c>
      <c r="AE1441">
        <v>1428.3506763538001</v>
      </c>
    </row>
    <row r="1442" spans="25:31" x14ac:dyDescent="0.3">
      <c r="Y1442" t="str">
        <f t="shared" si="58"/>
        <v>Pass</v>
      </c>
      <c r="Z1442">
        <f t="shared" si="59"/>
        <v>713.2198486328125</v>
      </c>
      <c r="AA1442">
        <v>70</v>
      </c>
      <c r="AB1442">
        <v>10</v>
      </c>
      <c r="AC1442">
        <v>50</v>
      </c>
      <c r="AD1442" t="s">
        <v>26</v>
      </c>
      <c r="AE1442">
        <v>713.21986330932702</v>
      </c>
    </row>
    <row r="1443" spans="25:31" x14ac:dyDescent="0.3">
      <c r="Y1443" t="str">
        <f t="shared" si="58"/>
        <v>Pass</v>
      </c>
      <c r="Z1443">
        <f t="shared" si="59"/>
        <v>3571.92529296875</v>
      </c>
      <c r="AA1443">
        <v>70</v>
      </c>
      <c r="AB1443">
        <v>10</v>
      </c>
      <c r="AC1443">
        <v>60</v>
      </c>
      <c r="AD1443" t="s">
        <v>24</v>
      </c>
      <c r="AE1443">
        <v>3571.92525479712</v>
      </c>
    </row>
    <row r="1444" spans="25:31" x14ac:dyDescent="0.3">
      <c r="Y1444" t="str">
        <f t="shared" si="58"/>
        <v>Pass</v>
      </c>
      <c r="Z1444">
        <f t="shared" si="59"/>
        <v>3036.3173828125</v>
      </c>
      <c r="AA1444">
        <v>70</v>
      </c>
      <c r="AB1444">
        <v>10</v>
      </c>
      <c r="AC1444">
        <v>60</v>
      </c>
      <c r="AD1444" t="s">
        <v>25</v>
      </c>
      <c r="AE1444">
        <v>3036.3173008919598</v>
      </c>
    </row>
    <row r="1445" spans="25:31" x14ac:dyDescent="0.3">
      <c r="Y1445" t="str">
        <f t="shared" si="58"/>
        <v>Pass</v>
      </c>
      <c r="Z1445">
        <f t="shared" si="59"/>
        <v>1516.1275634765625</v>
      </c>
      <c r="AA1445">
        <v>70</v>
      </c>
      <c r="AB1445">
        <v>10</v>
      </c>
      <c r="AC1445">
        <v>60</v>
      </c>
      <c r="AD1445" t="s">
        <v>26</v>
      </c>
      <c r="AE1445">
        <v>1516.1275491772101</v>
      </c>
    </row>
    <row r="1446" spans="25:31" x14ac:dyDescent="0.3">
      <c r="Y1446" t="str">
        <f t="shared" si="58"/>
        <v>Pass</v>
      </c>
      <c r="Z1446">
        <f t="shared" si="59"/>
        <v>6114.220703125</v>
      </c>
      <c r="AA1446">
        <v>70</v>
      </c>
      <c r="AB1446">
        <v>10</v>
      </c>
      <c r="AC1446">
        <v>70</v>
      </c>
      <c r="AD1446" t="s">
        <v>24</v>
      </c>
      <c r="AE1446">
        <v>6114.2204302043501</v>
      </c>
    </row>
    <row r="1447" spans="25:31" x14ac:dyDescent="0.3">
      <c r="Y1447" t="str">
        <f t="shared" si="58"/>
        <v>Pass</v>
      </c>
      <c r="Z1447">
        <f t="shared" si="59"/>
        <v>5197.39697265625</v>
      </c>
      <c r="AA1447">
        <v>70</v>
      </c>
      <c r="AB1447">
        <v>10</v>
      </c>
      <c r="AC1447">
        <v>70</v>
      </c>
      <c r="AD1447" t="s">
        <v>25</v>
      </c>
      <c r="AE1447">
        <v>5197.3969076659696</v>
      </c>
    </row>
    <row r="1448" spans="25:31" x14ac:dyDescent="0.3">
      <c r="Y1448" t="str">
        <f t="shared" si="58"/>
        <v>Pass</v>
      </c>
      <c r="Z1448">
        <f t="shared" si="59"/>
        <v>2595.2216796875</v>
      </c>
      <c r="AA1448">
        <v>70</v>
      </c>
      <c r="AB1448">
        <v>10</v>
      </c>
      <c r="AC1448">
        <v>70</v>
      </c>
      <c r="AD1448" t="s">
        <v>26</v>
      </c>
      <c r="AE1448">
        <v>2595.2217291012498</v>
      </c>
    </row>
    <row r="1449" spans="25:31" x14ac:dyDescent="0.3">
      <c r="Y1449" t="str">
        <f t="shared" si="58"/>
        <v>Pass</v>
      </c>
      <c r="Z1449">
        <f t="shared" si="59"/>
        <v>8294.802734375</v>
      </c>
      <c r="AA1449">
        <v>70</v>
      </c>
      <c r="AB1449">
        <v>10</v>
      </c>
      <c r="AC1449">
        <v>80</v>
      </c>
      <c r="AD1449" t="s">
        <v>24</v>
      </c>
      <c r="AE1449">
        <v>8294.8019559071508</v>
      </c>
    </row>
    <row r="1450" spans="25:31" x14ac:dyDescent="0.3">
      <c r="Y1450" t="str">
        <f t="shared" si="58"/>
        <v>Pass</v>
      </c>
      <c r="Z1450">
        <f t="shared" si="59"/>
        <v>7051.001953125</v>
      </c>
      <c r="AA1450">
        <v>70</v>
      </c>
      <c r="AB1450">
        <v>10</v>
      </c>
      <c r="AC1450">
        <v>80</v>
      </c>
      <c r="AD1450" t="s">
        <v>25</v>
      </c>
      <c r="AE1450">
        <v>7051.0015998707704</v>
      </c>
    </row>
    <row r="1451" spans="25:31" x14ac:dyDescent="0.3">
      <c r="Y1451" t="str">
        <f t="shared" si="58"/>
        <v>Pass</v>
      </c>
      <c r="Z1451">
        <f t="shared" si="59"/>
        <v>3520.7841796875</v>
      </c>
      <c r="AA1451">
        <v>70</v>
      </c>
      <c r="AB1451">
        <v>10</v>
      </c>
      <c r="AC1451">
        <v>80</v>
      </c>
      <c r="AD1451" t="s">
        <v>26</v>
      </c>
      <c r="AE1451">
        <v>3520.78413271113</v>
      </c>
    </row>
    <row r="1452" spans="25:31" x14ac:dyDescent="0.3">
      <c r="Y1452" t="str">
        <f t="shared" si="58"/>
        <v>Pass</v>
      </c>
      <c r="Z1452">
        <f t="shared" si="59"/>
        <v>9553.2158203125</v>
      </c>
      <c r="AA1452">
        <v>70</v>
      </c>
      <c r="AB1452">
        <v>10</v>
      </c>
      <c r="AC1452">
        <v>90</v>
      </c>
      <c r="AD1452" t="s">
        <v>24</v>
      </c>
      <c r="AE1452">
        <v>9553.2159111835699</v>
      </c>
    </row>
    <row r="1453" spans="25:31" x14ac:dyDescent="0.3">
      <c r="Y1453" t="str">
        <f t="shared" si="58"/>
        <v>Pass</v>
      </c>
      <c r="Z1453">
        <f t="shared" si="59"/>
        <v>8120.71728515625</v>
      </c>
      <c r="AA1453">
        <v>70</v>
      </c>
      <c r="AB1453">
        <v>10</v>
      </c>
      <c r="AC1453">
        <v>90</v>
      </c>
      <c r="AD1453" t="s">
        <v>25</v>
      </c>
      <c r="AE1453">
        <v>8120.7171710345701</v>
      </c>
    </row>
    <row r="1454" spans="25:31" x14ac:dyDescent="0.3">
      <c r="Y1454" t="str">
        <f t="shared" si="58"/>
        <v>Pass</v>
      </c>
      <c r="Z1454">
        <f t="shared" si="59"/>
        <v>4054.926513671875</v>
      </c>
      <c r="AA1454">
        <v>70</v>
      </c>
      <c r="AB1454">
        <v>10</v>
      </c>
      <c r="AC1454">
        <v>90</v>
      </c>
      <c r="AD1454" t="s">
        <v>26</v>
      </c>
      <c r="AE1454">
        <v>4054.9263472777202</v>
      </c>
    </row>
    <row r="1455" spans="25:31" x14ac:dyDescent="0.3">
      <c r="Y1455" t="str">
        <f t="shared" si="58"/>
        <v>Pass</v>
      </c>
      <c r="Z1455">
        <f t="shared" si="59"/>
        <v>10120.30859375</v>
      </c>
      <c r="AA1455">
        <v>70</v>
      </c>
      <c r="AB1455">
        <v>10</v>
      </c>
      <c r="AC1455">
        <v>100</v>
      </c>
      <c r="AD1455" t="s">
        <v>24</v>
      </c>
      <c r="AE1455">
        <v>10120.308472578899</v>
      </c>
    </row>
    <row r="1456" spans="25:31" x14ac:dyDescent="0.3">
      <c r="Y1456" t="str">
        <f t="shared" si="58"/>
        <v>Pass</v>
      </c>
      <c r="Z1456">
        <f t="shared" si="59"/>
        <v>8602.7744140625</v>
      </c>
      <c r="AA1456">
        <v>70</v>
      </c>
      <c r="AB1456">
        <v>10</v>
      </c>
      <c r="AC1456">
        <v>100</v>
      </c>
      <c r="AD1456" t="s">
        <v>25</v>
      </c>
      <c r="AE1456">
        <v>8602.7745581703402</v>
      </c>
    </row>
    <row r="1457" spans="25:31" x14ac:dyDescent="0.3">
      <c r="Y1457" t="str">
        <f t="shared" si="58"/>
        <v>Pass</v>
      </c>
      <c r="Z1457">
        <f t="shared" si="59"/>
        <v>4295.6328125</v>
      </c>
      <c r="AA1457">
        <v>70</v>
      </c>
      <c r="AB1457">
        <v>10</v>
      </c>
      <c r="AC1457">
        <v>100</v>
      </c>
      <c r="AD1457" t="s">
        <v>26</v>
      </c>
      <c r="AE1457">
        <v>4295.6325754134396</v>
      </c>
    </row>
    <row r="1458" spans="25:31" x14ac:dyDescent="0.3">
      <c r="Y1458" t="str">
        <f t="shared" si="58"/>
        <v>Pass</v>
      </c>
      <c r="Z1458">
        <f t="shared" si="59"/>
        <v>8.2924308776855469</v>
      </c>
      <c r="AA1458">
        <v>70</v>
      </c>
      <c r="AB1458">
        <v>15</v>
      </c>
      <c r="AC1458">
        <v>0</v>
      </c>
      <c r="AD1458" t="s">
        <v>24</v>
      </c>
      <c r="AE1458">
        <v>8.2924315433449607</v>
      </c>
    </row>
    <row r="1459" spans="25:31" x14ac:dyDescent="0.3">
      <c r="Y1459" t="str">
        <f t="shared" si="58"/>
        <v>Pass</v>
      </c>
      <c r="Z1459">
        <f t="shared" si="59"/>
        <v>7.0489864349365234</v>
      </c>
      <c r="AA1459">
        <v>70</v>
      </c>
      <c r="AB1459">
        <v>15</v>
      </c>
      <c r="AC1459">
        <v>0</v>
      </c>
      <c r="AD1459" t="s">
        <v>25</v>
      </c>
      <c r="AE1459">
        <v>7.04898662918706</v>
      </c>
    </row>
    <row r="1460" spans="25:31" x14ac:dyDescent="0.3">
      <c r="Y1460" t="str">
        <f t="shared" si="58"/>
        <v>Pass</v>
      </c>
      <c r="Z1460">
        <f t="shared" si="59"/>
        <v>3.519777774810791</v>
      </c>
      <c r="AA1460">
        <v>70</v>
      </c>
      <c r="AB1460">
        <v>15</v>
      </c>
      <c r="AC1460">
        <v>0</v>
      </c>
      <c r="AD1460" t="s">
        <v>26</v>
      </c>
      <c r="AE1460">
        <v>3.5197779952552599</v>
      </c>
    </row>
    <row r="1461" spans="25:31" x14ac:dyDescent="0.3">
      <c r="Y1461" t="str">
        <f t="shared" si="58"/>
        <v>Pass</v>
      </c>
      <c r="Z1461">
        <f t="shared" si="59"/>
        <v>22.401069641113281</v>
      </c>
      <c r="AA1461">
        <v>70</v>
      </c>
      <c r="AB1461">
        <v>15</v>
      </c>
      <c r="AC1461">
        <v>10</v>
      </c>
      <c r="AD1461" t="s">
        <v>24</v>
      </c>
      <c r="AE1461">
        <v>22.401069559113498</v>
      </c>
    </row>
    <row r="1462" spans="25:31" x14ac:dyDescent="0.3">
      <c r="Y1462" t="str">
        <f t="shared" si="58"/>
        <v>Pass</v>
      </c>
      <c r="Z1462">
        <f t="shared" si="59"/>
        <v>19.042043685913086</v>
      </c>
      <c r="AA1462">
        <v>70</v>
      </c>
      <c r="AB1462">
        <v>15</v>
      </c>
      <c r="AC1462">
        <v>10</v>
      </c>
      <c r="AD1462" t="s">
        <v>25</v>
      </c>
      <c r="AE1462">
        <v>19.042043214502701</v>
      </c>
    </row>
    <row r="1463" spans="25:31" x14ac:dyDescent="0.3">
      <c r="Y1463" t="str">
        <f t="shared" si="58"/>
        <v>Pass</v>
      </c>
      <c r="Z1463">
        <f t="shared" si="59"/>
        <v>9.5082836151123047</v>
      </c>
      <c r="AA1463">
        <v>70</v>
      </c>
      <c r="AB1463">
        <v>15</v>
      </c>
      <c r="AC1463">
        <v>10</v>
      </c>
      <c r="AD1463" t="s">
        <v>26</v>
      </c>
      <c r="AE1463">
        <v>9.5082837033039098</v>
      </c>
    </row>
    <row r="1464" spans="25:31" x14ac:dyDescent="0.3">
      <c r="Y1464" t="str">
        <f t="shared" si="58"/>
        <v>Pass</v>
      </c>
      <c r="Z1464">
        <f t="shared" si="59"/>
        <v>60.285030364990234</v>
      </c>
      <c r="AA1464">
        <v>70</v>
      </c>
      <c r="AB1464">
        <v>15</v>
      </c>
      <c r="AC1464">
        <v>20</v>
      </c>
      <c r="AD1464" t="s">
        <v>24</v>
      </c>
      <c r="AE1464">
        <v>60.285029749301401</v>
      </c>
    </row>
    <row r="1465" spans="25:31" x14ac:dyDescent="0.3">
      <c r="Y1465" t="str">
        <f t="shared" si="58"/>
        <v>Pass</v>
      </c>
      <c r="Z1465">
        <f t="shared" si="59"/>
        <v>51.245330810546875</v>
      </c>
      <c r="AA1465">
        <v>70</v>
      </c>
      <c r="AB1465">
        <v>15</v>
      </c>
      <c r="AC1465">
        <v>20</v>
      </c>
      <c r="AD1465" t="s">
        <v>25</v>
      </c>
      <c r="AE1465">
        <v>51.245327311023701</v>
      </c>
    </row>
    <row r="1466" spans="25:31" x14ac:dyDescent="0.3">
      <c r="Y1466" t="str">
        <f t="shared" si="58"/>
        <v>Pass</v>
      </c>
      <c r="Z1466">
        <f t="shared" si="59"/>
        <v>25.588384628295898</v>
      </c>
      <c r="AA1466">
        <v>70</v>
      </c>
      <c r="AB1466">
        <v>15</v>
      </c>
      <c r="AC1466">
        <v>20</v>
      </c>
      <c r="AD1466" t="s">
        <v>26</v>
      </c>
      <c r="AE1466">
        <v>25.5883838227391</v>
      </c>
    </row>
    <row r="1467" spans="25:31" x14ac:dyDescent="0.3">
      <c r="Y1467" t="str">
        <f t="shared" si="58"/>
        <v>Pass</v>
      </c>
      <c r="Z1467">
        <f t="shared" si="59"/>
        <v>160.60560607910156</v>
      </c>
      <c r="AA1467">
        <v>70</v>
      </c>
      <c r="AB1467">
        <v>15</v>
      </c>
      <c r="AC1467">
        <v>30</v>
      </c>
      <c r="AD1467" t="s">
        <v>24</v>
      </c>
      <c r="AE1467">
        <v>160.60560309827</v>
      </c>
    </row>
    <row r="1468" spans="25:31" x14ac:dyDescent="0.3">
      <c r="Y1468" t="str">
        <f t="shared" si="58"/>
        <v>Pass</v>
      </c>
      <c r="Z1468">
        <f t="shared" si="59"/>
        <v>136.52290344238281</v>
      </c>
      <c r="AA1468">
        <v>70</v>
      </c>
      <c r="AB1468">
        <v>15</v>
      </c>
      <c r="AC1468">
        <v>30</v>
      </c>
      <c r="AD1468" t="s">
        <v>25</v>
      </c>
      <c r="AE1468">
        <v>136.522893543908</v>
      </c>
    </row>
    <row r="1469" spans="25:31" x14ac:dyDescent="0.3">
      <c r="Y1469" t="str">
        <f t="shared" si="58"/>
        <v>Pass</v>
      </c>
      <c r="Z1469">
        <f t="shared" si="59"/>
        <v>68.170120239257813</v>
      </c>
      <c r="AA1469">
        <v>70</v>
      </c>
      <c r="AB1469">
        <v>15</v>
      </c>
      <c r="AC1469">
        <v>30</v>
      </c>
      <c r="AD1469" t="s">
        <v>26</v>
      </c>
      <c r="AE1469">
        <v>68.170121724268995</v>
      </c>
    </row>
    <row r="1470" spans="25:31" x14ac:dyDescent="0.3">
      <c r="Y1470" t="str">
        <f t="shared" si="58"/>
        <v>Pass</v>
      </c>
      <c r="Z1470">
        <f t="shared" si="59"/>
        <v>416.7713623046875</v>
      </c>
      <c r="AA1470">
        <v>70</v>
      </c>
      <c r="AB1470">
        <v>15</v>
      </c>
      <c r="AC1470">
        <v>40</v>
      </c>
      <c r="AD1470" t="s">
        <v>24</v>
      </c>
      <c r="AE1470">
        <v>416.77138209770698</v>
      </c>
    </row>
    <row r="1471" spans="25:31" x14ac:dyDescent="0.3">
      <c r="Y1471" t="str">
        <f t="shared" si="58"/>
        <v>Pass</v>
      </c>
      <c r="Z1471">
        <f t="shared" si="59"/>
        <v>354.27676391601563</v>
      </c>
      <c r="AA1471">
        <v>70</v>
      </c>
      <c r="AB1471">
        <v>15</v>
      </c>
      <c r="AC1471">
        <v>40</v>
      </c>
      <c r="AD1471" t="s">
        <v>25</v>
      </c>
      <c r="AE1471">
        <v>354.27677448748699</v>
      </c>
    </row>
    <row r="1472" spans="25:31" x14ac:dyDescent="0.3">
      <c r="Y1472" t="str">
        <f t="shared" si="58"/>
        <v>Pass</v>
      </c>
      <c r="Z1472">
        <f t="shared" si="59"/>
        <v>176.90138244628906</v>
      </c>
      <c r="AA1472">
        <v>70</v>
      </c>
      <c r="AB1472">
        <v>15</v>
      </c>
      <c r="AC1472">
        <v>40</v>
      </c>
      <c r="AD1472" t="s">
        <v>26</v>
      </c>
      <c r="AE1472">
        <v>176.90139883481001</v>
      </c>
    </row>
    <row r="1473" spans="25:31" x14ac:dyDescent="0.3">
      <c r="Y1473" t="str">
        <f t="shared" si="58"/>
        <v>Pass</v>
      </c>
      <c r="Z1473">
        <f t="shared" si="59"/>
        <v>1014.3362426757813</v>
      </c>
      <c r="AA1473">
        <v>70</v>
      </c>
      <c r="AB1473">
        <v>15</v>
      </c>
      <c r="AC1473">
        <v>50</v>
      </c>
      <c r="AD1473" t="s">
        <v>24</v>
      </c>
      <c r="AE1473">
        <v>1014.33626877714</v>
      </c>
    </row>
    <row r="1474" spans="25:31" x14ac:dyDescent="0.3">
      <c r="Y1474" t="str">
        <f t="shared" si="58"/>
        <v>Pass</v>
      </c>
      <c r="Z1474">
        <f t="shared" si="59"/>
        <v>862.2371826171875</v>
      </c>
      <c r="AA1474">
        <v>70</v>
      </c>
      <c r="AB1474">
        <v>15</v>
      </c>
      <c r="AC1474">
        <v>50</v>
      </c>
      <c r="AD1474" t="s">
        <v>25</v>
      </c>
      <c r="AE1474">
        <v>862.23718082397704</v>
      </c>
    </row>
    <row r="1475" spans="25:31" x14ac:dyDescent="0.3">
      <c r="Y1475" t="str">
        <f t="shared" si="58"/>
        <v>Pass</v>
      </c>
      <c r="Z1475">
        <f t="shared" si="59"/>
        <v>430.54177856445313</v>
      </c>
      <c r="AA1475">
        <v>70</v>
      </c>
      <c r="AB1475">
        <v>15</v>
      </c>
      <c r="AC1475">
        <v>50</v>
      </c>
      <c r="AD1475" t="s">
        <v>26</v>
      </c>
      <c r="AE1475">
        <v>430.541809114648</v>
      </c>
    </row>
    <row r="1476" spans="25:31" x14ac:dyDescent="0.3">
      <c r="Y1476" t="str">
        <f t="shared" si="58"/>
        <v>Pass</v>
      </c>
      <c r="Z1476">
        <f t="shared" si="59"/>
        <v>2156.225830078125</v>
      </c>
      <c r="AA1476">
        <v>70</v>
      </c>
      <c r="AB1476">
        <v>15</v>
      </c>
      <c r="AC1476">
        <v>60</v>
      </c>
      <c r="AD1476" t="s">
        <v>24</v>
      </c>
      <c r="AE1476">
        <v>2156.2259274257999</v>
      </c>
    </row>
    <row r="1477" spans="25:31" x14ac:dyDescent="0.3">
      <c r="Y1477" t="str">
        <f t="shared" si="58"/>
        <v>Pass</v>
      </c>
      <c r="Z1477">
        <f t="shared" si="59"/>
        <v>1832.9012451171875</v>
      </c>
      <c r="AA1477">
        <v>70</v>
      </c>
      <c r="AB1477">
        <v>15</v>
      </c>
      <c r="AC1477">
        <v>60</v>
      </c>
      <c r="AD1477" t="s">
        <v>25</v>
      </c>
      <c r="AE1477">
        <v>1832.90120062902</v>
      </c>
    </row>
    <row r="1478" spans="25:31" x14ac:dyDescent="0.3">
      <c r="Y1478" t="str">
        <f t="shared" si="58"/>
        <v>Pass</v>
      </c>
      <c r="Z1478">
        <f t="shared" si="59"/>
        <v>915.22442626953125</v>
      </c>
      <c r="AA1478">
        <v>70</v>
      </c>
      <c r="AB1478">
        <v>15</v>
      </c>
      <c r="AC1478">
        <v>60</v>
      </c>
      <c r="AD1478" t="s">
        <v>26</v>
      </c>
      <c r="AE1478">
        <v>915.224507128195</v>
      </c>
    </row>
    <row r="1479" spans="25:31" x14ac:dyDescent="0.3">
      <c r="Y1479" t="str">
        <f t="shared" ref="Y1479:Y1542" si="60">IF(ISBLANK(Z1479),"",IF(ROUND(Z1479,0)=ROUND(AE1479,0),"Pass","Fail"))</f>
        <v>Pass</v>
      </c>
      <c r="Z1479">
        <f t="shared" ref="Z1479:Z1542" si="61">ROS_grass(AA1479,AB1479,AC1479,AD1479)</f>
        <v>3690.906005859375</v>
      </c>
      <c r="AA1479">
        <v>70</v>
      </c>
      <c r="AB1479">
        <v>15</v>
      </c>
      <c r="AC1479">
        <v>70</v>
      </c>
      <c r="AD1479" t="s">
        <v>24</v>
      </c>
      <c r="AE1479">
        <v>3690.9060736636102</v>
      </c>
    </row>
    <row r="1480" spans="25:31" x14ac:dyDescent="0.3">
      <c r="Y1480" t="str">
        <f t="shared" si="60"/>
        <v>Pass</v>
      </c>
      <c r="Z1480">
        <f t="shared" si="61"/>
        <v>3137.45703125</v>
      </c>
      <c r="AA1480">
        <v>70</v>
      </c>
      <c r="AB1480">
        <v>15</v>
      </c>
      <c r="AC1480">
        <v>70</v>
      </c>
      <c r="AD1480" t="s">
        <v>25</v>
      </c>
      <c r="AE1480">
        <v>3137.4570205189102</v>
      </c>
    </row>
    <row r="1481" spans="25:31" x14ac:dyDescent="0.3">
      <c r="Y1481" t="str">
        <f t="shared" si="60"/>
        <v>Pass</v>
      </c>
      <c r="Z1481">
        <f t="shared" si="61"/>
        <v>1566.629638671875</v>
      </c>
      <c r="AA1481">
        <v>70</v>
      </c>
      <c r="AB1481">
        <v>15</v>
      </c>
      <c r="AC1481">
        <v>70</v>
      </c>
      <c r="AD1481" t="s">
        <v>26</v>
      </c>
      <c r="AE1481">
        <v>1566.62975301389</v>
      </c>
    </row>
    <row r="1482" spans="25:31" x14ac:dyDescent="0.3">
      <c r="Y1482" t="str">
        <f t="shared" si="60"/>
        <v>Pass</v>
      </c>
      <c r="Z1482">
        <f t="shared" si="61"/>
        <v>5007.234375</v>
      </c>
      <c r="AA1482">
        <v>70</v>
      </c>
      <c r="AB1482">
        <v>15</v>
      </c>
      <c r="AC1482">
        <v>80</v>
      </c>
      <c r="AD1482" t="s">
        <v>24</v>
      </c>
      <c r="AE1482">
        <v>5007.2344084381102</v>
      </c>
    </row>
    <row r="1483" spans="25:31" x14ac:dyDescent="0.3">
      <c r="Y1483" t="str">
        <f t="shared" si="60"/>
        <v>Pass</v>
      </c>
      <c r="Z1483">
        <f t="shared" si="61"/>
        <v>4256.40283203125</v>
      </c>
      <c r="AA1483">
        <v>70</v>
      </c>
      <c r="AB1483">
        <v>15</v>
      </c>
      <c r="AC1483">
        <v>80</v>
      </c>
      <c r="AD1483" t="s">
        <v>25</v>
      </c>
      <c r="AE1483">
        <v>4256.4027462622998</v>
      </c>
    </row>
    <row r="1484" spans="25:31" x14ac:dyDescent="0.3">
      <c r="Y1484" t="str">
        <f t="shared" si="60"/>
        <v>Pass</v>
      </c>
      <c r="Z1484">
        <f t="shared" si="61"/>
        <v>2125.35400390625</v>
      </c>
      <c r="AA1484">
        <v>70</v>
      </c>
      <c r="AB1484">
        <v>15</v>
      </c>
      <c r="AC1484">
        <v>80</v>
      </c>
      <c r="AD1484" t="s">
        <v>26</v>
      </c>
      <c r="AE1484">
        <v>2125.35411305864</v>
      </c>
    </row>
    <row r="1485" spans="25:31" x14ac:dyDescent="0.3">
      <c r="Y1485" t="str">
        <f t="shared" si="60"/>
        <v>Pass</v>
      </c>
      <c r="Z1485">
        <f t="shared" si="61"/>
        <v>5766.8876953125</v>
      </c>
      <c r="AA1485">
        <v>70</v>
      </c>
      <c r="AB1485">
        <v>15</v>
      </c>
      <c r="AC1485">
        <v>90</v>
      </c>
      <c r="AD1485" t="s">
        <v>24</v>
      </c>
      <c r="AE1485">
        <v>5766.8877058180897</v>
      </c>
    </row>
    <row r="1486" spans="25:31" x14ac:dyDescent="0.3">
      <c r="Y1486" t="str">
        <f t="shared" si="60"/>
        <v>Pass</v>
      </c>
      <c r="Z1486">
        <f t="shared" si="61"/>
        <v>4902.14697265625</v>
      </c>
      <c r="AA1486">
        <v>70</v>
      </c>
      <c r="AB1486">
        <v>15</v>
      </c>
      <c r="AC1486">
        <v>90</v>
      </c>
      <c r="AD1486" t="s">
        <v>25</v>
      </c>
      <c r="AE1486">
        <v>4902.1465076740897</v>
      </c>
    </row>
    <row r="1487" spans="25:31" x14ac:dyDescent="0.3">
      <c r="Y1487" t="str">
        <f t="shared" si="60"/>
        <v>Pass</v>
      </c>
      <c r="Z1487">
        <f t="shared" si="61"/>
        <v>2447.7939453125</v>
      </c>
      <c r="AA1487">
        <v>70</v>
      </c>
      <c r="AB1487">
        <v>15</v>
      </c>
      <c r="AC1487">
        <v>90</v>
      </c>
      <c r="AD1487" t="s">
        <v>26</v>
      </c>
      <c r="AE1487">
        <v>2447.7940326606299</v>
      </c>
    </row>
    <row r="1488" spans="25:31" x14ac:dyDescent="0.3">
      <c r="Y1488" t="str">
        <f t="shared" si="60"/>
        <v>Pass</v>
      </c>
      <c r="Z1488">
        <f t="shared" si="61"/>
        <v>6109.21826171875</v>
      </c>
      <c r="AA1488">
        <v>70</v>
      </c>
      <c r="AB1488">
        <v>15</v>
      </c>
      <c r="AC1488">
        <v>100</v>
      </c>
      <c r="AD1488" t="s">
        <v>24</v>
      </c>
      <c r="AE1488">
        <v>6109.2184089840403</v>
      </c>
    </row>
    <row r="1489" spans="25:31" x14ac:dyDescent="0.3">
      <c r="Y1489" t="str">
        <f t="shared" si="60"/>
        <v>Pass</v>
      </c>
      <c r="Z1489">
        <f t="shared" si="61"/>
        <v>5193.14501953125</v>
      </c>
      <c r="AA1489">
        <v>70</v>
      </c>
      <c r="AB1489">
        <v>15</v>
      </c>
      <c r="AC1489">
        <v>100</v>
      </c>
      <c r="AD1489" t="s">
        <v>25</v>
      </c>
      <c r="AE1489">
        <v>5193.1449363935399</v>
      </c>
    </row>
    <row r="1490" spans="25:31" x14ac:dyDescent="0.3">
      <c r="Y1490" t="str">
        <f t="shared" si="60"/>
        <v>Pass</v>
      </c>
      <c r="Z1490">
        <f t="shared" si="61"/>
        <v>2593.0986328125</v>
      </c>
      <c r="AA1490">
        <v>70</v>
      </c>
      <c r="AB1490">
        <v>15</v>
      </c>
      <c r="AC1490">
        <v>100</v>
      </c>
      <c r="AD1490" t="s">
        <v>26</v>
      </c>
      <c r="AE1490">
        <v>2593.09858776073</v>
      </c>
    </row>
    <row r="1491" spans="25:31" x14ac:dyDescent="0.3">
      <c r="Y1491" t="str">
        <f t="shared" si="60"/>
        <v>Pass</v>
      </c>
      <c r="Z1491">
        <f t="shared" si="61"/>
        <v>3.6810302734375</v>
      </c>
      <c r="AA1491">
        <v>70</v>
      </c>
      <c r="AB1491">
        <v>20</v>
      </c>
      <c r="AC1491">
        <v>0</v>
      </c>
      <c r="AD1491" t="s">
        <v>24</v>
      </c>
      <c r="AE1491">
        <v>3.68103058753361</v>
      </c>
    </row>
    <row r="1492" spans="25:31" x14ac:dyDescent="0.3">
      <c r="Y1492" t="str">
        <f t="shared" si="60"/>
        <v>Pass</v>
      </c>
      <c r="Z1492">
        <f t="shared" si="61"/>
        <v>3.1290621757507324</v>
      </c>
      <c r="AA1492">
        <v>70</v>
      </c>
      <c r="AB1492">
        <v>20</v>
      </c>
      <c r="AC1492">
        <v>0</v>
      </c>
      <c r="AD1492" t="s">
        <v>25</v>
      </c>
      <c r="AE1492">
        <v>3.12906235734645</v>
      </c>
    </row>
    <row r="1493" spans="25:31" x14ac:dyDescent="0.3">
      <c r="Y1493" t="str">
        <f t="shared" si="60"/>
        <v>Pass</v>
      </c>
      <c r="Z1493">
        <f t="shared" si="61"/>
        <v>1.5624380111694336</v>
      </c>
      <c r="AA1493">
        <v>70</v>
      </c>
      <c r="AB1493">
        <v>20</v>
      </c>
      <c r="AC1493">
        <v>0</v>
      </c>
      <c r="AD1493" t="s">
        <v>26</v>
      </c>
      <c r="AE1493">
        <v>1.5624380369181801</v>
      </c>
    </row>
    <row r="1494" spans="25:31" x14ac:dyDescent="0.3">
      <c r="Y1494" t="str">
        <f t="shared" si="60"/>
        <v>Pass</v>
      </c>
      <c r="Z1494">
        <f t="shared" si="61"/>
        <v>9.9438886642456055</v>
      </c>
      <c r="AA1494">
        <v>70</v>
      </c>
      <c r="AB1494">
        <v>20</v>
      </c>
      <c r="AC1494">
        <v>10</v>
      </c>
      <c r="AD1494" t="s">
        <v>24</v>
      </c>
      <c r="AE1494">
        <v>9.9438894140455094</v>
      </c>
    </row>
    <row r="1495" spans="25:31" x14ac:dyDescent="0.3">
      <c r="Y1495" t="str">
        <f t="shared" si="60"/>
        <v>Pass</v>
      </c>
      <c r="Z1495">
        <f t="shared" si="61"/>
        <v>8.4528093338012695</v>
      </c>
      <c r="AA1495">
        <v>70</v>
      </c>
      <c r="AB1495">
        <v>20</v>
      </c>
      <c r="AC1495">
        <v>10</v>
      </c>
      <c r="AD1495" t="s">
        <v>25</v>
      </c>
      <c r="AE1495">
        <v>8.4528094269256204</v>
      </c>
    </row>
    <row r="1496" spans="25:31" x14ac:dyDescent="0.3">
      <c r="Y1496" t="str">
        <f t="shared" si="60"/>
        <v>Pass</v>
      </c>
      <c r="Z1496">
        <f t="shared" si="61"/>
        <v>4.2207503318786621</v>
      </c>
      <c r="AA1496">
        <v>70</v>
      </c>
      <c r="AB1496">
        <v>20</v>
      </c>
      <c r="AC1496">
        <v>10</v>
      </c>
      <c r="AD1496" t="s">
        <v>26</v>
      </c>
      <c r="AE1496">
        <v>4.2207503268324702</v>
      </c>
    </row>
    <row r="1497" spans="25:31" x14ac:dyDescent="0.3">
      <c r="Y1497" t="str">
        <f t="shared" si="60"/>
        <v>Pass</v>
      </c>
      <c r="Z1497">
        <f t="shared" si="61"/>
        <v>26.760671615600586</v>
      </c>
      <c r="AA1497">
        <v>70</v>
      </c>
      <c r="AB1497">
        <v>20</v>
      </c>
      <c r="AC1497">
        <v>20</v>
      </c>
      <c r="AD1497" t="s">
        <v>24</v>
      </c>
      <c r="AE1497">
        <v>26.7606717423728</v>
      </c>
    </row>
    <row r="1498" spans="25:31" x14ac:dyDescent="0.3">
      <c r="Y1498" t="str">
        <f t="shared" si="60"/>
        <v>Pass</v>
      </c>
      <c r="Z1498">
        <f t="shared" si="61"/>
        <v>22.747926712036133</v>
      </c>
      <c r="AA1498">
        <v>70</v>
      </c>
      <c r="AB1498">
        <v>20</v>
      </c>
      <c r="AC1498">
        <v>20</v>
      </c>
      <c r="AD1498" t="s">
        <v>25</v>
      </c>
      <c r="AE1498">
        <v>22.7479257819666</v>
      </c>
    </row>
    <row r="1499" spans="25:31" x14ac:dyDescent="0.3">
      <c r="Y1499" t="str">
        <f t="shared" si="60"/>
        <v>Pass</v>
      </c>
      <c r="Z1499">
        <f t="shared" si="61"/>
        <v>11.358746528625488</v>
      </c>
      <c r="AA1499">
        <v>70</v>
      </c>
      <c r="AB1499">
        <v>20</v>
      </c>
      <c r="AC1499">
        <v>20</v>
      </c>
      <c r="AD1499" t="s">
        <v>26</v>
      </c>
      <c r="AE1499">
        <v>11.358745989606099</v>
      </c>
    </row>
    <row r="1500" spans="25:31" x14ac:dyDescent="0.3">
      <c r="Y1500" t="str">
        <f t="shared" si="60"/>
        <v>Pass</v>
      </c>
      <c r="Z1500">
        <f t="shared" si="61"/>
        <v>71.293212890625</v>
      </c>
      <c r="AA1500">
        <v>70</v>
      </c>
      <c r="AB1500">
        <v>20</v>
      </c>
      <c r="AC1500">
        <v>30</v>
      </c>
      <c r="AD1500" t="s">
        <v>24</v>
      </c>
      <c r="AE1500">
        <v>71.293218936305607</v>
      </c>
    </row>
    <row r="1501" spans="25:31" x14ac:dyDescent="0.3">
      <c r="Y1501" t="str">
        <f t="shared" si="60"/>
        <v>Pass</v>
      </c>
      <c r="Z1501">
        <f t="shared" si="61"/>
        <v>60.60284423828125</v>
      </c>
      <c r="AA1501">
        <v>70</v>
      </c>
      <c r="AB1501">
        <v>20</v>
      </c>
      <c r="AC1501">
        <v>30</v>
      </c>
      <c r="AD1501" t="s">
        <v>25</v>
      </c>
      <c r="AE1501">
        <v>60.602845426808301</v>
      </c>
    </row>
    <row r="1502" spans="25:31" x14ac:dyDescent="0.3">
      <c r="Y1502" t="str">
        <f t="shared" si="60"/>
        <v>Pass</v>
      </c>
      <c r="Z1502">
        <f t="shared" si="61"/>
        <v>30.260883331298828</v>
      </c>
      <c r="AA1502">
        <v>70</v>
      </c>
      <c r="AB1502">
        <v>20</v>
      </c>
      <c r="AC1502">
        <v>30</v>
      </c>
      <c r="AD1502" t="s">
        <v>26</v>
      </c>
      <c r="AE1502">
        <v>30.2608833019926</v>
      </c>
    </row>
    <row r="1503" spans="25:31" x14ac:dyDescent="0.3">
      <c r="Y1503" t="str">
        <f t="shared" si="60"/>
        <v>Pass</v>
      </c>
      <c r="Z1503">
        <f t="shared" si="61"/>
        <v>185.00581359863281</v>
      </c>
      <c r="AA1503">
        <v>70</v>
      </c>
      <c r="AB1503">
        <v>20</v>
      </c>
      <c r="AC1503">
        <v>40</v>
      </c>
      <c r="AD1503" t="s">
        <v>24</v>
      </c>
      <c r="AE1503">
        <v>185.00583302873801</v>
      </c>
    </row>
    <row r="1504" spans="25:31" x14ac:dyDescent="0.3">
      <c r="Y1504" t="str">
        <f t="shared" si="60"/>
        <v>Pass</v>
      </c>
      <c r="Z1504">
        <f t="shared" si="61"/>
        <v>157.26431274414063</v>
      </c>
      <c r="AA1504">
        <v>70</v>
      </c>
      <c r="AB1504">
        <v>20</v>
      </c>
      <c r="AC1504">
        <v>40</v>
      </c>
      <c r="AD1504" t="s">
        <v>25</v>
      </c>
      <c r="AE1504">
        <v>157.264324284689</v>
      </c>
    </row>
    <row r="1505" spans="25:31" x14ac:dyDescent="0.3">
      <c r="Y1505" t="str">
        <f t="shared" si="60"/>
        <v>Pass</v>
      </c>
      <c r="Z1505">
        <f t="shared" si="61"/>
        <v>78.526954650878906</v>
      </c>
      <c r="AA1505">
        <v>70</v>
      </c>
      <c r="AB1505">
        <v>20</v>
      </c>
      <c r="AC1505">
        <v>40</v>
      </c>
      <c r="AD1505" t="s">
        <v>26</v>
      </c>
      <c r="AE1505">
        <v>78.526962409598895</v>
      </c>
    </row>
    <row r="1506" spans="25:31" x14ac:dyDescent="0.3">
      <c r="Y1506" t="str">
        <f t="shared" si="60"/>
        <v>Pass</v>
      </c>
      <c r="Z1506">
        <f t="shared" si="61"/>
        <v>450.26632690429688</v>
      </c>
      <c r="AA1506">
        <v>70</v>
      </c>
      <c r="AB1506">
        <v>20</v>
      </c>
      <c r="AC1506">
        <v>50</v>
      </c>
      <c r="AD1506" t="s">
        <v>24</v>
      </c>
      <c r="AE1506">
        <v>450.26634370107303</v>
      </c>
    </row>
    <row r="1507" spans="25:31" x14ac:dyDescent="0.3">
      <c r="Y1507" t="str">
        <f t="shared" si="60"/>
        <v>Pass</v>
      </c>
      <c r="Z1507">
        <f t="shared" si="61"/>
        <v>382.74917602539063</v>
      </c>
      <c r="AA1507">
        <v>70</v>
      </c>
      <c r="AB1507">
        <v>20</v>
      </c>
      <c r="AC1507">
        <v>50</v>
      </c>
      <c r="AD1507" t="s">
        <v>25</v>
      </c>
      <c r="AE1507">
        <v>382.74918758527798</v>
      </c>
    </row>
    <row r="1508" spans="25:31" x14ac:dyDescent="0.3">
      <c r="Y1508" t="str">
        <f t="shared" si="60"/>
        <v>Pass</v>
      </c>
      <c r="Z1508">
        <f t="shared" si="61"/>
        <v>191.11854553222656</v>
      </c>
      <c r="AA1508">
        <v>70</v>
      </c>
      <c r="AB1508">
        <v>20</v>
      </c>
      <c r="AC1508">
        <v>50</v>
      </c>
      <c r="AD1508" t="s">
        <v>26</v>
      </c>
      <c r="AE1508">
        <v>191.118559167965</v>
      </c>
    </row>
    <row r="1509" spans="25:31" x14ac:dyDescent="0.3">
      <c r="Y1509" t="str">
        <f t="shared" si="60"/>
        <v>Pass</v>
      </c>
      <c r="Z1509">
        <f t="shared" si="61"/>
        <v>957.15386962890625</v>
      </c>
      <c r="AA1509">
        <v>70</v>
      </c>
      <c r="AB1509">
        <v>20</v>
      </c>
      <c r="AC1509">
        <v>60</v>
      </c>
      <c r="AD1509" t="s">
        <v>24</v>
      </c>
      <c r="AE1509">
        <v>957.15394827193995</v>
      </c>
    </row>
    <row r="1510" spans="25:31" x14ac:dyDescent="0.3">
      <c r="Y1510" t="str">
        <f t="shared" si="60"/>
        <v>Pass</v>
      </c>
      <c r="Z1510">
        <f t="shared" si="61"/>
        <v>813.6292724609375</v>
      </c>
      <c r="AA1510">
        <v>70</v>
      </c>
      <c r="AB1510">
        <v>20</v>
      </c>
      <c r="AC1510">
        <v>60</v>
      </c>
      <c r="AD1510" t="s">
        <v>25</v>
      </c>
      <c r="AE1510">
        <v>813.62931344995502</v>
      </c>
    </row>
    <row r="1511" spans="25:31" x14ac:dyDescent="0.3">
      <c r="Y1511" t="str">
        <f t="shared" si="60"/>
        <v>Pass</v>
      </c>
      <c r="Z1511">
        <f t="shared" si="61"/>
        <v>406.2703857421875</v>
      </c>
      <c r="AA1511">
        <v>70</v>
      </c>
      <c r="AB1511">
        <v>20</v>
      </c>
      <c r="AC1511">
        <v>60</v>
      </c>
      <c r="AD1511" t="s">
        <v>26</v>
      </c>
      <c r="AE1511">
        <v>406.27039096910102</v>
      </c>
    </row>
    <row r="1512" spans="25:31" x14ac:dyDescent="0.3">
      <c r="Y1512" t="str">
        <f t="shared" si="60"/>
        <v>Pass</v>
      </c>
      <c r="Z1512">
        <f t="shared" si="61"/>
        <v>1638.402099609375</v>
      </c>
      <c r="AA1512">
        <v>70</v>
      </c>
      <c r="AB1512">
        <v>20</v>
      </c>
      <c r="AC1512">
        <v>70</v>
      </c>
      <c r="AD1512" t="s">
        <v>24</v>
      </c>
      <c r="AE1512">
        <v>1638.40220830921</v>
      </c>
    </row>
    <row r="1513" spans="25:31" x14ac:dyDescent="0.3">
      <c r="Y1513" t="str">
        <f t="shared" si="60"/>
        <v>Pass</v>
      </c>
      <c r="Z1513">
        <f t="shared" si="61"/>
        <v>1392.724853515625</v>
      </c>
      <c r="AA1513">
        <v>70</v>
      </c>
      <c r="AB1513">
        <v>20</v>
      </c>
      <c r="AC1513">
        <v>70</v>
      </c>
      <c r="AD1513" t="s">
        <v>25</v>
      </c>
      <c r="AE1513">
        <v>1392.7248237425399</v>
      </c>
    </row>
    <row r="1514" spans="25:31" x14ac:dyDescent="0.3">
      <c r="Y1514" t="str">
        <f t="shared" si="60"/>
        <v>Pass</v>
      </c>
      <c r="Z1514">
        <f t="shared" si="61"/>
        <v>695.43072509765625</v>
      </c>
      <c r="AA1514">
        <v>70</v>
      </c>
      <c r="AB1514">
        <v>20</v>
      </c>
      <c r="AC1514">
        <v>70</v>
      </c>
      <c r="AD1514" t="s">
        <v>26</v>
      </c>
      <c r="AE1514">
        <v>695.43076841104801</v>
      </c>
    </row>
    <row r="1515" spans="25:31" x14ac:dyDescent="0.3">
      <c r="Y1515" t="str">
        <f t="shared" si="60"/>
        <v>Pass</v>
      </c>
      <c r="Z1515">
        <f t="shared" si="61"/>
        <v>2222.7236328125</v>
      </c>
      <c r="AA1515">
        <v>70</v>
      </c>
      <c r="AB1515">
        <v>20</v>
      </c>
      <c r="AC1515">
        <v>80</v>
      </c>
      <c r="AD1515" t="s">
        <v>24</v>
      </c>
      <c r="AE1515">
        <v>2222.7235666725201</v>
      </c>
    </row>
    <row r="1516" spans="25:31" x14ac:dyDescent="0.3">
      <c r="Y1516" t="str">
        <f t="shared" si="60"/>
        <v>Pass</v>
      </c>
      <c r="Z1516">
        <f t="shared" si="61"/>
        <v>1889.4276123046875</v>
      </c>
      <c r="AA1516">
        <v>70</v>
      </c>
      <c r="AB1516">
        <v>20</v>
      </c>
      <c r="AC1516">
        <v>80</v>
      </c>
      <c r="AD1516" t="s">
        <v>25</v>
      </c>
      <c r="AE1516">
        <v>1889.4275605359501</v>
      </c>
    </row>
    <row r="1517" spans="25:31" x14ac:dyDescent="0.3">
      <c r="Y1517" t="str">
        <f t="shared" si="60"/>
        <v>Pass</v>
      </c>
      <c r="Z1517">
        <f t="shared" si="61"/>
        <v>943.44989013671875</v>
      </c>
      <c r="AA1517">
        <v>70</v>
      </c>
      <c r="AB1517">
        <v>20</v>
      </c>
      <c r="AC1517">
        <v>80</v>
      </c>
      <c r="AD1517" t="s">
        <v>26</v>
      </c>
      <c r="AE1517">
        <v>943.44987457725199</v>
      </c>
    </row>
    <row r="1518" spans="25:31" x14ac:dyDescent="0.3">
      <c r="Y1518" t="str">
        <f t="shared" si="60"/>
        <v>Pass</v>
      </c>
      <c r="Z1518">
        <f t="shared" si="61"/>
        <v>2559.935546875</v>
      </c>
      <c r="AA1518">
        <v>70</v>
      </c>
      <c r="AB1518">
        <v>20</v>
      </c>
      <c r="AC1518">
        <v>90</v>
      </c>
      <c r="AD1518" t="s">
        <v>24</v>
      </c>
      <c r="AE1518">
        <v>2559.9355181924202</v>
      </c>
    </row>
    <row r="1519" spans="25:31" x14ac:dyDescent="0.3">
      <c r="Y1519" t="str">
        <f t="shared" si="60"/>
        <v>Pass</v>
      </c>
      <c r="Z1519">
        <f t="shared" si="61"/>
        <v>2176.07470703125</v>
      </c>
      <c r="AA1519">
        <v>70</v>
      </c>
      <c r="AB1519">
        <v>20</v>
      </c>
      <c r="AC1519">
        <v>90</v>
      </c>
      <c r="AD1519" t="s">
        <v>25</v>
      </c>
      <c r="AE1519">
        <v>2176.0747912114198</v>
      </c>
    </row>
    <row r="1520" spans="25:31" x14ac:dyDescent="0.3">
      <c r="Y1520" t="str">
        <f t="shared" si="60"/>
        <v>Pass</v>
      </c>
      <c r="Z1520">
        <f t="shared" si="61"/>
        <v>1086.581787109375</v>
      </c>
      <c r="AA1520">
        <v>70</v>
      </c>
      <c r="AB1520">
        <v>20</v>
      </c>
      <c r="AC1520">
        <v>90</v>
      </c>
      <c r="AD1520" t="s">
        <v>26</v>
      </c>
      <c r="AE1520">
        <v>1086.5817413274001</v>
      </c>
    </row>
    <row r="1521" spans="25:31" x14ac:dyDescent="0.3">
      <c r="Y1521" t="str">
        <f t="shared" si="60"/>
        <v>Pass</v>
      </c>
      <c r="Z1521">
        <f t="shared" si="61"/>
        <v>2711.89697265625</v>
      </c>
      <c r="AA1521">
        <v>70</v>
      </c>
      <c r="AB1521">
        <v>20</v>
      </c>
      <c r="AC1521">
        <v>100</v>
      </c>
      <c r="AD1521" t="s">
        <v>24</v>
      </c>
      <c r="AE1521">
        <v>2711.8969522807201</v>
      </c>
    </row>
    <row r="1522" spans="25:31" x14ac:dyDescent="0.3">
      <c r="Y1522" t="str">
        <f t="shared" si="60"/>
        <v>Pass</v>
      </c>
      <c r="Z1522">
        <f t="shared" si="61"/>
        <v>2305.249755859375</v>
      </c>
      <c r="AA1522">
        <v>70</v>
      </c>
      <c r="AB1522">
        <v>20</v>
      </c>
      <c r="AC1522">
        <v>100</v>
      </c>
      <c r="AD1522" t="s">
        <v>25</v>
      </c>
      <c r="AE1522">
        <v>2305.2497034722501</v>
      </c>
    </row>
    <row r="1523" spans="25:31" x14ac:dyDescent="0.3">
      <c r="Y1523" t="str">
        <f t="shared" si="60"/>
        <v>Pass</v>
      </c>
      <c r="Z1523">
        <f t="shared" si="61"/>
        <v>1151.082763671875</v>
      </c>
      <c r="AA1523">
        <v>70</v>
      </c>
      <c r="AB1523">
        <v>20</v>
      </c>
      <c r="AC1523">
        <v>100</v>
      </c>
      <c r="AD1523" t="s">
        <v>26</v>
      </c>
      <c r="AE1523">
        <v>1151.0827877376901</v>
      </c>
    </row>
    <row r="1524" spans="25:31" x14ac:dyDescent="0.3">
      <c r="Y1524" t="str">
        <f t="shared" si="60"/>
        <v>Pass</v>
      </c>
      <c r="Z1524">
        <f t="shared" si="61"/>
        <v>4.0450885891914368E-2</v>
      </c>
      <c r="AA1524">
        <v>70</v>
      </c>
      <c r="AB1524">
        <v>25</v>
      </c>
      <c r="AC1524">
        <v>0</v>
      </c>
      <c r="AD1524" t="s">
        <v>24</v>
      </c>
      <c r="AE1524">
        <v>4.0450885577292497E-2</v>
      </c>
    </row>
    <row r="1525" spans="25:31" x14ac:dyDescent="0.3">
      <c r="Y1525" t="str">
        <f t="shared" si="60"/>
        <v>Pass</v>
      </c>
      <c r="Z1525">
        <f t="shared" si="61"/>
        <v>3.4385304898023605E-2</v>
      </c>
      <c r="AA1525">
        <v>70</v>
      </c>
      <c r="AB1525">
        <v>25</v>
      </c>
      <c r="AC1525">
        <v>0</v>
      </c>
      <c r="AD1525" t="s">
        <v>25</v>
      </c>
      <c r="AE1525">
        <v>3.4385300630180797E-2</v>
      </c>
    </row>
    <row r="1526" spans="25:31" x14ac:dyDescent="0.3">
      <c r="Y1526" t="str">
        <f t="shared" si="60"/>
        <v>Pass</v>
      </c>
      <c r="Z1526">
        <f t="shared" si="61"/>
        <v>1.71696487814188E-2</v>
      </c>
      <c r="AA1526">
        <v>70</v>
      </c>
      <c r="AB1526">
        <v>25</v>
      </c>
      <c r="AC1526">
        <v>0</v>
      </c>
      <c r="AD1526" t="s">
        <v>26</v>
      </c>
      <c r="AE1526">
        <v>1.7169648757342702E-2</v>
      </c>
    </row>
    <row r="1527" spans="25:31" x14ac:dyDescent="0.3">
      <c r="Y1527" t="str">
        <f t="shared" si="60"/>
        <v>Pass</v>
      </c>
      <c r="Z1527">
        <f t="shared" si="61"/>
        <v>0.1092735156416893</v>
      </c>
      <c r="AA1527">
        <v>70</v>
      </c>
      <c r="AB1527">
        <v>25</v>
      </c>
      <c r="AC1527">
        <v>10</v>
      </c>
      <c r="AD1527" t="s">
        <v>24</v>
      </c>
      <c r="AE1527">
        <v>0.109273510044456</v>
      </c>
    </row>
    <row r="1528" spans="25:31" x14ac:dyDescent="0.3">
      <c r="Y1528" t="str">
        <f t="shared" si="60"/>
        <v>Pass</v>
      </c>
      <c r="Z1528">
        <f t="shared" si="61"/>
        <v>9.2888027429580688E-2</v>
      </c>
      <c r="AA1528">
        <v>70</v>
      </c>
      <c r="AB1528">
        <v>25</v>
      </c>
      <c r="AC1528">
        <v>10</v>
      </c>
      <c r="AD1528" t="s">
        <v>25</v>
      </c>
      <c r="AE1528">
        <v>9.2888015680501299E-2</v>
      </c>
    </row>
    <row r="1529" spans="25:31" x14ac:dyDescent="0.3">
      <c r="Y1529" t="str">
        <f t="shared" si="60"/>
        <v>Pass</v>
      </c>
      <c r="Z1529">
        <f t="shared" si="61"/>
        <v>4.6381872147321701E-2</v>
      </c>
      <c r="AA1529">
        <v>70</v>
      </c>
      <c r="AB1529">
        <v>25</v>
      </c>
      <c r="AC1529">
        <v>10</v>
      </c>
      <c r="AD1529" t="s">
        <v>26</v>
      </c>
      <c r="AE1529">
        <v>4.63818717234337E-2</v>
      </c>
    </row>
    <row r="1530" spans="25:31" x14ac:dyDescent="0.3">
      <c r="Y1530" t="str">
        <f t="shared" si="60"/>
        <v>Pass</v>
      </c>
      <c r="Z1530">
        <f t="shared" si="61"/>
        <v>0.29407334327697754</v>
      </c>
      <c r="AA1530">
        <v>70</v>
      </c>
      <c r="AB1530">
        <v>25</v>
      </c>
      <c r="AC1530">
        <v>20</v>
      </c>
      <c r="AD1530" t="s">
        <v>24</v>
      </c>
      <c r="AE1530">
        <v>0.29407331585025098</v>
      </c>
    </row>
    <row r="1531" spans="25:31" x14ac:dyDescent="0.3">
      <c r="Y1531" t="str">
        <f t="shared" si="60"/>
        <v>Pass</v>
      </c>
      <c r="Z1531">
        <f t="shared" si="61"/>
        <v>0.24997724592685699</v>
      </c>
      <c r="AA1531">
        <v>70</v>
      </c>
      <c r="AB1531">
        <v>25</v>
      </c>
      <c r="AC1531">
        <v>20</v>
      </c>
      <c r="AD1531" t="s">
        <v>25</v>
      </c>
      <c r="AE1531">
        <v>0.24997720639523699</v>
      </c>
    </row>
    <row r="1532" spans="25:31" x14ac:dyDescent="0.3">
      <c r="Y1532" t="str">
        <f t="shared" si="60"/>
        <v>Pass</v>
      </c>
      <c r="Z1532">
        <f t="shared" si="61"/>
        <v>0.12482139468193054</v>
      </c>
      <c r="AA1532">
        <v>70</v>
      </c>
      <c r="AB1532">
        <v>25</v>
      </c>
      <c r="AC1532">
        <v>20</v>
      </c>
      <c r="AD1532" t="s">
        <v>26</v>
      </c>
      <c r="AE1532">
        <v>0.12482138450116601</v>
      </c>
    </row>
    <row r="1533" spans="25:31" x14ac:dyDescent="0.3">
      <c r="Y1533" t="str">
        <f t="shared" si="60"/>
        <v>Pass</v>
      </c>
      <c r="Z1533">
        <f t="shared" si="61"/>
        <v>0.78344202041625977</v>
      </c>
      <c r="AA1533">
        <v>70</v>
      </c>
      <c r="AB1533">
        <v>25</v>
      </c>
      <c r="AC1533">
        <v>30</v>
      </c>
      <c r="AD1533" t="s">
        <v>24</v>
      </c>
      <c r="AE1533">
        <v>0.78344196633302798</v>
      </c>
    </row>
    <row r="1534" spans="25:31" x14ac:dyDescent="0.3">
      <c r="Y1534" t="str">
        <f t="shared" si="60"/>
        <v>Pass</v>
      </c>
      <c r="Z1534">
        <f t="shared" si="61"/>
        <v>0.66596537828445435</v>
      </c>
      <c r="AA1534">
        <v>70</v>
      </c>
      <c r="AB1534">
        <v>25</v>
      </c>
      <c r="AC1534">
        <v>30</v>
      </c>
      <c r="AD1534" t="s">
        <v>25</v>
      </c>
      <c r="AE1534">
        <v>0.66596533436053096</v>
      </c>
    </row>
    <row r="1535" spans="25:31" x14ac:dyDescent="0.3">
      <c r="Y1535" t="str">
        <f t="shared" si="60"/>
        <v>Pass</v>
      </c>
      <c r="Z1535">
        <f t="shared" si="61"/>
        <v>0.3325372040271759</v>
      </c>
      <c r="AA1535">
        <v>70</v>
      </c>
      <c r="AB1535">
        <v>25</v>
      </c>
      <c r="AC1535">
        <v>30</v>
      </c>
      <c r="AD1535" t="s">
        <v>26</v>
      </c>
      <c r="AE1535">
        <v>0.33253717914277497</v>
      </c>
    </row>
    <row r="1536" spans="25:31" x14ac:dyDescent="0.3">
      <c r="Y1536" t="str">
        <f t="shared" si="60"/>
        <v>Pass</v>
      </c>
      <c r="Z1536">
        <f t="shared" si="61"/>
        <v>2.0330312252044678</v>
      </c>
      <c r="AA1536">
        <v>70</v>
      </c>
      <c r="AB1536">
        <v>25</v>
      </c>
      <c r="AC1536">
        <v>40</v>
      </c>
      <c r="AD1536" t="s">
        <v>24</v>
      </c>
      <c r="AE1536">
        <v>2.0330311321839298</v>
      </c>
    </row>
    <row r="1537" spans="25:31" x14ac:dyDescent="0.3">
      <c r="Y1537" t="str">
        <f t="shared" si="60"/>
        <v>Pass</v>
      </c>
      <c r="Z1537">
        <f t="shared" si="61"/>
        <v>1.7281794548034668</v>
      </c>
      <c r="AA1537">
        <v>70</v>
      </c>
      <c r="AB1537">
        <v>25</v>
      </c>
      <c r="AC1537">
        <v>40</v>
      </c>
      <c r="AD1537" t="s">
        <v>25</v>
      </c>
      <c r="AE1537">
        <v>1.7281793877438401</v>
      </c>
    </row>
    <row r="1538" spans="25:31" x14ac:dyDescent="0.3">
      <c r="Y1538" t="str">
        <f t="shared" si="60"/>
        <v>Pass</v>
      </c>
      <c r="Z1538">
        <f t="shared" si="61"/>
        <v>0.86293363571166992</v>
      </c>
      <c r="AA1538">
        <v>70</v>
      </c>
      <c r="AB1538">
        <v>25</v>
      </c>
      <c r="AC1538">
        <v>40</v>
      </c>
      <c r="AD1538" t="s">
        <v>26</v>
      </c>
      <c r="AE1538">
        <v>0.86293365285273504</v>
      </c>
    </row>
    <row r="1539" spans="25:31" x14ac:dyDescent="0.3">
      <c r="Y1539" t="str">
        <f t="shared" si="60"/>
        <v>Pass</v>
      </c>
      <c r="Z1539">
        <f t="shared" si="61"/>
        <v>4.9479818344116211</v>
      </c>
      <c r="AA1539">
        <v>70</v>
      </c>
      <c r="AB1539">
        <v>25</v>
      </c>
      <c r="AC1539">
        <v>50</v>
      </c>
      <c r="AD1539" t="s">
        <v>24</v>
      </c>
      <c r="AE1539">
        <v>4.94798179891289</v>
      </c>
    </row>
    <row r="1540" spans="25:31" x14ac:dyDescent="0.3">
      <c r="Y1540" t="str">
        <f t="shared" si="60"/>
        <v>Pass</v>
      </c>
      <c r="Z1540">
        <f t="shared" si="61"/>
        <v>4.2060351371765137</v>
      </c>
      <c r="AA1540">
        <v>70</v>
      </c>
      <c r="AB1540">
        <v>25</v>
      </c>
      <c r="AC1540">
        <v>50</v>
      </c>
      <c r="AD1540" t="s">
        <v>25</v>
      </c>
      <c r="AE1540">
        <v>4.2060350284096399</v>
      </c>
    </row>
    <row r="1541" spans="25:31" x14ac:dyDescent="0.3">
      <c r="Y1541" t="str">
        <f t="shared" si="60"/>
        <v>Pass</v>
      </c>
      <c r="Z1541">
        <f t="shared" si="61"/>
        <v>2.1002039909362793</v>
      </c>
      <c r="AA1541">
        <v>70</v>
      </c>
      <c r="AB1541">
        <v>25</v>
      </c>
      <c r="AC1541">
        <v>50</v>
      </c>
      <c r="AD1541" t="s">
        <v>26</v>
      </c>
      <c r="AE1541">
        <v>2.1002039469007201</v>
      </c>
    </row>
    <row r="1542" spans="25:31" x14ac:dyDescent="0.3">
      <c r="Y1542" t="str">
        <f t="shared" si="60"/>
        <v>Pass</v>
      </c>
      <c r="Z1542">
        <f t="shared" si="61"/>
        <v>10.51817512512207</v>
      </c>
      <c r="AA1542">
        <v>70</v>
      </c>
      <c r="AB1542">
        <v>25</v>
      </c>
      <c r="AC1542">
        <v>60</v>
      </c>
      <c r="AD1542" t="s">
        <v>24</v>
      </c>
      <c r="AE1542">
        <v>10.518175255735599</v>
      </c>
    </row>
    <row r="1543" spans="25:31" x14ac:dyDescent="0.3">
      <c r="Y1543" t="str">
        <f t="shared" ref="Y1543:Y1589" si="62">IF(ISBLANK(Z1543),"",IF(ROUND(Z1543,0)=ROUND(AE1543,0),"Pass","Fail"))</f>
        <v>Pass</v>
      </c>
      <c r="Z1543">
        <f t="shared" ref="Z1543:Z1589" si="63">ROS_grass(AA1543,AB1543,AC1543,AD1543)</f>
        <v>8.9409818649291992</v>
      </c>
      <c r="AA1543">
        <v>70</v>
      </c>
      <c r="AB1543">
        <v>25</v>
      </c>
      <c r="AC1543">
        <v>60</v>
      </c>
      <c r="AD1543" t="s">
        <v>25</v>
      </c>
      <c r="AE1543">
        <v>8.9409814664830307</v>
      </c>
    </row>
    <row r="1544" spans="25:31" x14ac:dyDescent="0.3">
      <c r="Y1544" t="str">
        <f t="shared" si="62"/>
        <v>Pass</v>
      </c>
      <c r="Z1544">
        <f t="shared" si="63"/>
        <v>4.4645099639892578</v>
      </c>
      <c r="AA1544">
        <v>70</v>
      </c>
      <c r="AB1544">
        <v>25</v>
      </c>
      <c r="AC1544">
        <v>60</v>
      </c>
      <c r="AD1544" t="s">
        <v>26</v>
      </c>
      <c r="AE1544">
        <v>4.4645097908692399</v>
      </c>
    </row>
    <row r="1545" spans="25:31" x14ac:dyDescent="0.3">
      <c r="Y1545" t="str">
        <f t="shared" si="62"/>
        <v>Pass</v>
      </c>
      <c r="Z1545">
        <f t="shared" si="63"/>
        <v>18.004421234130859</v>
      </c>
      <c r="AA1545">
        <v>70</v>
      </c>
      <c r="AB1545">
        <v>25</v>
      </c>
      <c r="AC1545">
        <v>70</v>
      </c>
      <c r="AD1545" t="s">
        <v>24</v>
      </c>
      <c r="AE1545">
        <v>18.004419871529802</v>
      </c>
    </row>
    <row r="1546" spans="25:31" x14ac:dyDescent="0.3">
      <c r="Y1546" t="str">
        <f t="shared" si="62"/>
        <v>Pass</v>
      </c>
      <c r="Z1546">
        <f t="shared" si="63"/>
        <v>15.304669380187988</v>
      </c>
      <c r="AA1546">
        <v>70</v>
      </c>
      <c r="AB1546">
        <v>25</v>
      </c>
      <c r="AC1546">
        <v>70</v>
      </c>
      <c r="AD1546" t="s">
        <v>25</v>
      </c>
      <c r="AE1546">
        <v>15.304668392775101</v>
      </c>
    </row>
    <row r="1547" spans="25:31" x14ac:dyDescent="0.3">
      <c r="Y1547" t="str">
        <f t="shared" si="62"/>
        <v>Pass</v>
      </c>
      <c r="Z1547">
        <f t="shared" si="63"/>
        <v>7.6420965194702148</v>
      </c>
      <c r="AA1547">
        <v>70</v>
      </c>
      <c r="AB1547">
        <v>25</v>
      </c>
      <c r="AC1547">
        <v>70</v>
      </c>
      <c r="AD1547" t="s">
        <v>26</v>
      </c>
      <c r="AE1547">
        <v>7.6420963561653599</v>
      </c>
    </row>
    <row r="1548" spans="25:31" x14ac:dyDescent="0.3">
      <c r="Y1548" t="str">
        <f t="shared" si="62"/>
        <v>Pass</v>
      </c>
      <c r="Z1548">
        <f t="shared" si="63"/>
        <v>24.425535202026367</v>
      </c>
      <c r="AA1548">
        <v>70</v>
      </c>
      <c r="AB1548">
        <v>25</v>
      </c>
      <c r="AC1548">
        <v>80</v>
      </c>
      <c r="AD1548" t="s">
        <v>24</v>
      </c>
      <c r="AE1548">
        <v>24.425533699698001</v>
      </c>
    </row>
    <row r="1549" spans="25:31" x14ac:dyDescent="0.3">
      <c r="Y1549" t="str">
        <f t="shared" si="62"/>
        <v>Pass</v>
      </c>
      <c r="Z1549">
        <f t="shared" si="63"/>
        <v>20.762943267822266</v>
      </c>
      <c r="AA1549">
        <v>70</v>
      </c>
      <c r="AB1549">
        <v>25</v>
      </c>
      <c r="AC1549">
        <v>80</v>
      </c>
      <c r="AD1549" t="s">
        <v>25</v>
      </c>
      <c r="AE1549">
        <v>20.762940225669698</v>
      </c>
    </row>
    <row r="1550" spans="25:31" x14ac:dyDescent="0.3">
      <c r="Y1550" t="str">
        <f t="shared" si="62"/>
        <v>Pass</v>
      </c>
      <c r="Z1550">
        <f t="shared" si="63"/>
        <v>10.367581367492676</v>
      </c>
      <c r="AA1550">
        <v>70</v>
      </c>
      <c r="AB1550">
        <v>25</v>
      </c>
      <c r="AC1550">
        <v>80</v>
      </c>
      <c r="AD1550" t="s">
        <v>26</v>
      </c>
      <c r="AE1550">
        <v>10.3675810393104</v>
      </c>
    </row>
    <row r="1551" spans="25:31" x14ac:dyDescent="0.3">
      <c r="Y1551" t="str">
        <f t="shared" si="62"/>
        <v>Pass</v>
      </c>
      <c r="Z1551">
        <f t="shared" si="63"/>
        <v>28.131160736083984</v>
      </c>
      <c r="AA1551">
        <v>70</v>
      </c>
      <c r="AB1551">
        <v>25</v>
      </c>
      <c r="AC1551">
        <v>90</v>
      </c>
      <c r="AD1551" t="s">
        <v>24</v>
      </c>
      <c r="AE1551">
        <v>28.131159540576</v>
      </c>
    </row>
    <row r="1552" spans="25:31" x14ac:dyDescent="0.3">
      <c r="Y1552" t="str">
        <f t="shared" si="62"/>
        <v>Pass</v>
      </c>
      <c r="Z1552">
        <f t="shared" si="63"/>
        <v>23.912912368774414</v>
      </c>
      <c r="AA1552">
        <v>70</v>
      </c>
      <c r="AB1552">
        <v>25</v>
      </c>
      <c r="AC1552">
        <v>90</v>
      </c>
      <c r="AD1552" t="s">
        <v>25</v>
      </c>
      <c r="AE1552">
        <v>23.912909793532101</v>
      </c>
    </row>
    <row r="1553" spans="25:31" x14ac:dyDescent="0.3">
      <c r="Y1553" t="str">
        <f t="shared" si="62"/>
        <v>Pass</v>
      </c>
      <c r="Z1553">
        <f t="shared" si="63"/>
        <v>11.940459251403809</v>
      </c>
      <c r="AA1553">
        <v>70</v>
      </c>
      <c r="AB1553">
        <v>25</v>
      </c>
      <c r="AC1553">
        <v>90</v>
      </c>
      <c r="AD1553" t="s">
        <v>26</v>
      </c>
      <c r="AE1553">
        <v>11.9404586959055</v>
      </c>
    </row>
    <row r="1554" spans="25:31" x14ac:dyDescent="0.3">
      <c r="Y1554" t="str">
        <f t="shared" si="62"/>
        <v>Pass</v>
      </c>
      <c r="Z1554">
        <f t="shared" si="63"/>
        <v>29.801067352294922</v>
      </c>
      <c r="AA1554">
        <v>70</v>
      </c>
      <c r="AB1554">
        <v>25</v>
      </c>
      <c r="AC1554">
        <v>100</v>
      </c>
      <c r="AD1554" t="s">
        <v>24</v>
      </c>
      <c r="AE1554">
        <v>29.801065409678198</v>
      </c>
    </row>
    <row r="1555" spans="25:31" x14ac:dyDescent="0.3">
      <c r="Y1555" t="str">
        <f t="shared" si="62"/>
        <v>Pass</v>
      </c>
      <c r="Z1555">
        <f t="shared" si="63"/>
        <v>25.332416534423828</v>
      </c>
      <c r="AA1555">
        <v>70</v>
      </c>
      <c r="AB1555">
        <v>25</v>
      </c>
      <c r="AC1555">
        <v>100</v>
      </c>
      <c r="AD1555" t="s">
        <v>25</v>
      </c>
      <c r="AE1555">
        <v>25.3324143238709</v>
      </c>
    </row>
    <row r="1556" spans="25:31" x14ac:dyDescent="0.3">
      <c r="Y1556" t="str">
        <f t="shared" si="62"/>
        <v>Pass</v>
      </c>
      <c r="Z1556">
        <f t="shared" si="63"/>
        <v>12.649262428283691</v>
      </c>
      <c r="AA1556">
        <v>70</v>
      </c>
      <c r="AB1556">
        <v>25</v>
      </c>
      <c r="AC1556">
        <v>100</v>
      </c>
      <c r="AD1556" t="s">
        <v>26</v>
      </c>
      <c r="AE1556">
        <v>12.6492614037109</v>
      </c>
    </row>
    <row r="1557" spans="25:31" x14ac:dyDescent="0.3">
      <c r="Y1557" t="str">
        <f t="shared" si="62"/>
        <v>Pass</v>
      </c>
      <c r="Z1557">
        <f t="shared" si="63"/>
        <v>4.0450885891914368E-2</v>
      </c>
      <c r="AA1557">
        <v>70</v>
      </c>
      <c r="AB1557">
        <v>30</v>
      </c>
      <c r="AC1557">
        <v>0</v>
      </c>
      <c r="AD1557" t="s">
        <v>24</v>
      </c>
      <c r="AE1557">
        <v>4.0450885577292497E-2</v>
      </c>
    </row>
    <row r="1558" spans="25:31" x14ac:dyDescent="0.3">
      <c r="Y1558" t="str">
        <f t="shared" si="62"/>
        <v>Pass</v>
      </c>
      <c r="Z1558">
        <f t="shared" si="63"/>
        <v>3.4385304898023605E-2</v>
      </c>
      <c r="AA1558">
        <v>70</v>
      </c>
      <c r="AB1558">
        <v>30</v>
      </c>
      <c r="AC1558">
        <v>0</v>
      </c>
      <c r="AD1558" t="s">
        <v>25</v>
      </c>
      <c r="AE1558">
        <v>3.4385300630180797E-2</v>
      </c>
    </row>
    <row r="1559" spans="25:31" x14ac:dyDescent="0.3">
      <c r="Y1559" t="str">
        <f t="shared" si="62"/>
        <v>Pass</v>
      </c>
      <c r="Z1559">
        <f t="shared" si="63"/>
        <v>1.71696487814188E-2</v>
      </c>
      <c r="AA1559">
        <v>70</v>
      </c>
      <c r="AB1559">
        <v>30</v>
      </c>
      <c r="AC1559">
        <v>0</v>
      </c>
      <c r="AD1559" t="s">
        <v>26</v>
      </c>
      <c r="AE1559">
        <v>1.7169648757342702E-2</v>
      </c>
    </row>
    <row r="1560" spans="25:31" x14ac:dyDescent="0.3">
      <c r="Y1560" t="str">
        <f t="shared" si="62"/>
        <v>Pass</v>
      </c>
      <c r="Z1560">
        <f t="shared" si="63"/>
        <v>0.1092735156416893</v>
      </c>
      <c r="AA1560">
        <v>70</v>
      </c>
      <c r="AB1560">
        <v>30</v>
      </c>
      <c r="AC1560">
        <v>10</v>
      </c>
      <c r="AD1560" t="s">
        <v>24</v>
      </c>
      <c r="AE1560">
        <v>0.109273510044456</v>
      </c>
    </row>
    <row r="1561" spans="25:31" x14ac:dyDescent="0.3">
      <c r="Y1561" t="str">
        <f t="shared" si="62"/>
        <v>Pass</v>
      </c>
      <c r="Z1561">
        <f t="shared" si="63"/>
        <v>9.2888027429580688E-2</v>
      </c>
      <c r="AA1561">
        <v>70</v>
      </c>
      <c r="AB1561">
        <v>30</v>
      </c>
      <c r="AC1561">
        <v>10</v>
      </c>
      <c r="AD1561" t="s">
        <v>25</v>
      </c>
      <c r="AE1561">
        <v>9.2888015680501299E-2</v>
      </c>
    </row>
    <row r="1562" spans="25:31" x14ac:dyDescent="0.3">
      <c r="Y1562" t="str">
        <f t="shared" si="62"/>
        <v>Pass</v>
      </c>
      <c r="Z1562">
        <f t="shared" si="63"/>
        <v>4.6381872147321701E-2</v>
      </c>
      <c r="AA1562">
        <v>70</v>
      </c>
      <c r="AB1562">
        <v>30</v>
      </c>
      <c r="AC1562">
        <v>10</v>
      </c>
      <c r="AD1562" t="s">
        <v>26</v>
      </c>
      <c r="AE1562">
        <v>4.63818717234337E-2</v>
      </c>
    </row>
    <row r="1563" spans="25:31" x14ac:dyDescent="0.3">
      <c r="Y1563" t="str">
        <f t="shared" si="62"/>
        <v>Pass</v>
      </c>
      <c r="Z1563">
        <f t="shared" si="63"/>
        <v>0.29407334327697754</v>
      </c>
      <c r="AA1563">
        <v>70</v>
      </c>
      <c r="AB1563">
        <v>30</v>
      </c>
      <c r="AC1563">
        <v>20</v>
      </c>
      <c r="AD1563" t="s">
        <v>24</v>
      </c>
      <c r="AE1563">
        <v>0.29407331585025098</v>
      </c>
    </row>
    <row r="1564" spans="25:31" x14ac:dyDescent="0.3">
      <c r="Y1564" t="str">
        <f t="shared" si="62"/>
        <v>Pass</v>
      </c>
      <c r="Z1564">
        <f t="shared" si="63"/>
        <v>0.24997724592685699</v>
      </c>
      <c r="AA1564">
        <v>70</v>
      </c>
      <c r="AB1564">
        <v>30</v>
      </c>
      <c r="AC1564">
        <v>20</v>
      </c>
      <c r="AD1564" t="s">
        <v>25</v>
      </c>
      <c r="AE1564">
        <v>0.24997720639523699</v>
      </c>
    </row>
    <row r="1565" spans="25:31" x14ac:dyDescent="0.3">
      <c r="Y1565" t="str">
        <f t="shared" si="62"/>
        <v>Pass</v>
      </c>
      <c r="Z1565">
        <f t="shared" si="63"/>
        <v>0.12482139468193054</v>
      </c>
      <c r="AA1565">
        <v>70</v>
      </c>
      <c r="AB1565">
        <v>30</v>
      </c>
      <c r="AC1565">
        <v>20</v>
      </c>
      <c r="AD1565" t="s">
        <v>26</v>
      </c>
      <c r="AE1565">
        <v>0.12482138450116601</v>
      </c>
    </row>
    <row r="1566" spans="25:31" x14ac:dyDescent="0.3">
      <c r="Y1566" t="str">
        <f t="shared" si="62"/>
        <v>Pass</v>
      </c>
      <c r="Z1566">
        <f t="shared" si="63"/>
        <v>0.78344202041625977</v>
      </c>
      <c r="AA1566">
        <v>70</v>
      </c>
      <c r="AB1566">
        <v>30</v>
      </c>
      <c r="AC1566">
        <v>30</v>
      </c>
      <c r="AD1566" t="s">
        <v>24</v>
      </c>
      <c r="AE1566">
        <v>0.78344196633302798</v>
      </c>
    </row>
    <row r="1567" spans="25:31" x14ac:dyDescent="0.3">
      <c r="Y1567" t="str">
        <f t="shared" si="62"/>
        <v>Pass</v>
      </c>
      <c r="Z1567">
        <f t="shared" si="63"/>
        <v>0.66596537828445435</v>
      </c>
      <c r="AA1567">
        <v>70</v>
      </c>
      <c r="AB1567">
        <v>30</v>
      </c>
      <c r="AC1567">
        <v>30</v>
      </c>
      <c r="AD1567" t="s">
        <v>25</v>
      </c>
      <c r="AE1567">
        <v>0.66596533436053096</v>
      </c>
    </row>
    <row r="1568" spans="25:31" x14ac:dyDescent="0.3">
      <c r="Y1568" t="str">
        <f t="shared" si="62"/>
        <v>Pass</v>
      </c>
      <c r="Z1568">
        <f t="shared" si="63"/>
        <v>0.3325372040271759</v>
      </c>
      <c r="AA1568">
        <v>70</v>
      </c>
      <c r="AB1568">
        <v>30</v>
      </c>
      <c r="AC1568">
        <v>30</v>
      </c>
      <c r="AD1568" t="s">
        <v>26</v>
      </c>
      <c r="AE1568">
        <v>0.33253717914277497</v>
      </c>
    </row>
    <row r="1569" spans="25:31" x14ac:dyDescent="0.3">
      <c r="Y1569" t="str">
        <f t="shared" si="62"/>
        <v>Pass</v>
      </c>
      <c r="Z1569">
        <f t="shared" si="63"/>
        <v>2.0330312252044678</v>
      </c>
      <c r="AA1569">
        <v>70</v>
      </c>
      <c r="AB1569">
        <v>30</v>
      </c>
      <c r="AC1569">
        <v>40</v>
      </c>
      <c r="AD1569" t="s">
        <v>24</v>
      </c>
      <c r="AE1569">
        <v>2.0330311321839298</v>
      </c>
    </row>
    <row r="1570" spans="25:31" x14ac:dyDescent="0.3">
      <c r="Y1570" t="str">
        <f t="shared" si="62"/>
        <v>Pass</v>
      </c>
      <c r="Z1570">
        <f t="shared" si="63"/>
        <v>1.7281794548034668</v>
      </c>
      <c r="AA1570">
        <v>70</v>
      </c>
      <c r="AB1570">
        <v>30</v>
      </c>
      <c r="AC1570">
        <v>40</v>
      </c>
      <c r="AD1570" t="s">
        <v>25</v>
      </c>
      <c r="AE1570">
        <v>1.7281793877438401</v>
      </c>
    </row>
    <row r="1571" spans="25:31" x14ac:dyDescent="0.3">
      <c r="Y1571" t="str">
        <f t="shared" si="62"/>
        <v>Pass</v>
      </c>
      <c r="Z1571">
        <f t="shared" si="63"/>
        <v>0.86293363571166992</v>
      </c>
      <c r="AA1571">
        <v>70</v>
      </c>
      <c r="AB1571">
        <v>30</v>
      </c>
      <c r="AC1571">
        <v>40</v>
      </c>
      <c r="AD1571" t="s">
        <v>26</v>
      </c>
      <c r="AE1571">
        <v>0.86293365285273504</v>
      </c>
    </row>
    <row r="1572" spans="25:31" x14ac:dyDescent="0.3">
      <c r="Y1572" t="str">
        <f t="shared" si="62"/>
        <v>Pass</v>
      </c>
      <c r="Z1572">
        <f t="shared" si="63"/>
        <v>4.9479818344116211</v>
      </c>
      <c r="AA1572">
        <v>70</v>
      </c>
      <c r="AB1572">
        <v>30</v>
      </c>
      <c r="AC1572">
        <v>50</v>
      </c>
      <c r="AD1572" t="s">
        <v>24</v>
      </c>
      <c r="AE1572">
        <v>4.94798179891289</v>
      </c>
    </row>
    <row r="1573" spans="25:31" x14ac:dyDescent="0.3">
      <c r="Y1573" t="str">
        <f t="shared" si="62"/>
        <v>Pass</v>
      </c>
      <c r="Z1573">
        <f t="shared" si="63"/>
        <v>4.2060351371765137</v>
      </c>
      <c r="AA1573">
        <v>70</v>
      </c>
      <c r="AB1573">
        <v>30</v>
      </c>
      <c r="AC1573">
        <v>50</v>
      </c>
      <c r="AD1573" t="s">
        <v>25</v>
      </c>
      <c r="AE1573">
        <v>4.2060350284096399</v>
      </c>
    </row>
    <row r="1574" spans="25:31" x14ac:dyDescent="0.3">
      <c r="Y1574" t="str">
        <f t="shared" si="62"/>
        <v>Pass</v>
      </c>
      <c r="Z1574">
        <f t="shared" si="63"/>
        <v>2.1002039909362793</v>
      </c>
      <c r="AA1574">
        <v>70</v>
      </c>
      <c r="AB1574">
        <v>30</v>
      </c>
      <c r="AC1574">
        <v>50</v>
      </c>
      <c r="AD1574" t="s">
        <v>26</v>
      </c>
      <c r="AE1574">
        <v>2.1002039469007201</v>
      </c>
    </row>
    <row r="1575" spans="25:31" x14ac:dyDescent="0.3">
      <c r="Y1575" t="str">
        <f t="shared" si="62"/>
        <v>Pass</v>
      </c>
      <c r="Z1575">
        <f t="shared" si="63"/>
        <v>10.51817512512207</v>
      </c>
      <c r="AA1575">
        <v>70</v>
      </c>
      <c r="AB1575">
        <v>30</v>
      </c>
      <c r="AC1575">
        <v>60</v>
      </c>
      <c r="AD1575" t="s">
        <v>24</v>
      </c>
      <c r="AE1575">
        <v>10.518175255735599</v>
      </c>
    </row>
    <row r="1576" spans="25:31" x14ac:dyDescent="0.3">
      <c r="Y1576" t="str">
        <f t="shared" si="62"/>
        <v>Pass</v>
      </c>
      <c r="Z1576">
        <f t="shared" si="63"/>
        <v>8.9409818649291992</v>
      </c>
      <c r="AA1576">
        <v>70</v>
      </c>
      <c r="AB1576">
        <v>30</v>
      </c>
      <c r="AC1576">
        <v>60</v>
      </c>
      <c r="AD1576" t="s">
        <v>25</v>
      </c>
      <c r="AE1576">
        <v>8.9409814664830307</v>
      </c>
    </row>
    <row r="1577" spans="25:31" x14ac:dyDescent="0.3">
      <c r="Y1577" t="str">
        <f t="shared" si="62"/>
        <v>Pass</v>
      </c>
      <c r="Z1577">
        <f t="shared" si="63"/>
        <v>4.4645099639892578</v>
      </c>
      <c r="AA1577">
        <v>70</v>
      </c>
      <c r="AB1577">
        <v>30</v>
      </c>
      <c r="AC1577">
        <v>60</v>
      </c>
      <c r="AD1577" t="s">
        <v>26</v>
      </c>
      <c r="AE1577">
        <v>4.4645097908692399</v>
      </c>
    </row>
    <row r="1578" spans="25:31" x14ac:dyDescent="0.3">
      <c r="Y1578" t="str">
        <f t="shared" si="62"/>
        <v>Pass</v>
      </c>
      <c r="Z1578">
        <f t="shared" si="63"/>
        <v>18.004421234130859</v>
      </c>
      <c r="AA1578">
        <v>70</v>
      </c>
      <c r="AB1578">
        <v>30</v>
      </c>
      <c r="AC1578">
        <v>70</v>
      </c>
      <c r="AD1578" t="s">
        <v>24</v>
      </c>
      <c r="AE1578">
        <v>18.004419871529802</v>
      </c>
    </row>
    <row r="1579" spans="25:31" x14ac:dyDescent="0.3">
      <c r="Y1579" t="str">
        <f t="shared" si="62"/>
        <v>Pass</v>
      </c>
      <c r="Z1579">
        <f t="shared" si="63"/>
        <v>15.304669380187988</v>
      </c>
      <c r="AA1579">
        <v>70</v>
      </c>
      <c r="AB1579">
        <v>30</v>
      </c>
      <c r="AC1579">
        <v>70</v>
      </c>
      <c r="AD1579" t="s">
        <v>25</v>
      </c>
      <c r="AE1579">
        <v>15.304668392775101</v>
      </c>
    </row>
    <row r="1580" spans="25:31" x14ac:dyDescent="0.3">
      <c r="Y1580" t="str">
        <f t="shared" si="62"/>
        <v>Pass</v>
      </c>
      <c r="Z1580">
        <f t="shared" si="63"/>
        <v>7.6420965194702148</v>
      </c>
      <c r="AA1580">
        <v>70</v>
      </c>
      <c r="AB1580">
        <v>30</v>
      </c>
      <c r="AC1580">
        <v>70</v>
      </c>
      <c r="AD1580" t="s">
        <v>26</v>
      </c>
      <c r="AE1580">
        <v>7.6420963561653599</v>
      </c>
    </row>
    <row r="1581" spans="25:31" x14ac:dyDescent="0.3">
      <c r="Y1581" t="str">
        <f t="shared" si="62"/>
        <v>Pass</v>
      </c>
      <c r="Z1581">
        <f t="shared" si="63"/>
        <v>24.425535202026367</v>
      </c>
      <c r="AA1581">
        <v>70</v>
      </c>
      <c r="AB1581">
        <v>30</v>
      </c>
      <c r="AC1581">
        <v>80</v>
      </c>
      <c r="AD1581" t="s">
        <v>24</v>
      </c>
      <c r="AE1581">
        <v>24.425533699698001</v>
      </c>
    </row>
    <row r="1582" spans="25:31" x14ac:dyDescent="0.3">
      <c r="Y1582" t="str">
        <f t="shared" si="62"/>
        <v>Pass</v>
      </c>
      <c r="Z1582">
        <f t="shared" si="63"/>
        <v>20.762943267822266</v>
      </c>
      <c r="AA1582">
        <v>70</v>
      </c>
      <c r="AB1582">
        <v>30</v>
      </c>
      <c r="AC1582">
        <v>80</v>
      </c>
      <c r="AD1582" t="s">
        <v>25</v>
      </c>
      <c r="AE1582">
        <v>20.762940225669698</v>
      </c>
    </row>
    <row r="1583" spans="25:31" x14ac:dyDescent="0.3">
      <c r="Y1583" t="str">
        <f t="shared" si="62"/>
        <v>Pass</v>
      </c>
      <c r="Z1583">
        <f t="shared" si="63"/>
        <v>10.367581367492676</v>
      </c>
      <c r="AA1583">
        <v>70</v>
      </c>
      <c r="AB1583">
        <v>30</v>
      </c>
      <c r="AC1583">
        <v>80</v>
      </c>
      <c r="AD1583" t="s">
        <v>26</v>
      </c>
      <c r="AE1583">
        <v>10.3675810393104</v>
      </c>
    </row>
    <row r="1584" spans="25:31" x14ac:dyDescent="0.3">
      <c r="Y1584" t="str">
        <f t="shared" si="62"/>
        <v>Pass</v>
      </c>
      <c r="Z1584">
        <f t="shared" si="63"/>
        <v>28.131160736083984</v>
      </c>
      <c r="AA1584">
        <v>70</v>
      </c>
      <c r="AB1584">
        <v>30</v>
      </c>
      <c r="AC1584">
        <v>90</v>
      </c>
      <c r="AD1584" t="s">
        <v>24</v>
      </c>
      <c r="AE1584">
        <v>28.131159540576</v>
      </c>
    </row>
    <row r="1585" spans="25:31" x14ac:dyDescent="0.3">
      <c r="Y1585" t="str">
        <f t="shared" si="62"/>
        <v>Pass</v>
      </c>
      <c r="Z1585">
        <f t="shared" si="63"/>
        <v>23.912912368774414</v>
      </c>
      <c r="AA1585">
        <v>70</v>
      </c>
      <c r="AB1585">
        <v>30</v>
      </c>
      <c r="AC1585">
        <v>90</v>
      </c>
      <c r="AD1585" t="s">
        <v>25</v>
      </c>
      <c r="AE1585">
        <v>23.912909793532101</v>
      </c>
    </row>
    <row r="1586" spans="25:31" x14ac:dyDescent="0.3">
      <c r="Y1586" t="str">
        <f t="shared" si="62"/>
        <v>Pass</v>
      </c>
      <c r="Z1586">
        <f t="shared" si="63"/>
        <v>11.940459251403809</v>
      </c>
      <c r="AA1586">
        <v>70</v>
      </c>
      <c r="AB1586">
        <v>30</v>
      </c>
      <c r="AC1586">
        <v>90</v>
      </c>
      <c r="AD1586" t="s">
        <v>26</v>
      </c>
      <c r="AE1586">
        <v>11.9404586959055</v>
      </c>
    </row>
    <row r="1587" spans="25:31" x14ac:dyDescent="0.3">
      <c r="Y1587" t="str">
        <f t="shared" si="62"/>
        <v>Pass</v>
      </c>
      <c r="Z1587">
        <f t="shared" si="63"/>
        <v>29.801067352294922</v>
      </c>
      <c r="AA1587">
        <v>70</v>
      </c>
      <c r="AB1587">
        <v>30</v>
      </c>
      <c r="AC1587">
        <v>100</v>
      </c>
      <c r="AD1587" t="s">
        <v>24</v>
      </c>
      <c r="AE1587">
        <v>29.801065409678198</v>
      </c>
    </row>
    <row r="1588" spans="25:31" x14ac:dyDescent="0.3">
      <c r="Y1588" t="str">
        <f t="shared" si="62"/>
        <v>Pass</v>
      </c>
      <c r="Z1588">
        <f t="shared" si="63"/>
        <v>25.332416534423828</v>
      </c>
      <c r="AA1588">
        <v>70</v>
      </c>
      <c r="AB1588">
        <v>30</v>
      </c>
      <c r="AC1588">
        <v>100</v>
      </c>
      <c r="AD1588" t="s">
        <v>25</v>
      </c>
      <c r="AE1588">
        <v>25.3324143238709</v>
      </c>
    </row>
    <row r="1589" spans="25:31" x14ac:dyDescent="0.3">
      <c r="Y1589" t="str">
        <f t="shared" si="62"/>
        <v>Pass</v>
      </c>
      <c r="Z1589">
        <f t="shared" si="63"/>
        <v>12.649262428283691</v>
      </c>
      <c r="AA1589">
        <v>70</v>
      </c>
      <c r="AB1589">
        <v>30</v>
      </c>
      <c r="AC1589">
        <v>100</v>
      </c>
      <c r="AD1589" t="s">
        <v>26</v>
      </c>
      <c r="AE1589">
        <v>12.6492614037109</v>
      </c>
    </row>
  </sheetData>
  <mergeCells count="4">
    <mergeCell ref="A4:L4"/>
    <mergeCell ref="M4:X4"/>
    <mergeCell ref="Y4:AJ4"/>
    <mergeCell ref="AK4:AV4"/>
  </mergeCells>
  <conditionalFormatting sqref="A6:A60">
    <cfRule type="expression" dxfId="27" priority="7">
      <formula>$A6="Fail"</formula>
    </cfRule>
    <cfRule type="expression" dxfId="26" priority="9">
      <formula>$A6="Pass"</formula>
    </cfRule>
  </conditionalFormatting>
  <conditionalFormatting sqref="M6:M53">
    <cfRule type="expression" dxfId="25" priority="5">
      <formula>A6="Fail"</formula>
    </cfRule>
    <cfRule type="expression" dxfId="24" priority="6">
      <formula>A6="Pass"</formula>
    </cfRule>
  </conditionalFormatting>
  <conditionalFormatting sqref="Y6:Y1589">
    <cfRule type="expression" dxfId="23" priority="3">
      <formula>Y6="Fail"</formula>
    </cfRule>
    <cfRule type="expression" dxfId="22" priority="4">
      <formula>Y6="Pass"</formula>
    </cfRule>
  </conditionalFormatting>
  <conditionalFormatting sqref="AK6:AK308">
    <cfRule type="expression" dxfId="21" priority="1">
      <formula>AK6="Fail"</formula>
    </cfRule>
    <cfRule type="expression" dxfId="20" priority="2">
      <formula>AK6="Pass"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4240"/>
  <sheetViews>
    <sheetView workbookViewId="0">
      <pane ySplit="5" topLeftCell="A6" activePane="bottomLeft" state="frozen"/>
      <selection pane="bottomLeft" sqref="A1:L6"/>
    </sheetView>
  </sheetViews>
  <sheetFormatPr defaultRowHeight="14.4" x14ac:dyDescent="0.3"/>
  <cols>
    <col min="18" max="18" width="10" bestFit="1" customWidth="1"/>
    <col min="19" max="19" width="8.6640625" bestFit="1" customWidth="1"/>
  </cols>
  <sheetData>
    <row r="1" spans="1:48" x14ac:dyDescent="0.3">
      <c r="A1" s="41" t="s">
        <v>48</v>
      </c>
      <c r="B1" s="41">
        <f>COUNTIF(A:A,"Pass")</f>
        <v>4235</v>
      </c>
      <c r="M1" s="41" t="s">
        <v>48</v>
      </c>
      <c r="N1" s="41">
        <f>COUNTIF(M:M,"Pass")</f>
        <v>1440</v>
      </c>
      <c r="Y1" s="41" t="s">
        <v>48</v>
      </c>
      <c r="Z1" s="41">
        <f>COUNTIF(Y:Y,"Pass")</f>
        <v>1307</v>
      </c>
      <c r="AK1" s="41" t="s">
        <v>48</v>
      </c>
      <c r="AL1" s="41">
        <f>COUNTIF(AK:AK,"Pass")</f>
        <v>401</v>
      </c>
    </row>
    <row r="2" spans="1:48" x14ac:dyDescent="0.3">
      <c r="A2" s="40" t="s">
        <v>49</v>
      </c>
      <c r="B2" s="40">
        <f>COUNTIF(A:A,"Fail")</f>
        <v>0</v>
      </c>
      <c r="M2" s="40" t="s">
        <v>49</v>
      </c>
      <c r="N2" s="40">
        <f>COUNTIF(M:M,"Fail")</f>
        <v>0</v>
      </c>
      <c r="Y2" s="40" t="s">
        <v>49</v>
      </c>
      <c r="Z2" s="40">
        <f>COUNTIF(Y:Y,"Fail")</f>
        <v>6</v>
      </c>
      <c r="AA2" t="s">
        <v>156</v>
      </c>
      <c r="AK2" s="40" t="s">
        <v>49</v>
      </c>
      <c r="AL2" s="40">
        <f>COUNTIF(AK:AK,"Fail")</f>
        <v>0</v>
      </c>
    </row>
    <row r="4" spans="1:48" ht="220.05" customHeight="1" x14ac:dyDescent="0.3">
      <c r="A4" s="60" t="s">
        <v>89</v>
      </c>
      <c r="B4" s="61"/>
      <c r="C4" s="61"/>
      <c r="D4" s="61"/>
      <c r="E4" s="61"/>
      <c r="F4" s="61"/>
      <c r="G4" s="61"/>
      <c r="H4" s="61"/>
      <c r="I4" s="61"/>
      <c r="J4" s="61"/>
      <c r="K4" s="61"/>
      <c r="L4" s="61"/>
      <c r="M4" s="60" t="s">
        <v>109</v>
      </c>
      <c r="N4" s="61"/>
      <c r="O4" s="61"/>
      <c r="P4" s="61"/>
      <c r="Q4" s="61"/>
      <c r="R4" s="61"/>
      <c r="S4" s="61"/>
      <c r="T4" s="61"/>
      <c r="U4" s="61"/>
      <c r="V4" s="61"/>
      <c r="W4" s="61"/>
      <c r="X4" s="61"/>
      <c r="Y4" s="60" t="s">
        <v>155</v>
      </c>
      <c r="Z4" s="61"/>
      <c r="AA4" s="61"/>
      <c r="AB4" s="61"/>
      <c r="AC4" s="61"/>
      <c r="AD4" s="61"/>
      <c r="AE4" s="61"/>
      <c r="AF4" s="61"/>
      <c r="AG4" s="61"/>
      <c r="AH4" s="61"/>
      <c r="AI4" s="61"/>
      <c r="AJ4" s="61"/>
      <c r="AK4" s="60" t="s">
        <v>117</v>
      </c>
      <c r="AL4" s="61"/>
      <c r="AM4" s="61"/>
      <c r="AN4" s="61"/>
      <c r="AO4" s="61"/>
      <c r="AP4" s="61"/>
      <c r="AQ4" s="61"/>
      <c r="AR4" s="61"/>
      <c r="AS4" s="61"/>
      <c r="AT4" s="61"/>
      <c r="AU4" s="61"/>
      <c r="AV4" s="61"/>
    </row>
    <row r="5" spans="1:48" s="39" customFormat="1" x14ac:dyDescent="0.3">
      <c r="A5" s="39" t="s">
        <v>34</v>
      </c>
      <c r="B5" s="39" t="s">
        <v>43</v>
      </c>
      <c r="C5" s="39" t="s">
        <v>69</v>
      </c>
      <c r="D5" s="39" t="s">
        <v>70</v>
      </c>
      <c r="E5" s="39" t="s">
        <v>87</v>
      </c>
      <c r="F5" s="39" t="s">
        <v>88</v>
      </c>
      <c r="G5" s="39" t="s">
        <v>33</v>
      </c>
      <c r="M5" s="39" t="s">
        <v>34</v>
      </c>
      <c r="N5" s="39" t="s">
        <v>43</v>
      </c>
      <c r="O5" s="39" t="s">
        <v>63</v>
      </c>
      <c r="P5" s="39" t="s">
        <v>99</v>
      </c>
      <c r="Q5" s="39" t="s">
        <v>107</v>
      </c>
      <c r="R5" s="39" t="s">
        <v>100</v>
      </c>
      <c r="S5" s="39" t="s">
        <v>33</v>
      </c>
      <c r="Y5" s="39" t="s">
        <v>34</v>
      </c>
      <c r="Z5" s="39" t="s">
        <v>43</v>
      </c>
      <c r="AA5" s="39" t="s">
        <v>50</v>
      </c>
      <c r="AB5" s="39" t="s">
        <v>116</v>
      </c>
      <c r="AC5" s="39" t="s">
        <v>112</v>
      </c>
      <c r="AD5" s="39" t="s">
        <v>113</v>
      </c>
      <c r="AE5" s="39" t="s">
        <v>33</v>
      </c>
      <c r="AK5" s="39" t="s">
        <v>34</v>
      </c>
      <c r="AL5" s="39" t="s">
        <v>43</v>
      </c>
      <c r="AM5" s="39" t="s">
        <v>45</v>
      </c>
      <c r="AN5" s="39" t="s">
        <v>33</v>
      </c>
    </row>
    <row r="6" spans="1:48" x14ac:dyDescent="0.3">
      <c r="A6" t="str">
        <f>IF(ISBLANK(B6),"",IF(ROUND(B6,0)=ROUND(G6,0),"Pass","Fail"))</f>
        <v>Pass</v>
      </c>
      <c r="B6">
        <f>FMC_heath(C6,D6,E6,F6)</f>
        <v>6.869999885559082</v>
      </c>
      <c r="C6">
        <v>0</v>
      </c>
      <c r="D6">
        <v>0</v>
      </c>
      <c r="E6">
        <v>0</v>
      </c>
      <c r="F6">
        <v>0</v>
      </c>
      <c r="G6">
        <v>6.87</v>
      </c>
      <c r="M6" t="str">
        <f>IF(ISBLANK(N6),"",IF(ROUND(N6,0)=ROUND(S6,0),"Pass","Fail"))</f>
        <v>Pass</v>
      </c>
      <c r="N6">
        <f>ROS_heath(O6,Q6,P6,R6)</f>
        <v>0</v>
      </c>
      <c r="O6">
        <v>0</v>
      </c>
      <c r="P6">
        <v>0</v>
      </c>
      <c r="Q6">
        <v>0</v>
      </c>
      <c r="R6" t="b">
        <v>1</v>
      </c>
      <c r="S6">
        <v>0</v>
      </c>
      <c r="Y6" t="str">
        <f>IF(ISBLANK(Z6),"",IF(ROUND(Z6,0)=ROUND(AE6,0),"Pass","Fail"))</f>
        <v>Pass</v>
      </c>
      <c r="Z6">
        <f>intensity_heath(AA6,AB6,AC6,AD6)</f>
        <v>0</v>
      </c>
      <c r="AA6">
        <v>0</v>
      </c>
      <c r="AB6">
        <v>20</v>
      </c>
      <c r="AC6">
        <v>0</v>
      </c>
      <c r="AD6">
        <v>0.2</v>
      </c>
      <c r="AE6">
        <v>0</v>
      </c>
      <c r="AI6">
        <f>MAX(AE6:AE1318)</f>
        <v>204965.85227653501</v>
      </c>
      <c r="AK6" t="str">
        <f>IF(ISBLANK(AL6),"",IF(ROUND(AL6,0)=ROUND(AN6,0),"Pass","Fail"))</f>
        <v>Pass</v>
      </c>
      <c r="AL6">
        <f>Flame_height_heath(AM6)</f>
        <v>0</v>
      </c>
      <c r="AM6">
        <v>0</v>
      </c>
      <c r="AN6">
        <v>0</v>
      </c>
    </row>
    <row r="7" spans="1:48" x14ac:dyDescent="0.3">
      <c r="A7" t="str">
        <f>IF(ISBLANK(B7),"",IF(ROUND(B7,0)=ROUND(G7,0),"Pass","Fail"))</f>
        <v>Pass</v>
      </c>
      <c r="B7">
        <f t="shared" ref="B7:B70" si="0">FMC_heath(C7,D7,E7,F7)</f>
        <v>6.869999885559082</v>
      </c>
      <c r="C7">
        <v>0</v>
      </c>
      <c r="D7">
        <v>0</v>
      </c>
      <c r="E7">
        <v>0</v>
      </c>
      <c r="F7">
        <v>8</v>
      </c>
      <c r="G7">
        <v>6.87</v>
      </c>
      <c r="M7" t="str">
        <f t="shared" ref="M7:M70" si="1">IF(ISBLANK(N7),"",IF(ROUND(N7,0)=ROUND(S7,0),"Pass","Fail"))</f>
        <v>Pass</v>
      </c>
      <c r="N7">
        <f t="shared" ref="N7:N70" si="2">ROS_heath(O7,Q7,P7,R7)</f>
        <v>0</v>
      </c>
      <c r="O7">
        <v>0</v>
      </c>
      <c r="P7">
        <v>0</v>
      </c>
      <c r="Q7">
        <v>0</v>
      </c>
      <c r="R7" t="b">
        <v>0</v>
      </c>
      <c r="S7">
        <v>0</v>
      </c>
      <c r="Y7" t="str">
        <f t="shared" ref="Y7:Y70" si="3">IF(ISBLANK(Z7),"",IF(ROUND(Z7,0)=ROUND(AE7,0),"Pass","Fail"))</f>
        <v>Pass</v>
      </c>
      <c r="Z7">
        <f t="shared" ref="Z7:Z70" si="4">intensity_heath(AA7,AB7,AC7,AD7)</f>
        <v>0</v>
      </c>
      <c r="AA7">
        <v>0</v>
      </c>
      <c r="AB7">
        <v>20</v>
      </c>
      <c r="AC7">
        <v>2</v>
      </c>
      <c r="AD7">
        <v>0.2</v>
      </c>
      <c r="AE7">
        <v>0</v>
      </c>
      <c r="AK7" t="str">
        <f t="shared" ref="AK7:AK70" si="5">IF(ISBLANK(AL7),"",IF(ROUND(AL7,0)=ROUND(AN7,0),"Pass","Fail"))</f>
        <v>Pass</v>
      </c>
      <c r="AL7">
        <f t="shared" ref="AL7:AL70" si="6">Flame_height_heath(AM7)</f>
        <v>0.81208270788192749</v>
      </c>
      <c r="AM7">
        <v>500</v>
      </c>
      <c r="AN7">
        <v>0.81208271869182802</v>
      </c>
    </row>
    <row r="8" spans="1:48" x14ac:dyDescent="0.3">
      <c r="A8" t="str">
        <f>IF(ISBLANK(B8),"",IF(ROUND(B8,0)=ROUND(G8,0),"Pass","Fail"))</f>
        <v>Pass</v>
      </c>
      <c r="B8">
        <f t="shared" si="0"/>
        <v>6.869999885559082</v>
      </c>
      <c r="C8">
        <v>0</v>
      </c>
      <c r="D8">
        <v>0</v>
      </c>
      <c r="E8">
        <v>0</v>
      </c>
      <c r="F8">
        <v>16</v>
      </c>
      <c r="G8">
        <v>6.87</v>
      </c>
      <c r="M8" t="str">
        <f t="shared" si="1"/>
        <v>Pass</v>
      </c>
      <c r="N8">
        <f t="shared" si="2"/>
        <v>0</v>
      </c>
      <c r="O8">
        <v>0</v>
      </c>
      <c r="P8">
        <v>0</v>
      </c>
      <c r="Q8">
        <v>0.5</v>
      </c>
      <c r="R8" t="b">
        <v>1</v>
      </c>
      <c r="S8">
        <v>0</v>
      </c>
      <c r="Y8" t="str">
        <f t="shared" si="3"/>
        <v>Pass</v>
      </c>
      <c r="Z8">
        <f t="shared" si="4"/>
        <v>0</v>
      </c>
      <c r="AA8">
        <v>0</v>
      </c>
      <c r="AB8">
        <v>20</v>
      </c>
      <c r="AC8">
        <v>4</v>
      </c>
      <c r="AD8">
        <v>0.2</v>
      </c>
      <c r="AE8">
        <v>0</v>
      </c>
      <c r="AK8" t="str">
        <f t="shared" si="5"/>
        <v>Pass</v>
      </c>
      <c r="AL8">
        <f t="shared" si="6"/>
        <v>1.2593668699264526</v>
      </c>
      <c r="AM8">
        <v>1000</v>
      </c>
      <c r="AN8">
        <v>1.25936684613089</v>
      </c>
    </row>
    <row r="9" spans="1:48" x14ac:dyDescent="0.3">
      <c r="A9" t="str">
        <f>IF(ISBLANK(B9),"",IF(ROUND(B9,0)=ROUND(G9,0),"Pass","Fail"))</f>
        <v>Pass</v>
      </c>
      <c r="B9">
        <f t="shared" si="0"/>
        <v>6.869999885559082</v>
      </c>
      <c r="C9">
        <v>0</v>
      </c>
      <c r="D9">
        <v>0</v>
      </c>
      <c r="E9">
        <v>0</v>
      </c>
      <c r="F9">
        <v>24</v>
      </c>
      <c r="G9">
        <v>6.87</v>
      </c>
      <c r="M9" t="str">
        <f t="shared" si="1"/>
        <v>Pass</v>
      </c>
      <c r="N9">
        <f t="shared" si="2"/>
        <v>0</v>
      </c>
      <c r="O9">
        <v>0</v>
      </c>
      <c r="P9">
        <v>0</v>
      </c>
      <c r="Q9">
        <v>0.5</v>
      </c>
      <c r="R9" t="b">
        <v>0</v>
      </c>
      <c r="S9">
        <v>0</v>
      </c>
      <c r="Y9" t="str">
        <f t="shared" si="3"/>
        <v>Pass</v>
      </c>
      <c r="Z9">
        <f t="shared" si="4"/>
        <v>0</v>
      </c>
      <c r="AA9">
        <v>0</v>
      </c>
      <c r="AB9">
        <v>20</v>
      </c>
      <c r="AC9">
        <v>6</v>
      </c>
      <c r="AD9">
        <v>0.2</v>
      </c>
      <c r="AE9">
        <v>0</v>
      </c>
      <c r="AK9" t="str">
        <f t="shared" si="5"/>
        <v>Pass</v>
      </c>
      <c r="AL9">
        <f t="shared" si="6"/>
        <v>1.6278636455535889</v>
      </c>
      <c r="AM9">
        <v>1500</v>
      </c>
      <c r="AN9">
        <v>1.62786364027603</v>
      </c>
    </row>
    <row r="10" spans="1:48" x14ac:dyDescent="0.3">
      <c r="A10" t="str">
        <f>IF(ISBLANK(B10),"",IF(ROUND(B10,0)=ROUND(G10,0),"Pass","Fail"))</f>
        <v>Pass</v>
      </c>
      <c r="B10">
        <f t="shared" si="0"/>
        <v>6.869999885559082</v>
      </c>
      <c r="C10">
        <v>0</v>
      </c>
      <c r="D10">
        <v>0</v>
      </c>
      <c r="E10">
        <v>0</v>
      </c>
      <c r="F10">
        <v>32</v>
      </c>
      <c r="G10">
        <v>6.87</v>
      </c>
      <c r="M10" t="str">
        <f t="shared" si="1"/>
        <v>Pass</v>
      </c>
      <c r="N10">
        <f t="shared" si="2"/>
        <v>0</v>
      </c>
      <c r="O10">
        <v>0</v>
      </c>
      <c r="P10">
        <v>0</v>
      </c>
      <c r="Q10">
        <v>1</v>
      </c>
      <c r="R10" t="b">
        <v>1</v>
      </c>
      <c r="S10">
        <v>0</v>
      </c>
      <c r="Y10" t="str">
        <f t="shared" si="3"/>
        <v>Pass</v>
      </c>
      <c r="Z10">
        <f t="shared" si="4"/>
        <v>0</v>
      </c>
      <c r="AA10">
        <v>0</v>
      </c>
      <c r="AB10">
        <v>20</v>
      </c>
      <c r="AC10">
        <v>8</v>
      </c>
      <c r="AD10">
        <v>0.2</v>
      </c>
      <c r="AE10">
        <v>0</v>
      </c>
      <c r="AK10" t="str">
        <f t="shared" si="5"/>
        <v>Pass</v>
      </c>
      <c r="AL10">
        <f t="shared" si="6"/>
        <v>1.9530090093612671</v>
      </c>
      <c r="AM10">
        <v>2000</v>
      </c>
      <c r="AN10">
        <v>1.9530089935771</v>
      </c>
    </row>
    <row r="11" spans="1:48" x14ac:dyDescent="0.3">
      <c r="A11" t="str">
        <f>IF(ISBLANK(B11),"",IF(ROUND(B11,0)=ROUND(G11,0),"Pass","Fail"))</f>
        <v>Pass</v>
      </c>
      <c r="B11">
        <f t="shared" si="0"/>
        <v>6.869999885559082</v>
      </c>
      <c r="C11">
        <v>0</v>
      </c>
      <c r="D11">
        <v>0</v>
      </c>
      <c r="E11">
        <v>0</v>
      </c>
      <c r="F11">
        <v>40</v>
      </c>
      <c r="G11">
        <v>6.87</v>
      </c>
      <c r="M11" t="str">
        <f t="shared" si="1"/>
        <v>Pass</v>
      </c>
      <c r="N11">
        <f t="shared" si="2"/>
        <v>0</v>
      </c>
      <c r="O11">
        <v>0</v>
      </c>
      <c r="P11">
        <v>0</v>
      </c>
      <c r="Q11">
        <v>1</v>
      </c>
      <c r="R11" t="b">
        <v>0</v>
      </c>
      <c r="S11">
        <v>0</v>
      </c>
      <c r="Y11" t="str">
        <f t="shared" si="3"/>
        <v>Pass</v>
      </c>
      <c r="Z11">
        <f t="shared" si="4"/>
        <v>0</v>
      </c>
      <c r="AA11">
        <v>0</v>
      </c>
      <c r="AB11">
        <v>20</v>
      </c>
      <c r="AC11">
        <v>10</v>
      </c>
      <c r="AD11">
        <v>0.2</v>
      </c>
      <c r="AE11">
        <v>0</v>
      </c>
      <c r="AK11" t="str">
        <f t="shared" si="5"/>
        <v>Pass</v>
      </c>
      <c r="AL11">
        <f t="shared" si="6"/>
        <v>2.2493045330047607</v>
      </c>
      <c r="AM11">
        <v>2500</v>
      </c>
      <c r="AN11">
        <v>2.2493046519439002</v>
      </c>
    </row>
    <row r="12" spans="1:48" x14ac:dyDescent="0.3">
      <c r="A12" t="str">
        <f>IF(ISBLANK(B12),"",IF(ROUND(B12,0)=ROUND(G12,0),"Pass","Fail"))</f>
        <v>Pass</v>
      </c>
      <c r="B12">
        <f t="shared" si="0"/>
        <v>6.869999885559082</v>
      </c>
      <c r="C12">
        <v>0</v>
      </c>
      <c r="D12">
        <v>0</v>
      </c>
      <c r="E12">
        <v>0</v>
      </c>
      <c r="F12">
        <v>48</v>
      </c>
      <c r="G12">
        <v>6.87</v>
      </c>
      <c r="M12" t="str">
        <f t="shared" si="1"/>
        <v>Pass</v>
      </c>
      <c r="N12">
        <f t="shared" si="2"/>
        <v>0</v>
      </c>
      <c r="O12">
        <v>0</v>
      </c>
      <c r="P12">
        <v>0</v>
      </c>
      <c r="Q12">
        <v>1.5</v>
      </c>
      <c r="R12" t="b">
        <v>1</v>
      </c>
      <c r="S12">
        <v>0</v>
      </c>
      <c r="Y12" t="str">
        <f t="shared" si="3"/>
        <v>Pass</v>
      </c>
      <c r="Z12">
        <f t="shared" si="4"/>
        <v>0</v>
      </c>
      <c r="AA12">
        <v>0</v>
      </c>
      <c r="AB12">
        <v>20</v>
      </c>
      <c r="AC12">
        <v>12</v>
      </c>
      <c r="AD12">
        <v>0.2</v>
      </c>
      <c r="AE12">
        <v>0</v>
      </c>
      <c r="AK12" t="str">
        <f t="shared" si="5"/>
        <v>Pass</v>
      </c>
      <c r="AL12">
        <f t="shared" si="6"/>
        <v>2.5244688987731934</v>
      </c>
      <c r="AM12">
        <v>3000</v>
      </c>
      <c r="AN12">
        <v>2.5244688150586798</v>
      </c>
    </row>
    <row r="13" spans="1:48" x14ac:dyDescent="0.3">
      <c r="A13" t="str">
        <f>IF(ISBLANK(B13),"",IF(ROUND(B13,0)=ROUND(G13,0),"Pass","Fail"))</f>
        <v>Pass</v>
      </c>
      <c r="B13">
        <f t="shared" si="0"/>
        <v>73.998001098632813</v>
      </c>
      <c r="C13">
        <v>0</v>
      </c>
      <c r="D13">
        <v>0</v>
      </c>
      <c r="E13">
        <v>10</v>
      </c>
      <c r="F13">
        <v>0</v>
      </c>
      <c r="G13">
        <v>73.997999999998299</v>
      </c>
      <c r="M13" t="str">
        <f t="shared" si="1"/>
        <v>Pass</v>
      </c>
      <c r="N13">
        <f t="shared" si="2"/>
        <v>0</v>
      </c>
      <c r="O13">
        <v>0</v>
      </c>
      <c r="P13">
        <v>0</v>
      </c>
      <c r="Q13">
        <v>1.5</v>
      </c>
      <c r="R13" t="b">
        <v>0</v>
      </c>
      <c r="S13">
        <v>0</v>
      </c>
      <c r="Y13" t="str">
        <f t="shared" si="3"/>
        <v>Pass</v>
      </c>
      <c r="Z13">
        <f t="shared" si="4"/>
        <v>0</v>
      </c>
      <c r="AA13">
        <v>0</v>
      </c>
      <c r="AB13">
        <v>20</v>
      </c>
      <c r="AC13">
        <v>14</v>
      </c>
      <c r="AD13">
        <v>0.2</v>
      </c>
      <c r="AE13">
        <v>0</v>
      </c>
      <c r="AK13" t="str">
        <f t="shared" si="5"/>
        <v>Pass</v>
      </c>
      <c r="AL13">
        <f t="shared" si="6"/>
        <v>2.7832186222076416</v>
      </c>
      <c r="AM13">
        <v>3500</v>
      </c>
      <c r="AN13">
        <v>2.78321866363863</v>
      </c>
    </row>
    <row r="14" spans="1:48" x14ac:dyDescent="0.3">
      <c r="A14" t="str">
        <f>IF(ISBLANK(B14),"",IF(ROUND(B14,0)=ROUND(G14,0),"Pass","Fail"))</f>
        <v>Pass</v>
      </c>
      <c r="B14">
        <f t="shared" si="0"/>
        <v>40.661228179931641</v>
      </c>
      <c r="C14">
        <v>0</v>
      </c>
      <c r="D14">
        <v>0</v>
      </c>
      <c r="E14">
        <v>10</v>
      </c>
      <c r="F14">
        <v>8</v>
      </c>
      <c r="G14">
        <v>40.661228080722204</v>
      </c>
      <c r="M14" t="str">
        <f t="shared" si="1"/>
        <v>Pass</v>
      </c>
      <c r="N14">
        <f t="shared" si="2"/>
        <v>0</v>
      </c>
      <c r="O14">
        <v>0</v>
      </c>
      <c r="P14">
        <v>0</v>
      </c>
      <c r="Q14">
        <v>2</v>
      </c>
      <c r="R14" t="b">
        <v>1</v>
      </c>
      <c r="S14">
        <v>0</v>
      </c>
      <c r="Y14" t="str">
        <f t="shared" si="3"/>
        <v>Pass</v>
      </c>
      <c r="Z14">
        <f t="shared" si="4"/>
        <v>0</v>
      </c>
      <c r="AA14">
        <v>0</v>
      </c>
      <c r="AB14">
        <v>20</v>
      </c>
      <c r="AC14">
        <v>16</v>
      </c>
      <c r="AD14">
        <v>0.2</v>
      </c>
      <c r="AE14">
        <v>0</v>
      </c>
      <c r="AK14" t="str">
        <f t="shared" si="5"/>
        <v>Pass</v>
      </c>
      <c r="AL14">
        <f t="shared" si="6"/>
        <v>3.0286998748779297</v>
      </c>
      <c r="AM14">
        <v>4000</v>
      </c>
      <c r="AN14">
        <v>3.0286998111085701</v>
      </c>
    </row>
    <row r="15" spans="1:48" x14ac:dyDescent="0.3">
      <c r="A15" t="str">
        <f>IF(ISBLANK(B15),"",IF(ROUND(B15,0)=ROUND(G15,0),"Pass","Fail"))</f>
        <v>Pass</v>
      </c>
      <c r="B15">
        <f t="shared" si="0"/>
        <v>23.879997253417969</v>
      </c>
      <c r="C15">
        <v>0</v>
      </c>
      <c r="D15">
        <v>0</v>
      </c>
      <c r="E15">
        <v>10</v>
      </c>
      <c r="F15">
        <v>16</v>
      </c>
      <c r="G15">
        <v>23.879997247101301</v>
      </c>
      <c r="M15" t="str">
        <f t="shared" si="1"/>
        <v>Pass</v>
      </c>
      <c r="N15">
        <f t="shared" si="2"/>
        <v>0</v>
      </c>
      <c r="O15">
        <v>0</v>
      </c>
      <c r="P15">
        <v>0</v>
      </c>
      <c r="Q15">
        <v>2</v>
      </c>
      <c r="R15" t="b">
        <v>0</v>
      </c>
      <c r="S15">
        <v>0</v>
      </c>
      <c r="Y15" t="str">
        <f t="shared" si="3"/>
        <v>Pass</v>
      </c>
      <c r="Z15">
        <f t="shared" si="4"/>
        <v>0</v>
      </c>
      <c r="AA15">
        <v>0</v>
      </c>
      <c r="AB15">
        <v>20</v>
      </c>
      <c r="AC15">
        <v>18</v>
      </c>
      <c r="AD15">
        <v>0.2</v>
      </c>
      <c r="AE15">
        <v>0</v>
      </c>
      <c r="AK15" t="str">
        <f t="shared" si="5"/>
        <v>Pass</v>
      </c>
      <c r="AL15">
        <f t="shared" si="6"/>
        <v>3.2631404399871826</v>
      </c>
      <c r="AM15">
        <v>4500</v>
      </c>
      <c r="AN15">
        <v>3.26314052785348</v>
      </c>
    </row>
    <row r="16" spans="1:48" x14ac:dyDescent="0.3">
      <c r="A16" t="str">
        <f>IF(ISBLANK(B16),"",IF(ROUND(B16,0)=ROUND(G16,0),"Pass","Fail"))</f>
        <v>Pass</v>
      </c>
      <c r="B16">
        <f t="shared" si="0"/>
        <v>15.432577133178711</v>
      </c>
      <c r="C16">
        <v>0</v>
      </c>
      <c r="D16">
        <v>0</v>
      </c>
      <c r="E16">
        <v>10</v>
      </c>
      <c r="F16">
        <v>24</v>
      </c>
      <c r="G16">
        <v>15.432577413736</v>
      </c>
      <c r="M16" t="str">
        <f t="shared" si="1"/>
        <v>Pass</v>
      </c>
      <c r="N16">
        <f t="shared" si="2"/>
        <v>0</v>
      </c>
      <c r="O16">
        <v>0</v>
      </c>
      <c r="P16">
        <v>0</v>
      </c>
      <c r="Q16">
        <v>2.5</v>
      </c>
      <c r="R16" t="b">
        <v>1</v>
      </c>
      <c r="S16">
        <v>0</v>
      </c>
      <c r="Y16" t="str">
        <f t="shared" si="3"/>
        <v>Pass</v>
      </c>
      <c r="Z16">
        <f t="shared" si="4"/>
        <v>0</v>
      </c>
      <c r="AA16">
        <v>0</v>
      </c>
      <c r="AB16">
        <v>20</v>
      </c>
      <c r="AC16">
        <v>20</v>
      </c>
      <c r="AD16">
        <v>0.2</v>
      </c>
      <c r="AE16">
        <v>0</v>
      </c>
      <c r="AK16" t="str">
        <f t="shared" si="5"/>
        <v>Pass</v>
      </c>
      <c r="AL16">
        <f t="shared" si="6"/>
        <v>3.4881911277770996</v>
      </c>
      <c r="AM16">
        <v>5000</v>
      </c>
      <c r="AN16">
        <v>3.4881910922440298</v>
      </c>
    </row>
    <row r="17" spans="1:40" x14ac:dyDescent="0.3">
      <c r="A17" t="str">
        <f>IF(ISBLANK(B17),"",IF(ROUND(B17,0)=ROUND(G17,0),"Pass","Fail"))</f>
        <v>Pass</v>
      </c>
      <c r="B17">
        <f t="shared" si="0"/>
        <v>11.180273056030273</v>
      </c>
      <c r="C17">
        <v>0</v>
      </c>
      <c r="D17">
        <v>0</v>
      </c>
      <c r="E17">
        <v>10</v>
      </c>
      <c r="F17">
        <v>32</v>
      </c>
      <c r="G17">
        <v>11.180273005994501</v>
      </c>
      <c r="M17" t="str">
        <f t="shared" si="1"/>
        <v>Pass</v>
      </c>
      <c r="N17">
        <f t="shared" si="2"/>
        <v>0</v>
      </c>
      <c r="O17">
        <v>0</v>
      </c>
      <c r="P17">
        <v>0</v>
      </c>
      <c r="Q17">
        <v>2.5</v>
      </c>
      <c r="R17" t="b">
        <v>0</v>
      </c>
      <c r="S17">
        <v>0</v>
      </c>
      <c r="Y17" t="str">
        <f t="shared" si="3"/>
        <v>Pass</v>
      </c>
      <c r="Z17">
        <f t="shared" si="4"/>
        <v>0</v>
      </c>
      <c r="AA17">
        <v>0</v>
      </c>
      <c r="AB17">
        <v>20</v>
      </c>
      <c r="AC17">
        <v>22</v>
      </c>
      <c r="AD17">
        <v>0.2</v>
      </c>
      <c r="AE17">
        <v>0</v>
      </c>
      <c r="AK17" t="str">
        <f t="shared" si="5"/>
        <v>Pass</v>
      </c>
      <c r="AL17">
        <f t="shared" si="6"/>
        <v>3.7051162719726563</v>
      </c>
      <c r="AM17">
        <v>5500</v>
      </c>
      <c r="AN17">
        <v>3.7051162470676902</v>
      </c>
    </row>
    <row r="18" spans="1:40" x14ac:dyDescent="0.3">
      <c r="A18" t="str">
        <f>IF(ISBLANK(B18),"",IF(ROUND(B18,0)=ROUND(G18,0),"Pass","Fail"))</f>
        <v>Pass</v>
      </c>
      <c r="B18">
        <f t="shared" si="0"/>
        <v>9.0397262573242188</v>
      </c>
      <c r="C18">
        <v>0</v>
      </c>
      <c r="D18">
        <v>0</v>
      </c>
      <c r="E18">
        <v>10</v>
      </c>
      <c r="F18">
        <v>40</v>
      </c>
      <c r="G18">
        <v>9.0397267643270496</v>
      </c>
      <c r="M18" t="str">
        <f t="shared" si="1"/>
        <v>Pass</v>
      </c>
      <c r="N18">
        <f t="shared" si="2"/>
        <v>0</v>
      </c>
      <c r="O18">
        <v>0</v>
      </c>
      <c r="P18">
        <v>0</v>
      </c>
      <c r="Q18">
        <v>3</v>
      </c>
      <c r="R18" t="b">
        <v>1</v>
      </c>
      <c r="S18">
        <v>0</v>
      </c>
      <c r="Y18" t="str">
        <f t="shared" si="3"/>
        <v>Pass</v>
      </c>
      <c r="Z18">
        <f t="shared" si="4"/>
        <v>0</v>
      </c>
      <c r="AA18">
        <v>0</v>
      </c>
      <c r="AB18">
        <v>20</v>
      </c>
      <c r="AC18">
        <v>24</v>
      </c>
      <c r="AD18">
        <v>0.2</v>
      </c>
      <c r="AE18">
        <v>0</v>
      </c>
      <c r="AK18" t="str">
        <f t="shared" si="5"/>
        <v>Pass</v>
      </c>
      <c r="AL18">
        <f t="shared" si="6"/>
        <v>3.9149119853973389</v>
      </c>
      <c r="AM18">
        <v>6000</v>
      </c>
      <c r="AN18">
        <v>3.9149119376627501</v>
      </c>
    </row>
    <row r="19" spans="1:40" x14ac:dyDescent="0.3">
      <c r="A19" t="str">
        <f>IF(ISBLANK(B19),"",IF(ROUND(B19,0)=ROUND(G19,0),"Pass","Fail"))</f>
        <v>Pass</v>
      </c>
      <c r="B19">
        <f t="shared" si="0"/>
        <v>7.9622077941894531</v>
      </c>
      <c r="C19">
        <v>0</v>
      </c>
      <c r="D19">
        <v>0</v>
      </c>
      <c r="E19">
        <v>10</v>
      </c>
      <c r="F19">
        <v>48</v>
      </c>
      <c r="G19">
        <v>7.9622079008196902</v>
      </c>
      <c r="M19" t="str">
        <f t="shared" si="1"/>
        <v>Pass</v>
      </c>
      <c r="N19">
        <f t="shared" si="2"/>
        <v>0</v>
      </c>
      <c r="O19">
        <v>0</v>
      </c>
      <c r="P19">
        <v>0</v>
      </c>
      <c r="Q19">
        <v>3</v>
      </c>
      <c r="R19" t="b">
        <v>0</v>
      </c>
      <c r="S19">
        <v>0</v>
      </c>
      <c r="Y19" t="str">
        <f t="shared" si="3"/>
        <v>Pass</v>
      </c>
      <c r="Z19">
        <f t="shared" si="4"/>
        <v>0</v>
      </c>
      <c r="AA19">
        <v>200</v>
      </c>
      <c r="AB19">
        <v>20</v>
      </c>
      <c r="AC19">
        <v>0</v>
      </c>
      <c r="AD19">
        <v>0.2</v>
      </c>
      <c r="AE19">
        <v>0</v>
      </c>
      <c r="AK19" t="str">
        <f t="shared" si="5"/>
        <v>Pass</v>
      </c>
      <c r="AL19">
        <f t="shared" si="6"/>
        <v>4.118380069732666</v>
      </c>
      <c r="AM19">
        <v>6500</v>
      </c>
      <c r="AN19">
        <v>4.1183799481964503</v>
      </c>
    </row>
    <row r="20" spans="1:40" x14ac:dyDescent="0.3">
      <c r="A20" t="str">
        <f>IF(ISBLANK(B20),"",IF(ROUND(B20,0)=ROUND(G20,0),"Pass","Fail"))</f>
        <v>Pass</v>
      </c>
      <c r="B20">
        <f t="shared" si="0"/>
        <v>73.998001098632813</v>
      </c>
      <c r="C20">
        <v>0</v>
      </c>
      <c r="D20">
        <v>0</v>
      </c>
      <c r="E20">
        <v>20</v>
      </c>
      <c r="F20">
        <v>0</v>
      </c>
      <c r="G20">
        <v>73.998000000000005</v>
      </c>
      <c r="M20" t="str">
        <f t="shared" si="1"/>
        <v>Pass</v>
      </c>
      <c r="N20">
        <f t="shared" si="2"/>
        <v>0</v>
      </c>
      <c r="O20">
        <v>0</v>
      </c>
      <c r="P20">
        <v>0</v>
      </c>
      <c r="Q20">
        <v>3.5</v>
      </c>
      <c r="R20" t="b">
        <v>1</v>
      </c>
      <c r="S20">
        <v>0</v>
      </c>
      <c r="Y20" t="str">
        <f t="shared" si="3"/>
        <v>Pass</v>
      </c>
      <c r="Z20">
        <f t="shared" si="4"/>
        <v>681.33856201171875</v>
      </c>
      <c r="AA20">
        <v>200</v>
      </c>
      <c r="AB20">
        <v>20</v>
      </c>
      <c r="AC20">
        <v>2</v>
      </c>
      <c r="AD20">
        <v>0.2</v>
      </c>
      <c r="AE20">
        <v>681.33857152634505</v>
      </c>
      <c r="AK20" t="str">
        <f t="shared" si="5"/>
        <v>Pass</v>
      </c>
      <c r="AL20">
        <f t="shared" si="6"/>
        <v>4.3161778450012207</v>
      </c>
      <c r="AM20">
        <v>7000</v>
      </c>
      <c r="AN20">
        <v>4.3161776871271798</v>
      </c>
    </row>
    <row r="21" spans="1:40" x14ac:dyDescent="0.3">
      <c r="A21" t="str">
        <f>IF(ISBLANK(B21),"",IF(ROUND(B21,0)=ROUND(G21,0),"Pass","Fail"))</f>
        <v>Pass</v>
      </c>
      <c r="B21">
        <f t="shared" si="0"/>
        <v>40.661228179931641</v>
      </c>
      <c r="C21">
        <v>0</v>
      </c>
      <c r="D21">
        <v>0</v>
      </c>
      <c r="E21">
        <v>20</v>
      </c>
      <c r="F21">
        <v>8</v>
      </c>
      <c r="G21">
        <v>40.661228080722999</v>
      </c>
      <c r="M21" t="str">
        <f t="shared" si="1"/>
        <v>Pass</v>
      </c>
      <c r="N21">
        <f t="shared" si="2"/>
        <v>0</v>
      </c>
      <c r="O21">
        <v>0</v>
      </c>
      <c r="P21">
        <v>0</v>
      </c>
      <c r="Q21">
        <v>3.5</v>
      </c>
      <c r="R21" t="b">
        <v>0</v>
      </c>
      <c r="S21">
        <v>0</v>
      </c>
      <c r="Y21" t="str">
        <f t="shared" si="3"/>
        <v>Pass</v>
      </c>
      <c r="Z21">
        <f t="shared" si="4"/>
        <v>1138.053466796875</v>
      </c>
      <c r="AA21">
        <v>200</v>
      </c>
      <c r="AB21">
        <v>20</v>
      </c>
      <c r="AC21">
        <v>4</v>
      </c>
      <c r="AD21">
        <v>0.2</v>
      </c>
      <c r="AE21">
        <v>1138.0534741577401</v>
      </c>
      <c r="AK21" t="str">
        <f t="shared" si="5"/>
        <v>Pass</v>
      </c>
      <c r="AL21">
        <f t="shared" si="6"/>
        <v>4.508852481842041</v>
      </c>
      <c r="AM21">
        <v>7500</v>
      </c>
      <c r="AN21">
        <v>4.5088525768675103</v>
      </c>
    </row>
    <row r="22" spans="1:40" x14ac:dyDescent="0.3">
      <c r="A22" t="str">
        <f>IF(ISBLANK(B22),"",IF(ROUND(B22,0)=ROUND(G22,0),"Pass","Fail"))</f>
        <v>Pass</v>
      </c>
      <c r="B22">
        <f t="shared" si="0"/>
        <v>23.879997253417969</v>
      </c>
      <c r="C22">
        <v>0</v>
      </c>
      <c r="D22">
        <v>0</v>
      </c>
      <c r="E22">
        <v>20</v>
      </c>
      <c r="F22">
        <v>16</v>
      </c>
      <c r="G22">
        <v>23.879997247101699</v>
      </c>
      <c r="M22" t="str">
        <f t="shared" si="1"/>
        <v>Pass</v>
      </c>
      <c r="N22">
        <f t="shared" si="2"/>
        <v>0</v>
      </c>
      <c r="O22">
        <v>0</v>
      </c>
      <c r="P22">
        <v>0</v>
      </c>
      <c r="Q22">
        <v>4</v>
      </c>
      <c r="R22" t="b">
        <v>1</v>
      </c>
      <c r="S22">
        <v>0</v>
      </c>
      <c r="Y22" t="str">
        <f t="shared" si="3"/>
        <v>Pass</v>
      </c>
      <c r="Z22">
        <f t="shared" si="4"/>
        <v>1444.19873046875</v>
      </c>
      <c r="AA22">
        <v>200</v>
      </c>
      <c r="AB22">
        <v>20</v>
      </c>
      <c r="AC22">
        <v>6</v>
      </c>
      <c r="AD22">
        <v>0.2</v>
      </c>
      <c r="AE22">
        <v>1444.1986287147799</v>
      </c>
      <c r="AK22" t="str">
        <f t="shared" si="5"/>
        <v>Pass</v>
      </c>
      <c r="AL22">
        <f t="shared" si="6"/>
        <v>4.696866512298584</v>
      </c>
      <c r="AM22">
        <v>8000</v>
      </c>
      <c r="AN22">
        <v>4.6968665151960902</v>
      </c>
    </row>
    <row r="23" spans="1:40" x14ac:dyDescent="0.3">
      <c r="A23" t="str">
        <f>IF(ISBLANK(B23),"",IF(ROUND(B23,0)=ROUND(G23,0),"Pass","Fail"))</f>
        <v>Pass</v>
      </c>
      <c r="B23">
        <f t="shared" si="0"/>
        <v>15.432577133178711</v>
      </c>
      <c r="C23">
        <v>0</v>
      </c>
      <c r="D23">
        <v>0</v>
      </c>
      <c r="E23">
        <v>20</v>
      </c>
      <c r="F23">
        <v>24</v>
      </c>
      <c r="G23">
        <v>15.432577413736199</v>
      </c>
      <c r="M23" t="str">
        <f t="shared" si="1"/>
        <v>Pass</v>
      </c>
      <c r="N23">
        <f t="shared" si="2"/>
        <v>0</v>
      </c>
      <c r="O23">
        <v>0</v>
      </c>
      <c r="P23">
        <v>0</v>
      </c>
      <c r="Q23">
        <v>4</v>
      </c>
      <c r="R23" t="b">
        <v>0</v>
      </c>
      <c r="S23">
        <v>0</v>
      </c>
      <c r="Y23" t="str">
        <f t="shared" si="3"/>
        <v>Pass</v>
      </c>
      <c r="Z23">
        <f t="shared" si="4"/>
        <v>1649.413818359375</v>
      </c>
      <c r="AA23">
        <v>200</v>
      </c>
      <c r="AB23">
        <v>20</v>
      </c>
      <c r="AC23">
        <v>8</v>
      </c>
      <c r="AD23">
        <v>0.2</v>
      </c>
      <c r="AE23">
        <v>1649.41386281104</v>
      </c>
      <c r="AK23" t="str">
        <f t="shared" si="5"/>
        <v>Pass</v>
      </c>
      <c r="AL23">
        <f t="shared" si="6"/>
        <v>4.8806138038635254</v>
      </c>
      <c r="AM23">
        <v>8500</v>
      </c>
      <c r="AN23">
        <v>4.8806137143194901</v>
      </c>
    </row>
    <row r="24" spans="1:40" x14ac:dyDescent="0.3">
      <c r="A24" t="str">
        <f>IF(ISBLANK(B24),"",IF(ROUND(B24,0)=ROUND(G24,0),"Pass","Fail"))</f>
        <v>Pass</v>
      </c>
      <c r="B24">
        <f t="shared" si="0"/>
        <v>11.180273056030273</v>
      </c>
      <c r="C24">
        <v>0</v>
      </c>
      <c r="D24">
        <v>0</v>
      </c>
      <c r="E24">
        <v>20</v>
      </c>
      <c r="F24">
        <v>32</v>
      </c>
      <c r="G24">
        <v>11.1802730059946</v>
      </c>
      <c r="M24" t="str">
        <f t="shared" si="1"/>
        <v>Pass</v>
      </c>
      <c r="N24">
        <f t="shared" si="2"/>
        <v>0</v>
      </c>
      <c r="O24">
        <v>0</v>
      </c>
      <c r="P24">
        <v>10</v>
      </c>
      <c r="Q24">
        <v>0</v>
      </c>
      <c r="R24" t="b">
        <v>1</v>
      </c>
      <c r="S24">
        <v>0</v>
      </c>
      <c r="Y24" t="str">
        <f t="shared" si="3"/>
        <v>Pass</v>
      </c>
      <c r="Z24">
        <f t="shared" si="4"/>
        <v>1786.973876953125</v>
      </c>
      <c r="AA24">
        <v>200</v>
      </c>
      <c r="AB24">
        <v>20</v>
      </c>
      <c r="AC24">
        <v>10</v>
      </c>
      <c r="AD24">
        <v>0.2</v>
      </c>
      <c r="AE24">
        <v>1786.97374797766</v>
      </c>
      <c r="AK24" t="str">
        <f t="shared" si="5"/>
        <v>Pass</v>
      </c>
      <c r="AL24">
        <f t="shared" si="6"/>
        <v>5.0604338645935059</v>
      </c>
      <c r="AM24">
        <v>9000</v>
      </c>
      <c r="AN24">
        <v>5.0604339933063498</v>
      </c>
    </row>
    <row r="25" spans="1:40" x14ac:dyDescent="0.3">
      <c r="A25" t="str">
        <f>IF(ISBLANK(B25),"",IF(ROUND(B25,0)=ROUND(G25,0),"Pass","Fail"))</f>
        <v>Pass</v>
      </c>
      <c r="B25">
        <f t="shared" si="0"/>
        <v>9.0397262573242188</v>
      </c>
      <c r="C25">
        <v>0</v>
      </c>
      <c r="D25">
        <v>0</v>
      </c>
      <c r="E25">
        <v>20</v>
      </c>
      <c r="F25">
        <v>40</v>
      </c>
      <c r="G25">
        <v>9.0397267643270993</v>
      </c>
      <c r="M25" t="str">
        <f t="shared" si="1"/>
        <v>Pass</v>
      </c>
      <c r="N25">
        <f t="shared" si="2"/>
        <v>0</v>
      </c>
      <c r="O25">
        <v>0</v>
      </c>
      <c r="P25">
        <v>10</v>
      </c>
      <c r="Q25">
        <v>0</v>
      </c>
      <c r="R25" t="b">
        <v>0</v>
      </c>
      <c r="S25">
        <v>0</v>
      </c>
      <c r="Y25" t="str">
        <f t="shared" si="3"/>
        <v>Pass</v>
      </c>
      <c r="Z25">
        <f t="shared" si="4"/>
        <v>1879.1829833984375</v>
      </c>
      <c r="AA25">
        <v>200</v>
      </c>
      <c r="AB25">
        <v>20</v>
      </c>
      <c r="AC25">
        <v>12</v>
      </c>
      <c r="AD25">
        <v>0.2</v>
      </c>
      <c r="AE25">
        <v>1879.1828965352099</v>
      </c>
      <c r="AK25" t="str">
        <f t="shared" si="5"/>
        <v>Pass</v>
      </c>
      <c r="AL25">
        <f t="shared" si="6"/>
        <v>5.2366228103637695</v>
      </c>
      <c r="AM25">
        <v>9500</v>
      </c>
      <c r="AN25">
        <v>5.23662287006242</v>
      </c>
    </row>
    <row r="26" spans="1:40" x14ac:dyDescent="0.3">
      <c r="A26" t="str">
        <f>IF(ISBLANK(B26),"",IF(ROUND(B26,0)=ROUND(G26,0),"Pass","Fail"))</f>
        <v>Pass</v>
      </c>
      <c r="B26">
        <f t="shared" si="0"/>
        <v>7.9622077941894531</v>
      </c>
      <c r="C26">
        <v>0</v>
      </c>
      <c r="D26">
        <v>0</v>
      </c>
      <c r="E26">
        <v>20</v>
      </c>
      <c r="F26">
        <v>48</v>
      </c>
      <c r="G26">
        <v>7.9622079008197204</v>
      </c>
      <c r="M26" t="str">
        <f t="shared" si="1"/>
        <v>Pass</v>
      </c>
      <c r="N26">
        <f t="shared" si="2"/>
        <v>0</v>
      </c>
      <c r="O26">
        <v>0</v>
      </c>
      <c r="P26">
        <v>10</v>
      </c>
      <c r="Q26">
        <v>0.5</v>
      </c>
      <c r="R26" t="b">
        <v>1</v>
      </c>
      <c r="S26">
        <v>0</v>
      </c>
      <c r="Y26" t="str">
        <f t="shared" si="3"/>
        <v>Pass</v>
      </c>
      <c r="Z26">
        <f t="shared" si="4"/>
        <v>1940.992431640625</v>
      </c>
      <c r="AA26">
        <v>200</v>
      </c>
      <c r="AB26">
        <v>20</v>
      </c>
      <c r="AC26">
        <v>14</v>
      </c>
      <c r="AD26">
        <v>0.2</v>
      </c>
      <c r="AE26">
        <v>1940.9925372412099</v>
      </c>
      <c r="AK26" t="str">
        <f t="shared" si="5"/>
        <v>Pass</v>
      </c>
      <c r="AL26">
        <f t="shared" si="6"/>
        <v>5.4094395637512207</v>
      </c>
      <c r="AM26">
        <v>10000</v>
      </c>
      <c r="AN26">
        <v>5.4094393507323204</v>
      </c>
    </row>
    <row r="27" spans="1:40" x14ac:dyDescent="0.3">
      <c r="A27" t="str">
        <f>IF(ISBLANK(B27),"",IF(ROUND(B27,0)=ROUND(G27,0),"Pass","Fail"))</f>
        <v>Pass</v>
      </c>
      <c r="B27">
        <f t="shared" si="0"/>
        <v>73.998001098632813</v>
      </c>
      <c r="C27">
        <v>0</v>
      </c>
      <c r="D27">
        <v>0</v>
      </c>
      <c r="E27">
        <v>30</v>
      </c>
      <c r="F27">
        <v>0</v>
      </c>
      <c r="G27">
        <v>73.998000000000005</v>
      </c>
      <c r="M27" t="str">
        <f t="shared" si="1"/>
        <v>Pass</v>
      </c>
      <c r="N27">
        <f t="shared" si="2"/>
        <v>0</v>
      </c>
      <c r="O27">
        <v>0</v>
      </c>
      <c r="P27">
        <v>10</v>
      </c>
      <c r="Q27">
        <v>0.5</v>
      </c>
      <c r="R27" t="b">
        <v>0</v>
      </c>
      <c r="S27">
        <v>0</v>
      </c>
      <c r="Y27" t="str">
        <f t="shared" si="3"/>
        <v>Pass</v>
      </c>
      <c r="Z27">
        <f t="shared" si="4"/>
        <v>1982.4246826171875</v>
      </c>
      <c r="AA27">
        <v>200</v>
      </c>
      <c r="AB27">
        <v>20</v>
      </c>
      <c r="AC27">
        <v>16</v>
      </c>
      <c r="AD27">
        <v>0.2</v>
      </c>
      <c r="AE27">
        <v>1982.42477844471</v>
      </c>
      <c r="AK27" t="str">
        <f t="shared" si="5"/>
        <v>Pass</v>
      </c>
      <c r="AL27">
        <f t="shared" si="6"/>
        <v>5.5791120529174805</v>
      </c>
      <c r="AM27">
        <v>10500</v>
      </c>
      <c r="AN27">
        <v>5.5791120303279396</v>
      </c>
    </row>
    <row r="28" spans="1:40" x14ac:dyDescent="0.3">
      <c r="A28" t="str">
        <f>IF(ISBLANK(B28),"",IF(ROUND(B28,0)=ROUND(G28,0),"Pass","Fail"))</f>
        <v>Pass</v>
      </c>
      <c r="B28">
        <f t="shared" si="0"/>
        <v>40.661228179931641</v>
      </c>
      <c r="C28">
        <v>0</v>
      </c>
      <c r="D28">
        <v>0</v>
      </c>
      <c r="E28">
        <v>30</v>
      </c>
      <c r="F28">
        <v>8</v>
      </c>
      <c r="G28">
        <v>40.661228080722999</v>
      </c>
      <c r="M28" t="str">
        <f t="shared" si="1"/>
        <v>Pass</v>
      </c>
      <c r="N28">
        <f t="shared" si="2"/>
        <v>0</v>
      </c>
      <c r="O28">
        <v>0</v>
      </c>
      <c r="P28">
        <v>10</v>
      </c>
      <c r="Q28">
        <v>1</v>
      </c>
      <c r="R28" t="b">
        <v>1</v>
      </c>
      <c r="S28">
        <v>0</v>
      </c>
      <c r="Y28" t="str">
        <f t="shared" si="3"/>
        <v>Pass</v>
      </c>
      <c r="Z28">
        <f t="shared" si="4"/>
        <v>2010.19775390625</v>
      </c>
      <c r="AA28">
        <v>200</v>
      </c>
      <c r="AB28">
        <v>20</v>
      </c>
      <c r="AC28">
        <v>18</v>
      </c>
      <c r="AD28">
        <v>0.2</v>
      </c>
      <c r="AE28">
        <v>2010.1976402755899</v>
      </c>
      <c r="AK28" t="str">
        <f t="shared" si="5"/>
        <v>Pass</v>
      </c>
      <c r="AL28">
        <f t="shared" si="6"/>
        <v>5.7458438873291016</v>
      </c>
      <c r="AM28">
        <v>11000</v>
      </c>
      <c r="AN28">
        <v>5.7458439334043998</v>
      </c>
    </row>
    <row r="29" spans="1:40" x14ac:dyDescent="0.3">
      <c r="A29" t="str">
        <f>IF(ISBLANK(B29),"",IF(ROUND(B29,0)=ROUND(G29,0),"Pass","Fail"))</f>
        <v>Pass</v>
      </c>
      <c r="B29">
        <f t="shared" si="0"/>
        <v>23.879997253417969</v>
      </c>
      <c r="C29">
        <v>0</v>
      </c>
      <c r="D29">
        <v>0</v>
      </c>
      <c r="E29">
        <v>30</v>
      </c>
      <c r="F29">
        <v>16</v>
      </c>
      <c r="G29">
        <v>23.879997247101699</v>
      </c>
      <c r="M29" t="str">
        <f t="shared" si="1"/>
        <v>Pass</v>
      </c>
      <c r="N29">
        <f t="shared" si="2"/>
        <v>0</v>
      </c>
      <c r="O29">
        <v>0</v>
      </c>
      <c r="P29">
        <v>10</v>
      </c>
      <c r="Q29">
        <v>1</v>
      </c>
      <c r="R29" t="b">
        <v>0</v>
      </c>
      <c r="S29">
        <v>0</v>
      </c>
      <c r="Y29" t="str">
        <f t="shared" si="3"/>
        <v>Pass</v>
      </c>
      <c r="Z29">
        <f t="shared" si="4"/>
        <v>2028.814453125</v>
      </c>
      <c r="AA29">
        <v>200</v>
      </c>
      <c r="AB29">
        <v>20</v>
      </c>
      <c r="AC29">
        <v>20</v>
      </c>
      <c r="AD29">
        <v>0.2</v>
      </c>
      <c r="AE29">
        <v>2028.81434629661</v>
      </c>
      <c r="AK29" t="str">
        <f t="shared" si="5"/>
        <v>Pass</v>
      </c>
      <c r="AL29">
        <f t="shared" si="6"/>
        <v>5.9098162651062012</v>
      </c>
      <c r="AM29">
        <v>11500</v>
      </c>
      <c r="AN29">
        <v>5.9098164002292801</v>
      </c>
    </row>
    <row r="30" spans="1:40" x14ac:dyDescent="0.3">
      <c r="A30" t="str">
        <f>IF(ISBLANK(B30),"",IF(ROUND(B30,0)=ROUND(G30,0),"Pass","Fail"))</f>
        <v>Pass</v>
      </c>
      <c r="B30">
        <f t="shared" si="0"/>
        <v>15.432577133178711</v>
      </c>
      <c r="C30">
        <v>0</v>
      </c>
      <c r="D30">
        <v>0</v>
      </c>
      <c r="E30">
        <v>30</v>
      </c>
      <c r="F30">
        <v>24</v>
      </c>
      <c r="G30">
        <v>15.432577413736199</v>
      </c>
      <c r="M30" t="str">
        <f t="shared" si="1"/>
        <v>Pass</v>
      </c>
      <c r="N30">
        <f t="shared" si="2"/>
        <v>0</v>
      </c>
      <c r="O30">
        <v>0</v>
      </c>
      <c r="P30">
        <v>10</v>
      </c>
      <c r="Q30">
        <v>1.5</v>
      </c>
      <c r="R30" t="b">
        <v>1</v>
      </c>
      <c r="S30">
        <v>0</v>
      </c>
      <c r="Y30" t="str">
        <f t="shared" si="3"/>
        <v>Pass</v>
      </c>
      <c r="Z30">
        <f t="shared" si="4"/>
        <v>2041.2935791015625</v>
      </c>
      <c r="AA30">
        <v>200</v>
      </c>
      <c r="AB30">
        <v>20</v>
      </c>
      <c r="AC30">
        <v>22</v>
      </c>
      <c r="AD30">
        <v>0.2</v>
      </c>
      <c r="AE30">
        <v>2041.29349753365</v>
      </c>
      <c r="AK30" t="str">
        <f t="shared" si="5"/>
        <v>Pass</v>
      </c>
      <c r="AL30">
        <f t="shared" si="6"/>
        <v>6.0711922645568848</v>
      </c>
      <c r="AM30">
        <v>12000</v>
      </c>
      <c r="AN30">
        <v>6.0711922398209799</v>
      </c>
    </row>
    <row r="31" spans="1:40" x14ac:dyDescent="0.3">
      <c r="A31" t="str">
        <f>IF(ISBLANK(B31),"",IF(ROUND(B31,0)=ROUND(G31,0),"Pass","Fail"))</f>
        <v>Pass</v>
      </c>
      <c r="B31">
        <f t="shared" si="0"/>
        <v>11.180273056030273</v>
      </c>
      <c r="C31">
        <v>0</v>
      </c>
      <c r="D31">
        <v>0</v>
      </c>
      <c r="E31">
        <v>30</v>
      </c>
      <c r="F31">
        <v>32</v>
      </c>
      <c r="G31">
        <v>11.1802730059946</v>
      </c>
      <c r="M31" t="str">
        <f t="shared" si="1"/>
        <v>Pass</v>
      </c>
      <c r="N31">
        <f t="shared" si="2"/>
        <v>0</v>
      </c>
      <c r="O31">
        <v>0</v>
      </c>
      <c r="P31">
        <v>10</v>
      </c>
      <c r="Q31">
        <v>1.5</v>
      </c>
      <c r="R31" t="b">
        <v>0</v>
      </c>
      <c r="S31">
        <v>0</v>
      </c>
      <c r="Y31" t="str">
        <f t="shared" si="3"/>
        <v>Pass</v>
      </c>
      <c r="Z31">
        <f t="shared" si="4"/>
        <v>2049.65869140625</v>
      </c>
      <c r="AA31">
        <v>200</v>
      </c>
      <c r="AB31">
        <v>20</v>
      </c>
      <c r="AC31">
        <v>24</v>
      </c>
      <c r="AD31">
        <v>0.2</v>
      </c>
      <c r="AE31">
        <v>2049.65852276535</v>
      </c>
      <c r="AK31" t="str">
        <f t="shared" si="5"/>
        <v>Pass</v>
      </c>
      <c r="AL31">
        <f t="shared" si="6"/>
        <v>6.2301182746887207</v>
      </c>
      <c r="AM31">
        <v>12500</v>
      </c>
      <c r="AN31">
        <v>6.2301183128321398</v>
      </c>
    </row>
    <row r="32" spans="1:40" x14ac:dyDescent="0.3">
      <c r="A32" t="str">
        <f>IF(ISBLANK(B32),"",IF(ROUND(B32,0)=ROUND(G32,0),"Pass","Fail"))</f>
        <v>Pass</v>
      </c>
      <c r="B32">
        <f t="shared" si="0"/>
        <v>9.0397262573242188</v>
      </c>
      <c r="C32">
        <v>0</v>
      </c>
      <c r="D32">
        <v>0</v>
      </c>
      <c r="E32">
        <v>30</v>
      </c>
      <c r="F32">
        <v>40</v>
      </c>
      <c r="G32">
        <v>9.0397267643270993</v>
      </c>
      <c r="M32" t="str">
        <f t="shared" si="1"/>
        <v>Pass</v>
      </c>
      <c r="N32">
        <f t="shared" si="2"/>
        <v>0</v>
      </c>
      <c r="O32">
        <v>0</v>
      </c>
      <c r="P32">
        <v>10</v>
      </c>
      <c r="Q32">
        <v>2</v>
      </c>
      <c r="R32" t="b">
        <v>1</v>
      </c>
      <c r="S32">
        <v>0</v>
      </c>
      <c r="Y32" t="str">
        <f t="shared" si="3"/>
        <v>Pass</v>
      </c>
      <c r="Z32">
        <f t="shared" si="4"/>
        <v>0</v>
      </c>
      <c r="AA32">
        <v>400</v>
      </c>
      <c r="AB32">
        <v>20</v>
      </c>
      <c r="AC32">
        <v>0</v>
      </c>
      <c r="AD32">
        <v>0.2</v>
      </c>
      <c r="AE32">
        <v>0</v>
      </c>
      <c r="AK32" t="str">
        <f t="shared" si="5"/>
        <v>Pass</v>
      </c>
      <c r="AL32">
        <f t="shared" si="6"/>
        <v>6.3867278099060059</v>
      </c>
      <c r="AM32">
        <v>13000</v>
      </c>
      <c r="AN32">
        <v>6.3867276659745098</v>
      </c>
    </row>
    <row r="33" spans="1:40" x14ac:dyDescent="0.3">
      <c r="A33" t="str">
        <f>IF(ISBLANK(B33),"",IF(ROUND(B33,0)=ROUND(G33,0),"Pass","Fail"))</f>
        <v>Pass</v>
      </c>
      <c r="B33">
        <f t="shared" si="0"/>
        <v>7.9622077941894531</v>
      </c>
      <c r="C33">
        <v>0</v>
      </c>
      <c r="D33">
        <v>0</v>
      </c>
      <c r="E33">
        <v>30</v>
      </c>
      <c r="F33">
        <v>48</v>
      </c>
      <c r="G33">
        <v>7.9622079008197204</v>
      </c>
      <c r="M33" t="str">
        <f t="shared" si="1"/>
        <v>Pass</v>
      </c>
      <c r="N33">
        <f t="shared" si="2"/>
        <v>0</v>
      </c>
      <c r="O33">
        <v>0</v>
      </c>
      <c r="P33">
        <v>10</v>
      </c>
      <c r="Q33">
        <v>2</v>
      </c>
      <c r="R33" t="b">
        <v>0</v>
      </c>
      <c r="S33">
        <v>0</v>
      </c>
      <c r="Y33" t="str">
        <f t="shared" si="3"/>
        <v>Pass</v>
      </c>
      <c r="Z33">
        <f t="shared" si="4"/>
        <v>1362.6771240234375</v>
      </c>
      <c r="AA33">
        <v>400</v>
      </c>
      <c r="AB33">
        <v>20</v>
      </c>
      <c r="AC33">
        <v>2</v>
      </c>
      <c r="AD33">
        <v>0.2</v>
      </c>
      <c r="AE33">
        <v>1362.6771430526901</v>
      </c>
      <c r="AK33" t="str">
        <f t="shared" si="5"/>
        <v>Pass</v>
      </c>
      <c r="AL33">
        <f t="shared" si="6"/>
        <v>6.5411415100097656</v>
      </c>
      <c r="AM33">
        <v>13500</v>
      </c>
      <c r="AN33">
        <v>6.5411413100389302</v>
      </c>
    </row>
    <row r="34" spans="1:40" x14ac:dyDescent="0.3">
      <c r="A34" t="str">
        <f>IF(ISBLANK(B34),"",IF(ROUND(B34,0)=ROUND(G34,0),"Pass","Fail"))</f>
        <v>Pass</v>
      </c>
      <c r="B34">
        <f t="shared" si="0"/>
        <v>73.998001098632813</v>
      </c>
      <c r="C34">
        <v>0</v>
      </c>
      <c r="D34">
        <v>0</v>
      </c>
      <c r="E34">
        <v>40</v>
      </c>
      <c r="F34">
        <v>0</v>
      </c>
      <c r="G34">
        <v>73.998000000000005</v>
      </c>
      <c r="M34" t="str">
        <f t="shared" si="1"/>
        <v>Pass</v>
      </c>
      <c r="N34">
        <f t="shared" si="2"/>
        <v>0</v>
      </c>
      <c r="O34">
        <v>0</v>
      </c>
      <c r="P34">
        <v>10</v>
      </c>
      <c r="Q34">
        <v>2.5</v>
      </c>
      <c r="R34" t="b">
        <v>1</v>
      </c>
      <c r="S34">
        <v>0</v>
      </c>
      <c r="Y34" t="str">
        <f t="shared" si="3"/>
        <v>Pass</v>
      </c>
      <c r="Z34">
        <f t="shared" si="4"/>
        <v>2276.10693359375</v>
      </c>
      <c r="AA34">
        <v>400</v>
      </c>
      <c r="AB34">
        <v>20</v>
      </c>
      <c r="AC34">
        <v>4</v>
      </c>
      <c r="AD34">
        <v>0.2</v>
      </c>
      <c r="AE34">
        <v>2276.1069483154802</v>
      </c>
      <c r="AK34" t="str">
        <f t="shared" si="5"/>
        <v>Pass</v>
      </c>
      <c r="AL34">
        <f t="shared" si="6"/>
        <v>6.6934695243835449</v>
      </c>
      <c r="AM34">
        <v>14000</v>
      </c>
      <c r="AN34">
        <v>6.6934697119698798</v>
      </c>
    </row>
    <row r="35" spans="1:40" x14ac:dyDescent="0.3">
      <c r="A35" t="str">
        <f>IF(ISBLANK(B35),"",IF(ROUND(B35,0)=ROUND(G35,0),"Pass","Fail"))</f>
        <v>Pass</v>
      </c>
      <c r="B35">
        <f t="shared" si="0"/>
        <v>40.661228179931641</v>
      </c>
      <c r="C35">
        <v>0</v>
      </c>
      <c r="D35">
        <v>0</v>
      </c>
      <c r="E35">
        <v>40</v>
      </c>
      <c r="F35">
        <v>8</v>
      </c>
      <c r="G35">
        <v>40.661228080722999</v>
      </c>
      <c r="M35" t="str">
        <f t="shared" si="1"/>
        <v>Pass</v>
      </c>
      <c r="N35">
        <f t="shared" si="2"/>
        <v>0</v>
      </c>
      <c r="O35">
        <v>0</v>
      </c>
      <c r="P35">
        <v>10</v>
      </c>
      <c r="Q35">
        <v>2.5</v>
      </c>
      <c r="R35" t="b">
        <v>0</v>
      </c>
      <c r="S35">
        <v>0</v>
      </c>
      <c r="Y35" t="str">
        <f t="shared" si="3"/>
        <v>Pass</v>
      </c>
      <c r="Z35">
        <f t="shared" si="4"/>
        <v>2888.3974609375</v>
      </c>
      <c r="AA35">
        <v>400</v>
      </c>
      <c r="AB35">
        <v>20</v>
      </c>
      <c r="AC35">
        <v>6</v>
      </c>
      <c r="AD35">
        <v>0.2</v>
      </c>
      <c r="AE35">
        <v>2888.3972574295599</v>
      </c>
      <c r="AK35" t="str">
        <f t="shared" si="5"/>
        <v>Pass</v>
      </c>
      <c r="AL35">
        <f t="shared" si="6"/>
        <v>6.8438138961791992</v>
      </c>
      <c r="AM35">
        <v>14500</v>
      </c>
      <c r="AN35">
        <v>6.8438140555133398</v>
      </c>
    </row>
    <row r="36" spans="1:40" x14ac:dyDescent="0.3">
      <c r="A36" t="str">
        <f>IF(ISBLANK(B36),"",IF(ROUND(B36,0)=ROUND(G36,0),"Pass","Fail"))</f>
        <v>Pass</v>
      </c>
      <c r="B36">
        <f t="shared" si="0"/>
        <v>23.879997253417969</v>
      </c>
      <c r="C36">
        <v>0</v>
      </c>
      <c r="D36">
        <v>0</v>
      </c>
      <c r="E36">
        <v>40</v>
      </c>
      <c r="F36">
        <v>16</v>
      </c>
      <c r="G36">
        <v>23.879997247101699</v>
      </c>
      <c r="M36" t="str">
        <f t="shared" si="1"/>
        <v>Pass</v>
      </c>
      <c r="N36">
        <f t="shared" si="2"/>
        <v>0</v>
      </c>
      <c r="O36">
        <v>0</v>
      </c>
      <c r="P36">
        <v>10</v>
      </c>
      <c r="Q36">
        <v>3</v>
      </c>
      <c r="R36" t="b">
        <v>1</v>
      </c>
      <c r="S36">
        <v>0</v>
      </c>
      <c r="Y36" t="str">
        <f t="shared" si="3"/>
        <v>Pass</v>
      </c>
      <c r="Z36">
        <f t="shared" si="4"/>
        <v>3298.82763671875</v>
      </c>
      <c r="AA36">
        <v>400</v>
      </c>
      <c r="AB36">
        <v>20</v>
      </c>
      <c r="AC36">
        <v>8</v>
      </c>
      <c r="AD36">
        <v>0.2</v>
      </c>
      <c r="AE36">
        <v>3298.8277256220899</v>
      </c>
      <c r="AK36" t="str">
        <f t="shared" si="5"/>
        <v>Pass</v>
      </c>
      <c r="AL36">
        <f t="shared" si="6"/>
        <v>6.9922671318054199</v>
      </c>
      <c r="AM36">
        <v>15000</v>
      </c>
      <c r="AN36">
        <v>6.9922673130464998</v>
      </c>
    </row>
    <row r="37" spans="1:40" x14ac:dyDescent="0.3">
      <c r="A37" t="str">
        <f>IF(ISBLANK(B37),"",IF(ROUND(B37,0)=ROUND(G37,0),"Pass","Fail"))</f>
        <v>Pass</v>
      </c>
      <c r="B37">
        <f t="shared" si="0"/>
        <v>15.432577133178711</v>
      </c>
      <c r="C37">
        <v>0</v>
      </c>
      <c r="D37">
        <v>0</v>
      </c>
      <c r="E37">
        <v>40</v>
      </c>
      <c r="F37">
        <v>24</v>
      </c>
      <c r="G37">
        <v>15.432577413736199</v>
      </c>
      <c r="M37" t="str">
        <f t="shared" si="1"/>
        <v>Pass</v>
      </c>
      <c r="N37">
        <f t="shared" si="2"/>
        <v>0</v>
      </c>
      <c r="O37">
        <v>0</v>
      </c>
      <c r="P37">
        <v>10</v>
      </c>
      <c r="Q37">
        <v>3</v>
      </c>
      <c r="R37" t="b">
        <v>0</v>
      </c>
      <c r="S37">
        <v>0</v>
      </c>
      <c r="Y37" t="str">
        <f t="shared" si="3"/>
        <v>Pass</v>
      </c>
      <c r="Z37">
        <f t="shared" si="4"/>
        <v>3573.94775390625</v>
      </c>
      <c r="AA37">
        <v>400</v>
      </c>
      <c r="AB37">
        <v>20</v>
      </c>
      <c r="AC37">
        <v>10</v>
      </c>
      <c r="AD37">
        <v>0.2</v>
      </c>
      <c r="AE37">
        <v>3573.9474959553299</v>
      </c>
      <c r="AK37" t="str">
        <f t="shared" si="5"/>
        <v>Pass</v>
      </c>
      <c r="AL37">
        <f t="shared" si="6"/>
        <v>7.1389150619506836</v>
      </c>
      <c r="AM37">
        <v>15500</v>
      </c>
      <c r="AN37">
        <v>7.1389151621988196</v>
      </c>
    </row>
    <row r="38" spans="1:40" x14ac:dyDescent="0.3">
      <c r="A38" t="str">
        <f>IF(ISBLANK(B38),"",IF(ROUND(B38,0)=ROUND(G38,0),"Pass","Fail"))</f>
        <v>Pass</v>
      </c>
      <c r="B38">
        <f t="shared" si="0"/>
        <v>11.180273056030273</v>
      </c>
      <c r="C38">
        <v>0</v>
      </c>
      <c r="D38">
        <v>0</v>
      </c>
      <c r="E38">
        <v>40</v>
      </c>
      <c r="F38">
        <v>32</v>
      </c>
      <c r="G38">
        <v>11.1802730059946</v>
      </c>
      <c r="M38" t="str">
        <f t="shared" si="1"/>
        <v>Pass</v>
      </c>
      <c r="N38">
        <f t="shared" si="2"/>
        <v>0</v>
      </c>
      <c r="O38">
        <v>0</v>
      </c>
      <c r="P38">
        <v>10</v>
      </c>
      <c r="Q38">
        <v>3.5</v>
      </c>
      <c r="R38" t="b">
        <v>1</v>
      </c>
      <c r="S38">
        <v>0</v>
      </c>
      <c r="Y38" t="str">
        <f t="shared" si="3"/>
        <v>Pass</v>
      </c>
      <c r="Z38">
        <f t="shared" si="4"/>
        <v>3758.365966796875</v>
      </c>
      <c r="AA38">
        <v>400</v>
      </c>
      <c r="AB38">
        <v>20</v>
      </c>
      <c r="AC38">
        <v>12</v>
      </c>
      <c r="AD38">
        <v>0.2</v>
      </c>
      <c r="AE38">
        <v>3758.3657930704198</v>
      </c>
      <c r="AK38" t="str">
        <f t="shared" si="5"/>
        <v>Pass</v>
      </c>
      <c r="AL38">
        <f t="shared" si="6"/>
        <v>7.283836841583252</v>
      </c>
      <c r="AM38">
        <v>16000</v>
      </c>
      <c r="AN38">
        <v>7.2838367740035697</v>
      </c>
    </row>
    <row r="39" spans="1:40" x14ac:dyDescent="0.3">
      <c r="A39" t="str">
        <f>IF(ISBLANK(B39),"",IF(ROUND(B39,0)=ROUND(G39,0),"Pass","Fail"))</f>
        <v>Pass</v>
      </c>
      <c r="B39">
        <f t="shared" si="0"/>
        <v>9.0397262573242188</v>
      </c>
      <c r="C39">
        <v>0</v>
      </c>
      <c r="D39">
        <v>0</v>
      </c>
      <c r="E39">
        <v>40</v>
      </c>
      <c r="F39">
        <v>40</v>
      </c>
      <c r="G39">
        <v>9.0397267643270993</v>
      </c>
      <c r="M39" t="str">
        <f t="shared" si="1"/>
        <v>Pass</v>
      </c>
      <c r="N39">
        <f t="shared" si="2"/>
        <v>0</v>
      </c>
      <c r="O39">
        <v>0</v>
      </c>
      <c r="P39">
        <v>10</v>
      </c>
      <c r="Q39">
        <v>3.5</v>
      </c>
      <c r="R39" t="b">
        <v>0</v>
      </c>
      <c r="S39">
        <v>0</v>
      </c>
      <c r="Y39" t="str">
        <f t="shared" si="3"/>
        <v>Pass</v>
      </c>
      <c r="Z39">
        <f t="shared" si="4"/>
        <v>3881.98486328125</v>
      </c>
      <c r="AA39">
        <v>400</v>
      </c>
      <c r="AB39">
        <v>20</v>
      </c>
      <c r="AC39">
        <v>14</v>
      </c>
      <c r="AD39">
        <v>0.2</v>
      </c>
      <c r="AE39">
        <v>3881.9850744824298</v>
      </c>
      <c r="AK39" t="str">
        <f t="shared" si="5"/>
        <v>Pass</v>
      </c>
      <c r="AL39">
        <f t="shared" si="6"/>
        <v>7.4271054267883301</v>
      </c>
      <c r="AM39">
        <v>16500</v>
      </c>
      <c r="AN39">
        <v>7.4271054940233503</v>
      </c>
    </row>
    <row r="40" spans="1:40" x14ac:dyDescent="0.3">
      <c r="A40" t="str">
        <f>IF(ISBLANK(B40),"",IF(ROUND(B40,0)=ROUND(G40,0),"Pass","Fail"))</f>
        <v>Pass</v>
      </c>
      <c r="B40">
        <f t="shared" si="0"/>
        <v>7.9622077941894531</v>
      </c>
      <c r="C40">
        <v>0</v>
      </c>
      <c r="D40">
        <v>0</v>
      </c>
      <c r="E40">
        <v>40</v>
      </c>
      <c r="F40">
        <v>48</v>
      </c>
      <c r="G40">
        <v>7.9622079008197204</v>
      </c>
      <c r="M40" t="str">
        <f t="shared" si="1"/>
        <v>Pass</v>
      </c>
      <c r="N40">
        <f t="shared" si="2"/>
        <v>0</v>
      </c>
      <c r="O40">
        <v>0</v>
      </c>
      <c r="P40">
        <v>10</v>
      </c>
      <c r="Q40">
        <v>4</v>
      </c>
      <c r="R40" t="b">
        <v>1</v>
      </c>
      <c r="S40">
        <v>0</v>
      </c>
      <c r="Y40" t="str">
        <f t="shared" si="3"/>
        <v>Pass</v>
      </c>
      <c r="Z40">
        <f t="shared" si="4"/>
        <v>3964.849365234375</v>
      </c>
      <c r="AA40">
        <v>400</v>
      </c>
      <c r="AB40">
        <v>20</v>
      </c>
      <c r="AC40">
        <v>16</v>
      </c>
      <c r="AD40">
        <v>0.2</v>
      </c>
      <c r="AE40">
        <v>3964.84955688942</v>
      </c>
      <c r="AK40" t="str">
        <f t="shared" si="5"/>
        <v>Pass</v>
      </c>
      <c r="AL40">
        <f t="shared" si="6"/>
        <v>7.5687894821166992</v>
      </c>
      <c r="AM40">
        <v>17000</v>
      </c>
      <c r="AN40">
        <v>7.5687894337747101</v>
      </c>
    </row>
    <row r="41" spans="1:40" x14ac:dyDescent="0.3">
      <c r="A41" t="str">
        <f>IF(ISBLANK(B41),"",IF(ROUND(B41,0)=ROUND(G41,0),"Pass","Fail"))</f>
        <v>Pass</v>
      </c>
      <c r="B41">
        <f t="shared" si="0"/>
        <v>73.998001098632813</v>
      </c>
      <c r="C41">
        <v>0</v>
      </c>
      <c r="D41">
        <v>0</v>
      </c>
      <c r="E41">
        <v>50</v>
      </c>
      <c r="F41">
        <v>0</v>
      </c>
      <c r="G41">
        <v>73.998000000000005</v>
      </c>
      <c r="M41" t="str">
        <f t="shared" si="1"/>
        <v>Pass</v>
      </c>
      <c r="N41">
        <f t="shared" si="2"/>
        <v>0</v>
      </c>
      <c r="O41">
        <v>0</v>
      </c>
      <c r="P41">
        <v>10</v>
      </c>
      <c r="Q41">
        <v>4</v>
      </c>
      <c r="R41" t="b">
        <v>0</v>
      </c>
      <c r="S41">
        <v>0</v>
      </c>
      <c r="Y41" t="str">
        <f t="shared" si="3"/>
        <v>Pass</v>
      </c>
      <c r="Z41">
        <f t="shared" si="4"/>
        <v>4020.3955078125</v>
      </c>
      <c r="AA41">
        <v>400</v>
      </c>
      <c r="AB41">
        <v>20</v>
      </c>
      <c r="AC41">
        <v>18</v>
      </c>
      <c r="AD41">
        <v>0.2</v>
      </c>
      <c r="AE41">
        <v>4020.3952805511899</v>
      </c>
      <c r="AK41" t="str">
        <f t="shared" si="5"/>
        <v>Pass</v>
      </c>
      <c r="AL41">
        <f t="shared" si="6"/>
        <v>7.7089519500732422</v>
      </c>
      <c r="AM41">
        <v>17500</v>
      </c>
      <c r="AN41">
        <v>7.7089519865465297</v>
      </c>
    </row>
    <row r="42" spans="1:40" x14ac:dyDescent="0.3">
      <c r="A42" t="str">
        <f>IF(ISBLANK(B42),"",IF(ROUND(B42,0)=ROUND(G42,0),"Pass","Fail"))</f>
        <v>Pass</v>
      </c>
      <c r="B42">
        <f t="shared" si="0"/>
        <v>40.661228179931641</v>
      </c>
      <c r="C42">
        <v>0</v>
      </c>
      <c r="D42">
        <v>0</v>
      </c>
      <c r="E42">
        <v>50</v>
      </c>
      <c r="F42">
        <v>8</v>
      </c>
      <c r="G42">
        <v>40.661228080722999</v>
      </c>
      <c r="M42" t="str">
        <f t="shared" si="1"/>
        <v>Pass</v>
      </c>
      <c r="N42">
        <f t="shared" si="2"/>
        <v>0</v>
      </c>
      <c r="O42">
        <v>0</v>
      </c>
      <c r="P42">
        <v>20</v>
      </c>
      <c r="Q42">
        <v>0</v>
      </c>
      <c r="R42" t="b">
        <v>1</v>
      </c>
      <c r="S42">
        <v>0</v>
      </c>
      <c r="Y42" t="str">
        <f t="shared" si="3"/>
        <v>Pass</v>
      </c>
      <c r="Z42">
        <f t="shared" si="4"/>
        <v>4057.62890625</v>
      </c>
      <c r="AA42">
        <v>400</v>
      </c>
      <c r="AB42">
        <v>20</v>
      </c>
      <c r="AC42">
        <v>20</v>
      </c>
      <c r="AD42">
        <v>0.2</v>
      </c>
      <c r="AE42">
        <v>4057.62869259323</v>
      </c>
      <c r="AK42" t="str">
        <f t="shared" si="5"/>
        <v>Pass</v>
      </c>
      <c r="AL42">
        <f t="shared" si="6"/>
        <v>7.8476524353027344</v>
      </c>
      <c r="AM42">
        <v>18000</v>
      </c>
      <c r="AN42">
        <v>7.8476522791543699</v>
      </c>
    </row>
    <row r="43" spans="1:40" x14ac:dyDescent="0.3">
      <c r="A43" t="str">
        <f>IF(ISBLANK(B43),"",IF(ROUND(B43,0)=ROUND(G43,0),"Pass","Fail"))</f>
        <v>Pass</v>
      </c>
      <c r="B43">
        <f t="shared" si="0"/>
        <v>23.879997253417969</v>
      </c>
      <c r="C43">
        <v>0</v>
      </c>
      <c r="D43">
        <v>0</v>
      </c>
      <c r="E43">
        <v>50</v>
      </c>
      <c r="F43">
        <v>16</v>
      </c>
      <c r="G43">
        <v>23.879997247101699</v>
      </c>
      <c r="M43" t="str">
        <f t="shared" si="1"/>
        <v>Pass</v>
      </c>
      <c r="N43">
        <f t="shared" si="2"/>
        <v>0</v>
      </c>
      <c r="O43">
        <v>0</v>
      </c>
      <c r="P43">
        <v>20</v>
      </c>
      <c r="Q43">
        <v>0</v>
      </c>
      <c r="R43" t="b">
        <v>0</v>
      </c>
      <c r="S43">
        <v>0</v>
      </c>
      <c r="Y43" t="str">
        <f t="shared" si="3"/>
        <v>Pass</v>
      </c>
      <c r="Z43">
        <f t="shared" si="4"/>
        <v>4082.587158203125</v>
      </c>
      <c r="AA43">
        <v>400</v>
      </c>
      <c r="AB43">
        <v>20</v>
      </c>
      <c r="AC43">
        <v>22</v>
      </c>
      <c r="AD43">
        <v>0.2</v>
      </c>
      <c r="AE43">
        <v>4082.58699506731</v>
      </c>
      <c r="AK43" t="str">
        <f t="shared" si="5"/>
        <v>Pass</v>
      </c>
      <c r="AL43">
        <f t="shared" si="6"/>
        <v>7.9849457740783691</v>
      </c>
      <c r="AM43">
        <v>18500</v>
      </c>
      <c r="AN43">
        <v>7.9849455691399696</v>
      </c>
    </row>
    <row r="44" spans="1:40" x14ac:dyDescent="0.3">
      <c r="A44" t="str">
        <f>IF(ISBLANK(B44),"",IF(ROUND(B44,0)=ROUND(G44,0),"Pass","Fail"))</f>
        <v>Pass</v>
      </c>
      <c r="B44">
        <f t="shared" si="0"/>
        <v>15.432577133178711</v>
      </c>
      <c r="C44">
        <v>0</v>
      </c>
      <c r="D44">
        <v>0</v>
      </c>
      <c r="E44">
        <v>50</v>
      </c>
      <c r="F44">
        <v>24</v>
      </c>
      <c r="G44">
        <v>15.432577413736199</v>
      </c>
      <c r="M44" t="str">
        <f t="shared" si="1"/>
        <v>Pass</v>
      </c>
      <c r="N44">
        <f t="shared" si="2"/>
        <v>0</v>
      </c>
      <c r="O44">
        <v>0</v>
      </c>
      <c r="P44">
        <v>20</v>
      </c>
      <c r="Q44">
        <v>0.5</v>
      </c>
      <c r="R44" t="b">
        <v>1</v>
      </c>
      <c r="S44">
        <v>0</v>
      </c>
      <c r="Y44" t="str">
        <f t="shared" si="3"/>
        <v>Pass</v>
      </c>
      <c r="Z44">
        <f t="shared" si="4"/>
        <v>4099.3173828125</v>
      </c>
      <c r="AA44">
        <v>400</v>
      </c>
      <c r="AB44">
        <v>20</v>
      </c>
      <c r="AC44">
        <v>24</v>
      </c>
      <c r="AD44">
        <v>0.2</v>
      </c>
      <c r="AE44">
        <v>4099.3170455307099</v>
      </c>
      <c r="AK44" t="str">
        <f t="shared" si="5"/>
        <v>Pass</v>
      </c>
      <c r="AL44">
        <f t="shared" si="6"/>
        <v>8.1208839416503906</v>
      </c>
      <c r="AM44">
        <v>19000</v>
      </c>
      <c r="AN44">
        <v>8.1208835952955098</v>
      </c>
    </row>
    <row r="45" spans="1:40" x14ac:dyDescent="0.3">
      <c r="A45" t="str">
        <f>IF(ISBLANK(B45),"",IF(ROUND(B45,0)=ROUND(G45,0),"Pass","Fail"))</f>
        <v>Pass</v>
      </c>
      <c r="B45">
        <f t="shared" si="0"/>
        <v>11.180273056030273</v>
      </c>
      <c r="C45">
        <v>0</v>
      </c>
      <c r="D45">
        <v>0</v>
      </c>
      <c r="E45">
        <v>50</v>
      </c>
      <c r="F45">
        <v>32</v>
      </c>
      <c r="G45">
        <v>11.1802730059946</v>
      </c>
      <c r="M45" t="str">
        <f t="shared" si="1"/>
        <v>Pass</v>
      </c>
      <c r="N45">
        <f t="shared" si="2"/>
        <v>0</v>
      </c>
      <c r="O45">
        <v>0</v>
      </c>
      <c r="P45">
        <v>20</v>
      </c>
      <c r="Q45">
        <v>0.5</v>
      </c>
      <c r="R45" t="b">
        <v>0</v>
      </c>
      <c r="S45">
        <v>0</v>
      </c>
      <c r="Y45" t="str">
        <f t="shared" si="3"/>
        <v>Pass</v>
      </c>
      <c r="Z45">
        <f t="shared" si="4"/>
        <v>0</v>
      </c>
      <c r="AA45">
        <v>600</v>
      </c>
      <c r="AB45">
        <v>20</v>
      </c>
      <c r="AC45">
        <v>0</v>
      </c>
      <c r="AD45">
        <v>0.2</v>
      </c>
      <c r="AE45">
        <v>0</v>
      </c>
      <c r="AK45" t="str">
        <f t="shared" si="5"/>
        <v>Pass</v>
      </c>
      <c r="AL45">
        <f t="shared" si="6"/>
        <v>8.2555150985717773</v>
      </c>
      <c r="AM45">
        <v>19500</v>
      </c>
      <c r="AN45">
        <v>8.2555148880775793</v>
      </c>
    </row>
    <row r="46" spans="1:40" x14ac:dyDescent="0.3">
      <c r="A46" t="str">
        <f>IF(ISBLANK(B46),"",IF(ROUND(B46,0)=ROUND(G46,0),"Pass","Fail"))</f>
        <v>Pass</v>
      </c>
      <c r="B46">
        <f t="shared" si="0"/>
        <v>9.0397262573242188</v>
      </c>
      <c r="C46">
        <v>0</v>
      </c>
      <c r="D46">
        <v>0</v>
      </c>
      <c r="E46">
        <v>50</v>
      </c>
      <c r="F46">
        <v>40</v>
      </c>
      <c r="G46">
        <v>9.0397267643270993</v>
      </c>
      <c r="M46" t="str">
        <f t="shared" si="1"/>
        <v>Pass</v>
      </c>
      <c r="N46">
        <f t="shared" si="2"/>
        <v>0</v>
      </c>
      <c r="O46">
        <v>0</v>
      </c>
      <c r="P46">
        <v>20</v>
      </c>
      <c r="Q46">
        <v>1</v>
      </c>
      <c r="R46" t="b">
        <v>1</v>
      </c>
      <c r="S46">
        <v>0</v>
      </c>
      <c r="Y46" t="str">
        <f t="shared" si="3"/>
        <v>Pass</v>
      </c>
      <c r="Z46">
        <f t="shared" si="4"/>
        <v>2044.015625</v>
      </c>
      <c r="AA46">
        <v>600</v>
      </c>
      <c r="AB46">
        <v>20</v>
      </c>
      <c r="AC46">
        <v>2</v>
      </c>
      <c r="AD46">
        <v>0.2</v>
      </c>
      <c r="AE46">
        <v>2044.0157145790299</v>
      </c>
      <c r="AK46" t="str">
        <f t="shared" si="5"/>
        <v>Pass</v>
      </c>
      <c r="AL46">
        <f t="shared" si="6"/>
        <v>8.388885498046875</v>
      </c>
      <c r="AM46">
        <v>20000</v>
      </c>
      <c r="AN46">
        <v>8.3888850454079904</v>
      </c>
    </row>
    <row r="47" spans="1:40" x14ac:dyDescent="0.3">
      <c r="A47" t="str">
        <f>IF(ISBLANK(B47),"",IF(ROUND(B47,0)=ROUND(G47,0),"Pass","Fail"))</f>
        <v>Pass</v>
      </c>
      <c r="B47">
        <f t="shared" si="0"/>
        <v>7.9622077941894531</v>
      </c>
      <c r="C47">
        <v>0</v>
      </c>
      <c r="D47">
        <v>0</v>
      </c>
      <c r="E47">
        <v>50</v>
      </c>
      <c r="F47">
        <v>48</v>
      </c>
      <c r="G47">
        <v>7.9622079008197204</v>
      </c>
      <c r="M47" t="str">
        <f t="shared" si="1"/>
        <v>Pass</v>
      </c>
      <c r="N47">
        <f t="shared" si="2"/>
        <v>0</v>
      </c>
      <c r="O47">
        <v>0</v>
      </c>
      <c r="P47">
        <v>20</v>
      </c>
      <c r="Q47">
        <v>1</v>
      </c>
      <c r="R47" t="b">
        <v>0</v>
      </c>
      <c r="S47">
        <v>0</v>
      </c>
      <c r="Y47" t="str">
        <f t="shared" si="3"/>
        <v>Pass</v>
      </c>
      <c r="Z47">
        <f t="shared" si="4"/>
        <v>3414.160400390625</v>
      </c>
      <c r="AA47">
        <v>600</v>
      </c>
      <c r="AB47">
        <v>20</v>
      </c>
      <c r="AC47">
        <v>4</v>
      </c>
      <c r="AD47">
        <v>0.2</v>
      </c>
      <c r="AE47">
        <v>3414.16042247322</v>
      </c>
      <c r="AK47" t="str">
        <f t="shared" si="5"/>
        <v>Pass</v>
      </c>
      <c r="AL47">
        <f t="shared" si="6"/>
        <v>8.5210371017456055</v>
      </c>
      <c r="AM47">
        <v>20500</v>
      </c>
      <c r="AN47">
        <v>8.5210369784871691</v>
      </c>
    </row>
    <row r="48" spans="1:40" x14ac:dyDescent="0.3">
      <c r="A48" t="str">
        <f>IF(ISBLANK(B48),"",IF(ROUND(B48,0)=ROUND(G48,0),"Pass","Fail"))</f>
        <v>Pass</v>
      </c>
      <c r="B48">
        <f t="shared" si="0"/>
        <v>73.998001098632813</v>
      </c>
      <c r="C48">
        <v>0</v>
      </c>
      <c r="D48">
        <v>0</v>
      </c>
      <c r="E48">
        <v>60</v>
      </c>
      <c r="F48">
        <v>0</v>
      </c>
      <c r="G48">
        <v>73.998000000000005</v>
      </c>
      <c r="M48" t="str">
        <f t="shared" si="1"/>
        <v>Pass</v>
      </c>
      <c r="N48">
        <f t="shared" si="2"/>
        <v>0</v>
      </c>
      <c r="O48">
        <v>0</v>
      </c>
      <c r="P48">
        <v>20</v>
      </c>
      <c r="Q48">
        <v>1.5</v>
      </c>
      <c r="R48" t="b">
        <v>1</v>
      </c>
      <c r="S48">
        <v>0</v>
      </c>
      <c r="Y48" t="str">
        <f t="shared" si="3"/>
        <v>Pass</v>
      </c>
      <c r="Z48">
        <f t="shared" si="4"/>
        <v>4332.59619140625</v>
      </c>
      <c r="AA48">
        <v>600</v>
      </c>
      <c r="AB48">
        <v>20</v>
      </c>
      <c r="AC48">
        <v>6</v>
      </c>
      <c r="AD48">
        <v>0.2</v>
      </c>
      <c r="AE48">
        <v>4332.5958861443396</v>
      </c>
      <c r="AK48" t="str">
        <f t="shared" si="5"/>
        <v>Pass</v>
      </c>
      <c r="AL48">
        <f t="shared" si="6"/>
        <v>8.6520109176635742</v>
      </c>
      <c r="AM48">
        <v>21000</v>
      </c>
      <c r="AN48">
        <v>8.6520111315302497</v>
      </c>
    </row>
    <row r="49" spans="1:40" x14ac:dyDescent="0.3">
      <c r="A49" t="str">
        <f>IF(ISBLANK(B49),"",IF(ROUND(B49,0)=ROUND(G49,0),"Pass","Fail"))</f>
        <v>Pass</v>
      </c>
      <c r="B49">
        <f t="shared" si="0"/>
        <v>40.661228179931641</v>
      </c>
      <c r="C49">
        <v>0</v>
      </c>
      <c r="D49">
        <v>0</v>
      </c>
      <c r="E49">
        <v>60</v>
      </c>
      <c r="F49">
        <v>8</v>
      </c>
      <c r="G49">
        <v>40.661228080722999</v>
      </c>
      <c r="M49" t="str">
        <f t="shared" si="1"/>
        <v>Pass</v>
      </c>
      <c r="N49">
        <f t="shared" si="2"/>
        <v>0</v>
      </c>
      <c r="O49">
        <v>0</v>
      </c>
      <c r="P49">
        <v>20</v>
      </c>
      <c r="Q49">
        <v>1.5</v>
      </c>
      <c r="R49" t="b">
        <v>0</v>
      </c>
      <c r="S49">
        <v>0</v>
      </c>
      <c r="Y49" t="str">
        <f t="shared" si="3"/>
        <v>Pass</v>
      </c>
      <c r="Z49">
        <f t="shared" si="4"/>
        <v>4948.24169921875</v>
      </c>
      <c r="AA49">
        <v>600</v>
      </c>
      <c r="AB49">
        <v>20</v>
      </c>
      <c r="AC49">
        <v>8</v>
      </c>
      <c r="AD49">
        <v>0.2</v>
      </c>
      <c r="AE49">
        <v>4948.2415884331303</v>
      </c>
      <c r="AK49" t="str">
        <f t="shared" si="5"/>
        <v>Pass</v>
      </c>
      <c r="AL49">
        <f t="shared" si="6"/>
        <v>8.7818460464477539</v>
      </c>
      <c r="AM49">
        <v>21500</v>
      </c>
      <c r="AN49">
        <v>8.7818456787453592</v>
      </c>
    </row>
    <row r="50" spans="1:40" x14ac:dyDescent="0.3">
      <c r="A50" t="str">
        <f>IF(ISBLANK(B50),"",IF(ROUND(B50,0)=ROUND(G50,0),"Pass","Fail"))</f>
        <v>Pass</v>
      </c>
      <c r="B50">
        <f t="shared" si="0"/>
        <v>23.879997253417969</v>
      </c>
      <c r="C50">
        <v>0</v>
      </c>
      <c r="D50">
        <v>0</v>
      </c>
      <c r="E50">
        <v>60</v>
      </c>
      <c r="F50">
        <v>16</v>
      </c>
      <c r="G50">
        <v>23.879997247101699</v>
      </c>
      <c r="M50" t="str">
        <f t="shared" si="1"/>
        <v>Pass</v>
      </c>
      <c r="N50">
        <f t="shared" si="2"/>
        <v>0</v>
      </c>
      <c r="O50">
        <v>0</v>
      </c>
      <c r="P50">
        <v>20</v>
      </c>
      <c r="Q50">
        <v>2</v>
      </c>
      <c r="R50" t="b">
        <v>1</v>
      </c>
      <c r="S50">
        <v>0</v>
      </c>
      <c r="Y50" t="str">
        <f t="shared" si="3"/>
        <v>Pass</v>
      </c>
      <c r="Z50">
        <f t="shared" si="4"/>
        <v>5360.92138671875</v>
      </c>
      <c r="AA50">
        <v>600</v>
      </c>
      <c r="AB50">
        <v>20</v>
      </c>
      <c r="AC50">
        <v>10</v>
      </c>
      <c r="AD50">
        <v>0.2</v>
      </c>
      <c r="AE50">
        <v>5360.9212439330004</v>
      </c>
      <c r="AK50" t="str">
        <f t="shared" si="5"/>
        <v>Pass</v>
      </c>
      <c r="AL50">
        <f t="shared" si="6"/>
        <v>8.9105768203735352</v>
      </c>
      <c r="AM50">
        <v>22000</v>
      </c>
      <c r="AN50">
        <v>8.9105767013838495</v>
      </c>
    </row>
    <row r="51" spans="1:40" x14ac:dyDescent="0.3">
      <c r="A51" t="str">
        <f>IF(ISBLANK(B51),"",IF(ROUND(B51,0)=ROUND(G51,0),"Pass","Fail"))</f>
        <v>Pass</v>
      </c>
      <c r="B51">
        <f t="shared" si="0"/>
        <v>15.432577133178711</v>
      </c>
      <c r="C51">
        <v>0</v>
      </c>
      <c r="D51">
        <v>0</v>
      </c>
      <c r="E51">
        <v>60</v>
      </c>
      <c r="F51">
        <v>24</v>
      </c>
      <c r="G51">
        <v>15.432577413736199</v>
      </c>
      <c r="M51" t="str">
        <f t="shared" si="1"/>
        <v>Pass</v>
      </c>
      <c r="N51">
        <f t="shared" si="2"/>
        <v>0</v>
      </c>
      <c r="O51">
        <v>0</v>
      </c>
      <c r="P51">
        <v>20</v>
      </c>
      <c r="Q51">
        <v>2</v>
      </c>
      <c r="R51" t="b">
        <v>0</v>
      </c>
      <c r="S51">
        <v>0</v>
      </c>
      <c r="Y51" t="str">
        <f t="shared" si="3"/>
        <v>Pass</v>
      </c>
      <c r="Z51">
        <f t="shared" si="4"/>
        <v>5637.548828125</v>
      </c>
      <c r="AA51">
        <v>600</v>
      </c>
      <c r="AB51">
        <v>20</v>
      </c>
      <c r="AC51">
        <v>12</v>
      </c>
      <c r="AD51">
        <v>0.2</v>
      </c>
      <c r="AE51">
        <v>5637.54868960564</v>
      </c>
      <c r="AK51" t="str">
        <f t="shared" si="5"/>
        <v>Pass</v>
      </c>
      <c r="AL51">
        <f t="shared" si="6"/>
        <v>9.038238525390625</v>
      </c>
      <c r="AM51">
        <v>22500</v>
      </c>
      <c r="AN51">
        <v>9.0382383472844907</v>
      </c>
    </row>
    <row r="52" spans="1:40" x14ac:dyDescent="0.3">
      <c r="A52" t="str">
        <f>IF(ISBLANK(B52),"",IF(ROUND(B52,0)=ROUND(G52,0),"Pass","Fail"))</f>
        <v>Pass</v>
      </c>
      <c r="B52">
        <f t="shared" si="0"/>
        <v>11.180273056030273</v>
      </c>
      <c r="C52">
        <v>0</v>
      </c>
      <c r="D52">
        <v>0</v>
      </c>
      <c r="E52">
        <v>60</v>
      </c>
      <c r="F52">
        <v>32</v>
      </c>
      <c r="G52">
        <v>11.1802730059946</v>
      </c>
      <c r="M52" t="str">
        <f t="shared" si="1"/>
        <v>Pass</v>
      </c>
      <c r="N52">
        <f t="shared" si="2"/>
        <v>0</v>
      </c>
      <c r="O52">
        <v>0</v>
      </c>
      <c r="P52">
        <v>20</v>
      </c>
      <c r="Q52">
        <v>2.5</v>
      </c>
      <c r="R52" t="b">
        <v>1</v>
      </c>
      <c r="S52">
        <v>0</v>
      </c>
      <c r="Y52" t="str">
        <f t="shared" si="3"/>
        <v>Pass</v>
      </c>
      <c r="Z52">
        <f t="shared" si="4"/>
        <v>5822.97705078125</v>
      </c>
      <c r="AA52">
        <v>600</v>
      </c>
      <c r="AB52">
        <v>20</v>
      </c>
      <c r="AC52">
        <v>14</v>
      </c>
      <c r="AD52">
        <v>0.2</v>
      </c>
      <c r="AE52">
        <v>5822.9776117236397</v>
      </c>
      <c r="AK52" t="str">
        <f t="shared" si="5"/>
        <v>Pass</v>
      </c>
      <c r="AL52">
        <f t="shared" si="6"/>
        <v>9.1648626327514648</v>
      </c>
      <c r="AM52">
        <v>23000</v>
      </c>
      <c r="AN52">
        <v>9.1648629749918005</v>
      </c>
    </row>
    <row r="53" spans="1:40" x14ac:dyDescent="0.3">
      <c r="A53" t="str">
        <f>IF(ISBLANK(B53),"",IF(ROUND(B53,0)=ROUND(G53,0),"Pass","Fail"))</f>
        <v>Pass</v>
      </c>
      <c r="B53">
        <f t="shared" si="0"/>
        <v>9.0397262573242188</v>
      </c>
      <c r="C53">
        <v>0</v>
      </c>
      <c r="D53">
        <v>0</v>
      </c>
      <c r="E53">
        <v>60</v>
      </c>
      <c r="F53">
        <v>40</v>
      </c>
      <c r="G53">
        <v>9.0397267643270993</v>
      </c>
      <c r="M53" t="str">
        <f t="shared" si="1"/>
        <v>Pass</v>
      </c>
      <c r="N53">
        <f t="shared" si="2"/>
        <v>0</v>
      </c>
      <c r="O53">
        <v>0</v>
      </c>
      <c r="P53">
        <v>20</v>
      </c>
      <c r="Q53">
        <v>2.5</v>
      </c>
      <c r="R53" t="b">
        <v>0</v>
      </c>
      <c r="S53">
        <v>0</v>
      </c>
      <c r="Y53" t="str">
        <f t="shared" si="3"/>
        <v>Pass</v>
      </c>
      <c r="Z53">
        <f t="shared" si="4"/>
        <v>5947.27392578125</v>
      </c>
      <c r="AA53">
        <v>600</v>
      </c>
      <c r="AB53">
        <v>20</v>
      </c>
      <c r="AC53">
        <v>16</v>
      </c>
      <c r="AD53">
        <v>0.2</v>
      </c>
      <c r="AE53">
        <v>5947.2743353341302</v>
      </c>
      <c r="AK53" t="str">
        <f t="shared" si="5"/>
        <v>Pass</v>
      </c>
      <c r="AL53">
        <f t="shared" si="6"/>
        <v>9.2904815673828125</v>
      </c>
      <c r="AM53">
        <v>23500</v>
      </c>
      <c r="AN53">
        <v>9.2904812842419506</v>
      </c>
    </row>
    <row r="54" spans="1:40" x14ac:dyDescent="0.3">
      <c r="A54" t="str">
        <f>IF(ISBLANK(B54),"",IF(ROUND(B54,0)=ROUND(G54,0),"Pass","Fail"))</f>
        <v>Pass</v>
      </c>
      <c r="B54">
        <f t="shared" si="0"/>
        <v>7.9622077941894531</v>
      </c>
      <c r="C54">
        <v>0</v>
      </c>
      <c r="D54">
        <v>0</v>
      </c>
      <c r="E54">
        <v>60</v>
      </c>
      <c r="F54">
        <v>48</v>
      </c>
      <c r="G54">
        <v>7.9622079008197204</v>
      </c>
      <c r="M54" t="str">
        <f t="shared" si="1"/>
        <v>Pass</v>
      </c>
      <c r="N54">
        <f t="shared" si="2"/>
        <v>0</v>
      </c>
      <c r="O54">
        <v>0</v>
      </c>
      <c r="P54">
        <v>20</v>
      </c>
      <c r="Q54">
        <v>3</v>
      </c>
      <c r="R54" t="b">
        <v>1</v>
      </c>
      <c r="S54">
        <v>0</v>
      </c>
      <c r="Y54" t="str">
        <f t="shared" si="3"/>
        <v>Pass</v>
      </c>
      <c r="Z54">
        <f t="shared" si="4"/>
        <v>6030.59326171875</v>
      </c>
      <c r="AA54">
        <v>600</v>
      </c>
      <c r="AB54">
        <v>20</v>
      </c>
      <c r="AC54">
        <v>18</v>
      </c>
      <c r="AD54">
        <v>0.2</v>
      </c>
      <c r="AE54">
        <v>6030.5929208267798</v>
      </c>
      <c r="AK54" t="str">
        <f t="shared" si="5"/>
        <v>Pass</v>
      </c>
      <c r="AL54">
        <f t="shared" si="6"/>
        <v>9.4151220321655273</v>
      </c>
      <c r="AM54">
        <v>24000</v>
      </c>
      <c r="AN54">
        <v>9.4151224343676905</v>
      </c>
    </row>
    <row r="55" spans="1:40" x14ac:dyDescent="0.3">
      <c r="A55" t="str">
        <f>IF(ISBLANK(B55),"",IF(ROUND(B55,0)=ROUND(G55,0),"Pass","Fail"))</f>
        <v>Pass</v>
      </c>
      <c r="B55">
        <f t="shared" si="0"/>
        <v>73.998001098632813</v>
      </c>
      <c r="C55">
        <v>0</v>
      </c>
      <c r="D55">
        <v>0</v>
      </c>
      <c r="E55">
        <v>70</v>
      </c>
      <c r="F55">
        <v>0</v>
      </c>
      <c r="G55">
        <v>73.998000000000005</v>
      </c>
      <c r="M55" t="str">
        <f t="shared" si="1"/>
        <v>Pass</v>
      </c>
      <c r="N55">
        <f t="shared" si="2"/>
        <v>0</v>
      </c>
      <c r="O55">
        <v>0</v>
      </c>
      <c r="P55">
        <v>20</v>
      </c>
      <c r="Q55">
        <v>3</v>
      </c>
      <c r="R55" t="b">
        <v>0</v>
      </c>
      <c r="S55">
        <v>0</v>
      </c>
      <c r="Y55" t="str">
        <f t="shared" si="3"/>
        <v>Pass</v>
      </c>
      <c r="Z55">
        <f t="shared" si="4"/>
        <v>6086.443359375</v>
      </c>
      <c r="AA55">
        <v>600</v>
      </c>
      <c r="AB55">
        <v>20</v>
      </c>
      <c r="AC55">
        <v>20</v>
      </c>
      <c r="AD55">
        <v>0.2</v>
      </c>
      <c r="AE55">
        <v>6086.44303888984</v>
      </c>
      <c r="AK55" t="str">
        <f t="shared" si="5"/>
        <v>Pass</v>
      </c>
      <c r="AL55">
        <f t="shared" si="6"/>
        <v>9.5388145446777344</v>
      </c>
      <c r="AM55">
        <v>24500</v>
      </c>
      <c r="AN55">
        <v>9.5388141519682303</v>
      </c>
    </row>
    <row r="56" spans="1:40" x14ac:dyDescent="0.3">
      <c r="A56" t="str">
        <f>IF(ISBLANK(B56),"",IF(ROUND(B56,0)=ROUND(G56,0),"Pass","Fail"))</f>
        <v>Pass</v>
      </c>
      <c r="B56">
        <f t="shared" si="0"/>
        <v>40.661228179931641</v>
      </c>
      <c r="C56">
        <v>0</v>
      </c>
      <c r="D56">
        <v>0</v>
      </c>
      <c r="E56">
        <v>70</v>
      </c>
      <c r="F56">
        <v>8</v>
      </c>
      <c r="G56">
        <v>40.661228080722999</v>
      </c>
      <c r="M56" t="str">
        <f t="shared" si="1"/>
        <v>Pass</v>
      </c>
      <c r="N56">
        <f t="shared" si="2"/>
        <v>0</v>
      </c>
      <c r="O56">
        <v>0</v>
      </c>
      <c r="P56">
        <v>20</v>
      </c>
      <c r="Q56">
        <v>3.5</v>
      </c>
      <c r="R56" t="b">
        <v>1</v>
      </c>
      <c r="S56">
        <v>0</v>
      </c>
      <c r="Y56" t="str">
        <f t="shared" si="3"/>
        <v>Pass</v>
      </c>
      <c r="Z56">
        <f t="shared" si="4"/>
        <v>6123.880859375</v>
      </c>
      <c r="AA56">
        <v>600</v>
      </c>
      <c r="AB56">
        <v>20</v>
      </c>
      <c r="AC56">
        <v>22</v>
      </c>
      <c r="AD56">
        <v>0.2</v>
      </c>
      <c r="AE56">
        <v>6123.8804926009698</v>
      </c>
      <c r="AK56" t="str">
        <f t="shared" si="5"/>
        <v>Pass</v>
      </c>
      <c r="AL56">
        <f t="shared" si="6"/>
        <v>9.6615829467773438</v>
      </c>
      <c r="AM56">
        <v>25000</v>
      </c>
      <c r="AN56">
        <v>9.6615828290162202</v>
      </c>
    </row>
    <row r="57" spans="1:40" x14ac:dyDescent="0.3">
      <c r="A57" t="str">
        <f>IF(ISBLANK(B57),"",IF(ROUND(B57,0)=ROUND(G57,0),"Pass","Fail"))</f>
        <v>Pass</v>
      </c>
      <c r="B57">
        <f t="shared" si="0"/>
        <v>23.879997253417969</v>
      </c>
      <c r="C57">
        <v>0</v>
      </c>
      <c r="D57">
        <v>0</v>
      </c>
      <c r="E57">
        <v>70</v>
      </c>
      <c r="F57">
        <v>16</v>
      </c>
      <c r="G57">
        <v>23.879997247101699</v>
      </c>
      <c r="M57" t="str">
        <f t="shared" si="1"/>
        <v>Pass</v>
      </c>
      <c r="N57">
        <f t="shared" si="2"/>
        <v>0</v>
      </c>
      <c r="O57">
        <v>0</v>
      </c>
      <c r="P57">
        <v>20</v>
      </c>
      <c r="Q57">
        <v>3.5</v>
      </c>
      <c r="R57" t="b">
        <v>0</v>
      </c>
      <c r="S57">
        <v>0</v>
      </c>
      <c r="Y57" t="str">
        <f t="shared" si="3"/>
        <v>Pass</v>
      </c>
      <c r="Z57">
        <f t="shared" si="4"/>
        <v>6148.97607421875</v>
      </c>
      <c r="AA57">
        <v>600</v>
      </c>
      <c r="AB57">
        <v>20</v>
      </c>
      <c r="AC57">
        <v>24</v>
      </c>
      <c r="AD57">
        <v>0.2</v>
      </c>
      <c r="AE57">
        <v>6148.9755682960704</v>
      </c>
      <c r="AK57" t="str">
        <f t="shared" si="5"/>
        <v>Pass</v>
      </c>
      <c r="AL57">
        <f t="shared" si="6"/>
        <v>9.7834539413452148</v>
      </c>
      <c r="AM57">
        <v>25500</v>
      </c>
      <c r="AN57">
        <v>9.7834536124247506</v>
      </c>
    </row>
    <row r="58" spans="1:40" x14ac:dyDescent="0.3">
      <c r="A58" t="str">
        <f>IF(ISBLANK(B58),"",IF(ROUND(B58,0)=ROUND(G58,0),"Pass","Fail"))</f>
        <v>Pass</v>
      </c>
      <c r="B58">
        <f t="shared" si="0"/>
        <v>15.432577133178711</v>
      </c>
      <c r="C58">
        <v>0</v>
      </c>
      <c r="D58">
        <v>0</v>
      </c>
      <c r="E58">
        <v>70</v>
      </c>
      <c r="F58">
        <v>24</v>
      </c>
      <c r="G58">
        <v>15.432577413736199</v>
      </c>
      <c r="M58" t="str">
        <f t="shared" si="1"/>
        <v>Pass</v>
      </c>
      <c r="N58">
        <f t="shared" si="2"/>
        <v>0</v>
      </c>
      <c r="O58">
        <v>0</v>
      </c>
      <c r="P58">
        <v>20</v>
      </c>
      <c r="Q58">
        <v>4</v>
      </c>
      <c r="R58" t="b">
        <v>1</v>
      </c>
      <c r="S58">
        <v>0</v>
      </c>
      <c r="Y58" t="str">
        <f t="shared" si="3"/>
        <v>Pass</v>
      </c>
      <c r="Z58">
        <f t="shared" si="4"/>
        <v>0</v>
      </c>
      <c r="AA58">
        <v>800</v>
      </c>
      <c r="AB58">
        <v>20</v>
      </c>
      <c r="AC58">
        <v>0</v>
      </c>
      <c r="AD58">
        <v>0.2</v>
      </c>
      <c r="AE58">
        <v>0</v>
      </c>
      <c r="AK58" t="str">
        <f t="shared" si="5"/>
        <v>Pass</v>
      </c>
      <c r="AL58">
        <f t="shared" si="6"/>
        <v>9.9044504165649414</v>
      </c>
      <c r="AM58">
        <v>26000</v>
      </c>
      <c r="AN58">
        <v>9.9044504859701998</v>
      </c>
    </row>
    <row r="59" spans="1:40" x14ac:dyDescent="0.3">
      <c r="A59" t="str">
        <f>IF(ISBLANK(B59),"",IF(ROUND(B59,0)=ROUND(G59,0),"Pass","Fail"))</f>
        <v>Pass</v>
      </c>
      <c r="B59">
        <f t="shared" si="0"/>
        <v>11.180273056030273</v>
      </c>
      <c r="C59">
        <v>0</v>
      </c>
      <c r="D59">
        <v>0</v>
      </c>
      <c r="E59">
        <v>70</v>
      </c>
      <c r="F59">
        <v>32</v>
      </c>
      <c r="G59">
        <v>11.1802730059946</v>
      </c>
      <c r="M59" t="str">
        <f t="shared" si="1"/>
        <v>Pass</v>
      </c>
      <c r="N59">
        <f t="shared" si="2"/>
        <v>0</v>
      </c>
      <c r="O59">
        <v>0</v>
      </c>
      <c r="P59">
        <v>20</v>
      </c>
      <c r="Q59">
        <v>4</v>
      </c>
      <c r="R59" t="b">
        <v>0</v>
      </c>
      <c r="S59">
        <v>0</v>
      </c>
      <c r="Y59" t="str">
        <f t="shared" si="3"/>
        <v>Pass</v>
      </c>
      <c r="Z59">
        <f t="shared" si="4"/>
        <v>2725.354248046875</v>
      </c>
      <c r="AA59">
        <v>800</v>
      </c>
      <c r="AB59">
        <v>20</v>
      </c>
      <c r="AC59">
        <v>2</v>
      </c>
      <c r="AD59">
        <v>0.2</v>
      </c>
      <c r="AE59">
        <v>2725.3542861053802</v>
      </c>
      <c r="AK59" t="str">
        <f t="shared" si="5"/>
        <v>Pass</v>
      </c>
      <c r="AL59">
        <f t="shared" si="6"/>
        <v>10.024596214294434</v>
      </c>
      <c r="AM59">
        <v>26500</v>
      </c>
      <c r="AN59">
        <v>10.0245963453575</v>
      </c>
    </row>
    <row r="60" spans="1:40" x14ac:dyDescent="0.3">
      <c r="A60" t="str">
        <f>IF(ISBLANK(B60),"",IF(ROUND(B60,0)=ROUND(G60,0),"Pass","Fail"))</f>
        <v>Pass</v>
      </c>
      <c r="B60">
        <f t="shared" si="0"/>
        <v>9.0397262573242188</v>
      </c>
      <c r="C60">
        <v>0</v>
      </c>
      <c r="D60">
        <v>0</v>
      </c>
      <c r="E60">
        <v>70</v>
      </c>
      <c r="F60">
        <v>40</v>
      </c>
      <c r="G60">
        <v>9.0397267643270993</v>
      </c>
      <c r="M60" t="str">
        <f t="shared" si="1"/>
        <v>Pass</v>
      </c>
      <c r="N60">
        <f t="shared" si="2"/>
        <v>0</v>
      </c>
      <c r="O60">
        <v>0</v>
      </c>
      <c r="P60">
        <v>30</v>
      </c>
      <c r="Q60">
        <v>0</v>
      </c>
      <c r="R60" t="b">
        <v>1</v>
      </c>
      <c r="S60">
        <v>0</v>
      </c>
      <c r="Y60" t="str">
        <f t="shared" si="3"/>
        <v>Pass</v>
      </c>
      <c r="Z60">
        <f t="shared" si="4"/>
        <v>4552.2138671875</v>
      </c>
      <c r="AA60">
        <v>800</v>
      </c>
      <c r="AB60">
        <v>20</v>
      </c>
      <c r="AC60">
        <v>4</v>
      </c>
      <c r="AD60">
        <v>0.2</v>
      </c>
      <c r="AE60">
        <v>4552.2138966309603</v>
      </c>
      <c r="AK60" t="str">
        <f t="shared" si="5"/>
        <v>Pass</v>
      </c>
      <c r="AL60">
        <f t="shared" si="6"/>
        <v>10.143913269042969</v>
      </c>
      <c r="AM60">
        <v>27000</v>
      </c>
      <c r="AN60">
        <v>10.143913067119801</v>
      </c>
    </row>
    <row r="61" spans="1:40" x14ac:dyDescent="0.3">
      <c r="A61" t="str">
        <f>IF(ISBLANK(B61),"",IF(ROUND(B61,0)=ROUND(G61,0),"Pass","Fail"))</f>
        <v>Pass</v>
      </c>
      <c r="B61">
        <f t="shared" si="0"/>
        <v>7.9622077941894531</v>
      </c>
      <c r="C61">
        <v>0</v>
      </c>
      <c r="D61">
        <v>0</v>
      </c>
      <c r="E61">
        <v>70</v>
      </c>
      <c r="F61">
        <v>48</v>
      </c>
      <c r="G61">
        <v>7.9622079008197204</v>
      </c>
      <c r="M61" t="str">
        <f t="shared" si="1"/>
        <v>Pass</v>
      </c>
      <c r="N61">
        <f t="shared" si="2"/>
        <v>0</v>
      </c>
      <c r="O61">
        <v>0</v>
      </c>
      <c r="P61">
        <v>30</v>
      </c>
      <c r="Q61">
        <v>0</v>
      </c>
      <c r="R61" t="b">
        <v>0</v>
      </c>
      <c r="S61">
        <v>0</v>
      </c>
      <c r="Y61" t="str">
        <f t="shared" si="3"/>
        <v>Pass</v>
      </c>
      <c r="Z61">
        <f t="shared" si="4"/>
        <v>5776.794921875</v>
      </c>
      <c r="AA61">
        <v>800</v>
      </c>
      <c r="AB61">
        <v>20</v>
      </c>
      <c r="AC61">
        <v>6</v>
      </c>
      <c r="AD61">
        <v>0.2</v>
      </c>
      <c r="AE61">
        <v>5776.7945148591298</v>
      </c>
      <c r="AK61" t="str">
        <f t="shared" si="5"/>
        <v>Pass</v>
      </c>
      <c r="AL61">
        <f t="shared" si="6"/>
        <v>10.262421607971191</v>
      </c>
      <c r="AM61">
        <v>27500</v>
      </c>
      <c r="AN61">
        <v>10.262421571964101</v>
      </c>
    </row>
    <row r="62" spans="1:40" x14ac:dyDescent="0.3">
      <c r="A62" t="str">
        <f>IF(ISBLANK(B62),"",IF(ROUND(B62,0)=ROUND(G62,0),"Pass","Fail"))</f>
        <v>Pass</v>
      </c>
      <c r="B62">
        <f t="shared" si="0"/>
        <v>73.998001098632813</v>
      </c>
      <c r="C62">
        <v>0</v>
      </c>
      <c r="D62">
        <v>0</v>
      </c>
      <c r="E62">
        <v>80</v>
      </c>
      <c r="F62">
        <v>0</v>
      </c>
      <c r="G62">
        <v>73.998000000000005</v>
      </c>
      <c r="M62" t="str">
        <f t="shared" si="1"/>
        <v>Pass</v>
      </c>
      <c r="N62">
        <f t="shared" si="2"/>
        <v>0</v>
      </c>
      <c r="O62">
        <v>0</v>
      </c>
      <c r="P62">
        <v>30</v>
      </c>
      <c r="Q62">
        <v>0.5</v>
      </c>
      <c r="R62" t="b">
        <v>1</v>
      </c>
      <c r="S62">
        <v>0</v>
      </c>
      <c r="Y62" t="str">
        <f t="shared" si="3"/>
        <v>Pass</v>
      </c>
      <c r="Z62">
        <f t="shared" si="4"/>
        <v>6597.6552734375</v>
      </c>
      <c r="AA62">
        <v>800</v>
      </c>
      <c r="AB62">
        <v>20</v>
      </c>
      <c r="AC62">
        <v>8</v>
      </c>
      <c r="AD62">
        <v>0.2</v>
      </c>
      <c r="AE62">
        <v>6597.6554512441799</v>
      </c>
      <c r="AK62" t="str">
        <f t="shared" si="5"/>
        <v>Pass</v>
      </c>
      <c r="AL62">
        <f t="shared" si="6"/>
        <v>10.380142211914063</v>
      </c>
      <c r="AM62">
        <v>28000</v>
      </c>
      <c r="AN62">
        <v>10.3801418831017</v>
      </c>
    </row>
    <row r="63" spans="1:40" x14ac:dyDescent="0.3">
      <c r="A63" t="str">
        <f>IF(ISBLANK(B63),"",IF(ROUND(B63,0)=ROUND(G63,0),"Pass","Fail"))</f>
        <v>Pass</v>
      </c>
      <c r="B63">
        <f t="shared" si="0"/>
        <v>40.661228179931641</v>
      </c>
      <c r="C63">
        <v>0</v>
      </c>
      <c r="D63">
        <v>0</v>
      </c>
      <c r="E63">
        <v>80</v>
      </c>
      <c r="F63">
        <v>8</v>
      </c>
      <c r="G63">
        <v>40.661228080722999</v>
      </c>
      <c r="M63" t="str">
        <f t="shared" si="1"/>
        <v>Pass</v>
      </c>
      <c r="N63">
        <f t="shared" si="2"/>
        <v>0</v>
      </c>
      <c r="O63">
        <v>0</v>
      </c>
      <c r="P63">
        <v>30</v>
      </c>
      <c r="Q63">
        <v>0.5</v>
      </c>
      <c r="R63" t="b">
        <v>0</v>
      </c>
      <c r="S63">
        <v>0</v>
      </c>
      <c r="Y63" t="str">
        <f t="shared" si="3"/>
        <v>Pass</v>
      </c>
      <c r="Z63">
        <f t="shared" si="4"/>
        <v>7147.8955078125</v>
      </c>
      <c r="AA63">
        <v>800</v>
      </c>
      <c r="AB63">
        <v>20</v>
      </c>
      <c r="AC63">
        <v>10</v>
      </c>
      <c r="AD63">
        <v>0.2</v>
      </c>
      <c r="AE63">
        <v>7147.8949919106599</v>
      </c>
      <c r="AK63" t="str">
        <f t="shared" si="5"/>
        <v>Pass</v>
      </c>
      <c r="AL63">
        <f t="shared" si="6"/>
        <v>10.497093200683594</v>
      </c>
      <c r="AM63">
        <v>28500</v>
      </c>
      <c r="AN63">
        <v>10.4970931800452</v>
      </c>
    </row>
    <row r="64" spans="1:40" x14ac:dyDescent="0.3">
      <c r="A64" t="str">
        <f>IF(ISBLANK(B64),"",IF(ROUND(B64,0)=ROUND(G64,0),"Pass","Fail"))</f>
        <v>Pass</v>
      </c>
      <c r="B64">
        <f t="shared" si="0"/>
        <v>23.879997253417969</v>
      </c>
      <c r="C64">
        <v>0</v>
      </c>
      <c r="D64">
        <v>0</v>
      </c>
      <c r="E64">
        <v>80</v>
      </c>
      <c r="F64">
        <v>16</v>
      </c>
      <c r="G64">
        <v>23.879997247101699</v>
      </c>
      <c r="M64" t="str">
        <f t="shared" si="1"/>
        <v>Pass</v>
      </c>
      <c r="N64">
        <f t="shared" si="2"/>
        <v>0</v>
      </c>
      <c r="O64">
        <v>0</v>
      </c>
      <c r="P64">
        <v>30</v>
      </c>
      <c r="Q64">
        <v>1</v>
      </c>
      <c r="R64" t="b">
        <v>1</v>
      </c>
      <c r="S64">
        <v>0</v>
      </c>
      <c r="Y64" t="str">
        <f t="shared" si="3"/>
        <v>Pass</v>
      </c>
      <c r="Z64">
        <f t="shared" si="4"/>
        <v>7516.73193359375</v>
      </c>
      <c r="AA64">
        <v>800</v>
      </c>
      <c r="AB64">
        <v>20</v>
      </c>
      <c r="AC64">
        <v>12</v>
      </c>
      <c r="AD64">
        <v>0.2</v>
      </c>
      <c r="AE64">
        <v>7516.7315861408497</v>
      </c>
      <c r="AK64" t="str">
        <f t="shared" si="5"/>
        <v>Pass</v>
      </c>
      <c r="AL64">
        <f t="shared" si="6"/>
        <v>10.613293647766113</v>
      </c>
      <c r="AM64">
        <v>29000</v>
      </c>
      <c r="AN64">
        <v>10.613293848294299</v>
      </c>
    </row>
    <row r="65" spans="1:40" x14ac:dyDescent="0.3">
      <c r="A65" t="str">
        <f>IF(ISBLANK(B65),"",IF(ROUND(B65,0)=ROUND(G65,0),"Pass","Fail"))</f>
        <v>Pass</v>
      </c>
      <c r="B65">
        <f t="shared" si="0"/>
        <v>15.432577133178711</v>
      </c>
      <c r="C65">
        <v>0</v>
      </c>
      <c r="D65">
        <v>0</v>
      </c>
      <c r="E65">
        <v>80</v>
      </c>
      <c r="F65">
        <v>24</v>
      </c>
      <c r="G65">
        <v>15.432577413736199</v>
      </c>
      <c r="M65" t="str">
        <f t="shared" si="1"/>
        <v>Pass</v>
      </c>
      <c r="N65">
        <f t="shared" si="2"/>
        <v>0</v>
      </c>
      <c r="O65">
        <v>0</v>
      </c>
      <c r="P65">
        <v>30</v>
      </c>
      <c r="Q65">
        <v>1</v>
      </c>
      <c r="R65" t="b">
        <v>0</v>
      </c>
      <c r="S65">
        <v>0</v>
      </c>
      <c r="Y65" t="str">
        <f t="shared" si="3"/>
        <v>Pass</v>
      </c>
      <c r="Z65">
        <f t="shared" si="4"/>
        <v>7763.9697265625</v>
      </c>
      <c r="AA65">
        <v>800</v>
      </c>
      <c r="AB65">
        <v>20</v>
      </c>
      <c r="AC65">
        <v>14</v>
      </c>
      <c r="AD65">
        <v>0.2</v>
      </c>
      <c r="AE65">
        <v>7763.9701489648596</v>
      </c>
      <c r="AK65" t="str">
        <f t="shared" si="5"/>
        <v>Pass</v>
      </c>
      <c r="AL65">
        <f t="shared" si="6"/>
        <v>10.728761672973633</v>
      </c>
      <c r="AM65">
        <v>29500</v>
      </c>
      <c r="AN65">
        <v>10.728761525293701</v>
      </c>
    </row>
    <row r="66" spans="1:40" x14ac:dyDescent="0.3">
      <c r="A66" t="str">
        <f>IF(ISBLANK(B66),"",IF(ROUND(B66,0)=ROUND(G66,0),"Pass","Fail"))</f>
        <v>Pass</v>
      </c>
      <c r="B66">
        <f t="shared" si="0"/>
        <v>11.180273056030273</v>
      </c>
      <c r="C66">
        <v>0</v>
      </c>
      <c r="D66">
        <v>0</v>
      </c>
      <c r="E66">
        <v>80</v>
      </c>
      <c r="F66">
        <v>32</v>
      </c>
      <c r="G66">
        <v>11.1802730059946</v>
      </c>
      <c r="M66" t="str">
        <f t="shared" si="1"/>
        <v>Pass</v>
      </c>
      <c r="N66">
        <f t="shared" si="2"/>
        <v>0</v>
      </c>
      <c r="O66">
        <v>0</v>
      </c>
      <c r="P66">
        <v>30</v>
      </c>
      <c r="Q66">
        <v>1.5</v>
      </c>
      <c r="R66" t="b">
        <v>1</v>
      </c>
      <c r="S66">
        <v>0</v>
      </c>
      <c r="Y66" t="str">
        <f t="shared" si="3"/>
        <v>Pass</v>
      </c>
      <c r="Z66">
        <f t="shared" si="4"/>
        <v>7929.69873046875</v>
      </c>
      <c r="AA66">
        <v>800</v>
      </c>
      <c r="AB66">
        <v>20</v>
      </c>
      <c r="AC66">
        <v>16</v>
      </c>
      <c r="AD66">
        <v>0.2</v>
      </c>
      <c r="AE66">
        <v>7929.69911377884</v>
      </c>
      <c r="AK66" t="str">
        <f t="shared" si="5"/>
        <v>Pass</v>
      </c>
      <c r="AL66">
        <f t="shared" si="6"/>
        <v>10.843513488769531</v>
      </c>
      <c r="AM66">
        <v>30000</v>
      </c>
      <c r="AN66">
        <v>10.843513142996899</v>
      </c>
    </row>
    <row r="67" spans="1:40" x14ac:dyDescent="0.3">
      <c r="A67" t="str">
        <f>IF(ISBLANK(B67),"",IF(ROUND(B67,0)=ROUND(G67,0),"Pass","Fail"))</f>
        <v>Pass</v>
      </c>
      <c r="B67">
        <f t="shared" si="0"/>
        <v>9.0397262573242188</v>
      </c>
      <c r="C67">
        <v>0</v>
      </c>
      <c r="D67">
        <v>0</v>
      </c>
      <c r="E67">
        <v>80</v>
      </c>
      <c r="F67">
        <v>40</v>
      </c>
      <c r="G67">
        <v>9.0397267643270993</v>
      </c>
      <c r="M67" t="str">
        <f t="shared" si="1"/>
        <v>Pass</v>
      </c>
      <c r="N67">
        <f t="shared" si="2"/>
        <v>0</v>
      </c>
      <c r="O67">
        <v>0</v>
      </c>
      <c r="P67">
        <v>30</v>
      </c>
      <c r="Q67">
        <v>1.5</v>
      </c>
      <c r="R67" t="b">
        <v>0</v>
      </c>
      <c r="S67">
        <v>0</v>
      </c>
      <c r="Y67" t="str">
        <f t="shared" si="3"/>
        <v>Pass</v>
      </c>
      <c r="Z67">
        <f t="shared" si="4"/>
        <v>8040.791015625</v>
      </c>
      <c r="AA67">
        <v>800</v>
      </c>
      <c r="AB67">
        <v>20</v>
      </c>
      <c r="AC67">
        <v>18</v>
      </c>
      <c r="AD67">
        <v>0.2</v>
      </c>
      <c r="AE67">
        <v>8040.7905611023798</v>
      </c>
      <c r="AK67" t="str">
        <f t="shared" si="5"/>
        <v>Pass</v>
      </c>
      <c r="AL67">
        <f t="shared" si="6"/>
        <v>10.957565307617188</v>
      </c>
      <c r="AM67">
        <v>30500</v>
      </c>
      <c r="AN67">
        <v>10.957564967342901</v>
      </c>
    </row>
    <row r="68" spans="1:40" x14ac:dyDescent="0.3">
      <c r="A68" t="str">
        <f>IF(ISBLANK(B68),"",IF(ROUND(B68,0)=ROUND(G68,0),"Pass","Fail"))</f>
        <v>Pass</v>
      </c>
      <c r="B68">
        <f t="shared" si="0"/>
        <v>7.9622077941894531</v>
      </c>
      <c r="C68">
        <v>0</v>
      </c>
      <c r="D68">
        <v>0</v>
      </c>
      <c r="E68">
        <v>80</v>
      </c>
      <c r="F68">
        <v>48</v>
      </c>
      <c r="G68">
        <v>7.9622079008197204</v>
      </c>
      <c r="M68" t="str">
        <f t="shared" si="1"/>
        <v>Pass</v>
      </c>
      <c r="N68">
        <f t="shared" si="2"/>
        <v>0</v>
      </c>
      <c r="O68">
        <v>0</v>
      </c>
      <c r="P68">
        <v>30</v>
      </c>
      <c r="Q68">
        <v>2</v>
      </c>
      <c r="R68" t="b">
        <v>1</v>
      </c>
      <c r="S68">
        <v>0</v>
      </c>
      <c r="Y68" t="str">
        <f t="shared" si="3"/>
        <v>Pass</v>
      </c>
      <c r="Z68">
        <f t="shared" si="4"/>
        <v>8115.2578125</v>
      </c>
      <c r="AA68">
        <v>800</v>
      </c>
      <c r="AB68">
        <v>20</v>
      </c>
      <c r="AC68">
        <v>20</v>
      </c>
      <c r="AD68">
        <v>0.2</v>
      </c>
      <c r="AE68">
        <v>8115.2573851864599</v>
      </c>
      <c r="AK68" t="str">
        <f t="shared" si="5"/>
        <v>Pass</v>
      </c>
      <c r="AL68">
        <f t="shared" si="6"/>
        <v>11.070932388305664</v>
      </c>
      <c r="AM68">
        <v>31000</v>
      </c>
      <c r="AN68">
        <v>11.070932634913101</v>
      </c>
    </row>
    <row r="69" spans="1:40" x14ac:dyDescent="0.3">
      <c r="A69" t="str">
        <f>IF(ISBLANK(B69),"",IF(ROUND(B69,0)=ROUND(G69,0),"Pass","Fail"))</f>
        <v>Pass</v>
      </c>
      <c r="B69">
        <f t="shared" si="0"/>
        <v>73.998001098632813</v>
      </c>
      <c r="C69">
        <v>0</v>
      </c>
      <c r="D69">
        <v>0</v>
      </c>
      <c r="E69">
        <v>90</v>
      </c>
      <c r="F69">
        <v>0</v>
      </c>
      <c r="G69">
        <v>73.998000000000005</v>
      </c>
      <c r="M69" t="str">
        <f t="shared" si="1"/>
        <v>Pass</v>
      </c>
      <c r="N69">
        <f t="shared" si="2"/>
        <v>0</v>
      </c>
      <c r="O69">
        <v>0</v>
      </c>
      <c r="P69">
        <v>30</v>
      </c>
      <c r="Q69">
        <v>2</v>
      </c>
      <c r="R69" t="b">
        <v>0</v>
      </c>
      <c r="S69">
        <v>0</v>
      </c>
      <c r="Y69" t="str">
        <f t="shared" si="3"/>
        <v>Pass</v>
      </c>
      <c r="Z69">
        <f t="shared" si="4"/>
        <v>8165.17431640625</v>
      </c>
      <c r="AA69">
        <v>800</v>
      </c>
      <c r="AB69">
        <v>20</v>
      </c>
      <c r="AC69">
        <v>22</v>
      </c>
      <c r="AD69">
        <v>0.2</v>
      </c>
      <c r="AE69">
        <v>8165.17399013463</v>
      </c>
      <c r="AK69" t="str">
        <f t="shared" si="5"/>
        <v>Pass</v>
      </c>
      <c r="AL69">
        <f t="shared" si="6"/>
        <v>11.18363094329834</v>
      </c>
      <c r="AM69">
        <v>31500</v>
      </c>
      <c r="AN69">
        <v>11.1836311870145</v>
      </c>
    </row>
    <row r="70" spans="1:40" x14ac:dyDescent="0.3">
      <c r="A70" t="str">
        <f>IF(ISBLANK(B70),"",IF(ROUND(B70,0)=ROUND(G70,0),"Pass","Fail"))</f>
        <v>Pass</v>
      </c>
      <c r="B70">
        <f t="shared" si="0"/>
        <v>40.661228179931641</v>
      </c>
      <c r="C70">
        <v>0</v>
      </c>
      <c r="D70">
        <v>0</v>
      </c>
      <c r="E70">
        <v>90</v>
      </c>
      <c r="F70">
        <v>8</v>
      </c>
      <c r="G70">
        <v>40.661228080722999</v>
      </c>
      <c r="M70" t="str">
        <f t="shared" si="1"/>
        <v>Pass</v>
      </c>
      <c r="N70">
        <f t="shared" si="2"/>
        <v>0</v>
      </c>
      <c r="O70">
        <v>0</v>
      </c>
      <c r="P70">
        <v>30</v>
      </c>
      <c r="Q70">
        <v>2.5</v>
      </c>
      <c r="R70" t="b">
        <v>1</v>
      </c>
      <c r="S70">
        <v>0</v>
      </c>
      <c r="Y70" t="str">
        <f t="shared" si="3"/>
        <v>Pass</v>
      </c>
      <c r="Z70">
        <f t="shared" si="4"/>
        <v>8198.634765625</v>
      </c>
      <c r="AA70">
        <v>800</v>
      </c>
      <c r="AB70">
        <v>20</v>
      </c>
      <c r="AC70">
        <v>24</v>
      </c>
      <c r="AD70">
        <v>0.2</v>
      </c>
      <c r="AE70">
        <v>8198.6340910614308</v>
      </c>
      <c r="AK70" t="str">
        <f t="shared" si="5"/>
        <v>Pass</v>
      </c>
      <c r="AL70">
        <f t="shared" si="6"/>
        <v>11.295675277709961</v>
      </c>
      <c r="AM70">
        <v>32000</v>
      </c>
      <c r="AN70">
        <v>11.295675101405701</v>
      </c>
    </row>
    <row r="71" spans="1:40" x14ac:dyDescent="0.3">
      <c r="A71" t="str">
        <f>IF(ISBLANK(B71),"",IF(ROUND(B71,0)=ROUND(G71,0),"Pass","Fail"))</f>
        <v>Pass</v>
      </c>
      <c r="B71">
        <f t="shared" ref="B71:B134" si="7">FMC_heath(C71,D71,E71,F71)</f>
        <v>23.879997253417969</v>
      </c>
      <c r="C71">
        <v>0</v>
      </c>
      <c r="D71">
        <v>0</v>
      </c>
      <c r="E71">
        <v>90</v>
      </c>
      <c r="F71">
        <v>16</v>
      </c>
      <c r="G71">
        <v>23.879997247101699</v>
      </c>
      <c r="M71" t="str">
        <f t="shared" ref="M71:M134" si="8">IF(ISBLANK(N71),"",IF(ROUND(N71,0)=ROUND(S71,0),"Pass","Fail"))</f>
        <v>Pass</v>
      </c>
      <c r="N71">
        <f t="shared" ref="N71:N134" si="9">ROS_heath(O71,Q71,P71,R71)</f>
        <v>0</v>
      </c>
      <c r="O71">
        <v>0</v>
      </c>
      <c r="P71">
        <v>30</v>
      </c>
      <c r="Q71">
        <v>2.5</v>
      </c>
      <c r="R71" t="b">
        <v>0</v>
      </c>
      <c r="S71">
        <v>0</v>
      </c>
      <c r="Y71" t="str">
        <f t="shared" ref="Y71:Y134" si="10">IF(ISBLANK(Z71),"",IF(ROUND(Z71,0)=ROUND(AE71,0),"Pass","Fail"))</f>
        <v>Pass</v>
      </c>
      <c r="Z71">
        <f t="shared" ref="Z71:Z134" si="11">intensity_heath(AA71,AB71,AC71,AD71)</f>
        <v>0</v>
      </c>
      <c r="AA71">
        <v>1000</v>
      </c>
      <c r="AB71">
        <v>20</v>
      </c>
      <c r="AC71">
        <v>0</v>
      </c>
      <c r="AD71">
        <v>0.2</v>
      </c>
      <c r="AE71">
        <v>0</v>
      </c>
      <c r="AK71" t="str">
        <f t="shared" ref="AK71:AK134" si="12">IF(ISBLANK(AL71),"",IF(ROUND(AL71,0)=ROUND(AN71,0),"Pass","Fail"))</f>
        <v>Pass</v>
      </c>
      <c r="AL71">
        <f t="shared" ref="AL71:AL134" si="13">Flame_height_heath(AM71)</f>
        <v>11.407078742980957</v>
      </c>
      <c r="AM71">
        <v>32500</v>
      </c>
      <c r="AN71">
        <v>11.407078321865001</v>
      </c>
    </row>
    <row r="72" spans="1:40" x14ac:dyDescent="0.3">
      <c r="A72" t="str">
        <f>IF(ISBLANK(B72),"",IF(ROUND(B72,0)=ROUND(G72,0),"Pass","Fail"))</f>
        <v>Pass</v>
      </c>
      <c r="B72">
        <f t="shared" si="7"/>
        <v>15.432577133178711</v>
      </c>
      <c r="C72">
        <v>0</v>
      </c>
      <c r="D72">
        <v>0</v>
      </c>
      <c r="E72">
        <v>90</v>
      </c>
      <c r="F72">
        <v>24</v>
      </c>
      <c r="G72">
        <v>15.432577413736199</v>
      </c>
      <c r="M72" t="str">
        <f t="shared" si="8"/>
        <v>Pass</v>
      </c>
      <c r="N72">
        <f t="shared" si="9"/>
        <v>0</v>
      </c>
      <c r="O72">
        <v>0</v>
      </c>
      <c r="P72">
        <v>30</v>
      </c>
      <c r="Q72">
        <v>3</v>
      </c>
      <c r="R72" t="b">
        <v>1</v>
      </c>
      <c r="S72">
        <v>0</v>
      </c>
      <c r="Y72" t="str">
        <f t="shared" si="10"/>
        <v>Pass</v>
      </c>
      <c r="Z72">
        <f t="shared" si="11"/>
        <v>3406.692626953125</v>
      </c>
      <c r="AA72">
        <v>1000</v>
      </c>
      <c r="AB72">
        <v>20</v>
      </c>
      <c r="AC72">
        <v>2</v>
      </c>
      <c r="AD72">
        <v>0.2</v>
      </c>
      <c r="AE72">
        <v>3406.69285763172</v>
      </c>
      <c r="AK72" t="str">
        <f t="shared" si="12"/>
        <v>Pass</v>
      </c>
      <c r="AL72">
        <f t="shared" si="13"/>
        <v>11.517854690551758</v>
      </c>
      <c r="AM72">
        <v>33000</v>
      </c>
      <c r="AN72">
        <v>11.5178542857764</v>
      </c>
    </row>
    <row r="73" spans="1:40" x14ac:dyDescent="0.3">
      <c r="A73" t="str">
        <f>IF(ISBLANK(B73),"",IF(ROUND(B73,0)=ROUND(G73,0),"Pass","Fail"))</f>
        <v>Pass</v>
      </c>
      <c r="B73">
        <f t="shared" si="7"/>
        <v>11.180273056030273</v>
      </c>
      <c r="C73">
        <v>0</v>
      </c>
      <c r="D73">
        <v>0</v>
      </c>
      <c r="E73">
        <v>90</v>
      </c>
      <c r="F73">
        <v>32</v>
      </c>
      <c r="G73">
        <v>11.1802730059946</v>
      </c>
      <c r="M73" t="str">
        <f t="shared" si="8"/>
        <v>Pass</v>
      </c>
      <c r="N73">
        <f t="shared" si="9"/>
        <v>0</v>
      </c>
      <c r="O73">
        <v>0</v>
      </c>
      <c r="P73">
        <v>30</v>
      </c>
      <c r="Q73">
        <v>3</v>
      </c>
      <c r="R73" t="b">
        <v>0</v>
      </c>
      <c r="S73">
        <v>0</v>
      </c>
      <c r="Y73" t="str">
        <f t="shared" si="10"/>
        <v>Pass</v>
      </c>
      <c r="Z73">
        <f t="shared" si="11"/>
        <v>5690.267578125</v>
      </c>
      <c r="AA73">
        <v>1000</v>
      </c>
      <c r="AB73">
        <v>20</v>
      </c>
      <c r="AC73">
        <v>4</v>
      </c>
      <c r="AD73">
        <v>0.2</v>
      </c>
      <c r="AE73">
        <v>5690.2673707887097</v>
      </c>
      <c r="AK73" t="str">
        <f t="shared" si="12"/>
        <v>Pass</v>
      </c>
      <c r="AL73">
        <f t="shared" si="13"/>
        <v>11.628015518188477</v>
      </c>
      <c r="AM73">
        <v>33500</v>
      </c>
      <c r="AN73">
        <v>11.6280159498955</v>
      </c>
    </row>
    <row r="74" spans="1:40" x14ac:dyDescent="0.3">
      <c r="A74" t="str">
        <f>IF(ISBLANK(B74),"",IF(ROUND(B74,0)=ROUND(G74,0),"Pass","Fail"))</f>
        <v>Pass</v>
      </c>
      <c r="B74">
        <f t="shared" si="7"/>
        <v>9.0397262573242188</v>
      </c>
      <c r="C74">
        <v>0</v>
      </c>
      <c r="D74">
        <v>0</v>
      </c>
      <c r="E74">
        <v>90</v>
      </c>
      <c r="F74">
        <v>40</v>
      </c>
      <c r="G74">
        <v>9.0397267643270993</v>
      </c>
      <c r="M74" t="str">
        <f t="shared" si="8"/>
        <v>Pass</v>
      </c>
      <c r="N74">
        <f t="shared" si="9"/>
        <v>0</v>
      </c>
      <c r="O74">
        <v>0</v>
      </c>
      <c r="P74">
        <v>30</v>
      </c>
      <c r="Q74">
        <v>3.5</v>
      </c>
      <c r="R74" t="b">
        <v>1</v>
      </c>
      <c r="S74">
        <v>0</v>
      </c>
      <c r="Y74" t="str">
        <f t="shared" si="10"/>
        <v>Pass</v>
      </c>
      <c r="Z74">
        <f t="shared" si="11"/>
        <v>7220.9931640625</v>
      </c>
      <c r="AA74">
        <v>1000</v>
      </c>
      <c r="AB74">
        <v>20</v>
      </c>
      <c r="AC74">
        <v>6</v>
      </c>
      <c r="AD74">
        <v>0.2</v>
      </c>
      <c r="AE74">
        <v>7220.9931435739099</v>
      </c>
      <c r="AK74" t="str">
        <f t="shared" si="12"/>
        <v>Pass</v>
      </c>
      <c r="AL74">
        <f t="shared" si="13"/>
        <v>11.737575531005859</v>
      </c>
      <c r="AM74">
        <v>34000</v>
      </c>
      <c r="AN74">
        <v>11.737575814439801</v>
      </c>
    </row>
    <row r="75" spans="1:40" x14ac:dyDescent="0.3">
      <c r="A75" t="str">
        <f>IF(ISBLANK(B75),"",IF(ROUND(B75,0)=ROUND(G75,0),"Pass","Fail"))</f>
        <v>Pass</v>
      </c>
      <c r="B75">
        <f t="shared" si="7"/>
        <v>7.9622077941894531</v>
      </c>
      <c r="C75">
        <v>0</v>
      </c>
      <c r="D75">
        <v>0</v>
      </c>
      <c r="E75">
        <v>90</v>
      </c>
      <c r="F75">
        <v>48</v>
      </c>
      <c r="G75">
        <v>7.9622079008197204</v>
      </c>
      <c r="M75" t="str">
        <f t="shared" si="8"/>
        <v>Pass</v>
      </c>
      <c r="N75">
        <f t="shared" si="9"/>
        <v>0</v>
      </c>
      <c r="O75">
        <v>0</v>
      </c>
      <c r="P75">
        <v>30</v>
      </c>
      <c r="Q75">
        <v>3.5</v>
      </c>
      <c r="R75" t="b">
        <v>0</v>
      </c>
      <c r="S75">
        <v>0</v>
      </c>
      <c r="Y75" t="str">
        <f t="shared" si="10"/>
        <v>Pass</v>
      </c>
      <c r="Z75">
        <f t="shared" si="11"/>
        <v>8247.0693359375</v>
      </c>
      <c r="AA75">
        <v>1000</v>
      </c>
      <c r="AB75">
        <v>20</v>
      </c>
      <c r="AC75">
        <v>8</v>
      </c>
      <c r="AD75">
        <v>0.2</v>
      </c>
      <c r="AE75">
        <v>8247.0693140552194</v>
      </c>
      <c r="AK75" t="str">
        <f t="shared" si="12"/>
        <v>Pass</v>
      </c>
      <c r="AL75">
        <f t="shared" si="13"/>
        <v>11.846546173095703</v>
      </c>
      <c r="AM75">
        <v>34500</v>
      </c>
      <c r="AN75">
        <v>11.846545945636599</v>
      </c>
    </row>
    <row r="76" spans="1:40" x14ac:dyDescent="0.3">
      <c r="A76" t="str">
        <f>IF(ISBLANK(B76),"",IF(ROUND(B76,0)=ROUND(G76,0),"Pass","Fail"))</f>
        <v>Pass</v>
      </c>
      <c r="B76">
        <f t="shared" si="7"/>
        <v>73.998001098632813</v>
      </c>
      <c r="C76">
        <v>0</v>
      </c>
      <c r="D76">
        <v>0</v>
      </c>
      <c r="E76">
        <v>100</v>
      </c>
      <c r="F76">
        <v>0</v>
      </c>
      <c r="G76">
        <v>73.998000000000005</v>
      </c>
      <c r="M76" t="str">
        <f t="shared" si="8"/>
        <v>Pass</v>
      </c>
      <c r="N76">
        <f t="shared" si="9"/>
        <v>0</v>
      </c>
      <c r="O76">
        <v>0</v>
      </c>
      <c r="P76">
        <v>30</v>
      </c>
      <c r="Q76">
        <v>4</v>
      </c>
      <c r="R76" t="b">
        <v>1</v>
      </c>
      <c r="S76">
        <v>0</v>
      </c>
      <c r="Y76" t="str">
        <f t="shared" si="10"/>
        <v>Pass</v>
      </c>
      <c r="Z76">
        <f t="shared" si="11"/>
        <v>8934.869140625</v>
      </c>
      <c r="AA76">
        <v>1000</v>
      </c>
      <c r="AB76">
        <v>20</v>
      </c>
      <c r="AC76">
        <v>10</v>
      </c>
      <c r="AD76">
        <v>0.2</v>
      </c>
      <c r="AE76">
        <v>8934.8687398883303</v>
      </c>
      <c r="AK76" t="str">
        <f t="shared" si="12"/>
        <v>Pass</v>
      </c>
      <c r="AL76">
        <f t="shared" si="13"/>
        <v>11.954937934875488</v>
      </c>
      <c r="AM76">
        <v>35000</v>
      </c>
      <c r="AN76">
        <v>11.9549379968468</v>
      </c>
    </row>
    <row r="77" spans="1:40" x14ac:dyDescent="0.3">
      <c r="A77" t="str">
        <f>IF(ISBLANK(B77),"",IF(ROUND(B77,0)=ROUND(G77,0),"Pass","Fail"))</f>
        <v>Pass</v>
      </c>
      <c r="B77">
        <f t="shared" si="7"/>
        <v>40.661228179931641</v>
      </c>
      <c r="C77">
        <v>0</v>
      </c>
      <c r="D77">
        <v>0</v>
      </c>
      <c r="E77">
        <v>100</v>
      </c>
      <c r="F77">
        <v>8</v>
      </c>
      <c r="G77">
        <v>40.661228080722999</v>
      </c>
      <c r="M77" t="str">
        <f t="shared" si="8"/>
        <v>Pass</v>
      </c>
      <c r="N77">
        <f t="shared" si="9"/>
        <v>0</v>
      </c>
      <c r="O77">
        <v>0</v>
      </c>
      <c r="P77">
        <v>30</v>
      </c>
      <c r="Q77">
        <v>4</v>
      </c>
      <c r="R77" t="b">
        <v>0</v>
      </c>
      <c r="S77">
        <v>0</v>
      </c>
      <c r="Y77" t="str">
        <f t="shared" si="10"/>
        <v>Pass</v>
      </c>
      <c r="Z77">
        <f t="shared" si="11"/>
        <v>9395.9150390625</v>
      </c>
      <c r="AA77">
        <v>1000</v>
      </c>
      <c r="AB77">
        <v>20</v>
      </c>
      <c r="AC77">
        <v>12</v>
      </c>
      <c r="AD77">
        <v>0.2</v>
      </c>
      <c r="AE77">
        <v>9395.9144826760694</v>
      </c>
      <c r="AK77" t="str">
        <f t="shared" si="12"/>
        <v>Pass</v>
      </c>
      <c r="AL77">
        <f t="shared" si="13"/>
        <v>12.062763214111328</v>
      </c>
      <c r="AM77">
        <v>35500</v>
      </c>
      <c r="AN77">
        <v>12.062763228374299</v>
      </c>
    </row>
    <row r="78" spans="1:40" x14ac:dyDescent="0.3">
      <c r="A78" t="str">
        <f>IF(ISBLANK(B78),"",IF(ROUND(B78,0)=ROUND(G78,0),"Pass","Fail"))</f>
        <v>Pass</v>
      </c>
      <c r="B78">
        <f t="shared" si="7"/>
        <v>23.879997253417969</v>
      </c>
      <c r="C78">
        <v>0</v>
      </c>
      <c r="D78">
        <v>0</v>
      </c>
      <c r="E78">
        <v>100</v>
      </c>
      <c r="F78">
        <v>16</v>
      </c>
      <c r="G78">
        <v>23.879997247101699</v>
      </c>
      <c r="M78" t="str">
        <f t="shared" si="8"/>
        <v>Pass</v>
      </c>
      <c r="N78">
        <f t="shared" si="9"/>
        <v>0</v>
      </c>
      <c r="O78">
        <v>0</v>
      </c>
      <c r="P78">
        <v>40</v>
      </c>
      <c r="Q78">
        <v>0</v>
      </c>
      <c r="R78" t="b">
        <v>1</v>
      </c>
      <c r="S78">
        <v>0</v>
      </c>
      <c r="Y78" t="str">
        <f t="shared" si="10"/>
        <v>Pass</v>
      </c>
      <c r="Z78">
        <f t="shared" si="11"/>
        <v>9704.9619140625</v>
      </c>
      <c r="AA78">
        <v>1000</v>
      </c>
      <c r="AB78">
        <v>20</v>
      </c>
      <c r="AC78">
        <v>14</v>
      </c>
      <c r="AD78">
        <v>0.2</v>
      </c>
      <c r="AE78">
        <v>9704.9626862060795</v>
      </c>
      <c r="AK78" t="str">
        <f t="shared" si="12"/>
        <v>Pass</v>
      </c>
      <c r="AL78">
        <f t="shared" si="13"/>
        <v>12.170032501220703</v>
      </c>
      <c r="AM78">
        <v>36000</v>
      </c>
      <c r="AN78">
        <v>12.1700325260597</v>
      </c>
    </row>
    <row r="79" spans="1:40" x14ac:dyDescent="0.3">
      <c r="A79" t="str">
        <f>IF(ISBLANK(B79),"",IF(ROUND(B79,0)=ROUND(G79,0),"Pass","Fail"))</f>
        <v>Pass</v>
      </c>
      <c r="B79">
        <f t="shared" si="7"/>
        <v>15.432577133178711</v>
      </c>
      <c r="C79">
        <v>0</v>
      </c>
      <c r="D79">
        <v>0</v>
      </c>
      <c r="E79">
        <v>100</v>
      </c>
      <c r="F79">
        <v>24</v>
      </c>
      <c r="G79">
        <v>15.432577413736199</v>
      </c>
      <c r="M79" t="str">
        <f t="shared" si="8"/>
        <v>Pass</v>
      </c>
      <c r="N79">
        <f t="shared" si="9"/>
        <v>0</v>
      </c>
      <c r="O79">
        <v>0</v>
      </c>
      <c r="P79">
        <v>40</v>
      </c>
      <c r="Q79">
        <v>0</v>
      </c>
      <c r="R79" t="b">
        <v>0</v>
      </c>
      <c r="S79">
        <v>0</v>
      </c>
      <c r="Y79" t="str">
        <f t="shared" si="10"/>
        <v>Pass</v>
      </c>
      <c r="Z79">
        <f t="shared" si="11"/>
        <v>9912.123046875</v>
      </c>
      <c r="AA79">
        <v>1000</v>
      </c>
      <c r="AB79">
        <v>20</v>
      </c>
      <c r="AC79">
        <v>16</v>
      </c>
      <c r="AD79">
        <v>0.2</v>
      </c>
      <c r="AE79">
        <v>9912.1238922235498</v>
      </c>
      <c r="AK79" t="str">
        <f t="shared" si="12"/>
        <v>Pass</v>
      </c>
      <c r="AL79">
        <f t="shared" si="13"/>
        <v>12.276756286621094</v>
      </c>
      <c r="AM79">
        <v>36500</v>
      </c>
      <c r="AN79">
        <v>12.276756418749899</v>
      </c>
    </row>
    <row r="80" spans="1:40" x14ac:dyDescent="0.3">
      <c r="A80" t="str">
        <f>IF(ISBLANK(B80),"",IF(ROUND(B80,0)=ROUND(G80,0),"Pass","Fail"))</f>
        <v>Pass</v>
      </c>
      <c r="B80">
        <f t="shared" si="7"/>
        <v>11.180273056030273</v>
      </c>
      <c r="C80">
        <v>0</v>
      </c>
      <c r="D80">
        <v>0</v>
      </c>
      <c r="E80">
        <v>100</v>
      </c>
      <c r="F80">
        <v>32</v>
      </c>
      <c r="G80">
        <v>11.1802730059946</v>
      </c>
      <c r="M80" t="str">
        <f t="shared" si="8"/>
        <v>Pass</v>
      </c>
      <c r="N80">
        <f t="shared" si="9"/>
        <v>0</v>
      </c>
      <c r="O80">
        <v>0</v>
      </c>
      <c r="P80">
        <v>40</v>
      </c>
      <c r="Q80">
        <v>0.5</v>
      </c>
      <c r="R80" t="b">
        <v>1</v>
      </c>
      <c r="S80">
        <v>0</v>
      </c>
      <c r="Y80" t="str">
        <f t="shared" si="10"/>
        <v>Pass</v>
      </c>
      <c r="Z80">
        <f t="shared" si="11"/>
        <v>10050.98828125</v>
      </c>
      <c r="AA80">
        <v>1000</v>
      </c>
      <c r="AB80">
        <v>20</v>
      </c>
      <c r="AC80">
        <v>18</v>
      </c>
      <c r="AD80">
        <v>0.2</v>
      </c>
      <c r="AE80">
        <v>10050.988201377901</v>
      </c>
      <c r="AK80" t="str">
        <f t="shared" si="12"/>
        <v>Pass</v>
      </c>
      <c r="AL80">
        <f t="shared" si="13"/>
        <v>12.38294506072998</v>
      </c>
      <c r="AM80">
        <v>37000</v>
      </c>
      <c r="AN80">
        <v>12.3829450947235</v>
      </c>
    </row>
    <row r="81" spans="1:40" x14ac:dyDescent="0.3">
      <c r="A81" t="str">
        <f>IF(ISBLANK(B81),"",IF(ROUND(B81,0)=ROUND(G81,0),"Pass","Fail"))</f>
        <v>Pass</v>
      </c>
      <c r="B81">
        <f t="shared" si="7"/>
        <v>9.0397262573242188</v>
      </c>
      <c r="C81">
        <v>0</v>
      </c>
      <c r="D81">
        <v>0</v>
      </c>
      <c r="E81">
        <v>100</v>
      </c>
      <c r="F81">
        <v>40</v>
      </c>
      <c r="G81">
        <v>9.0397267643270993</v>
      </c>
      <c r="M81" t="str">
        <f t="shared" si="8"/>
        <v>Pass</v>
      </c>
      <c r="N81">
        <f t="shared" si="9"/>
        <v>0</v>
      </c>
      <c r="O81">
        <v>0</v>
      </c>
      <c r="P81">
        <v>40</v>
      </c>
      <c r="Q81">
        <v>0.5</v>
      </c>
      <c r="R81" t="b">
        <v>0</v>
      </c>
      <c r="S81">
        <v>0</v>
      </c>
      <c r="Y81" t="str">
        <f t="shared" si="10"/>
        <v>Pass</v>
      </c>
      <c r="Z81">
        <f t="shared" si="11"/>
        <v>10144.072265625</v>
      </c>
      <c r="AA81">
        <v>1000</v>
      </c>
      <c r="AB81">
        <v>20</v>
      </c>
      <c r="AC81">
        <v>20</v>
      </c>
      <c r="AD81">
        <v>0.2</v>
      </c>
      <c r="AE81">
        <v>10144.071731483</v>
      </c>
      <c r="AK81" t="str">
        <f t="shared" si="12"/>
        <v>Pass</v>
      </c>
      <c r="AL81">
        <f t="shared" si="13"/>
        <v>12.488608360290527</v>
      </c>
      <c r="AM81">
        <v>37500</v>
      </c>
      <c r="AN81">
        <v>12.4886084171506</v>
      </c>
    </row>
    <row r="82" spans="1:40" x14ac:dyDescent="0.3">
      <c r="A82" t="str">
        <f>IF(ISBLANK(B82),"",IF(ROUND(B82,0)=ROUND(G82,0),"Pass","Fail"))</f>
        <v>Pass</v>
      </c>
      <c r="B82">
        <f t="shared" si="7"/>
        <v>7.9622077941894531</v>
      </c>
      <c r="C82">
        <v>0</v>
      </c>
      <c r="D82">
        <v>0</v>
      </c>
      <c r="E82">
        <v>100</v>
      </c>
      <c r="F82">
        <v>48</v>
      </c>
      <c r="G82">
        <v>7.9622079008197204</v>
      </c>
      <c r="M82" t="str">
        <f t="shared" si="8"/>
        <v>Pass</v>
      </c>
      <c r="N82">
        <f t="shared" si="9"/>
        <v>0</v>
      </c>
      <c r="O82">
        <v>0</v>
      </c>
      <c r="P82">
        <v>40</v>
      </c>
      <c r="Q82">
        <v>1</v>
      </c>
      <c r="R82" t="b">
        <v>1</v>
      </c>
      <c r="S82">
        <v>0</v>
      </c>
      <c r="Y82" t="str">
        <f t="shared" si="10"/>
        <v>Pass</v>
      </c>
      <c r="Z82">
        <f t="shared" si="11"/>
        <v>10206.4677734375</v>
      </c>
      <c r="AA82">
        <v>1000</v>
      </c>
      <c r="AB82">
        <v>20</v>
      </c>
      <c r="AC82">
        <v>22</v>
      </c>
      <c r="AD82">
        <v>0.2</v>
      </c>
      <c r="AE82">
        <v>10206.4674876682</v>
      </c>
      <c r="AK82" t="str">
        <f t="shared" si="12"/>
        <v>Pass</v>
      </c>
      <c r="AL82">
        <f t="shared" si="13"/>
        <v>12.593755722045898</v>
      </c>
      <c r="AM82">
        <v>38000</v>
      </c>
      <c r="AN82">
        <v>12.593755938653899</v>
      </c>
    </row>
    <row r="83" spans="1:40" x14ac:dyDescent="0.3">
      <c r="A83" t="str">
        <f>IF(ISBLANK(B83),"",IF(ROUND(B83,0)=ROUND(G83,0),"Pass","Fail"))</f>
        <v>Pass</v>
      </c>
      <c r="B83">
        <f t="shared" si="7"/>
        <v>8.2099990844726563</v>
      </c>
      <c r="C83">
        <v>0</v>
      </c>
      <c r="D83">
        <v>10</v>
      </c>
      <c r="E83">
        <v>0</v>
      </c>
      <c r="F83">
        <v>0</v>
      </c>
      <c r="G83">
        <v>8.2100000000000009</v>
      </c>
      <c r="M83" t="str">
        <f t="shared" si="8"/>
        <v>Pass</v>
      </c>
      <c r="N83">
        <f t="shared" si="9"/>
        <v>0</v>
      </c>
      <c r="O83">
        <v>0</v>
      </c>
      <c r="P83">
        <v>40</v>
      </c>
      <c r="Q83">
        <v>1</v>
      </c>
      <c r="R83" t="b">
        <v>0</v>
      </c>
      <c r="S83">
        <v>0</v>
      </c>
      <c r="Y83" t="str">
        <f t="shared" si="10"/>
        <v>Pass</v>
      </c>
      <c r="Z83">
        <f t="shared" si="11"/>
        <v>10248.29296875</v>
      </c>
      <c r="AA83">
        <v>1000</v>
      </c>
      <c r="AB83">
        <v>20</v>
      </c>
      <c r="AC83">
        <v>24</v>
      </c>
      <c r="AD83">
        <v>0.2</v>
      </c>
      <c r="AE83">
        <v>10248.292613826699</v>
      </c>
      <c r="AK83" t="str">
        <f t="shared" si="12"/>
        <v>Pass</v>
      </c>
      <c r="AL83">
        <f t="shared" si="13"/>
        <v>12.698396682739258</v>
      </c>
      <c r="AM83">
        <v>38500</v>
      </c>
      <c r="AN83">
        <v>12.698396915035</v>
      </c>
    </row>
    <row r="84" spans="1:40" x14ac:dyDescent="0.3">
      <c r="A84" t="str">
        <f>IF(ISBLANK(B84),"",IF(ROUND(B84,0)=ROUND(G84,0),"Pass","Fail"))</f>
        <v>Pass</v>
      </c>
      <c r="B84">
        <f t="shared" si="7"/>
        <v>8.2099990844726563</v>
      </c>
      <c r="C84">
        <v>0</v>
      </c>
      <c r="D84">
        <v>10</v>
      </c>
      <c r="E84">
        <v>0</v>
      </c>
      <c r="F84">
        <v>8</v>
      </c>
      <c r="G84">
        <v>8.2100000000000009</v>
      </c>
      <c r="M84" t="str">
        <f t="shared" si="8"/>
        <v>Pass</v>
      </c>
      <c r="N84">
        <f t="shared" si="9"/>
        <v>0</v>
      </c>
      <c r="O84">
        <v>0</v>
      </c>
      <c r="P84">
        <v>40</v>
      </c>
      <c r="Q84">
        <v>1.5</v>
      </c>
      <c r="R84" t="b">
        <v>1</v>
      </c>
      <c r="S84">
        <v>0</v>
      </c>
      <c r="Y84" t="str">
        <f t="shared" si="10"/>
        <v>Pass</v>
      </c>
      <c r="Z84">
        <f t="shared" si="11"/>
        <v>0</v>
      </c>
      <c r="AA84">
        <v>1200</v>
      </c>
      <c r="AB84">
        <v>20</v>
      </c>
      <c r="AC84">
        <v>0</v>
      </c>
      <c r="AD84">
        <v>0.2</v>
      </c>
      <c r="AE84">
        <v>0</v>
      </c>
      <c r="AK84" t="str">
        <f t="shared" si="12"/>
        <v>Pass</v>
      </c>
      <c r="AL84">
        <f t="shared" si="13"/>
        <v>12.80254077911377</v>
      </c>
      <c r="AM84">
        <v>39000</v>
      </c>
      <c r="AN84">
        <v>12.8025403182238</v>
      </c>
    </row>
    <row r="85" spans="1:40" x14ac:dyDescent="0.3">
      <c r="A85" t="str">
        <f>IF(ISBLANK(B85),"",IF(ROUND(B85,0)=ROUND(G85,0),"Pass","Fail"))</f>
        <v>Pass</v>
      </c>
      <c r="B85">
        <f t="shared" si="7"/>
        <v>8.2099990844726563</v>
      </c>
      <c r="C85">
        <v>0</v>
      </c>
      <c r="D85">
        <v>10</v>
      </c>
      <c r="E85">
        <v>0</v>
      </c>
      <c r="F85">
        <v>16</v>
      </c>
      <c r="G85">
        <v>8.2100000000000009</v>
      </c>
      <c r="M85" t="str">
        <f t="shared" si="8"/>
        <v>Pass</v>
      </c>
      <c r="N85">
        <f t="shared" si="9"/>
        <v>0</v>
      </c>
      <c r="O85">
        <v>0</v>
      </c>
      <c r="P85">
        <v>40</v>
      </c>
      <c r="Q85">
        <v>1.5</v>
      </c>
      <c r="R85" t="b">
        <v>0</v>
      </c>
      <c r="S85">
        <v>0</v>
      </c>
      <c r="Y85" t="str">
        <f t="shared" si="10"/>
        <v>Pass</v>
      </c>
      <c r="Z85">
        <f t="shared" si="11"/>
        <v>4088.03125</v>
      </c>
      <c r="AA85">
        <v>1200</v>
      </c>
      <c r="AB85">
        <v>20</v>
      </c>
      <c r="AC85">
        <v>2</v>
      </c>
      <c r="AD85">
        <v>0.2</v>
      </c>
      <c r="AE85">
        <v>4088.0314291580698</v>
      </c>
      <c r="AK85" t="str">
        <f t="shared" si="12"/>
        <v>Pass</v>
      </c>
      <c r="AL85">
        <f t="shared" si="13"/>
        <v>12.906194686889648</v>
      </c>
      <c r="AM85">
        <v>39500</v>
      </c>
      <c r="AN85">
        <v>12.9061948485052</v>
      </c>
    </row>
    <row r="86" spans="1:40" x14ac:dyDescent="0.3">
      <c r="A86" t="str">
        <f>IF(ISBLANK(B86),"",IF(ROUND(B86,0)=ROUND(G86,0),"Pass","Fail"))</f>
        <v>Pass</v>
      </c>
      <c r="B86">
        <f t="shared" si="7"/>
        <v>8.2099990844726563</v>
      </c>
      <c r="C86">
        <v>0</v>
      </c>
      <c r="D86">
        <v>10</v>
      </c>
      <c r="E86">
        <v>0</v>
      </c>
      <c r="F86">
        <v>24</v>
      </c>
      <c r="G86">
        <v>8.2100000000000009</v>
      </c>
      <c r="M86" t="str">
        <f t="shared" si="8"/>
        <v>Pass</v>
      </c>
      <c r="N86">
        <f t="shared" si="9"/>
        <v>0</v>
      </c>
      <c r="O86">
        <v>0</v>
      </c>
      <c r="P86">
        <v>40</v>
      </c>
      <c r="Q86">
        <v>2</v>
      </c>
      <c r="R86" t="b">
        <v>1</v>
      </c>
      <c r="S86">
        <v>0</v>
      </c>
      <c r="Y86" t="str">
        <f t="shared" si="10"/>
        <v>Pass</v>
      </c>
      <c r="Z86">
        <f t="shared" si="11"/>
        <v>6828.32080078125</v>
      </c>
      <c r="AA86">
        <v>1200</v>
      </c>
      <c r="AB86">
        <v>20</v>
      </c>
      <c r="AC86">
        <v>4</v>
      </c>
      <c r="AD86">
        <v>0.2</v>
      </c>
      <c r="AE86">
        <v>6828.3208449464501</v>
      </c>
      <c r="AK86" t="str">
        <f t="shared" si="12"/>
        <v>Pass</v>
      </c>
      <c r="AL86">
        <f t="shared" si="13"/>
        <v>13.009368896484375</v>
      </c>
      <c r="AM86">
        <v>40000</v>
      </c>
      <c r="AN86">
        <v>13.0093689460706</v>
      </c>
    </row>
    <row r="87" spans="1:40" x14ac:dyDescent="0.3">
      <c r="A87" t="str">
        <f>IF(ISBLANK(B87),"",IF(ROUND(B87,0)=ROUND(G87,0),"Pass","Fail"))</f>
        <v>Pass</v>
      </c>
      <c r="B87">
        <f t="shared" si="7"/>
        <v>8.2099990844726563</v>
      </c>
      <c r="C87">
        <v>0</v>
      </c>
      <c r="D87">
        <v>10</v>
      </c>
      <c r="E87">
        <v>0</v>
      </c>
      <c r="F87">
        <v>32</v>
      </c>
      <c r="G87">
        <v>8.2100000000000009</v>
      </c>
      <c r="M87" t="str">
        <f t="shared" si="8"/>
        <v>Pass</v>
      </c>
      <c r="N87">
        <f t="shared" si="9"/>
        <v>0</v>
      </c>
      <c r="O87">
        <v>0</v>
      </c>
      <c r="P87">
        <v>40</v>
      </c>
      <c r="Q87">
        <v>2</v>
      </c>
      <c r="R87" t="b">
        <v>0</v>
      </c>
      <c r="S87">
        <v>0</v>
      </c>
      <c r="Y87" t="str">
        <f t="shared" si="10"/>
        <v>Pass</v>
      </c>
      <c r="Z87">
        <f t="shared" si="11"/>
        <v>8665.1923828125</v>
      </c>
      <c r="AA87">
        <v>1200</v>
      </c>
      <c r="AB87">
        <v>20</v>
      </c>
      <c r="AC87">
        <v>6</v>
      </c>
      <c r="AD87">
        <v>0.2</v>
      </c>
      <c r="AE87">
        <v>8665.1917722886901</v>
      </c>
      <c r="AK87" t="str">
        <f t="shared" si="12"/>
        <v>Pass</v>
      </c>
      <c r="AL87">
        <f t="shared" si="13"/>
        <v>13.11207103729248</v>
      </c>
      <c r="AM87">
        <v>40500</v>
      </c>
      <c r="AN87">
        <v>13.1120708019409</v>
      </c>
    </row>
    <row r="88" spans="1:40" x14ac:dyDescent="0.3">
      <c r="A88" t="str">
        <f>IF(ISBLANK(B88),"",IF(ROUND(B88,0)=ROUND(G88,0),"Pass","Fail"))</f>
        <v>Pass</v>
      </c>
      <c r="B88">
        <f t="shared" si="7"/>
        <v>8.2099990844726563</v>
      </c>
      <c r="C88">
        <v>0</v>
      </c>
      <c r="D88">
        <v>10</v>
      </c>
      <c r="E88">
        <v>0</v>
      </c>
      <c r="F88">
        <v>40</v>
      </c>
      <c r="G88">
        <v>8.2100000000000009</v>
      </c>
      <c r="M88" t="str">
        <f t="shared" si="8"/>
        <v>Pass</v>
      </c>
      <c r="N88">
        <f t="shared" si="9"/>
        <v>0</v>
      </c>
      <c r="O88">
        <v>0</v>
      </c>
      <c r="P88">
        <v>40</v>
      </c>
      <c r="Q88">
        <v>2.5</v>
      </c>
      <c r="R88" t="b">
        <v>1</v>
      </c>
      <c r="S88">
        <v>0</v>
      </c>
      <c r="Y88" t="str">
        <f t="shared" si="10"/>
        <v>Pass</v>
      </c>
      <c r="Z88">
        <f t="shared" si="11"/>
        <v>9896.4833984375</v>
      </c>
      <c r="AA88">
        <v>1200</v>
      </c>
      <c r="AB88">
        <v>20</v>
      </c>
      <c r="AC88">
        <v>8</v>
      </c>
      <c r="AD88">
        <v>0.2</v>
      </c>
      <c r="AE88">
        <v>9896.4831768662698</v>
      </c>
      <c r="AK88" t="str">
        <f t="shared" si="12"/>
        <v>Pass</v>
      </c>
      <c r="AL88">
        <f t="shared" si="13"/>
        <v>13.214308738708496</v>
      </c>
      <c r="AM88">
        <v>41000</v>
      </c>
      <c r="AN88">
        <v>13.214308368301101</v>
      </c>
    </row>
    <row r="89" spans="1:40" x14ac:dyDescent="0.3">
      <c r="A89" t="str">
        <f>IF(ISBLANK(B89),"",IF(ROUND(B89,0)=ROUND(G89,0),"Pass","Fail"))</f>
        <v>Pass</v>
      </c>
      <c r="B89">
        <f t="shared" si="7"/>
        <v>8.2099990844726563</v>
      </c>
      <c r="C89">
        <v>0</v>
      </c>
      <c r="D89">
        <v>10</v>
      </c>
      <c r="E89">
        <v>0</v>
      </c>
      <c r="F89">
        <v>48</v>
      </c>
      <c r="G89">
        <v>8.2100000000000009</v>
      </c>
      <c r="M89" t="str">
        <f t="shared" si="8"/>
        <v>Pass</v>
      </c>
      <c r="N89">
        <f t="shared" si="9"/>
        <v>0</v>
      </c>
      <c r="O89">
        <v>0</v>
      </c>
      <c r="P89">
        <v>40</v>
      </c>
      <c r="Q89">
        <v>2.5</v>
      </c>
      <c r="R89" t="b">
        <v>0</v>
      </c>
      <c r="S89">
        <v>0</v>
      </c>
      <c r="Y89" t="str">
        <f t="shared" si="10"/>
        <v>Pass</v>
      </c>
      <c r="Z89">
        <f t="shared" si="11"/>
        <v>10721.8427734375</v>
      </c>
      <c r="AA89">
        <v>1200</v>
      </c>
      <c r="AB89">
        <v>20</v>
      </c>
      <c r="AC89">
        <v>10</v>
      </c>
      <c r="AD89">
        <v>0.2</v>
      </c>
      <c r="AE89">
        <v>10721.842487866001</v>
      </c>
      <c r="AK89" t="str">
        <f t="shared" si="12"/>
        <v>Pass</v>
      </c>
      <c r="AL89">
        <f t="shared" si="13"/>
        <v>13.316089630126953</v>
      </c>
      <c r="AM89">
        <v>41500</v>
      </c>
      <c r="AN89">
        <v>13.3160893682864</v>
      </c>
    </row>
    <row r="90" spans="1:40" x14ac:dyDescent="0.3">
      <c r="A90" t="str">
        <f>IF(ISBLANK(B90),"",IF(ROUND(B90,0)=ROUND(G90,0),"Pass","Fail"))</f>
        <v>Pass</v>
      </c>
      <c r="B90">
        <f t="shared" si="7"/>
        <v>75.337997436523438</v>
      </c>
      <c r="C90">
        <v>0</v>
      </c>
      <c r="D90">
        <v>10</v>
      </c>
      <c r="E90">
        <v>10</v>
      </c>
      <c r="F90">
        <v>0</v>
      </c>
      <c r="G90">
        <v>75.337999999998303</v>
      </c>
      <c r="M90" t="str">
        <f t="shared" si="8"/>
        <v>Pass</v>
      </c>
      <c r="N90">
        <f t="shared" si="9"/>
        <v>0</v>
      </c>
      <c r="O90">
        <v>0</v>
      </c>
      <c r="P90">
        <v>40</v>
      </c>
      <c r="Q90">
        <v>3</v>
      </c>
      <c r="R90" t="b">
        <v>1</v>
      </c>
      <c r="S90">
        <v>0</v>
      </c>
      <c r="Y90" t="str">
        <f t="shared" si="10"/>
        <v>Pass</v>
      </c>
      <c r="Z90">
        <f t="shared" si="11"/>
        <v>11275.09765625</v>
      </c>
      <c r="AA90">
        <v>1200</v>
      </c>
      <c r="AB90">
        <v>20</v>
      </c>
      <c r="AC90">
        <v>12</v>
      </c>
      <c r="AD90">
        <v>0.2</v>
      </c>
      <c r="AE90">
        <v>11275.0973792112</v>
      </c>
      <c r="AK90" t="str">
        <f t="shared" si="12"/>
        <v>Pass</v>
      </c>
      <c r="AL90">
        <f t="shared" si="13"/>
        <v>13.417421340942383</v>
      </c>
      <c r="AM90">
        <v>42000</v>
      </c>
      <c r="AN90">
        <v>13.4174213052544</v>
      </c>
    </row>
    <row r="91" spans="1:40" x14ac:dyDescent="0.3">
      <c r="A91" t="str">
        <f>IF(ISBLANK(B91),"",IF(ROUND(B91,0)=ROUND(G91,0),"Pass","Fail"))</f>
        <v>Pass</v>
      </c>
      <c r="B91">
        <f t="shared" si="7"/>
        <v>42.001228332519531</v>
      </c>
      <c r="C91">
        <v>0</v>
      </c>
      <c r="D91">
        <v>10</v>
      </c>
      <c r="E91">
        <v>10</v>
      </c>
      <c r="F91">
        <v>8</v>
      </c>
      <c r="G91">
        <v>42.0012280807222</v>
      </c>
      <c r="M91" t="str">
        <f t="shared" si="8"/>
        <v>Pass</v>
      </c>
      <c r="N91">
        <f t="shared" si="9"/>
        <v>0</v>
      </c>
      <c r="O91">
        <v>0</v>
      </c>
      <c r="P91">
        <v>40</v>
      </c>
      <c r="Q91">
        <v>3</v>
      </c>
      <c r="R91" t="b">
        <v>0</v>
      </c>
      <c r="S91">
        <v>0</v>
      </c>
      <c r="Y91" t="str">
        <f t="shared" si="10"/>
        <v>Pass</v>
      </c>
      <c r="Z91">
        <f t="shared" si="11"/>
        <v>11645.9541015625</v>
      </c>
      <c r="AA91">
        <v>1200</v>
      </c>
      <c r="AB91">
        <v>20</v>
      </c>
      <c r="AC91">
        <v>14</v>
      </c>
      <c r="AD91">
        <v>0.2</v>
      </c>
      <c r="AE91">
        <v>11645.955223447199</v>
      </c>
      <c r="AK91" t="str">
        <f t="shared" si="12"/>
        <v>Pass</v>
      </c>
      <c r="AL91">
        <f t="shared" si="13"/>
        <v>13.518311500549316</v>
      </c>
      <c r="AM91">
        <v>42500</v>
      </c>
      <c r="AN91">
        <v>13.518311471575601</v>
      </c>
    </row>
    <row r="92" spans="1:40" x14ac:dyDescent="0.3">
      <c r="A92" t="str">
        <f>IF(ISBLANK(B92),"",IF(ROUND(B92,0)=ROUND(G92,0),"Pass","Fail"))</f>
        <v>Pass</v>
      </c>
      <c r="B92">
        <f t="shared" si="7"/>
        <v>25.219995498657227</v>
      </c>
      <c r="C92">
        <v>0</v>
      </c>
      <c r="D92">
        <v>10</v>
      </c>
      <c r="E92">
        <v>10</v>
      </c>
      <c r="F92">
        <v>16</v>
      </c>
      <c r="G92">
        <v>25.219997247101301</v>
      </c>
      <c r="M92" t="str">
        <f t="shared" si="8"/>
        <v>Pass</v>
      </c>
      <c r="N92">
        <f t="shared" si="9"/>
        <v>0</v>
      </c>
      <c r="O92">
        <v>0</v>
      </c>
      <c r="P92">
        <v>40</v>
      </c>
      <c r="Q92">
        <v>3.5</v>
      </c>
      <c r="R92" t="b">
        <v>1</v>
      </c>
      <c r="S92">
        <v>0</v>
      </c>
      <c r="Y92" t="str">
        <f t="shared" si="10"/>
        <v>Pass</v>
      </c>
      <c r="Z92">
        <f t="shared" si="11"/>
        <v>11894.5478515625</v>
      </c>
      <c r="AA92">
        <v>1200</v>
      </c>
      <c r="AB92">
        <v>20</v>
      </c>
      <c r="AC92">
        <v>16</v>
      </c>
      <c r="AD92">
        <v>0.2</v>
      </c>
      <c r="AE92">
        <v>11894.5486706682</v>
      </c>
      <c r="AK92" t="str">
        <f t="shared" si="12"/>
        <v>Pass</v>
      </c>
      <c r="AL92">
        <f t="shared" si="13"/>
        <v>13.618766784667969</v>
      </c>
      <c r="AM92">
        <v>43000</v>
      </c>
      <c r="AN92">
        <v>13.6187669569739</v>
      </c>
    </row>
    <row r="93" spans="1:40" x14ac:dyDescent="0.3">
      <c r="A93" t="str">
        <f>IF(ISBLANK(B93),"",IF(ROUND(B93,0)=ROUND(G93,0),"Pass","Fail"))</f>
        <v>Pass</v>
      </c>
      <c r="B93">
        <f t="shared" si="7"/>
        <v>16.772575378417969</v>
      </c>
      <c r="C93">
        <v>0</v>
      </c>
      <c r="D93">
        <v>10</v>
      </c>
      <c r="E93">
        <v>10</v>
      </c>
      <c r="F93">
        <v>24</v>
      </c>
      <c r="G93">
        <v>16.772577413735998</v>
      </c>
      <c r="M93" t="str">
        <f t="shared" si="8"/>
        <v>Pass</v>
      </c>
      <c r="N93">
        <f t="shared" si="9"/>
        <v>0</v>
      </c>
      <c r="O93">
        <v>0</v>
      </c>
      <c r="P93">
        <v>40</v>
      </c>
      <c r="Q93">
        <v>3.5</v>
      </c>
      <c r="R93" t="b">
        <v>0</v>
      </c>
      <c r="S93">
        <v>0</v>
      </c>
      <c r="Y93" t="str">
        <f t="shared" si="10"/>
        <v>Pass</v>
      </c>
      <c r="Z93">
        <f t="shared" si="11"/>
        <v>12061.1865234375</v>
      </c>
      <c r="AA93">
        <v>1200</v>
      </c>
      <c r="AB93">
        <v>20</v>
      </c>
      <c r="AC93">
        <v>18</v>
      </c>
      <c r="AD93">
        <v>0.2</v>
      </c>
      <c r="AE93">
        <v>12061.1858416535</v>
      </c>
      <c r="AK93" t="str">
        <f t="shared" si="12"/>
        <v>Pass</v>
      </c>
      <c r="AL93">
        <f t="shared" si="13"/>
        <v>13.718794822692871</v>
      </c>
      <c r="AM93">
        <v>43500</v>
      </c>
      <c r="AN93">
        <v>13.718794656444301</v>
      </c>
    </row>
    <row r="94" spans="1:40" x14ac:dyDescent="0.3">
      <c r="A94" t="str">
        <f>IF(ISBLANK(B94),"",IF(ROUND(B94,0)=ROUND(G94,0),"Pass","Fail"))</f>
        <v>Pass</v>
      </c>
      <c r="B94">
        <f t="shared" si="7"/>
        <v>12.520272254943848</v>
      </c>
      <c r="C94">
        <v>0</v>
      </c>
      <c r="D94">
        <v>10</v>
      </c>
      <c r="E94">
        <v>10</v>
      </c>
      <c r="F94">
        <v>32</v>
      </c>
      <c r="G94">
        <v>12.5202730059945</v>
      </c>
      <c r="M94" t="str">
        <f t="shared" si="8"/>
        <v>Pass</v>
      </c>
      <c r="N94">
        <f t="shared" si="9"/>
        <v>0</v>
      </c>
      <c r="O94">
        <v>0</v>
      </c>
      <c r="P94">
        <v>40</v>
      </c>
      <c r="Q94">
        <v>4</v>
      </c>
      <c r="R94" t="b">
        <v>1</v>
      </c>
      <c r="S94">
        <v>0</v>
      </c>
      <c r="Y94" t="str">
        <f t="shared" si="10"/>
        <v>Pass</v>
      </c>
      <c r="Z94">
        <f t="shared" si="11"/>
        <v>12172.88671875</v>
      </c>
      <c r="AA94">
        <v>1200</v>
      </c>
      <c r="AB94">
        <v>20</v>
      </c>
      <c r="AC94">
        <v>20</v>
      </c>
      <c r="AD94">
        <v>0.2</v>
      </c>
      <c r="AE94">
        <v>12172.8860777796</v>
      </c>
      <c r="AK94" t="str">
        <f t="shared" si="12"/>
        <v>Pass</v>
      </c>
      <c r="AL94">
        <f t="shared" si="13"/>
        <v>13.818401336669922</v>
      </c>
      <c r="AM94">
        <v>44000</v>
      </c>
      <c r="AN94">
        <v>13.8184012777738</v>
      </c>
    </row>
    <row r="95" spans="1:40" x14ac:dyDescent="0.3">
      <c r="A95" t="str">
        <f>IF(ISBLANK(B95),"",IF(ROUND(B95,0)=ROUND(G95,0),"Pass","Fail"))</f>
        <v>Pass</v>
      </c>
      <c r="B95">
        <f t="shared" si="7"/>
        <v>10.379726409912109</v>
      </c>
      <c r="C95">
        <v>0</v>
      </c>
      <c r="D95">
        <v>10</v>
      </c>
      <c r="E95">
        <v>10</v>
      </c>
      <c r="F95">
        <v>40</v>
      </c>
      <c r="G95">
        <v>10.379726764327</v>
      </c>
      <c r="M95" t="str">
        <f t="shared" si="8"/>
        <v>Pass</v>
      </c>
      <c r="N95">
        <f t="shared" si="9"/>
        <v>0</v>
      </c>
      <c r="O95">
        <v>0</v>
      </c>
      <c r="P95">
        <v>40</v>
      </c>
      <c r="Q95">
        <v>4</v>
      </c>
      <c r="R95" t="b">
        <v>0</v>
      </c>
      <c r="S95">
        <v>0</v>
      </c>
      <c r="Y95" t="str">
        <f t="shared" si="10"/>
        <v>Pass</v>
      </c>
      <c r="Z95">
        <f t="shared" si="11"/>
        <v>12247.76171875</v>
      </c>
      <c r="AA95">
        <v>1200</v>
      </c>
      <c r="AB95">
        <v>20</v>
      </c>
      <c r="AC95">
        <v>22</v>
      </c>
      <c r="AD95">
        <v>0.2</v>
      </c>
      <c r="AE95">
        <v>12247.7609852019</v>
      </c>
      <c r="AK95" t="str">
        <f t="shared" si="12"/>
        <v>Pass</v>
      </c>
      <c r="AL95">
        <f t="shared" si="13"/>
        <v>13.917593002319336</v>
      </c>
      <c r="AM95">
        <v>44500</v>
      </c>
      <c r="AN95">
        <v>13.9175933486899</v>
      </c>
    </row>
    <row r="96" spans="1:40" x14ac:dyDescent="0.3">
      <c r="A96" t="str">
        <f>IF(ISBLANK(B96),"",IF(ROUND(B96,0)=ROUND(G96,0),"Pass","Fail"))</f>
        <v>Pass</v>
      </c>
      <c r="B96">
        <f t="shared" si="7"/>
        <v>9.3022069931030273</v>
      </c>
      <c r="C96">
        <v>0</v>
      </c>
      <c r="D96">
        <v>10</v>
      </c>
      <c r="E96">
        <v>10</v>
      </c>
      <c r="F96">
        <v>48</v>
      </c>
      <c r="G96">
        <v>9.3022079008196901</v>
      </c>
      <c r="M96" t="str">
        <f t="shared" si="8"/>
        <v>Pass</v>
      </c>
      <c r="N96">
        <f t="shared" si="9"/>
        <v>0</v>
      </c>
      <c r="O96">
        <v>0</v>
      </c>
      <c r="P96">
        <v>50</v>
      </c>
      <c r="Q96">
        <v>0</v>
      </c>
      <c r="R96" t="b">
        <v>1</v>
      </c>
      <c r="S96">
        <v>0</v>
      </c>
      <c r="Y96" t="str">
        <f t="shared" si="10"/>
        <v>Pass</v>
      </c>
      <c r="Z96">
        <f t="shared" si="11"/>
        <v>12297.9521484375</v>
      </c>
      <c r="AA96">
        <v>1200</v>
      </c>
      <c r="AB96">
        <v>20</v>
      </c>
      <c r="AC96">
        <v>24</v>
      </c>
      <c r="AD96">
        <v>0.2</v>
      </c>
      <c r="AE96">
        <v>12297.951136592101</v>
      </c>
      <c r="AK96" t="str">
        <f t="shared" si="12"/>
        <v>Pass</v>
      </c>
      <c r="AL96">
        <f t="shared" si="13"/>
        <v>14.016377449035645</v>
      </c>
      <c r="AM96">
        <v>45000</v>
      </c>
      <c r="AN96">
        <v>14.016377223658701</v>
      </c>
    </row>
    <row r="97" spans="1:40" x14ac:dyDescent="0.3">
      <c r="A97" t="str">
        <f>IF(ISBLANK(B97),"",IF(ROUND(B97,0)=ROUND(G97,0),"Pass","Fail"))</f>
        <v>Pass</v>
      </c>
      <c r="B97">
        <f t="shared" si="7"/>
        <v>75.337997436523438</v>
      </c>
      <c r="C97">
        <v>0</v>
      </c>
      <c r="D97">
        <v>10</v>
      </c>
      <c r="E97">
        <v>20</v>
      </c>
      <c r="F97">
        <v>0</v>
      </c>
      <c r="G97">
        <v>75.337999999999994</v>
      </c>
      <c r="M97" t="str">
        <f t="shared" si="8"/>
        <v>Pass</v>
      </c>
      <c r="N97">
        <f t="shared" si="9"/>
        <v>0</v>
      </c>
      <c r="O97">
        <v>0</v>
      </c>
      <c r="P97">
        <v>50</v>
      </c>
      <c r="Q97">
        <v>0</v>
      </c>
      <c r="R97" t="b">
        <v>0</v>
      </c>
      <c r="S97">
        <v>0</v>
      </c>
      <c r="Y97" t="str">
        <f t="shared" si="10"/>
        <v>Pass</v>
      </c>
      <c r="Z97">
        <f t="shared" si="11"/>
        <v>0</v>
      </c>
      <c r="AA97">
        <v>1400</v>
      </c>
      <c r="AB97">
        <v>20</v>
      </c>
      <c r="AC97">
        <v>0</v>
      </c>
      <c r="AD97">
        <v>0.2</v>
      </c>
      <c r="AE97">
        <v>0</v>
      </c>
      <c r="AK97" t="str">
        <f t="shared" si="12"/>
        <v>Pass</v>
      </c>
      <c r="AL97">
        <f t="shared" si="13"/>
        <v>14.11475944519043</v>
      </c>
      <c r="AM97">
        <v>45500</v>
      </c>
      <c r="AN97">
        <v>14.114759090354699</v>
      </c>
    </row>
    <row r="98" spans="1:40" x14ac:dyDescent="0.3">
      <c r="A98" t="str">
        <f>IF(ISBLANK(B98),"",IF(ROUND(B98,0)=ROUND(G98,0),"Pass","Fail"))</f>
        <v>Pass</v>
      </c>
      <c r="B98">
        <f t="shared" si="7"/>
        <v>42.001228332519531</v>
      </c>
      <c r="C98">
        <v>0</v>
      </c>
      <c r="D98">
        <v>10</v>
      </c>
      <c r="E98">
        <v>20</v>
      </c>
      <c r="F98">
        <v>8</v>
      </c>
      <c r="G98">
        <v>42.001228080723003</v>
      </c>
      <c r="M98" t="str">
        <f t="shared" si="8"/>
        <v>Pass</v>
      </c>
      <c r="N98">
        <f t="shared" si="9"/>
        <v>0</v>
      </c>
      <c r="O98">
        <v>0</v>
      </c>
      <c r="P98">
        <v>50</v>
      </c>
      <c r="Q98">
        <v>0.5</v>
      </c>
      <c r="R98" t="b">
        <v>1</v>
      </c>
      <c r="S98">
        <v>0</v>
      </c>
      <c r="Y98" t="str">
        <f t="shared" si="10"/>
        <v>Pass</v>
      </c>
      <c r="Z98">
        <f t="shared" si="11"/>
        <v>4769.36962890625</v>
      </c>
      <c r="AA98">
        <v>1400</v>
      </c>
      <c r="AB98">
        <v>20</v>
      </c>
      <c r="AC98">
        <v>2</v>
      </c>
      <c r="AD98">
        <v>0.2</v>
      </c>
      <c r="AE98">
        <v>4769.3700006844101</v>
      </c>
      <c r="AK98" t="str">
        <f t="shared" si="12"/>
        <v>Pass</v>
      </c>
      <c r="AL98">
        <f t="shared" si="13"/>
        <v>14.21274471282959</v>
      </c>
      <c r="AM98">
        <v>46000</v>
      </c>
      <c r="AN98">
        <v>14.2127449758196</v>
      </c>
    </row>
    <row r="99" spans="1:40" x14ac:dyDescent="0.3">
      <c r="A99" t="str">
        <f>IF(ISBLANK(B99),"",IF(ROUND(B99,0)=ROUND(G99,0),"Pass","Fail"))</f>
        <v>Pass</v>
      </c>
      <c r="B99">
        <f t="shared" si="7"/>
        <v>25.219995498657227</v>
      </c>
      <c r="C99">
        <v>0</v>
      </c>
      <c r="D99">
        <v>10</v>
      </c>
      <c r="E99">
        <v>20</v>
      </c>
      <c r="F99">
        <v>16</v>
      </c>
      <c r="G99">
        <v>25.219997247101698</v>
      </c>
      <c r="M99" t="str">
        <f t="shared" si="8"/>
        <v>Pass</v>
      </c>
      <c r="N99">
        <f t="shared" si="9"/>
        <v>0</v>
      </c>
      <c r="O99">
        <v>0</v>
      </c>
      <c r="P99">
        <v>50</v>
      </c>
      <c r="Q99">
        <v>0.5</v>
      </c>
      <c r="R99" t="b">
        <v>0</v>
      </c>
      <c r="S99">
        <v>0</v>
      </c>
      <c r="Y99" t="str">
        <f t="shared" si="10"/>
        <v>Pass</v>
      </c>
      <c r="Z99">
        <f t="shared" si="11"/>
        <v>7966.37451171875</v>
      </c>
      <c r="AA99">
        <v>1400</v>
      </c>
      <c r="AB99">
        <v>20</v>
      </c>
      <c r="AC99">
        <v>4</v>
      </c>
      <c r="AD99">
        <v>0.2</v>
      </c>
      <c r="AE99">
        <v>7966.3743191041904</v>
      </c>
      <c r="AK99" t="str">
        <f t="shared" si="12"/>
        <v>Pass</v>
      </c>
      <c r="AL99">
        <f t="shared" si="13"/>
        <v>14.310340881347656</v>
      </c>
      <c r="AM99">
        <v>46500</v>
      </c>
      <c r="AN99">
        <v>14.3103407523302</v>
      </c>
    </row>
    <row r="100" spans="1:40" x14ac:dyDescent="0.3">
      <c r="A100" t="str">
        <f>IF(ISBLANK(B100),"",IF(ROUND(B100,0)=ROUND(G100,0),"Pass","Fail"))</f>
        <v>Pass</v>
      </c>
      <c r="B100">
        <f t="shared" si="7"/>
        <v>16.772575378417969</v>
      </c>
      <c r="C100">
        <v>0</v>
      </c>
      <c r="D100">
        <v>10</v>
      </c>
      <c r="E100">
        <v>20</v>
      </c>
      <c r="F100">
        <v>24</v>
      </c>
      <c r="G100">
        <v>16.772577413736201</v>
      </c>
      <c r="M100" t="str">
        <f t="shared" si="8"/>
        <v>Pass</v>
      </c>
      <c r="N100">
        <f t="shared" si="9"/>
        <v>0</v>
      </c>
      <c r="O100">
        <v>0</v>
      </c>
      <c r="P100">
        <v>50</v>
      </c>
      <c r="Q100">
        <v>1</v>
      </c>
      <c r="R100" t="b">
        <v>1</v>
      </c>
      <c r="S100">
        <v>0</v>
      </c>
      <c r="Y100" t="str">
        <f t="shared" si="10"/>
        <v>Pass</v>
      </c>
      <c r="Z100">
        <f t="shared" si="11"/>
        <v>10109.390625</v>
      </c>
      <c r="AA100">
        <v>1400</v>
      </c>
      <c r="AB100">
        <v>20</v>
      </c>
      <c r="AC100">
        <v>6</v>
      </c>
      <c r="AD100">
        <v>0.2</v>
      </c>
      <c r="AE100">
        <v>10109.3904010034</v>
      </c>
      <c r="AK100" t="str">
        <f t="shared" si="12"/>
        <v>Pass</v>
      </c>
      <c r="AL100">
        <f t="shared" si="13"/>
        <v>14.407551765441895</v>
      </c>
      <c r="AM100">
        <v>47000</v>
      </c>
      <c r="AN100">
        <v>14.407552142990401</v>
      </c>
    </row>
    <row r="101" spans="1:40" x14ac:dyDescent="0.3">
      <c r="A101" t="str">
        <f>IF(ISBLANK(B101),"",IF(ROUND(B101,0)=ROUND(G101,0),"Pass","Fail"))</f>
        <v>Pass</v>
      </c>
      <c r="B101">
        <f t="shared" si="7"/>
        <v>12.520272254943848</v>
      </c>
      <c r="C101">
        <v>0</v>
      </c>
      <c r="D101">
        <v>10</v>
      </c>
      <c r="E101">
        <v>20</v>
      </c>
      <c r="F101">
        <v>32</v>
      </c>
      <c r="G101">
        <v>12.5202730059946</v>
      </c>
      <c r="M101" t="str">
        <f t="shared" si="8"/>
        <v>Pass</v>
      </c>
      <c r="N101">
        <f t="shared" si="9"/>
        <v>0</v>
      </c>
      <c r="O101">
        <v>0</v>
      </c>
      <c r="P101">
        <v>50</v>
      </c>
      <c r="Q101">
        <v>1</v>
      </c>
      <c r="R101" t="b">
        <v>0</v>
      </c>
      <c r="S101">
        <v>0</v>
      </c>
      <c r="Y101" t="str">
        <f t="shared" si="10"/>
        <v>Pass</v>
      </c>
      <c r="Z101">
        <f t="shared" si="11"/>
        <v>11545.896484375</v>
      </c>
      <c r="AA101">
        <v>1400</v>
      </c>
      <c r="AB101">
        <v>20</v>
      </c>
      <c r="AC101">
        <v>8</v>
      </c>
      <c r="AD101">
        <v>0.2</v>
      </c>
      <c r="AE101">
        <v>11545.8970396773</v>
      </c>
      <c r="AK101" t="str">
        <f t="shared" si="12"/>
        <v>Pass</v>
      </c>
      <c r="AL101">
        <f t="shared" si="13"/>
        <v>14.504384994506836</v>
      </c>
      <c r="AM101">
        <v>47500</v>
      </c>
      <c r="AN101">
        <v>14.504384727065</v>
      </c>
    </row>
    <row r="102" spans="1:40" x14ac:dyDescent="0.3">
      <c r="A102" t="str">
        <f>IF(ISBLANK(B102),"",IF(ROUND(B102,0)=ROUND(G102,0),"Pass","Fail"))</f>
        <v>Pass</v>
      </c>
      <c r="B102">
        <f t="shared" si="7"/>
        <v>10.379726409912109</v>
      </c>
      <c r="C102">
        <v>0</v>
      </c>
      <c r="D102">
        <v>10</v>
      </c>
      <c r="E102">
        <v>20</v>
      </c>
      <c r="F102">
        <v>40</v>
      </c>
      <c r="G102">
        <v>10.379726764327099</v>
      </c>
      <c r="M102" t="str">
        <f t="shared" si="8"/>
        <v>Pass</v>
      </c>
      <c r="N102">
        <f t="shared" si="9"/>
        <v>0</v>
      </c>
      <c r="O102">
        <v>0</v>
      </c>
      <c r="P102">
        <v>50</v>
      </c>
      <c r="Q102">
        <v>1.5</v>
      </c>
      <c r="R102" t="b">
        <v>1</v>
      </c>
      <c r="S102">
        <v>0</v>
      </c>
      <c r="Y102" t="str">
        <f t="shared" si="10"/>
        <v>Pass</v>
      </c>
      <c r="Z102">
        <f t="shared" si="11"/>
        <v>12508.8173828125</v>
      </c>
      <c r="AA102">
        <v>1400</v>
      </c>
      <c r="AB102">
        <v>20</v>
      </c>
      <c r="AC102">
        <v>10</v>
      </c>
      <c r="AD102">
        <v>0.2</v>
      </c>
      <c r="AE102">
        <v>12508.8162358436</v>
      </c>
      <c r="AK102" t="str">
        <f t="shared" si="12"/>
        <v>Pass</v>
      </c>
      <c r="AL102">
        <f t="shared" si="13"/>
        <v>14.600844383239746</v>
      </c>
      <c r="AM102">
        <v>48000</v>
      </c>
      <c r="AN102">
        <v>14.600843945067901</v>
      </c>
    </row>
    <row r="103" spans="1:40" x14ac:dyDescent="0.3">
      <c r="A103" t="str">
        <f>IF(ISBLANK(B103),"",IF(ROUND(B103,0)=ROUND(G103,0),"Pass","Fail"))</f>
        <v>Pass</v>
      </c>
      <c r="B103">
        <f t="shared" si="7"/>
        <v>9.3022069931030273</v>
      </c>
      <c r="C103">
        <v>0</v>
      </c>
      <c r="D103">
        <v>10</v>
      </c>
      <c r="E103">
        <v>20</v>
      </c>
      <c r="F103">
        <v>48</v>
      </c>
      <c r="G103">
        <v>9.3022079008197203</v>
      </c>
      <c r="M103" t="str">
        <f t="shared" si="8"/>
        <v>Pass</v>
      </c>
      <c r="N103">
        <f t="shared" si="9"/>
        <v>0</v>
      </c>
      <c r="O103">
        <v>0</v>
      </c>
      <c r="P103">
        <v>50</v>
      </c>
      <c r="Q103">
        <v>1.5</v>
      </c>
      <c r="R103" t="b">
        <v>0</v>
      </c>
      <c r="S103">
        <v>0</v>
      </c>
      <c r="Y103" t="str">
        <f t="shared" si="10"/>
        <v>Pass</v>
      </c>
      <c r="Z103">
        <f t="shared" si="11"/>
        <v>13154.2802734375</v>
      </c>
      <c r="AA103">
        <v>1400</v>
      </c>
      <c r="AB103">
        <v>20</v>
      </c>
      <c r="AC103">
        <v>12</v>
      </c>
      <c r="AD103">
        <v>0.2</v>
      </c>
      <c r="AE103">
        <v>13154.2802757465</v>
      </c>
      <c r="AK103" t="str">
        <f t="shared" si="12"/>
        <v>Pass</v>
      </c>
      <c r="AL103">
        <f t="shared" si="13"/>
        <v>14.696934700012207</v>
      </c>
      <c r="AM103">
        <v>48500</v>
      </c>
      <c r="AN103">
        <v>14.696935103619399</v>
      </c>
    </row>
    <row r="104" spans="1:40" x14ac:dyDescent="0.3">
      <c r="A104" t="str">
        <f>IF(ISBLANK(B104),"",IF(ROUND(B104,0)=ROUND(G104,0),"Pass","Fail"))</f>
        <v>Pass</v>
      </c>
      <c r="B104">
        <f t="shared" si="7"/>
        <v>75.337997436523438</v>
      </c>
      <c r="C104">
        <v>0</v>
      </c>
      <c r="D104">
        <v>10</v>
      </c>
      <c r="E104">
        <v>30</v>
      </c>
      <c r="F104">
        <v>0</v>
      </c>
      <c r="G104">
        <v>75.337999999999994</v>
      </c>
      <c r="M104" t="str">
        <f t="shared" si="8"/>
        <v>Pass</v>
      </c>
      <c r="N104">
        <f t="shared" si="9"/>
        <v>0</v>
      </c>
      <c r="O104">
        <v>0</v>
      </c>
      <c r="P104">
        <v>50</v>
      </c>
      <c r="Q104">
        <v>2</v>
      </c>
      <c r="R104" t="b">
        <v>1</v>
      </c>
      <c r="S104">
        <v>0</v>
      </c>
      <c r="Y104" t="str">
        <f t="shared" si="10"/>
        <v>Pass</v>
      </c>
      <c r="Z104">
        <f t="shared" si="11"/>
        <v>13586.947265625</v>
      </c>
      <c r="AA104">
        <v>1400</v>
      </c>
      <c r="AB104">
        <v>20</v>
      </c>
      <c r="AC104">
        <v>14</v>
      </c>
      <c r="AD104">
        <v>0.2</v>
      </c>
      <c r="AE104">
        <v>13586.947760688499</v>
      </c>
      <c r="AK104" t="str">
        <f t="shared" si="12"/>
        <v>Pass</v>
      </c>
      <c r="AL104">
        <f t="shared" si="13"/>
        <v>14.79266357421875</v>
      </c>
      <c r="AM104">
        <v>49000</v>
      </c>
      <c r="AN104">
        <v>14.7926633800856</v>
      </c>
    </row>
    <row r="105" spans="1:40" x14ac:dyDescent="0.3">
      <c r="A105" t="str">
        <f>IF(ISBLANK(B105),"",IF(ROUND(B105,0)=ROUND(G105,0),"Pass","Fail"))</f>
        <v>Pass</v>
      </c>
      <c r="B105">
        <f t="shared" si="7"/>
        <v>42.001228332519531</v>
      </c>
      <c r="C105">
        <v>0</v>
      </c>
      <c r="D105">
        <v>10</v>
      </c>
      <c r="E105">
        <v>30</v>
      </c>
      <c r="F105">
        <v>8</v>
      </c>
      <c r="G105">
        <v>42.001228080723003</v>
      </c>
      <c r="M105" t="str">
        <f t="shared" si="8"/>
        <v>Pass</v>
      </c>
      <c r="N105">
        <f t="shared" si="9"/>
        <v>0</v>
      </c>
      <c r="O105">
        <v>0</v>
      </c>
      <c r="P105">
        <v>50</v>
      </c>
      <c r="Q105">
        <v>2</v>
      </c>
      <c r="R105" t="b">
        <v>0</v>
      </c>
      <c r="S105">
        <v>0</v>
      </c>
      <c r="Y105" t="str">
        <f t="shared" si="10"/>
        <v>Pass</v>
      </c>
      <c r="Z105">
        <f t="shared" si="11"/>
        <v>13876.97265625</v>
      </c>
      <c r="AA105">
        <v>1400</v>
      </c>
      <c r="AB105">
        <v>20</v>
      </c>
      <c r="AC105">
        <v>16</v>
      </c>
      <c r="AD105">
        <v>0.2</v>
      </c>
      <c r="AE105">
        <v>13876.9734491129</v>
      </c>
      <c r="AK105" t="str">
        <f t="shared" si="12"/>
        <v>Pass</v>
      </c>
      <c r="AL105">
        <f t="shared" si="13"/>
        <v>14.888033866882324</v>
      </c>
      <c r="AM105">
        <v>49500</v>
      </c>
      <c r="AN105">
        <v>14.888033827011</v>
      </c>
    </row>
    <row r="106" spans="1:40" x14ac:dyDescent="0.3">
      <c r="A106" t="str">
        <f>IF(ISBLANK(B106),"",IF(ROUND(B106,0)=ROUND(G106,0),"Pass","Fail"))</f>
        <v>Pass</v>
      </c>
      <c r="B106">
        <f t="shared" si="7"/>
        <v>25.219995498657227</v>
      </c>
      <c r="C106">
        <v>0</v>
      </c>
      <c r="D106">
        <v>10</v>
      </c>
      <c r="E106">
        <v>30</v>
      </c>
      <c r="F106">
        <v>16</v>
      </c>
      <c r="G106">
        <v>25.219997247101698</v>
      </c>
      <c r="M106" t="str">
        <f t="shared" si="8"/>
        <v>Pass</v>
      </c>
      <c r="N106">
        <f t="shared" si="9"/>
        <v>0</v>
      </c>
      <c r="O106">
        <v>0</v>
      </c>
      <c r="P106">
        <v>50</v>
      </c>
      <c r="Q106">
        <v>2.5</v>
      </c>
      <c r="R106" t="b">
        <v>1</v>
      </c>
      <c r="S106">
        <v>0</v>
      </c>
      <c r="Y106" t="str">
        <f t="shared" si="10"/>
        <v>Pass</v>
      </c>
      <c r="Z106">
        <f t="shared" si="11"/>
        <v>14071.3837890625</v>
      </c>
      <c r="AA106">
        <v>1400</v>
      </c>
      <c r="AB106">
        <v>20</v>
      </c>
      <c r="AC106">
        <v>18</v>
      </c>
      <c r="AD106">
        <v>0.2</v>
      </c>
      <c r="AE106">
        <v>14071.383481929101</v>
      </c>
      <c r="AK106" t="str">
        <f t="shared" si="12"/>
        <v>Pass</v>
      </c>
      <c r="AL106">
        <f t="shared" si="13"/>
        <v>14.983051300048828</v>
      </c>
      <c r="AM106">
        <v>50000</v>
      </c>
      <c r="AN106">
        <v>14.9830513763561</v>
      </c>
    </row>
    <row r="107" spans="1:40" x14ac:dyDescent="0.3">
      <c r="A107" t="str">
        <f>IF(ISBLANK(B107),"",IF(ROUND(B107,0)=ROUND(G107,0),"Pass","Fail"))</f>
        <v>Pass</v>
      </c>
      <c r="B107">
        <f t="shared" si="7"/>
        <v>16.772575378417969</v>
      </c>
      <c r="C107">
        <v>0</v>
      </c>
      <c r="D107">
        <v>10</v>
      </c>
      <c r="E107">
        <v>30</v>
      </c>
      <c r="F107">
        <v>24</v>
      </c>
      <c r="G107">
        <v>16.772577413736201</v>
      </c>
      <c r="M107" t="str">
        <f t="shared" si="8"/>
        <v>Pass</v>
      </c>
      <c r="N107">
        <f t="shared" si="9"/>
        <v>0</v>
      </c>
      <c r="O107">
        <v>0</v>
      </c>
      <c r="P107">
        <v>50</v>
      </c>
      <c r="Q107">
        <v>2.5</v>
      </c>
      <c r="R107" t="b">
        <v>0</v>
      </c>
      <c r="S107">
        <v>0</v>
      </c>
      <c r="Y107" t="str">
        <f t="shared" si="10"/>
        <v>Pass</v>
      </c>
      <c r="Z107">
        <f t="shared" si="11"/>
        <v>14201.701171875</v>
      </c>
      <c r="AA107">
        <v>1400</v>
      </c>
      <c r="AB107">
        <v>20</v>
      </c>
      <c r="AC107">
        <v>20</v>
      </c>
      <c r="AD107">
        <v>0.2</v>
      </c>
      <c r="AE107">
        <v>14201.7004240763</v>
      </c>
      <c r="AK107" t="str">
        <f t="shared" si="12"/>
        <v>Pass</v>
      </c>
      <c r="AL107">
        <f t="shared" si="13"/>
        <v>15.077720642089844</v>
      </c>
      <c r="AM107">
        <v>50500</v>
      </c>
      <c r="AN107">
        <v>15.0777208435504</v>
      </c>
    </row>
    <row r="108" spans="1:40" x14ac:dyDescent="0.3">
      <c r="A108" t="str">
        <f>IF(ISBLANK(B108),"",IF(ROUND(B108,0)=ROUND(G108,0),"Pass","Fail"))</f>
        <v>Pass</v>
      </c>
      <c r="B108">
        <f t="shared" si="7"/>
        <v>12.520272254943848</v>
      </c>
      <c r="C108">
        <v>0</v>
      </c>
      <c r="D108">
        <v>10</v>
      </c>
      <c r="E108">
        <v>30</v>
      </c>
      <c r="F108">
        <v>32</v>
      </c>
      <c r="G108">
        <v>12.5202730059946</v>
      </c>
      <c r="M108" t="str">
        <f t="shared" si="8"/>
        <v>Pass</v>
      </c>
      <c r="N108">
        <f t="shared" si="9"/>
        <v>0</v>
      </c>
      <c r="O108">
        <v>0</v>
      </c>
      <c r="P108">
        <v>50</v>
      </c>
      <c r="Q108">
        <v>3</v>
      </c>
      <c r="R108" t="b">
        <v>1</v>
      </c>
      <c r="S108">
        <v>0</v>
      </c>
      <c r="Y108" t="str">
        <f t="shared" si="10"/>
        <v>Pass</v>
      </c>
      <c r="Z108">
        <f t="shared" si="11"/>
        <v>14289.0556640625</v>
      </c>
      <c r="AA108">
        <v>1400</v>
      </c>
      <c r="AB108">
        <v>20</v>
      </c>
      <c r="AC108">
        <v>22</v>
      </c>
      <c r="AD108">
        <v>0.2</v>
      </c>
      <c r="AE108">
        <v>14289.054482735601</v>
      </c>
      <c r="AK108" t="str">
        <f t="shared" si="12"/>
        <v>Pass</v>
      </c>
      <c r="AL108">
        <f t="shared" si="13"/>
        <v>15.172046661376953</v>
      </c>
      <c r="AM108">
        <v>51000</v>
      </c>
      <c r="AN108">
        <v>15.172046931370399</v>
      </c>
    </row>
    <row r="109" spans="1:40" x14ac:dyDescent="0.3">
      <c r="A109" t="str">
        <f>IF(ISBLANK(B109),"",IF(ROUND(B109,0)=ROUND(G109,0),"Pass","Fail"))</f>
        <v>Pass</v>
      </c>
      <c r="B109">
        <f t="shared" si="7"/>
        <v>10.379726409912109</v>
      </c>
      <c r="C109">
        <v>0</v>
      </c>
      <c r="D109">
        <v>10</v>
      </c>
      <c r="E109">
        <v>30</v>
      </c>
      <c r="F109">
        <v>40</v>
      </c>
      <c r="G109">
        <v>10.379726764327099</v>
      </c>
      <c r="M109" t="str">
        <f t="shared" si="8"/>
        <v>Pass</v>
      </c>
      <c r="N109">
        <f t="shared" si="9"/>
        <v>0</v>
      </c>
      <c r="O109">
        <v>0</v>
      </c>
      <c r="P109">
        <v>50</v>
      </c>
      <c r="Q109">
        <v>3</v>
      </c>
      <c r="R109" t="b">
        <v>0</v>
      </c>
      <c r="S109">
        <v>0</v>
      </c>
      <c r="Y109" t="str">
        <f t="shared" si="10"/>
        <v>Pass</v>
      </c>
      <c r="Z109">
        <f t="shared" si="11"/>
        <v>14347.6103515625</v>
      </c>
      <c r="AA109">
        <v>1400</v>
      </c>
      <c r="AB109">
        <v>20</v>
      </c>
      <c r="AC109">
        <v>24</v>
      </c>
      <c r="AD109">
        <v>0.2</v>
      </c>
      <c r="AE109">
        <v>14347.6096593575</v>
      </c>
      <c r="AK109" t="str">
        <f t="shared" si="12"/>
        <v>Pass</v>
      </c>
      <c r="AL109">
        <f t="shared" si="13"/>
        <v>15.266034126281738</v>
      </c>
      <c r="AM109">
        <v>51500</v>
      </c>
      <c r="AN109">
        <v>15.2660342336514</v>
      </c>
    </row>
    <row r="110" spans="1:40" x14ac:dyDescent="0.3">
      <c r="A110" t="str">
        <f>IF(ISBLANK(B110),"",IF(ROUND(B110,0)=ROUND(G110,0),"Pass","Fail"))</f>
        <v>Pass</v>
      </c>
      <c r="B110">
        <f t="shared" si="7"/>
        <v>9.3022069931030273</v>
      </c>
      <c r="C110">
        <v>0</v>
      </c>
      <c r="D110">
        <v>10</v>
      </c>
      <c r="E110">
        <v>30</v>
      </c>
      <c r="F110">
        <v>48</v>
      </c>
      <c r="G110">
        <v>9.3022079008197203</v>
      </c>
      <c r="M110" t="str">
        <f t="shared" si="8"/>
        <v>Pass</v>
      </c>
      <c r="N110">
        <f t="shared" si="9"/>
        <v>0</v>
      </c>
      <c r="O110">
        <v>0</v>
      </c>
      <c r="P110">
        <v>50</v>
      </c>
      <c r="Q110">
        <v>3.5</v>
      </c>
      <c r="R110" t="b">
        <v>1</v>
      </c>
      <c r="S110">
        <v>0</v>
      </c>
      <c r="Y110" t="str">
        <f t="shared" si="10"/>
        <v>Pass</v>
      </c>
      <c r="Z110">
        <f t="shared" si="11"/>
        <v>0</v>
      </c>
      <c r="AA110">
        <v>1600</v>
      </c>
      <c r="AB110">
        <v>20</v>
      </c>
      <c r="AC110">
        <v>0</v>
      </c>
      <c r="AD110">
        <v>0.2</v>
      </c>
      <c r="AE110">
        <v>0</v>
      </c>
      <c r="AK110" t="str">
        <f t="shared" si="12"/>
        <v>Pass</v>
      </c>
      <c r="AL110">
        <f t="shared" si="13"/>
        <v>15.359686851501465</v>
      </c>
      <c r="AM110">
        <v>52000</v>
      </c>
      <c r="AN110">
        <v>15.359687238843099</v>
      </c>
    </row>
    <row r="111" spans="1:40" x14ac:dyDescent="0.3">
      <c r="A111" t="str">
        <f>IF(ISBLANK(B111),"",IF(ROUND(B111,0)=ROUND(G111,0),"Pass","Fail"))</f>
        <v>Pass</v>
      </c>
      <c r="B111">
        <f t="shared" si="7"/>
        <v>75.337997436523438</v>
      </c>
      <c r="C111">
        <v>0</v>
      </c>
      <c r="D111">
        <v>10</v>
      </c>
      <c r="E111">
        <v>40</v>
      </c>
      <c r="F111">
        <v>0</v>
      </c>
      <c r="G111">
        <v>75.337999999999994</v>
      </c>
      <c r="M111" t="str">
        <f t="shared" si="8"/>
        <v>Pass</v>
      </c>
      <c r="N111">
        <f t="shared" si="9"/>
        <v>0</v>
      </c>
      <c r="O111">
        <v>0</v>
      </c>
      <c r="P111">
        <v>50</v>
      </c>
      <c r="Q111">
        <v>3.5</v>
      </c>
      <c r="R111" t="b">
        <v>0</v>
      </c>
      <c r="S111">
        <v>0</v>
      </c>
      <c r="Y111" t="str">
        <f t="shared" si="10"/>
        <v>Pass</v>
      </c>
      <c r="Z111">
        <f t="shared" si="11"/>
        <v>5450.70849609375</v>
      </c>
      <c r="AA111">
        <v>1600</v>
      </c>
      <c r="AB111">
        <v>20</v>
      </c>
      <c r="AC111">
        <v>2</v>
      </c>
      <c r="AD111">
        <v>0.2</v>
      </c>
      <c r="AE111">
        <v>5450.7085722107604</v>
      </c>
      <c r="AK111" t="str">
        <f t="shared" si="12"/>
        <v>Pass</v>
      </c>
      <c r="AL111">
        <f t="shared" si="13"/>
        <v>15.453010559082031</v>
      </c>
      <c r="AM111">
        <v>52500</v>
      </c>
      <c r="AN111">
        <v>15.4530103334153</v>
      </c>
    </row>
    <row r="112" spans="1:40" x14ac:dyDescent="0.3">
      <c r="A112" t="str">
        <f>IF(ISBLANK(B112),"",IF(ROUND(B112,0)=ROUND(G112,0),"Pass","Fail"))</f>
        <v>Pass</v>
      </c>
      <c r="B112">
        <f t="shared" si="7"/>
        <v>42.001228332519531</v>
      </c>
      <c r="C112">
        <v>0</v>
      </c>
      <c r="D112">
        <v>10</v>
      </c>
      <c r="E112">
        <v>40</v>
      </c>
      <c r="F112">
        <v>8</v>
      </c>
      <c r="G112">
        <v>42.001228080723003</v>
      </c>
      <c r="M112" t="str">
        <f t="shared" si="8"/>
        <v>Pass</v>
      </c>
      <c r="N112">
        <f t="shared" si="9"/>
        <v>0</v>
      </c>
      <c r="O112">
        <v>0</v>
      </c>
      <c r="P112">
        <v>50</v>
      </c>
      <c r="Q112">
        <v>4</v>
      </c>
      <c r="R112" t="b">
        <v>1</v>
      </c>
      <c r="S112">
        <v>0</v>
      </c>
      <c r="Y112" t="str">
        <f t="shared" si="10"/>
        <v>Pass</v>
      </c>
      <c r="Z112">
        <f t="shared" si="11"/>
        <v>9104.427734375</v>
      </c>
      <c r="AA112">
        <v>1600</v>
      </c>
      <c r="AB112">
        <v>20</v>
      </c>
      <c r="AC112">
        <v>4</v>
      </c>
      <c r="AD112">
        <v>0.2</v>
      </c>
      <c r="AE112">
        <v>9104.4277932619298</v>
      </c>
      <c r="AK112" t="str">
        <f t="shared" si="12"/>
        <v>Pass</v>
      </c>
      <c r="AL112">
        <f t="shared" si="13"/>
        <v>15.546008110046387</v>
      </c>
      <c r="AM112">
        <v>53000</v>
      </c>
      <c r="AN112">
        <v>15.5460078051224</v>
      </c>
    </row>
    <row r="113" spans="1:40" x14ac:dyDescent="0.3">
      <c r="A113" t="str">
        <f>IF(ISBLANK(B113),"",IF(ROUND(B113,0)=ROUND(G113,0),"Pass","Fail"))</f>
        <v>Pass</v>
      </c>
      <c r="B113">
        <f t="shared" si="7"/>
        <v>25.219995498657227</v>
      </c>
      <c r="C113">
        <v>0</v>
      </c>
      <c r="D113">
        <v>10</v>
      </c>
      <c r="E113">
        <v>40</v>
      </c>
      <c r="F113">
        <v>16</v>
      </c>
      <c r="G113">
        <v>25.219997247101698</v>
      </c>
      <c r="M113" t="str">
        <f t="shared" si="8"/>
        <v>Pass</v>
      </c>
      <c r="N113">
        <f t="shared" si="9"/>
        <v>0</v>
      </c>
      <c r="O113">
        <v>0</v>
      </c>
      <c r="P113">
        <v>50</v>
      </c>
      <c r="Q113">
        <v>4</v>
      </c>
      <c r="R113" t="b">
        <v>0</v>
      </c>
      <c r="S113">
        <v>0</v>
      </c>
      <c r="Y113" t="str">
        <f t="shared" si="10"/>
        <v>Pass</v>
      </c>
      <c r="Z113">
        <f t="shared" si="11"/>
        <v>11553.58984375</v>
      </c>
      <c r="AA113">
        <v>1600</v>
      </c>
      <c r="AB113">
        <v>20</v>
      </c>
      <c r="AC113">
        <v>6</v>
      </c>
      <c r="AD113">
        <v>0.2</v>
      </c>
      <c r="AE113">
        <v>11553.5890297182</v>
      </c>
      <c r="AK113" t="str">
        <f t="shared" si="12"/>
        <v>Pass</v>
      </c>
      <c r="AL113">
        <f t="shared" si="13"/>
        <v>15.638684272766113</v>
      </c>
      <c r="AM113">
        <v>53500</v>
      </c>
      <c r="AN113">
        <v>15.638683846134301</v>
      </c>
    </row>
    <row r="114" spans="1:40" x14ac:dyDescent="0.3">
      <c r="A114" t="str">
        <f>IF(ISBLANK(B114),"",IF(ROUND(B114,0)=ROUND(G114,0),"Pass","Fail"))</f>
        <v>Pass</v>
      </c>
      <c r="B114">
        <f t="shared" si="7"/>
        <v>16.772575378417969</v>
      </c>
      <c r="C114">
        <v>0</v>
      </c>
      <c r="D114">
        <v>10</v>
      </c>
      <c r="E114">
        <v>40</v>
      </c>
      <c r="F114">
        <v>24</v>
      </c>
      <c r="G114">
        <v>16.772577413736201</v>
      </c>
      <c r="M114" t="str">
        <f t="shared" si="8"/>
        <v>Pass</v>
      </c>
      <c r="N114">
        <f t="shared" si="9"/>
        <v>0</v>
      </c>
      <c r="O114">
        <v>0</v>
      </c>
      <c r="P114">
        <v>60</v>
      </c>
      <c r="Q114">
        <v>0</v>
      </c>
      <c r="R114" t="b">
        <v>1</v>
      </c>
      <c r="S114">
        <v>0</v>
      </c>
      <c r="Y114" t="str">
        <f t="shared" si="10"/>
        <v>Pass</v>
      </c>
      <c r="Z114">
        <f t="shared" si="11"/>
        <v>13195.310546875</v>
      </c>
      <c r="AA114">
        <v>1600</v>
      </c>
      <c r="AB114">
        <v>20</v>
      </c>
      <c r="AC114">
        <v>8</v>
      </c>
      <c r="AD114">
        <v>0.2</v>
      </c>
      <c r="AE114">
        <v>13195.3109024883</v>
      </c>
      <c r="AK114" t="str">
        <f t="shared" si="12"/>
        <v>Pass</v>
      </c>
      <c r="AL114">
        <f t="shared" si="13"/>
        <v>15.731042861938477</v>
      </c>
      <c r="AM114">
        <v>54000</v>
      </c>
      <c r="AN114">
        <v>15.7310425560387</v>
      </c>
    </row>
    <row r="115" spans="1:40" x14ac:dyDescent="0.3">
      <c r="A115" t="str">
        <f>IF(ISBLANK(B115),"",IF(ROUND(B115,0)=ROUND(G115,0),"Pass","Fail"))</f>
        <v>Pass</v>
      </c>
      <c r="B115">
        <f t="shared" si="7"/>
        <v>12.520272254943848</v>
      </c>
      <c r="C115">
        <v>0</v>
      </c>
      <c r="D115">
        <v>10</v>
      </c>
      <c r="E115">
        <v>40</v>
      </c>
      <c r="F115">
        <v>32</v>
      </c>
      <c r="G115">
        <v>12.5202730059946</v>
      </c>
      <c r="M115" t="str">
        <f t="shared" si="8"/>
        <v>Pass</v>
      </c>
      <c r="N115">
        <f t="shared" si="9"/>
        <v>0</v>
      </c>
      <c r="O115">
        <v>0</v>
      </c>
      <c r="P115">
        <v>60</v>
      </c>
      <c r="Q115">
        <v>0</v>
      </c>
      <c r="R115" t="b">
        <v>0</v>
      </c>
      <c r="S115">
        <v>0</v>
      </c>
      <c r="Y115" t="str">
        <f t="shared" si="10"/>
        <v>Pass</v>
      </c>
      <c r="Z115">
        <f t="shared" si="11"/>
        <v>14295.791015625</v>
      </c>
      <c r="AA115">
        <v>1600</v>
      </c>
      <c r="AB115">
        <v>20</v>
      </c>
      <c r="AC115">
        <v>10</v>
      </c>
      <c r="AD115">
        <v>0.2</v>
      </c>
      <c r="AE115">
        <v>14295.7899838213</v>
      </c>
      <c r="AK115" t="str">
        <f t="shared" si="12"/>
        <v>Pass</v>
      </c>
      <c r="AL115">
        <f t="shared" si="13"/>
        <v>15.823087692260742</v>
      </c>
      <c r="AM115">
        <v>54500</v>
      </c>
      <c r="AN115">
        <v>15.823087944722801</v>
      </c>
    </row>
    <row r="116" spans="1:40" x14ac:dyDescent="0.3">
      <c r="A116" t="str">
        <f>IF(ISBLANK(B116),"",IF(ROUND(B116,0)=ROUND(G116,0),"Pass","Fail"))</f>
        <v>Pass</v>
      </c>
      <c r="B116">
        <f t="shared" si="7"/>
        <v>10.379726409912109</v>
      </c>
      <c r="C116">
        <v>0</v>
      </c>
      <c r="D116">
        <v>10</v>
      </c>
      <c r="E116">
        <v>40</v>
      </c>
      <c r="F116">
        <v>40</v>
      </c>
      <c r="G116">
        <v>10.379726764327099</v>
      </c>
      <c r="M116" t="str">
        <f t="shared" si="8"/>
        <v>Pass</v>
      </c>
      <c r="N116">
        <f t="shared" si="9"/>
        <v>0</v>
      </c>
      <c r="O116">
        <v>0</v>
      </c>
      <c r="P116">
        <v>60</v>
      </c>
      <c r="Q116">
        <v>0.5</v>
      </c>
      <c r="R116" t="b">
        <v>1</v>
      </c>
      <c r="S116">
        <v>0</v>
      </c>
      <c r="Y116" t="str">
        <f t="shared" si="10"/>
        <v>Pass</v>
      </c>
      <c r="Z116">
        <f t="shared" si="11"/>
        <v>15033.4638671875</v>
      </c>
      <c r="AA116">
        <v>1600</v>
      </c>
      <c r="AB116">
        <v>20</v>
      </c>
      <c r="AC116">
        <v>12</v>
      </c>
      <c r="AD116">
        <v>0.2</v>
      </c>
      <c r="AE116">
        <v>15033.463172281699</v>
      </c>
      <c r="AK116" t="str">
        <f t="shared" si="12"/>
        <v>Pass</v>
      </c>
      <c r="AL116">
        <f t="shared" si="13"/>
        <v>15.914823532104492</v>
      </c>
      <c r="AM116">
        <v>55000</v>
      </c>
      <c r="AN116">
        <v>15.9148239351398</v>
      </c>
    </row>
    <row r="117" spans="1:40" x14ac:dyDescent="0.3">
      <c r="A117" t="str">
        <f>IF(ISBLANK(B117),"",IF(ROUND(B117,0)=ROUND(G117,0),"Pass","Fail"))</f>
        <v>Pass</v>
      </c>
      <c r="B117">
        <f t="shared" si="7"/>
        <v>9.3022069931030273</v>
      </c>
      <c r="C117">
        <v>0</v>
      </c>
      <c r="D117">
        <v>10</v>
      </c>
      <c r="E117">
        <v>40</v>
      </c>
      <c r="F117">
        <v>48</v>
      </c>
      <c r="G117">
        <v>9.3022079008197203</v>
      </c>
      <c r="M117" t="str">
        <f t="shared" si="8"/>
        <v>Pass</v>
      </c>
      <c r="N117">
        <f t="shared" si="9"/>
        <v>0</v>
      </c>
      <c r="O117">
        <v>0</v>
      </c>
      <c r="P117">
        <v>60</v>
      </c>
      <c r="Q117">
        <v>0.5</v>
      </c>
      <c r="R117" t="b">
        <v>0</v>
      </c>
      <c r="S117">
        <v>0</v>
      </c>
      <c r="Y117" t="str">
        <f t="shared" si="10"/>
        <v>Pass</v>
      </c>
      <c r="Z117">
        <f t="shared" si="11"/>
        <v>15527.939453125</v>
      </c>
      <c r="AA117">
        <v>1600</v>
      </c>
      <c r="AB117">
        <v>20</v>
      </c>
      <c r="AC117">
        <v>14</v>
      </c>
      <c r="AD117">
        <v>0.2</v>
      </c>
      <c r="AE117">
        <v>15527.940297929699</v>
      </c>
      <c r="AK117" t="str">
        <f t="shared" si="12"/>
        <v>Pass</v>
      </c>
      <c r="AL117">
        <f t="shared" si="13"/>
        <v>16.006254196166992</v>
      </c>
      <c r="AM117">
        <v>55500</v>
      </c>
      <c r="AN117">
        <v>16.0062543659654</v>
      </c>
    </row>
    <row r="118" spans="1:40" x14ac:dyDescent="0.3">
      <c r="A118" t="str">
        <f>IF(ISBLANK(B118),"",IF(ROUND(B118,0)=ROUND(G118,0),"Pass","Fail"))</f>
        <v>Pass</v>
      </c>
      <c r="B118">
        <f t="shared" si="7"/>
        <v>75.337997436523438</v>
      </c>
      <c r="C118">
        <v>0</v>
      </c>
      <c r="D118">
        <v>10</v>
      </c>
      <c r="E118">
        <v>50</v>
      </c>
      <c r="F118">
        <v>0</v>
      </c>
      <c r="G118">
        <v>75.337999999999994</v>
      </c>
      <c r="M118" t="str">
        <f t="shared" si="8"/>
        <v>Pass</v>
      </c>
      <c r="N118">
        <f t="shared" si="9"/>
        <v>0</v>
      </c>
      <c r="O118">
        <v>0</v>
      </c>
      <c r="P118">
        <v>60</v>
      </c>
      <c r="Q118">
        <v>1</v>
      </c>
      <c r="R118" t="b">
        <v>1</v>
      </c>
      <c r="S118">
        <v>0</v>
      </c>
      <c r="Y118" t="str">
        <f t="shared" si="10"/>
        <v>Pass</v>
      </c>
      <c r="Z118">
        <f t="shared" si="11"/>
        <v>15859.3974609375</v>
      </c>
      <c r="AA118">
        <v>1600</v>
      </c>
      <c r="AB118">
        <v>20</v>
      </c>
      <c r="AC118">
        <v>16</v>
      </c>
      <c r="AD118">
        <v>0.2</v>
      </c>
      <c r="AE118">
        <v>15859.3982275576</v>
      </c>
      <c r="AK118" t="str">
        <f t="shared" si="12"/>
        <v>Pass</v>
      </c>
      <c r="AL118">
        <f t="shared" si="13"/>
        <v>16.097383499145508</v>
      </c>
      <c r="AM118">
        <v>56000</v>
      </c>
      <c r="AN118">
        <v>16.097382994150198</v>
      </c>
    </row>
    <row r="119" spans="1:40" x14ac:dyDescent="0.3">
      <c r="A119" t="str">
        <f>IF(ISBLANK(B119),"",IF(ROUND(B119,0)=ROUND(G119,0),"Pass","Fail"))</f>
        <v>Pass</v>
      </c>
      <c r="B119">
        <f t="shared" si="7"/>
        <v>42.001228332519531</v>
      </c>
      <c r="C119">
        <v>0</v>
      </c>
      <c r="D119">
        <v>10</v>
      </c>
      <c r="E119">
        <v>50</v>
      </c>
      <c r="F119">
        <v>8</v>
      </c>
      <c r="G119">
        <v>42.001228080723003</v>
      </c>
      <c r="M119" t="str">
        <f t="shared" si="8"/>
        <v>Pass</v>
      </c>
      <c r="N119">
        <f t="shared" si="9"/>
        <v>0</v>
      </c>
      <c r="O119">
        <v>0</v>
      </c>
      <c r="P119">
        <v>60</v>
      </c>
      <c r="Q119">
        <v>1</v>
      </c>
      <c r="R119" t="b">
        <v>0</v>
      </c>
      <c r="S119">
        <v>0</v>
      </c>
      <c r="Y119" t="str">
        <f t="shared" si="10"/>
        <v>Pass</v>
      </c>
      <c r="Z119">
        <f t="shared" si="11"/>
        <v>16081.58203125</v>
      </c>
      <c r="AA119">
        <v>1600</v>
      </c>
      <c r="AB119">
        <v>20</v>
      </c>
      <c r="AC119">
        <v>18</v>
      </c>
      <c r="AD119">
        <v>0.2</v>
      </c>
      <c r="AE119">
        <v>16081.5811222047</v>
      </c>
      <c r="AK119" t="str">
        <f t="shared" si="12"/>
        <v>Pass</v>
      </c>
      <c r="AL119">
        <f t="shared" si="13"/>
        <v>16.188213348388672</v>
      </c>
      <c r="AM119">
        <v>56500</v>
      </c>
      <c r="AN119">
        <v>16.188213497372601</v>
      </c>
    </row>
    <row r="120" spans="1:40" x14ac:dyDescent="0.3">
      <c r="A120" t="str">
        <f>IF(ISBLANK(B120),"",IF(ROUND(B120,0)=ROUND(G120,0),"Pass","Fail"))</f>
        <v>Pass</v>
      </c>
      <c r="B120">
        <f t="shared" si="7"/>
        <v>25.219995498657227</v>
      </c>
      <c r="C120">
        <v>0</v>
      </c>
      <c r="D120">
        <v>10</v>
      </c>
      <c r="E120">
        <v>50</v>
      </c>
      <c r="F120">
        <v>16</v>
      </c>
      <c r="G120">
        <v>25.219997247101698</v>
      </c>
      <c r="M120" t="str">
        <f t="shared" si="8"/>
        <v>Pass</v>
      </c>
      <c r="N120">
        <f t="shared" si="9"/>
        <v>0</v>
      </c>
      <c r="O120">
        <v>0</v>
      </c>
      <c r="P120">
        <v>60</v>
      </c>
      <c r="Q120">
        <v>1.5</v>
      </c>
      <c r="R120" t="b">
        <v>1</v>
      </c>
      <c r="S120">
        <v>0</v>
      </c>
      <c r="Y120" t="str">
        <f t="shared" si="10"/>
        <v>Pass</v>
      </c>
      <c r="Z120">
        <f t="shared" si="11"/>
        <v>16230.515625</v>
      </c>
      <c r="AA120">
        <v>1600</v>
      </c>
      <c r="AB120">
        <v>20</v>
      </c>
      <c r="AC120">
        <v>20</v>
      </c>
      <c r="AD120">
        <v>0.2</v>
      </c>
      <c r="AE120">
        <v>16230.5147703729</v>
      </c>
      <c r="AK120" t="str">
        <f t="shared" si="12"/>
        <v>Pass</v>
      </c>
      <c r="AL120">
        <f t="shared" si="13"/>
        <v>16.278749465942383</v>
      </c>
      <c r="AM120">
        <v>57000</v>
      </c>
      <c r="AN120">
        <v>16.278749476397</v>
      </c>
    </row>
    <row r="121" spans="1:40" x14ac:dyDescent="0.3">
      <c r="A121" t="str">
        <f>IF(ISBLANK(B121),"",IF(ROUND(B121,0)=ROUND(G121,0),"Pass","Fail"))</f>
        <v>Pass</v>
      </c>
      <c r="B121">
        <f t="shared" si="7"/>
        <v>16.772575378417969</v>
      </c>
      <c r="C121">
        <v>0</v>
      </c>
      <c r="D121">
        <v>10</v>
      </c>
      <c r="E121">
        <v>50</v>
      </c>
      <c r="F121">
        <v>24</v>
      </c>
      <c r="G121">
        <v>16.772577413736201</v>
      </c>
      <c r="M121" t="str">
        <f t="shared" si="8"/>
        <v>Pass</v>
      </c>
      <c r="N121">
        <f t="shared" si="9"/>
        <v>0</v>
      </c>
      <c r="O121">
        <v>0</v>
      </c>
      <c r="P121">
        <v>60</v>
      </c>
      <c r="Q121">
        <v>1.5</v>
      </c>
      <c r="R121" t="b">
        <v>0</v>
      </c>
      <c r="S121">
        <v>0</v>
      </c>
      <c r="Y121" t="str">
        <f t="shared" si="10"/>
        <v>Pass</v>
      </c>
      <c r="Z121">
        <f t="shared" si="11"/>
        <v>16330.3486328125</v>
      </c>
      <c r="AA121">
        <v>1600</v>
      </c>
      <c r="AB121">
        <v>20</v>
      </c>
      <c r="AC121">
        <v>22</v>
      </c>
      <c r="AD121">
        <v>0.2</v>
      </c>
      <c r="AE121">
        <v>16330.3479802692</v>
      </c>
      <c r="AK121" t="str">
        <f t="shared" si="12"/>
        <v>Pass</v>
      </c>
      <c r="AL121">
        <f t="shared" si="13"/>
        <v>16.368993759155273</v>
      </c>
      <c r="AM121">
        <v>57500</v>
      </c>
      <c r="AN121">
        <v>16.368994457342399</v>
      </c>
    </row>
    <row r="122" spans="1:40" x14ac:dyDescent="0.3">
      <c r="A122" t="str">
        <f>IF(ISBLANK(B122),"",IF(ROUND(B122,0)=ROUND(G122,0),"Pass","Fail"))</f>
        <v>Pass</v>
      </c>
      <c r="B122">
        <f t="shared" si="7"/>
        <v>12.520272254943848</v>
      </c>
      <c r="C122">
        <v>0</v>
      </c>
      <c r="D122">
        <v>10</v>
      </c>
      <c r="E122">
        <v>50</v>
      </c>
      <c r="F122">
        <v>32</v>
      </c>
      <c r="G122">
        <v>12.5202730059946</v>
      </c>
      <c r="M122" t="str">
        <f t="shared" si="8"/>
        <v>Pass</v>
      </c>
      <c r="N122">
        <f t="shared" si="9"/>
        <v>0</v>
      </c>
      <c r="O122">
        <v>0</v>
      </c>
      <c r="P122">
        <v>60</v>
      </c>
      <c r="Q122">
        <v>2</v>
      </c>
      <c r="R122" t="b">
        <v>1</v>
      </c>
      <c r="S122">
        <v>0</v>
      </c>
      <c r="Y122" t="str">
        <f t="shared" si="10"/>
        <v>Pass</v>
      </c>
      <c r="Z122">
        <f t="shared" si="11"/>
        <v>16397.26953125</v>
      </c>
      <c r="AA122">
        <v>1600</v>
      </c>
      <c r="AB122">
        <v>20</v>
      </c>
      <c r="AC122">
        <v>24</v>
      </c>
      <c r="AD122">
        <v>0.2</v>
      </c>
      <c r="AE122">
        <v>16397.2681821228</v>
      </c>
      <c r="AK122" t="str">
        <f t="shared" si="12"/>
        <v>Pass</v>
      </c>
      <c r="AL122">
        <f t="shared" si="13"/>
        <v>16.458951950073242</v>
      </c>
      <c r="AM122">
        <v>58000</v>
      </c>
      <c r="AN122">
        <v>16.458951893863802</v>
      </c>
    </row>
    <row r="123" spans="1:40" x14ac:dyDescent="0.3">
      <c r="A123" t="str">
        <f>IF(ISBLANK(B123),"",IF(ROUND(B123,0)=ROUND(G123,0),"Pass","Fail"))</f>
        <v>Pass</v>
      </c>
      <c r="B123">
        <f t="shared" si="7"/>
        <v>10.379726409912109</v>
      </c>
      <c r="C123">
        <v>0</v>
      </c>
      <c r="D123">
        <v>10</v>
      </c>
      <c r="E123">
        <v>50</v>
      </c>
      <c r="F123">
        <v>40</v>
      </c>
      <c r="G123">
        <v>10.379726764327099</v>
      </c>
      <c r="M123" t="str">
        <f t="shared" si="8"/>
        <v>Pass</v>
      </c>
      <c r="N123">
        <f t="shared" si="9"/>
        <v>0</v>
      </c>
      <c r="O123">
        <v>0</v>
      </c>
      <c r="P123">
        <v>60</v>
      </c>
      <c r="Q123">
        <v>2</v>
      </c>
      <c r="R123" t="b">
        <v>0</v>
      </c>
      <c r="S123">
        <v>0</v>
      </c>
      <c r="Y123" t="str">
        <f t="shared" si="10"/>
        <v>Pass</v>
      </c>
      <c r="Z123">
        <f t="shared" si="11"/>
        <v>0</v>
      </c>
      <c r="AA123">
        <v>1800</v>
      </c>
      <c r="AB123">
        <v>20</v>
      </c>
      <c r="AC123">
        <v>0</v>
      </c>
      <c r="AD123">
        <v>0.2</v>
      </c>
      <c r="AE123">
        <v>0</v>
      </c>
      <c r="AK123" t="str">
        <f t="shared" si="12"/>
        <v>Pass</v>
      </c>
      <c r="AL123">
        <f t="shared" si="13"/>
        <v>16.548625946044922</v>
      </c>
      <c r="AM123">
        <v>58500</v>
      </c>
      <c r="AN123">
        <v>16.548625169252901</v>
      </c>
    </row>
    <row r="124" spans="1:40" x14ac:dyDescent="0.3">
      <c r="A124" t="str">
        <f>IF(ISBLANK(B124),"",IF(ROUND(B124,0)=ROUND(G124,0),"Pass","Fail"))</f>
        <v>Pass</v>
      </c>
      <c r="B124">
        <f t="shared" si="7"/>
        <v>9.3022069931030273</v>
      </c>
      <c r="C124">
        <v>0</v>
      </c>
      <c r="D124">
        <v>10</v>
      </c>
      <c r="E124">
        <v>50</v>
      </c>
      <c r="F124">
        <v>48</v>
      </c>
      <c r="G124">
        <v>9.3022079008197203</v>
      </c>
      <c r="M124" t="str">
        <f t="shared" si="8"/>
        <v>Pass</v>
      </c>
      <c r="N124">
        <f t="shared" si="9"/>
        <v>0</v>
      </c>
      <c r="O124">
        <v>0</v>
      </c>
      <c r="P124">
        <v>60</v>
      </c>
      <c r="Q124">
        <v>2.5</v>
      </c>
      <c r="R124" t="b">
        <v>1</v>
      </c>
      <c r="S124">
        <v>0</v>
      </c>
      <c r="Y124" t="str">
        <f t="shared" si="10"/>
        <v>Pass</v>
      </c>
      <c r="Z124">
        <f t="shared" si="11"/>
        <v>6132.046875</v>
      </c>
      <c r="AA124">
        <v>1800</v>
      </c>
      <c r="AB124">
        <v>20</v>
      </c>
      <c r="AC124">
        <v>2</v>
      </c>
      <c r="AD124">
        <v>0.2</v>
      </c>
      <c r="AE124">
        <v>6132.0471437370998</v>
      </c>
      <c r="AK124" t="str">
        <f t="shared" si="12"/>
        <v>Pass</v>
      </c>
      <c r="AL124">
        <f t="shared" si="13"/>
        <v>16.638017654418945</v>
      </c>
      <c r="AM124">
        <v>59000</v>
      </c>
      <c r="AN124">
        <v>16.638017598459701</v>
      </c>
    </row>
    <row r="125" spans="1:40" x14ac:dyDescent="0.3">
      <c r="A125" t="str">
        <f>IF(ISBLANK(B125),"",IF(ROUND(B125,0)=ROUND(G125,0),"Pass","Fail"))</f>
        <v>Pass</v>
      </c>
      <c r="B125">
        <f t="shared" si="7"/>
        <v>75.337997436523438</v>
      </c>
      <c r="C125">
        <v>0</v>
      </c>
      <c r="D125">
        <v>10</v>
      </c>
      <c r="E125">
        <v>60</v>
      </c>
      <c r="F125">
        <v>0</v>
      </c>
      <c r="G125">
        <v>75.337999999999994</v>
      </c>
      <c r="M125" t="str">
        <f t="shared" si="8"/>
        <v>Pass</v>
      </c>
      <c r="N125">
        <f t="shared" si="9"/>
        <v>0</v>
      </c>
      <c r="O125">
        <v>0</v>
      </c>
      <c r="P125">
        <v>60</v>
      </c>
      <c r="Q125">
        <v>2.5</v>
      </c>
      <c r="R125" t="b">
        <v>0</v>
      </c>
      <c r="S125">
        <v>0</v>
      </c>
      <c r="Y125" t="str">
        <f t="shared" si="10"/>
        <v>Pass</v>
      </c>
      <c r="Z125">
        <f t="shared" si="11"/>
        <v>10242.4814453125</v>
      </c>
      <c r="AA125">
        <v>1800</v>
      </c>
      <c r="AB125">
        <v>20</v>
      </c>
      <c r="AC125">
        <v>4</v>
      </c>
      <c r="AD125">
        <v>0.2</v>
      </c>
      <c r="AE125">
        <v>10242.4812674196</v>
      </c>
      <c r="AK125" t="str">
        <f t="shared" si="12"/>
        <v>Pass</v>
      </c>
      <c r="AL125">
        <f t="shared" si="13"/>
        <v>16.727132797241211</v>
      </c>
      <c r="AM125">
        <v>59500</v>
      </c>
      <c r="AN125">
        <v>16.727132430039401</v>
      </c>
    </row>
    <row r="126" spans="1:40" x14ac:dyDescent="0.3">
      <c r="A126" t="str">
        <f>IF(ISBLANK(B126),"",IF(ROUND(B126,0)=ROUND(G126,0),"Pass","Fail"))</f>
        <v>Pass</v>
      </c>
      <c r="B126">
        <f t="shared" si="7"/>
        <v>42.001228332519531</v>
      </c>
      <c r="C126">
        <v>0</v>
      </c>
      <c r="D126">
        <v>10</v>
      </c>
      <c r="E126">
        <v>60</v>
      </c>
      <c r="F126">
        <v>8</v>
      </c>
      <c r="G126">
        <v>42.001228080723003</v>
      </c>
      <c r="M126" t="str">
        <f t="shared" si="8"/>
        <v>Pass</v>
      </c>
      <c r="N126">
        <f t="shared" si="9"/>
        <v>0</v>
      </c>
      <c r="O126">
        <v>0</v>
      </c>
      <c r="P126">
        <v>60</v>
      </c>
      <c r="Q126">
        <v>3</v>
      </c>
      <c r="R126" t="b">
        <v>1</v>
      </c>
      <c r="S126">
        <v>0</v>
      </c>
      <c r="Y126" t="str">
        <f t="shared" si="10"/>
        <v>Pass</v>
      </c>
      <c r="Z126">
        <f t="shared" si="11"/>
        <v>12997.7880859375</v>
      </c>
      <c r="AA126">
        <v>1800</v>
      </c>
      <c r="AB126">
        <v>20</v>
      </c>
      <c r="AC126">
        <v>6</v>
      </c>
      <c r="AD126">
        <v>0.2</v>
      </c>
      <c r="AE126">
        <v>12997.787658433001</v>
      </c>
      <c r="AK126" t="str">
        <f t="shared" si="12"/>
        <v>Pass</v>
      </c>
      <c r="AL126">
        <f t="shared" si="13"/>
        <v>16.815973281860352</v>
      </c>
      <c r="AM126">
        <v>60000</v>
      </c>
      <c r="AN126">
        <v>16.815972848028601</v>
      </c>
    </row>
    <row r="127" spans="1:40" x14ac:dyDescent="0.3">
      <c r="A127" t="str">
        <f>IF(ISBLANK(B127),"",IF(ROUND(B127,0)=ROUND(G127,0),"Pass","Fail"))</f>
        <v>Pass</v>
      </c>
      <c r="B127">
        <f t="shared" si="7"/>
        <v>25.219995498657227</v>
      </c>
      <c r="C127">
        <v>0</v>
      </c>
      <c r="D127">
        <v>10</v>
      </c>
      <c r="E127">
        <v>60</v>
      </c>
      <c r="F127">
        <v>16</v>
      </c>
      <c r="G127">
        <v>25.219997247101698</v>
      </c>
      <c r="M127" t="str">
        <f t="shared" si="8"/>
        <v>Pass</v>
      </c>
      <c r="N127">
        <f t="shared" si="9"/>
        <v>0</v>
      </c>
      <c r="O127">
        <v>0</v>
      </c>
      <c r="P127">
        <v>60</v>
      </c>
      <c r="Q127">
        <v>3</v>
      </c>
      <c r="R127" t="b">
        <v>0</v>
      </c>
      <c r="S127">
        <v>0</v>
      </c>
      <c r="Y127" t="str">
        <f t="shared" si="10"/>
        <v>Pass</v>
      </c>
      <c r="Z127">
        <f t="shared" si="11"/>
        <v>14844.724609375</v>
      </c>
      <c r="AA127">
        <v>1800</v>
      </c>
      <c r="AB127">
        <v>20</v>
      </c>
      <c r="AC127">
        <v>8</v>
      </c>
      <c r="AD127">
        <v>0.2</v>
      </c>
      <c r="AE127">
        <v>14844.724765299399</v>
      </c>
      <c r="AK127" t="str">
        <f t="shared" si="12"/>
        <v>Pass</v>
      </c>
      <c r="AL127">
        <f t="shared" si="13"/>
        <v>16.904542922973633</v>
      </c>
      <c r="AM127">
        <v>60500</v>
      </c>
      <c r="AN127">
        <v>16.904541973752401</v>
      </c>
    </row>
    <row r="128" spans="1:40" x14ac:dyDescent="0.3">
      <c r="A128" t="str">
        <f>IF(ISBLANK(B128),"",IF(ROUND(B128,0)=ROUND(G128,0),"Pass","Fail"))</f>
        <v>Pass</v>
      </c>
      <c r="B128">
        <f t="shared" si="7"/>
        <v>16.772575378417969</v>
      </c>
      <c r="C128">
        <v>0</v>
      </c>
      <c r="D128">
        <v>10</v>
      </c>
      <c r="E128">
        <v>60</v>
      </c>
      <c r="F128">
        <v>24</v>
      </c>
      <c r="G128">
        <v>16.772577413736201</v>
      </c>
      <c r="M128" t="str">
        <f t="shared" si="8"/>
        <v>Pass</v>
      </c>
      <c r="N128">
        <f t="shared" si="9"/>
        <v>0</v>
      </c>
      <c r="O128">
        <v>0</v>
      </c>
      <c r="P128">
        <v>60</v>
      </c>
      <c r="Q128">
        <v>3.5</v>
      </c>
      <c r="R128" t="b">
        <v>1</v>
      </c>
      <c r="S128">
        <v>0</v>
      </c>
      <c r="Y128" t="str">
        <f t="shared" si="10"/>
        <v>Pass</v>
      </c>
      <c r="Z128">
        <f t="shared" si="11"/>
        <v>16082.7646484375</v>
      </c>
      <c r="AA128">
        <v>1800</v>
      </c>
      <c r="AB128">
        <v>20</v>
      </c>
      <c r="AC128">
        <v>10</v>
      </c>
      <c r="AD128">
        <v>0.2</v>
      </c>
      <c r="AE128">
        <v>16082.763731798999</v>
      </c>
      <c r="AK128" t="str">
        <f t="shared" si="12"/>
        <v>Pass</v>
      </c>
      <c r="AL128">
        <f t="shared" si="13"/>
        <v>16.992843627929688</v>
      </c>
      <c r="AM128">
        <v>61000</v>
      </c>
      <c r="AN128">
        <v>16.992842867567301</v>
      </c>
    </row>
    <row r="129" spans="1:40" x14ac:dyDescent="0.3">
      <c r="A129" t="str">
        <f>IF(ISBLANK(B129),"",IF(ROUND(B129,0)=ROUND(G129,0),"Pass","Fail"))</f>
        <v>Pass</v>
      </c>
      <c r="B129">
        <f t="shared" si="7"/>
        <v>12.520272254943848</v>
      </c>
      <c r="C129">
        <v>0</v>
      </c>
      <c r="D129">
        <v>10</v>
      </c>
      <c r="E129">
        <v>60</v>
      </c>
      <c r="F129">
        <v>32</v>
      </c>
      <c r="G129">
        <v>12.5202730059946</v>
      </c>
      <c r="M129" t="str">
        <f t="shared" si="8"/>
        <v>Pass</v>
      </c>
      <c r="N129">
        <f t="shared" si="9"/>
        <v>0</v>
      </c>
      <c r="O129">
        <v>0</v>
      </c>
      <c r="P129">
        <v>60</v>
      </c>
      <c r="Q129">
        <v>3.5</v>
      </c>
      <c r="R129" t="b">
        <v>0</v>
      </c>
      <c r="S129">
        <v>0</v>
      </c>
      <c r="Y129" t="str">
        <f t="shared" si="10"/>
        <v>Pass</v>
      </c>
      <c r="Z129">
        <f t="shared" si="11"/>
        <v>16912.646484375</v>
      </c>
      <c r="AA129">
        <v>1800</v>
      </c>
      <c r="AB129">
        <v>20</v>
      </c>
      <c r="AC129">
        <v>12</v>
      </c>
      <c r="AD129">
        <v>0.2</v>
      </c>
      <c r="AE129">
        <v>16912.646068816899</v>
      </c>
      <c r="AK129" t="str">
        <f t="shared" si="12"/>
        <v>Pass</v>
      </c>
      <c r="AL129">
        <f t="shared" si="13"/>
        <v>17.080879211425781</v>
      </c>
      <c r="AM129">
        <v>61500</v>
      </c>
      <c r="AN129">
        <v>17.080878530541199</v>
      </c>
    </row>
    <row r="130" spans="1:40" x14ac:dyDescent="0.3">
      <c r="A130" t="str">
        <f>IF(ISBLANK(B130),"",IF(ROUND(B130,0)=ROUND(G130,0),"Pass","Fail"))</f>
        <v>Pass</v>
      </c>
      <c r="B130">
        <f t="shared" si="7"/>
        <v>10.379726409912109</v>
      </c>
      <c r="C130">
        <v>0</v>
      </c>
      <c r="D130">
        <v>10</v>
      </c>
      <c r="E130">
        <v>60</v>
      </c>
      <c r="F130">
        <v>40</v>
      </c>
      <c r="G130">
        <v>10.379726764327099</v>
      </c>
      <c r="M130" t="str">
        <f t="shared" si="8"/>
        <v>Pass</v>
      </c>
      <c r="N130">
        <f t="shared" si="9"/>
        <v>0</v>
      </c>
      <c r="O130">
        <v>0</v>
      </c>
      <c r="P130">
        <v>60</v>
      </c>
      <c r="Q130">
        <v>4</v>
      </c>
      <c r="R130" t="b">
        <v>1</v>
      </c>
      <c r="S130">
        <v>0</v>
      </c>
      <c r="Y130" t="str">
        <f t="shared" si="10"/>
        <v>Pass</v>
      </c>
      <c r="Z130">
        <f t="shared" si="11"/>
        <v>17468.931640625</v>
      </c>
      <c r="AA130">
        <v>1800</v>
      </c>
      <c r="AB130">
        <v>20</v>
      </c>
      <c r="AC130">
        <v>14</v>
      </c>
      <c r="AD130">
        <v>0.2</v>
      </c>
      <c r="AE130">
        <v>17468.932835170901</v>
      </c>
      <c r="AK130" t="str">
        <f t="shared" si="12"/>
        <v>Pass</v>
      </c>
      <c r="AL130">
        <f t="shared" si="13"/>
        <v>17.168651580810547</v>
      </c>
      <c r="AM130">
        <v>62000</v>
      </c>
      <c r="AN130">
        <v>17.168651906074</v>
      </c>
    </row>
    <row r="131" spans="1:40" x14ac:dyDescent="0.3">
      <c r="A131" t="str">
        <f>IF(ISBLANK(B131),"",IF(ROUND(B131,0)=ROUND(G131,0),"Pass","Fail"))</f>
        <v>Pass</v>
      </c>
      <c r="B131">
        <f t="shared" si="7"/>
        <v>9.3022069931030273</v>
      </c>
      <c r="C131">
        <v>0</v>
      </c>
      <c r="D131">
        <v>10</v>
      </c>
      <c r="E131">
        <v>60</v>
      </c>
      <c r="F131">
        <v>48</v>
      </c>
      <c r="G131">
        <v>9.3022079008197203</v>
      </c>
      <c r="M131" t="str">
        <f t="shared" si="8"/>
        <v>Pass</v>
      </c>
      <c r="N131">
        <f t="shared" si="9"/>
        <v>0</v>
      </c>
      <c r="O131">
        <v>0</v>
      </c>
      <c r="P131">
        <v>60</v>
      </c>
      <c r="Q131">
        <v>4</v>
      </c>
      <c r="R131" t="b">
        <v>0</v>
      </c>
      <c r="S131">
        <v>0</v>
      </c>
      <c r="Y131" t="str">
        <f t="shared" si="10"/>
        <v>Pass</v>
      </c>
      <c r="Z131">
        <f t="shared" si="11"/>
        <v>17841.822265625</v>
      </c>
      <c r="AA131">
        <v>1800</v>
      </c>
      <c r="AB131">
        <v>20</v>
      </c>
      <c r="AC131">
        <v>16</v>
      </c>
      <c r="AD131">
        <v>0.2</v>
      </c>
      <c r="AE131">
        <v>17841.823006002302</v>
      </c>
      <c r="AK131" t="str">
        <f t="shared" si="12"/>
        <v>Pass</v>
      </c>
      <c r="AL131">
        <f t="shared" si="13"/>
        <v>17.256166458129883</v>
      </c>
      <c r="AM131">
        <v>62500</v>
      </c>
      <c r="AN131">
        <v>17.2561658814612</v>
      </c>
    </row>
    <row r="132" spans="1:40" x14ac:dyDescent="0.3">
      <c r="A132" t="str">
        <f>IF(ISBLANK(B132),"",IF(ROUND(B132,0)=ROUND(G132,0),"Pass","Fail"))</f>
        <v>Pass</v>
      </c>
      <c r="B132">
        <f t="shared" si="7"/>
        <v>75.337997436523438</v>
      </c>
      <c r="C132">
        <v>0</v>
      </c>
      <c r="D132">
        <v>10</v>
      </c>
      <c r="E132">
        <v>70</v>
      </c>
      <c r="F132">
        <v>0</v>
      </c>
      <c r="G132">
        <v>75.337999999999994</v>
      </c>
      <c r="M132" t="str">
        <f t="shared" si="8"/>
        <v>Pass</v>
      </c>
      <c r="N132">
        <f t="shared" si="9"/>
        <v>0</v>
      </c>
      <c r="O132">
        <v>0</v>
      </c>
      <c r="P132">
        <v>70</v>
      </c>
      <c r="Q132">
        <v>0</v>
      </c>
      <c r="R132" t="b">
        <v>1</v>
      </c>
      <c r="S132">
        <v>0</v>
      </c>
      <c r="Y132" t="str">
        <f t="shared" si="10"/>
        <v>Pass</v>
      </c>
      <c r="Z132">
        <f t="shared" si="11"/>
        <v>18091.779296875</v>
      </c>
      <c r="AA132">
        <v>1800</v>
      </c>
      <c r="AB132">
        <v>20</v>
      </c>
      <c r="AC132">
        <v>18</v>
      </c>
      <c r="AD132">
        <v>0.2</v>
      </c>
      <c r="AE132">
        <v>18091.778762480299</v>
      </c>
      <c r="AK132" t="str">
        <f t="shared" si="12"/>
        <v>Pass</v>
      </c>
      <c r="AL132">
        <f t="shared" si="13"/>
        <v>17.343423843383789</v>
      </c>
      <c r="AM132">
        <v>63000</v>
      </c>
      <c r="AN132">
        <v>17.343423289402999</v>
      </c>
    </row>
    <row r="133" spans="1:40" x14ac:dyDescent="0.3">
      <c r="A133" t="str">
        <f>IF(ISBLANK(B133),"",IF(ROUND(B133,0)=ROUND(G133,0),"Pass","Fail"))</f>
        <v>Pass</v>
      </c>
      <c r="B133">
        <f t="shared" si="7"/>
        <v>42.001228332519531</v>
      </c>
      <c r="C133">
        <v>0</v>
      </c>
      <c r="D133">
        <v>10</v>
      </c>
      <c r="E133">
        <v>70</v>
      </c>
      <c r="F133">
        <v>8</v>
      </c>
      <c r="G133">
        <v>42.001228080723003</v>
      </c>
      <c r="M133" t="str">
        <f t="shared" si="8"/>
        <v>Pass</v>
      </c>
      <c r="N133">
        <f t="shared" si="9"/>
        <v>0</v>
      </c>
      <c r="O133">
        <v>0</v>
      </c>
      <c r="P133">
        <v>70</v>
      </c>
      <c r="Q133">
        <v>0</v>
      </c>
      <c r="R133" t="b">
        <v>0</v>
      </c>
      <c r="S133">
        <v>0</v>
      </c>
      <c r="Y133" t="str">
        <f t="shared" si="10"/>
        <v>Pass</v>
      </c>
      <c r="Z133">
        <f t="shared" si="11"/>
        <v>18259.330078125</v>
      </c>
      <c r="AA133">
        <v>1800</v>
      </c>
      <c r="AB133">
        <v>20</v>
      </c>
      <c r="AC133">
        <v>20</v>
      </c>
      <c r="AD133">
        <v>0.2</v>
      </c>
      <c r="AE133">
        <v>18259.329116669502</v>
      </c>
      <c r="AK133" t="str">
        <f t="shared" si="12"/>
        <v>Pass</v>
      </c>
      <c r="AL133">
        <f t="shared" si="13"/>
        <v>17.430427551269531</v>
      </c>
      <c r="AM133">
        <v>63500</v>
      </c>
      <c r="AN133">
        <v>17.4304269094612</v>
      </c>
    </row>
    <row r="134" spans="1:40" x14ac:dyDescent="0.3">
      <c r="A134" t="str">
        <f>IF(ISBLANK(B134),"",IF(ROUND(B134,0)=ROUND(G134,0),"Pass","Fail"))</f>
        <v>Pass</v>
      </c>
      <c r="B134">
        <f t="shared" si="7"/>
        <v>25.219995498657227</v>
      </c>
      <c r="C134">
        <v>0</v>
      </c>
      <c r="D134">
        <v>10</v>
      </c>
      <c r="E134">
        <v>70</v>
      </c>
      <c r="F134">
        <v>16</v>
      </c>
      <c r="G134">
        <v>25.219997247101698</v>
      </c>
      <c r="M134" t="str">
        <f t="shared" si="8"/>
        <v>Pass</v>
      </c>
      <c r="N134">
        <f t="shared" si="9"/>
        <v>0</v>
      </c>
      <c r="O134">
        <v>0</v>
      </c>
      <c r="P134">
        <v>70</v>
      </c>
      <c r="Q134">
        <v>0.5</v>
      </c>
      <c r="R134" t="b">
        <v>1</v>
      </c>
      <c r="S134">
        <v>0</v>
      </c>
      <c r="Y134" t="str">
        <f t="shared" si="10"/>
        <v>Pass</v>
      </c>
      <c r="Z134">
        <f t="shared" si="11"/>
        <v>18371.642578125</v>
      </c>
      <c r="AA134">
        <v>1800</v>
      </c>
      <c r="AB134">
        <v>20</v>
      </c>
      <c r="AC134">
        <v>22</v>
      </c>
      <c r="AD134">
        <v>0.2</v>
      </c>
      <c r="AE134">
        <v>18371.641477802899</v>
      </c>
      <c r="AK134" t="str">
        <f t="shared" si="12"/>
        <v>Pass</v>
      </c>
      <c r="AL134">
        <f t="shared" si="13"/>
        <v>17.517179489135742</v>
      </c>
      <c r="AM134">
        <v>64000</v>
      </c>
      <c r="AN134">
        <v>17.517179469465901</v>
      </c>
    </row>
    <row r="135" spans="1:40" x14ac:dyDescent="0.3">
      <c r="A135" t="str">
        <f>IF(ISBLANK(B135),"",IF(ROUND(B135,0)=ROUND(G135,0),"Pass","Fail"))</f>
        <v>Pass</v>
      </c>
      <c r="B135">
        <f t="shared" ref="B135:B198" si="14">FMC_heath(C135,D135,E135,F135)</f>
        <v>16.772575378417969</v>
      </c>
      <c r="C135">
        <v>0</v>
      </c>
      <c r="D135">
        <v>10</v>
      </c>
      <c r="E135">
        <v>70</v>
      </c>
      <c r="F135">
        <v>24</v>
      </c>
      <c r="G135">
        <v>16.772577413736201</v>
      </c>
      <c r="M135" t="str">
        <f t="shared" ref="M135:M198" si="15">IF(ISBLANK(N135),"",IF(ROUND(N135,0)=ROUND(S135,0),"Pass","Fail"))</f>
        <v>Pass</v>
      </c>
      <c r="N135">
        <f t="shared" ref="N135:N198" si="16">ROS_heath(O135,Q135,P135,R135)</f>
        <v>0</v>
      </c>
      <c r="O135">
        <v>0</v>
      </c>
      <c r="P135">
        <v>70</v>
      </c>
      <c r="Q135">
        <v>0.5</v>
      </c>
      <c r="R135" t="b">
        <v>0</v>
      </c>
      <c r="S135">
        <v>0</v>
      </c>
      <c r="Y135" t="str">
        <f t="shared" ref="Y135:Y198" si="17">IF(ISBLANK(Z135),"",IF(ROUND(Z135,0)=ROUND(AE135,0),"Pass","Fail"))</f>
        <v>Pass</v>
      </c>
      <c r="Z135">
        <f t="shared" ref="Z135:Z198" si="18">intensity_heath(AA135,AB135,AC135,AD135)</f>
        <v>18446.927734375</v>
      </c>
      <c r="AA135">
        <v>1800</v>
      </c>
      <c r="AB135">
        <v>20</v>
      </c>
      <c r="AC135">
        <v>24</v>
      </c>
      <c r="AD135">
        <v>0.2</v>
      </c>
      <c r="AE135">
        <v>18446.926704888199</v>
      </c>
      <c r="AK135" t="str">
        <f t="shared" ref="AK135:AK198" si="19">IF(ISBLANK(AL135),"",IF(ROUND(AL135,0)=ROUND(AN135,0),"Pass","Fail"))</f>
        <v>Pass</v>
      </c>
      <c r="AL135">
        <f t="shared" ref="AL135:AL198" si="20">Flame_height_heath(AM135)</f>
        <v>17.603683471679688</v>
      </c>
      <c r="AM135">
        <v>64500</v>
      </c>
      <c r="AN135">
        <v>17.6036836468746</v>
      </c>
    </row>
    <row r="136" spans="1:40" x14ac:dyDescent="0.3">
      <c r="A136" t="str">
        <f>IF(ISBLANK(B136),"",IF(ROUND(B136,0)=ROUND(G136,0),"Pass","Fail"))</f>
        <v>Pass</v>
      </c>
      <c r="B136">
        <f t="shared" si="14"/>
        <v>12.520272254943848</v>
      </c>
      <c r="C136">
        <v>0</v>
      </c>
      <c r="D136">
        <v>10</v>
      </c>
      <c r="E136">
        <v>70</v>
      </c>
      <c r="F136">
        <v>32</v>
      </c>
      <c r="G136">
        <v>12.5202730059946</v>
      </c>
      <c r="M136" t="str">
        <f t="shared" si="15"/>
        <v>Pass</v>
      </c>
      <c r="N136">
        <f t="shared" si="16"/>
        <v>0</v>
      </c>
      <c r="O136">
        <v>0</v>
      </c>
      <c r="P136">
        <v>70</v>
      </c>
      <c r="Q136">
        <v>1</v>
      </c>
      <c r="R136" t="b">
        <v>1</v>
      </c>
      <c r="S136">
        <v>0</v>
      </c>
      <c r="Y136" t="str">
        <f t="shared" si="17"/>
        <v>Pass</v>
      </c>
      <c r="Z136">
        <f t="shared" si="18"/>
        <v>0</v>
      </c>
      <c r="AA136">
        <v>2000</v>
      </c>
      <c r="AB136">
        <v>20</v>
      </c>
      <c r="AC136">
        <v>0</v>
      </c>
      <c r="AD136">
        <v>0.2</v>
      </c>
      <c r="AE136">
        <v>0</v>
      </c>
      <c r="AK136" t="str">
        <f t="shared" si="19"/>
        <v>Pass</v>
      </c>
      <c r="AL136">
        <f t="shared" si="20"/>
        <v>17.68994140625</v>
      </c>
      <c r="AM136">
        <v>65000</v>
      </c>
      <c r="AN136">
        <v>17.689942070084602</v>
      </c>
    </row>
    <row r="137" spans="1:40" x14ac:dyDescent="0.3">
      <c r="A137" t="str">
        <f>IF(ISBLANK(B137),"",IF(ROUND(B137,0)=ROUND(G137,0),"Pass","Fail"))</f>
        <v>Pass</v>
      </c>
      <c r="B137">
        <f t="shared" si="14"/>
        <v>10.379726409912109</v>
      </c>
      <c r="C137">
        <v>0</v>
      </c>
      <c r="D137">
        <v>10</v>
      </c>
      <c r="E137">
        <v>70</v>
      </c>
      <c r="F137">
        <v>40</v>
      </c>
      <c r="G137">
        <v>10.379726764327099</v>
      </c>
      <c r="M137" t="str">
        <f t="shared" si="15"/>
        <v>Pass</v>
      </c>
      <c r="N137">
        <f t="shared" si="16"/>
        <v>0</v>
      </c>
      <c r="O137">
        <v>0</v>
      </c>
      <c r="P137">
        <v>70</v>
      </c>
      <c r="Q137">
        <v>1</v>
      </c>
      <c r="R137" t="b">
        <v>0</v>
      </c>
      <c r="S137">
        <v>0</v>
      </c>
      <c r="Y137" t="str">
        <f t="shared" si="17"/>
        <v>Pass</v>
      </c>
      <c r="Z137">
        <f t="shared" si="18"/>
        <v>6813.38525390625</v>
      </c>
      <c r="AA137">
        <v>2000</v>
      </c>
      <c r="AB137">
        <v>20</v>
      </c>
      <c r="AC137">
        <v>2</v>
      </c>
      <c r="AD137">
        <v>0.2</v>
      </c>
      <c r="AE137">
        <v>6813.38571526345</v>
      </c>
      <c r="AK137" t="str">
        <f t="shared" si="19"/>
        <v>Pass</v>
      </c>
      <c r="AL137">
        <f t="shared" si="20"/>
        <v>17.775957107543945</v>
      </c>
      <c r="AM137">
        <v>65500</v>
      </c>
      <c r="AN137">
        <v>17.775957319702801</v>
      </c>
    </row>
    <row r="138" spans="1:40" x14ac:dyDescent="0.3">
      <c r="A138" t="str">
        <f>IF(ISBLANK(B138),"",IF(ROUND(B138,0)=ROUND(G138,0),"Pass","Fail"))</f>
        <v>Pass</v>
      </c>
      <c r="B138">
        <f t="shared" si="14"/>
        <v>9.3022069931030273</v>
      </c>
      <c r="C138">
        <v>0</v>
      </c>
      <c r="D138">
        <v>10</v>
      </c>
      <c r="E138">
        <v>70</v>
      </c>
      <c r="F138">
        <v>48</v>
      </c>
      <c r="G138">
        <v>9.3022079008197203</v>
      </c>
      <c r="M138" t="str">
        <f t="shared" si="15"/>
        <v>Pass</v>
      </c>
      <c r="N138">
        <f t="shared" si="16"/>
        <v>0</v>
      </c>
      <c r="O138">
        <v>0</v>
      </c>
      <c r="P138">
        <v>70</v>
      </c>
      <c r="Q138">
        <v>1.5</v>
      </c>
      <c r="R138" t="b">
        <v>1</v>
      </c>
      <c r="S138">
        <v>0</v>
      </c>
      <c r="Y138" t="str">
        <f t="shared" si="17"/>
        <v>Pass</v>
      </c>
      <c r="Z138">
        <f t="shared" si="18"/>
        <v>11380.53515625</v>
      </c>
      <c r="AA138">
        <v>2000</v>
      </c>
      <c r="AB138">
        <v>20</v>
      </c>
      <c r="AC138">
        <v>4</v>
      </c>
      <c r="AD138">
        <v>0.2</v>
      </c>
      <c r="AE138">
        <v>11380.534741577399</v>
      </c>
      <c r="AK138" t="str">
        <f t="shared" si="19"/>
        <v>Pass</v>
      </c>
      <c r="AL138">
        <f t="shared" si="20"/>
        <v>17.861732482910156</v>
      </c>
      <c r="AM138">
        <v>66000</v>
      </c>
      <c r="AN138">
        <v>17.861731929771501</v>
      </c>
    </row>
    <row r="139" spans="1:40" x14ac:dyDescent="0.3">
      <c r="A139" t="str">
        <f>IF(ISBLANK(B139),"",IF(ROUND(B139,0)=ROUND(G139,0),"Pass","Fail"))</f>
        <v>Pass</v>
      </c>
      <c r="B139">
        <f t="shared" si="14"/>
        <v>75.337997436523438</v>
      </c>
      <c r="C139">
        <v>0</v>
      </c>
      <c r="D139">
        <v>10</v>
      </c>
      <c r="E139">
        <v>80</v>
      </c>
      <c r="F139">
        <v>0</v>
      </c>
      <c r="G139">
        <v>75.337999999999994</v>
      </c>
      <c r="M139" t="str">
        <f t="shared" si="15"/>
        <v>Pass</v>
      </c>
      <c r="N139">
        <f t="shared" si="16"/>
        <v>0</v>
      </c>
      <c r="O139">
        <v>0</v>
      </c>
      <c r="P139">
        <v>70</v>
      </c>
      <c r="Q139">
        <v>1.5</v>
      </c>
      <c r="R139" t="b">
        <v>0</v>
      </c>
      <c r="S139">
        <v>0</v>
      </c>
      <c r="Y139" t="str">
        <f t="shared" si="17"/>
        <v>Pass</v>
      </c>
      <c r="Z139">
        <f t="shared" si="18"/>
        <v>14441.986328125</v>
      </c>
      <c r="AA139">
        <v>2000</v>
      </c>
      <c r="AB139">
        <v>20</v>
      </c>
      <c r="AC139">
        <v>6</v>
      </c>
      <c r="AD139">
        <v>0.2</v>
      </c>
      <c r="AE139">
        <v>14441.9862871478</v>
      </c>
      <c r="AK139" t="str">
        <f t="shared" si="19"/>
        <v>Pass</v>
      </c>
      <c r="AL139">
        <f t="shared" si="20"/>
        <v>17.947267532348633</v>
      </c>
      <c r="AM139">
        <v>66500</v>
      </c>
      <c r="AN139">
        <v>17.947268388955202</v>
      </c>
    </row>
    <row r="140" spans="1:40" x14ac:dyDescent="0.3">
      <c r="A140" t="str">
        <f>IF(ISBLANK(B140),"",IF(ROUND(B140,0)=ROUND(G140,0),"Pass","Fail"))</f>
        <v>Pass</v>
      </c>
      <c r="B140">
        <f t="shared" si="14"/>
        <v>42.001228332519531</v>
      </c>
      <c r="C140">
        <v>0</v>
      </c>
      <c r="D140">
        <v>10</v>
      </c>
      <c r="E140">
        <v>80</v>
      </c>
      <c r="F140">
        <v>8</v>
      </c>
      <c r="G140">
        <v>42.001228080723003</v>
      </c>
      <c r="M140" t="str">
        <f t="shared" si="15"/>
        <v>Pass</v>
      </c>
      <c r="N140">
        <f t="shared" si="16"/>
        <v>0</v>
      </c>
      <c r="O140">
        <v>0</v>
      </c>
      <c r="P140">
        <v>70</v>
      </c>
      <c r="Q140">
        <v>2</v>
      </c>
      <c r="R140" t="b">
        <v>1</v>
      </c>
      <c r="S140">
        <v>0</v>
      </c>
      <c r="Y140" t="str">
        <f t="shared" si="17"/>
        <v>Pass</v>
      </c>
      <c r="Z140">
        <f t="shared" si="18"/>
        <v>16494.138671875</v>
      </c>
      <c r="AA140">
        <v>2000</v>
      </c>
      <c r="AB140">
        <v>20</v>
      </c>
      <c r="AC140">
        <v>8</v>
      </c>
      <c r="AD140">
        <v>0.2</v>
      </c>
      <c r="AE140">
        <v>16494.138628110399</v>
      </c>
      <c r="AK140" t="str">
        <f t="shared" si="19"/>
        <v>Pass</v>
      </c>
      <c r="AL140">
        <f t="shared" si="20"/>
        <v>18.032569885253906</v>
      </c>
      <c r="AM140">
        <v>67000</v>
      </c>
      <c r="AN140">
        <v>18.032569141687102</v>
      </c>
    </row>
    <row r="141" spans="1:40" x14ac:dyDescent="0.3">
      <c r="A141" t="str">
        <f>IF(ISBLANK(B141),"",IF(ROUND(B141,0)=ROUND(G141,0),"Pass","Fail"))</f>
        <v>Pass</v>
      </c>
      <c r="B141">
        <f t="shared" si="14"/>
        <v>25.219995498657227</v>
      </c>
      <c r="C141">
        <v>0</v>
      </c>
      <c r="D141">
        <v>10</v>
      </c>
      <c r="E141">
        <v>80</v>
      </c>
      <c r="F141">
        <v>16</v>
      </c>
      <c r="G141">
        <v>25.219997247101698</v>
      </c>
      <c r="M141" t="str">
        <f t="shared" si="15"/>
        <v>Pass</v>
      </c>
      <c r="N141">
        <f t="shared" si="16"/>
        <v>0</v>
      </c>
      <c r="O141">
        <v>0</v>
      </c>
      <c r="P141">
        <v>70</v>
      </c>
      <c r="Q141">
        <v>2</v>
      </c>
      <c r="R141" t="b">
        <v>0</v>
      </c>
      <c r="S141">
        <v>0</v>
      </c>
      <c r="Y141" t="str">
        <f t="shared" si="17"/>
        <v>Pass</v>
      </c>
      <c r="Z141">
        <f t="shared" si="18"/>
        <v>17869.73828125</v>
      </c>
      <c r="AA141">
        <v>2000</v>
      </c>
      <c r="AB141">
        <v>20</v>
      </c>
      <c r="AC141">
        <v>10</v>
      </c>
      <c r="AD141">
        <v>0.2</v>
      </c>
      <c r="AE141">
        <v>17869.737479776599</v>
      </c>
      <c r="AK141" t="str">
        <f t="shared" si="19"/>
        <v>Pass</v>
      </c>
      <c r="AL141">
        <f t="shared" si="20"/>
        <v>18.117635726928711</v>
      </c>
      <c r="AM141">
        <v>67500</v>
      </c>
      <c r="AN141">
        <v>18.117636589279901</v>
      </c>
    </row>
    <row r="142" spans="1:40" x14ac:dyDescent="0.3">
      <c r="A142" t="str">
        <f>IF(ISBLANK(B142),"",IF(ROUND(B142,0)=ROUND(G142,0),"Pass","Fail"))</f>
        <v>Pass</v>
      </c>
      <c r="B142">
        <f t="shared" si="14"/>
        <v>16.772575378417969</v>
      </c>
      <c r="C142">
        <v>0</v>
      </c>
      <c r="D142">
        <v>10</v>
      </c>
      <c r="E142">
        <v>80</v>
      </c>
      <c r="F142">
        <v>24</v>
      </c>
      <c r="G142">
        <v>16.772577413736201</v>
      </c>
      <c r="M142" t="str">
        <f t="shared" si="15"/>
        <v>Pass</v>
      </c>
      <c r="N142">
        <f t="shared" si="16"/>
        <v>0</v>
      </c>
      <c r="O142">
        <v>0</v>
      </c>
      <c r="P142">
        <v>70</v>
      </c>
      <c r="Q142">
        <v>2.5</v>
      </c>
      <c r="R142" t="b">
        <v>1</v>
      </c>
      <c r="S142">
        <v>0</v>
      </c>
      <c r="Y142" t="str">
        <f t="shared" si="17"/>
        <v>Pass</v>
      </c>
      <c r="Z142">
        <f t="shared" si="18"/>
        <v>18791.830078125</v>
      </c>
      <c r="AA142">
        <v>2000</v>
      </c>
      <c r="AB142">
        <v>20</v>
      </c>
      <c r="AC142">
        <v>12</v>
      </c>
      <c r="AD142">
        <v>0.2</v>
      </c>
      <c r="AE142">
        <v>18791.828965352099</v>
      </c>
      <c r="AK142" t="str">
        <f t="shared" si="19"/>
        <v>Pass</v>
      </c>
      <c r="AL142">
        <f t="shared" si="20"/>
        <v>18.202472686767578</v>
      </c>
      <c r="AM142">
        <v>68000</v>
      </c>
      <c r="AN142">
        <v>18.202473090999</v>
      </c>
    </row>
    <row r="143" spans="1:40" x14ac:dyDescent="0.3">
      <c r="A143" t="str">
        <f>IF(ISBLANK(B143),"",IF(ROUND(B143,0)=ROUND(G143,0),"Pass","Fail"))</f>
        <v>Pass</v>
      </c>
      <c r="B143">
        <f t="shared" si="14"/>
        <v>12.520272254943848</v>
      </c>
      <c r="C143">
        <v>0</v>
      </c>
      <c r="D143">
        <v>10</v>
      </c>
      <c r="E143">
        <v>80</v>
      </c>
      <c r="F143">
        <v>32</v>
      </c>
      <c r="G143">
        <v>12.5202730059946</v>
      </c>
      <c r="M143" t="str">
        <f t="shared" si="15"/>
        <v>Pass</v>
      </c>
      <c r="N143">
        <f t="shared" si="16"/>
        <v>0</v>
      </c>
      <c r="O143">
        <v>0</v>
      </c>
      <c r="P143">
        <v>70</v>
      </c>
      <c r="Q143">
        <v>2.5</v>
      </c>
      <c r="R143" t="b">
        <v>0</v>
      </c>
      <c r="S143">
        <v>0</v>
      </c>
      <c r="Y143" t="str">
        <f t="shared" si="17"/>
        <v>Pass</v>
      </c>
      <c r="Z143">
        <f t="shared" si="18"/>
        <v>19409.923828125</v>
      </c>
      <c r="AA143">
        <v>2000</v>
      </c>
      <c r="AB143">
        <v>20</v>
      </c>
      <c r="AC143">
        <v>14</v>
      </c>
      <c r="AD143">
        <v>0.2</v>
      </c>
      <c r="AE143">
        <v>19409.925372412101</v>
      </c>
      <c r="AK143" t="str">
        <f t="shared" si="19"/>
        <v>Pass</v>
      </c>
      <c r="AL143">
        <f t="shared" si="20"/>
        <v>18.287080764770508</v>
      </c>
      <c r="AM143">
        <v>68500</v>
      </c>
      <c r="AN143">
        <v>18.287080965102799</v>
      </c>
    </row>
    <row r="144" spans="1:40" x14ac:dyDescent="0.3">
      <c r="A144" t="str">
        <f>IF(ISBLANK(B144),"",IF(ROUND(B144,0)=ROUND(G144,0),"Pass","Fail"))</f>
        <v>Pass</v>
      </c>
      <c r="B144">
        <f t="shared" si="14"/>
        <v>10.379726409912109</v>
      </c>
      <c r="C144">
        <v>0</v>
      </c>
      <c r="D144">
        <v>10</v>
      </c>
      <c r="E144">
        <v>80</v>
      </c>
      <c r="F144">
        <v>40</v>
      </c>
      <c r="G144">
        <v>10.379726764327099</v>
      </c>
      <c r="M144" t="str">
        <f t="shared" si="15"/>
        <v>Pass</v>
      </c>
      <c r="N144">
        <f t="shared" si="16"/>
        <v>0</v>
      </c>
      <c r="O144">
        <v>0</v>
      </c>
      <c r="P144">
        <v>70</v>
      </c>
      <c r="Q144">
        <v>3</v>
      </c>
      <c r="R144" t="b">
        <v>1</v>
      </c>
      <c r="S144">
        <v>0</v>
      </c>
      <c r="Y144" t="str">
        <f t="shared" si="17"/>
        <v>Pass</v>
      </c>
      <c r="Z144">
        <f t="shared" si="18"/>
        <v>19824.24609375</v>
      </c>
      <c r="AA144">
        <v>2000</v>
      </c>
      <c r="AB144">
        <v>20</v>
      </c>
      <c r="AC144">
        <v>16</v>
      </c>
      <c r="AD144">
        <v>0.2</v>
      </c>
      <c r="AE144">
        <v>19824.2477844471</v>
      </c>
      <c r="AK144" t="str">
        <f t="shared" si="19"/>
        <v>Pass</v>
      </c>
      <c r="AL144">
        <f t="shared" si="20"/>
        <v>18.371461868286133</v>
      </c>
      <c r="AM144">
        <v>69000</v>
      </c>
      <c r="AN144">
        <v>18.3714624898486</v>
      </c>
    </row>
    <row r="145" spans="1:40" x14ac:dyDescent="0.3">
      <c r="A145" t="str">
        <f>IF(ISBLANK(B145),"",IF(ROUND(B145,0)=ROUND(G145,0),"Pass","Fail"))</f>
        <v>Pass</v>
      </c>
      <c r="B145">
        <f t="shared" si="14"/>
        <v>9.3022069931030273</v>
      </c>
      <c r="C145">
        <v>0</v>
      </c>
      <c r="D145">
        <v>10</v>
      </c>
      <c r="E145">
        <v>80</v>
      </c>
      <c r="F145">
        <v>48</v>
      </c>
      <c r="G145">
        <v>9.3022079008197203</v>
      </c>
      <c r="M145" t="str">
        <f t="shared" si="15"/>
        <v>Pass</v>
      </c>
      <c r="N145">
        <f t="shared" si="16"/>
        <v>0</v>
      </c>
      <c r="O145">
        <v>0</v>
      </c>
      <c r="P145">
        <v>70</v>
      </c>
      <c r="Q145">
        <v>3</v>
      </c>
      <c r="R145" t="b">
        <v>0</v>
      </c>
      <c r="S145">
        <v>0</v>
      </c>
      <c r="Y145" t="str">
        <f t="shared" si="17"/>
        <v>Pass</v>
      </c>
      <c r="Z145">
        <f t="shared" si="18"/>
        <v>20101.9765625</v>
      </c>
      <c r="AA145">
        <v>2000</v>
      </c>
      <c r="AB145">
        <v>20</v>
      </c>
      <c r="AC145">
        <v>18</v>
      </c>
      <c r="AD145">
        <v>0.2</v>
      </c>
      <c r="AE145">
        <v>20101.976402755899</v>
      </c>
      <c r="AK145" t="str">
        <f t="shared" si="19"/>
        <v>Pass</v>
      </c>
      <c r="AL145">
        <f t="shared" si="20"/>
        <v>18.455619812011719</v>
      </c>
      <c r="AM145">
        <v>69500</v>
      </c>
      <c r="AN145">
        <v>18.455619904467699</v>
      </c>
    </row>
    <row r="146" spans="1:40" x14ac:dyDescent="0.3">
      <c r="A146" t="str">
        <f>IF(ISBLANK(B146),"",IF(ROUND(B146,0)=ROUND(G146,0),"Pass","Fail"))</f>
        <v>Pass</v>
      </c>
      <c r="B146">
        <f t="shared" si="14"/>
        <v>75.337997436523438</v>
      </c>
      <c r="C146">
        <v>0</v>
      </c>
      <c r="D146">
        <v>10</v>
      </c>
      <c r="E146">
        <v>90</v>
      </c>
      <c r="F146">
        <v>0</v>
      </c>
      <c r="G146">
        <v>75.337999999999994</v>
      </c>
      <c r="M146" t="str">
        <f t="shared" si="15"/>
        <v>Pass</v>
      </c>
      <c r="N146">
        <f t="shared" si="16"/>
        <v>0</v>
      </c>
      <c r="O146">
        <v>0</v>
      </c>
      <c r="P146">
        <v>70</v>
      </c>
      <c r="Q146">
        <v>3.5</v>
      </c>
      <c r="R146" t="b">
        <v>1</v>
      </c>
      <c r="S146">
        <v>0</v>
      </c>
      <c r="Y146" t="str">
        <f t="shared" si="17"/>
        <v>Pass</v>
      </c>
      <c r="Z146">
        <f t="shared" si="18"/>
        <v>20288.14453125</v>
      </c>
      <c r="AA146">
        <v>2000</v>
      </c>
      <c r="AB146">
        <v>20</v>
      </c>
      <c r="AC146">
        <v>20</v>
      </c>
      <c r="AD146">
        <v>0.2</v>
      </c>
      <c r="AE146">
        <v>20288.143462966102</v>
      </c>
      <c r="AK146" t="str">
        <f t="shared" si="19"/>
        <v>Pass</v>
      </c>
      <c r="AL146">
        <f t="shared" si="20"/>
        <v>18.539554595947266</v>
      </c>
      <c r="AM146">
        <v>70000</v>
      </c>
      <c r="AN146">
        <v>18.539555410109401</v>
      </c>
    </row>
    <row r="147" spans="1:40" x14ac:dyDescent="0.3">
      <c r="A147" t="str">
        <f>IF(ISBLANK(B147),"",IF(ROUND(B147,0)=ROUND(G147,0),"Pass","Fail"))</f>
        <v>Pass</v>
      </c>
      <c r="B147">
        <f t="shared" si="14"/>
        <v>42.001228332519531</v>
      </c>
      <c r="C147">
        <v>0</v>
      </c>
      <c r="D147">
        <v>10</v>
      </c>
      <c r="E147">
        <v>90</v>
      </c>
      <c r="F147">
        <v>8</v>
      </c>
      <c r="G147">
        <v>42.001228080723003</v>
      </c>
      <c r="M147" t="str">
        <f t="shared" si="15"/>
        <v>Pass</v>
      </c>
      <c r="N147">
        <f t="shared" si="16"/>
        <v>0</v>
      </c>
      <c r="O147">
        <v>0</v>
      </c>
      <c r="P147">
        <v>70</v>
      </c>
      <c r="Q147">
        <v>3.5</v>
      </c>
      <c r="R147" t="b">
        <v>0</v>
      </c>
      <c r="S147">
        <v>0</v>
      </c>
      <c r="Y147" t="str">
        <f t="shared" si="17"/>
        <v>Pass</v>
      </c>
      <c r="Z147">
        <f t="shared" si="18"/>
        <v>20412.935546875</v>
      </c>
      <c r="AA147">
        <v>2000</v>
      </c>
      <c r="AB147">
        <v>20</v>
      </c>
      <c r="AC147">
        <v>22</v>
      </c>
      <c r="AD147">
        <v>0.2</v>
      </c>
      <c r="AE147">
        <v>20412.934975336499</v>
      </c>
      <c r="AK147" t="str">
        <f t="shared" si="19"/>
        <v>Pass</v>
      </c>
      <c r="AL147">
        <f t="shared" si="20"/>
        <v>18.623271942138672</v>
      </c>
      <c r="AM147">
        <v>70500</v>
      </c>
      <c r="AN147">
        <v>18.6232711707557</v>
      </c>
    </row>
    <row r="148" spans="1:40" x14ac:dyDescent="0.3">
      <c r="A148" t="str">
        <f>IF(ISBLANK(B148),"",IF(ROUND(B148,0)=ROUND(G148,0),"Pass","Fail"))</f>
        <v>Pass</v>
      </c>
      <c r="B148">
        <f t="shared" si="14"/>
        <v>25.219995498657227</v>
      </c>
      <c r="C148">
        <v>0</v>
      </c>
      <c r="D148">
        <v>10</v>
      </c>
      <c r="E148">
        <v>90</v>
      </c>
      <c r="F148">
        <v>16</v>
      </c>
      <c r="G148">
        <v>25.219997247101698</v>
      </c>
      <c r="M148" t="str">
        <f t="shared" si="15"/>
        <v>Pass</v>
      </c>
      <c r="N148">
        <f t="shared" si="16"/>
        <v>0</v>
      </c>
      <c r="O148">
        <v>0</v>
      </c>
      <c r="P148">
        <v>70</v>
      </c>
      <c r="Q148">
        <v>4</v>
      </c>
      <c r="R148" t="b">
        <v>1</v>
      </c>
      <c r="S148">
        <v>0</v>
      </c>
      <c r="Y148" t="str">
        <f t="shared" si="17"/>
        <v>Pass</v>
      </c>
      <c r="Z148">
        <f t="shared" si="18"/>
        <v>20496.5859375</v>
      </c>
      <c r="AA148">
        <v>2000</v>
      </c>
      <c r="AB148">
        <v>20</v>
      </c>
      <c r="AC148">
        <v>24</v>
      </c>
      <c r="AD148">
        <v>0.2</v>
      </c>
      <c r="AE148">
        <v>20496.585227653501</v>
      </c>
      <c r="AK148" t="str">
        <f t="shared" si="19"/>
        <v>Pass</v>
      </c>
      <c r="AL148">
        <f t="shared" si="20"/>
        <v>18.706769943237305</v>
      </c>
      <c r="AM148">
        <v>71000</v>
      </c>
      <c r="AN148">
        <v>18.706769314107699</v>
      </c>
    </row>
    <row r="149" spans="1:40" x14ac:dyDescent="0.3">
      <c r="A149" t="str">
        <f>IF(ISBLANK(B149),"",IF(ROUND(B149,0)=ROUND(G149,0),"Pass","Fail"))</f>
        <v>Pass</v>
      </c>
      <c r="B149">
        <f t="shared" si="14"/>
        <v>16.772575378417969</v>
      </c>
      <c r="C149">
        <v>0</v>
      </c>
      <c r="D149">
        <v>10</v>
      </c>
      <c r="E149">
        <v>90</v>
      </c>
      <c r="F149">
        <v>24</v>
      </c>
      <c r="G149">
        <v>16.772577413736201</v>
      </c>
      <c r="M149" t="str">
        <f t="shared" si="15"/>
        <v>Pass</v>
      </c>
      <c r="N149">
        <f t="shared" si="16"/>
        <v>0</v>
      </c>
      <c r="O149">
        <v>0</v>
      </c>
      <c r="P149">
        <v>70</v>
      </c>
      <c r="Q149">
        <v>4</v>
      </c>
      <c r="R149" t="b">
        <v>0</v>
      </c>
      <c r="S149">
        <v>0</v>
      </c>
      <c r="Y149" t="str">
        <f t="shared" si="17"/>
        <v>Pass</v>
      </c>
      <c r="Z149">
        <f t="shared" si="18"/>
        <v>0</v>
      </c>
      <c r="AA149">
        <v>2200</v>
      </c>
      <c r="AB149">
        <v>20</v>
      </c>
      <c r="AC149">
        <v>0</v>
      </c>
      <c r="AD149">
        <v>0.2</v>
      </c>
      <c r="AE149">
        <v>0</v>
      </c>
      <c r="AK149" t="str">
        <f t="shared" si="19"/>
        <v>Pass</v>
      </c>
      <c r="AL149">
        <f t="shared" si="20"/>
        <v>18.79005241394043</v>
      </c>
      <c r="AM149">
        <v>71500</v>
      </c>
      <c r="AN149">
        <v>18.790051932444801</v>
      </c>
    </row>
    <row r="150" spans="1:40" x14ac:dyDescent="0.3">
      <c r="A150" t="str">
        <f>IF(ISBLANK(B150),"",IF(ROUND(B150,0)=ROUND(G150,0),"Pass","Fail"))</f>
        <v>Pass</v>
      </c>
      <c r="B150">
        <f t="shared" si="14"/>
        <v>12.520272254943848</v>
      </c>
      <c r="C150">
        <v>0</v>
      </c>
      <c r="D150">
        <v>10</v>
      </c>
      <c r="E150">
        <v>90</v>
      </c>
      <c r="F150">
        <v>32</v>
      </c>
      <c r="G150">
        <v>12.5202730059946</v>
      </c>
      <c r="M150" t="str">
        <f t="shared" si="15"/>
        <v>Pass</v>
      </c>
      <c r="N150">
        <f t="shared" si="16"/>
        <v>0</v>
      </c>
      <c r="O150">
        <v>0</v>
      </c>
      <c r="P150">
        <v>80</v>
      </c>
      <c r="Q150">
        <v>0</v>
      </c>
      <c r="R150" t="b">
        <v>1</v>
      </c>
      <c r="S150">
        <v>0</v>
      </c>
      <c r="Y150" t="str">
        <f t="shared" si="17"/>
        <v>Pass</v>
      </c>
      <c r="Z150">
        <f t="shared" si="18"/>
        <v>7494.72412109375</v>
      </c>
      <c r="AA150">
        <v>2200</v>
      </c>
      <c r="AB150">
        <v>20</v>
      </c>
      <c r="AC150">
        <v>2</v>
      </c>
      <c r="AD150">
        <v>0.2</v>
      </c>
      <c r="AE150">
        <v>7494.7242867898003</v>
      </c>
      <c r="AK150" t="str">
        <f t="shared" si="19"/>
        <v>Pass</v>
      </c>
      <c r="AL150">
        <f t="shared" si="20"/>
        <v>18.87312126159668</v>
      </c>
      <c r="AM150">
        <v>72000</v>
      </c>
      <c r="AN150">
        <v>18.873121083457601</v>
      </c>
    </row>
    <row r="151" spans="1:40" x14ac:dyDescent="0.3">
      <c r="A151" t="str">
        <f>IF(ISBLANK(B151),"",IF(ROUND(B151,0)=ROUND(G151,0),"Pass","Fail"))</f>
        <v>Pass</v>
      </c>
      <c r="B151">
        <f t="shared" si="14"/>
        <v>10.379726409912109</v>
      </c>
      <c r="C151">
        <v>0</v>
      </c>
      <c r="D151">
        <v>10</v>
      </c>
      <c r="E151">
        <v>90</v>
      </c>
      <c r="F151">
        <v>40</v>
      </c>
      <c r="G151">
        <v>10.379726764327099</v>
      </c>
      <c r="M151" t="str">
        <f t="shared" si="15"/>
        <v>Pass</v>
      </c>
      <c r="N151">
        <f t="shared" si="16"/>
        <v>0</v>
      </c>
      <c r="O151">
        <v>0</v>
      </c>
      <c r="P151">
        <v>80</v>
      </c>
      <c r="Q151">
        <v>0</v>
      </c>
      <c r="R151" t="b">
        <v>0</v>
      </c>
      <c r="S151">
        <v>0</v>
      </c>
      <c r="Y151" t="str">
        <f t="shared" si="17"/>
        <v>Pass</v>
      </c>
      <c r="Z151">
        <f t="shared" si="18"/>
        <v>12518.5888671875</v>
      </c>
      <c r="AA151">
        <v>2200</v>
      </c>
      <c r="AB151">
        <v>20</v>
      </c>
      <c r="AC151">
        <v>4</v>
      </c>
      <c r="AD151">
        <v>0.2</v>
      </c>
      <c r="AE151">
        <v>12518.588215735101</v>
      </c>
      <c r="AK151" t="str">
        <f t="shared" si="19"/>
        <v>Pass</v>
      </c>
      <c r="AL151">
        <f t="shared" si="20"/>
        <v>18.955978393554688</v>
      </c>
      <c r="AM151">
        <v>72500</v>
      </c>
      <c r="AN151">
        <v>18.955978791055699</v>
      </c>
    </row>
    <row r="152" spans="1:40" x14ac:dyDescent="0.3">
      <c r="A152" t="str">
        <f>IF(ISBLANK(B152),"",IF(ROUND(B152,0)=ROUND(G152,0),"Pass","Fail"))</f>
        <v>Pass</v>
      </c>
      <c r="B152">
        <f t="shared" si="14"/>
        <v>9.3022069931030273</v>
      </c>
      <c r="C152">
        <v>0</v>
      </c>
      <c r="D152">
        <v>10</v>
      </c>
      <c r="E152">
        <v>90</v>
      </c>
      <c r="F152">
        <v>48</v>
      </c>
      <c r="G152">
        <v>9.3022079008197203</v>
      </c>
      <c r="M152" t="str">
        <f t="shared" si="15"/>
        <v>Pass</v>
      </c>
      <c r="N152">
        <f t="shared" si="16"/>
        <v>0</v>
      </c>
      <c r="O152">
        <v>0</v>
      </c>
      <c r="P152">
        <v>80</v>
      </c>
      <c r="Q152">
        <v>0.5</v>
      </c>
      <c r="R152" t="b">
        <v>1</v>
      </c>
      <c r="S152">
        <v>0</v>
      </c>
      <c r="Y152" t="str">
        <f t="shared" si="17"/>
        <v>Pass</v>
      </c>
      <c r="Z152">
        <f t="shared" si="18"/>
        <v>15886.185546875</v>
      </c>
      <c r="AA152">
        <v>2200</v>
      </c>
      <c r="AB152">
        <v>20</v>
      </c>
      <c r="AC152">
        <v>6</v>
      </c>
      <c r="AD152">
        <v>0.2</v>
      </c>
      <c r="AE152">
        <v>15886.184915862599</v>
      </c>
      <c r="AK152" t="str">
        <f t="shared" si="19"/>
        <v>Pass</v>
      </c>
      <c r="AL152">
        <f t="shared" si="20"/>
        <v>19.038627624511719</v>
      </c>
      <c r="AM152">
        <v>73000</v>
      </c>
      <c r="AN152">
        <v>19.038627046151301</v>
      </c>
    </row>
    <row r="153" spans="1:40" x14ac:dyDescent="0.3">
      <c r="A153" t="str">
        <f>IF(ISBLANK(B153),"",IF(ROUND(B153,0)=ROUND(G153,0),"Pass","Fail"))</f>
        <v>Pass</v>
      </c>
      <c r="B153">
        <f t="shared" si="14"/>
        <v>75.337997436523438</v>
      </c>
      <c r="C153">
        <v>0</v>
      </c>
      <c r="D153">
        <v>10</v>
      </c>
      <c r="E153">
        <v>100</v>
      </c>
      <c r="F153">
        <v>0</v>
      </c>
      <c r="G153">
        <v>75.337999999999994</v>
      </c>
      <c r="M153" t="str">
        <f t="shared" si="15"/>
        <v>Pass</v>
      </c>
      <c r="N153">
        <f t="shared" si="16"/>
        <v>0</v>
      </c>
      <c r="O153">
        <v>0</v>
      </c>
      <c r="P153">
        <v>80</v>
      </c>
      <c r="Q153">
        <v>0.5</v>
      </c>
      <c r="R153" t="b">
        <v>0</v>
      </c>
      <c r="S153">
        <v>0</v>
      </c>
      <c r="Y153" t="str">
        <f t="shared" si="17"/>
        <v>Pass</v>
      </c>
      <c r="Z153">
        <f t="shared" si="18"/>
        <v>18143.552734375</v>
      </c>
      <c r="AA153">
        <v>2200</v>
      </c>
      <c r="AB153">
        <v>20</v>
      </c>
      <c r="AC153">
        <v>8</v>
      </c>
      <c r="AD153">
        <v>0.2</v>
      </c>
      <c r="AE153">
        <v>18143.552490921498</v>
      </c>
      <c r="AK153" t="str">
        <f t="shared" si="19"/>
        <v>Pass</v>
      </c>
      <c r="AL153">
        <f t="shared" si="20"/>
        <v>19.121067047119141</v>
      </c>
      <c r="AM153">
        <v>73500</v>
      </c>
      <c r="AN153">
        <v>19.1210678074189</v>
      </c>
    </row>
    <row r="154" spans="1:40" x14ac:dyDescent="0.3">
      <c r="A154" t="str">
        <f>IF(ISBLANK(B154),"",IF(ROUND(B154,0)=ROUND(G154,0),"Pass","Fail"))</f>
        <v>Pass</v>
      </c>
      <c r="B154">
        <f t="shared" si="14"/>
        <v>42.001228332519531</v>
      </c>
      <c r="C154">
        <v>0</v>
      </c>
      <c r="D154">
        <v>10</v>
      </c>
      <c r="E154">
        <v>100</v>
      </c>
      <c r="F154">
        <v>8</v>
      </c>
      <c r="G154">
        <v>42.001228080723003</v>
      </c>
      <c r="M154" t="str">
        <f t="shared" si="15"/>
        <v>Pass</v>
      </c>
      <c r="N154">
        <f t="shared" si="16"/>
        <v>0</v>
      </c>
      <c r="O154">
        <v>0</v>
      </c>
      <c r="P154">
        <v>80</v>
      </c>
      <c r="Q154">
        <v>1</v>
      </c>
      <c r="R154" t="b">
        <v>1</v>
      </c>
      <c r="S154">
        <v>0</v>
      </c>
      <c r="Y154" t="str">
        <f t="shared" si="17"/>
        <v>Pass</v>
      </c>
      <c r="Z154">
        <f t="shared" si="18"/>
        <v>19656.712890625</v>
      </c>
      <c r="AA154">
        <v>2200</v>
      </c>
      <c r="AB154">
        <v>20</v>
      </c>
      <c r="AC154">
        <v>10</v>
      </c>
      <c r="AD154">
        <v>0.2</v>
      </c>
      <c r="AE154">
        <v>19656.711227754298</v>
      </c>
      <c r="AK154" t="str">
        <f t="shared" si="19"/>
        <v>Pass</v>
      </c>
      <c r="AL154">
        <f t="shared" si="20"/>
        <v>19.203302383422852</v>
      </c>
      <c r="AM154">
        <v>74000</v>
      </c>
      <c r="AN154">
        <v>19.203303002033099</v>
      </c>
    </row>
    <row r="155" spans="1:40" x14ac:dyDescent="0.3">
      <c r="A155" t="str">
        <f>IF(ISBLANK(B155),"",IF(ROUND(B155,0)=ROUND(G155,0),"Pass","Fail"))</f>
        <v>Pass</v>
      </c>
      <c r="B155">
        <f t="shared" si="14"/>
        <v>25.219995498657227</v>
      </c>
      <c r="C155">
        <v>0</v>
      </c>
      <c r="D155">
        <v>10</v>
      </c>
      <c r="E155">
        <v>100</v>
      </c>
      <c r="F155">
        <v>16</v>
      </c>
      <c r="G155">
        <v>25.219997247101698</v>
      </c>
      <c r="M155" t="str">
        <f t="shared" si="15"/>
        <v>Pass</v>
      </c>
      <c r="N155">
        <f t="shared" si="16"/>
        <v>0</v>
      </c>
      <c r="O155">
        <v>0</v>
      </c>
      <c r="P155">
        <v>80</v>
      </c>
      <c r="Q155">
        <v>1</v>
      </c>
      <c r="R155" t="b">
        <v>0</v>
      </c>
      <c r="S155">
        <v>0</v>
      </c>
      <c r="Y155" t="str">
        <f t="shared" si="17"/>
        <v>Pass</v>
      </c>
      <c r="Z155">
        <f t="shared" si="18"/>
        <v>20671.01171875</v>
      </c>
      <c r="AA155">
        <v>2200</v>
      </c>
      <c r="AB155">
        <v>20</v>
      </c>
      <c r="AC155">
        <v>12</v>
      </c>
      <c r="AD155">
        <v>0.2</v>
      </c>
      <c r="AE155">
        <v>20671.011861887298</v>
      </c>
      <c r="AK155" t="str">
        <f t="shared" si="19"/>
        <v>Pass</v>
      </c>
      <c r="AL155">
        <f t="shared" si="20"/>
        <v>19.285333633422852</v>
      </c>
      <c r="AM155">
        <v>74500</v>
      </c>
      <c r="AN155">
        <v>19.285334526384201</v>
      </c>
    </row>
    <row r="156" spans="1:40" x14ac:dyDescent="0.3">
      <c r="A156" t="str">
        <f>IF(ISBLANK(B156),"",IF(ROUND(B156,0)=ROUND(G156,0),"Pass","Fail"))</f>
        <v>Pass</v>
      </c>
      <c r="B156">
        <f t="shared" si="14"/>
        <v>16.772575378417969</v>
      </c>
      <c r="C156">
        <v>0</v>
      </c>
      <c r="D156">
        <v>10</v>
      </c>
      <c r="E156">
        <v>100</v>
      </c>
      <c r="F156">
        <v>24</v>
      </c>
      <c r="G156">
        <v>16.772577413736201</v>
      </c>
      <c r="M156" t="str">
        <f t="shared" si="15"/>
        <v>Pass</v>
      </c>
      <c r="N156">
        <f t="shared" si="16"/>
        <v>0</v>
      </c>
      <c r="O156">
        <v>0</v>
      </c>
      <c r="P156">
        <v>80</v>
      </c>
      <c r="Q156">
        <v>1.5</v>
      </c>
      <c r="R156" t="b">
        <v>1</v>
      </c>
      <c r="S156">
        <v>0</v>
      </c>
      <c r="Y156" t="str">
        <f t="shared" si="17"/>
        <v>Pass</v>
      </c>
      <c r="Z156">
        <f t="shared" si="18"/>
        <v>21350.916015625</v>
      </c>
      <c r="AA156">
        <v>2200</v>
      </c>
      <c r="AB156">
        <v>20</v>
      </c>
      <c r="AC156">
        <v>14</v>
      </c>
      <c r="AD156">
        <v>0.2</v>
      </c>
      <c r="AE156">
        <v>21350.917909653301</v>
      </c>
      <c r="AK156" t="str">
        <f t="shared" si="19"/>
        <v>Pass</v>
      </c>
      <c r="AL156">
        <f t="shared" si="20"/>
        <v>19.367164611816406</v>
      </c>
      <c r="AM156">
        <v>75000</v>
      </c>
      <c r="AN156">
        <v>19.3671642467732</v>
      </c>
    </row>
    <row r="157" spans="1:40" x14ac:dyDescent="0.3">
      <c r="A157" t="str">
        <f>IF(ISBLANK(B157),"",IF(ROUND(B157,0)=ROUND(G157,0),"Pass","Fail"))</f>
        <v>Pass</v>
      </c>
      <c r="B157">
        <f t="shared" si="14"/>
        <v>12.520272254943848</v>
      </c>
      <c r="C157">
        <v>0</v>
      </c>
      <c r="D157">
        <v>10</v>
      </c>
      <c r="E157">
        <v>100</v>
      </c>
      <c r="F157">
        <v>32</v>
      </c>
      <c r="G157">
        <v>12.5202730059946</v>
      </c>
      <c r="M157" t="str">
        <f t="shared" si="15"/>
        <v>Pass</v>
      </c>
      <c r="N157">
        <f t="shared" si="16"/>
        <v>0</v>
      </c>
      <c r="O157">
        <v>0</v>
      </c>
      <c r="P157">
        <v>80</v>
      </c>
      <c r="Q157">
        <v>1.5</v>
      </c>
      <c r="R157" t="b">
        <v>0</v>
      </c>
      <c r="S157">
        <v>0</v>
      </c>
      <c r="Y157" t="str">
        <f t="shared" si="17"/>
        <v>Pass</v>
      </c>
      <c r="Z157">
        <f t="shared" si="18"/>
        <v>21806.671875</v>
      </c>
      <c r="AA157">
        <v>2200</v>
      </c>
      <c r="AB157">
        <v>20</v>
      </c>
      <c r="AC157">
        <v>16</v>
      </c>
      <c r="AD157">
        <v>0.2</v>
      </c>
      <c r="AE157">
        <v>21806.672562891799</v>
      </c>
      <c r="AK157" t="str">
        <f t="shared" si="19"/>
        <v>Pass</v>
      </c>
      <c r="AL157">
        <f t="shared" si="20"/>
        <v>19.448793411254883</v>
      </c>
      <c r="AM157">
        <v>75500</v>
      </c>
      <c r="AN157">
        <v>19.448794000086</v>
      </c>
    </row>
    <row r="158" spans="1:40" x14ac:dyDescent="0.3">
      <c r="A158" t="str">
        <f>IF(ISBLANK(B158),"",IF(ROUND(B158,0)=ROUND(G158,0),"Pass","Fail"))</f>
        <v>Pass</v>
      </c>
      <c r="B158">
        <f t="shared" si="14"/>
        <v>10.379726409912109</v>
      </c>
      <c r="C158">
        <v>0</v>
      </c>
      <c r="D158">
        <v>10</v>
      </c>
      <c r="E158">
        <v>100</v>
      </c>
      <c r="F158">
        <v>40</v>
      </c>
      <c r="G158">
        <v>10.379726764327099</v>
      </c>
      <c r="M158" t="str">
        <f t="shared" si="15"/>
        <v>Pass</v>
      </c>
      <c r="N158">
        <f t="shared" si="16"/>
        <v>0</v>
      </c>
      <c r="O158">
        <v>0</v>
      </c>
      <c r="P158">
        <v>80</v>
      </c>
      <c r="Q158">
        <v>2</v>
      </c>
      <c r="R158" t="b">
        <v>1</v>
      </c>
      <c r="S158">
        <v>0</v>
      </c>
      <c r="Y158" t="str">
        <f t="shared" si="17"/>
        <v>Pass</v>
      </c>
      <c r="Z158">
        <f t="shared" si="18"/>
        <v>22112.173828125</v>
      </c>
      <c r="AA158">
        <v>2200</v>
      </c>
      <c r="AB158">
        <v>20</v>
      </c>
      <c r="AC158">
        <v>18</v>
      </c>
      <c r="AD158">
        <v>0.2</v>
      </c>
      <c r="AE158">
        <v>22112.1740430315</v>
      </c>
      <c r="AK158" t="str">
        <f t="shared" si="19"/>
        <v>Pass</v>
      </c>
      <c r="AL158">
        <f t="shared" si="20"/>
        <v>19.53022575378418</v>
      </c>
      <c r="AM158">
        <v>76000</v>
      </c>
      <c r="AN158">
        <v>19.530225594449</v>
      </c>
    </row>
    <row r="159" spans="1:40" x14ac:dyDescent="0.3">
      <c r="A159" t="str">
        <f>IF(ISBLANK(B159),"",IF(ROUND(B159,0)=ROUND(G159,0),"Pass","Fail"))</f>
        <v>Pass</v>
      </c>
      <c r="B159">
        <f t="shared" si="14"/>
        <v>9.3022069931030273</v>
      </c>
      <c r="C159">
        <v>0</v>
      </c>
      <c r="D159">
        <v>10</v>
      </c>
      <c r="E159">
        <v>100</v>
      </c>
      <c r="F159">
        <v>48</v>
      </c>
      <c r="G159">
        <v>9.3022079008197203</v>
      </c>
      <c r="M159" t="str">
        <f t="shared" si="15"/>
        <v>Pass</v>
      </c>
      <c r="N159">
        <f t="shared" si="16"/>
        <v>0</v>
      </c>
      <c r="O159">
        <v>0</v>
      </c>
      <c r="P159">
        <v>80</v>
      </c>
      <c r="Q159">
        <v>2</v>
      </c>
      <c r="R159" t="b">
        <v>0</v>
      </c>
      <c r="S159">
        <v>0</v>
      </c>
      <c r="Y159" t="str">
        <f t="shared" si="17"/>
        <v>Pass</v>
      </c>
      <c r="Z159">
        <f t="shared" si="18"/>
        <v>22316.958984375</v>
      </c>
      <c r="AA159">
        <v>2200</v>
      </c>
      <c r="AB159">
        <v>20</v>
      </c>
      <c r="AC159">
        <v>20</v>
      </c>
      <c r="AD159">
        <v>0.2</v>
      </c>
      <c r="AE159">
        <v>22316.957809262702</v>
      </c>
      <c r="AK159" t="str">
        <f t="shared" si="19"/>
        <v>Pass</v>
      </c>
      <c r="AL159">
        <f t="shared" si="20"/>
        <v>19.611461639404297</v>
      </c>
      <c r="AM159">
        <v>76500</v>
      </c>
      <c r="AN159">
        <v>19.611460809865001</v>
      </c>
    </row>
    <row r="160" spans="1:40" x14ac:dyDescent="0.3">
      <c r="A160" t="str">
        <f>IF(ISBLANK(B160),"",IF(ROUND(B160,0)=ROUND(G160,0),"Pass","Fail"))</f>
        <v>Pass</v>
      </c>
      <c r="B160">
        <f t="shared" si="14"/>
        <v>9.5500001907348633</v>
      </c>
      <c r="C160">
        <v>0</v>
      </c>
      <c r="D160">
        <v>20</v>
      </c>
      <c r="E160">
        <v>0</v>
      </c>
      <c r="F160">
        <v>0</v>
      </c>
      <c r="G160">
        <v>9.5500000000000007</v>
      </c>
      <c r="M160" t="str">
        <f t="shared" si="15"/>
        <v>Pass</v>
      </c>
      <c r="N160">
        <f t="shared" si="16"/>
        <v>0</v>
      </c>
      <c r="O160">
        <v>0</v>
      </c>
      <c r="P160">
        <v>80</v>
      </c>
      <c r="Q160">
        <v>2.5</v>
      </c>
      <c r="R160" t="b">
        <v>1</v>
      </c>
      <c r="S160">
        <v>0</v>
      </c>
      <c r="Y160" t="str">
        <f t="shared" si="17"/>
        <v>Pass</v>
      </c>
      <c r="Z160">
        <f t="shared" si="18"/>
        <v>22454.23046875</v>
      </c>
      <c r="AA160">
        <v>2200</v>
      </c>
      <c r="AB160">
        <v>20</v>
      </c>
      <c r="AC160">
        <v>22</v>
      </c>
      <c r="AD160">
        <v>0.2</v>
      </c>
      <c r="AE160">
        <v>22454.2284728702</v>
      </c>
      <c r="AK160" t="str">
        <f t="shared" si="19"/>
        <v>Pass</v>
      </c>
      <c r="AL160">
        <f t="shared" si="20"/>
        <v>19.692501068115234</v>
      </c>
      <c r="AM160">
        <v>77000</v>
      </c>
      <c r="AN160">
        <v>19.692501398831801</v>
      </c>
    </row>
    <row r="161" spans="1:40" x14ac:dyDescent="0.3">
      <c r="A161" t="str">
        <f>IF(ISBLANK(B161),"",IF(ROUND(B161,0)=ROUND(G161,0),"Pass","Fail"))</f>
        <v>Pass</v>
      </c>
      <c r="B161">
        <f t="shared" si="14"/>
        <v>9.5500001907348633</v>
      </c>
      <c r="C161">
        <v>0</v>
      </c>
      <c r="D161">
        <v>20</v>
      </c>
      <c r="E161">
        <v>0</v>
      </c>
      <c r="F161">
        <v>8</v>
      </c>
      <c r="G161">
        <v>9.5500000000000007</v>
      </c>
      <c r="M161" t="str">
        <f t="shared" si="15"/>
        <v>Pass</v>
      </c>
      <c r="N161">
        <f t="shared" si="16"/>
        <v>0</v>
      </c>
      <c r="O161">
        <v>0</v>
      </c>
      <c r="P161">
        <v>80</v>
      </c>
      <c r="Q161">
        <v>2.5</v>
      </c>
      <c r="R161" t="b">
        <v>0</v>
      </c>
      <c r="S161">
        <v>0</v>
      </c>
      <c r="Y161" t="str">
        <f t="shared" si="17"/>
        <v>Pass</v>
      </c>
      <c r="Z161">
        <f t="shared" si="18"/>
        <v>22546.244140625</v>
      </c>
      <c r="AA161">
        <v>2200</v>
      </c>
      <c r="AB161">
        <v>20</v>
      </c>
      <c r="AC161">
        <v>24</v>
      </c>
      <c r="AD161">
        <v>0.2</v>
      </c>
      <c r="AE161">
        <v>22546.2437504189</v>
      </c>
      <c r="AK161" t="str">
        <f t="shared" si="19"/>
        <v>Pass</v>
      </c>
      <c r="AL161">
        <f t="shared" si="20"/>
        <v>19.773349761962891</v>
      </c>
      <c r="AM161">
        <v>77500</v>
      </c>
      <c r="AN161">
        <v>19.773349086942201</v>
      </c>
    </row>
    <row r="162" spans="1:40" x14ac:dyDescent="0.3">
      <c r="A162" t="str">
        <f>IF(ISBLANK(B162),"",IF(ROUND(B162,0)=ROUND(G162,0),"Pass","Fail"))</f>
        <v>Pass</v>
      </c>
      <c r="B162">
        <f t="shared" si="14"/>
        <v>9.5500001907348633</v>
      </c>
      <c r="C162">
        <v>0</v>
      </c>
      <c r="D162">
        <v>20</v>
      </c>
      <c r="E162">
        <v>0</v>
      </c>
      <c r="F162">
        <v>16</v>
      </c>
      <c r="G162">
        <v>9.5500000000000007</v>
      </c>
      <c r="M162" t="str">
        <f t="shared" si="15"/>
        <v>Pass</v>
      </c>
      <c r="N162">
        <f t="shared" si="16"/>
        <v>0</v>
      </c>
      <c r="O162">
        <v>0</v>
      </c>
      <c r="P162">
        <v>80</v>
      </c>
      <c r="Q162">
        <v>3</v>
      </c>
      <c r="R162" t="b">
        <v>1</v>
      </c>
      <c r="S162">
        <v>0</v>
      </c>
      <c r="Y162" t="str">
        <f t="shared" si="17"/>
        <v>Pass</v>
      </c>
      <c r="Z162">
        <f t="shared" si="18"/>
        <v>0</v>
      </c>
      <c r="AA162">
        <v>2400</v>
      </c>
      <c r="AB162">
        <v>20</v>
      </c>
      <c r="AC162">
        <v>0</v>
      </c>
      <c r="AD162">
        <v>0.2</v>
      </c>
      <c r="AE162">
        <v>0</v>
      </c>
      <c r="AK162" t="str">
        <f t="shared" si="19"/>
        <v>Pass</v>
      </c>
      <c r="AL162">
        <f t="shared" si="20"/>
        <v>19.854005813598633</v>
      </c>
      <c r="AM162">
        <v>78000</v>
      </c>
      <c r="AN162">
        <v>19.854005573468701</v>
      </c>
    </row>
    <row r="163" spans="1:40" x14ac:dyDescent="0.3">
      <c r="A163" t="str">
        <f>IF(ISBLANK(B163),"",IF(ROUND(B163,0)=ROUND(G163,0),"Pass","Fail"))</f>
        <v>Pass</v>
      </c>
      <c r="B163">
        <f t="shared" si="14"/>
        <v>9.5500001907348633</v>
      </c>
      <c r="C163">
        <v>0</v>
      </c>
      <c r="D163">
        <v>20</v>
      </c>
      <c r="E163">
        <v>0</v>
      </c>
      <c r="F163">
        <v>24</v>
      </c>
      <c r="G163">
        <v>9.5500000000000007</v>
      </c>
      <c r="M163" t="str">
        <f t="shared" si="15"/>
        <v>Pass</v>
      </c>
      <c r="N163">
        <f t="shared" si="16"/>
        <v>0</v>
      </c>
      <c r="O163">
        <v>0</v>
      </c>
      <c r="P163">
        <v>80</v>
      </c>
      <c r="Q163">
        <v>3</v>
      </c>
      <c r="R163" t="b">
        <v>0</v>
      </c>
      <c r="S163">
        <v>0</v>
      </c>
      <c r="Y163" t="str">
        <f t="shared" si="17"/>
        <v>Pass</v>
      </c>
      <c r="Z163">
        <f t="shared" si="18"/>
        <v>8176.0625</v>
      </c>
      <c r="AA163">
        <v>2400</v>
      </c>
      <c r="AB163">
        <v>20</v>
      </c>
      <c r="AC163">
        <v>2</v>
      </c>
      <c r="AD163">
        <v>0.2</v>
      </c>
      <c r="AE163">
        <v>8176.0628583161397</v>
      </c>
      <c r="AK163" t="str">
        <f t="shared" si="19"/>
        <v>Pass</v>
      </c>
      <c r="AL163">
        <f t="shared" si="20"/>
        <v>19.934473037719727</v>
      </c>
      <c r="AM163">
        <v>78500</v>
      </c>
      <c r="AN163">
        <v>19.934472531929998</v>
      </c>
    </row>
    <row r="164" spans="1:40" x14ac:dyDescent="0.3">
      <c r="A164" t="str">
        <f>IF(ISBLANK(B164),"",IF(ROUND(B164,0)=ROUND(G164,0),"Pass","Fail"))</f>
        <v>Pass</v>
      </c>
      <c r="B164">
        <f t="shared" si="14"/>
        <v>9.5500001907348633</v>
      </c>
      <c r="C164">
        <v>0</v>
      </c>
      <c r="D164">
        <v>20</v>
      </c>
      <c r="E164">
        <v>0</v>
      </c>
      <c r="F164">
        <v>32</v>
      </c>
      <c r="G164">
        <v>9.5500000000000007</v>
      </c>
      <c r="M164" t="str">
        <f t="shared" si="15"/>
        <v>Pass</v>
      </c>
      <c r="N164">
        <f t="shared" si="16"/>
        <v>0</v>
      </c>
      <c r="O164">
        <v>0</v>
      </c>
      <c r="P164">
        <v>80</v>
      </c>
      <c r="Q164">
        <v>3.5</v>
      </c>
      <c r="R164" t="b">
        <v>1</v>
      </c>
      <c r="S164">
        <v>0</v>
      </c>
      <c r="Y164" t="str">
        <f t="shared" si="17"/>
        <v>Pass</v>
      </c>
      <c r="Z164">
        <f t="shared" si="18"/>
        <v>13656.6416015625</v>
      </c>
      <c r="AA164">
        <v>2400</v>
      </c>
      <c r="AB164">
        <v>20</v>
      </c>
      <c r="AC164">
        <v>4</v>
      </c>
      <c r="AD164">
        <v>0.2</v>
      </c>
      <c r="AE164">
        <v>13656.6416898929</v>
      </c>
      <c r="AK164" t="str">
        <f t="shared" si="19"/>
        <v>Pass</v>
      </c>
      <c r="AL164">
        <f t="shared" si="20"/>
        <v>20.014751434326172</v>
      </c>
      <c r="AM164">
        <v>79000</v>
      </c>
      <c r="AN164">
        <v>20.014751610643302</v>
      </c>
    </row>
    <row r="165" spans="1:40" x14ac:dyDescent="0.3">
      <c r="A165" t="str">
        <f>IF(ISBLANK(B165),"",IF(ROUND(B165,0)=ROUND(G165,0),"Pass","Fail"))</f>
        <v>Pass</v>
      </c>
      <c r="B165">
        <f t="shared" si="14"/>
        <v>9.5500001907348633</v>
      </c>
      <c r="C165">
        <v>0</v>
      </c>
      <c r="D165">
        <v>20</v>
      </c>
      <c r="E165">
        <v>0</v>
      </c>
      <c r="F165">
        <v>40</v>
      </c>
      <c r="G165">
        <v>9.5500000000000007</v>
      </c>
      <c r="M165" t="str">
        <f t="shared" si="15"/>
        <v>Pass</v>
      </c>
      <c r="N165">
        <f t="shared" si="16"/>
        <v>0</v>
      </c>
      <c r="O165">
        <v>0</v>
      </c>
      <c r="P165">
        <v>80</v>
      </c>
      <c r="Q165">
        <v>3.5</v>
      </c>
      <c r="R165" t="b">
        <v>0</v>
      </c>
      <c r="S165">
        <v>0</v>
      </c>
      <c r="Y165" t="str">
        <f t="shared" si="17"/>
        <v>Pass</v>
      </c>
      <c r="Z165">
        <f t="shared" si="18"/>
        <v>17330.384765625</v>
      </c>
      <c r="AA165">
        <v>2400</v>
      </c>
      <c r="AB165">
        <v>20</v>
      </c>
      <c r="AC165">
        <v>6</v>
      </c>
      <c r="AD165">
        <v>0.2</v>
      </c>
      <c r="AE165">
        <v>17330.3835445773</v>
      </c>
      <c r="AK165" t="str">
        <f t="shared" si="19"/>
        <v>Pass</v>
      </c>
      <c r="AL165">
        <f t="shared" si="20"/>
        <v>20.094844818115234</v>
      </c>
      <c r="AM165">
        <v>79500</v>
      </c>
      <c r="AN165">
        <v>20.094844433260398</v>
      </c>
    </row>
    <row r="166" spans="1:40" x14ac:dyDescent="0.3">
      <c r="A166" t="str">
        <f>IF(ISBLANK(B166),"",IF(ROUND(B166,0)=ROUND(G166,0),"Pass","Fail"))</f>
        <v>Pass</v>
      </c>
      <c r="B166">
        <f t="shared" si="14"/>
        <v>9.5500001907348633</v>
      </c>
      <c r="C166">
        <v>0</v>
      </c>
      <c r="D166">
        <v>20</v>
      </c>
      <c r="E166">
        <v>0</v>
      </c>
      <c r="F166">
        <v>48</v>
      </c>
      <c r="G166">
        <v>9.5500000000000007</v>
      </c>
      <c r="M166" t="str">
        <f t="shared" si="15"/>
        <v>Pass</v>
      </c>
      <c r="N166">
        <f t="shared" si="16"/>
        <v>0</v>
      </c>
      <c r="O166">
        <v>0</v>
      </c>
      <c r="P166">
        <v>80</v>
      </c>
      <c r="Q166">
        <v>4</v>
      </c>
      <c r="R166" t="b">
        <v>1</v>
      </c>
      <c r="S166">
        <v>0</v>
      </c>
      <c r="Y166" t="str">
        <f t="shared" si="17"/>
        <v>Pass</v>
      </c>
      <c r="Z166">
        <f t="shared" si="18"/>
        <v>19792.966796875</v>
      </c>
      <c r="AA166">
        <v>2400</v>
      </c>
      <c r="AB166">
        <v>20</v>
      </c>
      <c r="AC166">
        <v>8</v>
      </c>
      <c r="AD166">
        <v>0.2</v>
      </c>
      <c r="AE166">
        <v>19792.9663537325</v>
      </c>
      <c r="AK166" t="str">
        <f t="shared" si="19"/>
        <v>Pass</v>
      </c>
      <c r="AL166">
        <f t="shared" si="20"/>
        <v>20.174753189086914</v>
      </c>
      <c r="AM166">
        <v>80000</v>
      </c>
      <c r="AN166">
        <v>20.1747525992898</v>
      </c>
    </row>
    <row r="167" spans="1:40" x14ac:dyDescent="0.3">
      <c r="A167" t="str">
        <f>IF(ISBLANK(B167),"",IF(ROUND(B167,0)=ROUND(G167,0),"Pass","Fail"))</f>
        <v>Pass</v>
      </c>
      <c r="B167">
        <f t="shared" si="14"/>
        <v>76.678001403808594</v>
      </c>
      <c r="C167">
        <v>0</v>
      </c>
      <c r="D167">
        <v>20</v>
      </c>
      <c r="E167">
        <v>10</v>
      </c>
      <c r="F167">
        <v>0</v>
      </c>
      <c r="G167">
        <v>76.677999999998306</v>
      </c>
      <c r="M167" t="str">
        <f t="shared" si="15"/>
        <v>Pass</v>
      </c>
      <c r="N167">
        <f t="shared" si="16"/>
        <v>0</v>
      </c>
      <c r="O167">
        <v>0</v>
      </c>
      <c r="P167">
        <v>80</v>
      </c>
      <c r="Q167">
        <v>4</v>
      </c>
      <c r="R167" t="b">
        <v>0</v>
      </c>
      <c r="S167">
        <v>0</v>
      </c>
      <c r="Y167" t="str">
        <f t="shared" si="17"/>
        <v>Pass</v>
      </c>
      <c r="Z167">
        <f t="shared" si="18"/>
        <v>21443.685546875</v>
      </c>
      <c r="AA167">
        <v>2400</v>
      </c>
      <c r="AB167">
        <v>20</v>
      </c>
      <c r="AC167">
        <v>10</v>
      </c>
      <c r="AD167">
        <v>0.2</v>
      </c>
      <c r="AE167">
        <v>21443.684975732001</v>
      </c>
      <c r="AK167" t="str">
        <f t="shared" si="19"/>
        <v>Pass</v>
      </c>
      <c r="AL167">
        <f t="shared" si="20"/>
        <v>20.254478454589844</v>
      </c>
      <c r="AM167">
        <v>80500</v>
      </c>
      <c r="AN167">
        <v>20.2544776846036</v>
      </c>
    </row>
    <row r="168" spans="1:40" x14ac:dyDescent="0.3">
      <c r="A168" t="str">
        <f>IF(ISBLANK(B168),"",IF(ROUND(B168,0)=ROUND(G168,0),"Pass","Fail"))</f>
        <v>Pass</v>
      </c>
      <c r="B168">
        <f t="shared" si="14"/>
        <v>43.341228485107422</v>
      </c>
      <c r="C168">
        <v>0</v>
      </c>
      <c r="D168">
        <v>20</v>
      </c>
      <c r="E168">
        <v>10</v>
      </c>
      <c r="F168">
        <v>8</v>
      </c>
      <c r="G168">
        <v>43.341228080722203</v>
      </c>
      <c r="M168" t="str">
        <f t="shared" si="15"/>
        <v>Pass</v>
      </c>
      <c r="N168">
        <f t="shared" si="16"/>
        <v>0</v>
      </c>
      <c r="O168">
        <v>0</v>
      </c>
      <c r="P168">
        <v>90</v>
      </c>
      <c r="Q168">
        <v>0</v>
      </c>
      <c r="R168" t="b">
        <v>1</v>
      </c>
      <c r="S168">
        <v>0</v>
      </c>
      <c r="Y168" t="str">
        <f t="shared" si="17"/>
        <v>Pass</v>
      </c>
      <c r="Z168">
        <f t="shared" si="18"/>
        <v>22550.1953125</v>
      </c>
      <c r="AA168">
        <v>2400</v>
      </c>
      <c r="AB168">
        <v>20</v>
      </c>
      <c r="AC168">
        <v>12</v>
      </c>
      <c r="AD168">
        <v>0.2</v>
      </c>
      <c r="AE168">
        <v>22550.194758422502</v>
      </c>
      <c r="AK168" t="str">
        <f t="shared" si="19"/>
        <v>Pass</v>
      </c>
      <c r="AL168">
        <f t="shared" si="20"/>
        <v>20.334020614624023</v>
      </c>
      <c r="AM168">
        <v>81000</v>
      </c>
      <c r="AN168">
        <v>20.334021241931801</v>
      </c>
    </row>
    <row r="169" spans="1:40" x14ac:dyDescent="0.3">
      <c r="A169" t="str">
        <f>IF(ISBLANK(B169),"",IF(ROUND(B169,0)=ROUND(G169,0),"Pass","Fail"))</f>
        <v>Pass</v>
      </c>
      <c r="B169">
        <f t="shared" si="14"/>
        <v>26.55999755859375</v>
      </c>
      <c r="C169">
        <v>0</v>
      </c>
      <c r="D169">
        <v>20</v>
      </c>
      <c r="E169">
        <v>10</v>
      </c>
      <c r="F169">
        <v>16</v>
      </c>
      <c r="G169">
        <v>26.5599972471013</v>
      </c>
      <c r="M169" t="str">
        <f t="shared" si="15"/>
        <v>Pass</v>
      </c>
      <c r="N169">
        <f t="shared" si="16"/>
        <v>0</v>
      </c>
      <c r="O169">
        <v>0</v>
      </c>
      <c r="P169">
        <v>90</v>
      </c>
      <c r="Q169">
        <v>0</v>
      </c>
      <c r="R169" t="b">
        <v>0</v>
      </c>
      <c r="S169">
        <v>0</v>
      </c>
      <c r="Y169" t="str">
        <f t="shared" si="17"/>
        <v>Pass</v>
      </c>
      <c r="Z169">
        <f t="shared" si="18"/>
        <v>23291.908203125</v>
      </c>
      <c r="AA169">
        <v>2400</v>
      </c>
      <c r="AB169">
        <v>20</v>
      </c>
      <c r="AC169">
        <v>14</v>
      </c>
      <c r="AD169">
        <v>0.2</v>
      </c>
      <c r="AE169">
        <v>23291.910446894501</v>
      </c>
      <c r="AK169" t="str">
        <f t="shared" si="19"/>
        <v>Pass</v>
      </c>
      <c r="AL169">
        <f t="shared" si="20"/>
        <v>20.413385391235352</v>
      </c>
      <c r="AM169">
        <v>81500</v>
      </c>
      <c r="AN169">
        <v>20.413384801342701</v>
      </c>
    </row>
    <row r="170" spans="1:40" x14ac:dyDescent="0.3">
      <c r="A170" t="str">
        <f>IF(ISBLANK(B170),"",IF(ROUND(B170,0)=ROUND(G170,0),"Pass","Fail"))</f>
        <v>Pass</v>
      </c>
      <c r="B170">
        <f t="shared" si="14"/>
        <v>18.112577438354492</v>
      </c>
      <c r="C170">
        <v>0</v>
      </c>
      <c r="D170">
        <v>20</v>
      </c>
      <c r="E170">
        <v>10</v>
      </c>
      <c r="F170">
        <v>24</v>
      </c>
      <c r="G170">
        <v>18.112577413735998</v>
      </c>
      <c r="M170" t="str">
        <f t="shared" si="15"/>
        <v>Pass</v>
      </c>
      <c r="N170">
        <f t="shared" si="16"/>
        <v>0</v>
      </c>
      <c r="O170">
        <v>0</v>
      </c>
      <c r="P170">
        <v>90</v>
      </c>
      <c r="Q170">
        <v>0.5</v>
      </c>
      <c r="R170" t="b">
        <v>1</v>
      </c>
      <c r="S170">
        <v>0</v>
      </c>
      <c r="Y170" t="str">
        <f t="shared" si="17"/>
        <v>Pass</v>
      </c>
      <c r="Z170">
        <f t="shared" si="18"/>
        <v>23789.095703125</v>
      </c>
      <c r="AA170">
        <v>2400</v>
      </c>
      <c r="AB170">
        <v>20</v>
      </c>
      <c r="AC170">
        <v>16</v>
      </c>
      <c r="AD170">
        <v>0.2</v>
      </c>
      <c r="AE170">
        <v>23789.097341336499</v>
      </c>
      <c r="AK170" t="str">
        <f t="shared" si="19"/>
        <v>Pass</v>
      </c>
      <c r="AL170">
        <f t="shared" si="20"/>
        <v>20.492568969726563</v>
      </c>
      <c r="AM170">
        <v>82000</v>
      </c>
      <c r="AN170">
        <v>20.492569870710099</v>
      </c>
    </row>
    <row r="171" spans="1:40" x14ac:dyDescent="0.3">
      <c r="A171" t="str">
        <f>IF(ISBLANK(B171),"",IF(ROUND(B171,0)=ROUND(G171,0),"Pass","Fail"))</f>
        <v>Pass</v>
      </c>
      <c r="B171">
        <f t="shared" si="14"/>
        <v>13.860273361206055</v>
      </c>
      <c r="C171">
        <v>0</v>
      </c>
      <c r="D171">
        <v>20</v>
      </c>
      <c r="E171">
        <v>10</v>
      </c>
      <c r="F171">
        <v>32</v>
      </c>
      <c r="G171">
        <v>13.8602730059945</v>
      </c>
      <c r="M171" t="str">
        <f t="shared" si="15"/>
        <v>Pass</v>
      </c>
      <c r="N171">
        <f t="shared" si="16"/>
        <v>0</v>
      </c>
      <c r="O171">
        <v>0</v>
      </c>
      <c r="P171">
        <v>90</v>
      </c>
      <c r="Q171">
        <v>0.5</v>
      </c>
      <c r="R171" t="b">
        <v>0</v>
      </c>
      <c r="S171">
        <v>0</v>
      </c>
      <c r="Y171" t="str">
        <f t="shared" si="17"/>
        <v>Pass</v>
      </c>
      <c r="Z171">
        <f t="shared" si="18"/>
        <v>24122.373046875</v>
      </c>
      <c r="AA171">
        <v>2400</v>
      </c>
      <c r="AB171">
        <v>20</v>
      </c>
      <c r="AC171">
        <v>18</v>
      </c>
      <c r="AD171">
        <v>0.2</v>
      </c>
      <c r="AE171">
        <v>24122.371683307101</v>
      </c>
      <c r="AK171" t="str">
        <f t="shared" si="19"/>
        <v>Pass</v>
      </c>
      <c r="AL171">
        <f t="shared" si="20"/>
        <v>20.571577072143555</v>
      </c>
      <c r="AM171">
        <v>82500</v>
      </c>
      <c r="AN171">
        <v>20.571577936168801</v>
      </c>
    </row>
    <row r="172" spans="1:40" x14ac:dyDescent="0.3">
      <c r="A172" t="str">
        <f>IF(ISBLANK(B172),"",IF(ROUND(B172,0)=ROUND(G172,0),"Pass","Fail"))</f>
        <v>Pass</v>
      </c>
      <c r="B172">
        <f t="shared" si="14"/>
        <v>11.7197265625</v>
      </c>
      <c r="C172">
        <v>0</v>
      </c>
      <c r="D172">
        <v>20</v>
      </c>
      <c r="E172">
        <v>10</v>
      </c>
      <c r="F172">
        <v>40</v>
      </c>
      <c r="G172">
        <v>11.719726764327</v>
      </c>
      <c r="M172" t="str">
        <f t="shared" si="15"/>
        <v>Pass</v>
      </c>
      <c r="N172">
        <f t="shared" si="16"/>
        <v>0</v>
      </c>
      <c r="O172">
        <v>0</v>
      </c>
      <c r="P172">
        <v>90</v>
      </c>
      <c r="Q172">
        <v>1</v>
      </c>
      <c r="R172" t="b">
        <v>1</v>
      </c>
      <c r="S172">
        <v>0</v>
      </c>
      <c r="Y172" t="str">
        <f t="shared" si="17"/>
        <v>Pass</v>
      </c>
      <c r="Z172">
        <f t="shared" si="18"/>
        <v>24345.7734375</v>
      </c>
      <c r="AA172">
        <v>2400</v>
      </c>
      <c r="AB172">
        <v>20</v>
      </c>
      <c r="AC172">
        <v>20</v>
      </c>
      <c r="AD172">
        <v>0.2</v>
      </c>
      <c r="AE172">
        <v>24345.772155559302</v>
      </c>
      <c r="AK172" t="str">
        <f t="shared" si="19"/>
        <v>Pass</v>
      </c>
      <c r="AL172">
        <f t="shared" si="20"/>
        <v>20.650409698486328</v>
      </c>
      <c r="AM172">
        <v>83000</v>
      </c>
      <c r="AN172">
        <v>20.650410462557801</v>
      </c>
    </row>
    <row r="173" spans="1:40" x14ac:dyDescent="0.3">
      <c r="A173" t="str">
        <f>IF(ISBLANK(B173),"",IF(ROUND(B173,0)=ROUND(G173,0),"Pass","Fail"))</f>
        <v>Pass</v>
      </c>
      <c r="B173">
        <f t="shared" si="14"/>
        <v>10.642208099365234</v>
      </c>
      <c r="C173">
        <v>0</v>
      </c>
      <c r="D173">
        <v>20</v>
      </c>
      <c r="E173">
        <v>10</v>
      </c>
      <c r="F173">
        <v>48</v>
      </c>
      <c r="G173">
        <v>10.642207900819599</v>
      </c>
      <c r="M173" t="str">
        <f t="shared" si="15"/>
        <v>Pass</v>
      </c>
      <c r="N173">
        <f t="shared" si="16"/>
        <v>0</v>
      </c>
      <c r="O173">
        <v>0</v>
      </c>
      <c r="P173">
        <v>90</v>
      </c>
      <c r="Q173">
        <v>1</v>
      </c>
      <c r="R173" t="b">
        <v>0</v>
      </c>
      <c r="S173">
        <v>0</v>
      </c>
      <c r="Y173" t="str">
        <f t="shared" si="17"/>
        <v>Pass</v>
      </c>
      <c r="Z173">
        <f t="shared" si="18"/>
        <v>24495.5234375</v>
      </c>
      <c r="AA173">
        <v>2400</v>
      </c>
      <c r="AB173">
        <v>20</v>
      </c>
      <c r="AC173">
        <v>22</v>
      </c>
      <c r="AD173">
        <v>0.2</v>
      </c>
      <c r="AE173">
        <v>24495.521970403901</v>
      </c>
      <c r="AK173" t="str">
        <f t="shared" si="19"/>
        <v>Pass</v>
      </c>
      <c r="AL173">
        <f t="shared" si="20"/>
        <v>20.729068756103516</v>
      </c>
      <c r="AM173">
        <v>83500</v>
      </c>
      <c r="AN173">
        <v>20.729068893851402</v>
      </c>
    </row>
    <row r="174" spans="1:40" x14ac:dyDescent="0.3">
      <c r="A174" t="str">
        <f>IF(ISBLANK(B174),"",IF(ROUND(B174,0)=ROUND(G174,0),"Pass","Fail"))</f>
        <v>Pass</v>
      </c>
      <c r="B174">
        <f t="shared" si="14"/>
        <v>76.678001403808594</v>
      </c>
      <c r="C174">
        <v>0</v>
      </c>
      <c r="D174">
        <v>20</v>
      </c>
      <c r="E174">
        <v>20</v>
      </c>
      <c r="F174">
        <v>0</v>
      </c>
      <c r="G174">
        <v>76.677999999999997</v>
      </c>
      <c r="M174" t="str">
        <f t="shared" si="15"/>
        <v>Pass</v>
      </c>
      <c r="N174">
        <f t="shared" si="16"/>
        <v>0</v>
      </c>
      <c r="O174">
        <v>0</v>
      </c>
      <c r="P174">
        <v>90</v>
      </c>
      <c r="Q174">
        <v>1.5</v>
      </c>
      <c r="R174" t="b">
        <v>1</v>
      </c>
      <c r="S174">
        <v>0</v>
      </c>
      <c r="Y174" t="str">
        <f t="shared" si="17"/>
        <v>Pass</v>
      </c>
      <c r="Z174">
        <f t="shared" si="18"/>
        <v>24595.904296875</v>
      </c>
      <c r="AA174">
        <v>2400</v>
      </c>
      <c r="AB174">
        <v>20</v>
      </c>
      <c r="AC174">
        <v>24</v>
      </c>
      <c r="AD174">
        <v>0.2</v>
      </c>
      <c r="AE174">
        <v>24595.9022731843</v>
      </c>
      <c r="AK174" t="str">
        <f t="shared" si="19"/>
        <v>Pass</v>
      </c>
      <c r="AL174">
        <f t="shared" si="20"/>
        <v>20.807554244995117</v>
      </c>
      <c r="AM174">
        <v>84000</v>
      </c>
      <c r="AN174">
        <v>20.8075546535797</v>
      </c>
    </row>
    <row r="175" spans="1:40" x14ac:dyDescent="0.3">
      <c r="A175" t="str">
        <f>IF(ISBLANK(B175),"",IF(ROUND(B175,0)=ROUND(G175,0),"Pass","Fail"))</f>
        <v>Pass</v>
      </c>
      <c r="B175">
        <f t="shared" si="14"/>
        <v>43.341228485107422</v>
      </c>
      <c r="C175">
        <v>0</v>
      </c>
      <c r="D175">
        <v>20</v>
      </c>
      <c r="E175">
        <v>20</v>
      </c>
      <c r="F175">
        <v>8</v>
      </c>
      <c r="G175">
        <v>43.341228080723099</v>
      </c>
      <c r="M175" t="str">
        <f t="shared" si="15"/>
        <v>Pass</v>
      </c>
      <c r="N175">
        <f t="shared" si="16"/>
        <v>0</v>
      </c>
      <c r="O175">
        <v>0</v>
      </c>
      <c r="P175">
        <v>90</v>
      </c>
      <c r="Q175">
        <v>1.5</v>
      </c>
      <c r="R175" t="b">
        <v>0</v>
      </c>
      <c r="S175">
        <v>0</v>
      </c>
      <c r="Y175" t="str">
        <f t="shared" si="17"/>
        <v>Pass</v>
      </c>
      <c r="Z175">
        <f t="shared" si="18"/>
        <v>0</v>
      </c>
      <c r="AA175">
        <v>2600</v>
      </c>
      <c r="AB175">
        <v>20</v>
      </c>
      <c r="AC175">
        <v>0</v>
      </c>
      <c r="AD175">
        <v>0.2</v>
      </c>
      <c r="AE175">
        <v>0</v>
      </c>
      <c r="AK175" t="str">
        <f t="shared" si="19"/>
        <v>Pass</v>
      </c>
      <c r="AL175">
        <f t="shared" si="20"/>
        <v>20.885869979858398</v>
      </c>
      <c r="AM175">
        <v>84500</v>
      </c>
      <c r="AN175">
        <v>20.885869145237901</v>
      </c>
    </row>
    <row r="176" spans="1:40" x14ac:dyDescent="0.3">
      <c r="A176" t="str">
        <f>IF(ISBLANK(B176),"",IF(ROUND(B176,0)=ROUND(G176,0),"Pass","Fail"))</f>
        <v>Pass</v>
      </c>
      <c r="B176">
        <f t="shared" si="14"/>
        <v>26.55999755859375</v>
      </c>
      <c r="C176">
        <v>0</v>
      </c>
      <c r="D176">
        <v>20</v>
      </c>
      <c r="E176">
        <v>20</v>
      </c>
      <c r="F176">
        <v>16</v>
      </c>
      <c r="G176">
        <v>26.559997247101698</v>
      </c>
      <c r="M176" t="str">
        <f t="shared" si="15"/>
        <v>Pass</v>
      </c>
      <c r="N176">
        <f t="shared" si="16"/>
        <v>0</v>
      </c>
      <c r="O176">
        <v>0</v>
      </c>
      <c r="P176">
        <v>90</v>
      </c>
      <c r="Q176">
        <v>2</v>
      </c>
      <c r="R176" t="b">
        <v>1</v>
      </c>
      <c r="S176">
        <v>0</v>
      </c>
      <c r="Y176" t="str">
        <f t="shared" si="17"/>
        <v>Pass</v>
      </c>
      <c r="Z176">
        <f t="shared" si="18"/>
        <v>8857.4013671875</v>
      </c>
      <c r="AA176">
        <v>2600</v>
      </c>
      <c r="AB176">
        <v>20</v>
      </c>
      <c r="AC176">
        <v>2</v>
      </c>
      <c r="AD176">
        <v>0.2</v>
      </c>
      <c r="AE176">
        <v>8857.40142984249</v>
      </c>
      <c r="AK176" t="str">
        <f t="shared" si="19"/>
        <v>Pass</v>
      </c>
      <c r="AL176">
        <f t="shared" si="20"/>
        <v>20.964014053344727</v>
      </c>
      <c r="AM176">
        <v>85000</v>
      </c>
      <c r="AN176">
        <v>20.964013752684998</v>
      </c>
    </row>
    <row r="177" spans="1:40" x14ac:dyDescent="0.3">
      <c r="A177" t="str">
        <f>IF(ISBLANK(B177),"",IF(ROUND(B177,0)=ROUND(G177,0),"Pass","Fail"))</f>
        <v>Pass</v>
      </c>
      <c r="B177">
        <f t="shared" si="14"/>
        <v>18.112577438354492</v>
      </c>
      <c r="C177">
        <v>0</v>
      </c>
      <c r="D177">
        <v>20</v>
      </c>
      <c r="E177">
        <v>20</v>
      </c>
      <c r="F177">
        <v>24</v>
      </c>
      <c r="G177">
        <v>18.112577413736201</v>
      </c>
      <c r="M177" t="str">
        <f t="shared" si="15"/>
        <v>Pass</v>
      </c>
      <c r="N177">
        <f t="shared" si="16"/>
        <v>0</v>
      </c>
      <c r="O177">
        <v>0</v>
      </c>
      <c r="P177">
        <v>90</v>
      </c>
      <c r="Q177">
        <v>2</v>
      </c>
      <c r="R177" t="b">
        <v>0</v>
      </c>
      <c r="S177">
        <v>0</v>
      </c>
      <c r="Y177" t="str">
        <f t="shared" si="17"/>
        <v>Pass</v>
      </c>
      <c r="Z177">
        <f t="shared" si="18"/>
        <v>14794.6953125</v>
      </c>
      <c r="AA177">
        <v>2600</v>
      </c>
      <c r="AB177">
        <v>20</v>
      </c>
      <c r="AC177">
        <v>4</v>
      </c>
      <c r="AD177">
        <v>0.2</v>
      </c>
      <c r="AE177">
        <v>14794.695164050599</v>
      </c>
      <c r="AK177" t="str">
        <f t="shared" si="19"/>
        <v>Pass</v>
      </c>
      <c r="AL177">
        <f t="shared" si="20"/>
        <v>21.041990280151367</v>
      </c>
      <c r="AM177">
        <v>85500</v>
      </c>
      <c r="AN177">
        <v>21.0419898405321</v>
      </c>
    </row>
    <row r="178" spans="1:40" x14ac:dyDescent="0.3">
      <c r="A178" t="str">
        <f>IF(ISBLANK(B178),"",IF(ROUND(B178,0)=ROUND(G178,0),"Pass","Fail"))</f>
        <v>Pass</v>
      </c>
      <c r="B178">
        <f t="shared" si="14"/>
        <v>13.860273361206055</v>
      </c>
      <c r="C178">
        <v>0</v>
      </c>
      <c r="D178">
        <v>20</v>
      </c>
      <c r="E178">
        <v>20</v>
      </c>
      <c r="F178">
        <v>32</v>
      </c>
      <c r="G178">
        <v>13.8602730059946</v>
      </c>
      <c r="M178" t="str">
        <f t="shared" si="15"/>
        <v>Pass</v>
      </c>
      <c r="N178">
        <f t="shared" si="16"/>
        <v>0</v>
      </c>
      <c r="O178">
        <v>0</v>
      </c>
      <c r="P178">
        <v>90</v>
      </c>
      <c r="Q178">
        <v>2.5</v>
      </c>
      <c r="R178" t="b">
        <v>1</v>
      </c>
      <c r="S178">
        <v>0</v>
      </c>
      <c r="Y178" t="str">
        <f t="shared" si="17"/>
        <v>Pass</v>
      </c>
      <c r="Z178">
        <f t="shared" si="18"/>
        <v>18774.58203125</v>
      </c>
      <c r="AA178">
        <v>2600</v>
      </c>
      <c r="AB178">
        <v>20</v>
      </c>
      <c r="AC178">
        <v>6</v>
      </c>
      <c r="AD178">
        <v>0.2</v>
      </c>
      <c r="AE178">
        <v>18774.582173292099</v>
      </c>
      <c r="AK178" t="str">
        <f t="shared" si="19"/>
        <v>Pass</v>
      </c>
      <c r="AL178">
        <f t="shared" si="20"/>
        <v>21.11979866027832</v>
      </c>
      <c r="AM178">
        <v>86000</v>
      </c>
      <c r="AN178">
        <v>21.119798754521199</v>
      </c>
    </row>
    <row r="179" spans="1:40" x14ac:dyDescent="0.3">
      <c r="A179" t="str">
        <f>IF(ISBLANK(B179),"",IF(ROUND(B179,0)=ROUND(G179,0),"Pass","Fail"))</f>
        <v>Pass</v>
      </c>
      <c r="B179">
        <f t="shared" si="14"/>
        <v>11.7197265625</v>
      </c>
      <c r="C179">
        <v>0</v>
      </c>
      <c r="D179">
        <v>20</v>
      </c>
      <c r="E179">
        <v>20</v>
      </c>
      <c r="F179">
        <v>40</v>
      </c>
      <c r="G179">
        <v>11.719726764327101</v>
      </c>
      <c r="M179" t="str">
        <f t="shared" si="15"/>
        <v>Pass</v>
      </c>
      <c r="N179">
        <f t="shared" si="16"/>
        <v>0</v>
      </c>
      <c r="O179">
        <v>0</v>
      </c>
      <c r="P179">
        <v>90</v>
      </c>
      <c r="Q179">
        <v>2.5</v>
      </c>
      <c r="R179" t="b">
        <v>0</v>
      </c>
      <c r="S179">
        <v>0</v>
      </c>
      <c r="Y179" t="str">
        <f t="shared" si="17"/>
        <v>Pass</v>
      </c>
      <c r="Z179">
        <f t="shared" si="18"/>
        <v>21442.380859375</v>
      </c>
      <c r="AA179">
        <v>2600</v>
      </c>
      <c r="AB179">
        <v>20</v>
      </c>
      <c r="AC179">
        <v>8</v>
      </c>
      <c r="AD179">
        <v>0.2</v>
      </c>
      <c r="AE179">
        <v>21442.380216543501</v>
      </c>
      <c r="AK179" t="str">
        <f t="shared" si="19"/>
        <v>Pass</v>
      </c>
      <c r="AL179">
        <f t="shared" si="20"/>
        <v>21.197441101074219</v>
      </c>
      <c r="AM179">
        <v>86500</v>
      </c>
      <c r="AN179">
        <v>21.197441821894401</v>
      </c>
    </row>
    <row r="180" spans="1:40" x14ac:dyDescent="0.3">
      <c r="A180" t="str">
        <f>IF(ISBLANK(B180),"",IF(ROUND(B180,0)=ROUND(G180,0),"Pass","Fail"))</f>
        <v>Pass</v>
      </c>
      <c r="B180">
        <f t="shared" si="14"/>
        <v>10.642208099365234</v>
      </c>
      <c r="C180">
        <v>0</v>
      </c>
      <c r="D180">
        <v>20</v>
      </c>
      <c r="E180">
        <v>20</v>
      </c>
      <c r="F180">
        <v>48</v>
      </c>
      <c r="G180">
        <v>10.642207900819701</v>
      </c>
      <c r="M180" t="str">
        <f t="shared" si="15"/>
        <v>Pass</v>
      </c>
      <c r="N180">
        <f t="shared" si="16"/>
        <v>0</v>
      </c>
      <c r="O180">
        <v>0</v>
      </c>
      <c r="P180">
        <v>90</v>
      </c>
      <c r="Q180">
        <v>3</v>
      </c>
      <c r="R180" t="b">
        <v>1</v>
      </c>
      <c r="S180">
        <v>0</v>
      </c>
      <c r="Y180" t="str">
        <f t="shared" si="17"/>
        <v>Pass</v>
      </c>
      <c r="Z180">
        <f t="shared" si="18"/>
        <v>23230.66015625</v>
      </c>
      <c r="AA180">
        <v>2600</v>
      </c>
      <c r="AB180">
        <v>20</v>
      </c>
      <c r="AC180">
        <v>10</v>
      </c>
      <c r="AD180">
        <v>0.2</v>
      </c>
      <c r="AE180">
        <v>23230.658723709599</v>
      </c>
      <c r="AK180" t="str">
        <f t="shared" si="19"/>
        <v>Pass</v>
      </c>
      <c r="AL180">
        <f t="shared" si="20"/>
        <v>21.274919509887695</v>
      </c>
      <c r="AM180">
        <v>87000</v>
      </c>
      <c r="AN180">
        <v>21.274920351753</v>
      </c>
    </row>
    <row r="181" spans="1:40" x14ac:dyDescent="0.3">
      <c r="A181" t="str">
        <f>IF(ISBLANK(B181),"",IF(ROUND(B181,0)=ROUND(G181,0),"Pass","Fail"))</f>
        <v>Pass</v>
      </c>
      <c r="B181">
        <f t="shared" si="14"/>
        <v>76.678001403808594</v>
      </c>
      <c r="C181">
        <v>0</v>
      </c>
      <c r="D181">
        <v>20</v>
      </c>
      <c r="E181">
        <v>30</v>
      </c>
      <c r="F181">
        <v>0</v>
      </c>
      <c r="G181">
        <v>76.677999999999997</v>
      </c>
      <c r="M181" t="str">
        <f t="shared" si="15"/>
        <v>Pass</v>
      </c>
      <c r="N181">
        <f t="shared" si="16"/>
        <v>0</v>
      </c>
      <c r="O181">
        <v>0</v>
      </c>
      <c r="P181">
        <v>90</v>
      </c>
      <c r="Q181">
        <v>3</v>
      </c>
      <c r="R181" t="b">
        <v>0</v>
      </c>
      <c r="S181">
        <v>0</v>
      </c>
      <c r="Y181" t="str">
        <f t="shared" si="17"/>
        <v>Pass</v>
      </c>
      <c r="Z181">
        <f t="shared" si="18"/>
        <v>24429.37890625</v>
      </c>
      <c r="AA181">
        <v>2600</v>
      </c>
      <c r="AB181">
        <v>20</v>
      </c>
      <c r="AC181">
        <v>12</v>
      </c>
      <c r="AD181">
        <v>0.2</v>
      </c>
      <c r="AE181">
        <v>24429.377654957701</v>
      </c>
      <c r="AK181" t="str">
        <f t="shared" si="19"/>
        <v>Pass</v>
      </c>
      <c r="AL181">
        <f t="shared" si="20"/>
        <v>21.352235794067383</v>
      </c>
      <c r="AM181">
        <v>87500</v>
      </c>
      <c r="AN181">
        <v>21.3522356354087</v>
      </c>
    </row>
    <row r="182" spans="1:40" x14ac:dyDescent="0.3">
      <c r="A182" t="str">
        <f>IF(ISBLANK(B182),"",IF(ROUND(B182,0)=ROUND(G182,0),"Pass","Fail"))</f>
        <v>Pass</v>
      </c>
      <c r="B182">
        <f t="shared" si="14"/>
        <v>43.341228485107422</v>
      </c>
      <c r="C182">
        <v>0</v>
      </c>
      <c r="D182">
        <v>20</v>
      </c>
      <c r="E182">
        <v>30</v>
      </c>
      <c r="F182">
        <v>8</v>
      </c>
      <c r="G182">
        <v>43.341228080723099</v>
      </c>
      <c r="M182" t="str">
        <f t="shared" si="15"/>
        <v>Pass</v>
      </c>
      <c r="N182">
        <f t="shared" si="16"/>
        <v>0</v>
      </c>
      <c r="O182">
        <v>0</v>
      </c>
      <c r="P182">
        <v>90</v>
      </c>
      <c r="Q182">
        <v>3.5</v>
      </c>
      <c r="R182" t="b">
        <v>1</v>
      </c>
      <c r="S182">
        <v>0</v>
      </c>
      <c r="Y182" t="str">
        <f t="shared" si="17"/>
        <v>Pass</v>
      </c>
      <c r="Z182">
        <f t="shared" si="18"/>
        <v>25232.900390625</v>
      </c>
      <c r="AA182">
        <v>2600</v>
      </c>
      <c r="AB182">
        <v>20</v>
      </c>
      <c r="AC182">
        <v>14</v>
      </c>
      <c r="AD182">
        <v>0.2</v>
      </c>
      <c r="AE182">
        <v>25232.902984135799</v>
      </c>
      <c r="AK182" t="str">
        <f t="shared" si="19"/>
        <v>Pass</v>
      </c>
      <c r="AL182">
        <f t="shared" si="20"/>
        <v>21.429388046264648</v>
      </c>
      <c r="AM182">
        <v>88000</v>
      </c>
      <c r="AN182">
        <v>21.429388946725201</v>
      </c>
    </row>
    <row r="183" spans="1:40" x14ac:dyDescent="0.3">
      <c r="A183" t="str">
        <f>IF(ISBLANK(B183),"",IF(ROUND(B183,0)=ROUND(G183,0),"Pass","Fail"))</f>
        <v>Pass</v>
      </c>
      <c r="B183">
        <f t="shared" si="14"/>
        <v>26.55999755859375</v>
      </c>
      <c r="C183">
        <v>0</v>
      </c>
      <c r="D183">
        <v>20</v>
      </c>
      <c r="E183">
        <v>30</v>
      </c>
      <c r="F183">
        <v>16</v>
      </c>
      <c r="G183">
        <v>26.559997247101698</v>
      </c>
      <c r="M183" t="str">
        <f t="shared" si="15"/>
        <v>Pass</v>
      </c>
      <c r="N183">
        <f t="shared" si="16"/>
        <v>0</v>
      </c>
      <c r="O183">
        <v>0</v>
      </c>
      <c r="P183">
        <v>90</v>
      </c>
      <c r="Q183">
        <v>3.5</v>
      </c>
      <c r="R183" t="b">
        <v>0</v>
      </c>
      <c r="S183">
        <v>0</v>
      </c>
      <c r="Y183" t="str">
        <f t="shared" si="17"/>
        <v>Pass</v>
      </c>
      <c r="Z183">
        <f t="shared" si="18"/>
        <v>25771.521484375</v>
      </c>
      <c r="AA183">
        <v>2600</v>
      </c>
      <c r="AB183">
        <v>20</v>
      </c>
      <c r="AC183">
        <v>16</v>
      </c>
      <c r="AD183">
        <v>0.2</v>
      </c>
      <c r="AE183">
        <v>25771.522119781199</v>
      </c>
      <c r="AK183" t="str">
        <f t="shared" si="19"/>
        <v>Pass</v>
      </c>
      <c r="AL183">
        <f t="shared" si="20"/>
        <v>21.506381988525391</v>
      </c>
      <c r="AM183">
        <v>88500</v>
      </c>
      <c r="AN183">
        <v>21.506381542451901</v>
      </c>
    </row>
    <row r="184" spans="1:40" x14ac:dyDescent="0.3">
      <c r="A184" t="str">
        <f>IF(ISBLANK(B184),"",IF(ROUND(B184,0)=ROUND(G184,0),"Pass","Fail"))</f>
        <v>Pass</v>
      </c>
      <c r="B184">
        <f t="shared" si="14"/>
        <v>18.112577438354492</v>
      </c>
      <c r="C184">
        <v>0</v>
      </c>
      <c r="D184">
        <v>20</v>
      </c>
      <c r="E184">
        <v>30</v>
      </c>
      <c r="F184">
        <v>24</v>
      </c>
      <c r="G184">
        <v>18.112577413736201</v>
      </c>
      <c r="M184" t="str">
        <f t="shared" si="15"/>
        <v>Pass</v>
      </c>
      <c r="N184">
        <f t="shared" si="16"/>
        <v>0</v>
      </c>
      <c r="O184">
        <v>0</v>
      </c>
      <c r="P184">
        <v>90</v>
      </c>
      <c r="Q184">
        <v>4</v>
      </c>
      <c r="R184" t="b">
        <v>1</v>
      </c>
      <c r="S184">
        <v>0</v>
      </c>
      <c r="Y184" t="str">
        <f t="shared" si="17"/>
        <v>Pass</v>
      </c>
      <c r="Z184">
        <f t="shared" si="18"/>
        <v>26132.5703125</v>
      </c>
      <c r="AA184">
        <v>2600</v>
      </c>
      <c r="AB184">
        <v>20</v>
      </c>
      <c r="AC184">
        <v>18</v>
      </c>
      <c r="AD184">
        <v>0.2</v>
      </c>
      <c r="AE184">
        <v>26132.569323582698</v>
      </c>
      <c r="AK184" t="str">
        <f t="shared" si="19"/>
        <v>Pass</v>
      </c>
      <c r="AL184">
        <f t="shared" si="20"/>
        <v>21.583213806152344</v>
      </c>
      <c r="AM184">
        <v>89000</v>
      </c>
      <c r="AN184">
        <v>21.583214662548801</v>
      </c>
    </row>
    <row r="185" spans="1:40" x14ac:dyDescent="0.3">
      <c r="A185" t="str">
        <f>IF(ISBLANK(B185),"",IF(ROUND(B185,0)=ROUND(G185,0),"Pass","Fail"))</f>
        <v>Pass</v>
      </c>
      <c r="B185">
        <f t="shared" si="14"/>
        <v>13.860273361206055</v>
      </c>
      <c r="C185">
        <v>0</v>
      </c>
      <c r="D185">
        <v>20</v>
      </c>
      <c r="E185">
        <v>30</v>
      </c>
      <c r="F185">
        <v>32</v>
      </c>
      <c r="G185">
        <v>13.8602730059946</v>
      </c>
      <c r="M185" t="str">
        <f t="shared" si="15"/>
        <v>Pass</v>
      </c>
      <c r="N185">
        <f t="shared" si="16"/>
        <v>0</v>
      </c>
      <c r="O185">
        <v>0</v>
      </c>
      <c r="P185">
        <v>90</v>
      </c>
      <c r="Q185">
        <v>4</v>
      </c>
      <c r="R185" t="b">
        <v>0</v>
      </c>
      <c r="S185">
        <v>0</v>
      </c>
      <c r="Y185" t="str">
        <f t="shared" si="17"/>
        <v>Pass</v>
      </c>
      <c r="Z185">
        <f t="shared" si="18"/>
        <v>26374.587890625</v>
      </c>
      <c r="AA185">
        <v>2600</v>
      </c>
      <c r="AB185">
        <v>20</v>
      </c>
      <c r="AC185">
        <v>20</v>
      </c>
      <c r="AD185">
        <v>0.2</v>
      </c>
      <c r="AE185">
        <v>26374.586501856</v>
      </c>
      <c r="AK185" t="str">
        <f t="shared" si="19"/>
        <v>Pass</v>
      </c>
      <c r="AL185">
        <f t="shared" si="20"/>
        <v>21.659889221191406</v>
      </c>
      <c r="AM185">
        <v>89500</v>
      </c>
      <c r="AN185">
        <v>21.659889530504199</v>
      </c>
    </row>
    <row r="186" spans="1:40" x14ac:dyDescent="0.3">
      <c r="A186" t="str">
        <f>IF(ISBLANK(B186),"",IF(ROUND(B186,0)=ROUND(G186,0),"Pass","Fail"))</f>
        <v>Pass</v>
      </c>
      <c r="B186">
        <f t="shared" si="14"/>
        <v>11.7197265625</v>
      </c>
      <c r="C186">
        <v>0</v>
      </c>
      <c r="D186">
        <v>20</v>
      </c>
      <c r="E186">
        <v>30</v>
      </c>
      <c r="F186">
        <v>40</v>
      </c>
      <c r="G186">
        <v>11.719726764327101</v>
      </c>
      <c r="M186" t="str">
        <f t="shared" si="15"/>
        <v>Pass</v>
      </c>
      <c r="N186">
        <f t="shared" si="16"/>
        <v>0</v>
      </c>
      <c r="O186">
        <v>10</v>
      </c>
      <c r="P186">
        <v>0</v>
      </c>
      <c r="Q186">
        <v>0</v>
      </c>
      <c r="R186" t="b">
        <v>1</v>
      </c>
      <c r="S186">
        <v>0</v>
      </c>
      <c r="Y186" t="str">
        <f t="shared" si="17"/>
        <v>Pass</v>
      </c>
      <c r="Z186">
        <f t="shared" si="18"/>
        <v>26536.81640625</v>
      </c>
      <c r="AA186">
        <v>2600</v>
      </c>
      <c r="AB186">
        <v>20</v>
      </c>
      <c r="AC186">
        <v>22</v>
      </c>
      <c r="AD186">
        <v>0.2</v>
      </c>
      <c r="AE186">
        <v>26536.8154679375</v>
      </c>
      <c r="AK186" t="str">
        <f t="shared" si="19"/>
        <v>Pass</v>
      </c>
      <c r="AL186">
        <f t="shared" si="20"/>
        <v>21.736408233642578</v>
      </c>
      <c r="AM186">
        <v>90000</v>
      </c>
      <c r="AN186">
        <v>21.736407353643699</v>
      </c>
    </row>
    <row r="187" spans="1:40" x14ac:dyDescent="0.3">
      <c r="A187" t="str">
        <f>IF(ISBLANK(B187),"",IF(ROUND(B187,0)=ROUND(G187,0),"Pass","Fail"))</f>
        <v>Pass</v>
      </c>
      <c r="B187">
        <f t="shared" si="14"/>
        <v>10.642208099365234</v>
      </c>
      <c r="C187">
        <v>0</v>
      </c>
      <c r="D187">
        <v>20</v>
      </c>
      <c r="E187">
        <v>30</v>
      </c>
      <c r="F187">
        <v>48</v>
      </c>
      <c r="G187">
        <v>10.642207900819701</v>
      </c>
      <c r="M187" t="str">
        <f t="shared" si="15"/>
        <v>Pass</v>
      </c>
      <c r="N187">
        <f t="shared" si="16"/>
        <v>0</v>
      </c>
      <c r="O187">
        <v>10</v>
      </c>
      <c r="P187">
        <v>0</v>
      </c>
      <c r="Q187">
        <v>0</v>
      </c>
      <c r="R187" t="b">
        <v>0</v>
      </c>
      <c r="S187">
        <v>0</v>
      </c>
      <c r="Y187" t="str">
        <f t="shared" si="17"/>
        <v>Pass</v>
      </c>
      <c r="Z187">
        <f t="shared" si="18"/>
        <v>26645.5625</v>
      </c>
      <c r="AA187">
        <v>2600</v>
      </c>
      <c r="AB187">
        <v>20</v>
      </c>
      <c r="AC187">
        <v>24</v>
      </c>
      <c r="AD187">
        <v>0.2</v>
      </c>
      <c r="AE187">
        <v>26645.560795949601</v>
      </c>
      <c r="AK187" t="str">
        <f t="shared" si="19"/>
        <v>Pass</v>
      </c>
      <c r="AL187">
        <f t="shared" si="20"/>
        <v>21.812768936157227</v>
      </c>
      <c r="AM187">
        <v>90500</v>
      </c>
      <c r="AN187">
        <v>21.812769323432899</v>
      </c>
    </row>
    <row r="188" spans="1:40" x14ac:dyDescent="0.3">
      <c r="A188" t="str">
        <f>IF(ISBLANK(B188),"",IF(ROUND(B188,0)=ROUND(G188,0),"Pass","Fail"))</f>
        <v>Pass</v>
      </c>
      <c r="B188">
        <f t="shared" si="14"/>
        <v>76.678001403808594</v>
      </c>
      <c r="C188">
        <v>0</v>
      </c>
      <c r="D188">
        <v>20</v>
      </c>
      <c r="E188">
        <v>40</v>
      </c>
      <c r="F188">
        <v>0</v>
      </c>
      <c r="G188">
        <v>76.677999999999997</v>
      </c>
      <c r="M188" t="str">
        <f t="shared" si="15"/>
        <v>Pass</v>
      </c>
      <c r="N188">
        <f t="shared" si="16"/>
        <v>0.90539681911468506</v>
      </c>
      <c r="O188">
        <v>10</v>
      </c>
      <c r="P188">
        <v>0</v>
      </c>
      <c r="Q188">
        <v>0.5</v>
      </c>
      <c r="R188" t="b">
        <v>1</v>
      </c>
      <c r="S188">
        <v>0.90539687237940003</v>
      </c>
      <c r="Y188" t="str">
        <f t="shared" si="17"/>
        <v>Pass</v>
      </c>
      <c r="Z188">
        <f t="shared" si="18"/>
        <v>0</v>
      </c>
      <c r="AA188">
        <v>2800</v>
      </c>
      <c r="AB188">
        <v>20</v>
      </c>
      <c r="AC188">
        <v>0</v>
      </c>
      <c r="AD188">
        <v>0.2</v>
      </c>
      <c r="AE188">
        <v>0</v>
      </c>
      <c r="AK188" t="str">
        <f t="shared" si="19"/>
        <v>Pass</v>
      </c>
      <c r="AL188">
        <f t="shared" si="20"/>
        <v>21.88897705078125</v>
      </c>
      <c r="AM188">
        <v>91000</v>
      </c>
      <c r="AN188">
        <v>21.888976615771401</v>
      </c>
    </row>
    <row r="189" spans="1:40" x14ac:dyDescent="0.3">
      <c r="A189" t="str">
        <f>IF(ISBLANK(B189),"",IF(ROUND(B189,0)=ROUND(G189,0),"Pass","Fail"))</f>
        <v>Pass</v>
      </c>
      <c r="B189">
        <f t="shared" si="14"/>
        <v>43.341228485107422</v>
      </c>
      <c r="C189">
        <v>0</v>
      </c>
      <c r="D189">
        <v>20</v>
      </c>
      <c r="E189">
        <v>40</v>
      </c>
      <c r="F189">
        <v>8</v>
      </c>
      <c r="G189">
        <v>43.341228080723099</v>
      </c>
      <c r="M189" t="str">
        <f t="shared" si="15"/>
        <v>Pass</v>
      </c>
      <c r="N189">
        <f t="shared" si="16"/>
        <v>5.7734179496765137</v>
      </c>
      <c r="O189">
        <v>10</v>
      </c>
      <c r="P189">
        <v>0</v>
      </c>
      <c r="Q189">
        <v>0.5</v>
      </c>
      <c r="R189" t="b">
        <v>0</v>
      </c>
      <c r="S189">
        <v>5.7734180419890402</v>
      </c>
      <c r="Y189" t="str">
        <f t="shared" si="17"/>
        <v>Pass</v>
      </c>
      <c r="Z189">
        <f t="shared" si="18"/>
        <v>9538.7392578125</v>
      </c>
      <c r="AA189">
        <v>2800</v>
      </c>
      <c r="AB189">
        <v>20</v>
      </c>
      <c r="AC189">
        <v>2</v>
      </c>
      <c r="AD189">
        <v>0.2</v>
      </c>
      <c r="AE189">
        <v>9538.7400013688293</v>
      </c>
      <c r="AK189" t="str">
        <f t="shared" si="19"/>
        <v>Pass</v>
      </c>
      <c r="AL189">
        <f t="shared" si="20"/>
        <v>21.965030670166016</v>
      </c>
      <c r="AM189">
        <v>91500</v>
      </c>
      <c r="AN189">
        <v>21.965030391280902</v>
      </c>
    </row>
    <row r="190" spans="1:40" x14ac:dyDescent="0.3">
      <c r="A190" t="str">
        <f>IF(ISBLANK(B190),"",IF(ROUND(B190,0)=ROUND(G190,0),"Pass","Fail"))</f>
        <v>Pass</v>
      </c>
      <c r="B190">
        <f t="shared" si="14"/>
        <v>26.55999755859375</v>
      </c>
      <c r="C190">
        <v>0</v>
      </c>
      <c r="D190">
        <v>20</v>
      </c>
      <c r="E190">
        <v>40</v>
      </c>
      <c r="F190">
        <v>16</v>
      </c>
      <c r="G190">
        <v>26.559997247101698</v>
      </c>
      <c r="M190" t="str">
        <f t="shared" si="15"/>
        <v>Pass</v>
      </c>
      <c r="N190">
        <f t="shared" si="16"/>
        <v>1.0596752166748047</v>
      </c>
      <c r="O190">
        <v>10</v>
      </c>
      <c r="P190">
        <v>0</v>
      </c>
      <c r="Q190">
        <v>1</v>
      </c>
      <c r="R190" t="b">
        <v>1</v>
      </c>
      <c r="S190">
        <v>1.0596752694281899</v>
      </c>
      <c r="Y190" t="str">
        <f t="shared" si="17"/>
        <v>Pass</v>
      </c>
      <c r="Z190">
        <f t="shared" si="18"/>
        <v>15932.7490234375</v>
      </c>
      <c r="AA190">
        <v>2800</v>
      </c>
      <c r="AB190">
        <v>20</v>
      </c>
      <c r="AC190">
        <v>4</v>
      </c>
      <c r="AD190">
        <v>0.2</v>
      </c>
      <c r="AE190">
        <v>15932.748638208301</v>
      </c>
      <c r="AK190" t="str">
        <f t="shared" si="19"/>
        <v>Pass</v>
      </c>
      <c r="AL190">
        <f t="shared" si="20"/>
        <v>22.040931701660156</v>
      </c>
      <c r="AM190">
        <v>92000</v>
      </c>
      <c r="AN190">
        <v>22.0409317955862</v>
      </c>
    </row>
    <row r="191" spans="1:40" x14ac:dyDescent="0.3">
      <c r="A191" t="str">
        <f>IF(ISBLANK(B191),"",IF(ROUND(B191,0)=ROUND(G191,0),"Pass","Fail"))</f>
        <v>Pass</v>
      </c>
      <c r="B191">
        <f t="shared" si="14"/>
        <v>18.112577438354492</v>
      </c>
      <c r="C191">
        <v>0</v>
      </c>
      <c r="D191">
        <v>20</v>
      </c>
      <c r="E191">
        <v>40</v>
      </c>
      <c r="F191">
        <v>24</v>
      </c>
      <c r="G191">
        <v>18.112577413736201</v>
      </c>
      <c r="M191" t="str">
        <f t="shared" si="15"/>
        <v>Pass</v>
      </c>
      <c r="N191">
        <f t="shared" si="16"/>
        <v>6.7572007179260254</v>
      </c>
      <c r="O191">
        <v>10</v>
      </c>
      <c r="P191">
        <v>0</v>
      </c>
      <c r="Q191">
        <v>1</v>
      </c>
      <c r="R191" t="b">
        <v>0</v>
      </c>
      <c r="S191">
        <v>6.7572006330088596</v>
      </c>
      <c r="Y191" t="str">
        <f t="shared" si="17"/>
        <v>Pass</v>
      </c>
      <c r="Z191">
        <f t="shared" si="18"/>
        <v>20218.78125</v>
      </c>
      <c r="AA191">
        <v>2800</v>
      </c>
      <c r="AB191">
        <v>20</v>
      </c>
      <c r="AC191">
        <v>6</v>
      </c>
      <c r="AD191">
        <v>0.2</v>
      </c>
      <c r="AE191">
        <v>20218.780802006899</v>
      </c>
      <c r="AK191" t="str">
        <f t="shared" si="19"/>
        <v>Pass</v>
      </c>
      <c r="AL191">
        <f t="shared" si="20"/>
        <v>22.116682052612305</v>
      </c>
      <c r="AM191">
        <v>92500</v>
      </c>
      <c r="AN191">
        <v>22.1166819595887</v>
      </c>
    </row>
    <row r="192" spans="1:40" x14ac:dyDescent="0.3">
      <c r="A192" t="str">
        <f>IF(ISBLANK(B192),"",IF(ROUND(B192,0)=ROUND(G192,0),"Pass","Fail"))</f>
        <v>Pass</v>
      </c>
      <c r="B192">
        <f t="shared" si="14"/>
        <v>13.860273361206055</v>
      </c>
      <c r="C192">
        <v>0</v>
      </c>
      <c r="D192">
        <v>20</v>
      </c>
      <c r="E192">
        <v>40</v>
      </c>
      <c r="F192">
        <v>32</v>
      </c>
      <c r="G192">
        <v>13.8602730059946</v>
      </c>
      <c r="M192" t="str">
        <f t="shared" si="15"/>
        <v>Pass</v>
      </c>
      <c r="N192">
        <f t="shared" si="16"/>
        <v>1.1618378162384033</v>
      </c>
      <c r="O192">
        <v>10</v>
      </c>
      <c r="P192">
        <v>0</v>
      </c>
      <c r="Q192">
        <v>1.5</v>
      </c>
      <c r="R192" t="b">
        <v>1</v>
      </c>
      <c r="S192">
        <v>1.1618378341190001</v>
      </c>
      <c r="Y192" t="str">
        <f t="shared" si="17"/>
        <v>Pass</v>
      </c>
      <c r="Z192">
        <f t="shared" si="18"/>
        <v>23091.79296875</v>
      </c>
      <c r="AA192">
        <v>2800</v>
      </c>
      <c r="AB192">
        <v>20</v>
      </c>
      <c r="AC192">
        <v>8</v>
      </c>
      <c r="AD192">
        <v>0.2</v>
      </c>
      <c r="AE192">
        <v>23091.7940793546</v>
      </c>
      <c r="AK192" t="str">
        <f t="shared" si="19"/>
        <v>Pass</v>
      </c>
      <c r="AL192">
        <f t="shared" si="20"/>
        <v>22.192281723022461</v>
      </c>
      <c r="AM192">
        <v>93000</v>
      </c>
      <c r="AN192">
        <v>22.192281999734998</v>
      </c>
    </row>
    <row r="193" spans="1:40" x14ac:dyDescent="0.3">
      <c r="A193" t="str">
        <f>IF(ISBLANK(B193),"",IF(ROUND(B193,0)=ROUND(G193,0),"Pass","Fail"))</f>
        <v>Pass</v>
      </c>
      <c r="B193">
        <f t="shared" si="14"/>
        <v>11.7197265625</v>
      </c>
      <c r="C193">
        <v>0</v>
      </c>
      <c r="D193">
        <v>20</v>
      </c>
      <c r="E193">
        <v>40</v>
      </c>
      <c r="F193">
        <v>40</v>
      </c>
      <c r="G193">
        <v>11.719726764327101</v>
      </c>
      <c r="M193" t="str">
        <f t="shared" si="15"/>
        <v>Pass</v>
      </c>
      <c r="N193">
        <f t="shared" si="16"/>
        <v>7.4086580276489258</v>
      </c>
      <c r="O193">
        <v>10</v>
      </c>
      <c r="P193">
        <v>0</v>
      </c>
      <c r="Q193">
        <v>1.5</v>
      </c>
      <c r="R193" t="b">
        <v>0</v>
      </c>
      <c r="S193">
        <v>7.4086577035990402</v>
      </c>
      <c r="Y193" t="str">
        <f t="shared" si="17"/>
        <v>Pass</v>
      </c>
      <c r="Z193">
        <f t="shared" si="18"/>
        <v>25017.634765625</v>
      </c>
      <c r="AA193">
        <v>2800</v>
      </c>
      <c r="AB193">
        <v>20</v>
      </c>
      <c r="AC193">
        <v>10</v>
      </c>
      <c r="AD193">
        <v>0.2</v>
      </c>
      <c r="AE193">
        <v>25017.632471687299</v>
      </c>
      <c r="AK193" t="str">
        <f t="shared" si="19"/>
        <v>Pass</v>
      </c>
      <c r="AL193">
        <f t="shared" si="20"/>
        <v>22.267732620239258</v>
      </c>
      <c r="AM193">
        <v>93500</v>
      </c>
      <c r="AN193">
        <v>22.267733018277401</v>
      </c>
    </row>
    <row r="194" spans="1:40" x14ac:dyDescent="0.3">
      <c r="A194" t="str">
        <f>IF(ISBLANK(B194),"",IF(ROUND(B194,0)=ROUND(G194,0),"Pass","Fail"))</f>
        <v>Pass</v>
      </c>
      <c r="B194">
        <f t="shared" si="14"/>
        <v>10.642208099365234</v>
      </c>
      <c r="C194">
        <v>0</v>
      </c>
      <c r="D194">
        <v>20</v>
      </c>
      <c r="E194">
        <v>40</v>
      </c>
      <c r="F194">
        <v>48</v>
      </c>
      <c r="G194">
        <v>10.642207900819701</v>
      </c>
      <c r="M194" t="str">
        <f t="shared" si="15"/>
        <v>Pass</v>
      </c>
      <c r="N194">
        <f t="shared" si="16"/>
        <v>1.2402423620223999</v>
      </c>
      <c r="O194">
        <v>10</v>
      </c>
      <c r="P194">
        <v>0</v>
      </c>
      <c r="Q194">
        <v>2</v>
      </c>
      <c r="R194" t="b">
        <v>1</v>
      </c>
      <c r="S194">
        <v>1.2402424957429701</v>
      </c>
      <c r="Y194" t="str">
        <f t="shared" si="17"/>
        <v>Pass</v>
      </c>
      <c r="Z194">
        <f t="shared" si="18"/>
        <v>26308.560546875</v>
      </c>
      <c r="AA194">
        <v>2800</v>
      </c>
      <c r="AB194">
        <v>20</v>
      </c>
      <c r="AC194">
        <v>12</v>
      </c>
      <c r="AD194">
        <v>0.2</v>
      </c>
      <c r="AE194">
        <v>26308.560551492999</v>
      </c>
      <c r="AK194" t="str">
        <f t="shared" si="19"/>
        <v>Pass</v>
      </c>
      <c r="AL194">
        <f t="shared" si="20"/>
        <v>22.343036651611328</v>
      </c>
      <c r="AM194">
        <v>94000</v>
      </c>
      <c r="AN194">
        <v>22.34303610353</v>
      </c>
    </row>
    <row r="195" spans="1:40" x14ac:dyDescent="0.3">
      <c r="A195" t="str">
        <f>IF(ISBLANK(B195),"",IF(ROUND(B195,0)=ROUND(G195,0),"Pass","Fail"))</f>
        <v>Pass</v>
      </c>
      <c r="B195">
        <f t="shared" si="14"/>
        <v>76.678001403808594</v>
      </c>
      <c r="C195">
        <v>0</v>
      </c>
      <c r="D195">
        <v>20</v>
      </c>
      <c r="E195">
        <v>50</v>
      </c>
      <c r="F195">
        <v>0</v>
      </c>
      <c r="G195">
        <v>76.677999999999997</v>
      </c>
      <c r="M195" t="str">
        <f t="shared" si="15"/>
        <v>Pass</v>
      </c>
      <c r="N195">
        <f t="shared" si="16"/>
        <v>7.9086189270019531</v>
      </c>
      <c r="O195">
        <v>10</v>
      </c>
      <c r="P195">
        <v>0</v>
      </c>
      <c r="Q195">
        <v>2</v>
      </c>
      <c r="R195" t="b">
        <v>0</v>
      </c>
      <c r="S195">
        <v>7.9086184410448102</v>
      </c>
      <c r="Y195" t="str">
        <f t="shared" si="17"/>
        <v>Pass</v>
      </c>
      <c r="Z195">
        <f t="shared" si="18"/>
        <v>27173.89453125</v>
      </c>
      <c r="AA195">
        <v>2800</v>
      </c>
      <c r="AB195">
        <v>20</v>
      </c>
      <c r="AC195">
        <v>14</v>
      </c>
      <c r="AD195">
        <v>0.2</v>
      </c>
      <c r="AE195">
        <v>27173.895521376999</v>
      </c>
      <c r="AK195" t="str">
        <f t="shared" si="19"/>
        <v>Pass</v>
      </c>
      <c r="AL195">
        <f t="shared" si="20"/>
        <v>22.418191909790039</v>
      </c>
      <c r="AM195">
        <v>94500</v>
      </c>
      <c r="AN195">
        <v>22.4181923301174</v>
      </c>
    </row>
    <row r="196" spans="1:40" x14ac:dyDescent="0.3">
      <c r="A196" t="str">
        <f>IF(ISBLANK(B196),"",IF(ROUND(B196,0)=ROUND(G196,0),"Pass","Fail"))</f>
        <v>Pass</v>
      </c>
      <c r="B196">
        <f t="shared" si="14"/>
        <v>43.341228485107422</v>
      </c>
      <c r="C196">
        <v>0</v>
      </c>
      <c r="D196">
        <v>20</v>
      </c>
      <c r="E196">
        <v>50</v>
      </c>
      <c r="F196">
        <v>8</v>
      </c>
      <c r="G196">
        <v>43.341228080723099</v>
      </c>
      <c r="M196" t="str">
        <f t="shared" si="15"/>
        <v>Pass</v>
      </c>
      <c r="N196">
        <f t="shared" si="16"/>
        <v>1.3046835660934448</v>
      </c>
      <c r="O196">
        <v>10</v>
      </c>
      <c r="P196">
        <v>0</v>
      </c>
      <c r="Q196">
        <v>2.5</v>
      </c>
      <c r="R196" t="b">
        <v>1</v>
      </c>
      <c r="S196">
        <v>1.30468353275351</v>
      </c>
      <c r="Y196" t="str">
        <f t="shared" si="17"/>
        <v>Pass</v>
      </c>
      <c r="Z196">
        <f t="shared" si="18"/>
        <v>27753.9453125</v>
      </c>
      <c r="AA196">
        <v>2800</v>
      </c>
      <c r="AB196">
        <v>20</v>
      </c>
      <c r="AC196">
        <v>16</v>
      </c>
      <c r="AD196">
        <v>0.2</v>
      </c>
      <c r="AE196">
        <v>27753.946898225899</v>
      </c>
      <c r="AK196" t="str">
        <f t="shared" si="19"/>
        <v>Pass</v>
      </c>
      <c r="AL196">
        <f t="shared" si="20"/>
        <v>22.493202209472656</v>
      </c>
      <c r="AM196">
        <v>95000</v>
      </c>
      <c r="AN196">
        <v>22.493202759218999</v>
      </c>
    </row>
    <row r="197" spans="1:40" x14ac:dyDescent="0.3">
      <c r="A197" t="str">
        <f>IF(ISBLANK(B197),"",IF(ROUND(B197,0)=ROUND(G197,0),"Pass","Fail"))</f>
        <v>Pass</v>
      </c>
      <c r="B197">
        <f t="shared" si="14"/>
        <v>26.55999755859375</v>
      </c>
      <c r="C197">
        <v>0</v>
      </c>
      <c r="D197">
        <v>20</v>
      </c>
      <c r="E197">
        <v>50</v>
      </c>
      <c r="F197">
        <v>16</v>
      </c>
      <c r="G197">
        <v>26.559997247101698</v>
      </c>
      <c r="M197" t="str">
        <f t="shared" si="15"/>
        <v>Pass</v>
      </c>
      <c r="N197">
        <f t="shared" si="16"/>
        <v>8.3195371627807617</v>
      </c>
      <c r="O197">
        <v>10</v>
      </c>
      <c r="P197">
        <v>0</v>
      </c>
      <c r="Q197">
        <v>2.5</v>
      </c>
      <c r="R197" t="b">
        <v>0</v>
      </c>
      <c r="S197">
        <v>8.3195377374008697</v>
      </c>
      <c r="Y197" t="str">
        <f t="shared" si="17"/>
        <v>Pass</v>
      </c>
      <c r="Z197">
        <f t="shared" si="18"/>
        <v>28142.767578125</v>
      </c>
      <c r="AA197">
        <v>2800</v>
      </c>
      <c r="AB197">
        <v>20</v>
      </c>
      <c r="AC197">
        <v>18</v>
      </c>
      <c r="AD197">
        <v>0.2</v>
      </c>
      <c r="AE197">
        <v>28142.766963858299</v>
      </c>
      <c r="AK197" t="str">
        <f t="shared" si="19"/>
        <v>Pass</v>
      </c>
      <c r="AL197">
        <f t="shared" si="20"/>
        <v>22.56806755065918</v>
      </c>
      <c r="AM197">
        <v>95500</v>
      </c>
      <c r="AN197">
        <v>22.568068438806499</v>
      </c>
    </row>
    <row r="198" spans="1:40" x14ac:dyDescent="0.3">
      <c r="A198" t="str">
        <f>IF(ISBLANK(B198),"",IF(ROUND(B198,0)=ROUND(G198,0),"Pass","Fail"))</f>
        <v>Pass</v>
      </c>
      <c r="B198">
        <f t="shared" si="14"/>
        <v>18.112577438354492</v>
      </c>
      <c r="C198">
        <v>0</v>
      </c>
      <c r="D198">
        <v>20</v>
      </c>
      <c r="E198">
        <v>50</v>
      </c>
      <c r="F198">
        <v>24</v>
      </c>
      <c r="G198">
        <v>18.112577413736201</v>
      </c>
      <c r="M198" t="str">
        <f t="shared" si="15"/>
        <v>Pass</v>
      </c>
      <c r="N198">
        <f t="shared" si="16"/>
        <v>1.3598134517669678</v>
      </c>
      <c r="O198">
        <v>10</v>
      </c>
      <c r="P198">
        <v>0</v>
      </c>
      <c r="Q198">
        <v>3</v>
      </c>
      <c r="R198" t="b">
        <v>1</v>
      </c>
      <c r="S198">
        <v>1.3598134226666601</v>
      </c>
      <c r="Y198" t="str">
        <f t="shared" si="17"/>
        <v>Pass</v>
      </c>
      <c r="Z198">
        <f t="shared" si="18"/>
        <v>28403.40234375</v>
      </c>
      <c r="AA198">
        <v>2800</v>
      </c>
      <c r="AB198">
        <v>20</v>
      </c>
      <c r="AC198">
        <v>20</v>
      </c>
      <c r="AD198">
        <v>0.2</v>
      </c>
      <c r="AE198">
        <v>28403.4008481526</v>
      </c>
      <c r="AK198" t="str">
        <f t="shared" si="19"/>
        <v>Pass</v>
      </c>
      <c r="AL198">
        <f t="shared" si="20"/>
        <v>22.642789840698242</v>
      </c>
      <c r="AM198">
        <v>96000</v>
      </c>
      <c r="AN198">
        <v>22.642790403877001</v>
      </c>
    </row>
    <row r="199" spans="1:40" x14ac:dyDescent="0.3">
      <c r="A199" t="str">
        <f>IF(ISBLANK(B199),"",IF(ROUND(B199,0)=ROUND(G199,0),"Pass","Fail"))</f>
        <v>Pass</v>
      </c>
      <c r="B199">
        <f t="shared" ref="B199:B262" si="21">FMC_heath(C199,D199,E199,F199)</f>
        <v>13.860273361206055</v>
      </c>
      <c r="C199">
        <v>0</v>
      </c>
      <c r="D199">
        <v>20</v>
      </c>
      <c r="E199">
        <v>50</v>
      </c>
      <c r="F199">
        <v>32</v>
      </c>
      <c r="G199">
        <v>13.8602730059946</v>
      </c>
      <c r="M199" t="str">
        <f t="shared" ref="M199:M262" si="22">IF(ISBLANK(N199),"",IF(ROUND(N199,0)=ROUND(S199,0),"Pass","Fail"))</f>
        <v>Pass</v>
      </c>
      <c r="N199">
        <f t="shared" ref="N199:N262" si="23">ROS_heath(O199,Q199,P199,R199)</f>
        <v>8.6710834503173828</v>
      </c>
      <c r="O199">
        <v>10</v>
      </c>
      <c r="P199">
        <v>0</v>
      </c>
      <c r="Q199">
        <v>3</v>
      </c>
      <c r="R199" t="b">
        <v>0</v>
      </c>
      <c r="S199">
        <v>8.6710829114425696</v>
      </c>
      <c r="Y199" t="str">
        <f t="shared" ref="Y199:Y262" si="24">IF(ISBLANK(Z199),"",IF(ROUND(Z199,0)=ROUND(AE199,0),"Pass","Fail"))</f>
        <v>Pass</v>
      </c>
      <c r="Z199">
        <f t="shared" ref="Z199:Z262" si="25">intensity_heath(AA199,AB199,AC199,AD199)</f>
        <v>28578.111328125</v>
      </c>
      <c r="AA199">
        <v>2800</v>
      </c>
      <c r="AB199">
        <v>20</v>
      </c>
      <c r="AC199">
        <v>22</v>
      </c>
      <c r="AD199">
        <v>0.2</v>
      </c>
      <c r="AE199">
        <v>28578.108965471201</v>
      </c>
      <c r="AK199" t="str">
        <f t="shared" ref="AK199:AK262" si="26">IF(ISBLANK(AL199),"",IF(ROUND(AL199,0)=ROUND(AN199,0),"Pass","Fail"))</f>
        <v>Pass</v>
      </c>
      <c r="AL199">
        <f t="shared" ref="AL199:AL262" si="27">Flame_height_heath(AM199)</f>
        <v>22.717369079589844</v>
      </c>
      <c r="AM199">
        <v>96500</v>
      </c>
      <c r="AN199">
        <v>22.717369676679699</v>
      </c>
    </row>
    <row r="200" spans="1:40" x14ac:dyDescent="0.3">
      <c r="A200" t="str">
        <f>IF(ISBLANK(B200),"",IF(ROUND(B200,0)=ROUND(G200,0),"Pass","Fail"))</f>
        <v>Pass</v>
      </c>
      <c r="B200">
        <f t="shared" si="21"/>
        <v>11.7197265625</v>
      </c>
      <c r="C200">
        <v>0</v>
      </c>
      <c r="D200">
        <v>20</v>
      </c>
      <c r="E200">
        <v>50</v>
      </c>
      <c r="F200">
        <v>40</v>
      </c>
      <c r="G200">
        <v>11.719726764327101</v>
      </c>
      <c r="M200" t="str">
        <f t="shared" si="22"/>
        <v>Pass</v>
      </c>
      <c r="N200">
        <f t="shared" si="23"/>
        <v>1.4082386493682861</v>
      </c>
      <c r="O200">
        <v>10</v>
      </c>
      <c r="P200">
        <v>0</v>
      </c>
      <c r="Q200">
        <v>3.5</v>
      </c>
      <c r="R200" t="b">
        <v>1</v>
      </c>
      <c r="S200">
        <v>1.40823860258467</v>
      </c>
      <c r="Y200" t="str">
        <f t="shared" si="24"/>
        <v>Pass</v>
      </c>
      <c r="Z200">
        <f t="shared" si="25"/>
        <v>28695.220703125</v>
      </c>
      <c r="AA200">
        <v>2800</v>
      </c>
      <c r="AB200">
        <v>20</v>
      </c>
      <c r="AC200">
        <v>24</v>
      </c>
      <c r="AD200">
        <v>0.2</v>
      </c>
      <c r="AE200">
        <v>28695.219318715001</v>
      </c>
      <c r="AK200" t="str">
        <f t="shared" si="26"/>
        <v>Pass</v>
      </c>
      <c r="AL200">
        <f t="shared" si="27"/>
        <v>22.791807174682617</v>
      </c>
      <c r="AM200">
        <v>97000</v>
      </c>
      <c r="AN200">
        <v>22.791807266938701</v>
      </c>
    </row>
    <row r="201" spans="1:40" x14ac:dyDescent="0.3">
      <c r="A201" t="str">
        <f>IF(ISBLANK(B201),"",IF(ROUND(B201,0)=ROUND(G201,0),"Pass","Fail"))</f>
        <v>Pass</v>
      </c>
      <c r="B201">
        <f t="shared" si="21"/>
        <v>10.642208099365234</v>
      </c>
      <c r="C201">
        <v>0</v>
      </c>
      <c r="D201">
        <v>20</v>
      </c>
      <c r="E201">
        <v>50</v>
      </c>
      <c r="F201">
        <v>48</v>
      </c>
      <c r="G201">
        <v>10.642207900819701</v>
      </c>
      <c r="M201" t="str">
        <f t="shared" si="22"/>
        <v>Pass</v>
      </c>
      <c r="N201">
        <f t="shared" si="23"/>
        <v>8.9798746109008789</v>
      </c>
      <c r="O201">
        <v>10</v>
      </c>
      <c r="P201">
        <v>0</v>
      </c>
      <c r="Q201">
        <v>3.5</v>
      </c>
      <c r="R201" t="b">
        <v>0</v>
      </c>
      <c r="S201">
        <v>8.9798743552328393</v>
      </c>
      <c r="Y201" t="str">
        <f t="shared" si="24"/>
        <v>Pass</v>
      </c>
      <c r="Z201">
        <f t="shared" si="25"/>
        <v>0</v>
      </c>
      <c r="AA201">
        <v>3000</v>
      </c>
      <c r="AB201">
        <v>20</v>
      </c>
      <c r="AC201">
        <v>0</v>
      </c>
      <c r="AD201">
        <v>0.2</v>
      </c>
      <c r="AE201">
        <v>0</v>
      </c>
      <c r="AK201" t="str">
        <f t="shared" si="26"/>
        <v>Pass</v>
      </c>
      <c r="AL201">
        <f t="shared" si="27"/>
        <v>22.866104125976563</v>
      </c>
      <c r="AM201">
        <v>97500</v>
      </c>
      <c r="AN201">
        <v>22.8661041720698</v>
      </c>
    </row>
    <row r="202" spans="1:40" x14ac:dyDescent="0.3">
      <c r="A202" t="str">
        <f>IF(ISBLANK(B202),"",IF(ROUND(B202,0)=ROUND(G202,0),"Pass","Fail"))</f>
        <v>Pass</v>
      </c>
      <c r="B202">
        <f t="shared" si="21"/>
        <v>76.678001403808594</v>
      </c>
      <c r="C202">
        <v>0</v>
      </c>
      <c r="D202">
        <v>20</v>
      </c>
      <c r="E202">
        <v>60</v>
      </c>
      <c r="F202">
        <v>0</v>
      </c>
      <c r="G202">
        <v>76.677999999999997</v>
      </c>
      <c r="M202" t="str">
        <f t="shared" si="22"/>
        <v>Pass</v>
      </c>
      <c r="N202">
        <f t="shared" si="23"/>
        <v>1.4515782594680786</v>
      </c>
      <c r="O202">
        <v>10</v>
      </c>
      <c r="P202">
        <v>0</v>
      </c>
      <c r="Q202">
        <v>4</v>
      </c>
      <c r="R202" t="b">
        <v>1</v>
      </c>
      <c r="S202">
        <v>1.4515781321166299</v>
      </c>
      <c r="Y202" t="str">
        <f t="shared" si="24"/>
        <v>Pass</v>
      </c>
      <c r="Z202">
        <f t="shared" si="25"/>
        <v>10220.078125</v>
      </c>
      <c r="AA202">
        <v>3000</v>
      </c>
      <c r="AB202">
        <v>20</v>
      </c>
      <c r="AC202">
        <v>2</v>
      </c>
      <c r="AD202">
        <v>0.2</v>
      </c>
      <c r="AE202">
        <v>10220.0785728951</v>
      </c>
      <c r="AK202" t="str">
        <f t="shared" si="26"/>
        <v>Pass</v>
      </c>
      <c r="AL202">
        <f t="shared" si="27"/>
        <v>22.940261840820313</v>
      </c>
      <c r="AM202">
        <v>98000</v>
      </c>
      <c r="AN202">
        <v>22.940261377393</v>
      </c>
    </row>
    <row r="203" spans="1:40" x14ac:dyDescent="0.3">
      <c r="A203" t="str">
        <f>IF(ISBLANK(B203),"",IF(ROUND(B203,0)=ROUND(G203,0),"Pass","Fail"))</f>
        <v>Pass</v>
      </c>
      <c r="B203">
        <f t="shared" si="21"/>
        <v>43.341228485107422</v>
      </c>
      <c r="C203">
        <v>0</v>
      </c>
      <c r="D203">
        <v>20</v>
      </c>
      <c r="E203">
        <v>60</v>
      </c>
      <c r="F203">
        <v>8</v>
      </c>
      <c r="G203">
        <v>43.341228080723099</v>
      </c>
      <c r="M203" t="str">
        <f t="shared" si="22"/>
        <v>Pass</v>
      </c>
      <c r="N203">
        <f t="shared" si="23"/>
        <v>9.2562360763549805</v>
      </c>
      <c r="O203">
        <v>10</v>
      </c>
      <c r="P203">
        <v>0</v>
      </c>
      <c r="Q203">
        <v>4</v>
      </c>
      <c r="R203" t="b">
        <v>0</v>
      </c>
      <c r="S203">
        <v>9.2562362793397295</v>
      </c>
      <c r="Y203" t="str">
        <f t="shared" si="24"/>
        <v>Pass</v>
      </c>
      <c r="Z203">
        <f t="shared" si="25"/>
        <v>17070.802734375</v>
      </c>
      <c r="AA203">
        <v>3000</v>
      </c>
      <c r="AB203">
        <v>20</v>
      </c>
      <c r="AC203">
        <v>4</v>
      </c>
      <c r="AD203">
        <v>0.2</v>
      </c>
      <c r="AE203">
        <v>17070.802112366098</v>
      </c>
      <c r="AK203" t="str">
        <f t="shared" si="26"/>
        <v>Pass</v>
      </c>
      <c r="AL203">
        <f t="shared" si="27"/>
        <v>23.014280319213867</v>
      </c>
      <c r="AM203">
        <v>98500</v>
      </c>
      <c r="AN203">
        <v>23.014279856340099</v>
      </c>
    </row>
    <row r="204" spans="1:40" x14ac:dyDescent="0.3">
      <c r="A204" t="str">
        <f>IF(ISBLANK(B204),"",IF(ROUND(B204,0)=ROUND(G204,0),"Pass","Fail"))</f>
        <v>Pass</v>
      </c>
      <c r="B204">
        <f t="shared" si="21"/>
        <v>26.55999755859375</v>
      </c>
      <c r="C204">
        <v>0</v>
      </c>
      <c r="D204">
        <v>20</v>
      </c>
      <c r="E204">
        <v>60</v>
      </c>
      <c r="F204">
        <v>16</v>
      </c>
      <c r="G204">
        <v>26.559997247101698</v>
      </c>
      <c r="M204" t="str">
        <f t="shared" si="22"/>
        <v>Pass</v>
      </c>
      <c r="N204">
        <f t="shared" si="23"/>
        <v>0</v>
      </c>
      <c r="O204">
        <v>10</v>
      </c>
      <c r="P204">
        <v>10</v>
      </c>
      <c r="Q204">
        <v>0</v>
      </c>
      <c r="R204" t="b">
        <v>1</v>
      </c>
      <c r="S204">
        <v>0</v>
      </c>
      <c r="Y204" t="str">
        <f t="shared" si="24"/>
        <v>Pass</v>
      </c>
      <c r="Z204">
        <f t="shared" si="25"/>
        <v>21662.98046875</v>
      </c>
      <c r="AA204">
        <v>3000</v>
      </c>
      <c r="AB204">
        <v>20</v>
      </c>
      <c r="AC204">
        <v>6</v>
      </c>
      <c r="AD204">
        <v>0.2</v>
      </c>
      <c r="AE204">
        <v>21662.979430721702</v>
      </c>
      <c r="AK204" t="str">
        <f t="shared" si="26"/>
        <v>Pass</v>
      </c>
      <c r="AL204">
        <f t="shared" si="27"/>
        <v>23.088161468505859</v>
      </c>
      <c r="AM204">
        <v>99000</v>
      </c>
      <c r="AN204">
        <v>23.088160570657401</v>
      </c>
    </row>
    <row r="205" spans="1:40" x14ac:dyDescent="0.3">
      <c r="A205" t="str">
        <f>IF(ISBLANK(B205),"",IF(ROUND(B205,0)=ROUND(G205,0),"Pass","Fail"))</f>
        <v>Pass</v>
      </c>
      <c r="B205">
        <f t="shared" si="21"/>
        <v>18.112577438354492</v>
      </c>
      <c r="C205">
        <v>0</v>
      </c>
      <c r="D205">
        <v>20</v>
      </c>
      <c r="E205">
        <v>60</v>
      </c>
      <c r="F205">
        <v>24</v>
      </c>
      <c r="G205">
        <v>18.112577413736201</v>
      </c>
      <c r="M205" t="str">
        <f t="shared" si="22"/>
        <v>Pass</v>
      </c>
      <c r="N205">
        <f t="shared" si="23"/>
        <v>0</v>
      </c>
      <c r="O205">
        <v>10</v>
      </c>
      <c r="P205">
        <v>10</v>
      </c>
      <c r="Q205">
        <v>0</v>
      </c>
      <c r="R205" t="b">
        <v>0</v>
      </c>
      <c r="S205">
        <v>0</v>
      </c>
      <c r="Y205" t="str">
        <f t="shared" si="24"/>
        <v>Pass</v>
      </c>
      <c r="Z205">
        <f t="shared" si="25"/>
        <v>24741.20703125</v>
      </c>
      <c r="AA205">
        <v>3000</v>
      </c>
      <c r="AB205">
        <v>20</v>
      </c>
      <c r="AC205">
        <v>8</v>
      </c>
      <c r="AD205">
        <v>0.2</v>
      </c>
      <c r="AE205">
        <v>24741.207942165602</v>
      </c>
      <c r="AK205" t="str">
        <f t="shared" si="26"/>
        <v>Pass</v>
      </c>
      <c r="AL205">
        <f t="shared" si="27"/>
        <v>23.161905288696289</v>
      </c>
      <c r="AM205">
        <v>99500</v>
      </c>
      <c r="AN205">
        <v>23.161904470604799</v>
      </c>
    </row>
    <row r="206" spans="1:40" x14ac:dyDescent="0.3">
      <c r="A206" t="str">
        <f>IF(ISBLANK(B206),"",IF(ROUND(B206,0)=ROUND(G206,0),"Pass","Fail"))</f>
        <v>Pass</v>
      </c>
      <c r="B206">
        <f t="shared" si="21"/>
        <v>13.860273361206055</v>
      </c>
      <c r="C206">
        <v>0</v>
      </c>
      <c r="D206">
        <v>20</v>
      </c>
      <c r="E206">
        <v>60</v>
      </c>
      <c r="F206">
        <v>32</v>
      </c>
      <c r="G206">
        <v>13.8602730059946</v>
      </c>
      <c r="M206" t="str">
        <f t="shared" si="22"/>
        <v>Pass</v>
      </c>
      <c r="N206">
        <f t="shared" si="23"/>
        <v>0.39872369170188904</v>
      </c>
      <c r="O206">
        <v>10</v>
      </c>
      <c r="P206">
        <v>10</v>
      </c>
      <c r="Q206">
        <v>0.5</v>
      </c>
      <c r="R206" t="b">
        <v>1</v>
      </c>
      <c r="S206">
        <v>0.39872373435715602</v>
      </c>
      <c r="Y206" t="str">
        <f t="shared" si="24"/>
        <v>Pass</v>
      </c>
      <c r="Z206">
        <f t="shared" si="25"/>
        <v>26804.607421875</v>
      </c>
      <c r="AA206">
        <v>3000</v>
      </c>
      <c r="AB206">
        <v>20</v>
      </c>
      <c r="AC206">
        <v>10</v>
      </c>
      <c r="AD206">
        <v>0.2</v>
      </c>
      <c r="AE206">
        <v>26804.606219664998</v>
      </c>
      <c r="AK206" t="str">
        <f t="shared" si="26"/>
        <v>Pass</v>
      </c>
      <c r="AL206">
        <f t="shared" si="27"/>
        <v>23.235511779785156</v>
      </c>
      <c r="AM206">
        <v>100000</v>
      </c>
      <c r="AN206">
        <v>23.235512495149301</v>
      </c>
    </row>
    <row r="207" spans="1:40" x14ac:dyDescent="0.3">
      <c r="A207" t="str">
        <f>IF(ISBLANK(B207),"",IF(ROUND(B207,0)=ROUND(G207,0),"Pass","Fail"))</f>
        <v>Pass</v>
      </c>
      <c r="B207">
        <f t="shared" si="21"/>
        <v>11.7197265625</v>
      </c>
      <c r="C207">
        <v>0</v>
      </c>
      <c r="D207">
        <v>20</v>
      </c>
      <c r="E207">
        <v>60</v>
      </c>
      <c r="F207">
        <v>40</v>
      </c>
      <c r="G207">
        <v>11.719726764327101</v>
      </c>
      <c r="M207" t="str">
        <f t="shared" si="22"/>
        <v>Pass</v>
      </c>
      <c r="N207">
        <f t="shared" si="23"/>
        <v>2.5425300598144531</v>
      </c>
      <c r="O207">
        <v>10</v>
      </c>
      <c r="P207">
        <v>10</v>
      </c>
      <c r="Q207">
        <v>0.5</v>
      </c>
      <c r="R207" t="b">
        <v>0</v>
      </c>
      <c r="S207">
        <v>2.5425301013655499</v>
      </c>
      <c r="Y207" t="str">
        <f t="shared" si="24"/>
        <v>Pass</v>
      </c>
      <c r="Z207">
        <f t="shared" si="25"/>
        <v>28187.744140625</v>
      </c>
      <c r="AA207">
        <v>3000</v>
      </c>
      <c r="AB207">
        <v>20</v>
      </c>
      <c r="AC207">
        <v>12</v>
      </c>
      <c r="AD207">
        <v>0.2</v>
      </c>
      <c r="AE207">
        <v>28187.743448028199</v>
      </c>
      <c r="AK207" t="str">
        <f t="shared" si="26"/>
        <v>Pass</v>
      </c>
      <c r="AL207">
        <f t="shared" si="27"/>
        <v>23.308984756469727</v>
      </c>
      <c r="AM207">
        <v>100500</v>
      </c>
      <c r="AN207">
        <v>23.3089855721555</v>
      </c>
    </row>
    <row r="208" spans="1:40" x14ac:dyDescent="0.3">
      <c r="A208" t="str">
        <f>IF(ISBLANK(B208),"",IF(ROUND(B208,0)=ROUND(G208,0),"Pass","Fail"))</f>
        <v>Pass</v>
      </c>
      <c r="B208">
        <f t="shared" si="21"/>
        <v>10.642208099365234</v>
      </c>
      <c r="C208">
        <v>0</v>
      </c>
      <c r="D208">
        <v>20</v>
      </c>
      <c r="E208">
        <v>60</v>
      </c>
      <c r="F208">
        <v>48</v>
      </c>
      <c r="G208">
        <v>10.642207900819701</v>
      </c>
      <c r="M208" t="str">
        <f t="shared" si="22"/>
        <v>Pass</v>
      </c>
      <c r="N208">
        <f t="shared" si="23"/>
        <v>0.46666571497917175</v>
      </c>
      <c r="O208">
        <v>10</v>
      </c>
      <c r="P208">
        <v>10</v>
      </c>
      <c r="Q208">
        <v>1</v>
      </c>
      <c r="R208" t="b">
        <v>1</v>
      </c>
      <c r="S208">
        <v>0.46666571701529003</v>
      </c>
      <c r="Y208" t="str">
        <f t="shared" si="24"/>
        <v>Pass</v>
      </c>
      <c r="Z208">
        <f t="shared" si="25"/>
        <v>29114.88671875</v>
      </c>
      <c r="AA208">
        <v>3000</v>
      </c>
      <c r="AB208">
        <v>20</v>
      </c>
      <c r="AC208">
        <v>14</v>
      </c>
      <c r="AD208">
        <v>0.2</v>
      </c>
      <c r="AE208">
        <v>29114.888058618199</v>
      </c>
      <c r="AK208" t="str">
        <f t="shared" si="26"/>
        <v>Pass</v>
      </c>
      <c r="AL208">
        <f t="shared" si="27"/>
        <v>23.38232421875</v>
      </c>
      <c r="AM208">
        <v>101000</v>
      </c>
      <c r="AN208">
        <v>23.3823246185713</v>
      </c>
    </row>
    <row r="209" spans="1:40" x14ac:dyDescent="0.3">
      <c r="A209" t="str">
        <f>IF(ISBLANK(B209),"",IF(ROUND(B209,0)=ROUND(G209,0),"Pass","Fail"))</f>
        <v>Pass</v>
      </c>
      <c r="B209">
        <f t="shared" si="21"/>
        <v>76.678001403808594</v>
      </c>
      <c r="C209">
        <v>0</v>
      </c>
      <c r="D209">
        <v>20</v>
      </c>
      <c r="E209">
        <v>70</v>
      </c>
      <c r="F209">
        <v>0</v>
      </c>
      <c r="G209">
        <v>76.677999999999997</v>
      </c>
      <c r="M209" t="str">
        <f t="shared" si="22"/>
        <v>Pass</v>
      </c>
      <c r="N209">
        <f t="shared" si="23"/>
        <v>2.9757735729217529</v>
      </c>
      <c r="O209">
        <v>10</v>
      </c>
      <c r="P209">
        <v>10</v>
      </c>
      <c r="Q209">
        <v>1</v>
      </c>
      <c r="R209" t="b">
        <v>0</v>
      </c>
      <c r="S209">
        <v>2.97577377654649</v>
      </c>
      <c r="Y209" t="str">
        <f t="shared" si="24"/>
        <v>Pass</v>
      </c>
      <c r="Z209">
        <f t="shared" si="25"/>
        <v>29736.37109375</v>
      </c>
      <c r="AA209">
        <v>3000</v>
      </c>
      <c r="AB209">
        <v>20</v>
      </c>
      <c r="AC209">
        <v>16</v>
      </c>
      <c r="AD209">
        <v>0.2</v>
      </c>
      <c r="AE209">
        <v>29736.371676670598</v>
      </c>
      <c r="AK209" t="str">
        <f t="shared" si="26"/>
        <v>Pass</v>
      </c>
      <c r="AL209">
        <f t="shared" si="27"/>
        <v>23.455530166625977</v>
      </c>
      <c r="AM209">
        <v>101500</v>
      </c>
      <c r="AN209">
        <v>23.4555305406092</v>
      </c>
    </row>
    <row r="210" spans="1:40" x14ac:dyDescent="0.3">
      <c r="A210" t="str">
        <f>IF(ISBLANK(B210),"",IF(ROUND(B210,0)=ROUND(G210,0),"Pass","Fail"))</f>
        <v>Pass</v>
      </c>
      <c r="B210">
        <f t="shared" si="21"/>
        <v>43.341228485107422</v>
      </c>
      <c r="C210">
        <v>0</v>
      </c>
      <c r="D210">
        <v>20</v>
      </c>
      <c r="E210">
        <v>70</v>
      </c>
      <c r="F210">
        <v>8</v>
      </c>
      <c r="G210">
        <v>43.341228080723099</v>
      </c>
      <c r="M210" t="str">
        <f t="shared" si="22"/>
        <v>Pass</v>
      </c>
      <c r="N210">
        <f t="shared" si="23"/>
        <v>0.51165664196014404</v>
      </c>
      <c r="O210">
        <v>10</v>
      </c>
      <c r="P210">
        <v>10</v>
      </c>
      <c r="Q210">
        <v>1.5</v>
      </c>
      <c r="R210" t="b">
        <v>1</v>
      </c>
      <c r="S210">
        <v>0.51165663817671703</v>
      </c>
      <c r="Y210" t="str">
        <f t="shared" si="24"/>
        <v>Pass</v>
      </c>
      <c r="Z210">
        <f t="shared" si="25"/>
        <v>30152.96484375</v>
      </c>
      <c r="AA210">
        <v>3000</v>
      </c>
      <c r="AB210">
        <v>20</v>
      </c>
      <c r="AC210">
        <v>18</v>
      </c>
      <c r="AD210">
        <v>0.2</v>
      </c>
      <c r="AE210">
        <v>30152.9646041339</v>
      </c>
      <c r="AK210" t="str">
        <f t="shared" si="26"/>
        <v>Pass</v>
      </c>
      <c r="AL210">
        <f t="shared" si="27"/>
        <v>23.528604507446289</v>
      </c>
      <c r="AM210">
        <v>102000</v>
      </c>
      <c r="AN210">
        <v>23.528604233925101</v>
      </c>
    </row>
    <row r="211" spans="1:40" x14ac:dyDescent="0.3">
      <c r="A211" t="str">
        <f>IF(ISBLANK(B211),"",IF(ROUND(B211,0)=ROUND(G211,0),"Pass","Fail"))</f>
        <v>Pass</v>
      </c>
      <c r="B211">
        <f t="shared" si="21"/>
        <v>26.55999755859375</v>
      </c>
      <c r="C211">
        <v>0</v>
      </c>
      <c r="D211">
        <v>20</v>
      </c>
      <c r="E211">
        <v>70</v>
      </c>
      <c r="F211">
        <v>16</v>
      </c>
      <c r="G211">
        <v>26.559997247101698</v>
      </c>
      <c r="M211" t="str">
        <f t="shared" si="22"/>
        <v>Pass</v>
      </c>
      <c r="N211">
        <f t="shared" si="23"/>
        <v>3.2626659870147705</v>
      </c>
      <c r="O211">
        <v>10</v>
      </c>
      <c r="P211">
        <v>10</v>
      </c>
      <c r="Q211">
        <v>1.5</v>
      </c>
      <c r="R211" t="b">
        <v>0</v>
      </c>
      <c r="S211">
        <v>3.2626660818804498</v>
      </c>
      <c r="Y211" t="str">
        <f t="shared" si="24"/>
        <v>Pass</v>
      </c>
      <c r="Z211">
        <f t="shared" si="25"/>
        <v>30432.216796875</v>
      </c>
      <c r="AA211">
        <v>3000</v>
      </c>
      <c r="AB211">
        <v>20</v>
      </c>
      <c r="AC211">
        <v>20</v>
      </c>
      <c r="AD211">
        <v>0.2</v>
      </c>
      <c r="AE211">
        <v>30432.2151944492</v>
      </c>
      <c r="AK211" t="str">
        <f t="shared" si="26"/>
        <v>Pass</v>
      </c>
      <c r="AL211">
        <f t="shared" si="27"/>
        <v>23.601547241210938</v>
      </c>
      <c r="AM211">
        <v>102500</v>
      </c>
      <c r="AN211">
        <v>23.6015465837914</v>
      </c>
    </row>
    <row r="212" spans="1:40" x14ac:dyDescent="0.3">
      <c r="A212" t="str">
        <f>IF(ISBLANK(B212),"",IF(ROUND(B212,0)=ROUND(G212,0),"Pass","Fail"))</f>
        <v>Pass</v>
      </c>
      <c r="B212">
        <f t="shared" si="21"/>
        <v>18.112577438354492</v>
      </c>
      <c r="C212">
        <v>0</v>
      </c>
      <c r="D212">
        <v>20</v>
      </c>
      <c r="E212">
        <v>70</v>
      </c>
      <c r="F212">
        <v>24</v>
      </c>
      <c r="G212">
        <v>18.112577413736201</v>
      </c>
      <c r="M212" t="str">
        <f t="shared" si="22"/>
        <v>Pass</v>
      </c>
      <c r="N212">
        <f t="shared" si="23"/>
        <v>0.54618489742279053</v>
      </c>
      <c r="O212">
        <v>10</v>
      </c>
      <c r="P212">
        <v>10</v>
      </c>
      <c r="Q212">
        <v>2</v>
      </c>
      <c r="R212" t="b">
        <v>1</v>
      </c>
      <c r="S212">
        <v>0.54618492121746098</v>
      </c>
      <c r="Y212" t="str">
        <f t="shared" si="24"/>
        <v>Pass</v>
      </c>
      <c r="Z212">
        <f t="shared" si="25"/>
        <v>30619.404296875</v>
      </c>
      <c r="AA212">
        <v>3000</v>
      </c>
      <c r="AB212">
        <v>20</v>
      </c>
      <c r="AC212">
        <v>22</v>
      </c>
      <c r="AD212">
        <v>0.2</v>
      </c>
      <c r="AE212">
        <v>30619.402463004801</v>
      </c>
      <c r="AK212" t="str">
        <f t="shared" si="26"/>
        <v>Pass</v>
      </c>
      <c r="AL212">
        <f t="shared" si="27"/>
        <v>23.674358367919922</v>
      </c>
      <c r="AM212">
        <v>103000</v>
      </c>
      <c r="AN212">
        <v>23.674358465268298</v>
      </c>
    </row>
    <row r="213" spans="1:40" x14ac:dyDescent="0.3">
      <c r="A213" t="str">
        <f>IF(ISBLANK(B213),"",IF(ROUND(B213,0)=ROUND(G213,0),"Pass","Fail"))</f>
        <v>Pass</v>
      </c>
      <c r="B213">
        <f t="shared" si="21"/>
        <v>13.860273361206055</v>
      </c>
      <c r="C213">
        <v>0</v>
      </c>
      <c r="D213">
        <v>20</v>
      </c>
      <c r="E213">
        <v>70</v>
      </c>
      <c r="F213">
        <v>32</v>
      </c>
      <c r="G213">
        <v>13.8602730059946</v>
      </c>
      <c r="M213" t="str">
        <f t="shared" si="22"/>
        <v>Pass</v>
      </c>
      <c r="N213">
        <f t="shared" si="23"/>
        <v>3.4828414916992188</v>
      </c>
      <c r="O213">
        <v>10</v>
      </c>
      <c r="P213">
        <v>10</v>
      </c>
      <c r="Q213">
        <v>2</v>
      </c>
      <c r="R213" t="b">
        <v>0</v>
      </c>
      <c r="S213">
        <v>3.48284158540572</v>
      </c>
      <c r="Y213" t="str">
        <f t="shared" si="24"/>
        <v>Pass</v>
      </c>
      <c r="Z213">
        <f t="shared" si="25"/>
        <v>30744.87890625</v>
      </c>
      <c r="AA213">
        <v>3000</v>
      </c>
      <c r="AB213">
        <v>20</v>
      </c>
      <c r="AC213">
        <v>24</v>
      </c>
      <c r="AD213">
        <v>0.2</v>
      </c>
      <c r="AE213">
        <v>30744.877841480298</v>
      </c>
      <c r="AK213" t="str">
        <f t="shared" si="26"/>
        <v>Pass</v>
      </c>
      <c r="AL213">
        <f t="shared" si="27"/>
        <v>23.747039794921875</v>
      </c>
      <c r="AM213">
        <v>103500</v>
      </c>
      <c r="AN213">
        <v>23.747040743369801</v>
      </c>
    </row>
    <row r="214" spans="1:40" x14ac:dyDescent="0.3">
      <c r="A214" t="str">
        <f>IF(ISBLANK(B214),"",IF(ROUND(B214,0)=ROUND(G214,0),"Pass","Fail"))</f>
        <v>Pass</v>
      </c>
      <c r="B214">
        <f t="shared" si="21"/>
        <v>11.7197265625</v>
      </c>
      <c r="C214">
        <v>0</v>
      </c>
      <c r="D214">
        <v>20</v>
      </c>
      <c r="E214">
        <v>70</v>
      </c>
      <c r="F214">
        <v>40</v>
      </c>
      <c r="G214">
        <v>11.719726764327101</v>
      </c>
      <c r="M214" t="str">
        <f t="shared" si="22"/>
        <v>Pass</v>
      </c>
      <c r="N214">
        <f t="shared" si="23"/>
        <v>0.57456374168395996</v>
      </c>
      <c r="O214">
        <v>10</v>
      </c>
      <c r="P214">
        <v>10</v>
      </c>
      <c r="Q214">
        <v>2.5</v>
      </c>
      <c r="R214" t="b">
        <v>1</v>
      </c>
      <c r="S214">
        <v>0.57456382521694604</v>
      </c>
      <c r="Y214" t="str">
        <f t="shared" si="24"/>
        <v>Pass</v>
      </c>
      <c r="Z214">
        <f t="shared" si="25"/>
        <v>0</v>
      </c>
      <c r="AA214">
        <v>3200</v>
      </c>
      <c r="AB214">
        <v>20</v>
      </c>
      <c r="AC214">
        <v>0</v>
      </c>
      <c r="AD214">
        <v>0.2</v>
      </c>
      <c r="AE214">
        <v>0</v>
      </c>
      <c r="AK214" t="str">
        <f t="shared" si="26"/>
        <v>Pass</v>
      </c>
      <c r="AL214">
        <f t="shared" si="27"/>
        <v>23.81959342956543</v>
      </c>
      <c r="AM214">
        <v>104000</v>
      </c>
      <c r="AN214">
        <v>23.819594273227501</v>
      </c>
    </row>
    <row r="215" spans="1:40" x14ac:dyDescent="0.3">
      <c r="A215" t="str">
        <f>IF(ISBLANK(B215),"",IF(ROUND(B215,0)=ROUND(G215,0),"Pass","Fail"))</f>
        <v>Pass</v>
      </c>
      <c r="B215">
        <f t="shared" si="21"/>
        <v>10.642208099365234</v>
      </c>
      <c r="C215">
        <v>0</v>
      </c>
      <c r="D215">
        <v>20</v>
      </c>
      <c r="E215">
        <v>70</v>
      </c>
      <c r="F215">
        <v>48</v>
      </c>
      <c r="G215">
        <v>10.642207900819701</v>
      </c>
      <c r="M215" t="str">
        <f t="shared" si="22"/>
        <v>Pass</v>
      </c>
      <c r="N215">
        <f t="shared" si="23"/>
        <v>3.6638045310974121</v>
      </c>
      <c r="O215">
        <v>10</v>
      </c>
      <c r="P215">
        <v>10</v>
      </c>
      <c r="Q215">
        <v>2.5</v>
      </c>
      <c r="R215" t="b">
        <v>0</v>
      </c>
      <c r="S215">
        <v>3.66380452150679</v>
      </c>
      <c r="Y215" t="str">
        <f t="shared" si="24"/>
        <v>Pass</v>
      </c>
      <c r="Z215">
        <f t="shared" si="25"/>
        <v>10901.4169921875</v>
      </c>
      <c r="AA215">
        <v>3200</v>
      </c>
      <c r="AB215">
        <v>20</v>
      </c>
      <c r="AC215">
        <v>2</v>
      </c>
      <c r="AD215">
        <v>0.2</v>
      </c>
      <c r="AE215">
        <v>10901.417144421501</v>
      </c>
      <c r="AK215" t="str">
        <f t="shared" si="26"/>
        <v>Pass</v>
      </c>
      <c r="AL215">
        <f t="shared" si="27"/>
        <v>23.892019271850586</v>
      </c>
      <c r="AM215">
        <v>104500</v>
      </c>
      <c r="AN215">
        <v>23.8920199002503</v>
      </c>
    </row>
    <row r="216" spans="1:40" x14ac:dyDescent="0.3">
      <c r="A216" t="str">
        <f>IF(ISBLANK(B216),"",IF(ROUND(B216,0)=ROUND(G216,0),"Pass","Fail"))</f>
        <v>Pass</v>
      </c>
      <c r="B216">
        <f t="shared" si="21"/>
        <v>76.678001403808594</v>
      </c>
      <c r="C216">
        <v>0</v>
      </c>
      <c r="D216">
        <v>20</v>
      </c>
      <c r="E216">
        <v>80</v>
      </c>
      <c r="F216">
        <v>0</v>
      </c>
      <c r="G216">
        <v>76.677999999999997</v>
      </c>
      <c r="M216" t="str">
        <f t="shared" si="22"/>
        <v>Pass</v>
      </c>
      <c r="N216">
        <f t="shared" si="23"/>
        <v>0.59884220361709595</v>
      </c>
      <c r="O216">
        <v>10</v>
      </c>
      <c r="P216">
        <v>10</v>
      </c>
      <c r="Q216">
        <v>3</v>
      </c>
      <c r="R216" t="b">
        <v>1</v>
      </c>
      <c r="S216">
        <v>0.59884223422348604</v>
      </c>
      <c r="Y216" t="str">
        <f t="shared" si="24"/>
        <v>Pass</v>
      </c>
      <c r="Z216">
        <f t="shared" si="25"/>
        <v>18208.85546875</v>
      </c>
      <c r="AA216">
        <v>3200</v>
      </c>
      <c r="AB216">
        <v>20</v>
      </c>
      <c r="AC216">
        <v>4</v>
      </c>
      <c r="AD216">
        <v>0.2</v>
      </c>
      <c r="AE216">
        <v>18208.855586523801</v>
      </c>
      <c r="AK216" t="str">
        <f t="shared" si="26"/>
        <v>Pass</v>
      </c>
      <c r="AL216">
        <f t="shared" si="27"/>
        <v>23.964319229125977</v>
      </c>
      <c r="AM216">
        <v>105000</v>
      </c>
      <c r="AN216">
        <v>23.964318460280499</v>
      </c>
    </row>
    <row r="217" spans="1:40" x14ac:dyDescent="0.3">
      <c r="A217" t="str">
        <f>IF(ISBLANK(B217),"",IF(ROUND(B217,0)=ROUND(G217,0),"Pass","Fail"))</f>
        <v>Pass</v>
      </c>
      <c r="B217">
        <f t="shared" si="21"/>
        <v>43.341228485107422</v>
      </c>
      <c r="C217">
        <v>0</v>
      </c>
      <c r="D217">
        <v>20</v>
      </c>
      <c r="E217">
        <v>80</v>
      </c>
      <c r="F217">
        <v>8</v>
      </c>
      <c r="G217">
        <v>43.341228080723099</v>
      </c>
      <c r="M217" t="str">
        <f t="shared" si="22"/>
        <v>Pass</v>
      </c>
      <c r="N217">
        <f t="shared" si="23"/>
        <v>3.8186197280883789</v>
      </c>
      <c r="O217">
        <v>10</v>
      </c>
      <c r="P217">
        <v>10</v>
      </c>
      <c r="Q217">
        <v>3</v>
      </c>
      <c r="R217" t="b">
        <v>0</v>
      </c>
      <c r="S217">
        <v>3.8186199498181099</v>
      </c>
      <c r="Y217" t="str">
        <f t="shared" si="24"/>
        <v>Pass</v>
      </c>
      <c r="Z217">
        <f t="shared" si="25"/>
        <v>23107.1796875</v>
      </c>
      <c r="AA217">
        <v>3200</v>
      </c>
      <c r="AB217">
        <v>20</v>
      </c>
      <c r="AC217">
        <v>6</v>
      </c>
      <c r="AD217">
        <v>0.2</v>
      </c>
      <c r="AE217">
        <v>23107.178059436501</v>
      </c>
      <c r="AK217" t="str">
        <f t="shared" si="26"/>
        <v>Pass</v>
      </c>
      <c r="AL217">
        <f t="shared" si="27"/>
        <v>24.036491394042969</v>
      </c>
      <c r="AM217">
        <v>105500</v>
      </c>
      <c r="AN217">
        <v>24.036490779747901</v>
      </c>
    </row>
    <row r="218" spans="1:40" x14ac:dyDescent="0.3">
      <c r="A218" t="str">
        <f>IF(ISBLANK(B218),"",IF(ROUND(B218,0)=ROUND(G218,0),"Pass","Fail"))</f>
        <v>Pass</v>
      </c>
      <c r="B218">
        <f t="shared" si="21"/>
        <v>26.55999755859375</v>
      </c>
      <c r="C218">
        <v>0</v>
      </c>
      <c r="D218">
        <v>20</v>
      </c>
      <c r="E218">
        <v>80</v>
      </c>
      <c r="F218">
        <v>16</v>
      </c>
      <c r="G218">
        <v>26.559997247101698</v>
      </c>
      <c r="M218" t="str">
        <f t="shared" si="22"/>
        <v>Pass</v>
      </c>
      <c r="N218">
        <f t="shared" si="23"/>
        <v>0.62016791105270386</v>
      </c>
      <c r="O218">
        <v>10</v>
      </c>
      <c r="P218">
        <v>10</v>
      </c>
      <c r="Q218">
        <v>3.5</v>
      </c>
      <c r="R218" t="b">
        <v>1</v>
      </c>
      <c r="S218">
        <v>0.62016798557392405</v>
      </c>
      <c r="Y218" t="str">
        <f t="shared" si="24"/>
        <v>Pass</v>
      </c>
      <c r="Z218">
        <f t="shared" si="25"/>
        <v>26390.62109375</v>
      </c>
      <c r="AA218">
        <v>3200</v>
      </c>
      <c r="AB218">
        <v>20</v>
      </c>
      <c r="AC218">
        <v>8</v>
      </c>
      <c r="AD218">
        <v>0.2</v>
      </c>
      <c r="AE218">
        <v>26390.621804976701</v>
      </c>
      <c r="AK218" t="str">
        <f t="shared" si="26"/>
        <v>Pass</v>
      </c>
      <c r="AL218">
        <f t="shared" si="27"/>
        <v>24.108537673950195</v>
      </c>
      <c r="AM218">
        <v>106000</v>
      </c>
      <c r="AN218">
        <v>24.108537675818901</v>
      </c>
    </row>
    <row r="219" spans="1:40" x14ac:dyDescent="0.3">
      <c r="A219" t="str">
        <f>IF(ISBLANK(B219),"",IF(ROUND(B219,0)=ROUND(G219,0),"Pass","Fail"))</f>
        <v>Pass</v>
      </c>
      <c r="B219">
        <f t="shared" si="21"/>
        <v>18.112577438354492</v>
      </c>
      <c r="C219">
        <v>0</v>
      </c>
      <c r="D219">
        <v>20</v>
      </c>
      <c r="E219">
        <v>80</v>
      </c>
      <c r="F219">
        <v>24</v>
      </c>
      <c r="G219">
        <v>18.112577413736201</v>
      </c>
      <c r="M219" t="str">
        <f t="shared" si="22"/>
        <v>Pass</v>
      </c>
      <c r="N219">
        <f t="shared" si="23"/>
        <v>3.9546070098876953</v>
      </c>
      <c r="O219">
        <v>10</v>
      </c>
      <c r="P219">
        <v>10</v>
      </c>
      <c r="Q219">
        <v>3.5</v>
      </c>
      <c r="R219" t="b">
        <v>0</v>
      </c>
      <c r="S219">
        <v>3.9546072514773498</v>
      </c>
      <c r="Y219" t="str">
        <f t="shared" si="24"/>
        <v>Pass</v>
      </c>
      <c r="Z219">
        <f t="shared" si="25"/>
        <v>28591.58203125</v>
      </c>
      <c r="AA219">
        <v>3200</v>
      </c>
      <c r="AB219">
        <v>20</v>
      </c>
      <c r="AC219">
        <v>10</v>
      </c>
      <c r="AD219">
        <v>0.2</v>
      </c>
      <c r="AE219">
        <v>28591.5799676426</v>
      </c>
      <c r="AK219" t="str">
        <f t="shared" si="26"/>
        <v>Pass</v>
      </c>
      <c r="AL219">
        <f t="shared" si="27"/>
        <v>24.180459976196289</v>
      </c>
      <c r="AM219">
        <v>106500</v>
      </c>
      <c r="AN219">
        <v>24.180459956544102</v>
      </c>
    </row>
    <row r="220" spans="1:40" x14ac:dyDescent="0.3">
      <c r="A220" t="str">
        <f>IF(ISBLANK(B220),"",IF(ROUND(B220,0)=ROUND(G220,0),"Pass","Fail"))</f>
        <v>Pass</v>
      </c>
      <c r="B220">
        <f t="shared" si="21"/>
        <v>13.860273361206055</v>
      </c>
      <c r="C220">
        <v>0</v>
      </c>
      <c r="D220">
        <v>20</v>
      </c>
      <c r="E220">
        <v>80</v>
      </c>
      <c r="F220">
        <v>32</v>
      </c>
      <c r="G220">
        <v>13.8602730059946</v>
      </c>
      <c r="M220" t="str">
        <f t="shared" si="22"/>
        <v>Pass</v>
      </c>
      <c r="N220">
        <f t="shared" si="23"/>
        <v>0.63925403356552124</v>
      </c>
      <c r="O220">
        <v>10</v>
      </c>
      <c r="P220">
        <v>10</v>
      </c>
      <c r="Q220">
        <v>4</v>
      </c>
      <c r="R220" t="b">
        <v>1</v>
      </c>
      <c r="S220">
        <v>0.63925408978682197</v>
      </c>
      <c r="Y220" t="str">
        <f t="shared" si="24"/>
        <v>Pass</v>
      </c>
      <c r="Z220">
        <f t="shared" si="25"/>
        <v>30066.927734375</v>
      </c>
      <c r="AA220">
        <v>3200</v>
      </c>
      <c r="AB220">
        <v>20</v>
      </c>
      <c r="AC220">
        <v>12</v>
      </c>
      <c r="AD220">
        <v>0.2</v>
      </c>
      <c r="AE220">
        <v>30066.926344563399</v>
      </c>
      <c r="AK220" t="str">
        <f t="shared" si="26"/>
        <v>Pass</v>
      </c>
      <c r="AL220">
        <f t="shared" si="27"/>
        <v>24.25225830078125</v>
      </c>
      <c r="AM220">
        <v>107000</v>
      </c>
      <c r="AN220">
        <v>24.252258421002399</v>
      </c>
    </row>
    <row r="221" spans="1:40" x14ac:dyDescent="0.3">
      <c r="A221" t="str">
        <f>IF(ISBLANK(B221),"",IF(ROUND(B221,0)=ROUND(G221,0),"Pass","Fail"))</f>
        <v>Pass</v>
      </c>
      <c r="B221">
        <f t="shared" si="21"/>
        <v>11.7197265625</v>
      </c>
      <c r="C221">
        <v>0</v>
      </c>
      <c r="D221">
        <v>20</v>
      </c>
      <c r="E221">
        <v>80</v>
      </c>
      <c r="F221">
        <v>40</v>
      </c>
      <c r="G221">
        <v>11.719726764327101</v>
      </c>
      <c r="M221" t="str">
        <f t="shared" si="22"/>
        <v>Pass</v>
      </c>
      <c r="N221">
        <f t="shared" si="23"/>
        <v>4.0763130187988281</v>
      </c>
      <c r="O221">
        <v>10</v>
      </c>
      <c r="P221">
        <v>10</v>
      </c>
      <c r="Q221">
        <v>4</v>
      </c>
      <c r="R221" t="b">
        <v>0</v>
      </c>
      <c r="S221">
        <v>4.0763130600300599</v>
      </c>
      <c r="Y221" t="str">
        <f t="shared" si="24"/>
        <v>Pass</v>
      </c>
      <c r="Z221">
        <f t="shared" si="25"/>
        <v>31055.87890625</v>
      </c>
      <c r="AA221">
        <v>3200</v>
      </c>
      <c r="AB221">
        <v>20</v>
      </c>
      <c r="AC221">
        <v>14</v>
      </c>
      <c r="AD221">
        <v>0.2</v>
      </c>
      <c r="AE221">
        <v>31055.880595859398</v>
      </c>
      <c r="AK221" t="str">
        <f t="shared" si="26"/>
        <v>Pass</v>
      </c>
      <c r="AL221">
        <f t="shared" si="27"/>
        <v>24.323934555053711</v>
      </c>
      <c r="AM221">
        <v>107500</v>
      </c>
      <c r="AN221">
        <v>24.3239338594414</v>
      </c>
    </row>
    <row r="222" spans="1:40" x14ac:dyDescent="0.3">
      <c r="A222" t="str">
        <f>IF(ISBLANK(B222),"",IF(ROUND(B222,0)=ROUND(G222,0),"Pass","Fail"))</f>
        <v>Pass</v>
      </c>
      <c r="B222">
        <f t="shared" si="21"/>
        <v>10.642208099365234</v>
      </c>
      <c r="C222">
        <v>0</v>
      </c>
      <c r="D222">
        <v>20</v>
      </c>
      <c r="E222">
        <v>80</v>
      </c>
      <c r="F222">
        <v>48</v>
      </c>
      <c r="G222">
        <v>10.642207900819701</v>
      </c>
      <c r="M222" t="str">
        <f t="shared" si="22"/>
        <v>Pass</v>
      </c>
      <c r="N222">
        <f t="shared" si="23"/>
        <v>0</v>
      </c>
      <c r="O222">
        <v>10</v>
      </c>
      <c r="P222">
        <v>20</v>
      </c>
      <c r="Q222">
        <v>0</v>
      </c>
      <c r="R222" t="b">
        <v>1</v>
      </c>
      <c r="S222">
        <v>0</v>
      </c>
      <c r="Y222" t="str">
        <f t="shared" si="24"/>
        <v>Pass</v>
      </c>
      <c r="Z222">
        <f t="shared" si="25"/>
        <v>31718.794921875</v>
      </c>
      <c r="AA222">
        <v>3200</v>
      </c>
      <c r="AB222">
        <v>20</v>
      </c>
      <c r="AC222">
        <v>16</v>
      </c>
      <c r="AD222">
        <v>0.2</v>
      </c>
      <c r="AE222">
        <v>31718.796455115302</v>
      </c>
      <c r="AK222" t="str">
        <f t="shared" si="26"/>
        <v>Pass</v>
      </c>
      <c r="AL222">
        <f t="shared" si="27"/>
        <v>24.395486831665039</v>
      </c>
      <c r="AM222">
        <v>108000</v>
      </c>
      <c r="AN222">
        <v>24.395487053416002</v>
      </c>
    </row>
    <row r="223" spans="1:40" x14ac:dyDescent="0.3">
      <c r="A223" t="str">
        <f>IF(ISBLANK(B223),"",IF(ROUND(B223,0)=ROUND(G223,0),"Pass","Fail"))</f>
        <v>Pass</v>
      </c>
      <c r="B223">
        <f t="shared" si="21"/>
        <v>76.678001403808594</v>
      </c>
      <c r="C223">
        <v>0</v>
      </c>
      <c r="D223">
        <v>20</v>
      </c>
      <c r="E223">
        <v>90</v>
      </c>
      <c r="F223">
        <v>0</v>
      </c>
      <c r="G223">
        <v>76.677999999999997</v>
      </c>
      <c r="M223" t="str">
        <f t="shared" si="22"/>
        <v>Pass</v>
      </c>
      <c r="N223">
        <f t="shared" si="23"/>
        <v>0</v>
      </c>
      <c r="O223">
        <v>10</v>
      </c>
      <c r="P223">
        <v>20</v>
      </c>
      <c r="Q223">
        <v>0</v>
      </c>
      <c r="R223" t="b">
        <v>0</v>
      </c>
      <c r="S223">
        <v>0</v>
      </c>
      <c r="Y223" t="str">
        <f t="shared" si="24"/>
        <v>Pass</v>
      </c>
      <c r="Z223">
        <f t="shared" si="25"/>
        <v>32163.1640625</v>
      </c>
      <c r="AA223">
        <v>3200</v>
      </c>
      <c r="AB223">
        <v>20</v>
      </c>
      <c r="AC223">
        <v>18</v>
      </c>
      <c r="AD223">
        <v>0.2</v>
      </c>
      <c r="AE223">
        <v>32163.162244409501</v>
      </c>
      <c r="AK223" t="str">
        <f t="shared" si="26"/>
        <v>Pass</v>
      </c>
      <c r="AL223">
        <f t="shared" si="27"/>
        <v>24.4669189453125</v>
      </c>
      <c r="AM223">
        <v>108500</v>
      </c>
      <c r="AN223">
        <v>24.4669187759241</v>
      </c>
    </row>
    <row r="224" spans="1:40" x14ac:dyDescent="0.3">
      <c r="A224" t="str">
        <f>IF(ISBLANK(B224),"",IF(ROUND(B224,0)=ROUND(G224,0),"Pass","Fail"))</f>
        <v>Pass</v>
      </c>
      <c r="B224">
        <f t="shared" si="21"/>
        <v>43.341228485107422</v>
      </c>
      <c r="C224">
        <v>0</v>
      </c>
      <c r="D224">
        <v>20</v>
      </c>
      <c r="E224">
        <v>90</v>
      </c>
      <c r="F224">
        <v>8</v>
      </c>
      <c r="G224">
        <v>43.341228080723099</v>
      </c>
      <c r="M224" t="str">
        <f t="shared" si="22"/>
        <v>Pass</v>
      </c>
      <c r="N224">
        <f t="shared" si="23"/>
        <v>1.0563620366156101E-2</v>
      </c>
      <c r="O224">
        <v>10</v>
      </c>
      <c r="P224">
        <v>20</v>
      </c>
      <c r="Q224">
        <v>0.5</v>
      </c>
      <c r="R224" t="b">
        <v>1</v>
      </c>
      <c r="S224">
        <v>1.05636209739583E-2</v>
      </c>
      <c r="Y224" t="str">
        <f t="shared" si="24"/>
        <v>Pass</v>
      </c>
      <c r="Z224">
        <f t="shared" si="25"/>
        <v>32461.03125</v>
      </c>
      <c r="AA224">
        <v>3200</v>
      </c>
      <c r="AB224">
        <v>20</v>
      </c>
      <c r="AC224">
        <v>20</v>
      </c>
      <c r="AD224">
        <v>0.2</v>
      </c>
      <c r="AE224">
        <v>32461.0295407458</v>
      </c>
      <c r="AK224" t="str">
        <f t="shared" si="26"/>
        <v>Pass</v>
      </c>
      <c r="AL224">
        <f t="shared" si="27"/>
        <v>24.538228988647461</v>
      </c>
      <c r="AM224">
        <v>109000</v>
      </c>
      <c r="AN224">
        <v>24.538229791538502</v>
      </c>
    </row>
    <row r="225" spans="1:40" x14ac:dyDescent="0.3">
      <c r="A225" t="str">
        <f>IF(ISBLANK(B225),"",IF(ROUND(B225,0)=ROUND(G225,0),"Pass","Fail"))</f>
        <v>Pass</v>
      </c>
      <c r="B225">
        <f t="shared" si="21"/>
        <v>26.55999755859375</v>
      </c>
      <c r="C225">
        <v>0</v>
      </c>
      <c r="D225">
        <v>20</v>
      </c>
      <c r="E225">
        <v>90</v>
      </c>
      <c r="F225">
        <v>16</v>
      </c>
      <c r="G225">
        <v>26.559997247101698</v>
      </c>
      <c r="M225" t="str">
        <f t="shared" si="22"/>
        <v>Pass</v>
      </c>
      <c r="N225">
        <f t="shared" si="23"/>
        <v>6.7360736429691315E-2</v>
      </c>
      <c r="O225">
        <v>10</v>
      </c>
      <c r="P225">
        <v>20</v>
      </c>
      <c r="Q225">
        <v>0.5</v>
      </c>
      <c r="R225" t="b">
        <v>0</v>
      </c>
      <c r="S225">
        <v>6.7360736247637595E-2</v>
      </c>
      <c r="Y225" t="str">
        <f t="shared" si="24"/>
        <v>Pass</v>
      </c>
      <c r="Z225">
        <f t="shared" si="25"/>
        <v>32660.697265625</v>
      </c>
      <c r="AA225">
        <v>3200</v>
      </c>
      <c r="AB225">
        <v>20</v>
      </c>
      <c r="AC225">
        <v>22</v>
      </c>
      <c r="AD225">
        <v>0.2</v>
      </c>
      <c r="AE225">
        <v>32660.695960538498</v>
      </c>
      <c r="AK225" t="str">
        <f t="shared" si="26"/>
        <v>Pass</v>
      </c>
      <c r="AL225">
        <f t="shared" si="27"/>
        <v>24.609420776367188</v>
      </c>
      <c r="AM225">
        <v>109500</v>
      </c>
      <c r="AN225">
        <v>24.6094208565376</v>
      </c>
    </row>
    <row r="226" spans="1:40" x14ac:dyDescent="0.3">
      <c r="A226" t="str">
        <f>IF(ISBLANK(B226),"",IF(ROUND(B226,0)=ROUND(G226,0),"Pass","Fail"))</f>
        <v>Pass</v>
      </c>
      <c r="B226">
        <f t="shared" si="21"/>
        <v>18.112577438354492</v>
      </c>
      <c r="C226">
        <v>0</v>
      </c>
      <c r="D226">
        <v>20</v>
      </c>
      <c r="E226">
        <v>90</v>
      </c>
      <c r="F226">
        <v>24</v>
      </c>
      <c r="G226">
        <v>18.112577413736201</v>
      </c>
      <c r="M226" t="str">
        <f t="shared" si="22"/>
        <v>Pass</v>
      </c>
      <c r="N226">
        <f t="shared" si="23"/>
        <v>1.2363647110760212E-2</v>
      </c>
      <c r="O226">
        <v>10</v>
      </c>
      <c r="P226">
        <v>20</v>
      </c>
      <c r="Q226">
        <v>1</v>
      </c>
      <c r="R226" t="b">
        <v>1</v>
      </c>
      <c r="S226">
        <v>1.23636476369732E-2</v>
      </c>
      <c r="Y226" t="str">
        <f t="shared" si="24"/>
        <v>Pass</v>
      </c>
      <c r="Z226">
        <f t="shared" si="25"/>
        <v>32794.5390625</v>
      </c>
      <c r="AA226">
        <v>3200</v>
      </c>
      <c r="AB226">
        <v>20</v>
      </c>
      <c r="AC226">
        <v>24</v>
      </c>
      <c r="AD226">
        <v>0.2</v>
      </c>
      <c r="AE226">
        <v>32794.536364245701</v>
      </c>
      <c r="AK226" t="str">
        <f t="shared" si="26"/>
        <v>Pass</v>
      </c>
      <c r="AL226">
        <f t="shared" si="27"/>
        <v>24.680492401123047</v>
      </c>
      <c r="AM226">
        <v>110000</v>
      </c>
      <c r="AN226">
        <v>24.680492719032301</v>
      </c>
    </row>
    <row r="227" spans="1:40" x14ac:dyDescent="0.3">
      <c r="A227" t="str">
        <f>IF(ISBLANK(B227),"",IF(ROUND(B227,0)=ROUND(G227,0),"Pass","Fail"))</f>
        <v>Pass</v>
      </c>
      <c r="B227">
        <f t="shared" si="21"/>
        <v>13.860273361206055</v>
      </c>
      <c r="C227">
        <v>0</v>
      </c>
      <c r="D227">
        <v>20</v>
      </c>
      <c r="E227">
        <v>90</v>
      </c>
      <c r="F227">
        <v>32</v>
      </c>
      <c r="G227">
        <v>13.8602730059946</v>
      </c>
      <c r="M227" t="str">
        <f t="shared" si="22"/>
        <v>Pass</v>
      </c>
      <c r="N227">
        <f t="shared" si="23"/>
        <v>7.8838922083377838E-2</v>
      </c>
      <c r="O227">
        <v>10</v>
      </c>
      <c r="P227">
        <v>20</v>
      </c>
      <c r="Q227">
        <v>1</v>
      </c>
      <c r="R227" t="b">
        <v>0</v>
      </c>
      <c r="S227">
        <v>7.8838914192963197E-2</v>
      </c>
      <c r="Y227" t="str">
        <f t="shared" si="24"/>
        <v>Pass</v>
      </c>
      <c r="Z227">
        <f t="shared" si="25"/>
        <v>0</v>
      </c>
      <c r="AA227">
        <v>3400</v>
      </c>
      <c r="AB227">
        <v>20</v>
      </c>
      <c r="AC227">
        <v>0</v>
      </c>
      <c r="AD227">
        <v>0.2</v>
      </c>
      <c r="AE227">
        <v>0</v>
      </c>
      <c r="AK227" t="str">
        <f t="shared" si="26"/>
        <v>Pass</v>
      </c>
      <c r="AL227">
        <f t="shared" si="27"/>
        <v>24.751445770263672</v>
      </c>
      <c r="AM227">
        <v>110500</v>
      </c>
      <c r="AN227">
        <v>24.751446119091302</v>
      </c>
    </row>
    <row r="228" spans="1:40" x14ac:dyDescent="0.3">
      <c r="A228" t="str">
        <f>IF(ISBLANK(B228),"",IF(ROUND(B228,0)=ROUND(G228,0),"Pass","Fail"))</f>
        <v>Pass</v>
      </c>
      <c r="B228">
        <f t="shared" si="21"/>
        <v>11.7197265625</v>
      </c>
      <c r="C228">
        <v>0</v>
      </c>
      <c r="D228">
        <v>20</v>
      </c>
      <c r="E228">
        <v>90</v>
      </c>
      <c r="F228">
        <v>40</v>
      </c>
      <c r="G228">
        <v>11.719726764327101</v>
      </c>
      <c r="M228" t="str">
        <f t="shared" si="22"/>
        <v>Pass</v>
      </c>
      <c r="N228">
        <f t="shared" si="23"/>
        <v>1.3555618934333324E-2</v>
      </c>
      <c r="O228">
        <v>10</v>
      </c>
      <c r="P228">
        <v>20</v>
      </c>
      <c r="Q228">
        <v>1.5</v>
      </c>
      <c r="R228" t="b">
        <v>1</v>
      </c>
      <c r="S228">
        <v>1.35556184113863E-2</v>
      </c>
      <c r="Y228" t="str">
        <f t="shared" si="24"/>
        <v>Pass</v>
      </c>
      <c r="Z228">
        <f t="shared" si="25"/>
        <v>11582.7548828125</v>
      </c>
      <c r="AA228">
        <v>3400</v>
      </c>
      <c r="AB228">
        <v>20</v>
      </c>
      <c r="AC228">
        <v>2</v>
      </c>
      <c r="AD228">
        <v>0.2</v>
      </c>
      <c r="AE228">
        <v>11582.7557159478</v>
      </c>
      <c r="AK228" t="str">
        <f t="shared" si="26"/>
        <v>Pass</v>
      </c>
      <c r="AL228">
        <f t="shared" si="27"/>
        <v>24.822280883789063</v>
      </c>
      <c r="AM228">
        <v>111000</v>
      </c>
      <c r="AN228">
        <v>24.8222817888634</v>
      </c>
    </row>
    <row r="229" spans="1:40" x14ac:dyDescent="0.3">
      <c r="A229" t="str">
        <f>IF(ISBLANK(B229),"",IF(ROUND(B229,0)=ROUND(G229,0),"Pass","Fail"))</f>
        <v>Pass</v>
      </c>
      <c r="B229">
        <f t="shared" si="21"/>
        <v>10.642208099365234</v>
      </c>
      <c r="C229">
        <v>0</v>
      </c>
      <c r="D229">
        <v>20</v>
      </c>
      <c r="E229">
        <v>90</v>
      </c>
      <c r="F229">
        <v>48</v>
      </c>
      <c r="G229">
        <v>10.642207900819701</v>
      </c>
      <c r="M229" t="str">
        <f t="shared" si="22"/>
        <v>Pass</v>
      </c>
      <c r="N229">
        <f t="shared" si="23"/>
        <v>8.6439721286296844E-2</v>
      </c>
      <c r="O229">
        <v>10</v>
      </c>
      <c r="P229">
        <v>20</v>
      </c>
      <c r="Q229">
        <v>1.5</v>
      </c>
      <c r="R229" t="b">
        <v>0</v>
      </c>
      <c r="S229">
        <v>8.6439719745156601E-2</v>
      </c>
      <c r="Y229" t="str">
        <f t="shared" si="24"/>
        <v>Pass</v>
      </c>
      <c r="Z229">
        <f t="shared" si="25"/>
        <v>19346.91015625</v>
      </c>
      <c r="AA229">
        <v>3400</v>
      </c>
      <c r="AB229">
        <v>20</v>
      </c>
      <c r="AC229">
        <v>4</v>
      </c>
      <c r="AD229">
        <v>0.2</v>
      </c>
      <c r="AE229">
        <v>19346.909060681599</v>
      </c>
      <c r="AK229" t="str">
        <f t="shared" si="26"/>
        <v>Pass</v>
      </c>
      <c r="AL229">
        <f t="shared" si="27"/>
        <v>24.892999649047852</v>
      </c>
      <c r="AM229">
        <v>111500</v>
      </c>
      <c r="AN229">
        <v>24.8930004526974</v>
      </c>
    </row>
    <row r="230" spans="1:40" x14ac:dyDescent="0.3">
      <c r="A230" t="str">
        <f>IF(ISBLANK(B230),"",IF(ROUND(B230,0)=ROUND(G230,0),"Pass","Fail"))</f>
        <v>Pass</v>
      </c>
      <c r="B230">
        <f t="shared" si="21"/>
        <v>76.678001403808594</v>
      </c>
      <c r="C230">
        <v>0</v>
      </c>
      <c r="D230">
        <v>20</v>
      </c>
      <c r="E230">
        <v>100</v>
      </c>
      <c r="F230">
        <v>0</v>
      </c>
      <c r="G230">
        <v>76.677999999999997</v>
      </c>
      <c r="M230" t="str">
        <f t="shared" si="22"/>
        <v>Pass</v>
      </c>
      <c r="N230">
        <f t="shared" si="23"/>
        <v>1.4470397494733334E-2</v>
      </c>
      <c r="O230">
        <v>10</v>
      </c>
      <c r="P230">
        <v>20</v>
      </c>
      <c r="Q230">
        <v>2</v>
      </c>
      <c r="R230" t="b">
        <v>1</v>
      </c>
      <c r="S230">
        <v>1.4470396397984E-2</v>
      </c>
      <c r="Y230" t="str">
        <f t="shared" si="24"/>
        <v>Pass</v>
      </c>
      <c r="Z230">
        <f t="shared" si="25"/>
        <v>24551.376953125</v>
      </c>
      <c r="AA230">
        <v>3400</v>
      </c>
      <c r="AB230">
        <v>20</v>
      </c>
      <c r="AC230">
        <v>6</v>
      </c>
      <c r="AD230">
        <v>0.2</v>
      </c>
      <c r="AE230">
        <v>24551.3766881513</v>
      </c>
      <c r="AK230" t="str">
        <f t="shared" si="26"/>
        <v>Pass</v>
      </c>
      <c r="AL230">
        <f t="shared" si="27"/>
        <v>24.963602066040039</v>
      </c>
      <c r="AM230">
        <v>112000</v>
      </c>
      <c r="AN230">
        <v>24.963602827259798</v>
      </c>
    </row>
    <row r="231" spans="1:40" x14ac:dyDescent="0.3">
      <c r="A231" t="str">
        <f>IF(ISBLANK(B231),"",IF(ROUND(B231,0)=ROUND(G231,0),"Pass","Fail"))</f>
        <v>Pass</v>
      </c>
      <c r="B231">
        <f t="shared" si="21"/>
        <v>43.341228485107422</v>
      </c>
      <c r="C231">
        <v>0</v>
      </c>
      <c r="D231">
        <v>20</v>
      </c>
      <c r="E231">
        <v>100</v>
      </c>
      <c r="F231">
        <v>8</v>
      </c>
      <c r="G231">
        <v>43.341228080723099</v>
      </c>
      <c r="M231" t="str">
        <f t="shared" si="22"/>
        <v>Pass</v>
      </c>
      <c r="N231">
        <f t="shared" si="23"/>
        <v>9.2272959649562836E-2</v>
      </c>
      <c r="O231">
        <v>10</v>
      </c>
      <c r="P231">
        <v>20</v>
      </c>
      <c r="Q231">
        <v>2</v>
      </c>
      <c r="R231" t="b">
        <v>0</v>
      </c>
      <c r="S231">
        <v>9.2272958066775906E-2</v>
      </c>
      <c r="Y231" t="str">
        <f t="shared" si="24"/>
        <v>Pass</v>
      </c>
      <c r="Z231">
        <f t="shared" si="25"/>
        <v>28040.03515625</v>
      </c>
      <c r="AA231">
        <v>3400</v>
      </c>
      <c r="AB231">
        <v>20</v>
      </c>
      <c r="AC231">
        <v>8</v>
      </c>
      <c r="AD231">
        <v>0.2</v>
      </c>
      <c r="AE231">
        <v>28040.035667787699</v>
      </c>
      <c r="AK231" t="str">
        <f t="shared" si="26"/>
        <v>Pass</v>
      </c>
      <c r="AL231">
        <f t="shared" si="27"/>
        <v>25.034090042114258</v>
      </c>
      <c r="AM231">
        <v>112500</v>
      </c>
      <c r="AN231">
        <v>25.034089621650399</v>
      </c>
    </row>
    <row r="232" spans="1:40" x14ac:dyDescent="0.3">
      <c r="A232" t="str">
        <f>IF(ISBLANK(B232),"",IF(ROUND(B232,0)=ROUND(G232,0),"Pass","Fail"))</f>
        <v>Pass</v>
      </c>
      <c r="B232">
        <f t="shared" si="21"/>
        <v>26.55999755859375</v>
      </c>
      <c r="C232">
        <v>0</v>
      </c>
      <c r="D232">
        <v>20</v>
      </c>
      <c r="E232">
        <v>100</v>
      </c>
      <c r="F232">
        <v>16</v>
      </c>
      <c r="G232">
        <v>26.559997247101698</v>
      </c>
      <c r="M232" t="str">
        <f t="shared" si="22"/>
        <v>Pass</v>
      </c>
      <c r="N232">
        <f t="shared" si="23"/>
        <v>1.5222255140542984E-2</v>
      </c>
      <c r="O232">
        <v>10</v>
      </c>
      <c r="P232">
        <v>20</v>
      </c>
      <c r="Q232">
        <v>2.5</v>
      </c>
      <c r="R232" t="b">
        <v>1</v>
      </c>
      <c r="S232">
        <v>1.52222552909346E-2</v>
      </c>
      <c r="Y232" t="str">
        <f t="shared" si="24"/>
        <v>Pass</v>
      </c>
      <c r="Z232">
        <f t="shared" si="25"/>
        <v>30378.5546875</v>
      </c>
      <c r="AA232">
        <v>3400</v>
      </c>
      <c r="AB232">
        <v>20</v>
      </c>
      <c r="AC232">
        <v>10</v>
      </c>
      <c r="AD232">
        <v>0.2</v>
      </c>
      <c r="AE232">
        <v>30378.553715620299</v>
      </c>
      <c r="AK232" t="str">
        <f t="shared" si="26"/>
        <v>Pass</v>
      </c>
      <c r="AL232">
        <f t="shared" si="27"/>
        <v>25.104461669921875</v>
      </c>
      <c r="AM232">
        <v>113000</v>
      </c>
      <c r="AN232">
        <v>25.104461537515199</v>
      </c>
    </row>
    <row r="233" spans="1:40" x14ac:dyDescent="0.3">
      <c r="A233" t="str">
        <f>IF(ISBLANK(B233),"",IF(ROUND(B233,0)=ROUND(G233,0),"Pass","Fail"))</f>
        <v>Pass</v>
      </c>
      <c r="B233">
        <f t="shared" si="21"/>
        <v>18.112577438354492</v>
      </c>
      <c r="C233">
        <v>0</v>
      </c>
      <c r="D233">
        <v>20</v>
      </c>
      <c r="E233">
        <v>100</v>
      </c>
      <c r="F233">
        <v>24</v>
      </c>
      <c r="G233">
        <v>18.112577413736201</v>
      </c>
      <c r="M233" t="str">
        <f t="shared" si="22"/>
        <v>Pass</v>
      </c>
      <c r="N233">
        <f t="shared" si="23"/>
        <v>9.7067318856716156E-2</v>
      </c>
      <c r="O233">
        <v>10</v>
      </c>
      <c r="P233">
        <v>20</v>
      </c>
      <c r="Q233">
        <v>2.5</v>
      </c>
      <c r="R233" t="b">
        <v>0</v>
      </c>
      <c r="S233">
        <v>9.7067314917361605E-2</v>
      </c>
      <c r="Y233" t="str">
        <f t="shared" si="24"/>
        <v>Pass</v>
      </c>
      <c r="Z233">
        <f t="shared" si="25"/>
        <v>31946.109375</v>
      </c>
      <c r="AA233">
        <v>3400</v>
      </c>
      <c r="AB233">
        <v>20</v>
      </c>
      <c r="AC233">
        <v>12</v>
      </c>
      <c r="AD233">
        <v>0.2</v>
      </c>
      <c r="AE233">
        <v>31946.109241098598</v>
      </c>
      <c r="AK233" t="str">
        <f t="shared" si="26"/>
        <v>Pass</v>
      </c>
      <c r="AL233">
        <f t="shared" si="27"/>
        <v>25.174718856811523</v>
      </c>
      <c r="AM233">
        <v>113500</v>
      </c>
      <c r="AN233">
        <v>25.174719269157301</v>
      </c>
    </row>
    <row r="234" spans="1:40" x14ac:dyDescent="0.3">
      <c r="A234" t="str">
        <f>IF(ISBLANK(B234),"",IF(ROUND(B234,0)=ROUND(G234,0),"Pass","Fail"))</f>
        <v>Pass</v>
      </c>
      <c r="B234">
        <f t="shared" si="21"/>
        <v>13.860273361206055</v>
      </c>
      <c r="C234">
        <v>0</v>
      </c>
      <c r="D234">
        <v>20</v>
      </c>
      <c r="E234">
        <v>100</v>
      </c>
      <c r="F234">
        <v>32</v>
      </c>
      <c r="G234">
        <v>13.8602730059946</v>
      </c>
      <c r="M234" t="str">
        <f t="shared" si="22"/>
        <v>Pass</v>
      </c>
      <c r="N234">
        <f t="shared" si="23"/>
        <v>1.5865476801991463E-2</v>
      </c>
      <c r="O234">
        <v>10</v>
      </c>
      <c r="P234">
        <v>20</v>
      </c>
      <c r="Q234">
        <v>3</v>
      </c>
      <c r="R234" t="b">
        <v>1</v>
      </c>
      <c r="S234">
        <v>1.5865477373034498E-2</v>
      </c>
      <c r="Y234" t="str">
        <f t="shared" si="24"/>
        <v>Pass</v>
      </c>
      <c r="Z234">
        <f t="shared" si="25"/>
        <v>32996.87109375</v>
      </c>
      <c r="AA234">
        <v>3400</v>
      </c>
      <c r="AB234">
        <v>20</v>
      </c>
      <c r="AC234">
        <v>14</v>
      </c>
      <c r="AD234">
        <v>0.2</v>
      </c>
      <c r="AE234">
        <v>32996.873133100598</v>
      </c>
      <c r="AK234" t="str">
        <f t="shared" si="26"/>
        <v>Pass</v>
      </c>
      <c r="AL234">
        <f t="shared" si="27"/>
        <v>25.244863510131836</v>
      </c>
      <c r="AM234">
        <v>114000</v>
      </c>
      <c r="AN234">
        <v>25.244863503646201</v>
      </c>
    </row>
    <row r="235" spans="1:40" x14ac:dyDescent="0.3">
      <c r="A235" t="str">
        <f>IF(ISBLANK(B235),"",IF(ROUND(B235,0)=ROUND(G235,0),"Pass","Fail"))</f>
        <v>Pass</v>
      </c>
      <c r="B235">
        <f t="shared" si="21"/>
        <v>11.7197265625</v>
      </c>
      <c r="C235">
        <v>0</v>
      </c>
      <c r="D235">
        <v>20</v>
      </c>
      <c r="E235">
        <v>100</v>
      </c>
      <c r="F235">
        <v>40</v>
      </c>
      <c r="G235">
        <v>11.719726764327101</v>
      </c>
      <c r="M235" t="str">
        <f t="shared" si="22"/>
        <v>Pass</v>
      </c>
      <c r="N235">
        <f t="shared" si="23"/>
        <v>0.1011689230799675</v>
      </c>
      <c r="O235">
        <v>10</v>
      </c>
      <c r="P235">
        <v>20</v>
      </c>
      <c r="Q235">
        <v>3</v>
      </c>
      <c r="R235" t="b">
        <v>0</v>
      </c>
      <c r="S235">
        <v>0.101168930559175</v>
      </c>
      <c r="Y235" t="str">
        <f t="shared" si="24"/>
        <v>Pass</v>
      </c>
      <c r="Z235">
        <f t="shared" si="25"/>
        <v>33701.21875</v>
      </c>
      <c r="AA235">
        <v>3400</v>
      </c>
      <c r="AB235">
        <v>20</v>
      </c>
      <c r="AC235">
        <v>16</v>
      </c>
      <c r="AD235">
        <v>0.2</v>
      </c>
      <c r="AE235">
        <v>33701.221233559998</v>
      </c>
      <c r="AK235" t="str">
        <f t="shared" si="26"/>
        <v>Pass</v>
      </c>
      <c r="AL235">
        <f t="shared" si="27"/>
        <v>25.314895629882813</v>
      </c>
      <c r="AM235">
        <v>114500</v>
      </c>
      <c r="AN235">
        <v>25.314894920923901</v>
      </c>
    </row>
    <row r="236" spans="1:40" x14ac:dyDescent="0.3">
      <c r="A236" t="str">
        <f>IF(ISBLANK(B236),"",IF(ROUND(B236,0)=ROUND(G236,0),"Pass","Fail"))</f>
        <v>Pass</v>
      </c>
      <c r="B236">
        <f t="shared" si="21"/>
        <v>10.642208099365234</v>
      </c>
      <c r="C236">
        <v>0</v>
      </c>
      <c r="D236">
        <v>20</v>
      </c>
      <c r="E236">
        <v>100</v>
      </c>
      <c r="F236">
        <v>48</v>
      </c>
      <c r="G236">
        <v>10.642207900819701</v>
      </c>
      <c r="M236" t="str">
        <f t="shared" si="22"/>
        <v>Pass</v>
      </c>
      <c r="N236">
        <f t="shared" si="23"/>
        <v>1.6430472955107689E-2</v>
      </c>
      <c r="O236">
        <v>10</v>
      </c>
      <c r="P236">
        <v>20</v>
      </c>
      <c r="Q236">
        <v>3.5</v>
      </c>
      <c r="R236" t="b">
        <v>1</v>
      </c>
      <c r="S236">
        <v>1.6430472969833101E-2</v>
      </c>
      <c r="Y236" t="str">
        <f t="shared" si="24"/>
        <v>Pass</v>
      </c>
      <c r="Z236">
        <f t="shared" si="25"/>
        <v>34173.359375</v>
      </c>
      <c r="AA236">
        <v>3400</v>
      </c>
      <c r="AB236">
        <v>20</v>
      </c>
      <c r="AC236">
        <v>18</v>
      </c>
      <c r="AD236">
        <v>0.2</v>
      </c>
      <c r="AE236">
        <v>34173.359884685102</v>
      </c>
      <c r="AK236" t="str">
        <f t="shared" si="26"/>
        <v>Pass</v>
      </c>
      <c r="AL236">
        <f t="shared" si="27"/>
        <v>25.38481330871582</v>
      </c>
      <c r="AM236">
        <v>115000</v>
      </c>
      <c r="AN236">
        <v>25.384814193910099</v>
      </c>
    </row>
    <row r="237" spans="1:40" x14ac:dyDescent="0.3">
      <c r="A237" t="str">
        <f>IF(ISBLANK(B237),"",IF(ROUND(B237,0)=ROUND(G237,0),"Pass","Fail"))</f>
        <v>Pass</v>
      </c>
      <c r="B237">
        <f t="shared" si="21"/>
        <v>10.889999389648438</v>
      </c>
      <c r="C237">
        <v>0</v>
      </c>
      <c r="D237">
        <v>30</v>
      </c>
      <c r="E237">
        <v>0</v>
      </c>
      <c r="F237">
        <v>0</v>
      </c>
      <c r="G237">
        <v>10.889999999999899</v>
      </c>
      <c r="M237" t="str">
        <f t="shared" si="22"/>
        <v>Pass</v>
      </c>
      <c r="N237">
        <f t="shared" si="23"/>
        <v>0.10477172583341599</v>
      </c>
      <c r="O237">
        <v>10</v>
      </c>
      <c r="P237">
        <v>20</v>
      </c>
      <c r="Q237">
        <v>3.5</v>
      </c>
      <c r="R237" t="b">
        <v>0</v>
      </c>
      <c r="S237">
        <v>0.104771721635346</v>
      </c>
      <c r="Y237" t="str">
        <f t="shared" si="24"/>
        <v>Pass</v>
      </c>
      <c r="Z237">
        <f t="shared" si="25"/>
        <v>34489.84375</v>
      </c>
      <c r="AA237">
        <v>3400</v>
      </c>
      <c r="AB237">
        <v>20</v>
      </c>
      <c r="AC237">
        <v>20</v>
      </c>
      <c r="AD237">
        <v>0.2</v>
      </c>
      <c r="AE237">
        <v>34489.8438870424</v>
      </c>
      <c r="AK237" t="str">
        <f t="shared" si="26"/>
        <v>Pass</v>
      </c>
      <c r="AL237">
        <f t="shared" si="27"/>
        <v>25.454622268676758</v>
      </c>
      <c r="AM237">
        <v>115500</v>
      </c>
      <c r="AN237">
        <v>25.4546219886046</v>
      </c>
    </row>
    <row r="238" spans="1:40" x14ac:dyDescent="0.3">
      <c r="A238" t="str">
        <f>IF(ISBLANK(B238),"",IF(ROUND(B238,0)=ROUND(G238,0),"Pass","Fail"))</f>
        <v>Pass</v>
      </c>
      <c r="B238">
        <f t="shared" si="21"/>
        <v>10.889999389648438</v>
      </c>
      <c r="C238">
        <v>0</v>
      </c>
      <c r="D238">
        <v>30</v>
      </c>
      <c r="E238">
        <v>0</v>
      </c>
      <c r="F238">
        <v>8</v>
      </c>
      <c r="G238">
        <v>10.889999999999899</v>
      </c>
      <c r="M238" t="str">
        <f t="shared" si="22"/>
        <v>Pass</v>
      </c>
      <c r="N238">
        <f t="shared" si="23"/>
        <v>1.6936132684350014E-2</v>
      </c>
      <c r="O238">
        <v>10</v>
      </c>
      <c r="P238">
        <v>20</v>
      </c>
      <c r="Q238">
        <v>4</v>
      </c>
      <c r="R238" t="b">
        <v>1</v>
      </c>
      <c r="S238">
        <v>1.69361322857993E-2</v>
      </c>
      <c r="Y238" t="str">
        <f t="shared" si="24"/>
        <v>Pass</v>
      </c>
      <c r="Z238">
        <f t="shared" si="25"/>
        <v>34701.9921875</v>
      </c>
      <c r="AA238">
        <v>3400</v>
      </c>
      <c r="AB238">
        <v>20</v>
      </c>
      <c r="AC238">
        <v>22</v>
      </c>
      <c r="AD238">
        <v>0.2</v>
      </c>
      <c r="AE238">
        <v>34701.989458072101</v>
      </c>
      <c r="AK238" t="str">
        <f t="shared" si="26"/>
        <v>Pass</v>
      </c>
      <c r="AL238">
        <f t="shared" si="27"/>
        <v>25.524318695068359</v>
      </c>
      <c r="AM238">
        <v>116000</v>
      </c>
      <c r="AN238">
        <v>25.5243189641883</v>
      </c>
    </row>
    <row r="239" spans="1:40" x14ac:dyDescent="0.3">
      <c r="A239" t="str">
        <f>IF(ISBLANK(B239),"",IF(ROUND(B239,0)=ROUND(G239,0),"Pass","Fail"))</f>
        <v>Pass</v>
      </c>
      <c r="B239">
        <f t="shared" si="21"/>
        <v>10.889999389648438</v>
      </c>
      <c r="C239">
        <v>0</v>
      </c>
      <c r="D239">
        <v>30</v>
      </c>
      <c r="E239">
        <v>0</v>
      </c>
      <c r="F239">
        <v>16</v>
      </c>
      <c r="G239">
        <v>10.889999999999899</v>
      </c>
      <c r="M239" t="str">
        <f t="shared" si="22"/>
        <v>Pass</v>
      </c>
      <c r="N239">
        <f t="shared" si="23"/>
        <v>0.1079961434006691</v>
      </c>
      <c r="O239">
        <v>10</v>
      </c>
      <c r="P239">
        <v>20</v>
      </c>
      <c r="Q239">
        <v>4</v>
      </c>
      <c r="R239" t="b">
        <v>0</v>
      </c>
      <c r="S239">
        <v>0.107996144766196</v>
      </c>
      <c r="Y239" t="str">
        <f t="shared" si="24"/>
        <v>Pass</v>
      </c>
      <c r="Z239">
        <f t="shared" si="25"/>
        <v>34844.1953125</v>
      </c>
      <c r="AA239">
        <v>3400</v>
      </c>
      <c r="AB239">
        <v>20</v>
      </c>
      <c r="AC239">
        <v>24</v>
      </c>
      <c r="AD239">
        <v>0.2</v>
      </c>
      <c r="AE239">
        <v>34844.194887010999</v>
      </c>
      <c r="AK239" t="str">
        <f t="shared" si="26"/>
        <v>Pass</v>
      </c>
      <c r="AL239">
        <f t="shared" si="27"/>
        <v>25.593906402587891</v>
      </c>
      <c r="AM239">
        <v>116500</v>
      </c>
      <c r="AN239">
        <v>25.593905773122099</v>
      </c>
    </row>
    <row r="240" spans="1:40" x14ac:dyDescent="0.3">
      <c r="A240" t="str">
        <f>IF(ISBLANK(B240),"",IF(ROUND(B240,0)=ROUND(G240,0),"Pass","Fail"))</f>
        <v>Pass</v>
      </c>
      <c r="B240">
        <f t="shared" si="21"/>
        <v>10.889999389648438</v>
      </c>
      <c r="C240">
        <v>0</v>
      </c>
      <c r="D240">
        <v>30</v>
      </c>
      <c r="E240">
        <v>0</v>
      </c>
      <c r="F240">
        <v>24</v>
      </c>
      <c r="G240">
        <v>10.889999999999899</v>
      </c>
      <c r="M240" t="str">
        <f t="shared" si="22"/>
        <v>Pass</v>
      </c>
      <c r="N240">
        <f t="shared" si="23"/>
        <v>0</v>
      </c>
      <c r="O240">
        <v>10</v>
      </c>
      <c r="P240">
        <v>30</v>
      </c>
      <c r="Q240">
        <v>0</v>
      </c>
      <c r="R240" t="b">
        <v>1</v>
      </c>
      <c r="S240">
        <v>0</v>
      </c>
      <c r="Y240" t="str">
        <f t="shared" si="24"/>
        <v>Pass</v>
      </c>
      <c r="Z240">
        <f t="shared" si="25"/>
        <v>0</v>
      </c>
      <c r="AA240">
        <v>3600</v>
      </c>
      <c r="AB240">
        <v>20</v>
      </c>
      <c r="AC240">
        <v>0</v>
      </c>
      <c r="AD240">
        <v>0.2</v>
      </c>
      <c r="AE240">
        <v>0</v>
      </c>
      <c r="AK240" t="str">
        <f t="shared" si="26"/>
        <v>Pass</v>
      </c>
      <c r="AL240">
        <f t="shared" si="27"/>
        <v>25.663383483886719</v>
      </c>
      <c r="AM240">
        <v>117000</v>
      </c>
      <c r="AN240">
        <v>25.6633830612436</v>
      </c>
    </row>
    <row r="241" spans="1:40" x14ac:dyDescent="0.3">
      <c r="A241" t="str">
        <f>IF(ISBLANK(B241),"",IF(ROUND(B241,0)=ROUND(G241,0),"Pass","Fail"))</f>
        <v>Pass</v>
      </c>
      <c r="B241">
        <f t="shared" si="21"/>
        <v>10.889999389648438</v>
      </c>
      <c r="C241">
        <v>0</v>
      </c>
      <c r="D241">
        <v>30</v>
      </c>
      <c r="E241">
        <v>0</v>
      </c>
      <c r="F241">
        <v>32</v>
      </c>
      <c r="G241">
        <v>10.889999999999899</v>
      </c>
      <c r="M241" t="str">
        <f t="shared" si="22"/>
        <v>Pass</v>
      </c>
      <c r="N241">
        <f t="shared" si="23"/>
        <v>0</v>
      </c>
      <c r="O241">
        <v>10</v>
      </c>
      <c r="P241">
        <v>30</v>
      </c>
      <c r="Q241">
        <v>0</v>
      </c>
      <c r="R241" t="b">
        <v>0</v>
      </c>
      <c r="S241">
        <v>0</v>
      </c>
      <c r="Y241" t="str">
        <f t="shared" si="24"/>
        <v>Pass</v>
      </c>
      <c r="Z241">
        <f t="shared" si="25"/>
        <v>12264.09375</v>
      </c>
      <c r="AA241">
        <v>3600</v>
      </c>
      <c r="AB241">
        <v>20</v>
      </c>
      <c r="AC241">
        <v>2</v>
      </c>
      <c r="AD241">
        <v>0.2</v>
      </c>
      <c r="AE241">
        <v>12264.0942874742</v>
      </c>
      <c r="AK241" t="str">
        <f t="shared" si="26"/>
        <v>Pass</v>
      </c>
      <c r="AL241">
        <f t="shared" si="27"/>
        <v>25.732751846313477</v>
      </c>
      <c r="AM241">
        <v>117500</v>
      </c>
      <c r="AN241">
        <v>25.732751467862801</v>
      </c>
    </row>
    <row r="242" spans="1:40" x14ac:dyDescent="0.3">
      <c r="A242" t="str">
        <f>IF(ISBLANK(B242),"",IF(ROUND(B242,0)=ROUND(G242,0),"Pass","Fail"))</f>
        <v>Pass</v>
      </c>
      <c r="B242">
        <f t="shared" si="21"/>
        <v>10.889999389648438</v>
      </c>
      <c r="C242">
        <v>0</v>
      </c>
      <c r="D242">
        <v>30</v>
      </c>
      <c r="E242">
        <v>0</v>
      </c>
      <c r="F242">
        <v>40</v>
      </c>
      <c r="G242">
        <v>10.889999999999899</v>
      </c>
      <c r="M242" t="str">
        <f t="shared" si="22"/>
        <v>Pass</v>
      </c>
      <c r="N242">
        <f t="shared" si="23"/>
        <v>4.6184584789443761E-5</v>
      </c>
      <c r="O242">
        <v>10</v>
      </c>
      <c r="P242">
        <v>30</v>
      </c>
      <c r="Q242">
        <v>0.5</v>
      </c>
      <c r="R242" t="b">
        <v>1</v>
      </c>
      <c r="S242">
        <v>4.6184587849593903E-5</v>
      </c>
      <c r="Y242" t="str">
        <f t="shared" si="24"/>
        <v>Pass</v>
      </c>
      <c r="Z242">
        <f t="shared" si="25"/>
        <v>20484.962890625</v>
      </c>
      <c r="AA242">
        <v>3600</v>
      </c>
      <c r="AB242">
        <v>20</v>
      </c>
      <c r="AC242">
        <v>4</v>
      </c>
      <c r="AD242">
        <v>0.2</v>
      </c>
      <c r="AE242">
        <v>20484.962534839298</v>
      </c>
      <c r="AK242" t="str">
        <f t="shared" si="26"/>
        <v>Pass</v>
      </c>
      <c r="AL242">
        <f t="shared" si="27"/>
        <v>25.802011489868164</v>
      </c>
      <c r="AM242">
        <v>118000</v>
      </c>
      <c r="AN242">
        <v>25.802011625855201</v>
      </c>
    </row>
    <row r="243" spans="1:40" x14ac:dyDescent="0.3">
      <c r="A243" t="str">
        <f>IF(ISBLANK(B243),"",IF(ROUND(B243,0)=ROUND(G243,0),"Pass","Fail"))</f>
        <v>Pass</v>
      </c>
      <c r="B243">
        <f t="shared" si="21"/>
        <v>10.889999389648438</v>
      </c>
      <c r="C243">
        <v>0</v>
      </c>
      <c r="D243">
        <v>30</v>
      </c>
      <c r="E243">
        <v>0</v>
      </c>
      <c r="F243">
        <v>48</v>
      </c>
      <c r="G243">
        <v>10.889999999999899</v>
      </c>
      <c r="M243" t="str">
        <f t="shared" si="22"/>
        <v>Pass</v>
      </c>
      <c r="N243">
        <f t="shared" si="23"/>
        <v>2.9450390138663352E-4</v>
      </c>
      <c r="O243">
        <v>10</v>
      </c>
      <c r="P243">
        <v>30</v>
      </c>
      <c r="Q243">
        <v>0.5</v>
      </c>
      <c r="R243" t="b">
        <v>0</v>
      </c>
      <c r="S243">
        <v>2.9450392517032901E-4</v>
      </c>
      <c r="Y243" t="str">
        <f t="shared" si="24"/>
        <v>Pass</v>
      </c>
      <c r="Z243">
        <f t="shared" si="25"/>
        <v>25995.576171875</v>
      </c>
      <c r="AA243">
        <v>3600</v>
      </c>
      <c r="AB243">
        <v>20</v>
      </c>
      <c r="AC243">
        <v>6</v>
      </c>
      <c r="AD243">
        <v>0.2</v>
      </c>
      <c r="AE243">
        <v>25995.575316866001</v>
      </c>
      <c r="AK243" t="str">
        <f t="shared" si="26"/>
        <v>Pass</v>
      </c>
      <c r="AL243">
        <f t="shared" si="27"/>
        <v>25.871164321899414</v>
      </c>
      <c r="AM243">
        <v>118500</v>
      </c>
      <c r="AN243">
        <v>25.8711641617537</v>
      </c>
    </row>
    <row r="244" spans="1:40" x14ac:dyDescent="0.3">
      <c r="A244" t="str">
        <f>IF(ISBLANK(B244),"",IF(ROUND(B244,0)=ROUND(G244,0),"Pass","Fail"))</f>
        <v>Pass</v>
      </c>
      <c r="B244">
        <f t="shared" si="21"/>
        <v>78.017997741699219</v>
      </c>
      <c r="C244">
        <v>0</v>
      </c>
      <c r="D244">
        <v>30</v>
      </c>
      <c r="E244">
        <v>10</v>
      </c>
      <c r="F244">
        <v>0</v>
      </c>
      <c r="G244">
        <v>78.017999999998295</v>
      </c>
      <c r="M244" t="str">
        <f t="shared" si="22"/>
        <v>Pass</v>
      </c>
      <c r="N244">
        <f t="shared" si="23"/>
        <v>5.4054376960266382E-5</v>
      </c>
      <c r="O244">
        <v>10</v>
      </c>
      <c r="P244">
        <v>30</v>
      </c>
      <c r="Q244">
        <v>1</v>
      </c>
      <c r="R244" t="b">
        <v>1</v>
      </c>
      <c r="S244">
        <v>5.4054378876228501E-5</v>
      </c>
      <c r="Y244" t="str">
        <f t="shared" si="24"/>
        <v>Pass</v>
      </c>
      <c r="Z244">
        <f t="shared" si="25"/>
        <v>29689.44921875</v>
      </c>
      <c r="AA244">
        <v>3600</v>
      </c>
      <c r="AB244">
        <v>20</v>
      </c>
      <c r="AC244">
        <v>8</v>
      </c>
      <c r="AD244">
        <v>0.2</v>
      </c>
      <c r="AE244">
        <v>29689.449530598798</v>
      </c>
      <c r="AK244" t="str">
        <f t="shared" si="26"/>
        <v>Pass</v>
      </c>
      <c r="AL244">
        <f t="shared" si="27"/>
        <v>25.940210342407227</v>
      </c>
      <c r="AM244">
        <v>119000</v>
      </c>
      <c r="AN244">
        <v>25.940209695838501</v>
      </c>
    </row>
    <row r="245" spans="1:40" x14ac:dyDescent="0.3">
      <c r="A245" t="str">
        <f>IF(ISBLANK(B245),"",IF(ROUND(B245,0)=ROUND(G245,0),"Pass","Fail"))</f>
        <v>Pass</v>
      </c>
      <c r="B245">
        <f t="shared" si="21"/>
        <v>44.681228637695313</v>
      </c>
      <c r="C245">
        <v>0</v>
      </c>
      <c r="D245">
        <v>30</v>
      </c>
      <c r="E245">
        <v>10</v>
      </c>
      <c r="F245">
        <v>8</v>
      </c>
      <c r="G245">
        <v>44.6812280807222</v>
      </c>
      <c r="M245" t="str">
        <f t="shared" si="22"/>
        <v>Pass</v>
      </c>
      <c r="N245">
        <f t="shared" si="23"/>
        <v>3.4468699595890939E-4</v>
      </c>
      <c r="O245">
        <v>10</v>
      </c>
      <c r="P245">
        <v>30</v>
      </c>
      <c r="Q245">
        <v>1</v>
      </c>
      <c r="R245" t="b">
        <v>0</v>
      </c>
      <c r="S245">
        <v>3.4468699392828801E-4</v>
      </c>
      <c r="Y245" t="str">
        <f t="shared" si="24"/>
        <v>Pass</v>
      </c>
      <c r="Z245">
        <f t="shared" si="25"/>
        <v>32165.529296875</v>
      </c>
      <c r="AA245">
        <v>3600</v>
      </c>
      <c r="AB245">
        <v>20</v>
      </c>
      <c r="AC245">
        <v>10</v>
      </c>
      <c r="AD245">
        <v>0.2</v>
      </c>
      <c r="AE245">
        <v>32165.527463597999</v>
      </c>
      <c r="AK245" t="str">
        <f t="shared" si="26"/>
        <v>Pass</v>
      </c>
      <c r="AL245">
        <f t="shared" si="27"/>
        <v>26.009149551391602</v>
      </c>
      <c r="AM245">
        <v>119500</v>
      </c>
      <c r="AN245">
        <v>26.009148842225802</v>
      </c>
    </row>
    <row r="246" spans="1:40" x14ac:dyDescent="0.3">
      <c r="A246" t="str">
        <f>IF(ISBLANK(B246),"",IF(ROUND(B246,0)=ROUND(G246,0),"Pass","Fail"))</f>
        <v>Pass</v>
      </c>
      <c r="B246">
        <f t="shared" si="21"/>
        <v>27.899995803833008</v>
      </c>
      <c r="C246">
        <v>0</v>
      </c>
      <c r="D246">
        <v>30</v>
      </c>
      <c r="E246">
        <v>10</v>
      </c>
      <c r="F246">
        <v>16</v>
      </c>
      <c r="G246">
        <v>27.8999972471013</v>
      </c>
      <c r="M246" t="str">
        <f t="shared" si="22"/>
        <v>Pass</v>
      </c>
      <c r="N246">
        <f t="shared" si="23"/>
        <v>5.9265723393764347E-5</v>
      </c>
      <c r="O246">
        <v>10</v>
      </c>
      <c r="P246">
        <v>30</v>
      </c>
      <c r="Q246">
        <v>1.5</v>
      </c>
      <c r="R246" t="b">
        <v>1</v>
      </c>
      <c r="S246">
        <v>5.9265724406396599E-5</v>
      </c>
      <c r="Y246" t="str">
        <f t="shared" si="24"/>
        <v>Pass</v>
      </c>
      <c r="Z246">
        <f t="shared" si="25"/>
        <v>33825.29296875</v>
      </c>
      <c r="AA246">
        <v>3600</v>
      </c>
      <c r="AB246">
        <v>20</v>
      </c>
      <c r="AC246">
        <v>12</v>
      </c>
      <c r="AD246">
        <v>0.2</v>
      </c>
      <c r="AE246">
        <v>33825.292137633798</v>
      </c>
      <c r="AK246" t="str">
        <f t="shared" si="26"/>
        <v>Pass</v>
      </c>
      <c r="AL246">
        <f t="shared" si="27"/>
        <v>26.077981948852539</v>
      </c>
      <c r="AM246">
        <v>120000</v>
      </c>
      <c r="AN246">
        <v>26.077982208954101</v>
      </c>
    </row>
    <row r="247" spans="1:40" x14ac:dyDescent="0.3">
      <c r="A247" t="str">
        <f>IF(ISBLANK(B247),"",IF(ROUND(B247,0)=ROUND(G247,0),"Pass","Fail"))</f>
        <v>Pass</v>
      </c>
      <c r="B247">
        <f t="shared" si="21"/>
        <v>19.45257568359375</v>
      </c>
      <c r="C247">
        <v>0</v>
      </c>
      <c r="D247">
        <v>30</v>
      </c>
      <c r="E247">
        <v>10</v>
      </c>
      <c r="F247">
        <v>24</v>
      </c>
      <c r="G247">
        <v>19.452577413736002</v>
      </c>
      <c r="M247" t="str">
        <f t="shared" si="22"/>
        <v>Pass</v>
      </c>
      <c r="N247">
        <f t="shared" si="23"/>
        <v>3.779180406127125E-4</v>
      </c>
      <c r="O247">
        <v>10</v>
      </c>
      <c r="P247">
        <v>30</v>
      </c>
      <c r="Q247">
        <v>1.5</v>
      </c>
      <c r="R247" t="b">
        <v>0</v>
      </c>
      <c r="S247">
        <v>3.77918030200637E-4</v>
      </c>
      <c r="Y247" t="str">
        <f t="shared" si="24"/>
        <v>Pass</v>
      </c>
      <c r="Z247">
        <f t="shared" si="25"/>
        <v>34937.86328125</v>
      </c>
      <c r="AA247">
        <v>3600</v>
      </c>
      <c r="AB247">
        <v>20</v>
      </c>
      <c r="AC247">
        <v>14</v>
      </c>
      <c r="AD247">
        <v>0.2</v>
      </c>
      <c r="AE247">
        <v>34937.865670341896</v>
      </c>
      <c r="AK247" t="str">
        <f t="shared" si="26"/>
        <v>Pass</v>
      </c>
      <c r="AL247">
        <f t="shared" si="27"/>
        <v>26.146711349487305</v>
      </c>
      <c r="AM247">
        <v>120500</v>
      </c>
      <c r="AN247">
        <v>26.146710398069899</v>
      </c>
    </row>
    <row r="248" spans="1:40" x14ac:dyDescent="0.3">
      <c r="A248" t="str">
        <f>IF(ISBLANK(B248),"",IF(ROUND(B248,0)=ROUND(G248,0),"Pass","Fail"))</f>
        <v>Pass</v>
      </c>
      <c r="B248">
        <f t="shared" si="21"/>
        <v>15.200272560119629</v>
      </c>
      <c r="C248">
        <v>0</v>
      </c>
      <c r="D248">
        <v>30</v>
      </c>
      <c r="E248">
        <v>10</v>
      </c>
      <c r="F248">
        <v>32</v>
      </c>
      <c r="G248">
        <v>15.2002730059945</v>
      </c>
      <c r="M248" t="str">
        <f t="shared" si="22"/>
        <v>Pass</v>
      </c>
      <c r="N248">
        <f t="shared" si="23"/>
        <v>6.3265164499171078E-5</v>
      </c>
      <c r="O248">
        <v>10</v>
      </c>
      <c r="P248">
        <v>30</v>
      </c>
      <c r="Q248">
        <v>2</v>
      </c>
      <c r="R248" t="b">
        <v>1</v>
      </c>
      <c r="S248">
        <v>6.3265171602490598E-5</v>
      </c>
      <c r="Y248" t="str">
        <f t="shared" si="24"/>
        <v>Pass</v>
      </c>
      <c r="Z248">
        <f t="shared" si="25"/>
        <v>35683.64453125</v>
      </c>
      <c r="AA248">
        <v>3600</v>
      </c>
      <c r="AB248">
        <v>20</v>
      </c>
      <c r="AC248">
        <v>16</v>
      </c>
      <c r="AD248">
        <v>0.2</v>
      </c>
      <c r="AE248">
        <v>35683.646012004698</v>
      </c>
      <c r="AK248" t="str">
        <f t="shared" si="26"/>
        <v>Pass</v>
      </c>
      <c r="AL248">
        <f t="shared" si="27"/>
        <v>26.215333938598633</v>
      </c>
      <c r="AM248">
        <v>121000</v>
      </c>
      <c r="AN248">
        <v>26.215334005710801</v>
      </c>
    </row>
    <row r="249" spans="1:40" x14ac:dyDescent="0.3">
      <c r="A249" t="str">
        <f>IF(ISBLANK(B249),"",IF(ROUND(B249,0)=ROUND(G249,0),"Pass","Fail"))</f>
        <v>Pass</v>
      </c>
      <c r="B249">
        <f t="shared" si="21"/>
        <v>13.059726715087891</v>
      </c>
      <c r="C249">
        <v>0</v>
      </c>
      <c r="D249">
        <v>30</v>
      </c>
      <c r="E249">
        <v>10</v>
      </c>
      <c r="F249">
        <v>40</v>
      </c>
      <c r="G249">
        <v>13.059726764326999</v>
      </c>
      <c r="M249" t="str">
        <f t="shared" si="22"/>
        <v>Pass</v>
      </c>
      <c r="N249">
        <f t="shared" si="23"/>
        <v>4.0342120337300003E-4</v>
      </c>
      <c r="O249">
        <v>10</v>
      </c>
      <c r="P249">
        <v>30</v>
      </c>
      <c r="Q249">
        <v>2</v>
      </c>
      <c r="R249" t="b">
        <v>0</v>
      </c>
      <c r="S249">
        <v>4.0342118942762799E-4</v>
      </c>
      <c r="Y249" t="str">
        <f t="shared" si="24"/>
        <v>Pass</v>
      </c>
      <c r="Z249">
        <f t="shared" si="25"/>
        <v>36183.55859375</v>
      </c>
      <c r="AA249">
        <v>3600</v>
      </c>
      <c r="AB249">
        <v>20</v>
      </c>
      <c r="AC249">
        <v>18</v>
      </c>
      <c r="AD249">
        <v>0.2</v>
      </c>
      <c r="AE249">
        <v>36183.557524960699</v>
      </c>
      <c r="AK249" t="str">
        <f t="shared" si="26"/>
        <v>Pass</v>
      </c>
      <c r="AL249">
        <f t="shared" si="27"/>
        <v>26.283853530883789</v>
      </c>
      <c r="AM249">
        <v>121500</v>
      </c>
      <c r="AN249">
        <v>26.2838536221882</v>
      </c>
    </row>
    <row r="250" spans="1:40" x14ac:dyDescent="0.3">
      <c r="A250" t="str">
        <f>IF(ISBLANK(B250),"",IF(ROUND(B250,0)=ROUND(G250,0),"Pass","Fail"))</f>
        <v>Pass</v>
      </c>
      <c r="B250">
        <f t="shared" si="21"/>
        <v>11.982207298278809</v>
      </c>
      <c r="C250">
        <v>0</v>
      </c>
      <c r="D250">
        <v>30</v>
      </c>
      <c r="E250">
        <v>10</v>
      </c>
      <c r="F250">
        <v>48</v>
      </c>
      <c r="G250">
        <v>11.982207900819599</v>
      </c>
      <c r="M250" t="str">
        <f t="shared" si="22"/>
        <v>Pass</v>
      </c>
      <c r="N250">
        <f t="shared" si="23"/>
        <v>6.6552325733937323E-5</v>
      </c>
      <c r="O250">
        <v>10</v>
      </c>
      <c r="P250">
        <v>30</v>
      </c>
      <c r="Q250">
        <v>2.5</v>
      </c>
      <c r="R250" t="b">
        <v>1</v>
      </c>
      <c r="S250">
        <v>6.6552329782207601E-5</v>
      </c>
      <c r="Y250" t="str">
        <f t="shared" si="24"/>
        <v>Pass</v>
      </c>
      <c r="Z250">
        <f t="shared" si="25"/>
        <v>36518.66015625</v>
      </c>
      <c r="AA250">
        <v>3600</v>
      </c>
      <c r="AB250">
        <v>20</v>
      </c>
      <c r="AC250">
        <v>20</v>
      </c>
      <c r="AD250">
        <v>0.2</v>
      </c>
      <c r="AE250">
        <v>36518.658233339003</v>
      </c>
      <c r="AK250" t="str">
        <f t="shared" si="26"/>
        <v>Pass</v>
      </c>
      <c r="AL250">
        <f t="shared" si="27"/>
        <v>26.352270126342773</v>
      </c>
      <c r="AM250">
        <v>122000</v>
      </c>
      <c r="AN250">
        <v>26.352269832067702</v>
      </c>
    </row>
    <row r="251" spans="1:40" x14ac:dyDescent="0.3">
      <c r="A251" t="str">
        <f>IF(ISBLANK(B251),"",IF(ROUND(B251,0)=ROUND(G251,0),"Pass","Fail"))</f>
        <v>Pass</v>
      </c>
      <c r="B251">
        <f t="shared" si="21"/>
        <v>78.017997741699219</v>
      </c>
      <c r="C251">
        <v>0</v>
      </c>
      <c r="D251">
        <v>30</v>
      </c>
      <c r="E251">
        <v>20</v>
      </c>
      <c r="F251">
        <v>0</v>
      </c>
      <c r="G251">
        <v>78.018000000000001</v>
      </c>
      <c r="M251" t="str">
        <f t="shared" si="22"/>
        <v>Pass</v>
      </c>
      <c r="N251">
        <f t="shared" si="23"/>
        <v>4.2438230593688786E-4</v>
      </c>
      <c r="O251">
        <v>10</v>
      </c>
      <c r="P251">
        <v>30</v>
      </c>
      <c r="Q251">
        <v>2.5</v>
      </c>
      <c r="R251" t="b">
        <v>0</v>
      </c>
      <c r="S251">
        <v>4.24382315891181E-4</v>
      </c>
      <c r="Y251" t="str">
        <f t="shared" si="24"/>
        <v>Pass</v>
      </c>
      <c r="Z251">
        <f t="shared" si="25"/>
        <v>36743.28515625</v>
      </c>
      <c r="AA251">
        <v>3600</v>
      </c>
      <c r="AB251">
        <v>20</v>
      </c>
      <c r="AC251">
        <v>22</v>
      </c>
      <c r="AD251">
        <v>0.2</v>
      </c>
      <c r="AE251">
        <v>36743.282955605799</v>
      </c>
      <c r="AK251" t="str">
        <f t="shared" si="26"/>
        <v>Pass</v>
      </c>
      <c r="AL251">
        <f t="shared" si="27"/>
        <v>26.420583724975586</v>
      </c>
      <c r="AM251">
        <v>122500</v>
      </c>
      <c r="AN251">
        <v>26.4205832142483</v>
      </c>
    </row>
    <row r="252" spans="1:40" x14ac:dyDescent="0.3">
      <c r="A252" t="str">
        <f>IF(ISBLANK(B252),"",IF(ROUND(B252,0)=ROUND(G252,0),"Pass","Fail"))</f>
        <v>Pass</v>
      </c>
      <c r="B252">
        <f t="shared" si="21"/>
        <v>44.681228637695313</v>
      </c>
      <c r="C252">
        <v>0</v>
      </c>
      <c r="D252">
        <v>30</v>
      </c>
      <c r="E252">
        <v>20</v>
      </c>
      <c r="F252">
        <v>8</v>
      </c>
      <c r="G252">
        <v>44.681228080723002</v>
      </c>
      <c r="M252" t="str">
        <f t="shared" si="22"/>
        <v>Pass</v>
      </c>
      <c r="N252">
        <f t="shared" si="23"/>
        <v>6.9364527007564902E-5</v>
      </c>
      <c r="O252">
        <v>10</v>
      </c>
      <c r="P252">
        <v>30</v>
      </c>
      <c r="Q252">
        <v>3</v>
      </c>
      <c r="R252" t="b">
        <v>1</v>
      </c>
      <c r="S252">
        <v>6.9364523331254005E-5</v>
      </c>
      <c r="Y252" t="str">
        <f t="shared" si="24"/>
        <v>Pass</v>
      </c>
      <c r="Z252">
        <f t="shared" si="25"/>
        <v>36893.85546875</v>
      </c>
      <c r="AA252">
        <v>3600</v>
      </c>
      <c r="AB252">
        <v>20</v>
      </c>
      <c r="AC252">
        <v>24</v>
      </c>
      <c r="AD252">
        <v>0.2</v>
      </c>
      <c r="AE252">
        <v>36893.853409776399</v>
      </c>
      <c r="AK252" t="str">
        <f t="shared" si="26"/>
        <v>Pass</v>
      </c>
      <c r="AL252">
        <f t="shared" si="27"/>
        <v>26.488794326782227</v>
      </c>
      <c r="AM252">
        <v>123000</v>
      </c>
      <c r="AN252">
        <v>26.488794342040201</v>
      </c>
    </row>
    <row r="253" spans="1:40" x14ac:dyDescent="0.3">
      <c r="A253" t="str">
        <f>IF(ISBLANK(B253),"",IF(ROUND(B253,0)=ROUND(G253,0),"Pass","Fail"))</f>
        <v>Pass</v>
      </c>
      <c r="B253">
        <f t="shared" si="21"/>
        <v>27.899995803833008</v>
      </c>
      <c r="C253">
        <v>0</v>
      </c>
      <c r="D253">
        <v>30</v>
      </c>
      <c r="E253">
        <v>20</v>
      </c>
      <c r="F253">
        <v>16</v>
      </c>
      <c r="G253">
        <v>27.899997247101702</v>
      </c>
      <c r="M253" t="str">
        <f t="shared" si="22"/>
        <v>Pass</v>
      </c>
      <c r="N253">
        <f t="shared" si="23"/>
        <v>4.4231474748812616E-4</v>
      </c>
      <c r="O253">
        <v>10</v>
      </c>
      <c r="P253">
        <v>30</v>
      </c>
      <c r="Q253">
        <v>3</v>
      </c>
      <c r="R253" t="b">
        <v>0</v>
      </c>
      <c r="S253">
        <v>4.4231474913557797E-4</v>
      </c>
      <c r="Y253" t="str">
        <f t="shared" si="24"/>
        <v>Pass</v>
      </c>
      <c r="Z253">
        <f t="shared" si="25"/>
        <v>0</v>
      </c>
      <c r="AA253">
        <v>3800</v>
      </c>
      <c r="AB253">
        <v>20</v>
      </c>
      <c r="AC253">
        <v>0</v>
      </c>
      <c r="AD253">
        <v>0.2</v>
      </c>
      <c r="AE253">
        <v>0</v>
      </c>
      <c r="AK253" t="str">
        <f t="shared" si="26"/>
        <v>Pass</v>
      </c>
      <c r="AL253">
        <f t="shared" si="27"/>
        <v>26.556903839111328</v>
      </c>
      <c r="AM253">
        <v>123500</v>
      </c>
      <c r="AN253">
        <v>26.556903783241399</v>
      </c>
    </row>
    <row r="254" spans="1:40" x14ac:dyDescent="0.3">
      <c r="A254" t="str">
        <f>IF(ISBLANK(B254),"",IF(ROUND(B254,0)=ROUND(G254,0),"Pass","Fail"))</f>
        <v>Pass</v>
      </c>
      <c r="B254">
        <f t="shared" si="21"/>
        <v>19.45257568359375</v>
      </c>
      <c r="C254">
        <v>0</v>
      </c>
      <c r="D254">
        <v>30</v>
      </c>
      <c r="E254">
        <v>20</v>
      </c>
      <c r="F254">
        <v>24</v>
      </c>
      <c r="G254">
        <v>19.452577413736201</v>
      </c>
      <c r="M254" t="str">
        <f t="shared" si="22"/>
        <v>Pass</v>
      </c>
      <c r="N254">
        <f t="shared" si="23"/>
        <v>7.1834707341622561E-5</v>
      </c>
      <c r="O254">
        <v>10</v>
      </c>
      <c r="P254">
        <v>30</v>
      </c>
      <c r="Q254">
        <v>3.5</v>
      </c>
      <c r="R254" t="b">
        <v>1</v>
      </c>
      <c r="S254">
        <v>7.1834707450819596E-5</v>
      </c>
      <c r="Y254" t="str">
        <f t="shared" si="24"/>
        <v>Pass</v>
      </c>
      <c r="Z254">
        <f t="shared" si="25"/>
        <v>12945.4326171875</v>
      </c>
      <c r="AA254">
        <v>3800</v>
      </c>
      <c r="AB254">
        <v>20</v>
      </c>
      <c r="AC254">
        <v>2</v>
      </c>
      <c r="AD254">
        <v>0.2</v>
      </c>
      <c r="AE254">
        <v>12945.432859000501</v>
      </c>
      <c r="AK254" t="str">
        <f t="shared" si="26"/>
        <v>Pass</v>
      </c>
      <c r="AL254">
        <f t="shared" si="27"/>
        <v>26.624912261962891</v>
      </c>
      <c r="AM254">
        <v>124000</v>
      </c>
      <c r="AN254">
        <v>26.6249121002127</v>
      </c>
    </row>
    <row r="255" spans="1:40" x14ac:dyDescent="0.3">
      <c r="A255" t="str">
        <f>IF(ISBLANK(B255),"",IF(ROUND(B255,0)=ROUND(G255,0),"Pass","Fail"))</f>
        <v>Pass</v>
      </c>
      <c r="B255">
        <f t="shared" si="21"/>
        <v>15.200272560119629</v>
      </c>
      <c r="C255">
        <v>0</v>
      </c>
      <c r="D255">
        <v>30</v>
      </c>
      <c r="E255">
        <v>20</v>
      </c>
      <c r="F255">
        <v>32</v>
      </c>
      <c r="G255">
        <v>15.2002730059946</v>
      </c>
      <c r="M255" t="str">
        <f t="shared" si="22"/>
        <v>Pass</v>
      </c>
      <c r="N255">
        <f t="shared" si="23"/>
        <v>4.5806629350408912E-4</v>
      </c>
      <c r="O255">
        <v>10</v>
      </c>
      <c r="P255">
        <v>30</v>
      </c>
      <c r="Q255">
        <v>3.5</v>
      </c>
      <c r="R255" t="b">
        <v>0</v>
      </c>
      <c r="S255">
        <v>4.5806630074570799E-4</v>
      </c>
      <c r="Y255" t="str">
        <f t="shared" si="24"/>
        <v>Pass</v>
      </c>
      <c r="Z255">
        <f t="shared" si="25"/>
        <v>21623.015625</v>
      </c>
      <c r="AA255">
        <v>3800</v>
      </c>
      <c r="AB255">
        <v>20</v>
      </c>
      <c r="AC255">
        <v>4</v>
      </c>
      <c r="AD255">
        <v>0.2</v>
      </c>
      <c r="AE255">
        <v>21623.0160089971</v>
      </c>
      <c r="AK255" t="str">
        <f t="shared" si="26"/>
        <v>Pass</v>
      </c>
      <c r="AL255">
        <f t="shared" si="27"/>
        <v>26.692819595336914</v>
      </c>
      <c r="AM255">
        <v>124500</v>
      </c>
      <c r="AN255">
        <v>26.692819849951501</v>
      </c>
    </row>
    <row r="256" spans="1:40" x14ac:dyDescent="0.3">
      <c r="A256" t="str">
        <f>IF(ISBLANK(B256),"",IF(ROUND(B256,0)=ROUND(G256,0),"Pass","Fail"))</f>
        <v>Pass</v>
      </c>
      <c r="B256">
        <f t="shared" si="21"/>
        <v>13.059726715087891</v>
      </c>
      <c r="C256">
        <v>0</v>
      </c>
      <c r="D256">
        <v>30</v>
      </c>
      <c r="E256">
        <v>20</v>
      </c>
      <c r="F256">
        <v>40</v>
      </c>
      <c r="G256">
        <v>13.059726764327101</v>
      </c>
      <c r="M256" t="str">
        <f t="shared" si="22"/>
        <v>Pass</v>
      </c>
      <c r="N256">
        <f t="shared" si="23"/>
        <v>7.4045470682904124E-5</v>
      </c>
      <c r="O256">
        <v>10</v>
      </c>
      <c r="P256">
        <v>30</v>
      </c>
      <c r="Q256">
        <v>4</v>
      </c>
      <c r="R256" t="b">
        <v>1</v>
      </c>
      <c r="S256">
        <v>7.4045470896211903E-5</v>
      </c>
      <c r="Y256" t="str">
        <f t="shared" si="24"/>
        <v>Pass</v>
      </c>
      <c r="Z256">
        <f t="shared" si="25"/>
        <v>27439.775390625</v>
      </c>
      <c r="AA256">
        <v>3800</v>
      </c>
      <c r="AB256">
        <v>20</v>
      </c>
      <c r="AC256">
        <v>6</v>
      </c>
      <c r="AD256">
        <v>0.2</v>
      </c>
      <c r="AE256">
        <v>27439.773945580801</v>
      </c>
      <c r="AK256" t="str">
        <f t="shared" si="26"/>
        <v>Pass</v>
      </c>
      <c r="AL256">
        <f t="shared" si="27"/>
        <v>26.760627746582031</v>
      </c>
      <c r="AM256">
        <v>125000</v>
      </c>
      <c r="AN256">
        <v>26.760627584163998</v>
      </c>
    </row>
    <row r="257" spans="1:40" x14ac:dyDescent="0.3">
      <c r="A257" t="str">
        <f>IF(ISBLANK(B257),"",IF(ROUND(B257,0)=ROUND(G257,0),"Pass","Fail"))</f>
        <v>Pass</v>
      </c>
      <c r="B257">
        <f t="shared" si="21"/>
        <v>11.982207298278809</v>
      </c>
      <c r="C257">
        <v>0</v>
      </c>
      <c r="D257">
        <v>30</v>
      </c>
      <c r="E257">
        <v>20</v>
      </c>
      <c r="F257">
        <v>48</v>
      </c>
      <c r="G257">
        <v>11.9822079008197</v>
      </c>
      <c r="M257" t="str">
        <f t="shared" si="22"/>
        <v>Pass</v>
      </c>
      <c r="N257">
        <f t="shared" si="23"/>
        <v>4.7216360690072179E-4</v>
      </c>
      <c r="O257">
        <v>10</v>
      </c>
      <c r="P257">
        <v>30</v>
      </c>
      <c r="Q257">
        <v>4</v>
      </c>
      <c r="R257" t="b">
        <v>0</v>
      </c>
      <c r="S257">
        <v>4.7216361204815901E-4</v>
      </c>
      <c r="Y257" t="str">
        <f t="shared" si="24"/>
        <v>Pass</v>
      </c>
      <c r="Z257">
        <f t="shared" si="25"/>
        <v>31338.86328125</v>
      </c>
      <c r="AA257">
        <v>3800</v>
      </c>
      <c r="AB257">
        <v>20</v>
      </c>
      <c r="AC257">
        <v>8</v>
      </c>
      <c r="AD257">
        <v>0.2</v>
      </c>
      <c r="AE257">
        <v>31338.8633934098</v>
      </c>
      <c r="AK257" t="str">
        <f t="shared" si="26"/>
        <v>Pass</v>
      </c>
      <c r="AL257">
        <f t="shared" si="27"/>
        <v>26.828336715698242</v>
      </c>
      <c r="AM257">
        <v>125500</v>
      </c>
      <c r="AN257">
        <v>26.828335849337002</v>
      </c>
    </row>
    <row r="258" spans="1:40" x14ac:dyDescent="0.3">
      <c r="A258" t="str">
        <f>IF(ISBLANK(B258),"",IF(ROUND(B258,0)=ROUND(G258,0),"Pass","Fail"))</f>
        <v>Pass</v>
      </c>
      <c r="B258">
        <f t="shared" si="21"/>
        <v>78.017997741699219</v>
      </c>
      <c r="C258">
        <v>0</v>
      </c>
      <c r="D258">
        <v>30</v>
      </c>
      <c r="E258">
        <v>30</v>
      </c>
      <c r="F258">
        <v>0</v>
      </c>
      <c r="G258">
        <v>78.018000000000001</v>
      </c>
      <c r="M258" t="str">
        <f t="shared" si="22"/>
        <v>Pass</v>
      </c>
      <c r="N258">
        <f t="shared" si="23"/>
        <v>0</v>
      </c>
      <c r="O258">
        <v>10</v>
      </c>
      <c r="P258">
        <v>40</v>
      </c>
      <c r="Q258">
        <v>0</v>
      </c>
      <c r="R258" t="b">
        <v>1</v>
      </c>
      <c r="S258">
        <v>0</v>
      </c>
      <c r="Y258" t="str">
        <f t="shared" si="24"/>
        <v>Pass</v>
      </c>
      <c r="Z258">
        <f t="shared" si="25"/>
        <v>33952.50390625</v>
      </c>
      <c r="AA258">
        <v>3800</v>
      </c>
      <c r="AB258">
        <v>20</v>
      </c>
      <c r="AC258">
        <v>10</v>
      </c>
      <c r="AD258">
        <v>0.2</v>
      </c>
      <c r="AE258">
        <v>33952.501211575604</v>
      </c>
      <c r="AK258" t="str">
        <f t="shared" si="26"/>
        <v>Pass</v>
      </c>
      <c r="AL258">
        <f t="shared" si="27"/>
        <v>26.895944595336914</v>
      </c>
      <c r="AM258">
        <v>126000</v>
      </c>
      <c r="AN258">
        <v>26.895945186807101</v>
      </c>
    </row>
    <row r="259" spans="1:40" x14ac:dyDescent="0.3">
      <c r="A259" t="str">
        <f>IF(ISBLANK(B259),"",IF(ROUND(B259,0)=ROUND(G259,0),"Pass","Fail"))</f>
        <v>Pass</v>
      </c>
      <c r="B259">
        <f t="shared" si="21"/>
        <v>44.681228637695313</v>
      </c>
      <c r="C259">
        <v>0</v>
      </c>
      <c r="D259">
        <v>30</v>
      </c>
      <c r="E259">
        <v>30</v>
      </c>
      <c r="F259">
        <v>8</v>
      </c>
      <c r="G259">
        <v>44.681228080723002</v>
      </c>
      <c r="M259" t="str">
        <f t="shared" si="22"/>
        <v>Pass</v>
      </c>
      <c r="N259">
        <f t="shared" si="23"/>
        <v>0</v>
      </c>
      <c r="O259">
        <v>10</v>
      </c>
      <c r="P259">
        <v>40</v>
      </c>
      <c r="Q259">
        <v>0</v>
      </c>
      <c r="R259" t="b">
        <v>0</v>
      </c>
      <c r="S259">
        <v>0</v>
      </c>
      <c r="Y259" t="str">
        <f t="shared" si="24"/>
        <v>Pass</v>
      </c>
      <c r="Z259">
        <f t="shared" si="25"/>
        <v>35704.4765625</v>
      </c>
      <c r="AA259">
        <v>3800</v>
      </c>
      <c r="AB259">
        <v>20</v>
      </c>
      <c r="AC259">
        <v>12</v>
      </c>
      <c r="AD259">
        <v>0.2</v>
      </c>
      <c r="AE259">
        <v>35704.475034169001</v>
      </c>
      <c r="AK259" t="str">
        <f t="shared" si="26"/>
        <v>Pass</v>
      </c>
      <c r="AL259">
        <f t="shared" si="27"/>
        <v>26.963455200195313</v>
      </c>
      <c r="AM259">
        <v>126500</v>
      </c>
      <c r="AN259">
        <v>26.963456132830199</v>
      </c>
    </row>
    <row r="260" spans="1:40" x14ac:dyDescent="0.3">
      <c r="A260" t="str">
        <f>IF(ISBLANK(B260),"",IF(ROUND(B260,0)=ROUND(G260,0),"Pass","Fail"))</f>
        <v>Pass</v>
      </c>
      <c r="B260">
        <f t="shared" si="21"/>
        <v>27.899995803833008</v>
      </c>
      <c r="C260">
        <v>0</v>
      </c>
      <c r="D260">
        <v>30</v>
      </c>
      <c r="E260">
        <v>30</v>
      </c>
      <c r="F260">
        <v>16</v>
      </c>
      <c r="G260">
        <v>27.899997247101702</v>
      </c>
      <c r="M260" t="str">
        <f t="shared" si="22"/>
        <v>Pass</v>
      </c>
      <c r="N260">
        <f t="shared" si="23"/>
        <v>8.4652015175379347E-7</v>
      </c>
      <c r="O260">
        <v>10</v>
      </c>
      <c r="P260">
        <v>40</v>
      </c>
      <c r="Q260">
        <v>0.5</v>
      </c>
      <c r="R260" t="b">
        <v>1</v>
      </c>
      <c r="S260">
        <v>8.4652019490453097E-7</v>
      </c>
      <c r="Y260" t="str">
        <f t="shared" si="24"/>
        <v>Pass</v>
      </c>
      <c r="Z260">
        <f t="shared" si="25"/>
        <v>36878.85546875</v>
      </c>
      <c r="AA260">
        <v>3800</v>
      </c>
      <c r="AB260">
        <v>20</v>
      </c>
      <c r="AC260">
        <v>14</v>
      </c>
      <c r="AD260">
        <v>0.2</v>
      </c>
      <c r="AE260">
        <v>36878.8582075831</v>
      </c>
      <c r="AK260" t="str">
        <f t="shared" si="26"/>
        <v>Pass</v>
      </c>
      <c r="AL260">
        <f t="shared" si="27"/>
        <v>27.030868530273438</v>
      </c>
      <c r="AM260">
        <v>127000</v>
      </c>
      <c r="AN260">
        <v>27.030869218648601</v>
      </c>
    </row>
    <row r="261" spans="1:40" x14ac:dyDescent="0.3">
      <c r="A261" t="str">
        <f>IF(ISBLANK(B261),"",IF(ROUND(B261,0)=ROUND(G261,0),"Pass","Fail"))</f>
        <v>Pass</v>
      </c>
      <c r="B261">
        <f t="shared" si="21"/>
        <v>19.45257568359375</v>
      </c>
      <c r="C261">
        <v>0</v>
      </c>
      <c r="D261">
        <v>30</v>
      </c>
      <c r="E261">
        <v>30</v>
      </c>
      <c r="F261">
        <v>24</v>
      </c>
      <c r="G261">
        <v>19.452577413736201</v>
      </c>
      <c r="M261" t="str">
        <f t="shared" si="22"/>
        <v>Pass</v>
      </c>
      <c r="N261">
        <f t="shared" si="23"/>
        <v>5.3979806580173317E-6</v>
      </c>
      <c r="O261">
        <v>10</v>
      </c>
      <c r="P261">
        <v>40</v>
      </c>
      <c r="Q261">
        <v>0.5</v>
      </c>
      <c r="R261" t="b">
        <v>0</v>
      </c>
      <c r="S261">
        <v>5.3979808361011198E-6</v>
      </c>
      <c r="Y261" t="str">
        <f t="shared" si="24"/>
        <v>Pass</v>
      </c>
      <c r="Z261">
        <f t="shared" si="25"/>
        <v>37666.0703125</v>
      </c>
      <c r="AA261">
        <v>3800</v>
      </c>
      <c r="AB261">
        <v>20</v>
      </c>
      <c r="AC261">
        <v>16</v>
      </c>
      <c r="AD261">
        <v>0.2</v>
      </c>
      <c r="AE261">
        <v>37666.070790449499</v>
      </c>
      <c r="AK261" t="str">
        <f t="shared" si="26"/>
        <v>Pass</v>
      </c>
      <c r="AL261">
        <f t="shared" si="27"/>
        <v>27.098184585571289</v>
      </c>
      <c r="AM261">
        <v>127500</v>
      </c>
      <c r="AN261">
        <v>27.098184970557401</v>
      </c>
    </row>
    <row r="262" spans="1:40" x14ac:dyDescent="0.3">
      <c r="A262" t="str">
        <f>IF(ISBLANK(B262),"",IF(ROUND(B262,0)=ROUND(G262,0),"Pass","Fail"))</f>
        <v>Pass</v>
      </c>
      <c r="B262">
        <f t="shared" si="21"/>
        <v>15.200272560119629</v>
      </c>
      <c r="C262">
        <v>0</v>
      </c>
      <c r="D262">
        <v>30</v>
      </c>
      <c r="E262">
        <v>30</v>
      </c>
      <c r="F262">
        <v>32</v>
      </c>
      <c r="G262">
        <v>15.2002730059946</v>
      </c>
      <c r="M262" t="str">
        <f t="shared" si="22"/>
        <v>Pass</v>
      </c>
      <c r="N262">
        <f t="shared" si="23"/>
        <v>9.9076612514181761E-7</v>
      </c>
      <c r="O262">
        <v>10</v>
      </c>
      <c r="P262">
        <v>40</v>
      </c>
      <c r="Q262">
        <v>1</v>
      </c>
      <c r="R262" t="b">
        <v>1</v>
      </c>
      <c r="S262">
        <v>9.9076608609706798E-7</v>
      </c>
      <c r="Y262" t="str">
        <f t="shared" si="24"/>
        <v>Pass</v>
      </c>
      <c r="Z262">
        <f t="shared" si="25"/>
        <v>38193.7578125</v>
      </c>
      <c r="AA262">
        <v>3800</v>
      </c>
      <c r="AB262">
        <v>20</v>
      </c>
      <c r="AC262">
        <v>18</v>
      </c>
      <c r="AD262">
        <v>0.2</v>
      </c>
      <c r="AE262">
        <v>38193.755165236304</v>
      </c>
      <c r="AK262" t="str">
        <f t="shared" si="26"/>
        <v>Pass</v>
      </c>
      <c r="AL262">
        <f t="shared" si="27"/>
        <v>27.165403366088867</v>
      </c>
      <c r="AM262">
        <v>128000</v>
      </c>
      <c r="AN262">
        <v>27.165403909970301</v>
      </c>
    </row>
    <row r="263" spans="1:40" x14ac:dyDescent="0.3">
      <c r="A263" t="str">
        <f>IF(ISBLANK(B263),"",IF(ROUND(B263,0)=ROUND(G263,0),"Pass","Fail"))</f>
        <v>Pass</v>
      </c>
      <c r="B263">
        <f t="shared" ref="B263:B326" si="28">FMC_heath(C263,D263,E263,F263)</f>
        <v>13.059726715087891</v>
      </c>
      <c r="C263">
        <v>0</v>
      </c>
      <c r="D263">
        <v>30</v>
      </c>
      <c r="E263">
        <v>30</v>
      </c>
      <c r="F263">
        <v>40</v>
      </c>
      <c r="G263">
        <v>13.059726764327101</v>
      </c>
      <c r="M263" t="str">
        <f t="shared" ref="M263:M326" si="29">IF(ISBLANK(N263),"",IF(ROUND(N263,0)=ROUND(S263,0),"Pass","Fail"))</f>
        <v>Pass</v>
      </c>
      <c r="N263">
        <f t="shared" ref="N263:N326" si="30">ROS_heath(O263,Q263,P263,R263)</f>
        <v>6.3177894844557159E-6</v>
      </c>
      <c r="O263">
        <v>10</v>
      </c>
      <c r="P263">
        <v>40</v>
      </c>
      <c r="Q263">
        <v>1</v>
      </c>
      <c r="R263" t="b">
        <v>0</v>
      </c>
      <c r="S263">
        <v>6.3177894372786201E-6</v>
      </c>
      <c r="Y263" t="str">
        <f t="shared" ref="Y263:Y326" si="31">IF(ISBLANK(Z263),"",IF(ROUND(Z263,0)=ROUND(AE263,0),"Pass","Fail"))</f>
        <v>Pass</v>
      </c>
      <c r="Z263">
        <f t="shared" ref="Z263:Z326" si="32">intensity_heath(AA263,AB263,AC263,AD263)</f>
        <v>38547.4765625</v>
      </c>
      <c r="AA263">
        <v>3800</v>
      </c>
      <c r="AB263">
        <v>20</v>
      </c>
      <c r="AC263">
        <v>20</v>
      </c>
      <c r="AD263">
        <v>0.2</v>
      </c>
      <c r="AE263">
        <v>38547.472579635702</v>
      </c>
      <c r="AK263" t="str">
        <f t="shared" ref="AK263:AK326" si="33">IF(ISBLANK(AL263),"",IF(ROUND(AL263,0)=ROUND(AN263,0),"Pass","Fail"))</f>
        <v>Pass</v>
      </c>
      <c r="AL263">
        <f t="shared" ref="AL263:AL326" si="34">Flame_height_heath(AM263)</f>
        <v>27.232526779174805</v>
      </c>
      <c r="AM263">
        <v>128500</v>
      </c>
      <c r="AN263">
        <v>27.232526553483002</v>
      </c>
    </row>
    <row r="264" spans="1:40" x14ac:dyDescent="0.3">
      <c r="A264" t="str">
        <f>IF(ISBLANK(B264),"",IF(ROUND(B264,0)=ROUND(G264,0),"Pass","Fail"))</f>
        <v>Pass</v>
      </c>
      <c r="B264">
        <f t="shared" si="28"/>
        <v>11.982207298278809</v>
      </c>
      <c r="C264">
        <v>0</v>
      </c>
      <c r="D264">
        <v>30</v>
      </c>
      <c r="E264">
        <v>30</v>
      </c>
      <c r="F264">
        <v>48</v>
      </c>
      <c r="G264">
        <v>11.9822079008197</v>
      </c>
      <c r="M264" t="str">
        <f t="shared" si="29"/>
        <v>Pass</v>
      </c>
      <c r="N264">
        <f t="shared" si="30"/>
        <v>1.0862851240744931E-6</v>
      </c>
      <c r="O264">
        <v>10</v>
      </c>
      <c r="P264">
        <v>40</v>
      </c>
      <c r="Q264">
        <v>1.5</v>
      </c>
      <c r="R264" t="b">
        <v>1</v>
      </c>
      <c r="S264">
        <v>1.0862851637659901E-6</v>
      </c>
      <c r="Y264" t="str">
        <f t="shared" si="31"/>
        <v>Pass</v>
      </c>
      <c r="Z264">
        <f t="shared" si="32"/>
        <v>38784.578125</v>
      </c>
      <c r="AA264">
        <v>3800</v>
      </c>
      <c r="AB264">
        <v>20</v>
      </c>
      <c r="AC264">
        <v>22</v>
      </c>
      <c r="AD264">
        <v>0.2</v>
      </c>
      <c r="AE264">
        <v>38784.576453139503</v>
      </c>
      <c r="AK264" t="str">
        <f t="shared" si="33"/>
        <v>Pass</v>
      </c>
      <c r="AL264">
        <f t="shared" si="34"/>
        <v>27.299552917480469</v>
      </c>
      <c r="AM264">
        <v>129000</v>
      </c>
      <c r="AN264">
        <v>27.299553412936799</v>
      </c>
    </row>
    <row r="265" spans="1:40" x14ac:dyDescent="0.3">
      <c r="A265" t="str">
        <f>IF(ISBLANK(B265),"",IF(ROUND(B265,0)=ROUND(G265,0),"Pass","Fail"))</f>
        <v>Pass</v>
      </c>
      <c r="B265">
        <f t="shared" si="28"/>
        <v>78.017997741699219</v>
      </c>
      <c r="C265">
        <v>0</v>
      </c>
      <c r="D265">
        <v>30</v>
      </c>
      <c r="E265">
        <v>40</v>
      </c>
      <c r="F265">
        <v>0</v>
      </c>
      <c r="G265">
        <v>78.018000000000001</v>
      </c>
      <c r="M265" t="str">
        <f t="shared" si="29"/>
        <v>Pass</v>
      </c>
      <c r="N265">
        <f t="shared" si="30"/>
        <v>6.9268830884539057E-6</v>
      </c>
      <c r="O265">
        <v>10</v>
      </c>
      <c r="P265">
        <v>40</v>
      </c>
      <c r="Q265">
        <v>1.5</v>
      </c>
      <c r="R265" t="b">
        <v>0</v>
      </c>
      <c r="S265">
        <v>6.9268831763796398E-6</v>
      </c>
      <c r="Y265" t="str">
        <f t="shared" si="31"/>
        <v>Pass</v>
      </c>
      <c r="Z265">
        <f t="shared" si="32"/>
        <v>38943.515625</v>
      </c>
      <c r="AA265">
        <v>3800</v>
      </c>
      <c r="AB265">
        <v>20</v>
      </c>
      <c r="AC265">
        <v>24</v>
      </c>
      <c r="AD265">
        <v>0.2</v>
      </c>
      <c r="AE265">
        <v>38943.511932541798</v>
      </c>
      <c r="AK265" t="str">
        <f t="shared" si="33"/>
        <v>Pass</v>
      </c>
      <c r="AL265">
        <f t="shared" si="34"/>
        <v>27.366485595703125</v>
      </c>
      <c r="AM265">
        <v>129500</v>
      </c>
      <c r="AN265">
        <v>27.366484995480601</v>
      </c>
    </row>
    <row r="266" spans="1:40" x14ac:dyDescent="0.3">
      <c r="A266" t="str">
        <f>IF(ISBLANK(B266),"",IF(ROUND(B266,0)=ROUND(G266,0),"Pass","Fail"))</f>
        <v>Pass</v>
      </c>
      <c r="B266">
        <f t="shared" si="28"/>
        <v>44.681228637695313</v>
      </c>
      <c r="C266">
        <v>0</v>
      </c>
      <c r="D266">
        <v>30</v>
      </c>
      <c r="E266">
        <v>40</v>
      </c>
      <c r="F266">
        <v>8</v>
      </c>
      <c r="G266">
        <v>44.681228080723002</v>
      </c>
      <c r="M266" t="str">
        <f t="shared" si="29"/>
        <v>Pass</v>
      </c>
      <c r="N266">
        <f t="shared" si="30"/>
        <v>1.1595911928452551E-6</v>
      </c>
      <c r="O266">
        <v>10</v>
      </c>
      <c r="P266">
        <v>40</v>
      </c>
      <c r="Q266">
        <v>2</v>
      </c>
      <c r="R266" t="b">
        <v>1</v>
      </c>
      <c r="S266">
        <v>1.1595912811871E-6</v>
      </c>
      <c r="Y266" t="str">
        <f t="shared" si="31"/>
        <v>Pass</v>
      </c>
      <c r="Z266">
        <f t="shared" si="32"/>
        <v>0</v>
      </c>
      <c r="AA266">
        <v>4000</v>
      </c>
      <c r="AB266">
        <v>20</v>
      </c>
      <c r="AC266">
        <v>0</v>
      </c>
      <c r="AD266">
        <v>0.2</v>
      </c>
      <c r="AE266">
        <v>0</v>
      </c>
      <c r="AK266" t="str">
        <f t="shared" si="33"/>
        <v>Pass</v>
      </c>
      <c r="AL266">
        <f t="shared" si="34"/>
        <v>27.433320999145508</v>
      </c>
      <c r="AM266">
        <v>130000</v>
      </c>
      <c r="AN266">
        <v>27.433321803631401</v>
      </c>
    </row>
    <row r="267" spans="1:40" x14ac:dyDescent="0.3">
      <c r="A267" t="str">
        <f>IF(ISBLANK(B267),"",IF(ROUND(B267,0)=ROUND(G267,0),"Pass","Fail"))</f>
        <v>Pass</v>
      </c>
      <c r="B267">
        <f t="shared" si="28"/>
        <v>27.899995803833008</v>
      </c>
      <c r="C267">
        <v>0</v>
      </c>
      <c r="D267">
        <v>30</v>
      </c>
      <c r="E267">
        <v>40</v>
      </c>
      <c r="F267">
        <v>16</v>
      </c>
      <c r="G267">
        <v>27.899997247101702</v>
      </c>
      <c r="M267" t="str">
        <f t="shared" si="29"/>
        <v>Pass</v>
      </c>
      <c r="N267">
        <f t="shared" si="30"/>
        <v>7.3943324423453305E-6</v>
      </c>
      <c r="O267">
        <v>10</v>
      </c>
      <c r="P267">
        <v>40</v>
      </c>
      <c r="Q267">
        <v>2</v>
      </c>
      <c r="R267" t="b">
        <v>0</v>
      </c>
      <c r="S267">
        <v>7.3943321745134101E-6</v>
      </c>
      <c r="Y267" t="str">
        <f t="shared" si="31"/>
        <v>Pass</v>
      </c>
      <c r="Z267">
        <f t="shared" si="32"/>
        <v>13626.7705078125</v>
      </c>
      <c r="AA267">
        <v>4000</v>
      </c>
      <c r="AB267">
        <v>20</v>
      </c>
      <c r="AC267">
        <v>2</v>
      </c>
      <c r="AD267">
        <v>0.2</v>
      </c>
      <c r="AE267">
        <v>13626.7714305269</v>
      </c>
      <c r="AK267" t="str">
        <f t="shared" si="33"/>
        <v>Pass</v>
      </c>
      <c r="AL267">
        <f t="shared" si="34"/>
        <v>27.500064849853516</v>
      </c>
      <c r="AM267">
        <v>130500</v>
      </c>
      <c r="AN267">
        <v>27.500064335334802</v>
      </c>
    </row>
    <row r="268" spans="1:40" x14ac:dyDescent="0.3">
      <c r="A268" t="str">
        <f>IF(ISBLANK(B268),"",IF(ROUND(B268,0)=ROUND(G268,0),"Pass","Fail"))</f>
        <v>Pass</v>
      </c>
      <c r="B268">
        <f t="shared" si="28"/>
        <v>19.45257568359375</v>
      </c>
      <c r="C268">
        <v>0</v>
      </c>
      <c r="D268">
        <v>30</v>
      </c>
      <c r="E268">
        <v>40</v>
      </c>
      <c r="F268">
        <v>24</v>
      </c>
      <c r="G268">
        <v>19.452577413736201</v>
      </c>
      <c r="M268" t="str">
        <f t="shared" si="29"/>
        <v>Pass</v>
      </c>
      <c r="N268">
        <f t="shared" si="30"/>
        <v>1.21984180623258E-6</v>
      </c>
      <c r="O268">
        <v>10</v>
      </c>
      <c r="P268">
        <v>40</v>
      </c>
      <c r="Q268">
        <v>2.5</v>
      </c>
      <c r="R268" t="b">
        <v>1</v>
      </c>
      <c r="S268">
        <v>1.21984180874487E-6</v>
      </c>
      <c r="Y268" t="str">
        <f t="shared" si="31"/>
        <v>Pass</v>
      </c>
      <c r="Z268">
        <f t="shared" si="32"/>
        <v>22761.0703125</v>
      </c>
      <c r="AA268">
        <v>4000</v>
      </c>
      <c r="AB268">
        <v>20</v>
      </c>
      <c r="AC268">
        <v>4</v>
      </c>
      <c r="AD268">
        <v>0.2</v>
      </c>
      <c r="AE268">
        <v>22761.069483154799</v>
      </c>
      <c r="AK268" t="str">
        <f t="shared" si="33"/>
        <v>Pass</v>
      </c>
      <c r="AL268">
        <f t="shared" si="34"/>
        <v>27.566713333129883</v>
      </c>
      <c r="AM268">
        <v>131000</v>
      </c>
      <c r="AN268">
        <v>27.566713084023799</v>
      </c>
    </row>
    <row r="269" spans="1:40" x14ac:dyDescent="0.3">
      <c r="A269" t="str">
        <f>IF(ISBLANK(B269),"",IF(ROUND(B269,0)=ROUND(G269,0),"Pass","Fail"))</f>
        <v>Pass</v>
      </c>
      <c r="B269">
        <f t="shared" si="28"/>
        <v>15.200272560119629</v>
      </c>
      <c r="C269">
        <v>0</v>
      </c>
      <c r="D269">
        <v>30</v>
      </c>
      <c r="E269">
        <v>40</v>
      </c>
      <c r="F269">
        <v>32</v>
      </c>
      <c r="G269">
        <v>15.2002730059946</v>
      </c>
      <c r="M269" t="str">
        <f t="shared" si="29"/>
        <v>Pass</v>
      </c>
      <c r="N269">
        <f t="shared" si="30"/>
        <v>7.7785298344679177E-6</v>
      </c>
      <c r="O269">
        <v>10</v>
      </c>
      <c r="P269">
        <v>40</v>
      </c>
      <c r="Q269">
        <v>2.5</v>
      </c>
      <c r="R269" t="b">
        <v>0</v>
      </c>
      <c r="S269">
        <v>7.7785299704779699E-6</v>
      </c>
      <c r="Y269" t="str">
        <f t="shared" si="31"/>
        <v>Pass</v>
      </c>
      <c r="Z269">
        <f t="shared" si="32"/>
        <v>28883.97265625</v>
      </c>
      <c r="AA269">
        <v>4000</v>
      </c>
      <c r="AB269">
        <v>20</v>
      </c>
      <c r="AC269">
        <v>6</v>
      </c>
      <c r="AD269">
        <v>0.2</v>
      </c>
      <c r="AE269">
        <v>28883.9725742956</v>
      </c>
      <c r="AK269" t="str">
        <f t="shared" si="33"/>
        <v>Pass</v>
      </c>
      <c r="AL269">
        <f t="shared" si="34"/>
        <v>27.633268356323242</v>
      </c>
      <c r="AM269">
        <v>131500</v>
      </c>
      <c r="AN269">
        <v>27.633268538676202</v>
      </c>
    </row>
    <row r="270" spans="1:40" x14ac:dyDescent="0.3">
      <c r="A270" t="str">
        <f>IF(ISBLANK(B270),"",IF(ROUND(B270,0)=ROUND(G270,0),"Pass","Fail"))</f>
        <v>Pass</v>
      </c>
      <c r="B270">
        <f t="shared" si="28"/>
        <v>13.059726715087891</v>
      </c>
      <c r="C270">
        <v>0</v>
      </c>
      <c r="D270">
        <v>30</v>
      </c>
      <c r="E270">
        <v>40</v>
      </c>
      <c r="F270">
        <v>40</v>
      </c>
      <c r="G270">
        <v>13.059726764327101</v>
      </c>
      <c r="M270" t="str">
        <f t="shared" si="29"/>
        <v>Pass</v>
      </c>
      <c r="N270">
        <f t="shared" si="30"/>
        <v>1.2713867363345344E-6</v>
      </c>
      <c r="O270">
        <v>10</v>
      </c>
      <c r="P270">
        <v>40</v>
      </c>
      <c r="Q270">
        <v>3</v>
      </c>
      <c r="R270" t="b">
        <v>1</v>
      </c>
      <c r="S270">
        <v>1.2713866799257201E-6</v>
      </c>
      <c r="Y270" t="str">
        <f t="shared" si="31"/>
        <v>Pass</v>
      </c>
      <c r="Z270">
        <f t="shared" si="32"/>
        <v>32988.27734375</v>
      </c>
      <c r="AA270">
        <v>4000</v>
      </c>
      <c r="AB270">
        <v>20</v>
      </c>
      <c r="AC270">
        <v>8</v>
      </c>
      <c r="AD270">
        <v>0.2</v>
      </c>
      <c r="AE270">
        <v>32988.277256220899</v>
      </c>
      <c r="AK270" t="str">
        <f t="shared" si="33"/>
        <v>Pass</v>
      </c>
      <c r="AL270">
        <f t="shared" si="34"/>
        <v>27.699731826782227</v>
      </c>
      <c r="AM270">
        <v>132000</v>
      </c>
      <c r="AN270">
        <v>27.699731183872501</v>
      </c>
    </row>
    <row r="271" spans="1:40" x14ac:dyDescent="0.3">
      <c r="A271" t="str">
        <f>IF(ISBLANK(B271),"",IF(ROUND(B271,0)=ROUND(G271,0),"Pass","Fail"))</f>
        <v>Pass</v>
      </c>
      <c r="B271">
        <f t="shared" si="28"/>
        <v>11.982207298278809</v>
      </c>
      <c r="C271">
        <v>0</v>
      </c>
      <c r="D271">
        <v>30</v>
      </c>
      <c r="E271">
        <v>40</v>
      </c>
      <c r="F271">
        <v>48</v>
      </c>
      <c r="G271">
        <v>11.9822079008197</v>
      </c>
      <c r="M271" t="str">
        <f t="shared" si="29"/>
        <v>Pass</v>
      </c>
      <c r="N271">
        <f t="shared" si="30"/>
        <v>8.1072148532257415E-6</v>
      </c>
      <c r="O271">
        <v>10</v>
      </c>
      <c r="P271">
        <v>40</v>
      </c>
      <c r="Q271">
        <v>3</v>
      </c>
      <c r="R271" t="b">
        <v>0</v>
      </c>
      <c r="S271">
        <v>8.1072146592879192E-6</v>
      </c>
      <c r="Y271" t="str">
        <f t="shared" si="31"/>
        <v>Pass</v>
      </c>
      <c r="Z271">
        <f t="shared" si="32"/>
        <v>35739.4765625</v>
      </c>
      <c r="AA271">
        <v>4000</v>
      </c>
      <c r="AB271">
        <v>20</v>
      </c>
      <c r="AC271">
        <v>10</v>
      </c>
      <c r="AD271">
        <v>0.2</v>
      </c>
      <c r="AE271">
        <v>35739.474959553299</v>
      </c>
      <c r="AK271" t="str">
        <f t="shared" si="33"/>
        <v>Pass</v>
      </c>
      <c r="AL271">
        <f t="shared" si="34"/>
        <v>27.766101837158203</v>
      </c>
      <c r="AM271">
        <v>132500</v>
      </c>
      <c r="AN271">
        <v>27.766101499851199</v>
      </c>
    </row>
    <row r="272" spans="1:40" x14ac:dyDescent="0.3">
      <c r="A272" t="str">
        <f>IF(ISBLANK(B272),"",IF(ROUND(B272,0)=ROUND(G272,0),"Pass","Fail"))</f>
        <v>Pass</v>
      </c>
      <c r="B272">
        <f t="shared" si="28"/>
        <v>78.017997741699219</v>
      </c>
      <c r="C272">
        <v>0</v>
      </c>
      <c r="D272">
        <v>30</v>
      </c>
      <c r="E272">
        <v>50</v>
      </c>
      <c r="F272">
        <v>0</v>
      </c>
      <c r="G272">
        <v>78.018000000000001</v>
      </c>
      <c r="M272" t="str">
        <f t="shared" si="29"/>
        <v>Pass</v>
      </c>
      <c r="N272">
        <f t="shared" si="30"/>
        <v>1.3166628605176811E-6</v>
      </c>
      <c r="O272">
        <v>10</v>
      </c>
      <c r="P272">
        <v>40</v>
      </c>
      <c r="Q272">
        <v>3.5</v>
      </c>
      <c r="R272" t="b">
        <v>1</v>
      </c>
      <c r="S272">
        <v>1.3166628389152601E-6</v>
      </c>
      <c r="Y272" t="str">
        <f t="shared" si="31"/>
        <v>Pass</v>
      </c>
      <c r="Z272">
        <f t="shared" si="32"/>
        <v>37583.66015625</v>
      </c>
      <c r="AA272">
        <v>4000</v>
      </c>
      <c r="AB272">
        <v>20</v>
      </c>
      <c r="AC272">
        <v>12</v>
      </c>
      <c r="AD272">
        <v>0.2</v>
      </c>
      <c r="AE272">
        <v>37583.657930704197</v>
      </c>
      <c r="AK272" t="str">
        <f t="shared" si="33"/>
        <v>Pass</v>
      </c>
      <c r="AL272">
        <f t="shared" si="34"/>
        <v>27.832380294799805</v>
      </c>
      <c r="AM272">
        <v>133000</v>
      </c>
      <c r="AN272">
        <v>27.832379962564399</v>
      </c>
    </row>
    <row r="273" spans="1:40" x14ac:dyDescent="0.3">
      <c r="A273" t="str">
        <f>IF(ISBLANK(B273),"",IF(ROUND(B273,0)=ROUND(G273,0),"Pass","Fail"))</f>
        <v>Pass</v>
      </c>
      <c r="B273">
        <f t="shared" si="28"/>
        <v>44.681228637695313</v>
      </c>
      <c r="C273">
        <v>0</v>
      </c>
      <c r="D273">
        <v>30</v>
      </c>
      <c r="E273">
        <v>50</v>
      </c>
      <c r="F273">
        <v>8</v>
      </c>
      <c r="G273">
        <v>44.681228080723002</v>
      </c>
      <c r="M273" t="str">
        <f t="shared" si="29"/>
        <v>Pass</v>
      </c>
      <c r="N273">
        <f t="shared" si="30"/>
        <v>8.3959257608512416E-6</v>
      </c>
      <c r="O273">
        <v>10</v>
      </c>
      <c r="P273">
        <v>40</v>
      </c>
      <c r="Q273">
        <v>3.5</v>
      </c>
      <c r="R273" t="b">
        <v>0</v>
      </c>
      <c r="S273">
        <v>8.3959258324281905E-6</v>
      </c>
      <c r="Y273" t="str">
        <f t="shared" si="31"/>
        <v>Pass</v>
      </c>
      <c r="Z273">
        <f t="shared" si="32"/>
        <v>38819.84765625</v>
      </c>
      <c r="AA273">
        <v>4000</v>
      </c>
      <c r="AB273">
        <v>20</v>
      </c>
      <c r="AC273">
        <v>14</v>
      </c>
      <c r="AD273">
        <v>0.2</v>
      </c>
      <c r="AE273">
        <v>38819.850744824304</v>
      </c>
      <c r="AK273" t="str">
        <f t="shared" si="33"/>
        <v>Pass</v>
      </c>
      <c r="AL273">
        <f t="shared" si="34"/>
        <v>27.898567199707031</v>
      </c>
      <c r="AM273">
        <v>133500</v>
      </c>
      <c r="AN273">
        <v>27.898567043731699</v>
      </c>
    </row>
    <row r="274" spans="1:40" x14ac:dyDescent="0.3">
      <c r="A274" t="str">
        <f>IF(ISBLANK(B274),"",IF(ROUND(B274,0)=ROUND(G274,0),"Pass","Fail"))</f>
        <v>Pass</v>
      </c>
      <c r="B274">
        <f t="shared" si="28"/>
        <v>27.899995803833008</v>
      </c>
      <c r="C274">
        <v>0</v>
      </c>
      <c r="D274">
        <v>30</v>
      </c>
      <c r="E274">
        <v>50</v>
      </c>
      <c r="F274">
        <v>16</v>
      </c>
      <c r="G274">
        <v>27.899997247101702</v>
      </c>
      <c r="M274" t="str">
        <f t="shared" si="29"/>
        <v>Pass</v>
      </c>
      <c r="N274">
        <f t="shared" si="30"/>
        <v>1.3571840327131213E-6</v>
      </c>
      <c r="O274">
        <v>10</v>
      </c>
      <c r="P274">
        <v>40</v>
      </c>
      <c r="Q274">
        <v>4</v>
      </c>
      <c r="R274" t="b">
        <v>1</v>
      </c>
      <c r="S274">
        <v>1.3571840601671599E-6</v>
      </c>
      <c r="Y274" t="str">
        <f t="shared" si="31"/>
        <v>Pass</v>
      </c>
      <c r="Z274">
        <f t="shared" si="32"/>
        <v>39648.4921875</v>
      </c>
      <c r="AA274">
        <v>4000</v>
      </c>
      <c r="AB274">
        <v>20</v>
      </c>
      <c r="AC274">
        <v>16</v>
      </c>
      <c r="AD274">
        <v>0.2</v>
      </c>
      <c r="AE274">
        <v>39648.495568894199</v>
      </c>
      <c r="AK274" t="str">
        <f t="shared" si="33"/>
        <v>Pass</v>
      </c>
      <c r="AL274">
        <f t="shared" si="34"/>
        <v>27.964662551879883</v>
      </c>
      <c r="AM274">
        <v>134000</v>
      </c>
      <c r="AN274">
        <v>27.964663210893701</v>
      </c>
    </row>
    <row r="275" spans="1:40" x14ac:dyDescent="0.3">
      <c r="A275" t="str">
        <f>IF(ISBLANK(B275),"",IF(ROUND(B275,0)=ROUND(G275,0),"Pass","Fail"))</f>
        <v>Pass</v>
      </c>
      <c r="B275">
        <f t="shared" si="28"/>
        <v>19.45257568359375</v>
      </c>
      <c r="C275">
        <v>0</v>
      </c>
      <c r="D275">
        <v>30</v>
      </c>
      <c r="E275">
        <v>50</v>
      </c>
      <c r="F275">
        <v>24</v>
      </c>
      <c r="G275">
        <v>19.452577413736201</v>
      </c>
      <c r="M275" t="str">
        <f t="shared" si="29"/>
        <v>Pass</v>
      </c>
      <c r="N275">
        <f t="shared" si="30"/>
        <v>8.6543159341090359E-6</v>
      </c>
      <c r="O275">
        <v>10</v>
      </c>
      <c r="P275">
        <v>40</v>
      </c>
      <c r="Q275">
        <v>4</v>
      </c>
      <c r="R275" t="b">
        <v>0</v>
      </c>
      <c r="S275">
        <v>8.6543163316623505E-6</v>
      </c>
      <c r="Y275" t="str">
        <f t="shared" si="31"/>
        <v>Pass</v>
      </c>
      <c r="Z275">
        <f t="shared" si="32"/>
        <v>40203.953125</v>
      </c>
      <c r="AA275">
        <v>4000</v>
      </c>
      <c r="AB275">
        <v>20</v>
      </c>
      <c r="AC275">
        <v>18</v>
      </c>
      <c r="AD275">
        <v>0.2</v>
      </c>
      <c r="AE275">
        <v>40203.952805511901</v>
      </c>
      <c r="AK275" t="str">
        <f t="shared" si="33"/>
        <v>Pass</v>
      </c>
      <c r="AL275">
        <f t="shared" si="34"/>
        <v>28.030668258666992</v>
      </c>
      <c r="AM275">
        <v>134500</v>
      </c>
      <c r="AN275">
        <v>28.0306689274645</v>
      </c>
    </row>
    <row r="276" spans="1:40" x14ac:dyDescent="0.3">
      <c r="A276" t="str">
        <f>IF(ISBLANK(B276),"",IF(ROUND(B276,0)=ROUND(G276,0),"Pass","Fail"))</f>
        <v>Pass</v>
      </c>
      <c r="B276">
        <f t="shared" si="28"/>
        <v>15.200272560119629</v>
      </c>
      <c r="C276">
        <v>0</v>
      </c>
      <c r="D276">
        <v>30</v>
      </c>
      <c r="E276">
        <v>50</v>
      </c>
      <c r="F276">
        <v>32</v>
      </c>
      <c r="G276">
        <v>15.2002730059946</v>
      </c>
      <c r="M276" t="str">
        <f t="shared" si="29"/>
        <v>Pass</v>
      </c>
      <c r="N276">
        <f t="shared" si="30"/>
        <v>0</v>
      </c>
      <c r="O276">
        <v>10</v>
      </c>
      <c r="P276">
        <v>50</v>
      </c>
      <c r="Q276">
        <v>0</v>
      </c>
      <c r="R276" t="b">
        <v>1</v>
      </c>
      <c r="S276">
        <v>0</v>
      </c>
      <c r="Y276" t="str">
        <f t="shared" si="31"/>
        <v>Pass</v>
      </c>
      <c r="Z276">
        <f t="shared" si="32"/>
        <v>40576.2890625</v>
      </c>
      <c r="AA276">
        <v>4000</v>
      </c>
      <c r="AB276">
        <v>20</v>
      </c>
      <c r="AC276">
        <v>20</v>
      </c>
      <c r="AD276">
        <v>0.2</v>
      </c>
      <c r="AE276">
        <v>40576.286925932298</v>
      </c>
      <c r="AK276" t="str">
        <f t="shared" si="33"/>
        <v>Pass</v>
      </c>
      <c r="AL276">
        <f t="shared" si="34"/>
        <v>28.096584320068359</v>
      </c>
      <c r="AM276">
        <v>135000</v>
      </c>
      <c r="AN276">
        <v>28.0965846527831</v>
      </c>
    </row>
    <row r="277" spans="1:40" x14ac:dyDescent="0.3">
      <c r="A277" t="str">
        <f>IF(ISBLANK(B277),"",IF(ROUND(B277,0)=ROUND(G277,0),"Pass","Fail"))</f>
        <v>Pass</v>
      </c>
      <c r="B277">
        <f t="shared" si="28"/>
        <v>13.059726715087891</v>
      </c>
      <c r="C277">
        <v>0</v>
      </c>
      <c r="D277">
        <v>30</v>
      </c>
      <c r="E277">
        <v>50</v>
      </c>
      <c r="F277">
        <v>40</v>
      </c>
      <c r="G277">
        <v>13.059726764327101</v>
      </c>
      <c r="M277" t="str">
        <f t="shared" si="29"/>
        <v>Pass</v>
      </c>
      <c r="N277">
        <f t="shared" si="30"/>
        <v>0</v>
      </c>
      <c r="O277">
        <v>10</v>
      </c>
      <c r="P277">
        <v>50</v>
      </c>
      <c r="Q277">
        <v>0</v>
      </c>
      <c r="R277" t="b">
        <v>0</v>
      </c>
      <c r="S277">
        <v>0</v>
      </c>
      <c r="Y277" t="str">
        <f t="shared" si="31"/>
        <v>Pass</v>
      </c>
      <c r="Z277">
        <f t="shared" si="32"/>
        <v>40825.87109375</v>
      </c>
      <c r="AA277">
        <v>4000</v>
      </c>
      <c r="AB277">
        <v>20</v>
      </c>
      <c r="AC277">
        <v>22</v>
      </c>
      <c r="AD277">
        <v>0.2</v>
      </c>
      <c r="AE277">
        <v>40825.869950673099</v>
      </c>
      <c r="AK277" t="str">
        <f t="shared" si="33"/>
        <v>Pass</v>
      </c>
      <c r="AL277">
        <f t="shared" si="34"/>
        <v>28.162410736083984</v>
      </c>
      <c r="AM277">
        <v>135500</v>
      </c>
      <c r="AN277">
        <v>28.162410842164601</v>
      </c>
    </row>
    <row r="278" spans="1:40" x14ac:dyDescent="0.3">
      <c r="A278" t="str">
        <f>IF(ISBLANK(B278),"",IF(ROUND(B278,0)=ROUND(G278,0),"Pass","Fail"))</f>
        <v>Pass</v>
      </c>
      <c r="B278">
        <f t="shared" si="28"/>
        <v>11.982207298278809</v>
      </c>
      <c r="C278">
        <v>0</v>
      </c>
      <c r="D278">
        <v>30</v>
      </c>
      <c r="E278">
        <v>50</v>
      </c>
      <c r="F278">
        <v>48</v>
      </c>
      <c r="G278">
        <v>11.9822079008197</v>
      </c>
      <c r="M278" t="str">
        <f t="shared" si="29"/>
        <v>Pass</v>
      </c>
      <c r="N278">
        <f t="shared" si="30"/>
        <v>1.5504765471519022E-8</v>
      </c>
      <c r="O278">
        <v>10</v>
      </c>
      <c r="P278">
        <v>50</v>
      </c>
      <c r="Q278">
        <v>0.5</v>
      </c>
      <c r="R278" t="b">
        <v>1</v>
      </c>
      <c r="S278">
        <v>1.5504766331066901E-8</v>
      </c>
      <c r="Y278" t="str">
        <f t="shared" si="31"/>
        <v>Pass</v>
      </c>
      <c r="Z278">
        <f t="shared" si="32"/>
        <v>40993.171875</v>
      </c>
      <c r="AA278">
        <v>4000</v>
      </c>
      <c r="AB278">
        <v>20</v>
      </c>
      <c r="AC278">
        <v>24</v>
      </c>
      <c r="AD278">
        <v>0.2</v>
      </c>
      <c r="AE278">
        <v>40993.170455307103</v>
      </c>
      <c r="AK278" t="str">
        <f t="shared" si="33"/>
        <v>Pass</v>
      </c>
      <c r="AL278">
        <f t="shared" si="34"/>
        <v>28.228147506713867</v>
      </c>
      <c r="AM278">
        <v>136000</v>
      </c>
      <c r="AN278">
        <v>28.228147946949701</v>
      </c>
    </row>
    <row r="279" spans="1:40" x14ac:dyDescent="0.3">
      <c r="A279" t="str">
        <f>IF(ISBLANK(B279),"",IF(ROUND(B279,0)=ROUND(G279,0),"Pass","Fail"))</f>
        <v>Pass</v>
      </c>
      <c r="B279">
        <f t="shared" si="28"/>
        <v>78.017997741699219</v>
      </c>
      <c r="C279">
        <v>0</v>
      </c>
      <c r="D279">
        <v>30</v>
      </c>
      <c r="E279">
        <v>60</v>
      </c>
      <c r="F279">
        <v>0</v>
      </c>
      <c r="G279">
        <v>78.018000000000001</v>
      </c>
      <c r="M279" t="str">
        <f t="shared" si="29"/>
        <v>Pass</v>
      </c>
      <c r="N279">
        <f t="shared" si="30"/>
        <v>9.8868788711570232E-8</v>
      </c>
      <c r="O279">
        <v>10</v>
      </c>
      <c r="P279">
        <v>50</v>
      </c>
      <c r="Q279">
        <v>0.5</v>
      </c>
      <c r="R279" t="b">
        <v>0</v>
      </c>
      <c r="S279">
        <v>9.8868794893622198E-8</v>
      </c>
      <c r="Y279" t="str">
        <f t="shared" si="31"/>
        <v>Pass</v>
      </c>
      <c r="Z279">
        <f t="shared" si="32"/>
        <v>0</v>
      </c>
      <c r="AA279">
        <v>4200</v>
      </c>
      <c r="AB279">
        <v>20</v>
      </c>
      <c r="AC279">
        <v>0</v>
      </c>
      <c r="AD279">
        <v>0.2</v>
      </c>
      <c r="AE279">
        <v>0</v>
      </c>
      <c r="AK279" t="str">
        <f t="shared" si="33"/>
        <v>Pass</v>
      </c>
      <c r="AL279">
        <f t="shared" si="34"/>
        <v>28.293796539306641</v>
      </c>
      <c r="AM279">
        <v>136500</v>
      </c>
      <c r="AN279">
        <v>28.293796414553999</v>
      </c>
    </row>
    <row r="280" spans="1:40" x14ac:dyDescent="0.3">
      <c r="A280" t="str">
        <f>IF(ISBLANK(B280),"",IF(ROUND(B280,0)=ROUND(G280,0),"Pass","Fail"))</f>
        <v>Pass</v>
      </c>
      <c r="B280">
        <f t="shared" si="28"/>
        <v>44.681228637695313</v>
      </c>
      <c r="C280">
        <v>0</v>
      </c>
      <c r="D280">
        <v>30</v>
      </c>
      <c r="E280">
        <v>60</v>
      </c>
      <c r="F280">
        <v>8</v>
      </c>
      <c r="G280">
        <v>44.681228080723002</v>
      </c>
      <c r="M280" t="str">
        <f t="shared" si="29"/>
        <v>Pass</v>
      </c>
      <c r="N280">
        <f t="shared" si="30"/>
        <v>1.8146756985970569E-8</v>
      </c>
      <c r="O280">
        <v>10</v>
      </c>
      <c r="P280">
        <v>50</v>
      </c>
      <c r="Q280">
        <v>1</v>
      </c>
      <c r="R280" t="b">
        <v>1</v>
      </c>
      <c r="S280">
        <v>1.8146757450261601E-8</v>
      </c>
      <c r="Y280" t="str">
        <f t="shared" si="31"/>
        <v>Pass</v>
      </c>
      <c r="Z280">
        <f t="shared" si="32"/>
        <v>14308.109375</v>
      </c>
      <c r="AA280">
        <v>4200</v>
      </c>
      <c r="AB280">
        <v>20</v>
      </c>
      <c r="AC280">
        <v>2</v>
      </c>
      <c r="AD280">
        <v>0.2</v>
      </c>
      <c r="AE280">
        <v>14308.110002053199</v>
      </c>
      <c r="AK280" t="str">
        <f t="shared" si="33"/>
        <v>Pass</v>
      </c>
      <c r="AL280">
        <f t="shared" si="34"/>
        <v>28.359355926513672</v>
      </c>
      <c r="AM280">
        <v>137000</v>
      </c>
      <c r="AN280">
        <v>28.359356688516701</v>
      </c>
    </row>
    <row r="281" spans="1:40" x14ac:dyDescent="0.3">
      <c r="A281" t="str">
        <f>IF(ISBLANK(B281),"",IF(ROUND(B281,0)=ROUND(G281,0),"Pass","Fail"))</f>
        <v>Pass</v>
      </c>
      <c r="B281">
        <f t="shared" si="28"/>
        <v>27.899995803833008</v>
      </c>
      <c r="C281">
        <v>0</v>
      </c>
      <c r="D281">
        <v>30</v>
      </c>
      <c r="E281">
        <v>60</v>
      </c>
      <c r="F281">
        <v>16</v>
      </c>
      <c r="G281">
        <v>27.899997247101702</v>
      </c>
      <c r="M281" t="str">
        <f t="shared" si="29"/>
        <v>Pass</v>
      </c>
      <c r="N281">
        <f t="shared" si="30"/>
        <v>1.1571590619041672E-7</v>
      </c>
      <c r="O281">
        <v>10</v>
      </c>
      <c r="P281">
        <v>50</v>
      </c>
      <c r="Q281">
        <v>1</v>
      </c>
      <c r="R281" t="b">
        <v>0</v>
      </c>
      <c r="S281">
        <v>1.15715903227725E-7</v>
      </c>
      <c r="Y281" t="str">
        <f t="shared" si="31"/>
        <v>Pass</v>
      </c>
      <c r="Z281">
        <f t="shared" si="32"/>
        <v>23899.123046875</v>
      </c>
      <c r="AA281">
        <v>4200</v>
      </c>
      <c r="AB281">
        <v>20</v>
      </c>
      <c r="AC281">
        <v>4</v>
      </c>
      <c r="AD281">
        <v>0.2</v>
      </c>
      <c r="AE281">
        <v>23899.122957312498</v>
      </c>
      <c r="AK281" t="str">
        <f t="shared" si="33"/>
        <v>Pass</v>
      </c>
      <c r="AL281">
        <f t="shared" si="34"/>
        <v>28.424829483032227</v>
      </c>
      <c r="AM281">
        <v>137500</v>
      </c>
      <c r="AN281">
        <v>28.424829208547699</v>
      </c>
    </row>
    <row r="282" spans="1:40" x14ac:dyDescent="0.3">
      <c r="A282" t="str">
        <f>IF(ISBLANK(B282),"",IF(ROUND(B282,0)=ROUND(G282,0),"Pass","Fail"))</f>
        <v>Pass</v>
      </c>
      <c r="B282">
        <f t="shared" si="28"/>
        <v>19.45257568359375</v>
      </c>
      <c r="C282">
        <v>0</v>
      </c>
      <c r="D282">
        <v>30</v>
      </c>
      <c r="E282">
        <v>60</v>
      </c>
      <c r="F282">
        <v>24</v>
      </c>
      <c r="G282">
        <v>19.452577413736201</v>
      </c>
      <c r="M282" t="str">
        <f t="shared" si="29"/>
        <v>Pass</v>
      </c>
      <c r="N282">
        <f t="shared" si="30"/>
        <v>1.9896273073527482E-8</v>
      </c>
      <c r="O282">
        <v>10</v>
      </c>
      <c r="P282">
        <v>50</v>
      </c>
      <c r="Q282">
        <v>1.5</v>
      </c>
      <c r="R282" t="b">
        <v>1</v>
      </c>
      <c r="S282">
        <v>1.9896273868570801E-8</v>
      </c>
      <c r="Y282" t="str">
        <f t="shared" si="31"/>
        <v>Pass</v>
      </c>
      <c r="Z282">
        <f t="shared" si="32"/>
        <v>30328.171875</v>
      </c>
      <c r="AA282">
        <v>4200</v>
      </c>
      <c r="AB282">
        <v>20</v>
      </c>
      <c r="AC282">
        <v>6</v>
      </c>
      <c r="AD282">
        <v>0.2</v>
      </c>
      <c r="AE282">
        <v>30328.171203010399</v>
      </c>
      <c r="AK282" t="str">
        <f t="shared" si="33"/>
        <v>Pass</v>
      </c>
      <c r="AL282">
        <f t="shared" si="34"/>
        <v>28.490215301513672</v>
      </c>
      <c r="AM282">
        <v>138000</v>
      </c>
      <c r="AN282">
        <v>28.4902144105749</v>
      </c>
    </row>
    <row r="283" spans="1:40" x14ac:dyDescent="0.3">
      <c r="A283" t="str">
        <f>IF(ISBLANK(B283),"",IF(ROUND(B283,0)=ROUND(G283,0),"Pass","Fail"))</f>
        <v>Pass</v>
      </c>
      <c r="B283">
        <f t="shared" si="28"/>
        <v>15.200272560119629</v>
      </c>
      <c r="C283">
        <v>0</v>
      </c>
      <c r="D283">
        <v>30</v>
      </c>
      <c r="E283">
        <v>60</v>
      </c>
      <c r="F283">
        <v>32</v>
      </c>
      <c r="G283">
        <v>15.2002730059946</v>
      </c>
      <c r="M283" t="str">
        <f t="shared" si="29"/>
        <v>Pass</v>
      </c>
      <c r="N283">
        <f t="shared" si="30"/>
        <v>1.268719955760389E-7</v>
      </c>
      <c r="O283">
        <v>10</v>
      </c>
      <c r="P283">
        <v>50</v>
      </c>
      <c r="Q283">
        <v>1.5</v>
      </c>
      <c r="R283" t="b">
        <v>0</v>
      </c>
      <c r="S283">
        <v>1.2687199395695101E-7</v>
      </c>
      <c r="Y283" t="str">
        <f t="shared" si="31"/>
        <v>Pass</v>
      </c>
      <c r="Z283">
        <f t="shared" si="32"/>
        <v>34637.69140625</v>
      </c>
      <c r="AA283">
        <v>4200</v>
      </c>
      <c r="AB283">
        <v>20</v>
      </c>
      <c r="AC283">
        <v>8</v>
      </c>
      <c r="AD283">
        <v>0.2</v>
      </c>
      <c r="AE283">
        <v>34637.691119031901</v>
      </c>
      <c r="AK283" t="str">
        <f t="shared" si="33"/>
        <v>Pass</v>
      </c>
      <c r="AL283">
        <f t="shared" si="34"/>
        <v>28.555513381958008</v>
      </c>
      <c r="AM283">
        <v>138500</v>
      </c>
      <c r="AN283">
        <v>28.5555127267898</v>
      </c>
    </row>
    <row r="284" spans="1:40" x14ac:dyDescent="0.3">
      <c r="A284" t="str">
        <f>IF(ISBLANK(B284),"",IF(ROUND(B284,0)=ROUND(G284,0),"Pass","Fail"))</f>
        <v>Pass</v>
      </c>
      <c r="B284">
        <f t="shared" si="28"/>
        <v>13.059726715087891</v>
      </c>
      <c r="C284">
        <v>0</v>
      </c>
      <c r="D284">
        <v>30</v>
      </c>
      <c r="E284">
        <v>60</v>
      </c>
      <c r="F284">
        <v>40</v>
      </c>
      <c r="G284">
        <v>13.059726764327101</v>
      </c>
      <c r="M284" t="str">
        <f t="shared" si="29"/>
        <v>Pass</v>
      </c>
      <c r="N284">
        <f t="shared" si="30"/>
        <v>2.1238937719658679E-8</v>
      </c>
      <c r="O284">
        <v>10</v>
      </c>
      <c r="P284">
        <v>50</v>
      </c>
      <c r="Q284">
        <v>2</v>
      </c>
      <c r="R284" t="b">
        <v>1</v>
      </c>
      <c r="S284">
        <v>2.1238940266955099E-8</v>
      </c>
      <c r="Y284" t="str">
        <f t="shared" si="31"/>
        <v>Pass</v>
      </c>
      <c r="Z284">
        <f t="shared" si="32"/>
        <v>37526.44921875</v>
      </c>
      <c r="AA284">
        <v>4200</v>
      </c>
      <c r="AB284">
        <v>20</v>
      </c>
      <c r="AC284">
        <v>10</v>
      </c>
      <c r="AD284">
        <v>0.2</v>
      </c>
      <c r="AE284">
        <v>37526.448707531003</v>
      </c>
      <c r="AK284" t="str">
        <f t="shared" si="33"/>
        <v>Pass</v>
      </c>
      <c r="AL284">
        <f t="shared" si="34"/>
        <v>28.620723724365234</v>
      </c>
      <c r="AM284">
        <v>139000</v>
      </c>
      <c r="AN284">
        <v>28.620724585693601</v>
      </c>
    </row>
    <row r="285" spans="1:40" x14ac:dyDescent="0.3">
      <c r="A285" t="str">
        <f>IF(ISBLANK(B285),"",IF(ROUND(B285,0)=ROUND(G285,0),"Pass","Fail"))</f>
        <v>Pass</v>
      </c>
      <c r="B285">
        <f t="shared" si="28"/>
        <v>11.982207298278809</v>
      </c>
      <c r="C285">
        <v>0</v>
      </c>
      <c r="D285">
        <v>30</v>
      </c>
      <c r="E285">
        <v>60</v>
      </c>
      <c r="F285">
        <v>48</v>
      </c>
      <c r="G285">
        <v>11.9822079008197</v>
      </c>
      <c r="M285" t="str">
        <f t="shared" si="29"/>
        <v>Pass</v>
      </c>
      <c r="N285">
        <f t="shared" si="30"/>
        <v>1.3543373711399909E-7</v>
      </c>
      <c r="O285">
        <v>10</v>
      </c>
      <c r="P285">
        <v>50</v>
      </c>
      <c r="Q285">
        <v>2</v>
      </c>
      <c r="R285" t="b">
        <v>0</v>
      </c>
      <c r="S285">
        <v>1.3543373593473401E-7</v>
      </c>
      <c r="Y285" t="str">
        <f t="shared" si="31"/>
        <v>Pass</v>
      </c>
      <c r="Z285">
        <f t="shared" si="32"/>
        <v>39462.84375</v>
      </c>
      <c r="AA285">
        <v>4200</v>
      </c>
      <c r="AB285">
        <v>20</v>
      </c>
      <c r="AC285">
        <v>12</v>
      </c>
      <c r="AD285">
        <v>0.2</v>
      </c>
      <c r="AE285">
        <v>39462.840827239503</v>
      </c>
      <c r="AK285" t="str">
        <f t="shared" si="33"/>
        <v>Pass</v>
      </c>
      <c r="AL285">
        <f t="shared" si="34"/>
        <v>28.685850143432617</v>
      </c>
      <c r="AM285">
        <v>139500</v>
      </c>
      <c r="AN285">
        <v>28.6858504121412</v>
      </c>
    </row>
    <row r="286" spans="1:40" x14ac:dyDescent="0.3">
      <c r="A286" t="str">
        <f>IF(ISBLANK(B286),"",IF(ROUND(B286,0)=ROUND(G286,0),"Pass","Fail"))</f>
        <v>Pass</v>
      </c>
      <c r="B286">
        <f t="shared" si="28"/>
        <v>78.017997741699219</v>
      </c>
      <c r="C286">
        <v>0</v>
      </c>
      <c r="D286">
        <v>30</v>
      </c>
      <c r="E286">
        <v>70</v>
      </c>
      <c r="F286">
        <v>0</v>
      </c>
      <c r="G286">
        <v>78.018000000000001</v>
      </c>
      <c r="M286" t="str">
        <f t="shared" si="29"/>
        <v>Pass</v>
      </c>
      <c r="N286">
        <f t="shared" si="30"/>
        <v>2.2342481642567691E-8</v>
      </c>
      <c r="O286">
        <v>10</v>
      </c>
      <c r="P286">
        <v>50</v>
      </c>
      <c r="Q286">
        <v>2.5</v>
      </c>
      <c r="R286" t="b">
        <v>1</v>
      </c>
      <c r="S286">
        <v>2.2342481986018299E-8</v>
      </c>
      <c r="Y286" t="str">
        <f t="shared" si="31"/>
        <v>Pass</v>
      </c>
      <c r="Z286">
        <f t="shared" si="32"/>
        <v>40760.83984375</v>
      </c>
      <c r="AA286">
        <v>4200</v>
      </c>
      <c r="AB286">
        <v>20</v>
      </c>
      <c r="AC286">
        <v>14</v>
      </c>
      <c r="AD286">
        <v>0.2</v>
      </c>
      <c r="AE286">
        <v>40760.8432820655</v>
      </c>
      <c r="AK286" t="str">
        <f t="shared" si="33"/>
        <v>Pass</v>
      </c>
      <c r="AL286">
        <f t="shared" si="34"/>
        <v>28.750890731811523</v>
      </c>
      <c r="AM286">
        <v>140000</v>
      </c>
      <c r="AN286">
        <v>28.750890627385399</v>
      </c>
    </row>
    <row r="287" spans="1:40" x14ac:dyDescent="0.3">
      <c r="A287" t="str">
        <f>IF(ISBLANK(B287),"",IF(ROUND(B287,0)=ROUND(G287,0),"Pass","Fail"))</f>
        <v>Pass</v>
      </c>
      <c r="B287">
        <f t="shared" si="28"/>
        <v>44.681228637695313</v>
      </c>
      <c r="C287">
        <v>0</v>
      </c>
      <c r="D287">
        <v>30</v>
      </c>
      <c r="E287">
        <v>70</v>
      </c>
      <c r="F287">
        <v>8</v>
      </c>
      <c r="G287">
        <v>44.681228080723002</v>
      </c>
      <c r="M287" t="str">
        <f t="shared" si="29"/>
        <v>Pass</v>
      </c>
      <c r="N287">
        <f t="shared" si="30"/>
        <v>1.424706539410181E-7</v>
      </c>
      <c r="O287">
        <v>10</v>
      </c>
      <c r="P287">
        <v>50</v>
      </c>
      <c r="Q287">
        <v>2.5</v>
      </c>
      <c r="R287" t="b">
        <v>0</v>
      </c>
      <c r="S287">
        <v>1.4247065848802699E-7</v>
      </c>
      <c r="Y287" t="str">
        <f t="shared" si="31"/>
        <v>Pass</v>
      </c>
      <c r="Z287">
        <f t="shared" si="32"/>
        <v>41630.91796875</v>
      </c>
      <c r="AA287">
        <v>4200</v>
      </c>
      <c r="AB287">
        <v>20</v>
      </c>
      <c r="AC287">
        <v>16</v>
      </c>
      <c r="AD287">
        <v>0.2</v>
      </c>
      <c r="AE287">
        <v>41630.920347338899</v>
      </c>
      <c r="AK287" t="str">
        <f t="shared" si="33"/>
        <v>Pass</v>
      </c>
      <c r="AL287">
        <f t="shared" si="34"/>
        <v>28.815845489501953</v>
      </c>
      <c r="AM287">
        <v>140500</v>
      </c>
      <c r="AN287">
        <v>28.815845649120401</v>
      </c>
    </row>
    <row r="288" spans="1:40" x14ac:dyDescent="0.3">
      <c r="A288" t="str">
        <f>IF(ISBLANK(B288),"",IF(ROUND(B288,0)=ROUND(G288,0),"Pass","Fail"))</f>
        <v>Pass</v>
      </c>
      <c r="B288">
        <f t="shared" si="28"/>
        <v>27.899995803833008</v>
      </c>
      <c r="C288">
        <v>0</v>
      </c>
      <c r="D288">
        <v>30</v>
      </c>
      <c r="E288">
        <v>70</v>
      </c>
      <c r="F288">
        <v>16</v>
      </c>
      <c r="G288">
        <v>27.899997247101702</v>
      </c>
      <c r="M288" t="str">
        <f t="shared" si="29"/>
        <v>Pass</v>
      </c>
      <c r="N288">
        <f t="shared" si="30"/>
        <v>2.3286572670144778E-8</v>
      </c>
      <c r="O288">
        <v>10</v>
      </c>
      <c r="P288">
        <v>50</v>
      </c>
      <c r="Q288">
        <v>3</v>
      </c>
      <c r="R288" t="b">
        <v>1</v>
      </c>
      <c r="S288">
        <v>2.32865719061816E-8</v>
      </c>
      <c r="Y288" t="str">
        <f t="shared" si="31"/>
        <v>Pass</v>
      </c>
      <c r="Z288">
        <f t="shared" si="32"/>
        <v>42214.15234375</v>
      </c>
      <c r="AA288">
        <v>4200</v>
      </c>
      <c r="AB288">
        <v>20</v>
      </c>
      <c r="AC288">
        <v>18</v>
      </c>
      <c r="AD288">
        <v>0.2</v>
      </c>
      <c r="AE288">
        <v>42214.150445787498</v>
      </c>
      <c r="AK288" t="str">
        <f t="shared" si="33"/>
        <v>Pass</v>
      </c>
      <c r="AL288">
        <f t="shared" si="34"/>
        <v>28.880716323852539</v>
      </c>
      <c r="AM288">
        <v>141000</v>
      </c>
      <c r="AN288">
        <v>28.880715891524101</v>
      </c>
    </row>
    <row r="289" spans="1:40" x14ac:dyDescent="0.3">
      <c r="A289" t="str">
        <f>IF(ISBLANK(B289),"",IF(ROUND(B289,0)=ROUND(G289,0),"Pass","Fail"))</f>
        <v>Pass</v>
      </c>
      <c r="B289">
        <f t="shared" si="28"/>
        <v>19.45257568359375</v>
      </c>
      <c r="C289">
        <v>0</v>
      </c>
      <c r="D289">
        <v>30</v>
      </c>
      <c r="E289">
        <v>70</v>
      </c>
      <c r="F289">
        <v>24</v>
      </c>
      <c r="G289">
        <v>19.452577413736201</v>
      </c>
      <c r="M289" t="str">
        <f t="shared" si="29"/>
        <v>Pass</v>
      </c>
      <c r="N289">
        <f t="shared" si="30"/>
        <v>1.4849081253487384E-7</v>
      </c>
      <c r="O289">
        <v>10</v>
      </c>
      <c r="P289">
        <v>50</v>
      </c>
      <c r="Q289">
        <v>3</v>
      </c>
      <c r="R289" t="b">
        <v>0</v>
      </c>
      <c r="S289">
        <v>1.4849080936838799E-7</v>
      </c>
      <c r="Y289" t="str">
        <f t="shared" si="31"/>
        <v>Pass</v>
      </c>
      <c r="Z289">
        <f t="shared" si="32"/>
        <v>42605.1015625</v>
      </c>
      <c r="AA289">
        <v>4200</v>
      </c>
      <c r="AB289">
        <v>20</v>
      </c>
      <c r="AC289">
        <v>20</v>
      </c>
      <c r="AD289">
        <v>0.2</v>
      </c>
      <c r="AE289">
        <v>42605.101272228902</v>
      </c>
      <c r="AK289" t="str">
        <f t="shared" si="33"/>
        <v>Pass</v>
      </c>
      <c r="AL289">
        <f t="shared" si="34"/>
        <v>28.945501327514648</v>
      </c>
      <c r="AM289">
        <v>141500</v>
      </c>
      <c r="AN289">
        <v>28.9455017653002</v>
      </c>
    </row>
    <row r="290" spans="1:40" x14ac:dyDescent="0.3">
      <c r="A290" t="str">
        <f>IF(ISBLANK(B290),"",IF(ROUND(B290,0)=ROUND(G290,0),"Pass","Fail"))</f>
        <v>Pass</v>
      </c>
      <c r="B290">
        <f t="shared" si="28"/>
        <v>15.200272560119629</v>
      </c>
      <c r="C290">
        <v>0</v>
      </c>
      <c r="D290">
        <v>30</v>
      </c>
      <c r="E290">
        <v>70</v>
      </c>
      <c r="F290">
        <v>32</v>
      </c>
      <c r="G290">
        <v>15.2002730059946</v>
      </c>
      <c r="M290" t="str">
        <f t="shared" si="29"/>
        <v>Pass</v>
      </c>
      <c r="N290">
        <f t="shared" si="30"/>
        <v>2.4115845320693552E-8</v>
      </c>
      <c r="O290">
        <v>10</v>
      </c>
      <c r="P290">
        <v>50</v>
      </c>
      <c r="Q290">
        <v>3.5</v>
      </c>
      <c r="R290" t="b">
        <v>1</v>
      </c>
      <c r="S290">
        <v>2.4115844816298399E-8</v>
      </c>
      <c r="Y290" t="str">
        <f t="shared" si="31"/>
        <v>Pass</v>
      </c>
      <c r="Z290">
        <f t="shared" si="32"/>
        <v>42867.1640625</v>
      </c>
      <c r="AA290">
        <v>4200</v>
      </c>
      <c r="AB290">
        <v>20</v>
      </c>
      <c r="AC290">
        <v>22</v>
      </c>
      <c r="AD290">
        <v>0.2</v>
      </c>
      <c r="AE290">
        <v>42867.163448206797</v>
      </c>
      <c r="AK290" t="str">
        <f t="shared" si="33"/>
        <v>Pass</v>
      </c>
      <c r="AL290">
        <f t="shared" si="34"/>
        <v>29.010204315185547</v>
      </c>
      <c r="AM290">
        <v>142000</v>
      </c>
      <c r="AN290">
        <v>29.010203677719598</v>
      </c>
    </row>
    <row r="291" spans="1:40" x14ac:dyDescent="0.3">
      <c r="A291" t="str">
        <f>IF(ISBLANK(B291),"",IF(ROUND(B291,0)=ROUND(G291,0),"Pass","Fail"))</f>
        <v>Pass</v>
      </c>
      <c r="B291">
        <f t="shared" si="28"/>
        <v>13.059726715087891</v>
      </c>
      <c r="C291">
        <v>0</v>
      </c>
      <c r="D291">
        <v>30</v>
      </c>
      <c r="E291">
        <v>70</v>
      </c>
      <c r="F291">
        <v>40</v>
      </c>
      <c r="G291">
        <v>13.059726764327101</v>
      </c>
      <c r="M291" t="str">
        <f t="shared" si="29"/>
        <v>Pass</v>
      </c>
      <c r="N291">
        <f t="shared" si="30"/>
        <v>1.5377881368294766E-7</v>
      </c>
      <c r="O291">
        <v>10</v>
      </c>
      <c r="P291">
        <v>50</v>
      </c>
      <c r="Q291">
        <v>3.5</v>
      </c>
      <c r="R291" t="b">
        <v>0</v>
      </c>
      <c r="S291">
        <v>1.5377880994256499E-7</v>
      </c>
      <c r="Y291" t="str">
        <f t="shared" si="31"/>
        <v>Pass</v>
      </c>
      <c r="Z291">
        <f t="shared" si="32"/>
        <v>43042.83203125</v>
      </c>
      <c r="AA291">
        <v>4200</v>
      </c>
      <c r="AB291">
        <v>20</v>
      </c>
      <c r="AC291">
        <v>24</v>
      </c>
      <c r="AD291">
        <v>0.2</v>
      </c>
      <c r="AE291">
        <v>43042.828978072503</v>
      </c>
      <c r="AK291" t="str">
        <f t="shared" si="33"/>
        <v>Pass</v>
      </c>
      <c r="AL291">
        <f t="shared" si="34"/>
        <v>29.074821472167969</v>
      </c>
      <c r="AM291">
        <v>142500</v>
      </c>
      <c r="AN291">
        <v>29.074822032660801</v>
      </c>
    </row>
    <row r="292" spans="1:40" x14ac:dyDescent="0.3">
      <c r="A292" t="str">
        <f>IF(ISBLANK(B292),"",IF(ROUND(B292,0)=ROUND(G292,0),"Pass","Fail"))</f>
        <v>Pass</v>
      </c>
      <c r="B292">
        <f t="shared" si="28"/>
        <v>11.982207298278809</v>
      </c>
      <c r="C292">
        <v>0</v>
      </c>
      <c r="D292">
        <v>30</v>
      </c>
      <c r="E292">
        <v>70</v>
      </c>
      <c r="F292">
        <v>48</v>
      </c>
      <c r="G292">
        <v>11.9822079008197</v>
      </c>
      <c r="M292" t="str">
        <f t="shared" si="29"/>
        <v>Pass</v>
      </c>
      <c r="N292">
        <f t="shared" si="30"/>
        <v>2.485802674812021E-8</v>
      </c>
      <c r="O292">
        <v>10</v>
      </c>
      <c r="P292">
        <v>50</v>
      </c>
      <c r="Q292">
        <v>4</v>
      </c>
      <c r="R292" t="b">
        <v>1</v>
      </c>
      <c r="S292">
        <v>2.4858026834804199E-8</v>
      </c>
      <c r="Y292" t="str">
        <f t="shared" si="31"/>
        <v>Pass</v>
      </c>
      <c r="Z292">
        <f t="shared" si="32"/>
        <v>0</v>
      </c>
      <c r="AA292">
        <v>4400</v>
      </c>
      <c r="AB292">
        <v>20</v>
      </c>
      <c r="AC292">
        <v>0</v>
      </c>
      <c r="AD292">
        <v>0.2</v>
      </c>
      <c r="AE292">
        <v>0</v>
      </c>
      <c r="AK292" t="str">
        <f t="shared" si="33"/>
        <v>Pass</v>
      </c>
      <c r="AL292">
        <f t="shared" si="34"/>
        <v>29.13935661315918</v>
      </c>
      <c r="AM292">
        <v>143000</v>
      </c>
      <c r="AN292">
        <v>29.139357230650301</v>
      </c>
    </row>
    <row r="293" spans="1:40" x14ac:dyDescent="0.3">
      <c r="A293" t="str">
        <f>IF(ISBLANK(B293),"",IF(ROUND(B293,0)=ROUND(G293,0),"Pass","Fail"))</f>
        <v>Pass</v>
      </c>
      <c r="B293">
        <f t="shared" si="28"/>
        <v>78.017997741699219</v>
      </c>
      <c r="C293">
        <v>0</v>
      </c>
      <c r="D293">
        <v>30</v>
      </c>
      <c r="E293">
        <v>80</v>
      </c>
      <c r="F293">
        <v>0</v>
      </c>
      <c r="G293">
        <v>78.018000000000001</v>
      </c>
      <c r="M293" t="str">
        <f t="shared" si="29"/>
        <v>Pass</v>
      </c>
      <c r="N293">
        <f t="shared" si="30"/>
        <v>1.5851145462875138E-7</v>
      </c>
      <c r="O293">
        <v>10</v>
      </c>
      <c r="P293">
        <v>50</v>
      </c>
      <c r="Q293">
        <v>4</v>
      </c>
      <c r="R293" t="b">
        <v>0</v>
      </c>
      <c r="S293">
        <v>1.5851146054784199E-7</v>
      </c>
      <c r="Y293" t="str">
        <f t="shared" si="31"/>
        <v>Pass</v>
      </c>
      <c r="Z293">
        <f t="shared" si="32"/>
        <v>14989.4482421875</v>
      </c>
      <c r="AA293">
        <v>4400</v>
      </c>
      <c r="AB293">
        <v>20</v>
      </c>
      <c r="AC293">
        <v>2</v>
      </c>
      <c r="AD293">
        <v>0.2</v>
      </c>
      <c r="AE293">
        <v>14989.448573579601</v>
      </c>
      <c r="AK293" t="str">
        <f t="shared" si="33"/>
        <v>Pass</v>
      </c>
      <c r="AL293">
        <f t="shared" si="34"/>
        <v>29.20380973815918</v>
      </c>
      <c r="AM293">
        <v>143500</v>
      </c>
      <c r="AN293">
        <v>29.203809668901801</v>
      </c>
    </row>
    <row r="294" spans="1:40" x14ac:dyDescent="0.3">
      <c r="A294" t="str">
        <f>IF(ISBLANK(B294),"",IF(ROUND(B294,0)=ROUND(G294,0),"Pass","Fail"))</f>
        <v>Pass</v>
      </c>
      <c r="B294">
        <f t="shared" si="28"/>
        <v>44.681228637695313</v>
      </c>
      <c r="C294">
        <v>0</v>
      </c>
      <c r="D294">
        <v>30</v>
      </c>
      <c r="E294">
        <v>80</v>
      </c>
      <c r="F294">
        <v>8</v>
      </c>
      <c r="G294">
        <v>44.681228080723002</v>
      </c>
      <c r="M294" t="str">
        <f t="shared" si="29"/>
        <v>Pass</v>
      </c>
      <c r="N294">
        <f t="shared" si="30"/>
        <v>0</v>
      </c>
      <c r="O294">
        <v>10</v>
      </c>
      <c r="P294">
        <v>60</v>
      </c>
      <c r="Q294">
        <v>0</v>
      </c>
      <c r="R294" t="b">
        <v>1</v>
      </c>
      <c r="S294">
        <v>0</v>
      </c>
      <c r="Y294" t="str">
        <f t="shared" si="31"/>
        <v>Pass</v>
      </c>
      <c r="Z294">
        <f t="shared" si="32"/>
        <v>25037.177734375</v>
      </c>
      <c r="AA294">
        <v>4400</v>
      </c>
      <c r="AB294">
        <v>20</v>
      </c>
      <c r="AC294">
        <v>4</v>
      </c>
      <c r="AD294">
        <v>0.2</v>
      </c>
      <c r="AE294">
        <v>25037.1764314703</v>
      </c>
      <c r="AK294" t="str">
        <f t="shared" si="33"/>
        <v>Pass</v>
      </c>
      <c r="AL294">
        <f t="shared" si="34"/>
        <v>29.268178939819336</v>
      </c>
      <c r="AM294">
        <v>144000</v>
      </c>
      <c r="AN294">
        <v>29.268179741354999</v>
      </c>
    </row>
    <row r="295" spans="1:40" x14ac:dyDescent="0.3">
      <c r="A295" t="str">
        <f>IF(ISBLANK(B295),"",IF(ROUND(B295,0)=ROUND(G295,0),"Pass","Fail"))</f>
        <v>Pass</v>
      </c>
      <c r="B295">
        <f t="shared" si="28"/>
        <v>27.899995803833008</v>
      </c>
      <c r="C295">
        <v>0</v>
      </c>
      <c r="D295">
        <v>30</v>
      </c>
      <c r="E295">
        <v>80</v>
      </c>
      <c r="F295">
        <v>16</v>
      </c>
      <c r="G295">
        <v>27.899997247101702</v>
      </c>
      <c r="M295" t="str">
        <f t="shared" si="29"/>
        <v>Pass</v>
      </c>
      <c r="N295">
        <f t="shared" si="30"/>
        <v>0</v>
      </c>
      <c r="O295">
        <v>10</v>
      </c>
      <c r="P295">
        <v>60</v>
      </c>
      <c r="Q295">
        <v>0</v>
      </c>
      <c r="R295" t="b">
        <v>0</v>
      </c>
      <c r="S295">
        <v>0</v>
      </c>
      <c r="Y295" t="str">
        <f t="shared" si="31"/>
        <v>Pass</v>
      </c>
      <c r="Z295">
        <f t="shared" si="32"/>
        <v>31772.37109375</v>
      </c>
      <c r="AA295">
        <v>4400</v>
      </c>
      <c r="AB295">
        <v>20</v>
      </c>
      <c r="AC295">
        <v>6</v>
      </c>
      <c r="AD295">
        <v>0.2</v>
      </c>
      <c r="AE295">
        <v>31772.369831725198</v>
      </c>
      <c r="AK295" t="str">
        <f t="shared" si="33"/>
        <v>Pass</v>
      </c>
      <c r="AL295">
        <f t="shared" si="34"/>
        <v>29.332468032836914</v>
      </c>
      <c r="AM295">
        <v>144500</v>
      </c>
      <c r="AN295">
        <v>29.332467838713999</v>
      </c>
    </row>
    <row r="296" spans="1:40" x14ac:dyDescent="0.3">
      <c r="A296" t="str">
        <f>IF(ISBLANK(B296),"",IF(ROUND(B296,0)=ROUND(G296,0),"Pass","Fail"))</f>
        <v>Pass</v>
      </c>
      <c r="B296">
        <f t="shared" si="28"/>
        <v>19.45257568359375</v>
      </c>
      <c r="C296">
        <v>0</v>
      </c>
      <c r="D296">
        <v>30</v>
      </c>
      <c r="E296">
        <v>80</v>
      </c>
      <c r="F296">
        <v>24</v>
      </c>
      <c r="G296">
        <v>19.452577413736201</v>
      </c>
      <c r="M296" t="str">
        <f t="shared" si="29"/>
        <v>Pass</v>
      </c>
      <c r="N296">
        <f t="shared" si="30"/>
        <v>2.8397975637695083E-10</v>
      </c>
      <c r="O296">
        <v>10</v>
      </c>
      <c r="P296">
        <v>60</v>
      </c>
      <c r="Q296">
        <v>0.5</v>
      </c>
      <c r="R296" t="b">
        <v>1</v>
      </c>
      <c r="S296">
        <v>2.8397977099453899E-10</v>
      </c>
      <c r="Y296" t="str">
        <f t="shared" si="31"/>
        <v>Pass</v>
      </c>
      <c r="Z296">
        <f t="shared" si="32"/>
        <v>36287.10546875</v>
      </c>
      <c r="AA296">
        <v>4400</v>
      </c>
      <c r="AB296">
        <v>20</v>
      </c>
      <c r="AC296">
        <v>8</v>
      </c>
      <c r="AD296">
        <v>0.2</v>
      </c>
      <c r="AE296">
        <v>36287.104981842996</v>
      </c>
      <c r="AK296" t="str">
        <f t="shared" si="33"/>
        <v>Pass</v>
      </c>
      <c r="AL296">
        <f t="shared" si="34"/>
        <v>29.396675109863281</v>
      </c>
      <c r="AM296">
        <v>145000</v>
      </c>
      <c r="AN296">
        <v>29.396674348485099</v>
      </c>
    </row>
    <row r="297" spans="1:40" x14ac:dyDescent="0.3">
      <c r="A297" t="str">
        <f>IF(ISBLANK(B297),"",IF(ROUND(B297,0)=ROUND(G297,0),"Pass","Fail"))</f>
        <v>Pass</v>
      </c>
      <c r="B297">
        <f t="shared" si="28"/>
        <v>15.200272560119629</v>
      </c>
      <c r="C297">
        <v>0</v>
      </c>
      <c r="D297">
        <v>30</v>
      </c>
      <c r="E297">
        <v>80</v>
      </c>
      <c r="F297">
        <v>32</v>
      </c>
      <c r="G297">
        <v>15.2002730059946</v>
      </c>
      <c r="M297" t="str">
        <f t="shared" si="29"/>
        <v>Pass</v>
      </c>
      <c r="N297">
        <f t="shared" si="30"/>
        <v>1.8108454735710211E-9</v>
      </c>
      <c r="O297">
        <v>10</v>
      </c>
      <c r="P297">
        <v>60</v>
      </c>
      <c r="Q297">
        <v>0.5</v>
      </c>
      <c r="R297" t="b">
        <v>0</v>
      </c>
      <c r="S297">
        <v>1.81084558985836E-9</v>
      </c>
      <c r="Y297" t="str">
        <f t="shared" si="31"/>
        <v>Pass</v>
      </c>
      <c r="Z297">
        <f t="shared" si="32"/>
        <v>39313.42578125</v>
      </c>
      <c r="AA297">
        <v>4400</v>
      </c>
      <c r="AB297">
        <v>20</v>
      </c>
      <c r="AC297">
        <v>10</v>
      </c>
      <c r="AD297">
        <v>0.2</v>
      </c>
      <c r="AE297">
        <v>39313.422455508597</v>
      </c>
      <c r="AK297" t="str">
        <f t="shared" si="33"/>
        <v>Pass</v>
      </c>
      <c r="AL297">
        <f t="shared" si="34"/>
        <v>29.460800170898438</v>
      </c>
      <c r="AM297">
        <v>145500</v>
      </c>
      <c r="AN297">
        <v>29.460799655013499</v>
      </c>
    </row>
    <row r="298" spans="1:40" x14ac:dyDescent="0.3">
      <c r="A298" t="str">
        <f>IF(ISBLANK(B298),"",IF(ROUND(B298,0)=ROUND(G298,0),"Pass","Fail"))</f>
        <v>Pass</v>
      </c>
      <c r="B298">
        <f t="shared" si="28"/>
        <v>13.059726715087891</v>
      </c>
      <c r="C298">
        <v>0</v>
      </c>
      <c r="D298">
        <v>30</v>
      </c>
      <c r="E298">
        <v>80</v>
      </c>
      <c r="F298">
        <v>40</v>
      </c>
      <c r="G298">
        <v>13.059726764327101</v>
      </c>
      <c r="M298" t="str">
        <f t="shared" si="29"/>
        <v>Pass</v>
      </c>
      <c r="N298">
        <f t="shared" si="30"/>
        <v>3.3236952079462867E-10</v>
      </c>
      <c r="O298">
        <v>10</v>
      </c>
      <c r="P298">
        <v>60</v>
      </c>
      <c r="Q298">
        <v>1</v>
      </c>
      <c r="R298" t="b">
        <v>1</v>
      </c>
      <c r="S298">
        <v>3.3236953817827401E-10</v>
      </c>
      <c r="Y298" t="str">
        <f t="shared" si="31"/>
        <v>Pass</v>
      </c>
      <c r="Z298">
        <f t="shared" si="32"/>
        <v>41342.0234375</v>
      </c>
      <c r="AA298">
        <v>4400</v>
      </c>
      <c r="AB298">
        <v>20</v>
      </c>
      <c r="AC298">
        <v>12</v>
      </c>
      <c r="AD298">
        <v>0.2</v>
      </c>
      <c r="AE298">
        <v>41342.023723774699</v>
      </c>
      <c r="AK298" t="str">
        <f t="shared" si="33"/>
        <v>Pass</v>
      </c>
      <c r="AL298">
        <f t="shared" si="34"/>
        <v>29.524843215942383</v>
      </c>
      <c r="AM298">
        <v>146000</v>
      </c>
      <c r="AN298">
        <v>29.524844139520201</v>
      </c>
    </row>
    <row r="299" spans="1:40" x14ac:dyDescent="0.3">
      <c r="A299" t="str">
        <f>IF(ISBLANK(B299),"",IF(ROUND(B299,0)=ROUND(G299,0),"Pass","Fail"))</f>
        <v>Pass</v>
      </c>
      <c r="B299">
        <f t="shared" si="28"/>
        <v>11.982207298278809</v>
      </c>
      <c r="C299">
        <v>0</v>
      </c>
      <c r="D299">
        <v>30</v>
      </c>
      <c r="E299">
        <v>80</v>
      </c>
      <c r="F299">
        <v>48</v>
      </c>
      <c r="G299">
        <v>11.9822079008197</v>
      </c>
      <c r="M299" t="str">
        <f t="shared" si="29"/>
        <v>Pass</v>
      </c>
      <c r="N299">
        <f t="shared" si="30"/>
        <v>2.1194113131173253E-9</v>
      </c>
      <c r="O299">
        <v>10</v>
      </c>
      <c r="P299">
        <v>60</v>
      </c>
      <c r="Q299">
        <v>1</v>
      </c>
      <c r="R299" t="b">
        <v>0</v>
      </c>
      <c r="S299">
        <v>2.1194112182904698E-9</v>
      </c>
      <c r="Y299" t="str">
        <f t="shared" si="31"/>
        <v>Pass</v>
      </c>
      <c r="Z299">
        <f t="shared" si="32"/>
        <v>42701.83203125</v>
      </c>
      <c r="AA299">
        <v>4400</v>
      </c>
      <c r="AB299">
        <v>20</v>
      </c>
      <c r="AC299">
        <v>14</v>
      </c>
      <c r="AD299">
        <v>0.2</v>
      </c>
      <c r="AE299">
        <v>42701.835819306703</v>
      </c>
      <c r="AK299" t="str">
        <f t="shared" si="33"/>
        <v>Pass</v>
      </c>
      <c r="AL299">
        <f t="shared" si="34"/>
        <v>29.588808059692383</v>
      </c>
      <c r="AM299">
        <v>146500</v>
      </c>
      <c r="AN299">
        <v>29.5888081801378</v>
      </c>
    </row>
    <row r="300" spans="1:40" x14ac:dyDescent="0.3">
      <c r="A300" t="str">
        <f>IF(ISBLANK(B300),"",IF(ROUND(B300,0)=ROUND(G300,0),"Pass","Fail"))</f>
        <v>Pass</v>
      </c>
      <c r="B300">
        <f t="shared" si="28"/>
        <v>78.017997741699219</v>
      </c>
      <c r="C300">
        <v>0</v>
      </c>
      <c r="D300">
        <v>30</v>
      </c>
      <c r="E300">
        <v>90</v>
      </c>
      <c r="F300">
        <v>0</v>
      </c>
      <c r="G300">
        <v>78.018000000000001</v>
      </c>
      <c r="M300" t="str">
        <f t="shared" si="29"/>
        <v>Pass</v>
      </c>
      <c r="N300">
        <f t="shared" si="30"/>
        <v>3.6441305528711609E-10</v>
      </c>
      <c r="O300">
        <v>10</v>
      </c>
      <c r="P300">
        <v>60</v>
      </c>
      <c r="Q300">
        <v>1.5</v>
      </c>
      <c r="R300" t="b">
        <v>1</v>
      </c>
      <c r="S300">
        <v>3.64413057004296E-10</v>
      </c>
      <c r="Y300" t="str">
        <f t="shared" si="31"/>
        <v>Pass</v>
      </c>
      <c r="Z300">
        <f t="shared" si="32"/>
        <v>43613.34375</v>
      </c>
      <c r="AA300">
        <v>4400</v>
      </c>
      <c r="AB300">
        <v>20</v>
      </c>
      <c r="AC300">
        <v>16</v>
      </c>
      <c r="AD300">
        <v>0.2</v>
      </c>
      <c r="AE300">
        <v>43613.345125783599</v>
      </c>
      <c r="AK300" t="str">
        <f t="shared" si="33"/>
        <v>Pass</v>
      </c>
      <c r="AL300">
        <f t="shared" si="34"/>
        <v>29.652692794799805</v>
      </c>
      <c r="AM300">
        <v>147000</v>
      </c>
      <c r="AN300">
        <v>29.652692151946098</v>
      </c>
    </row>
    <row r="301" spans="1:40" x14ac:dyDescent="0.3">
      <c r="A301" t="str">
        <f>IF(ISBLANK(B301),"",IF(ROUND(B301,0)=ROUND(G301,0),"Pass","Fail"))</f>
        <v>Pass</v>
      </c>
      <c r="B301">
        <f t="shared" si="28"/>
        <v>44.681228637695313</v>
      </c>
      <c r="C301">
        <v>0</v>
      </c>
      <c r="D301">
        <v>30</v>
      </c>
      <c r="E301">
        <v>90</v>
      </c>
      <c r="F301">
        <v>8</v>
      </c>
      <c r="G301">
        <v>44.681228080723002</v>
      </c>
      <c r="M301" t="str">
        <f t="shared" si="29"/>
        <v>Pass</v>
      </c>
      <c r="N301">
        <f t="shared" si="30"/>
        <v>2.3237423096844623E-9</v>
      </c>
      <c r="O301">
        <v>10</v>
      </c>
      <c r="P301">
        <v>60</v>
      </c>
      <c r="Q301">
        <v>1.5</v>
      </c>
      <c r="R301" t="b">
        <v>0</v>
      </c>
      <c r="S301">
        <v>2.3237421977346401E-9</v>
      </c>
      <c r="Y301" t="str">
        <f t="shared" si="31"/>
        <v>Pass</v>
      </c>
      <c r="Z301">
        <f t="shared" si="32"/>
        <v>44224.34765625</v>
      </c>
      <c r="AA301">
        <v>4400</v>
      </c>
      <c r="AB301">
        <v>20</v>
      </c>
      <c r="AC301">
        <v>18</v>
      </c>
      <c r="AD301">
        <v>0.2</v>
      </c>
      <c r="AE301">
        <v>44224.348086063103</v>
      </c>
      <c r="AK301" t="str">
        <f t="shared" si="33"/>
        <v>Pass</v>
      </c>
      <c r="AL301">
        <f t="shared" si="34"/>
        <v>29.716495513916016</v>
      </c>
      <c r="AM301">
        <v>147500</v>
      </c>
      <c r="AN301">
        <v>29.716496427007002</v>
      </c>
    </row>
    <row r="302" spans="1:40" x14ac:dyDescent="0.3">
      <c r="A302" t="str">
        <f>IF(ISBLANK(B302),"",IF(ROUND(B302,0)=ROUND(G302,0),"Pass","Fail"))</f>
        <v>Pass</v>
      </c>
      <c r="B302">
        <f t="shared" si="28"/>
        <v>27.899995803833008</v>
      </c>
      <c r="C302">
        <v>0</v>
      </c>
      <c r="D302">
        <v>30</v>
      </c>
      <c r="E302">
        <v>90</v>
      </c>
      <c r="F302">
        <v>16</v>
      </c>
      <c r="G302">
        <v>27.899997247101702</v>
      </c>
      <c r="M302" t="str">
        <f t="shared" si="29"/>
        <v>Pass</v>
      </c>
      <c r="N302">
        <f t="shared" si="30"/>
        <v>3.890048283494707E-10</v>
      </c>
      <c r="O302">
        <v>10</v>
      </c>
      <c r="P302">
        <v>60</v>
      </c>
      <c r="Q302">
        <v>2</v>
      </c>
      <c r="R302" t="b">
        <v>1</v>
      </c>
      <c r="S302">
        <v>3.89004855951388E-10</v>
      </c>
      <c r="Y302" t="str">
        <f t="shared" si="31"/>
        <v>Pass</v>
      </c>
      <c r="Z302">
        <f t="shared" si="32"/>
        <v>44633.91796875</v>
      </c>
      <c r="AA302">
        <v>4400</v>
      </c>
      <c r="AB302">
        <v>20</v>
      </c>
      <c r="AC302">
        <v>20</v>
      </c>
      <c r="AD302">
        <v>0.2</v>
      </c>
      <c r="AE302">
        <v>44633.915618525498</v>
      </c>
      <c r="AK302" t="str">
        <f t="shared" si="33"/>
        <v>Pass</v>
      </c>
      <c r="AL302">
        <f t="shared" si="34"/>
        <v>29.780221939086914</v>
      </c>
      <c r="AM302">
        <v>148000</v>
      </c>
      <c r="AN302">
        <v>29.780221374399002</v>
      </c>
    </row>
    <row r="303" spans="1:40" x14ac:dyDescent="0.3">
      <c r="A303" t="str">
        <f>IF(ISBLANK(B303),"",IF(ROUND(B303,0)=ROUND(G303,0),"Pass","Fail"))</f>
        <v>Pass</v>
      </c>
      <c r="B303">
        <f t="shared" si="28"/>
        <v>19.45257568359375</v>
      </c>
      <c r="C303">
        <v>0</v>
      </c>
      <c r="D303">
        <v>30</v>
      </c>
      <c r="E303">
        <v>90</v>
      </c>
      <c r="F303">
        <v>24</v>
      </c>
      <c r="G303">
        <v>19.452577413736201</v>
      </c>
      <c r="M303" t="str">
        <f t="shared" si="29"/>
        <v>Pass</v>
      </c>
      <c r="N303">
        <f t="shared" si="30"/>
        <v>2.4805562048868524E-9</v>
      </c>
      <c r="O303">
        <v>10</v>
      </c>
      <c r="P303">
        <v>60</v>
      </c>
      <c r="Q303">
        <v>2</v>
      </c>
      <c r="R303" t="b">
        <v>0</v>
      </c>
      <c r="S303">
        <v>2.4805560106131801E-9</v>
      </c>
      <c r="Y303" t="str">
        <f t="shared" si="31"/>
        <v>Pass</v>
      </c>
      <c r="Z303">
        <f t="shared" si="32"/>
        <v>44908.4609375</v>
      </c>
      <c r="AA303">
        <v>4400</v>
      </c>
      <c r="AB303">
        <v>20</v>
      </c>
      <c r="AC303">
        <v>22</v>
      </c>
      <c r="AD303">
        <v>0.2</v>
      </c>
      <c r="AE303">
        <v>44908.4569457404</v>
      </c>
      <c r="AK303" t="str">
        <f t="shared" si="33"/>
        <v>Pass</v>
      </c>
      <c r="AL303">
        <f t="shared" si="34"/>
        <v>29.843868255615234</v>
      </c>
      <c r="AM303">
        <v>148500</v>
      </c>
      <c r="AN303">
        <v>29.843867360250901</v>
      </c>
    </row>
    <row r="304" spans="1:40" x14ac:dyDescent="0.3">
      <c r="A304" t="str">
        <f>IF(ISBLANK(B304),"",IF(ROUND(B304,0)=ROUND(G304,0),"Pass","Fail"))</f>
        <v>Pass</v>
      </c>
      <c r="B304">
        <f t="shared" si="28"/>
        <v>15.200272560119629</v>
      </c>
      <c r="C304">
        <v>0</v>
      </c>
      <c r="D304">
        <v>30</v>
      </c>
      <c r="E304">
        <v>90</v>
      </c>
      <c r="F304">
        <v>32</v>
      </c>
      <c r="G304">
        <v>15.2002730059946</v>
      </c>
      <c r="M304" t="str">
        <f t="shared" si="29"/>
        <v>Pass</v>
      </c>
      <c r="N304">
        <f t="shared" si="30"/>
        <v>4.0921693811313276E-10</v>
      </c>
      <c r="O304">
        <v>10</v>
      </c>
      <c r="P304">
        <v>60</v>
      </c>
      <c r="Q304">
        <v>2.5</v>
      </c>
      <c r="R304" t="b">
        <v>1</v>
      </c>
      <c r="S304">
        <v>4.0921693254583299E-10</v>
      </c>
      <c r="Y304" t="str">
        <f t="shared" si="31"/>
        <v>Pass</v>
      </c>
      <c r="Z304">
        <f t="shared" si="32"/>
        <v>45092.48828125</v>
      </c>
      <c r="AA304">
        <v>4400</v>
      </c>
      <c r="AB304">
        <v>20</v>
      </c>
      <c r="AC304">
        <v>24</v>
      </c>
      <c r="AD304">
        <v>0.2</v>
      </c>
      <c r="AE304">
        <v>45092.4875008378</v>
      </c>
      <c r="AK304" t="str">
        <f t="shared" si="33"/>
        <v>Pass</v>
      </c>
      <c r="AL304">
        <f t="shared" si="34"/>
        <v>29.907434463500977</v>
      </c>
      <c r="AM304">
        <v>149000</v>
      </c>
      <c r="AN304">
        <v>29.907434747775401</v>
      </c>
    </row>
    <row r="305" spans="1:40" x14ac:dyDescent="0.3">
      <c r="A305" t="str">
        <f>IF(ISBLANK(B305),"",IF(ROUND(B305,0)=ROUND(G305,0),"Pass","Fail"))</f>
        <v>Pass</v>
      </c>
      <c r="B305">
        <f t="shared" si="28"/>
        <v>13.059726715087891</v>
      </c>
      <c r="C305">
        <v>0</v>
      </c>
      <c r="D305">
        <v>30</v>
      </c>
      <c r="E305">
        <v>90</v>
      </c>
      <c r="F305">
        <v>40</v>
      </c>
      <c r="G305">
        <v>13.059726764327101</v>
      </c>
      <c r="M305" t="str">
        <f t="shared" si="29"/>
        <v>Pass</v>
      </c>
      <c r="N305">
        <f t="shared" si="30"/>
        <v>2.6094417737709819E-9</v>
      </c>
      <c r="O305">
        <v>10</v>
      </c>
      <c r="P305">
        <v>60</v>
      </c>
      <c r="Q305">
        <v>2.5</v>
      </c>
      <c r="R305" t="b">
        <v>0</v>
      </c>
      <c r="S305">
        <v>2.60944177467569E-9</v>
      </c>
      <c r="Y305" t="str">
        <f t="shared" si="31"/>
        <v>Pass</v>
      </c>
      <c r="Z305">
        <f t="shared" si="32"/>
        <v>0</v>
      </c>
      <c r="AA305">
        <v>4600</v>
      </c>
      <c r="AB305">
        <v>20</v>
      </c>
      <c r="AC305">
        <v>0</v>
      </c>
      <c r="AD305">
        <v>0.2</v>
      </c>
      <c r="AE305">
        <v>0</v>
      </c>
      <c r="AK305" t="str">
        <f t="shared" si="33"/>
        <v>Pass</v>
      </c>
      <c r="AL305">
        <f t="shared" si="34"/>
        <v>29.970924377441406</v>
      </c>
      <c r="AM305">
        <v>149500</v>
      </c>
      <c r="AN305">
        <v>29.970923897301901</v>
      </c>
    </row>
    <row r="306" spans="1:40" x14ac:dyDescent="0.3">
      <c r="A306" t="str">
        <f>IF(ISBLANK(B306),"",IF(ROUND(B306,0)=ROUND(G306,0),"Pass","Fail"))</f>
        <v>Pass</v>
      </c>
      <c r="B306">
        <f t="shared" si="28"/>
        <v>11.982207298278809</v>
      </c>
      <c r="C306">
        <v>0</v>
      </c>
      <c r="D306">
        <v>30</v>
      </c>
      <c r="E306">
        <v>90</v>
      </c>
      <c r="F306">
        <v>48</v>
      </c>
      <c r="G306">
        <v>11.9822079008197</v>
      </c>
      <c r="M306" t="str">
        <f t="shared" si="29"/>
        <v>Pass</v>
      </c>
      <c r="N306">
        <f t="shared" si="30"/>
        <v>4.2650855069936711E-10</v>
      </c>
      <c r="O306">
        <v>10</v>
      </c>
      <c r="P306">
        <v>60</v>
      </c>
      <c r="Q306">
        <v>3</v>
      </c>
      <c r="R306" t="b">
        <v>1</v>
      </c>
      <c r="S306">
        <v>4.2650854685342998E-10</v>
      </c>
      <c r="Y306" t="str">
        <f t="shared" si="31"/>
        <v>Pass</v>
      </c>
      <c r="Z306">
        <f t="shared" si="32"/>
        <v>15670.7861328125</v>
      </c>
      <c r="AA306">
        <v>4600</v>
      </c>
      <c r="AB306">
        <v>20</v>
      </c>
      <c r="AC306">
        <v>2</v>
      </c>
      <c r="AD306">
        <v>0.2</v>
      </c>
      <c r="AE306">
        <v>15670.7871451059</v>
      </c>
      <c r="AK306" t="str">
        <f t="shared" si="33"/>
        <v>Pass</v>
      </c>
      <c r="AL306">
        <f t="shared" si="34"/>
        <v>30.034336090087891</v>
      </c>
      <c r="AM306">
        <v>150000</v>
      </c>
      <c r="AN306">
        <v>30.034335166309098</v>
      </c>
    </row>
    <row r="307" spans="1:40" x14ac:dyDescent="0.3">
      <c r="A307" t="str">
        <f>IF(ISBLANK(B307),"",IF(ROUND(B307,0)=ROUND(G307,0),"Pass","Fail"))</f>
        <v>Pass</v>
      </c>
      <c r="B307">
        <f t="shared" si="28"/>
        <v>78.017997741699219</v>
      </c>
      <c r="C307">
        <v>0</v>
      </c>
      <c r="D307">
        <v>30</v>
      </c>
      <c r="E307">
        <v>100</v>
      </c>
      <c r="F307">
        <v>0</v>
      </c>
      <c r="G307">
        <v>78.018000000000001</v>
      </c>
      <c r="M307" t="str">
        <f t="shared" si="29"/>
        <v>Pass</v>
      </c>
      <c r="N307">
        <f t="shared" si="30"/>
        <v>2.7197046836846539E-9</v>
      </c>
      <c r="O307">
        <v>10</v>
      </c>
      <c r="P307">
        <v>60</v>
      </c>
      <c r="Q307">
        <v>3</v>
      </c>
      <c r="R307" t="b">
        <v>0</v>
      </c>
      <c r="S307">
        <v>2.7197047113658101E-9</v>
      </c>
      <c r="Y307" t="str">
        <f t="shared" si="31"/>
        <v>Pass</v>
      </c>
      <c r="Z307">
        <f t="shared" si="32"/>
        <v>26175.23046875</v>
      </c>
      <c r="AA307">
        <v>4600</v>
      </c>
      <c r="AB307">
        <v>20</v>
      </c>
      <c r="AC307">
        <v>4</v>
      </c>
      <c r="AD307">
        <v>0.2</v>
      </c>
      <c r="AE307">
        <v>26175.229905627999</v>
      </c>
      <c r="AK307" t="str">
        <f t="shared" si="33"/>
        <v>Pass</v>
      </c>
      <c r="AL307">
        <f t="shared" si="34"/>
        <v>30.09766960144043</v>
      </c>
      <c r="AM307">
        <v>150500</v>
      </c>
      <c r="AN307">
        <v>30.097668909456999</v>
      </c>
    </row>
    <row r="308" spans="1:40" x14ac:dyDescent="0.3">
      <c r="A308" t="str">
        <f>IF(ISBLANK(B308),"",IF(ROUND(B308,0)=ROUND(G308,0),"Pass","Fail"))</f>
        <v>Pass</v>
      </c>
      <c r="B308">
        <f t="shared" si="28"/>
        <v>44.681228637695313</v>
      </c>
      <c r="C308">
        <v>0</v>
      </c>
      <c r="D308">
        <v>30</v>
      </c>
      <c r="E308">
        <v>100</v>
      </c>
      <c r="F308">
        <v>8</v>
      </c>
      <c r="G308">
        <v>44.681228080723002</v>
      </c>
      <c r="M308" t="str">
        <f t="shared" si="29"/>
        <v>Pass</v>
      </c>
      <c r="N308">
        <f t="shared" si="30"/>
        <v>4.4169723434350772E-10</v>
      </c>
      <c r="O308">
        <v>10</v>
      </c>
      <c r="P308">
        <v>60</v>
      </c>
      <c r="Q308">
        <v>3.5</v>
      </c>
      <c r="R308" t="b">
        <v>1</v>
      </c>
      <c r="S308">
        <v>4.41697213749691E-10</v>
      </c>
      <c r="Y308" t="str">
        <f t="shared" si="31"/>
        <v>Pass</v>
      </c>
      <c r="Z308">
        <f t="shared" si="32"/>
        <v>33216.5703125</v>
      </c>
      <c r="AA308">
        <v>4600</v>
      </c>
      <c r="AB308">
        <v>20</v>
      </c>
      <c r="AC308">
        <v>6</v>
      </c>
      <c r="AD308">
        <v>0.2</v>
      </c>
      <c r="AE308">
        <v>33216.568460439899</v>
      </c>
      <c r="AK308" t="str">
        <f t="shared" si="33"/>
        <v>Pass</v>
      </c>
      <c r="AL308">
        <f t="shared" si="34"/>
        <v>30.160924911499023</v>
      </c>
      <c r="AM308">
        <v>151000</v>
      </c>
      <c r="AN308">
        <v>30.1609254786182</v>
      </c>
    </row>
    <row r="309" spans="1:40" x14ac:dyDescent="0.3">
      <c r="A309" t="str">
        <f>IF(ISBLANK(B309),"",IF(ROUND(B309,0)=ROUND(G309,0),"Pass","Fail"))</f>
        <v>Pass</v>
      </c>
      <c r="B309">
        <f t="shared" si="28"/>
        <v>27.899995803833008</v>
      </c>
      <c r="C309">
        <v>0</v>
      </c>
      <c r="D309">
        <v>30</v>
      </c>
      <c r="E309">
        <v>100</v>
      </c>
      <c r="F309">
        <v>16</v>
      </c>
      <c r="G309">
        <v>27.899997247101702</v>
      </c>
      <c r="M309" t="str">
        <f t="shared" si="29"/>
        <v>Pass</v>
      </c>
      <c r="N309">
        <f t="shared" si="30"/>
        <v>2.8165578758176935E-9</v>
      </c>
      <c r="O309">
        <v>10</v>
      </c>
      <c r="P309">
        <v>60</v>
      </c>
      <c r="Q309">
        <v>3.5</v>
      </c>
      <c r="R309" t="b">
        <v>0</v>
      </c>
      <c r="S309">
        <v>2.8165578441386E-9</v>
      </c>
      <c r="Y309" t="str">
        <f t="shared" si="31"/>
        <v>Pass</v>
      </c>
      <c r="Z309">
        <f t="shared" si="32"/>
        <v>37936.51953125</v>
      </c>
      <c r="AA309">
        <v>4600</v>
      </c>
      <c r="AB309">
        <v>20</v>
      </c>
      <c r="AC309">
        <v>8</v>
      </c>
      <c r="AD309">
        <v>0.2</v>
      </c>
      <c r="AE309">
        <v>37936.518844653998</v>
      </c>
      <c r="AK309" t="str">
        <f t="shared" si="33"/>
        <v>Pass</v>
      </c>
      <c r="AL309">
        <f t="shared" si="34"/>
        <v>30.224105834960938</v>
      </c>
      <c r="AM309">
        <v>151500</v>
      </c>
      <c r="AN309">
        <v>30.224105222909099</v>
      </c>
    </row>
    <row r="310" spans="1:40" x14ac:dyDescent="0.3">
      <c r="A310" t="str">
        <f>IF(ISBLANK(B310),"",IF(ROUND(B310,0)=ROUND(G310,0),"Pass","Fail"))</f>
        <v>Pass</v>
      </c>
      <c r="B310">
        <f t="shared" si="28"/>
        <v>19.45257568359375</v>
      </c>
      <c r="C310">
        <v>0</v>
      </c>
      <c r="D310">
        <v>30</v>
      </c>
      <c r="E310">
        <v>100</v>
      </c>
      <c r="F310">
        <v>24</v>
      </c>
      <c r="G310">
        <v>19.452577413736201</v>
      </c>
      <c r="M310" t="str">
        <f t="shared" si="29"/>
        <v>Pass</v>
      </c>
      <c r="N310">
        <f t="shared" si="30"/>
        <v>4.552907495458669E-10</v>
      </c>
      <c r="O310">
        <v>10</v>
      </c>
      <c r="P310">
        <v>60</v>
      </c>
      <c r="Q310">
        <v>4</v>
      </c>
      <c r="R310" t="b">
        <v>1</v>
      </c>
      <c r="S310">
        <v>4.5529075493252299E-10</v>
      </c>
      <c r="Y310" t="str">
        <f t="shared" si="31"/>
        <v>Pass</v>
      </c>
      <c r="Z310">
        <f t="shared" si="32"/>
        <v>41100.3984375</v>
      </c>
      <c r="AA310">
        <v>4600</v>
      </c>
      <c r="AB310">
        <v>20</v>
      </c>
      <c r="AC310">
        <v>10</v>
      </c>
      <c r="AD310">
        <v>0.2</v>
      </c>
      <c r="AE310">
        <v>41100.3962034863</v>
      </c>
      <c r="AK310" t="str">
        <f t="shared" si="33"/>
        <v>Pass</v>
      </c>
      <c r="AL310">
        <f t="shared" si="34"/>
        <v>30.287208557128906</v>
      </c>
      <c r="AM310">
        <v>152000</v>
      </c>
      <c r="AN310">
        <v>30.287208488720299</v>
      </c>
    </row>
    <row r="311" spans="1:40" x14ac:dyDescent="0.3">
      <c r="A311" t="str">
        <f>IF(ISBLANK(B311),"",IF(ROUND(B311,0)=ROUND(G311,0),"Pass","Fail"))</f>
        <v>Pass</v>
      </c>
      <c r="B311">
        <f t="shared" si="28"/>
        <v>15.200272560119629</v>
      </c>
      <c r="C311">
        <v>0</v>
      </c>
      <c r="D311">
        <v>30</v>
      </c>
      <c r="E311">
        <v>100</v>
      </c>
      <c r="F311">
        <v>32</v>
      </c>
      <c r="G311">
        <v>15.2002730059946</v>
      </c>
      <c r="M311" t="str">
        <f t="shared" si="29"/>
        <v>Pass</v>
      </c>
      <c r="N311">
        <f t="shared" si="30"/>
        <v>2.9032394266437223E-9</v>
      </c>
      <c r="O311">
        <v>10</v>
      </c>
      <c r="P311">
        <v>60</v>
      </c>
      <c r="Q311">
        <v>4</v>
      </c>
      <c r="R311" t="b">
        <v>0</v>
      </c>
      <c r="S311">
        <v>2.9032393849232898E-9</v>
      </c>
      <c r="Y311" t="str">
        <f t="shared" si="31"/>
        <v>Pass</v>
      </c>
      <c r="Z311">
        <f t="shared" si="32"/>
        <v>43221.20703125</v>
      </c>
      <c r="AA311">
        <v>4600</v>
      </c>
      <c r="AB311">
        <v>20</v>
      </c>
      <c r="AC311">
        <v>12</v>
      </c>
      <c r="AD311">
        <v>0.2</v>
      </c>
      <c r="AE311">
        <v>43221.206620309902</v>
      </c>
      <c r="AK311" t="str">
        <f t="shared" si="33"/>
        <v>Pass</v>
      </c>
      <c r="AL311">
        <f t="shared" si="34"/>
        <v>30.350234985351563</v>
      </c>
      <c r="AM311">
        <v>152500</v>
      </c>
      <c r="AN311">
        <v>30.350235619747401</v>
      </c>
    </row>
    <row r="312" spans="1:40" x14ac:dyDescent="0.3">
      <c r="A312" t="str">
        <f>IF(ISBLANK(B312),"",IF(ROUND(B312,0)=ROUND(G312,0),"Pass","Fail"))</f>
        <v>Pass</v>
      </c>
      <c r="B312">
        <f t="shared" si="28"/>
        <v>13.059726715087891</v>
      </c>
      <c r="C312">
        <v>0</v>
      </c>
      <c r="D312">
        <v>30</v>
      </c>
      <c r="E312">
        <v>100</v>
      </c>
      <c r="F312">
        <v>40</v>
      </c>
      <c r="G312">
        <v>13.059726764327101</v>
      </c>
      <c r="M312" t="str">
        <f t="shared" si="29"/>
        <v>Pass</v>
      </c>
      <c r="N312">
        <f t="shared" si="30"/>
        <v>0</v>
      </c>
      <c r="O312">
        <v>10</v>
      </c>
      <c r="P312">
        <v>70</v>
      </c>
      <c r="Q312">
        <v>0</v>
      </c>
      <c r="R312" t="b">
        <v>1</v>
      </c>
      <c r="S312">
        <v>0</v>
      </c>
      <c r="Y312" t="str">
        <f t="shared" si="31"/>
        <v>Pass</v>
      </c>
      <c r="Z312">
        <f t="shared" si="32"/>
        <v>44642.82421875</v>
      </c>
      <c r="AA312">
        <v>4600</v>
      </c>
      <c r="AB312">
        <v>20</v>
      </c>
      <c r="AC312">
        <v>14</v>
      </c>
      <c r="AD312">
        <v>0.2</v>
      </c>
      <c r="AE312">
        <v>44642.8283565479</v>
      </c>
      <c r="AK312" t="str">
        <f t="shared" si="33"/>
        <v>Pass</v>
      </c>
      <c r="AL312">
        <f t="shared" si="34"/>
        <v>30.413187026977539</v>
      </c>
      <c r="AM312">
        <v>153000</v>
      </c>
      <c r="AN312">
        <v>30.4131869570198</v>
      </c>
    </row>
    <row r="313" spans="1:40" x14ac:dyDescent="0.3">
      <c r="A313" t="str">
        <f>IF(ISBLANK(B313),"",IF(ROUND(B313,0)=ROUND(G313,0),"Pass","Fail"))</f>
        <v>Pass</v>
      </c>
      <c r="B313">
        <f t="shared" si="28"/>
        <v>11.982207298278809</v>
      </c>
      <c r="C313">
        <v>0</v>
      </c>
      <c r="D313">
        <v>30</v>
      </c>
      <c r="E313">
        <v>100</v>
      </c>
      <c r="F313">
        <v>48</v>
      </c>
      <c r="G313">
        <v>11.9822079008197</v>
      </c>
      <c r="M313" t="str">
        <f t="shared" si="29"/>
        <v>Pass</v>
      </c>
      <c r="N313">
        <f t="shared" si="30"/>
        <v>0</v>
      </c>
      <c r="O313">
        <v>10</v>
      </c>
      <c r="P313">
        <v>70</v>
      </c>
      <c r="Q313">
        <v>0</v>
      </c>
      <c r="R313" t="b">
        <v>0</v>
      </c>
      <c r="S313">
        <v>0</v>
      </c>
      <c r="Y313" t="str">
        <f t="shared" si="31"/>
        <v>Pass</v>
      </c>
      <c r="Z313">
        <f t="shared" si="32"/>
        <v>45595.76953125</v>
      </c>
      <c r="AA313">
        <v>4600</v>
      </c>
      <c r="AB313">
        <v>20</v>
      </c>
      <c r="AC313">
        <v>16</v>
      </c>
      <c r="AD313">
        <v>0.2</v>
      </c>
      <c r="AE313">
        <v>45595.769904228298</v>
      </c>
      <c r="AK313" t="str">
        <f t="shared" si="33"/>
        <v>Pass</v>
      </c>
      <c r="AL313">
        <f t="shared" si="34"/>
        <v>30.476062774658203</v>
      </c>
      <c r="AM313">
        <v>153500</v>
      </c>
      <c r="AN313">
        <v>30.476062838930801</v>
      </c>
    </row>
    <row r="314" spans="1:40" x14ac:dyDescent="0.3">
      <c r="A314" t="str">
        <f>IF(ISBLANK(B314),"",IF(ROUND(B314,0)=ROUND(G314,0),"Pass","Fail"))</f>
        <v>Pass</v>
      </c>
      <c r="B314">
        <f t="shared" si="28"/>
        <v>12.230000495910645</v>
      </c>
      <c r="C314">
        <v>0</v>
      </c>
      <c r="D314">
        <v>40</v>
      </c>
      <c r="E314">
        <v>0</v>
      </c>
      <c r="F314">
        <v>0</v>
      </c>
      <c r="G314">
        <v>12.23</v>
      </c>
      <c r="M314" t="str">
        <f t="shared" si="29"/>
        <v>Pass</v>
      </c>
      <c r="N314">
        <f t="shared" si="30"/>
        <v>5.2012708376403261E-12</v>
      </c>
      <c r="O314">
        <v>10</v>
      </c>
      <c r="P314">
        <v>70</v>
      </c>
      <c r="Q314">
        <v>0.5</v>
      </c>
      <c r="R314" t="b">
        <v>1</v>
      </c>
      <c r="S314">
        <v>5.2012709606635898E-12</v>
      </c>
      <c r="Y314" t="str">
        <f t="shared" si="31"/>
        <v>Pass</v>
      </c>
      <c r="Z314">
        <f t="shared" si="32"/>
        <v>46234.546875</v>
      </c>
      <c r="AA314">
        <v>4600</v>
      </c>
      <c r="AB314">
        <v>20</v>
      </c>
      <c r="AC314">
        <v>18</v>
      </c>
      <c r="AD314">
        <v>0.2</v>
      </c>
      <c r="AE314">
        <v>46234.545726338598</v>
      </c>
      <c r="AK314" t="str">
        <f t="shared" si="33"/>
        <v>Pass</v>
      </c>
      <c r="AL314">
        <f t="shared" si="34"/>
        <v>30.538864135742188</v>
      </c>
      <c r="AM314">
        <v>154000</v>
      </c>
      <c r="AN314">
        <v>30.538863601266101</v>
      </c>
    </row>
    <row r="315" spans="1:40" x14ac:dyDescent="0.3">
      <c r="A315" t="str">
        <f>IF(ISBLANK(B315),"",IF(ROUND(B315,0)=ROUND(G315,0),"Pass","Fail"))</f>
        <v>Pass</v>
      </c>
      <c r="B315">
        <f t="shared" si="28"/>
        <v>12.230000495910645</v>
      </c>
      <c r="C315">
        <v>0</v>
      </c>
      <c r="D315">
        <v>40</v>
      </c>
      <c r="E315">
        <v>0</v>
      </c>
      <c r="F315">
        <v>8</v>
      </c>
      <c r="G315">
        <v>12.23</v>
      </c>
      <c r="M315" t="str">
        <f t="shared" si="29"/>
        <v>Pass</v>
      </c>
      <c r="N315">
        <f t="shared" si="30"/>
        <v>3.3166792229311071E-11</v>
      </c>
      <c r="O315">
        <v>10</v>
      </c>
      <c r="P315">
        <v>70</v>
      </c>
      <c r="Q315">
        <v>0.5</v>
      </c>
      <c r="R315" t="b">
        <v>0</v>
      </c>
      <c r="S315">
        <v>3.3166794056458099E-11</v>
      </c>
      <c r="Y315" t="str">
        <f t="shared" si="31"/>
        <v>Pass</v>
      </c>
      <c r="Z315">
        <f t="shared" si="32"/>
        <v>46662.734375</v>
      </c>
      <c r="AA315">
        <v>4600</v>
      </c>
      <c r="AB315">
        <v>20</v>
      </c>
      <c r="AC315">
        <v>20</v>
      </c>
      <c r="AD315">
        <v>0.2</v>
      </c>
      <c r="AE315">
        <v>46662.729964822101</v>
      </c>
      <c r="AK315" t="str">
        <f t="shared" si="33"/>
        <v>Pass</v>
      </c>
      <c r="AL315">
        <f t="shared" si="34"/>
        <v>30.601589202880859</v>
      </c>
      <c r="AM315">
        <v>154500</v>
      </c>
      <c r="AN315">
        <v>30.601589577232399</v>
      </c>
    </row>
    <row r="316" spans="1:40" x14ac:dyDescent="0.3">
      <c r="A316" t="str">
        <f>IF(ISBLANK(B316),"",IF(ROUND(B316,0)=ROUND(G316,0),"Pass","Fail"))</f>
        <v>Pass</v>
      </c>
      <c r="B316">
        <f t="shared" si="28"/>
        <v>12.230000495910645</v>
      </c>
      <c r="C316">
        <v>0</v>
      </c>
      <c r="D316">
        <v>40</v>
      </c>
      <c r="E316">
        <v>0</v>
      </c>
      <c r="F316">
        <v>16</v>
      </c>
      <c r="G316">
        <v>12.23</v>
      </c>
      <c r="M316" t="str">
        <f t="shared" si="29"/>
        <v>Pass</v>
      </c>
      <c r="N316">
        <f t="shared" si="30"/>
        <v>6.0875605771559815E-12</v>
      </c>
      <c r="O316">
        <v>10</v>
      </c>
      <c r="P316">
        <v>70</v>
      </c>
      <c r="Q316">
        <v>1</v>
      </c>
      <c r="R316" t="b">
        <v>1</v>
      </c>
      <c r="S316">
        <v>6.0875604663019E-12</v>
      </c>
      <c r="Y316" t="str">
        <f t="shared" si="31"/>
        <v>Pass</v>
      </c>
      <c r="Z316">
        <f t="shared" si="32"/>
        <v>46949.75390625</v>
      </c>
      <c r="AA316">
        <v>4600</v>
      </c>
      <c r="AB316">
        <v>20</v>
      </c>
      <c r="AC316">
        <v>22</v>
      </c>
      <c r="AD316">
        <v>0.2</v>
      </c>
      <c r="AE316">
        <v>46949.750443274097</v>
      </c>
      <c r="AK316" t="str">
        <f t="shared" si="33"/>
        <v>Pass</v>
      </c>
      <c r="AL316">
        <f t="shared" si="34"/>
        <v>30.664241790771484</v>
      </c>
      <c r="AM316">
        <v>155000</v>
      </c>
      <c r="AN316">
        <v>30.664241097485601</v>
      </c>
    </row>
    <row r="317" spans="1:40" x14ac:dyDescent="0.3">
      <c r="A317" t="str">
        <f>IF(ISBLANK(B317),"",IF(ROUND(B317,0)=ROUND(G317,0),"Pass","Fail"))</f>
        <v>Pass</v>
      </c>
      <c r="B317">
        <f t="shared" si="28"/>
        <v>12.230000495910645</v>
      </c>
      <c r="C317">
        <v>0</v>
      </c>
      <c r="D317">
        <v>40</v>
      </c>
      <c r="E317">
        <v>0</v>
      </c>
      <c r="F317">
        <v>24</v>
      </c>
      <c r="G317">
        <v>12.23</v>
      </c>
      <c r="M317" t="str">
        <f t="shared" si="29"/>
        <v>Pass</v>
      </c>
      <c r="N317">
        <f t="shared" si="30"/>
        <v>3.8818372127824574E-11</v>
      </c>
      <c r="O317">
        <v>10</v>
      </c>
      <c r="P317">
        <v>70</v>
      </c>
      <c r="Q317">
        <v>1</v>
      </c>
      <c r="R317" t="b">
        <v>0</v>
      </c>
      <c r="S317">
        <v>3.8818370705745998E-11</v>
      </c>
      <c r="Y317" t="str">
        <f t="shared" si="31"/>
        <v>Pass</v>
      </c>
      <c r="Z317">
        <f t="shared" si="32"/>
        <v>47142.1484375</v>
      </c>
      <c r="AA317">
        <v>4600</v>
      </c>
      <c r="AB317">
        <v>20</v>
      </c>
      <c r="AC317">
        <v>24</v>
      </c>
      <c r="AD317">
        <v>0.2</v>
      </c>
      <c r="AE317">
        <v>47142.1460236032</v>
      </c>
      <c r="AK317" t="str">
        <f t="shared" si="33"/>
        <v>Pass</v>
      </c>
      <c r="AL317">
        <f t="shared" si="34"/>
        <v>30.726818084716797</v>
      </c>
      <c r="AM317">
        <v>155500</v>
      </c>
      <c r="AN317">
        <v>30.726818490157999</v>
      </c>
    </row>
    <row r="318" spans="1:40" x14ac:dyDescent="0.3">
      <c r="A318" t="str">
        <f>IF(ISBLANK(B318),"",IF(ROUND(B318,0)=ROUND(G318,0),"Pass","Fail"))</f>
        <v>Pass</v>
      </c>
      <c r="B318">
        <f t="shared" si="28"/>
        <v>12.230000495910645</v>
      </c>
      <c r="C318">
        <v>0</v>
      </c>
      <c r="D318">
        <v>40</v>
      </c>
      <c r="E318">
        <v>0</v>
      </c>
      <c r="F318">
        <v>32</v>
      </c>
      <c r="G318">
        <v>12.23</v>
      </c>
      <c r="M318" t="str">
        <f t="shared" si="29"/>
        <v>Pass</v>
      </c>
      <c r="N318">
        <f t="shared" si="30"/>
        <v>6.6744578613997518E-12</v>
      </c>
      <c r="O318">
        <v>10</v>
      </c>
      <c r="P318">
        <v>70</v>
      </c>
      <c r="Q318">
        <v>1.5</v>
      </c>
      <c r="R318" t="b">
        <v>1</v>
      </c>
      <c r="S318">
        <v>6.6744579884865703E-12</v>
      </c>
      <c r="Y318" t="str">
        <f t="shared" si="31"/>
        <v>Pass</v>
      </c>
      <c r="Z318">
        <f t="shared" si="32"/>
        <v>0</v>
      </c>
      <c r="AA318">
        <v>4800</v>
      </c>
      <c r="AB318">
        <v>20</v>
      </c>
      <c r="AC318">
        <v>0</v>
      </c>
      <c r="AD318">
        <v>0.2</v>
      </c>
      <c r="AE318">
        <v>0</v>
      </c>
      <c r="AK318" t="str">
        <f t="shared" si="33"/>
        <v>Pass</v>
      </c>
      <c r="AL318">
        <f t="shared" si="34"/>
        <v>30.789321899414063</v>
      </c>
      <c r="AM318">
        <v>156000</v>
      </c>
      <c r="AN318">
        <v>30.7893220808864</v>
      </c>
    </row>
    <row r="319" spans="1:40" x14ac:dyDescent="0.3">
      <c r="A319" t="str">
        <f>IF(ISBLANK(B319),"",IF(ROUND(B319,0)=ROUND(G319,0),"Pass","Fail"))</f>
        <v>Pass</v>
      </c>
      <c r="B319">
        <f t="shared" si="28"/>
        <v>12.230000495910645</v>
      </c>
      <c r="C319">
        <v>0</v>
      </c>
      <c r="D319">
        <v>40</v>
      </c>
      <c r="E319">
        <v>0</v>
      </c>
      <c r="F319">
        <v>40</v>
      </c>
      <c r="G319">
        <v>12.23</v>
      </c>
      <c r="M319" t="str">
        <f t="shared" si="29"/>
        <v>Pass</v>
      </c>
      <c r="N319">
        <f t="shared" si="30"/>
        <v>4.2560822921533514E-11</v>
      </c>
      <c r="O319">
        <v>10</v>
      </c>
      <c r="P319">
        <v>70</v>
      </c>
      <c r="Q319">
        <v>1.5</v>
      </c>
      <c r="R319" t="b">
        <v>0</v>
      </c>
      <c r="S319">
        <v>4.2560823155879701E-11</v>
      </c>
      <c r="Y319" t="str">
        <f t="shared" si="31"/>
        <v>Pass</v>
      </c>
      <c r="Z319">
        <f t="shared" si="32"/>
        <v>16352.125</v>
      </c>
      <c r="AA319">
        <v>4800</v>
      </c>
      <c r="AB319">
        <v>20</v>
      </c>
      <c r="AC319">
        <v>2</v>
      </c>
      <c r="AD319">
        <v>0.2</v>
      </c>
      <c r="AE319">
        <v>16352.125716632199</v>
      </c>
      <c r="AK319" t="str">
        <f t="shared" si="33"/>
        <v>Pass</v>
      </c>
      <c r="AL319">
        <f t="shared" si="34"/>
        <v>30.851751327514648</v>
      </c>
      <c r="AM319">
        <v>156500</v>
      </c>
      <c r="AN319">
        <v>30.851752192838401</v>
      </c>
    </row>
    <row r="320" spans="1:40" x14ac:dyDescent="0.3">
      <c r="A320" t="str">
        <f>IF(ISBLANK(B320),"",IF(ROUND(B320,0)=ROUND(G320,0),"Pass","Fail"))</f>
        <v>Pass</v>
      </c>
      <c r="B320">
        <f t="shared" si="28"/>
        <v>12.230000495910645</v>
      </c>
      <c r="C320">
        <v>0</v>
      </c>
      <c r="D320">
        <v>40</v>
      </c>
      <c r="E320">
        <v>0</v>
      </c>
      <c r="F320">
        <v>48</v>
      </c>
      <c r="G320">
        <v>12.23</v>
      </c>
      <c r="M320" t="str">
        <f t="shared" si="29"/>
        <v>Pass</v>
      </c>
      <c r="N320">
        <f t="shared" si="30"/>
        <v>7.1248718730432259E-12</v>
      </c>
      <c r="O320">
        <v>10</v>
      </c>
      <c r="P320">
        <v>70</v>
      </c>
      <c r="Q320">
        <v>2</v>
      </c>
      <c r="R320" t="b">
        <v>1</v>
      </c>
      <c r="S320">
        <v>7.1248724996541597E-12</v>
      </c>
      <c r="Y320" t="str">
        <f t="shared" si="31"/>
        <v>Pass</v>
      </c>
      <c r="Z320">
        <f t="shared" si="32"/>
        <v>27313.283203125</v>
      </c>
      <c r="AA320">
        <v>4800</v>
      </c>
      <c r="AB320">
        <v>20</v>
      </c>
      <c r="AC320">
        <v>4</v>
      </c>
      <c r="AD320">
        <v>0.2</v>
      </c>
      <c r="AE320">
        <v>27313.2833797858</v>
      </c>
      <c r="AK320" t="str">
        <f t="shared" si="33"/>
        <v>Pass</v>
      </c>
      <c r="AL320">
        <f t="shared" si="34"/>
        <v>30.914108276367188</v>
      </c>
      <c r="AM320">
        <v>157000</v>
      </c>
      <c r="AN320">
        <v>30.914109146739001</v>
      </c>
    </row>
    <row r="321" spans="1:40" x14ac:dyDescent="0.3">
      <c r="A321" t="str">
        <f>IF(ISBLANK(B321),"",IF(ROUND(B321,0)=ROUND(G321,0),"Pass","Fail"))</f>
        <v>Pass</v>
      </c>
      <c r="B321">
        <f t="shared" si="28"/>
        <v>79.358001708984375</v>
      </c>
      <c r="C321">
        <v>0</v>
      </c>
      <c r="D321">
        <v>40</v>
      </c>
      <c r="E321">
        <v>10</v>
      </c>
      <c r="F321">
        <v>0</v>
      </c>
      <c r="G321">
        <v>79.357999999998299</v>
      </c>
      <c r="M321" t="str">
        <f t="shared" si="29"/>
        <v>Pass</v>
      </c>
      <c r="N321">
        <f t="shared" si="30"/>
        <v>4.5432969886238794E-11</v>
      </c>
      <c r="O321">
        <v>10</v>
      </c>
      <c r="P321">
        <v>70</v>
      </c>
      <c r="Q321">
        <v>2</v>
      </c>
      <c r="R321" t="b">
        <v>0</v>
      </c>
      <c r="S321">
        <v>4.5432968338262198E-11</v>
      </c>
      <c r="Y321" t="str">
        <f t="shared" si="31"/>
        <v>Pass</v>
      </c>
      <c r="Z321">
        <f t="shared" si="32"/>
        <v>34660.76953125</v>
      </c>
      <c r="AA321">
        <v>4800</v>
      </c>
      <c r="AB321">
        <v>20</v>
      </c>
      <c r="AC321">
        <v>6</v>
      </c>
      <c r="AD321">
        <v>0.2</v>
      </c>
      <c r="AE321">
        <v>34660.767089154702</v>
      </c>
      <c r="AK321" t="str">
        <f t="shared" si="33"/>
        <v>Pass</v>
      </c>
      <c r="AL321">
        <f t="shared" si="34"/>
        <v>30.97639274597168</v>
      </c>
      <c r="AM321">
        <v>157500</v>
      </c>
      <c r="AN321">
        <v>30.976393260897201</v>
      </c>
    </row>
    <row r="322" spans="1:40" x14ac:dyDescent="0.3">
      <c r="A322" t="str">
        <f>IF(ISBLANK(B322),"",IF(ROUND(B322,0)=ROUND(G322,0),"Pass","Fail"))</f>
        <v>Pass</v>
      </c>
      <c r="B322">
        <f t="shared" si="28"/>
        <v>46.021228790283203</v>
      </c>
      <c r="C322">
        <v>0</v>
      </c>
      <c r="D322">
        <v>40</v>
      </c>
      <c r="E322">
        <v>10</v>
      </c>
      <c r="F322">
        <v>8</v>
      </c>
      <c r="G322">
        <v>46.021228080722203</v>
      </c>
      <c r="M322" t="str">
        <f t="shared" si="29"/>
        <v>Pass</v>
      </c>
      <c r="N322">
        <f t="shared" si="30"/>
        <v>7.4950696690723184E-12</v>
      </c>
      <c r="O322">
        <v>10</v>
      </c>
      <c r="P322">
        <v>70</v>
      </c>
      <c r="Q322">
        <v>2.5</v>
      </c>
      <c r="R322" t="b">
        <v>1</v>
      </c>
      <c r="S322">
        <v>7.4950695974165005E-12</v>
      </c>
      <c r="Y322" t="str">
        <f t="shared" si="31"/>
        <v>Pass</v>
      </c>
      <c r="Z322">
        <f t="shared" si="32"/>
        <v>39585.93359375</v>
      </c>
      <c r="AA322">
        <v>4800</v>
      </c>
      <c r="AB322">
        <v>20</v>
      </c>
      <c r="AC322">
        <v>8</v>
      </c>
      <c r="AD322">
        <v>0.2</v>
      </c>
      <c r="AE322">
        <v>39585.932707464999</v>
      </c>
      <c r="AK322" t="str">
        <f t="shared" si="33"/>
        <v>Pass</v>
      </c>
      <c r="AL322">
        <f t="shared" si="34"/>
        <v>31.038604736328125</v>
      </c>
      <c r="AM322">
        <v>158000</v>
      </c>
      <c r="AN322">
        <v>31.038604851231199</v>
      </c>
    </row>
    <row r="323" spans="1:40" x14ac:dyDescent="0.3">
      <c r="A323" t="str">
        <f>IF(ISBLANK(B323),"",IF(ROUND(B323,0)=ROUND(G323,0),"Pass","Fail"))</f>
        <v>Pass</v>
      </c>
      <c r="B323">
        <f t="shared" si="28"/>
        <v>29.239997863769531</v>
      </c>
      <c r="C323">
        <v>0</v>
      </c>
      <c r="D323">
        <v>40</v>
      </c>
      <c r="E323">
        <v>10</v>
      </c>
      <c r="F323">
        <v>16</v>
      </c>
      <c r="G323">
        <v>29.2399972471013</v>
      </c>
      <c r="M323" t="str">
        <f t="shared" si="29"/>
        <v>Pass</v>
      </c>
      <c r="N323">
        <f t="shared" si="30"/>
        <v>4.7793592000688889E-11</v>
      </c>
      <c r="O323">
        <v>10</v>
      </c>
      <c r="P323">
        <v>70</v>
      </c>
      <c r="Q323">
        <v>2.5</v>
      </c>
      <c r="R323" t="b">
        <v>0</v>
      </c>
      <c r="S323">
        <v>4.77935934613601E-11</v>
      </c>
      <c r="Y323" t="str">
        <f t="shared" si="31"/>
        <v>Pass</v>
      </c>
      <c r="Z323">
        <f t="shared" si="32"/>
        <v>42887.37109375</v>
      </c>
      <c r="AA323">
        <v>4800</v>
      </c>
      <c r="AB323">
        <v>20</v>
      </c>
      <c r="AC323">
        <v>10</v>
      </c>
      <c r="AD323">
        <v>0.2</v>
      </c>
      <c r="AE323">
        <v>42887.369951464003</v>
      </c>
      <c r="AK323" t="str">
        <f t="shared" si="33"/>
        <v>Pass</v>
      </c>
      <c r="AL323">
        <f t="shared" si="34"/>
        <v>31.100744247436523</v>
      </c>
      <c r="AM323">
        <v>158500</v>
      </c>
      <c r="AN323">
        <v>31.100744231294399</v>
      </c>
    </row>
    <row r="324" spans="1:40" x14ac:dyDescent="0.3">
      <c r="A324" t="str">
        <f>IF(ISBLANK(B324),"",IF(ROUND(B324,0)=ROUND(G324,0),"Pass","Fail"))</f>
        <v>Pass</v>
      </c>
      <c r="B324">
        <f t="shared" si="28"/>
        <v>20.792577743530273</v>
      </c>
      <c r="C324">
        <v>0</v>
      </c>
      <c r="D324">
        <v>40</v>
      </c>
      <c r="E324">
        <v>10</v>
      </c>
      <c r="F324">
        <v>24</v>
      </c>
      <c r="G324">
        <v>20.792577413736002</v>
      </c>
      <c r="M324" t="str">
        <f t="shared" si="29"/>
        <v>Pass</v>
      </c>
      <c r="N324">
        <f t="shared" si="30"/>
        <v>7.8117763993579281E-12</v>
      </c>
      <c r="O324">
        <v>10</v>
      </c>
      <c r="P324">
        <v>70</v>
      </c>
      <c r="Q324">
        <v>3</v>
      </c>
      <c r="R324" t="b">
        <v>1</v>
      </c>
      <c r="S324">
        <v>7.8117765623039106E-12</v>
      </c>
      <c r="Y324" t="str">
        <f t="shared" si="31"/>
        <v>Pass</v>
      </c>
      <c r="Z324">
        <f t="shared" si="32"/>
        <v>45100.390625</v>
      </c>
      <c r="AA324">
        <v>4800</v>
      </c>
      <c r="AB324">
        <v>20</v>
      </c>
      <c r="AC324">
        <v>12</v>
      </c>
      <c r="AD324">
        <v>0.2</v>
      </c>
      <c r="AE324">
        <v>45100.389516845098</v>
      </c>
      <c r="AK324" t="str">
        <f t="shared" si="33"/>
        <v>Pass</v>
      </c>
      <c r="AL324">
        <f t="shared" si="34"/>
        <v>31.162811279296875</v>
      </c>
      <c r="AM324">
        <v>159000</v>
      </c>
      <c r="AN324">
        <v>31.162811712300201</v>
      </c>
    </row>
    <row r="325" spans="1:40" x14ac:dyDescent="0.3">
      <c r="A325" t="str">
        <f>IF(ISBLANK(B325),"",IF(ROUND(B325,0)=ROUND(G325,0),"Pass","Fail"))</f>
        <v>Pass</v>
      </c>
      <c r="B325">
        <f t="shared" si="28"/>
        <v>16.540273666381836</v>
      </c>
      <c r="C325">
        <v>0</v>
      </c>
      <c r="D325">
        <v>40</v>
      </c>
      <c r="E325">
        <v>10</v>
      </c>
      <c r="F325">
        <v>32</v>
      </c>
      <c r="G325">
        <v>16.5402730059945</v>
      </c>
      <c r="M325" t="str">
        <f t="shared" si="29"/>
        <v>Pass</v>
      </c>
      <c r="N325">
        <f t="shared" si="30"/>
        <v>4.9813129315845472E-11</v>
      </c>
      <c r="O325">
        <v>10</v>
      </c>
      <c r="P325">
        <v>70</v>
      </c>
      <c r="Q325">
        <v>3</v>
      </c>
      <c r="R325" t="b">
        <v>0</v>
      </c>
      <c r="S325">
        <v>4.9813129601681901E-11</v>
      </c>
      <c r="Y325" t="str">
        <f t="shared" si="31"/>
        <v>Pass</v>
      </c>
      <c r="Z325">
        <f t="shared" si="32"/>
        <v>46583.81640625</v>
      </c>
      <c r="AA325">
        <v>4800</v>
      </c>
      <c r="AB325">
        <v>20</v>
      </c>
      <c r="AC325">
        <v>14</v>
      </c>
      <c r="AD325">
        <v>0.2</v>
      </c>
      <c r="AE325">
        <v>46583.820893789103</v>
      </c>
      <c r="AK325" t="str">
        <f t="shared" si="33"/>
        <v>Pass</v>
      </c>
      <c r="AL325">
        <f t="shared" si="34"/>
        <v>31.224807739257813</v>
      </c>
      <c r="AM325">
        <v>159500</v>
      </c>
      <c r="AN325">
        <v>31.2248076031468</v>
      </c>
    </row>
    <row r="326" spans="1:40" x14ac:dyDescent="0.3">
      <c r="A326" t="str">
        <f>IF(ISBLANK(B326),"",IF(ROUND(B326,0)=ROUND(G326,0),"Pass","Fail"))</f>
        <v>Pass</v>
      </c>
      <c r="B326">
        <f t="shared" si="28"/>
        <v>14.399726867675781</v>
      </c>
      <c r="C326">
        <v>0</v>
      </c>
      <c r="D326">
        <v>40</v>
      </c>
      <c r="E326">
        <v>10</v>
      </c>
      <c r="F326">
        <v>40</v>
      </c>
      <c r="G326">
        <v>14.399726764326999</v>
      </c>
      <c r="M326" t="str">
        <f t="shared" si="29"/>
        <v>Pass</v>
      </c>
      <c r="N326">
        <f t="shared" si="30"/>
        <v>8.0899670643064248E-12</v>
      </c>
      <c r="O326">
        <v>10</v>
      </c>
      <c r="P326">
        <v>70</v>
      </c>
      <c r="Q326">
        <v>3.5</v>
      </c>
      <c r="R326" t="b">
        <v>1</v>
      </c>
      <c r="S326">
        <v>8.08996670162983E-12</v>
      </c>
      <c r="Y326" t="str">
        <f t="shared" si="31"/>
        <v>Pass</v>
      </c>
      <c r="Z326">
        <f t="shared" si="32"/>
        <v>47578.19140625</v>
      </c>
      <c r="AA326">
        <v>4800</v>
      </c>
      <c r="AB326">
        <v>20</v>
      </c>
      <c r="AC326">
        <v>16</v>
      </c>
      <c r="AD326">
        <v>0.2</v>
      </c>
      <c r="AE326">
        <v>47578.194682672998</v>
      </c>
      <c r="AK326" t="str">
        <f t="shared" si="33"/>
        <v>Pass</v>
      </c>
      <c r="AL326">
        <f t="shared" si="34"/>
        <v>31.286731719970703</v>
      </c>
      <c r="AM326">
        <v>160000</v>
      </c>
      <c r="AN326">
        <v>31.286732210441698</v>
      </c>
    </row>
    <row r="327" spans="1:40" x14ac:dyDescent="0.3">
      <c r="A327" t="str">
        <f>IF(ISBLANK(B327),"",IF(ROUND(B327,0)=ROUND(G327,0),"Pass","Fail"))</f>
        <v>Pass</v>
      </c>
      <c r="B327">
        <f t="shared" ref="B327:B390" si="35">FMC_heath(C327,D327,E327,F327)</f>
        <v>13.322208404541016</v>
      </c>
      <c r="C327">
        <v>0</v>
      </c>
      <c r="D327">
        <v>40</v>
      </c>
      <c r="E327">
        <v>10</v>
      </c>
      <c r="F327">
        <v>48</v>
      </c>
      <c r="G327">
        <v>13.322207900819601</v>
      </c>
      <c r="M327" t="str">
        <f t="shared" ref="M327:M390" si="36">IF(ISBLANK(N327),"",IF(ROUND(N327,0)=ROUND(S327,0),"Pass","Fail"))</f>
        <v>Pass</v>
      </c>
      <c r="N327">
        <f t="shared" ref="N327:N390" si="37">ROS_heath(O327,Q327,P327,R327)</f>
        <v>5.1587057542379355E-11</v>
      </c>
      <c r="O327">
        <v>10</v>
      </c>
      <c r="P327">
        <v>70</v>
      </c>
      <c r="Q327">
        <v>3.5</v>
      </c>
      <c r="R327" t="b">
        <v>0</v>
      </c>
      <c r="S327">
        <v>5.1587056614779301E-11</v>
      </c>
      <c r="Y327" t="str">
        <f t="shared" ref="Y327:Y390" si="38">IF(ISBLANK(Z327),"",IF(ROUND(Z327,0)=ROUND(AE327,0),"Pass","Fail"))</f>
        <v>Pass</v>
      </c>
      <c r="Z327">
        <f t="shared" ref="Z327:Z390" si="39">intensity_heath(AA327,AB327,AC327,AD327)</f>
        <v>48244.74609375</v>
      </c>
      <c r="AA327">
        <v>4800</v>
      </c>
      <c r="AB327">
        <v>20</v>
      </c>
      <c r="AC327">
        <v>18</v>
      </c>
      <c r="AD327">
        <v>0.2</v>
      </c>
      <c r="AE327">
        <v>48244.743366614202</v>
      </c>
      <c r="AK327" t="str">
        <f t="shared" ref="AK327:AK390" si="40">IF(ISBLANK(AL327),"",IF(ROUND(AL327,0)=ROUND(AN327,0),"Pass","Fail"))</f>
        <v>Pass</v>
      </c>
      <c r="AL327">
        <f t="shared" ref="AL327:AL390" si="41">Flame_height_heath(AM327)</f>
        <v>31.34858512878418</v>
      </c>
      <c r="AM327">
        <v>160500</v>
      </c>
      <c r="AN327">
        <v>31.348585838525899</v>
      </c>
    </row>
    <row r="328" spans="1:40" x14ac:dyDescent="0.3">
      <c r="A328" t="str">
        <f>IF(ISBLANK(B328),"",IF(ROUND(B328,0)=ROUND(G328,0),"Pass","Fail"))</f>
        <v>Pass</v>
      </c>
      <c r="B328">
        <f t="shared" si="35"/>
        <v>79.358001708984375</v>
      </c>
      <c r="C328">
        <v>0</v>
      </c>
      <c r="D328">
        <v>40</v>
      </c>
      <c r="E328">
        <v>20</v>
      </c>
      <c r="F328">
        <v>0</v>
      </c>
      <c r="G328">
        <v>79.358000000000004</v>
      </c>
      <c r="M328" t="str">
        <f t="shared" si="36"/>
        <v>Pass</v>
      </c>
      <c r="N328">
        <f t="shared" si="37"/>
        <v>8.33894151647252E-12</v>
      </c>
      <c r="O328">
        <v>10</v>
      </c>
      <c r="P328">
        <v>70</v>
      </c>
      <c r="Q328">
        <v>4</v>
      </c>
      <c r="R328" t="b">
        <v>1</v>
      </c>
      <c r="S328">
        <v>8.3389410942749003E-12</v>
      </c>
      <c r="Y328" t="str">
        <f t="shared" si="38"/>
        <v>Pass</v>
      </c>
      <c r="Z328">
        <f t="shared" si="39"/>
        <v>48691.546875</v>
      </c>
      <c r="AA328">
        <v>4800</v>
      </c>
      <c r="AB328">
        <v>20</v>
      </c>
      <c r="AC328">
        <v>20</v>
      </c>
      <c r="AD328">
        <v>0.2</v>
      </c>
      <c r="AE328">
        <v>48691.544311118698</v>
      </c>
      <c r="AK328" t="str">
        <f t="shared" si="40"/>
        <v>Pass</v>
      </c>
      <c r="AL328">
        <f t="shared" si="41"/>
        <v>31.410367965698242</v>
      </c>
      <c r="AM328">
        <v>161000</v>
      </c>
      <c r="AN328">
        <v>31.410368789497198</v>
      </c>
    </row>
    <row r="329" spans="1:40" x14ac:dyDescent="0.3">
      <c r="A329" t="str">
        <f>IF(ISBLANK(B329),"",IF(ROUND(B329,0)=ROUND(G329,0),"Pass","Fail"))</f>
        <v>Pass</v>
      </c>
      <c r="B329">
        <f t="shared" si="35"/>
        <v>46.021228790283203</v>
      </c>
      <c r="C329">
        <v>0</v>
      </c>
      <c r="D329">
        <v>40</v>
      </c>
      <c r="E329">
        <v>20</v>
      </c>
      <c r="F329">
        <v>8</v>
      </c>
      <c r="G329">
        <v>46.021228080722999</v>
      </c>
      <c r="M329" t="str">
        <f t="shared" si="36"/>
        <v>Pass</v>
      </c>
      <c r="N329">
        <f t="shared" si="37"/>
        <v>5.3174683406487233E-11</v>
      </c>
      <c r="O329">
        <v>10</v>
      </c>
      <c r="P329">
        <v>70</v>
      </c>
      <c r="Q329">
        <v>4</v>
      </c>
      <c r="R329" t="b">
        <v>0</v>
      </c>
      <c r="S329">
        <v>5.3174684421260098E-11</v>
      </c>
      <c r="Y329" t="str">
        <f t="shared" si="38"/>
        <v>Pass</v>
      </c>
      <c r="Z329">
        <f t="shared" si="39"/>
        <v>48991.046875</v>
      </c>
      <c r="AA329">
        <v>4800</v>
      </c>
      <c r="AB329">
        <v>20</v>
      </c>
      <c r="AC329">
        <v>22</v>
      </c>
      <c r="AD329">
        <v>0.2</v>
      </c>
      <c r="AE329">
        <v>48991.043940807802</v>
      </c>
      <c r="AK329" t="str">
        <f t="shared" si="40"/>
        <v>Pass</v>
      </c>
      <c r="AL329">
        <f t="shared" si="41"/>
        <v>31.472082138061523</v>
      </c>
      <c r="AM329">
        <v>161500</v>
      </c>
      <c r="AN329">
        <v>31.472081363234299</v>
      </c>
    </row>
    <row r="330" spans="1:40" x14ac:dyDescent="0.3">
      <c r="A330" t="str">
        <f>IF(ISBLANK(B330),"",IF(ROUND(B330,0)=ROUND(G330,0),"Pass","Fail"))</f>
        <v>Pass</v>
      </c>
      <c r="B330">
        <f t="shared" si="35"/>
        <v>29.239997863769531</v>
      </c>
      <c r="C330">
        <v>0</v>
      </c>
      <c r="D330">
        <v>40</v>
      </c>
      <c r="E330">
        <v>20</v>
      </c>
      <c r="F330">
        <v>16</v>
      </c>
      <c r="G330">
        <v>29.239997247101702</v>
      </c>
      <c r="M330" t="str">
        <f t="shared" si="36"/>
        <v>Pass</v>
      </c>
      <c r="N330">
        <f t="shared" si="37"/>
        <v>0</v>
      </c>
      <c r="O330">
        <v>10</v>
      </c>
      <c r="P330">
        <v>80</v>
      </c>
      <c r="Q330">
        <v>0</v>
      </c>
      <c r="R330" t="b">
        <v>1</v>
      </c>
      <c r="S330">
        <v>0</v>
      </c>
      <c r="Y330" t="str">
        <f t="shared" si="38"/>
        <v>Pass</v>
      </c>
      <c r="Z330">
        <f t="shared" si="39"/>
        <v>49191.80859375</v>
      </c>
      <c r="AA330">
        <v>4800</v>
      </c>
      <c r="AB330">
        <v>20</v>
      </c>
      <c r="AC330">
        <v>24</v>
      </c>
      <c r="AD330">
        <v>0.2</v>
      </c>
      <c r="AE330">
        <v>49191.804546368599</v>
      </c>
      <c r="AK330" t="str">
        <f t="shared" si="40"/>
        <v>Pass</v>
      </c>
      <c r="AL330">
        <f t="shared" si="41"/>
        <v>31.533723831176758</v>
      </c>
      <c r="AM330">
        <v>162000</v>
      </c>
      <c r="AN330">
        <v>31.5337238574193</v>
      </c>
    </row>
    <row r="331" spans="1:40" x14ac:dyDescent="0.3">
      <c r="A331" t="str">
        <f>IF(ISBLANK(B331),"",IF(ROUND(B331,0)=ROUND(G331,0),"Pass","Fail"))</f>
        <v>Pass</v>
      </c>
      <c r="B331">
        <f t="shared" si="35"/>
        <v>20.792577743530273</v>
      </c>
      <c r="C331">
        <v>0</v>
      </c>
      <c r="D331">
        <v>40</v>
      </c>
      <c r="E331">
        <v>20</v>
      </c>
      <c r="F331">
        <v>24</v>
      </c>
      <c r="G331">
        <v>20.7925774137362</v>
      </c>
      <c r="M331" t="str">
        <f t="shared" si="36"/>
        <v>Pass</v>
      </c>
      <c r="N331">
        <f t="shared" si="37"/>
        <v>0</v>
      </c>
      <c r="O331">
        <v>10</v>
      </c>
      <c r="P331">
        <v>80</v>
      </c>
      <c r="Q331">
        <v>0</v>
      </c>
      <c r="R331" t="b">
        <v>0</v>
      </c>
      <c r="S331">
        <v>0</v>
      </c>
      <c r="Y331" t="str">
        <f t="shared" si="38"/>
        <v>Pass</v>
      </c>
      <c r="Z331">
        <f t="shared" si="39"/>
        <v>0</v>
      </c>
      <c r="AA331">
        <v>5000</v>
      </c>
      <c r="AB331">
        <v>20</v>
      </c>
      <c r="AC331">
        <v>0</v>
      </c>
      <c r="AD331">
        <v>0.2</v>
      </c>
      <c r="AE331">
        <v>0</v>
      </c>
      <c r="AK331" t="str">
        <f t="shared" si="40"/>
        <v>Pass</v>
      </c>
      <c r="AL331">
        <f t="shared" si="41"/>
        <v>31.595296859741211</v>
      </c>
      <c r="AM331">
        <v>162500</v>
      </c>
      <c r="AN331">
        <v>31.595296567560801</v>
      </c>
    </row>
    <row r="332" spans="1:40" x14ac:dyDescent="0.3">
      <c r="A332" t="str">
        <f>IF(ISBLANK(B332),"",IF(ROUND(B332,0)=ROUND(G332,0),"Pass","Fail"))</f>
        <v>Pass</v>
      </c>
      <c r="B332">
        <f t="shared" si="35"/>
        <v>16.540273666381836</v>
      </c>
      <c r="C332">
        <v>0</v>
      </c>
      <c r="D332">
        <v>40</v>
      </c>
      <c r="E332">
        <v>20</v>
      </c>
      <c r="F332">
        <v>32</v>
      </c>
      <c r="G332">
        <v>16.540273005994599</v>
      </c>
      <c r="M332" t="str">
        <f t="shared" si="36"/>
        <v>Pass</v>
      </c>
      <c r="N332">
        <f t="shared" si="37"/>
        <v>9.5264596179037847E-14</v>
      </c>
      <c r="O332">
        <v>10</v>
      </c>
      <c r="P332">
        <v>80</v>
      </c>
      <c r="Q332">
        <v>0.5</v>
      </c>
      <c r="R332" t="b">
        <v>1</v>
      </c>
      <c r="S332">
        <v>9.5264600685831097E-14</v>
      </c>
      <c r="Y332" t="str">
        <f t="shared" si="38"/>
        <v>Pass</v>
      </c>
      <c r="Z332">
        <f t="shared" si="39"/>
        <v>17033.462890625</v>
      </c>
      <c r="AA332">
        <v>5000</v>
      </c>
      <c r="AB332">
        <v>20</v>
      </c>
      <c r="AC332">
        <v>2</v>
      </c>
      <c r="AD332">
        <v>0.2</v>
      </c>
      <c r="AE332">
        <v>17033.464288158601</v>
      </c>
      <c r="AK332" t="str">
        <f t="shared" si="40"/>
        <v>Pass</v>
      </c>
      <c r="AL332">
        <f t="shared" si="41"/>
        <v>31.65679931640625</v>
      </c>
      <c r="AM332">
        <v>163000</v>
      </c>
      <c r="AN332">
        <v>31.656799787016698</v>
      </c>
    </row>
    <row r="333" spans="1:40" x14ac:dyDescent="0.3">
      <c r="A333" t="str">
        <f>IF(ISBLANK(B333),"",IF(ROUND(B333,0)=ROUND(G333,0),"Pass","Fail"))</f>
        <v>Pass</v>
      </c>
      <c r="B333">
        <f t="shared" si="35"/>
        <v>14.399726867675781</v>
      </c>
      <c r="C333">
        <v>0</v>
      </c>
      <c r="D333">
        <v>40</v>
      </c>
      <c r="E333">
        <v>20</v>
      </c>
      <c r="F333">
        <v>40</v>
      </c>
      <c r="G333">
        <v>14.399726764327101</v>
      </c>
      <c r="M333" t="str">
        <f t="shared" si="36"/>
        <v>Pass</v>
      </c>
      <c r="N333">
        <f t="shared" si="37"/>
        <v>6.0747099624863798E-13</v>
      </c>
      <c r="O333">
        <v>10</v>
      </c>
      <c r="P333">
        <v>80</v>
      </c>
      <c r="Q333">
        <v>0.5</v>
      </c>
      <c r="R333" t="b">
        <v>0</v>
      </c>
      <c r="S333">
        <v>6.0747102308520403E-13</v>
      </c>
      <c r="Y333" t="str">
        <f t="shared" si="38"/>
        <v>Pass</v>
      </c>
      <c r="Z333">
        <f t="shared" si="39"/>
        <v>28451.337890625</v>
      </c>
      <c r="AA333">
        <v>5000</v>
      </c>
      <c r="AB333">
        <v>20</v>
      </c>
      <c r="AC333">
        <v>4</v>
      </c>
      <c r="AD333">
        <v>0.2</v>
      </c>
      <c r="AE333">
        <v>28451.3368539435</v>
      </c>
      <c r="AK333" t="str">
        <f t="shared" si="40"/>
        <v>Pass</v>
      </c>
      <c r="AL333">
        <f t="shared" si="41"/>
        <v>31.718233108520508</v>
      </c>
      <c r="AM333">
        <v>163500</v>
      </c>
      <c r="AN333">
        <v>31.7182338070157</v>
      </c>
    </row>
    <row r="334" spans="1:40" x14ac:dyDescent="0.3">
      <c r="A334" t="str">
        <f>IF(ISBLANK(B334),"",IF(ROUND(B334,0)=ROUND(G334,0),"Pass","Fail"))</f>
        <v>Pass</v>
      </c>
      <c r="B334">
        <f t="shared" si="35"/>
        <v>13.322208404541016</v>
      </c>
      <c r="C334">
        <v>0</v>
      </c>
      <c r="D334">
        <v>40</v>
      </c>
      <c r="E334">
        <v>20</v>
      </c>
      <c r="F334">
        <v>48</v>
      </c>
      <c r="G334">
        <v>13.3222079008197</v>
      </c>
      <c r="M334" t="str">
        <f t="shared" si="36"/>
        <v>Pass</v>
      </c>
      <c r="N334">
        <f t="shared" si="37"/>
        <v>1.114975557085611E-13</v>
      </c>
      <c r="O334">
        <v>10</v>
      </c>
      <c r="P334">
        <v>80</v>
      </c>
      <c r="Q334">
        <v>1</v>
      </c>
      <c r="R334" t="b">
        <v>1</v>
      </c>
      <c r="S334">
        <v>1.11497559223316E-13</v>
      </c>
      <c r="Y334" t="str">
        <f t="shared" si="38"/>
        <v>Pass</v>
      </c>
      <c r="Z334">
        <f t="shared" si="39"/>
        <v>36104.96875</v>
      </c>
      <c r="AA334">
        <v>5000</v>
      </c>
      <c r="AB334">
        <v>20</v>
      </c>
      <c r="AC334">
        <v>6</v>
      </c>
      <c r="AD334">
        <v>0.2</v>
      </c>
      <c r="AE334">
        <v>36104.965717869498</v>
      </c>
      <c r="AK334" t="str">
        <f t="shared" si="40"/>
        <v>Pass</v>
      </c>
      <c r="AL334">
        <f t="shared" si="41"/>
        <v>31.779598236083984</v>
      </c>
      <c r="AM334">
        <v>164000</v>
      </c>
      <c r="AN334">
        <v>31.779598916679902</v>
      </c>
    </row>
    <row r="335" spans="1:40" x14ac:dyDescent="0.3">
      <c r="A335" t="str">
        <f>IF(ISBLANK(B335),"",IF(ROUND(B335,0)=ROUND(G335,0),"Pass","Fail"))</f>
        <v>Pass</v>
      </c>
      <c r="B335">
        <f t="shared" si="35"/>
        <v>79.358001708984375</v>
      </c>
      <c r="C335">
        <v>0</v>
      </c>
      <c r="D335">
        <v>40</v>
      </c>
      <c r="E335">
        <v>30</v>
      </c>
      <c r="F335">
        <v>0</v>
      </c>
      <c r="G335">
        <v>79.358000000000004</v>
      </c>
      <c r="M335" t="str">
        <f t="shared" si="36"/>
        <v>Pass</v>
      </c>
      <c r="N335">
        <f t="shared" si="37"/>
        <v>7.1098330131288967E-13</v>
      </c>
      <c r="O335">
        <v>10</v>
      </c>
      <c r="P335">
        <v>80</v>
      </c>
      <c r="Q335">
        <v>1</v>
      </c>
      <c r="R335" t="b">
        <v>0</v>
      </c>
      <c r="S335">
        <v>7.1098326015410299E-13</v>
      </c>
      <c r="Y335" t="str">
        <f t="shared" si="38"/>
        <v>Pass</v>
      </c>
      <c r="Z335">
        <f t="shared" si="39"/>
        <v>41235.34765625</v>
      </c>
      <c r="AA335">
        <v>5000</v>
      </c>
      <c r="AB335">
        <v>20</v>
      </c>
      <c r="AC335">
        <v>8</v>
      </c>
      <c r="AD335">
        <v>0.2</v>
      </c>
      <c r="AE335">
        <v>41235.346570276102</v>
      </c>
      <c r="AK335" t="str">
        <f t="shared" si="40"/>
        <v>Pass</v>
      </c>
      <c r="AL335">
        <f t="shared" si="41"/>
        <v>31.84089469909668</v>
      </c>
      <c r="AM335">
        <v>164500</v>
      </c>
      <c r="AN335">
        <v>31.840895403045899</v>
      </c>
    </row>
    <row r="336" spans="1:40" x14ac:dyDescent="0.3">
      <c r="A336" t="str">
        <f>IF(ISBLANK(B336),"",IF(ROUND(B336,0)=ROUND(G336,0),"Pass","Fail"))</f>
        <v>Pass</v>
      </c>
      <c r="B336">
        <f t="shared" si="35"/>
        <v>46.021228790283203</v>
      </c>
      <c r="C336">
        <v>0</v>
      </c>
      <c r="D336">
        <v>40</v>
      </c>
      <c r="E336">
        <v>30</v>
      </c>
      <c r="F336">
        <v>8</v>
      </c>
      <c r="G336">
        <v>46.021228080722999</v>
      </c>
      <c r="M336" t="str">
        <f t="shared" si="36"/>
        <v>Pass</v>
      </c>
      <c r="N336">
        <f t="shared" si="37"/>
        <v>1.2224696623909515E-13</v>
      </c>
      <c r="O336">
        <v>10</v>
      </c>
      <c r="P336">
        <v>80</v>
      </c>
      <c r="Q336">
        <v>1.5</v>
      </c>
      <c r="R336" t="b">
        <v>1</v>
      </c>
      <c r="S336">
        <v>1.2224696230522999E-13</v>
      </c>
      <c r="Y336" t="str">
        <f t="shared" si="38"/>
        <v>Pass</v>
      </c>
      <c r="Z336">
        <f t="shared" si="39"/>
        <v>44674.34765625</v>
      </c>
      <c r="AA336">
        <v>5000</v>
      </c>
      <c r="AB336">
        <v>20</v>
      </c>
      <c r="AC336">
        <v>10</v>
      </c>
      <c r="AD336">
        <v>0.2</v>
      </c>
      <c r="AE336">
        <v>44674.343699441597</v>
      </c>
      <c r="AK336" t="str">
        <f t="shared" si="40"/>
        <v>Pass</v>
      </c>
      <c r="AL336">
        <f t="shared" si="41"/>
        <v>31.902124404907227</v>
      </c>
      <c r="AM336">
        <v>165000</v>
      </c>
      <c r="AN336">
        <v>31.9021235510865</v>
      </c>
    </row>
    <row r="337" spans="1:40" x14ac:dyDescent="0.3">
      <c r="A337" t="str">
        <f>IF(ISBLANK(B337),"",IF(ROUND(B337,0)=ROUND(G337,0),"Pass","Fail"))</f>
        <v>Pass</v>
      </c>
      <c r="B337">
        <f t="shared" si="35"/>
        <v>29.239997863769531</v>
      </c>
      <c r="C337">
        <v>0</v>
      </c>
      <c r="D337">
        <v>40</v>
      </c>
      <c r="E337">
        <v>30</v>
      </c>
      <c r="F337">
        <v>16</v>
      </c>
      <c r="G337">
        <v>29.239997247101702</v>
      </c>
      <c r="M337" t="str">
        <f t="shared" si="36"/>
        <v>Pass</v>
      </c>
      <c r="N337">
        <f t="shared" si="37"/>
        <v>7.7952867685165961E-13</v>
      </c>
      <c r="O337">
        <v>10</v>
      </c>
      <c r="P337">
        <v>80</v>
      </c>
      <c r="Q337">
        <v>1.5</v>
      </c>
      <c r="R337" t="b">
        <v>0</v>
      </c>
      <c r="S337">
        <v>7.7952866779466299E-13</v>
      </c>
      <c r="Y337" t="str">
        <f t="shared" si="38"/>
        <v>Pass</v>
      </c>
      <c r="Z337">
        <f t="shared" si="39"/>
        <v>46979.57421875</v>
      </c>
      <c r="AA337">
        <v>5000</v>
      </c>
      <c r="AB337">
        <v>20</v>
      </c>
      <c r="AC337">
        <v>12</v>
      </c>
      <c r="AD337">
        <v>0.2</v>
      </c>
      <c r="AE337">
        <v>46979.572413380301</v>
      </c>
      <c r="AK337" t="str">
        <f t="shared" si="40"/>
        <v>Pass</v>
      </c>
      <c r="AL337">
        <f t="shared" si="41"/>
        <v>31.963283538818359</v>
      </c>
      <c r="AM337">
        <v>165500</v>
      </c>
      <c r="AN337">
        <v>31.9632836437316</v>
      </c>
    </row>
    <row r="338" spans="1:40" x14ac:dyDescent="0.3">
      <c r="A338" t="str">
        <f>IF(ISBLANK(B338),"",IF(ROUND(B338,0)=ROUND(G338,0),"Pass","Fail"))</f>
        <v>Pass</v>
      </c>
      <c r="B338">
        <f t="shared" si="35"/>
        <v>20.792577743530273</v>
      </c>
      <c r="C338">
        <v>0</v>
      </c>
      <c r="D338">
        <v>40</v>
      </c>
      <c r="E338">
        <v>30</v>
      </c>
      <c r="F338">
        <v>24</v>
      </c>
      <c r="G338">
        <v>20.7925774137362</v>
      </c>
      <c r="M338" t="str">
        <f t="shared" si="36"/>
        <v>Pass</v>
      </c>
      <c r="N338">
        <f t="shared" si="37"/>
        <v>1.3049657925437441E-13</v>
      </c>
      <c r="O338">
        <v>10</v>
      </c>
      <c r="P338">
        <v>80</v>
      </c>
      <c r="Q338">
        <v>2</v>
      </c>
      <c r="R338" t="b">
        <v>1</v>
      </c>
      <c r="S338">
        <v>1.3049659184270099E-13</v>
      </c>
      <c r="Y338" t="str">
        <f t="shared" si="38"/>
        <v>Pass</v>
      </c>
      <c r="Z338">
        <f t="shared" si="39"/>
        <v>48524.80859375</v>
      </c>
      <c r="AA338">
        <v>5000</v>
      </c>
      <c r="AB338">
        <v>20</v>
      </c>
      <c r="AC338">
        <v>14</v>
      </c>
      <c r="AD338">
        <v>0.2</v>
      </c>
      <c r="AE338">
        <v>48524.813431030401</v>
      </c>
      <c r="AK338" t="str">
        <f t="shared" si="40"/>
        <v>Pass</v>
      </c>
      <c r="AL338">
        <f t="shared" si="41"/>
        <v>32.024375915527344</v>
      </c>
      <c r="AM338">
        <v>166000</v>
      </c>
      <c r="AN338">
        <v>32.0243759618889</v>
      </c>
    </row>
    <row r="339" spans="1:40" x14ac:dyDescent="0.3">
      <c r="A339" t="str">
        <f>IF(ISBLANK(B339),"",IF(ROUND(B339,0)=ROUND(G339,0),"Pass","Fail"))</f>
        <v>Pass</v>
      </c>
      <c r="B339">
        <f t="shared" si="35"/>
        <v>16.540273666381836</v>
      </c>
      <c r="C339">
        <v>0</v>
      </c>
      <c r="D339">
        <v>40</v>
      </c>
      <c r="E339">
        <v>30</v>
      </c>
      <c r="F339">
        <v>32</v>
      </c>
      <c r="G339">
        <v>16.540273005994599</v>
      </c>
      <c r="M339" t="str">
        <f t="shared" si="36"/>
        <v>Pass</v>
      </c>
      <c r="N339">
        <f t="shared" si="37"/>
        <v>8.3213389521011316E-13</v>
      </c>
      <c r="O339">
        <v>10</v>
      </c>
      <c r="P339">
        <v>80</v>
      </c>
      <c r="Q339">
        <v>2</v>
      </c>
      <c r="R339" t="b">
        <v>0</v>
      </c>
      <c r="S339">
        <v>8.3213384179553701E-13</v>
      </c>
      <c r="Y339" t="str">
        <f t="shared" si="38"/>
        <v>Pass</v>
      </c>
      <c r="Z339">
        <f t="shared" si="39"/>
        <v>49560.6171875</v>
      </c>
      <c r="AA339">
        <v>5000</v>
      </c>
      <c r="AB339">
        <v>20</v>
      </c>
      <c r="AC339">
        <v>16</v>
      </c>
      <c r="AD339">
        <v>0.2</v>
      </c>
      <c r="AE339">
        <v>49560.619461117698</v>
      </c>
      <c r="AK339" t="str">
        <f t="shared" si="40"/>
        <v>Pass</v>
      </c>
      <c r="AL339">
        <f t="shared" si="41"/>
        <v>32.085399627685547</v>
      </c>
      <c r="AM339">
        <v>166500</v>
      </c>
      <c r="AN339">
        <v>32.085400784464397</v>
      </c>
    </row>
    <row r="340" spans="1:40" x14ac:dyDescent="0.3">
      <c r="A340" t="str">
        <f>IF(ISBLANK(B340),"",IF(ROUND(B340,0)=ROUND(G340,0),"Pass","Fail"))</f>
        <v>Pass</v>
      </c>
      <c r="B340">
        <f t="shared" si="35"/>
        <v>14.399726867675781</v>
      </c>
      <c r="C340">
        <v>0</v>
      </c>
      <c r="D340">
        <v>40</v>
      </c>
      <c r="E340">
        <v>30</v>
      </c>
      <c r="F340">
        <v>40</v>
      </c>
      <c r="G340">
        <v>14.399726764327101</v>
      </c>
      <c r="M340" t="str">
        <f t="shared" si="36"/>
        <v>Pass</v>
      </c>
      <c r="N340">
        <f t="shared" si="37"/>
        <v>1.3727698990571857E-13</v>
      </c>
      <c r="O340">
        <v>10</v>
      </c>
      <c r="P340">
        <v>80</v>
      </c>
      <c r="Q340">
        <v>2.5</v>
      </c>
      <c r="R340" t="b">
        <v>1</v>
      </c>
      <c r="S340">
        <v>1.3727698820353299E-13</v>
      </c>
      <c r="Y340" t="str">
        <f t="shared" si="38"/>
        <v>Pass</v>
      </c>
      <c r="Z340">
        <f t="shared" si="39"/>
        <v>50254.94140625</v>
      </c>
      <c r="AA340">
        <v>5000</v>
      </c>
      <c r="AB340">
        <v>20</v>
      </c>
      <c r="AC340">
        <v>18</v>
      </c>
      <c r="AD340">
        <v>0.2</v>
      </c>
      <c r="AE340">
        <v>50254.9410068898</v>
      </c>
      <c r="AK340" t="str">
        <f t="shared" si="40"/>
        <v>Pass</v>
      </c>
      <c r="AL340">
        <f t="shared" si="41"/>
        <v>32.146358489990234</v>
      </c>
      <c r="AM340">
        <v>167000</v>
      </c>
      <c r="AN340">
        <v>32.146358388382801</v>
      </c>
    </row>
    <row r="341" spans="1:40" x14ac:dyDescent="0.3">
      <c r="A341" t="str">
        <f>IF(ISBLANK(B341),"",IF(ROUND(B341,0)=ROUND(G341,0),"Pass","Fail"))</f>
        <v>Pass</v>
      </c>
      <c r="B341">
        <f t="shared" si="35"/>
        <v>13.322208404541016</v>
      </c>
      <c r="C341">
        <v>0</v>
      </c>
      <c r="D341">
        <v>40</v>
      </c>
      <c r="E341">
        <v>30</v>
      </c>
      <c r="F341">
        <v>48</v>
      </c>
      <c r="G341">
        <v>13.3222079008197</v>
      </c>
      <c r="M341" t="str">
        <f t="shared" si="36"/>
        <v>Pass</v>
      </c>
      <c r="N341">
        <f t="shared" si="37"/>
        <v>8.7537019733546773E-13</v>
      </c>
      <c r="O341">
        <v>10</v>
      </c>
      <c r="P341">
        <v>80</v>
      </c>
      <c r="Q341">
        <v>2.5</v>
      </c>
      <c r="R341" t="b">
        <v>0</v>
      </c>
      <c r="S341">
        <v>8.7537019910543804E-13</v>
      </c>
      <c r="Y341" t="str">
        <f t="shared" si="38"/>
        <v>Pass</v>
      </c>
      <c r="Z341">
        <f t="shared" si="39"/>
        <v>50720.359375</v>
      </c>
      <c r="AA341">
        <v>5000</v>
      </c>
      <c r="AB341">
        <v>20</v>
      </c>
      <c r="AC341">
        <v>20</v>
      </c>
      <c r="AD341">
        <v>0.2</v>
      </c>
      <c r="AE341">
        <v>50720.358657415301</v>
      </c>
      <c r="AK341" t="str">
        <f t="shared" si="40"/>
        <v>Pass</v>
      </c>
      <c r="AL341">
        <f t="shared" si="41"/>
        <v>32.207248687744141</v>
      </c>
      <c r="AM341">
        <v>167500</v>
      </c>
      <c r="AN341">
        <v>32.207249048607302</v>
      </c>
    </row>
    <row r="342" spans="1:40" x14ac:dyDescent="0.3">
      <c r="A342" t="str">
        <f>IF(ISBLANK(B342),"",IF(ROUND(B342,0)=ROUND(G342,0),"Pass","Fail"))</f>
        <v>Pass</v>
      </c>
      <c r="B342">
        <f t="shared" si="35"/>
        <v>79.358001708984375</v>
      </c>
      <c r="C342">
        <v>0</v>
      </c>
      <c r="D342">
        <v>40</v>
      </c>
      <c r="E342">
        <v>40</v>
      </c>
      <c r="F342">
        <v>0</v>
      </c>
      <c r="G342">
        <v>79.358000000000004</v>
      </c>
      <c r="M342" t="str">
        <f t="shared" si="36"/>
        <v>Pass</v>
      </c>
      <c r="N342">
        <f t="shared" si="37"/>
        <v>1.4307768836895052E-13</v>
      </c>
      <c r="O342">
        <v>10</v>
      </c>
      <c r="P342">
        <v>80</v>
      </c>
      <c r="Q342">
        <v>3</v>
      </c>
      <c r="R342" t="b">
        <v>1</v>
      </c>
      <c r="S342">
        <v>1.4307767860643601E-13</v>
      </c>
      <c r="Y342" t="str">
        <f t="shared" si="38"/>
        <v>Pass</v>
      </c>
      <c r="Z342">
        <f t="shared" si="39"/>
        <v>51032.33984375</v>
      </c>
      <c r="AA342">
        <v>5000</v>
      </c>
      <c r="AB342">
        <v>20</v>
      </c>
      <c r="AC342">
        <v>22</v>
      </c>
      <c r="AD342">
        <v>0.2</v>
      </c>
      <c r="AE342">
        <v>51032.337438341398</v>
      </c>
      <c r="AK342" t="str">
        <f t="shared" si="40"/>
        <v>Pass</v>
      </c>
      <c r="AL342">
        <f t="shared" si="41"/>
        <v>32.268074035644531</v>
      </c>
      <c r="AM342">
        <v>168000</v>
      </c>
      <c r="AN342">
        <v>32.2680730381594</v>
      </c>
    </row>
    <row r="343" spans="1:40" x14ac:dyDescent="0.3">
      <c r="A343" t="str">
        <f>IF(ISBLANK(B343),"",IF(ROUND(B343,0)=ROUND(G343,0),"Pass","Fail"))</f>
        <v>Pass</v>
      </c>
      <c r="B343">
        <f t="shared" si="35"/>
        <v>46.021228790283203</v>
      </c>
      <c r="C343">
        <v>0</v>
      </c>
      <c r="D343">
        <v>40</v>
      </c>
      <c r="E343">
        <v>40</v>
      </c>
      <c r="F343">
        <v>8</v>
      </c>
      <c r="G343">
        <v>46.021228080722999</v>
      </c>
      <c r="M343" t="str">
        <f t="shared" si="36"/>
        <v>Pass</v>
      </c>
      <c r="N343">
        <f t="shared" si="37"/>
        <v>9.1235927233285219E-13</v>
      </c>
      <c r="O343">
        <v>10</v>
      </c>
      <c r="P343">
        <v>80</v>
      </c>
      <c r="Q343">
        <v>3</v>
      </c>
      <c r="R343" t="b">
        <v>0</v>
      </c>
      <c r="S343">
        <v>9.1235929377737103E-13</v>
      </c>
      <c r="Y343" t="str">
        <f t="shared" si="38"/>
        <v>Pass</v>
      </c>
      <c r="Z343">
        <f t="shared" si="39"/>
        <v>51241.46484375</v>
      </c>
      <c r="AA343">
        <v>5000</v>
      </c>
      <c r="AB343">
        <v>20</v>
      </c>
      <c r="AC343">
        <v>24</v>
      </c>
      <c r="AD343">
        <v>0.2</v>
      </c>
      <c r="AE343">
        <v>51241.463069133897</v>
      </c>
      <c r="AK343" t="str">
        <f t="shared" si="40"/>
        <v>Pass</v>
      </c>
      <c r="AL343">
        <f t="shared" si="41"/>
        <v>32.328830718994141</v>
      </c>
      <c r="AM343">
        <v>168500</v>
      </c>
      <c r="AN343">
        <v>32.328830628138299</v>
      </c>
    </row>
    <row r="344" spans="1:40" x14ac:dyDescent="0.3">
      <c r="A344" t="str">
        <f>IF(ISBLANK(B344),"",IF(ROUND(B344,0)=ROUND(G344,0),"Pass","Fail"))</f>
        <v>Pass</v>
      </c>
      <c r="B344">
        <f t="shared" si="35"/>
        <v>29.239997863769531</v>
      </c>
      <c r="C344">
        <v>0</v>
      </c>
      <c r="D344">
        <v>40</v>
      </c>
      <c r="E344">
        <v>40</v>
      </c>
      <c r="F344">
        <v>16</v>
      </c>
      <c r="G344">
        <v>29.239997247101702</v>
      </c>
      <c r="M344" t="str">
        <f t="shared" si="36"/>
        <v>Pass</v>
      </c>
      <c r="N344">
        <f t="shared" si="37"/>
        <v>1.481729100310733E-13</v>
      </c>
      <c r="O344">
        <v>10</v>
      </c>
      <c r="P344">
        <v>80</v>
      </c>
      <c r="Q344">
        <v>3.5</v>
      </c>
      <c r="R344" t="b">
        <v>1</v>
      </c>
      <c r="S344">
        <v>1.48172908741157E-13</v>
      </c>
      <c r="Y344" t="str">
        <f t="shared" si="38"/>
        <v>Pass</v>
      </c>
      <c r="Z344">
        <f t="shared" si="39"/>
        <v>0</v>
      </c>
      <c r="AA344">
        <v>5200</v>
      </c>
      <c r="AB344">
        <v>20</v>
      </c>
      <c r="AC344">
        <v>0</v>
      </c>
      <c r="AD344">
        <v>0.2</v>
      </c>
      <c r="AE344">
        <v>0</v>
      </c>
      <c r="AK344" t="str">
        <f t="shared" si="40"/>
        <v>Pass</v>
      </c>
      <c r="AL344">
        <f t="shared" si="41"/>
        <v>32.389522552490234</v>
      </c>
      <c r="AM344">
        <v>169000</v>
      </c>
      <c r="AN344">
        <v>32.389522087739998</v>
      </c>
    </row>
    <row r="345" spans="1:40" x14ac:dyDescent="0.3">
      <c r="A345" t="str">
        <f>IF(ISBLANK(B345),"",IF(ROUND(B345,0)=ROUND(G345,0),"Pass","Fail"))</f>
        <v>Pass</v>
      </c>
      <c r="B345">
        <f t="shared" si="35"/>
        <v>20.792577743530273</v>
      </c>
      <c r="C345">
        <v>0</v>
      </c>
      <c r="D345">
        <v>40</v>
      </c>
      <c r="E345">
        <v>40</v>
      </c>
      <c r="F345">
        <v>24</v>
      </c>
      <c r="G345">
        <v>20.7925774137362</v>
      </c>
      <c r="M345" t="str">
        <f t="shared" si="36"/>
        <v>Pass</v>
      </c>
      <c r="N345">
        <f t="shared" si="37"/>
        <v>9.4484988409637705E-13</v>
      </c>
      <c r="O345">
        <v>10</v>
      </c>
      <c r="P345">
        <v>80</v>
      </c>
      <c r="Q345">
        <v>3.5</v>
      </c>
      <c r="R345" t="b">
        <v>0</v>
      </c>
      <c r="S345">
        <v>9.4484990036691307E-13</v>
      </c>
      <c r="Y345" t="str">
        <f t="shared" si="38"/>
        <v>Pass</v>
      </c>
      <c r="Z345">
        <f t="shared" si="39"/>
        <v>17714.802734375</v>
      </c>
      <c r="AA345">
        <v>5200</v>
      </c>
      <c r="AB345">
        <v>20</v>
      </c>
      <c r="AC345">
        <v>2</v>
      </c>
      <c r="AD345">
        <v>0.2</v>
      </c>
      <c r="AE345">
        <v>17714.8028596849</v>
      </c>
      <c r="AK345" t="str">
        <f t="shared" si="40"/>
        <v>Pass</v>
      </c>
      <c r="AL345">
        <f t="shared" si="41"/>
        <v>32.450149536132813</v>
      </c>
      <c r="AM345">
        <v>169500</v>
      </c>
      <c r="AN345">
        <v>32.450147684276502</v>
      </c>
    </row>
    <row r="346" spans="1:40" x14ac:dyDescent="0.3">
      <c r="A346" t="str">
        <f>IF(ISBLANK(B346),"",IF(ROUND(B346,0)=ROUND(G346,0),"Pass","Fail"))</f>
        <v>Pass</v>
      </c>
      <c r="B346">
        <f t="shared" si="35"/>
        <v>16.540273666381836</v>
      </c>
      <c r="C346">
        <v>0</v>
      </c>
      <c r="D346">
        <v>40</v>
      </c>
      <c r="E346">
        <v>40</v>
      </c>
      <c r="F346">
        <v>32</v>
      </c>
      <c r="G346">
        <v>16.540273005994599</v>
      </c>
      <c r="M346" t="str">
        <f t="shared" si="36"/>
        <v>Pass</v>
      </c>
      <c r="N346">
        <f t="shared" si="37"/>
        <v>1.5273303726349302E-13</v>
      </c>
      <c r="O346">
        <v>10</v>
      </c>
      <c r="P346">
        <v>80</v>
      </c>
      <c r="Q346">
        <v>4</v>
      </c>
      <c r="R346" t="b">
        <v>1</v>
      </c>
      <c r="S346">
        <v>1.5273303380976201E-13</v>
      </c>
      <c r="Y346" t="str">
        <f t="shared" si="38"/>
        <v>Pass</v>
      </c>
      <c r="Z346">
        <f t="shared" si="39"/>
        <v>29589.390625</v>
      </c>
      <c r="AA346">
        <v>5200</v>
      </c>
      <c r="AB346">
        <v>20</v>
      </c>
      <c r="AC346">
        <v>4</v>
      </c>
      <c r="AD346">
        <v>0.2</v>
      </c>
      <c r="AE346">
        <v>29589.390328101199</v>
      </c>
      <c r="AK346" t="str">
        <f t="shared" si="40"/>
        <v>Pass</v>
      </c>
      <c r="AL346">
        <f t="shared" si="41"/>
        <v>32.510707855224609</v>
      </c>
      <c r="AM346">
        <v>170000</v>
      </c>
      <c r="AN346">
        <v>32.510707683194198</v>
      </c>
    </row>
    <row r="347" spans="1:40" x14ac:dyDescent="0.3">
      <c r="A347" t="str">
        <f>IF(ISBLANK(B347),"",IF(ROUND(B347,0)=ROUND(G347,0),"Pass","Fail"))</f>
        <v>Pass</v>
      </c>
      <c r="B347">
        <f t="shared" si="35"/>
        <v>14.399726867675781</v>
      </c>
      <c r="C347">
        <v>0</v>
      </c>
      <c r="D347">
        <v>40</v>
      </c>
      <c r="E347">
        <v>40</v>
      </c>
      <c r="F347">
        <v>40</v>
      </c>
      <c r="G347">
        <v>14.399726764327101</v>
      </c>
      <c r="M347" t="str">
        <f t="shared" si="36"/>
        <v>Pass</v>
      </c>
      <c r="N347">
        <f t="shared" si="37"/>
        <v>9.7392829478265552E-13</v>
      </c>
      <c r="O347">
        <v>10</v>
      </c>
      <c r="P347">
        <v>80</v>
      </c>
      <c r="Q347">
        <v>4</v>
      </c>
      <c r="R347" t="b">
        <v>0</v>
      </c>
      <c r="S347">
        <v>9.73928317962528E-13</v>
      </c>
      <c r="Y347" t="str">
        <f t="shared" si="38"/>
        <v>Pass</v>
      </c>
      <c r="Z347">
        <f t="shared" si="39"/>
        <v>37549.1640625</v>
      </c>
      <c r="AA347">
        <v>5200</v>
      </c>
      <c r="AB347">
        <v>20</v>
      </c>
      <c r="AC347">
        <v>6</v>
      </c>
      <c r="AD347">
        <v>0.2</v>
      </c>
      <c r="AE347">
        <v>37549.164346584301</v>
      </c>
      <c r="AK347" t="str">
        <f t="shared" si="40"/>
        <v>Pass</v>
      </c>
      <c r="AL347">
        <f t="shared" si="41"/>
        <v>32.571201324462891</v>
      </c>
      <c r="AM347">
        <v>170500</v>
      </c>
      <c r="AN347">
        <v>32.571202348092697</v>
      </c>
    </row>
    <row r="348" spans="1:40" x14ac:dyDescent="0.3">
      <c r="A348" t="str">
        <f>IF(ISBLANK(B348),"",IF(ROUND(B348,0)=ROUND(G348,0),"Pass","Fail"))</f>
        <v>Pass</v>
      </c>
      <c r="B348">
        <f t="shared" si="35"/>
        <v>13.322208404541016</v>
      </c>
      <c r="C348">
        <v>0</v>
      </c>
      <c r="D348">
        <v>40</v>
      </c>
      <c r="E348">
        <v>40</v>
      </c>
      <c r="F348">
        <v>48</v>
      </c>
      <c r="G348">
        <v>13.3222079008197</v>
      </c>
      <c r="M348" t="str">
        <f t="shared" si="36"/>
        <v>Pass</v>
      </c>
      <c r="N348">
        <f t="shared" si="37"/>
        <v>0</v>
      </c>
      <c r="O348">
        <v>10</v>
      </c>
      <c r="P348">
        <v>90</v>
      </c>
      <c r="Q348">
        <v>0</v>
      </c>
      <c r="R348" t="b">
        <v>1</v>
      </c>
      <c r="S348">
        <v>0</v>
      </c>
      <c r="Y348" t="str">
        <f t="shared" si="38"/>
        <v>Pass</v>
      </c>
      <c r="Z348">
        <f t="shared" si="39"/>
        <v>42884.76171875</v>
      </c>
      <c r="AA348">
        <v>5200</v>
      </c>
      <c r="AB348">
        <v>20</v>
      </c>
      <c r="AC348">
        <v>8</v>
      </c>
      <c r="AD348">
        <v>0.2</v>
      </c>
      <c r="AE348">
        <v>42884.760433087104</v>
      </c>
      <c r="AK348" t="str">
        <f t="shared" si="40"/>
        <v>Pass</v>
      </c>
      <c r="AL348">
        <f t="shared" si="41"/>
        <v>32.631633758544922</v>
      </c>
      <c r="AM348">
        <v>171000</v>
      </c>
      <c r="AN348">
        <v>32.631631940742501</v>
      </c>
    </row>
    <row r="349" spans="1:40" x14ac:dyDescent="0.3">
      <c r="A349" t="str">
        <f>IF(ISBLANK(B349),"",IF(ROUND(B349,0)=ROUND(G349,0),"Pass","Fail"))</f>
        <v>Pass</v>
      </c>
      <c r="B349">
        <f t="shared" si="35"/>
        <v>79.358001708984375</v>
      </c>
      <c r="C349">
        <v>0</v>
      </c>
      <c r="D349">
        <v>40</v>
      </c>
      <c r="E349">
        <v>50</v>
      </c>
      <c r="F349">
        <v>0</v>
      </c>
      <c r="G349">
        <v>79.358000000000004</v>
      </c>
      <c r="M349" t="str">
        <f t="shared" si="36"/>
        <v>Pass</v>
      </c>
      <c r="N349">
        <f t="shared" si="37"/>
        <v>0</v>
      </c>
      <c r="O349">
        <v>10</v>
      </c>
      <c r="P349">
        <v>90</v>
      </c>
      <c r="Q349">
        <v>0</v>
      </c>
      <c r="R349" t="b">
        <v>0</v>
      </c>
      <c r="S349">
        <v>0</v>
      </c>
      <c r="Y349" t="str">
        <f t="shared" si="38"/>
        <v>Pass</v>
      </c>
      <c r="Z349">
        <f t="shared" si="39"/>
        <v>46461.3203125</v>
      </c>
      <c r="AA349">
        <v>5200</v>
      </c>
      <c r="AB349">
        <v>20</v>
      </c>
      <c r="AC349">
        <v>10</v>
      </c>
      <c r="AD349">
        <v>0.2</v>
      </c>
      <c r="AE349">
        <v>46461.3174474193</v>
      </c>
      <c r="AK349" t="str">
        <f t="shared" si="40"/>
        <v>Pass</v>
      </c>
      <c r="AL349">
        <f t="shared" si="41"/>
        <v>32.691997528076172</v>
      </c>
      <c r="AM349">
        <v>171500</v>
      </c>
      <c r="AN349">
        <v>32.691996721103799</v>
      </c>
    </row>
    <row r="350" spans="1:40" x14ac:dyDescent="0.3">
      <c r="A350" t="str">
        <f>IF(ISBLANK(B350),"",IF(ROUND(B350,0)=ROUND(G350,0),"Pass","Fail"))</f>
        <v>Pass</v>
      </c>
      <c r="B350">
        <f t="shared" si="35"/>
        <v>46.021228790283203</v>
      </c>
      <c r="C350">
        <v>0</v>
      </c>
      <c r="D350">
        <v>40</v>
      </c>
      <c r="E350">
        <v>50</v>
      </c>
      <c r="F350">
        <v>8</v>
      </c>
      <c r="G350">
        <v>46.021228080722999</v>
      </c>
      <c r="M350" t="str">
        <f t="shared" si="36"/>
        <v>Pass</v>
      </c>
      <c r="N350">
        <f t="shared" si="37"/>
        <v>1.7448319671693399E-15</v>
      </c>
      <c r="O350">
        <v>10</v>
      </c>
      <c r="P350">
        <v>90</v>
      </c>
      <c r="Q350">
        <v>0.5</v>
      </c>
      <c r="R350" t="b">
        <v>1</v>
      </c>
      <c r="S350">
        <v>1.74483202504377E-15</v>
      </c>
      <c r="Y350" t="str">
        <f t="shared" si="38"/>
        <v>Pass</v>
      </c>
      <c r="Z350">
        <f t="shared" si="39"/>
        <v>48858.7578125</v>
      </c>
      <c r="AA350">
        <v>5200</v>
      </c>
      <c r="AB350">
        <v>20</v>
      </c>
      <c r="AC350">
        <v>12</v>
      </c>
      <c r="AD350">
        <v>0.2</v>
      </c>
      <c r="AE350">
        <v>48858.755309915497</v>
      </c>
      <c r="AK350" t="str">
        <f t="shared" si="40"/>
        <v>Pass</v>
      </c>
      <c r="AL350">
        <f t="shared" si="41"/>
        <v>32.752296447753906</v>
      </c>
      <c r="AM350">
        <v>172000</v>
      </c>
      <c r="AN350">
        <v>32.752296947343403</v>
      </c>
    </row>
    <row r="351" spans="1:40" x14ac:dyDescent="0.3">
      <c r="A351" t="str">
        <f>IF(ISBLANK(B351),"",IF(ROUND(B351,0)=ROUND(G351,0),"Pass","Fail"))</f>
        <v>Pass</v>
      </c>
      <c r="B351">
        <f t="shared" si="35"/>
        <v>29.239997863769531</v>
      </c>
      <c r="C351">
        <v>0</v>
      </c>
      <c r="D351">
        <v>40</v>
      </c>
      <c r="E351">
        <v>50</v>
      </c>
      <c r="F351">
        <v>16</v>
      </c>
      <c r="G351">
        <v>29.239997247101702</v>
      </c>
      <c r="M351" t="str">
        <f t="shared" si="36"/>
        <v>Pass</v>
      </c>
      <c r="N351">
        <f t="shared" si="37"/>
        <v>1.1126219066350754E-14</v>
      </c>
      <c r="O351">
        <v>10</v>
      </c>
      <c r="P351">
        <v>90</v>
      </c>
      <c r="Q351">
        <v>0.5</v>
      </c>
      <c r="R351" t="b">
        <v>0</v>
      </c>
      <c r="S351">
        <v>1.11262198942153E-14</v>
      </c>
      <c r="Y351" t="str">
        <f t="shared" si="38"/>
        <v>Pass</v>
      </c>
      <c r="Z351">
        <f t="shared" si="39"/>
        <v>50465.80078125</v>
      </c>
      <c r="AA351">
        <v>5200</v>
      </c>
      <c r="AB351">
        <v>20</v>
      </c>
      <c r="AC351">
        <v>14</v>
      </c>
      <c r="AD351">
        <v>0.2</v>
      </c>
      <c r="AE351">
        <v>50465.805968271598</v>
      </c>
      <c r="AK351" t="str">
        <f t="shared" si="40"/>
        <v>Pass</v>
      </c>
      <c r="AL351">
        <f t="shared" si="41"/>
        <v>32.812534332275391</v>
      </c>
      <c r="AM351">
        <v>172500</v>
      </c>
      <c r="AN351">
        <v>32.812532875852902</v>
      </c>
    </row>
    <row r="352" spans="1:40" x14ac:dyDescent="0.3">
      <c r="A352" t="str">
        <f>IF(ISBLANK(B352),"",IF(ROUND(B352,0)=ROUND(G352,0),"Pass","Fail"))</f>
        <v>Pass</v>
      </c>
      <c r="B352">
        <f t="shared" si="35"/>
        <v>20.792577743530273</v>
      </c>
      <c r="C352">
        <v>0</v>
      </c>
      <c r="D352">
        <v>40</v>
      </c>
      <c r="E352">
        <v>50</v>
      </c>
      <c r="F352">
        <v>24</v>
      </c>
      <c r="G352">
        <v>20.7925774137362</v>
      </c>
      <c r="M352" t="str">
        <f t="shared" si="36"/>
        <v>Pass</v>
      </c>
      <c r="N352">
        <f t="shared" si="37"/>
        <v>2.0421490019850719E-15</v>
      </c>
      <c r="O352">
        <v>10</v>
      </c>
      <c r="P352">
        <v>90</v>
      </c>
      <c r="Q352">
        <v>1</v>
      </c>
      <c r="R352" t="b">
        <v>1</v>
      </c>
      <c r="S352">
        <v>2.0421490317125898E-15</v>
      </c>
      <c r="Y352" t="str">
        <f t="shared" si="38"/>
        <v>Pass</v>
      </c>
      <c r="Z352">
        <f t="shared" si="39"/>
        <v>51543.04296875</v>
      </c>
      <c r="AA352">
        <v>5200</v>
      </c>
      <c r="AB352">
        <v>20</v>
      </c>
      <c r="AC352">
        <v>16</v>
      </c>
      <c r="AD352">
        <v>0.2</v>
      </c>
      <c r="AE352">
        <v>51543.044239562398</v>
      </c>
      <c r="AK352" t="str">
        <f t="shared" si="40"/>
        <v>Pass</v>
      </c>
      <c r="AL352">
        <f t="shared" si="41"/>
        <v>32.872703552246094</v>
      </c>
      <c r="AM352">
        <v>173000</v>
      </c>
      <c r="AN352">
        <v>32.872704761265602</v>
      </c>
    </row>
    <row r="353" spans="1:40" x14ac:dyDescent="0.3">
      <c r="A353" t="str">
        <f>IF(ISBLANK(B353),"",IF(ROUND(B353,0)=ROUND(G353,0),"Pass","Fail"))</f>
        <v>Pass</v>
      </c>
      <c r="B353">
        <f t="shared" si="35"/>
        <v>16.540273666381836</v>
      </c>
      <c r="C353">
        <v>0</v>
      </c>
      <c r="D353">
        <v>40</v>
      </c>
      <c r="E353">
        <v>50</v>
      </c>
      <c r="F353">
        <v>32</v>
      </c>
      <c r="G353">
        <v>16.540273005994599</v>
      </c>
      <c r="M353" t="str">
        <f t="shared" si="36"/>
        <v>Pass</v>
      </c>
      <c r="N353">
        <f t="shared" si="37"/>
        <v>1.3022113430432268E-14</v>
      </c>
      <c r="O353">
        <v>10</v>
      </c>
      <c r="P353">
        <v>90</v>
      </c>
      <c r="Q353">
        <v>1</v>
      </c>
      <c r="R353" t="b">
        <v>0</v>
      </c>
      <c r="S353">
        <v>1.3022112648937101E-14</v>
      </c>
      <c r="Y353" t="str">
        <f t="shared" si="38"/>
        <v>Pass</v>
      </c>
      <c r="Z353">
        <f t="shared" si="39"/>
        <v>52265.140625</v>
      </c>
      <c r="AA353">
        <v>5200</v>
      </c>
      <c r="AB353">
        <v>20</v>
      </c>
      <c r="AC353">
        <v>18</v>
      </c>
      <c r="AD353">
        <v>0.2</v>
      </c>
      <c r="AE353">
        <v>52265.138647165397</v>
      </c>
      <c r="AK353" t="str">
        <f t="shared" si="40"/>
        <v>Pass</v>
      </c>
      <c r="AL353">
        <f t="shared" si="41"/>
        <v>32.932811737060547</v>
      </c>
      <c r="AM353">
        <v>173500</v>
      </c>
      <c r="AN353">
        <v>32.932812856473902</v>
      </c>
    </row>
    <row r="354" spans="1:40" x14ac:dyDescent="0.3">
      <c r="A354" t="str">
        <f>IF(ISBLANK(B354),"",IF(ROUND(B354,0)=ROUND(G354,0),"Pass","Fail"))</f>
        <v>Pass</v>
      </c>
      <c r="B354">
        <f t="shared" si="35"/>
        <v>14.399726867675781</v>
      </c>
      <c r="C354">
        <v>0</v>
      </c>
      <c r="D354">
        <v>40</v>
      </c>
      <c r="E354">
        <v>50</v>
      </c>
      <c r="F354">
        <v>40</v>
      </c>
      <c r="G354">
        <v>14.399726764327101</v>
      </c>
      <c r="M354" t="str">
        <f t="shared" si="36"/>
        <v>Pass</v>
      </c>
      <c r="N354">
        <f t="shared" si="37"/>
        <v>2.2390312226624933E-15</v>
      </c>
      <c r="O354">
        <v>10</v>
      </c>
      <c r="P354">
        <v>90</v>
      </c>
      <c r="Q354">
        <v>1.5</v>
      </c>
      <c r="R354" t="b">
        <v>1</v>
      </c>
      <c r="S354">
        <v>2.2390312168306699E-15</v>
      </c>
      <c r="Y354" t="str">
        <f t="shared" si="38"/>
        <v>Pass</v>
      </c>
      <c r="Z354">
        <f t="shared" si="39"/>
        <v>52749.17578125</v>
      </c>
      <c r="AA354">
        <v>5200</v>
      </c>
      <c r="AB354">
        <v>20</v>
      </c>
      <c r="AC354">
        <v>20</v>
      </c>
      <c r="AD354">
        <v>0.2</v>
      </c>
      <c r="AE354">
        <v>52749.173003712</v>
      </c>
      <c r="AK354" t="str">
        <f t="shared" si="40"/>
        <v>Pass</v>
      </c>
      <c r="AL354">
        <f t="shared" si="41"/>
        <v>32.99285888671875</v>
      </c>
      <c r="AM354">
        <v>174000</v>
      </c>
      <c r="AN354">
        <v>32.992857412645897</v>
      </c>
    </row>
    <row r="355" spans="1:40" x14ac:dyDescent="0.3">
      <c r="A355" t="str">
        <f>IF(ISBLANK(B355),"",IF(ROUND(B355,0)=ROUND(G355,0),"Pass","Fail"))</f>
        <v>Pass</v>
      </c>
      <c r="B355">
        <f t="shared" si="35"/>
        <v>13.322208404541016</v>
      </c>
      <c r="C355">
        <v>0</v>
      </c>
      <c r="D355">
        <v>40</v>
      </c>
      <c r="E355">
        <v>50</v>
      </c>
      <c r="F355">
        <v>48</v>
      </c>
      <c r="G355">
        <v>13.3222079008197</v>
      </c>
      <c r="M355" t="str">
        <f t="shared" si="36"/>
        <v>Pass</v>
      </c>
      <c r="N355">
        <f t="shared" si="37"/>
        <v>1.4277565336061858E-14</v>
      </c>
      <c r="O355">
        <v>10</v>
      </c>
      <c r="P355">
        <v>90</v>
      </c>
      <c r="Q355">
        <v>1.5</v>
      </c>
      <c r="R355" t="b">
        <v>0</v>
      </c>
      <c r="S355">
        <v>1.4277565582764601E-14</v>
      </c>
      <c r="Y355" t="str">
        <f t="shared" si="38"/>
        <v>Pass</v>
      </c>
      <c r="Z355">
        <f t="shared" si="39"/>
        <v>53073.6328125</v>
      </c>
      <c r="AA355">
        <v>5200</v>
      </c>
      <c r="AB355">
        <v>20</v>
      </c>
      <c r="AC355">
        <v>22</v>
      </c>
      <c r="AD355">
        <v>0.2</v>
      </c>
      <c r="AE355">
        <v>53073.630935875102</v>
      </c>
      <c r="AK355" t="str">
        <f t="shared" si="40"/>
        <v>Pass</v>
      </c>
      <c r="AL355">
        <f t="shared" si="41"/>
        <v>33.052837371826172</v>
      </c>
      <c r="AM355">
        <v>174500</v>
      </c>
      <c r="AN355">
        <v>33.052838679242299</v>
      </c>
    </row>
    <row r="356" spans="1:40" x14ac:dyDescent="0.3">
      <c r="A356" t="str">
        <f>IF(ISBLANK(B356),"",IF(ROUND(B356,0)=ROUND(G356,0),"Pass","Fail"))</f>
        <v>Pass</v>
      </c>
      <c r="B356">
        <f t="shared" si="35"/>
        <v>79.358001708984375</v>
      </c>
      <c r="C356">
        <v>0</v>
      </c>
      <c r="D356">
        <v>40</v>
      </c>
      <c r="E356">
        <v>60</v>
      </c>
      <c r="F356">
        <v>0</v>
      </c>
      <c r="G356">
        <v>79.358000000000004</v>
      </c>
      <c r="M356" t="str">
        <f t="shared" si="36"/>
        <v>Pass</v>
      </c>
      <c r="N356">
        <f t="shared" si="37"/>
        <v>2.3901283479255044E-15</v>
      </c>
      <c r="O356">
        <v>10</v>
      </c>
      <c r="P356">
        <v>90</v>
      </c>
      <c r="Q356">
        <v>2</v>
      </c>
      <c r="R356" t="b">
        <v>1</v>
      </c>
      <c r="S356">
        <v>2.39012845240507E-15</v>
      </c>
      <c r="Y356" t="str">
        <f t="shared" si="38"/>
        <v>Pass</v>
      </c>
      <c r="Z356">
        <f t="shared" si="39"/>
        <v>53291.125</v>
      </c>
      <c r="AA356">
        <v>5200</v>
      </c>
      <c r="AB356">
        <v>20</v>
      </c>
      <c r="AC356">
        <v>24</v>
      </c>
      <c r="AD356">
        <v>0.2</v>
      </c>
      <c r="AE356">
        <v>53291.121591899297</v>
      </c>
      <c r="AK356" t="str">
        <f t="shared" si="40"/>
        <v>Pass</v>
      </c>
      <c r="AL356">
        <f t="shared" si="41"/>
        <v>33.112758636474609</v>
      </c>
      <c r="AM356">
        <v>175000</v>
      </c>
      <c r="AN356">
        <v>33.1127569040327</v>
      </c>
    </row>
    <row r="357" spans="1:40" x14ac:dyDescent="0.3">
      <c r="A357" t="str">
        <f>IF(ISBLANK(B357),"",IF(ROUND(B357,0)=ROUND(G357,0),"Pass","Fail"))</f>
        <v>Pass</v>
      </c>
      <c r="B357">
        <f t="shared" si="35"/>
        <v>46.021228790283203</v>
      </c>
      <c r="C357">
        <v>0</v>
      </c>
      <c r="D357">
        <v>40</v>
      </c>
      <c r="E357">
        <v>60</v>
      </c>
      <c r="F357">
        <v>8</v>
      </c>
      <c r="G357">
        <v>46.021228080722999</v>
      </c>
      <c r="M357" t="str">
        <f t="shared" si="36"/>
        <v>Pass</v>
      </c>
      <c r="N357">
        <f t="shared" si="37"/>
        <v>1.524106361949773E-14</v>
      </c>
      <c r="O357">
        <v>10</v>
      </c>
      <c r="P357">
        <v>90</v>
      </c>
      <c r="Q357">
        <v>2</v>
      </c>
      <c r="R357" t="b">
        <v>0</v>
      </c>
      <c r="S357">
        <v>1.52410629534451E-14</v>
      </c>
      <c r="Y357" t="str">
        <f t="shared" si="38"/>
        <v>Pass</v>
      </c>
      <c r="Z357">
        <f t="shared" si="39"/>
        <v>0</v>
      </c>
      <c r="AA357">
        <v>5400</v>
      </c>
      <c r="AB357">
        <v>20</v>
      </c>
      <c r="AC357">
        <v>0</v>
      </c>
      <c r="AD357">
        <v>0.2</v>
      </c>
      <c r="AE357">
        <v>0</v>
      </c>
      <c r="AK357" t="str">
        <f t="shared" si="40"/>
        <v>Pass</v>
      </c>
      <c r="AL357">
        <f t="shared" si="41"/>
        <v>33.172611236572266</v>
      </c>
      <c r="AM357">
        <v>175500</v>
      </c>
      <c r="AN357">
        <v>33.172612333112099</v>
      </c>
    </row>
    <row r="358" spans="1:40" x14ac:dyDescent="0.3">
      <c r="A358" t="str">
        <f>IF(ISBLANK(B358),"",IF(ROUND(B358,0)=ROUND(G358,0),"Pass","Fail"))</f>
        <v>Pass</v>
      </c>
      <c r="B358">
        <f t="shared" si="35"/>
        <v>29.239997863769531</v>
      </c>
      <c r="C358">
        <v>0</v>
      </c>
      <c r="D358">
        <v>40</v>
      </c>
      <c r="E358">
        <v>60</v>
      </c>
      <c r="F358">
        <v>16</v>
      </c>
      <c r="G358">
        <v>29.239997247101702</v>
      </c>
      <c r="M358" t="str">
        <f t="shared" si="36"/>
        <v>Pass</v>
      </c>
      <c r="N358">
        <f t="shared" si="37"/>
        <v>2.51431565997072E-15</v>
      </c>
      <c r="O358">
        <v>10</v>
      </c>
      <c r="P358">
        <v>90</v>
      </c>
      <c r="Q358">
        <v>2.5</v>
      </c>
      <c r="R358" t="b">
        <v>1</v>
      </c>
      <c r="S358">
        <v>2.5143157436727299E-15</v>
      </c>
      <c r="Y358" t="str">
        <f t="shared" si="38"/>
        <v>Pass</v>
      </c>
      <c r="Z358">
        <f t="shared" si="39"/>
        <v>18396.140625</v>
      </c>
      <c r="AA358">
        <v>5400</v>
      </c>
      <c r="AB358">
        <v>20</v>
      </c>
      <c r="AC358">
        <v>2</v>
      </c>
      <c r="AD358">
        <v>0.2</v>
      </c>
      <c r="AE358">
        <v>18396.141431211301</v>
      </c>
      <c r="AK358" t="str">
        <f t="shared" si="40"/>
        <v>Pass</v>
      </c>
      <c r="AL358">
        <f t="shared" si="41"/>
        <v>33.232406616210938</v>
      </c>
      <c r="AM358">
        <v>176000</v>
      </c>
      <c r="AN358">
        <v>33.232405210916703</v>
      </c>
    </row>
    <row r="359" spans="1:40" x14ac:dyDescent="0.3">
      <c r="A359" t="str">
        <f>IF(ISBLANK(B359),"",IF(ROUND(B359,0)=ROUND(G359,0),"Pass","Fail"))</f>
        <v>Pass</v>
      </c>
      <c r="B359">
        <f t="shared" si="35"/>
        <v>20.792577743530273</v>
      </c>
      <c r="C359">
        <v>0</v>
      </c>
      <c r="D359">
        <v>40</v>
      </c>
      <c r="E359">
        <v>60</v>
      </c>
      <c r="F359">
        <v>24</v>
      </c>
      <c r="G359">
        <v>20.7925774137362</v>
      </c>
      <c r="M359" t="str">
        <f t="shared" si="36"/>
        <v>Pass</v>
      </c>
      <c r="N359">
        <f t="shared" si="37"/>
        <v>1.6032964886281142E-14</v>
      </c>
      <c r="O359">
        <v>10</v>
      </c>
      <c r="P359">
        <v>90</v>
      </c>
      <c r="Q359">
        <v>2.5</v>
      </c>
      <c r="R359" t="b">
        <v>0</v>
      </c>
      <c r="S359">
        <v>1.6032964460798701E-14</v>
      </c>
      <c r="Y359" t="str">
        <f t="shared" si="38"/>
        <v>Pass</v>
      </c>
      <c r="Z359">
        <f t="shared" si="39"/>
        <v>30727.4453125</v>
      </c>
      <c r="AA359">
        <v>5400</v>
      </c>
      <c r="AB359">
        <v>20</v>
      </c>
      <c r="AC359">
        <v>4</v>
      </c>
      <c r="AD359">
        <v>0.2</v>
      </c>
      <c r="AE359">
        <v>30727.443802259</v>
      </c>
      <c r="AK359" t="str">
        <f t="shared" si="40"/>
        <v>Pass</v>
      </c>
      <c r="AL359">
        <f t="shared" si="41"/>
        <v>33.292137145996094</v>
      </c>
      <c r="AM359">
        <v>176500</v>
      </c>
      <c r="AN359">
        <v>33.292135780239803</v>
      </c>
    </row>
    <row r="360" spans="1:40" x14ac:dyDescent="0.3">
      <c r="A360" t="str">
        <f>IF(ISBLANK(B360),"",IF(ROUND(B360,0)=ROUND(G360,0),"Pass","Fail"))</f>
        <v>Pass</v>
      </c>
      <c r="B360">
        <f t="shared" si="35"/>
        <v>16.540273666381836</v>
      </c>
      <c r="C360">
        <v>0</v>
      </c>
      <c r="D360">
        <v>40</v>
      </c>
      <c r="E360">
        <v>60</v>
      </c>
      <c r="F360">
        <v>32</v>
      </c>
      <c r="G360">
        <v>16.540273005994599</v>
      </c>
      <c r="M360" t="str">
        <f t="shared" si="36"/>
        <v>Pass</v>
      </c>
      <c r="N360">
        <f t="shared" si="37"/>
        <v>2.6205592143030637E-15</v>
      </c>
      <c r="O360">
        <v>10</v>
      </c>
      <c r="P360">
        <v>90</v>
      </c>
      <c r="Q360">
        <v>3</v>
      </c>
      <c r="R360" t="b">
        <v>1</v>
      </c>
      <c r="S360">
        <v>2.6205590943978099E-15</v>
      </c>
      <c r="Y360" t="str">
        <f t="shared" si="38"/>
        <v>Pass</v>
      </c>
      <c r="Z360">
        <f t="shared" si="39"/>
        <v>38993.36328125</v>
      </c>
      <c r="AA360">
        <v>5400</v>
      </c>
      <c r="AB360">
        <v>20</v>
      </c>
      <c r="AC360">
        <v>6</v>
      </c>
      <c r="AD360">
        <v>0.2</v>
      </c>
      <c r="AE360">
        <v>38993.362975299096</v>
      </c>
      <c r="AK360" t="str">
        <f t="shared" si="40"/>
        <v>Pass</v>
      </c>
      <c r="AL360">
        <f t="shared" si="41"/>
        <v>33.351802825927734</v>
      </c>
      <c r="AM360">
        <v>177000</v>
      </c>
      <c r="AN360">
        <v>33.351804282247699</v>
      </c>
    </row>
    <row r="361" spans="1:40" x14ac:dyDescent="0.3">
      <c r="A361" t="str">
        <f>IF(ISBLANK(B361),"",IF(ROUND(B361,0)=ROUND(G361,0),"Pass","Fail"))</f>
        <v>Pass</v>
      </c>
      <c r="B361">
        <f t="shared" si="35"/>
        <v>14.399726867675781</v>
      </c>
      <c r="C361">
        <v>0</v>
      </c>
      <c r="D361">
        <v>40</v>
      </c>
      <c r="E361">
        <v>60</v>
      </c>
      <c r="F361">
        <v>40</v>
      </c>
      <c r="G361">
        <v>14.399726764327101</v>
      </c>
      <c r="M361" t="str">
        <f t="shared" si="36"/>
        <v>Pass</v>
      </c>
      <c r="N361">
        <f t="shared" si="37"/>
        <v>1.671044386035176E-14</v>
      </c>
      <c r="O361">
        <v>10</v>
      </c>
      <c r="P361">
        <v>90</v>
      </c>
      <c r="Q361">
        <v>3</v>
      </c>
      <c r="R361" t="b">
        <v>0</v>
      </c>
      <c r="S361">
        <v>1.6710443361632101E-14</v>
      </c>
      <c r="Y361" t="str">
        <f t="shared" si="38"/>
        <v>Pass</v>
      </c>
      <c r="Z361">
        <f t="shared" si="39"/>
        <v>44534.171875</v>
      </c>
      <c r="AA361">
        <v>5400</v>
      </c>
      <c r="AB361">
        <v>20</v>
      </c>
      <c r="AC361">
        <v>8</v>
      </c>
      <c r="AD361">
        <v>0.2</v>
      </c>
      <c r="AE361">
        <v>44534.174295898199</v>
      </c>
      <c r="AK361" t="str">
        <f t="shared" si="40"/>
        <v>Pass</v>
      </c>
      <c r="AL361">
        <f t="shared" si="41"/>
        <v>33.411411285400391</v>
      </c>
      <c r="AM361">
        <v>177500</v>
      </c>
      <c r="AN361">
        <v>33.411410956494599</v>
      </c>
    </row>
    <row r="362" spans="1:40" x14ac:dyDescent="0.3">
      <c r="A362" t="str">
        <f>IF(ISBLANK(B362),"",IF(ROUND(B362,0)=ROUND(G362,0),"Pass","Fail"))</f>
        <v>Pass</v>
      </c>
      <c r="B362">
        <f t="shared" si="35"/>
        <v>13.322208404541016</v>
      </c>
      <c r="C362">
        <v>0</v>
      </c>
      <c r="D362">
        <v>40</v>
      </c>
      <c r="E362">
        <v>60</v>
      </c>
      <c r="F362">
        <v>48</v>
      </c>
      <c r="G362">
        <v>13.3222079008197</v>
      </c>
      <c r="M362" t="str">
        <f t="shared" si="36"/>
        <v>Pass</v>
      </c>
      <c r="N362">
        <f t="shared" si="37"/>
        <v>2.7138817045415167E-15</v>
      </c>
      <c r="O362">
        <v>10</v>
      </c>
      <c r="P362">
        <v>90</v>
      </c>
      <c r="Q362">
        <v>3.5</v>
      </c>
      <c r="R362" t="b">
        <v>1</v>
      </c>
      <c r="S362">
        <v>2.71388148960049E-15</v>
      </c>
      <c r="Y362" t="str">
        <f t="shared" si="38"/>
        <v>Pass</v>
      </c>
      <c r="Z362">
        <f t="shared" si="39"/>
        <v>48248.29296875</v>
      </c>
      <c r="AA362">
        <v>5400</v>
      </c>
      <c r="AB362">
        <v>20</v>
      </c>
      <c r="AC362">
        <v>10</v>
      </c>
      <c r="AD362">
        <v>0.2</v>
      </c>
      <c r="AE362">
        <v>48248.291195397003</v>
      </c>
      <c r="AK362" t="str">
        <f t="shared" si="40"/>
        <v>Pass</v>
      </c>
      <c r="AL362">
        <f t="shared" si="41"/>
        <v>33.470954895019531</v>
      </c>
      <c r="AM362">
        <v>178000</v>
      </c>
      <c r="AN362">
        <v>33.470956040938802</v>
      </c>
    </row>
    <row r="363" spans="1:40" x14ac:dyDescent="0.3">
      <c r="A363" t="str">
        <f>IF(ISBLANK(B363),"",IF(ROUND(B363,0)=ROUND(G363,0),"Pass","Fail"))</f>
        <v>Pass</v>
      </c>
      <c r="B363">
        <f t="shared" si="35"/>
        <v>79.358001708984375</v>
      </c>
      <c r="C363">
        <v>0</v>
      </c>
      <c r="D363">
        <v>40</v>
      </c>
      <c r="E363">
        <v>70</v>
      </c>
      <c r="F363">
        <v>0</v>
      </c>
      <c r="G363">
        <v>79.358000000000004</v>
      </c>
      <c r="M363" t="str">
        <f t="shared" si="36"/>
        <v>Pass</v>
      </c>
      <c r="N363">
        <f t="shared" si="37"/>
        <v>1.7305530245577058E-14</v>
      </c>
      <c r="O363">
        <v>10</v>
      </c>
      <c r="P363">
        <v>90</v>
      </c>
      <c r="Q363">
        <v>3.5</v>
      </c>
      <c r="R363" t="b">
        <v>0</v>
      </c>
      <c r="S363">
        <v>1.7305529579202999E-14</v>
      </c>
      <c r="Y363" t="str">
        <f t="shared" si="38"/>
        <v>Pass</v>
      </c>
      <c r="Z363">
        <f t="shared" si="39"/>
        <v>50737.9375</v>
      </c>
      <c r="AA363">
        <v>5400</v>
      </c>
      <c r="AB363">
        <v>20</v>
      </c>
      <c r="AC363">
        <v>12</v>
      </c>
      <c r="AD363">
        <v>0.2</v>
      </c>
      <c r="AE363">
        <v>50737.938206450701</v>
      </c>
      <c r="AK363" t="str">
        <f t="shared" si="40"/>
        <v>Pass</v>
      </c>
      <c r="AL363">
        <f t="shared" si="41"/>
        <v>33.530441284179688</v>
      </c>
      <c r="AM363">
        <v>178500</v>
      </c>
      <c r="AN363">
        <v>33.5304397719569</v>
      </c>
    </row>
    <row r="364" spans="1:40" x14ac:dyDescent="0.3">
      <c r="A364" t="str">
        <f>IF(ISBLANK(B364),"",IF(ROUND(B364,0)=ROUND(G364,0),"Pass","Fail"))</f>
        <v>Pass</v>
      </c>
      <c r="B364">
        <f t="shared" si="35"/>
        <v>46.021228790283203</v>
      </c>
      <c r="C364">
        <v>0</v>
      </c>
      <c r="D364">
        <v>40</v>
      </c>
      <c r="E364">
        <v>70</v>
      </c>
      <c r="F364">
        <v>8</v>
      </c>
      <c r="G364">
        <v>46.021228080722999</v>
      </c>
      <c r="M364" t="str">
        <f t="shared" si="36"/>
        <v>Pass</v>
      </c>
      <c r="N364">
        <f t="shared" si="37"/>
        <v>2.7974031765472902E-15</v>
      </c>
      <c r="O364">
        <v>10</v>
      </c>
      <c r="P364">
        <v>90</v>
      </c>
      <c r="Q364">
        <v>4</v>
      </c>
      <c r="R364" t="b">
        <v>1</v>
      </c>
      <c r="S364">
        <v>2.7974030936446501E-15</v>
      </c>
      <c r="Y364" t="str">
        <f t="shared" si="38"/>
        <v>Pass</v>
      </c>
      <c r="Z364">
        <f t="shared" si="39"/>
        <v>52406.796875</v>
      </c>
      <c r="AA364">
        <v>5400</v>
      </c>
      <c r="AB364">
        <v>20</v>
      </c>
      <c r="AC364">
        <v>14</v>
      </c>
      <c r="AD364">
        <v>0.2</v>
      </c>
      <c r="AE364">
        <v>52406.798505512801</v>
      </c>
      <c r="AK364" t="str">
        <f t="shared" si="40"/>
        <v>Pass</v>
      </c>
      <c r="AL364">
        <f t="shared" si="41"/>
        <v>33.589862823486328</v>
      </c>
      <c r="AM364">
        <v>179000</v>
      </c>
      <c r="AN364">
        <v>33.589862384359101</v>
      </c>
    </row>
    <row r="365" spans="1:40" x14ac:dyDescent="0.3">
      <c r="A365" t="str">
        <f>IF(ISBLANK(B365),"",IF(ROUND(B365,0)=ROUND(G365,0),"Pass","Fail"))</f>
        <v>Pass</v>
      </c>
      <c r="B365">
        <f t="shared" si="35"/>
        <v>29.239997863769531</v>
      </c>
      <c r="C365">
        <v>0</v>
      </c>
      <c r="D365">
        <v>40</v>
      </c>
      <c r="E365">
        <v>70</v>
      </c>
      <c r="F365">
        <v>16</v>
      </c>
      <c r="G365">
        <v>29.239997247101702</v>
      </c>
      <c r="M365" t="str">
        <f t="shared" si="36"/>
        <v>Pass</v>
      </c>
      <c r="N365">
        <f t="shared" si="37"/>
        <v>1.7838119151822145E-14</v>
      </c>
      <c r="O365">
        <v>10</v>
      </c>
      <c r="P365">
        <v>90</v>
      </c>
      <c r="Q365">
        <v>4</v>
      </c>
      <c r="R365" t="b">
        <v>0</v>
      </c>
      <c r="S365">
        <v>1.7838119375340799E-14</v>
      </c>
      <c r="Y365" t="str">
        <f t="shared" si="38"/>
        <v>Pass</v>
      </c>
      <c r="Z365">
        <f t="shared" si="39"/>
        <v>53525.46875</v>
      </c>
      <c r="AA365">
        <v>5400</v>
      </c>
      <c r="AB365">
        <v>20</v>
      </c>
      <c r="AC365">
        <v>16</v>
      </c>
      <c r="AD365">
        <v>0.2</v>
      </c>
      <c r="AE365">
        <v>53525.469018007097</v>
      </c>
      <c r="AK365" t="str">
        <f t="shared" si="40"/>
        <v>Pass</v>
      </c>
      <c r="AL365">
        <f t="shared" si="41"/>
        <v>33.649223327636719</v>
      </c>
      <c r="AM365">
        <v>179500</v>
      </c>
      <c r="AN365">
        <v>33.649224111404003</v>
      </c>
    </row>
    <row r="366" spans="1:40" x14ac:dyDescent="0.3">
      <c r="A366" t="str">
        <f>IF(ISBLANK(B366),"",IF(ROUND(B366,0)=ROUND(G366,0),"Pass","Fail"))</f>
        <v>Pass</v>
      </c>
      <c r="B366">
        <f t="shared" si="35"/>
        <v>20.792577743530273</v>
      </c>
      <c r="C366">
        <v>0</v>
      </c>
      <c r="D366">
        <v>40</v>
      </c>
      <c r="E366">
        <v>70</v>
      </c>
      <c r="F366">
        <v>24</v>
      </c>
      <c r="G366">
        <v>20.7925774137362</v>
      </c>
      <c r="M366" t="str">
        <f t="shared" si="36"/>
        <v>Pass</v>
      </c>
      <c r="N366">
        <f t="shared" si="37"/>
        <v>0</v>
      </c>
      <c r="O366">
        <v>20</v>
      </c>
      <c r="P366">
        <v>0</v>
      </c>
      <c r="Q366">
        <v>0</v>
      </c>
      <c r="R366" t="b">
        <v>1</v>
      </c>
      <c r="S366">
        <v>0</v>
      </c>
      <c r="Y366" t="str">
        <f t="shared" si="38"/>
        <v>Pass</v>
      </c>
      <c r="Z366">
        <f t="shared" si="39"/>
        <v>54275.3359375</v>
      </c>
      <c r="AA366">
        <v>5400</v>
      </c>
      <c r="AB366">
        <v>20</v>
      </c>
      <c r="AC366">
        <v>18</v>
      </c>
      <c r="AD366">
        <v>0.2</v>
      </c>
      <c r="AE366">
        <v>54275.336287441001</v>
      </c>
      <c r="AK366" t="str">
        <f t="shared" si="40"/>
        <v>Pass</v>
      </c>
      <c r="AL366">
        <f t="shared" si="41"/>
        <v>33.708526611328125</v>
      </c>
      <c r="AM366">
        <v>180000</v>
      </c>
      <c r="AN366">
        <v>33.708525184812899</v>
      </c>
    </row>
    <row r="367" spans="1:40" x14ac:dyDescent="0.3">
      <c r="A367" t="str">
        <f>IF(ISBLANK(B367),"",IF(ROUND(B367,0)=ROUND(G367,0),"Pass","Fail"))</f>
        <v>Pass</v>
      </c>
      <c r="B367">
        <f t="shared" si="35"/>
        <v>16.540273666381836</v>
      </c>
      <c r="C367">
        <v>0</v>
      </c>
      <c r="D367">
        <v>40</v>
      </c>
      <c r="E367">
        <v>70</v>
      </c>
      <c r="F367">
        <v>32</v>
      </c>
      <c r="G367">
        <v>16.540273005994599</v>
      </c>
      <c r="M367" t="str">
        <f t="shared" si="36"/>
        <v>Pass</v>
      </c>
      <c r="N367">
        <f t="shared" si="37"/>
        <v>0</v>
      </c>
      <c r="O367">
        <v>20</v>
      </c>
      <c r="P367">
        <v>0</v>
      </c>
      <c r="Q367">
        <v>0</v>
      </c>
      <c r="R367" t="b">
        <v>0</v>
      </c>
      <c r="S367">
        <v>0</v>
      </c>
      <c r="Y367" t="str">
        <f t="shared" si="38"/>
        <v>Pass</v>
      </c>
      <c r="Z367">
        <f t="shared" si="39"/>
        <v>54777.9921875</v>
      </c>
      <c r="AA367">
        <v>5400</v>
      </c>
      <c r="AB367">
        <v>20</v>
      </c>
      <c r="AC367">
        <v>20</v>
      </c>
      <c r="AD367">
        <v>0.2</v>
      </c>
      <c r="AE367">
        <v>54777.987350008603</v>
      </c>
      <c r="AK367" t="str">
        <f t="shared" si="40"/>
        <v>Pass</v>
      </c>
      <c r="AL367">
        <f t="shared" si="41"/>
        <v>33.767765045166016</v>
      </c>
      <c r="AM367">
        <v>180500</v>
      </c>
      <c r="AN367">
        <v>33.767765834784399</v>
      </c>
    </row>
    <row r="368" spans="1:40" x14ac:dyDescent="0.3">
      <c r="A368" t="str">
        <f>IF(ISBLANK(B368),"",IF(ROUND(B368,0)=ROUND(G368,0),"Pass","Fail"))</f>
        <v>Pass</v>
      </c>
      <c r="B368">
        <f t="shared" si="35"/>
        <v>14.399726867675781</v>
      </c>
      <c r="C368">
        <v>0</v>
      </c>
      <c r="D368">
        <v>40</v>
      </c>
      <c r="E368">
        <v>70</v>
      </c>
      <c r="F368">
        <v>40</v>
      </c>
      <c r="G368">
        <v>14.399726764327101</v>
      </c>
      <c r="M368" t="str">
        <f t="shared" si="36"/>
        <v>Pass</v>
      </c>
      <c r="N368">
        <f t="shared" si="37"/>
        <v>6.8800530433654785</v>
      </c>
      <c r="O368">
        <v>20</v>
      </c>
      <c r="P368">
        <v>0</v>
      </c>
      <c r="Q368">
        <v>0.5</v>
      </c>
      <c r="R368" t="b">
        <v>1</v>
      </c>
      <c r="S368">
        <v>6.8800531000257896</v>
      </c>
      <c r="Y368" t="str">
        <f t="shared" si="38"/>
        <v>Pass</v>
      </c>
      <c r="Z368">
        <f t="shared" si="39"/>
        <v>55114.9296875</v>
      </c>
      <c r="AA368">
        <v>5400</v>
      </c>
      <c r="AB368">
        <v>20</v>
      </c>
      <c r="AC368">
        <v>22</v>
      </c>
      <c r="AD368">
        <v>0.2</v>
      </c>
      <c r="AE368">
        <v>55114.924433408698</v>
      </c>
      <c r="AK368" t="str">
        <f t="shared" si="40"/>
        <v>Pass</v>
      </c>
      <c r="AL368">
        <f t="shared" si="41"/>
        <v>33.826946258544922</v>
      </c>
      <c r="AM368">
        <v>181000</v>
      </c>
      <c r="AN368">
        <v>33.8269462900085</v>
      </c>
    </row>
    <row r="369" spans="1:40" x14ac:dyDescent="0.3">
      <c r="A369" t="str">
        <f>IF(ISBLANK(B369),"",IF(ROUND(B369,0)=ROUND(G369,0),"Pass","Fail"))</f>
        <v>Pass</v>
      </c>
      <c r="B369">
        <f t="shared" si="35"/>
        <v>13.322208404541016</v>
      </c>
      <c r="C369">
        <v>0</v>
      </c>
      <c r="D369">
        <v>40</v>
      </c>
      <c r="E369">
        <v>70</v>
      </c>
      <c r="F369">
        <v>48</v>
      </c>
      <c r="G369">
        <v>13.3222079008197</v>
      </c>
      <c r="M369" t="str">
        <f t="shared" si="36"/>
        <v>Pass</v>
      </c>
      <c r="N369">
        <f t="shared" si="37"/>
        <v>147.06697082519531</v>
      </c>
      <c r="O369">
        <v>20</v>
      </c>
      <c r="P369">
        <v>0</v>
      </c>
      <c r="Q369">
        <v>0.5</v>
      </c>
      <c r="R369" t="b">
        <v>0</v>
      </c>
      <c r="S369">
        <v>147.06696327183701</v>
      </c>
      <c r="Y369" t="str">
        <f t="shared" si="38"/>
        <v>Pass</v>
      </c>
      <c r="Z369">
        <f t="shared" si="39"/>
        <v>55340.78125</v>
      </c>
      <c r="AA369">
        <v>5400</v>
      </c>
      <c r="AB369">
        <v>20</v>
      </c>
      <c r="AC369">
        <v>24</v>
      </c>
      <c r="AD369">
        <v>0.2</v>
      </c>
      <c r="AE369">
        <v>55340.780114664602</v>
      </c>
      <c r="AK369" t="str">
        <f t="shared" si="40"/>
        <v>Pass</v>
      </c>
      <c r="AL369">
        <f t="shared" si="41"/>
        <v>33.886066436767578</v>
      </c>
      <c r="AM369">
        <v>181500</v>
      </c>
      <c r="AN369">
        <v>33.886066777680497</v>
      </c>
    </row>
    <row r="370" spans="1:40" x14ac:dyDescent="0.3">
      <c r="A370" t="str">
        <f>IF(ISBLANK(B370),"",IF(ROUND(B370,0)=ROUND(G370,0),"Pass","Fail"))</f>
        <v>Pass</v>
      </c>
      <c r="B370">
        <f t="shared" si="35"/>
        <v>79.358001708984375</v>
      </c>
      <c r="C370">
        <v>0</v>
      </c>
      <c r="D370">
        <v>40</v>
      </c>
      <c r="E370">
        <v>80</v>
      </c>
      <c r="F370">
        <v>0</v>
      </c>
      <c r="G370">
        <v>79.358000000000004</v>
      </c>
      <c r="M370" t="str">
        <f t="shared" si="36"/>
        <v>Pass</v>
      </c>
      <c r="N370">
        <f t="shared" si="37"/>
        <v>8.0524053573608398</v>
      </c>
      <c r="O370">
        <v>20</v>
      </c>
      <c r="P370">
        <v>0</v>
      </c>
      <c r="Q370">
        <v>1</v>
      </c>
      <c r="R370" t="b">
        <v>1</v>
      </c>
      <c r="S370">
        <v>8.0524048015432292</v>
      </c>
      <c r="Y370" t="str">
        <f t="shared" si="38"/>
        <v>Pass</v>
      </c>
      <c r="Z370">
        <f t="shared" si="39"/>
        <v>0</v>
      </c>
      <c r="AA370">
        <v>5600</v>
      </c>
      <c r="AB370">
        <v>20</v>
      </c>
      <c r="AC370">
        <v>0</v>
      </c>
      <c r="AD370">
        <v>0.2</v>
      </c>
      <c r="AE370">
        <v>0</v>
      </c>
      <c r="AK370" t="str">
        <f t="shared" si="40"/>
        <v>Pass</v>
      </c>
      <c r="AL370">
        <f t="shared" si="41"/>
        <v>33.94512939453125</v>
      </c>
      <c r="AM370">
        <v>182000</v>
      </c>
      <c r="AN370">
        <v>33.945127523515197</v>
      </c>
    </row>
    <row r="371" spans="1:40" x14ac:dyDescent="0.3">
      <c r="A371" t="str">
        <f>IF(ISBLANK(B371),"",IF(ROUND(B371,0)=ROUND(G371,0),"Pass","Fail"))</f>
        <v>Pass</v>
      </c>
      <c r="B371">
        <f t="shared" si="35"/>
        <v>46.021228790283203</v>
      </c>
      <c r="C371">
        <v>0</v>
      </c>
      <c r="D371">
        <v>40</v>
      </c>
      <c r="E371">
        <v>80</v>
      </c>
      <c r="F371">
        <v>8</v>
      </c>
      <c r="G371">
        <v>46.021228080722999</v>
      </c>
      <c r="M371" t="str">
        <f t="shared" si="36"/>
        <v>Pass</v>
      </c>
      <c r="N371">
        <f t="shared" si="37"/>
        <v>172.12696838378906</v>
      </c>
      <c r="O371">
        <v>20</v>
      </c>
      <c r="P371">
        <v>0</v>
      </c>
      <c r="Q371">
        <v>1</v>
      </c>
      <c r="R371" t="b">
        <v>0</v>
      </c>
      <c r="S371">
        <v>172.12697401915099</v>
      </c>
      <c r="Y371" t="str">
        <f t="shared" si="38"/>
        <v>Pass</v>
      </c>
      <c r="Z371">
        <f t="shared" si="39"/>
        <v>19077.478515625</v>
      </c>
      <c r="AA371">
        <v>5600</v>
      </c>
      <c r="AB371">
        <v>20</v>
      </c>
      <c r="AC371">
        <v>2</v>
      </c>
      <c r="AD371">
        <v>0.2</v>
      </c>
      <c r="AE371">
        <v>19077.4800027376</v>
      </c>
      <c r="AK371" t="str">
        <f t="shared" si="40"/>
        <v>Pass</v>
      </c>
      <c r="AL371">
        <f t="shared" si="41"/>
        <v>34.004127502441406</v>
      </c>
      <c r="AM371">
        <v>182500</v>
      </c>
      <c r="AN371">
        <v>34.004128751760099</v>
      </c>
    </row>
    <row r="372" spans="1:40" x14ac:dyDescent="0.3">
      <c r="A372" t="str">
        <f>IF(ISBLANK(B372),"",IF(ROUND(B372,0)=ROUND(G372,0),"Pass","Fail"))</f>
        <v>Pass</v>
      </c>
      <c r="B372">
        <f t="shared" si="35"/>
        <v>29.239997863769531</v>
      </c>
      <c r="C372">
        <v>0</v>
      </c>
      <c r="D372">
        <v>40</v>
      </c>
      <c r="E372">
        <v>80</v>
      </c>
      <c r="F372">
        <v>16</v>
      </c>
      <c r="G372">
        <v>29.239997247101702</v>
      </c>
      <c r="M372" t="str">
        <f t="shared" si="36"/>
        <v>Pass</v>
      </c>
      <c r="N372">
        <f t="shared" si="37"/>
        <v>8.8287315368652344</v>
      </c>
      <c r="O372">
        <v>20</v>
      </c>
      <c r="P372">
        <v>0</v>
      </c>
      <c r="Q372">
        <v>1.5</v>
      </c>
      <c r="R372" t="b">
        <v>1</v>
      </c>
      <c r="S372">
        <v>8.8287316161702698</v>
      </c>
      <c r="Y372" t="str">
        <f t="shared" si="38"/>
        <v>Pass</v>
      </c>
      <c r="Z372">
        <f t="shared" si="39"/>
        <v>31865.498046875</v>
      </c>
      <c r="AA372">
        <v>5600</v>
      </c>
      <c r="AB372">
        <v>20</v>
      </c>
      <c r="AC372">
        <v>4</v>
      </c>
      <c r="AD372">
        <v>0.2</v>
      </c>
      <c r="AE372">
        <v>31865.4972764167</v>
      </c>
      <c r="AK372" t="str">
        <f t="shared" si="40"/>
        <v>Pass</v>
      </c>
      <c r="AL372">
        <f t="shared" si="41"/>
        <v>34.063072204589844</v>
      </c>
      <c r="AM372">
        <v>183000</v>
      </c>
      <c r="AN372">
        <v>34.063070685209503</v>
      </c>
    </row>
    <row r="373" spans="1:40" x14ac:dyDescent="0.3">
      <c r="A373" t="str">
        <f>IF(ISBLANK(B373),"",IF(ROUND(B373,0)=ROUND(G373,0),"Pass","Fail"))</f>
        <v>Pass</v>
      </c>
      <c r="B373">
        <f t="shared" si="35"/>
        <v>20.792577743530273</v>
      </c>
      <c r="C373">
        <v>0</v>
      </c>
      <c r="D373">
        <v>40</v>
      </c>
      <c r="E373">
        <v>80</v>
      </c>
      <c r="F373">
        <v>24</v>
      </c>
      <c r="G373">
        <v>20.7925774137362</v>
      </c>
      <c r="M373" t="str">
        <f t="shared" si="36"/>
        <v>Pass</v>
      </c>
      <c r="N373">
        <f t="shared" si="37"/>
        <v>188.72161865234375</v>
      </c>
      <c r="O373">
        <v>20</v>
      </c>
      <c r="P373">
        <v>0</v>
      </c>
      <c r="Q373">
        <v>1.5</v>
      </c>
      <c r="R373" t="b">
        <v>0</v>
      </c>
      <c r="S373">
        <v>188.72161732695801</v>
      </c>
      <c r="Y373" t="str">
        <f t="shared" si="38"/>
        <v>Pass</v>
      </c>
      <c r="Z373">
        <f t="shared" si="39"/>
        <v>40437.5625</v>
      </c>
      <c r="AA373">
        <v>5600</v>
      </c>
      <c r="AB373">
        <v>20</v>
      </c>
      <c r="AC373">
        <v>6</v>
      </c>
      <c r="AD373">
        <v>0.2</v>
      </c>
      <c r="AE373">
        <v>40437.561604013899</v>
      </c>
      <c r="AK373" t="str">
        <f t="shared" si="40"/>
        <v>Pass</v>
      </c>
      <c r="AL373">
        <f t="shared" si="41"/>
        <v>34.121952056884766</v>
      </c>
      <c r="AM373">
        <v>183500</v>
      </c>
      <c r="AN373">
        <v>34.121953545217202</v>
      </c>
    </row>
    <row r="374" spans="1:40" x14ac:dyDescent="0.3">
      <c r="A374" t="str">
        <f>IF(ISBLANK(B374),"",IF(ROUND(B374,0)=ROUND(G374,0),"Pass","Fail"))</f>
        <v>Pass</v>
      </c>
      <c r="B374">
        <f t="shared" si="35"/>
        <v>16.540273666381836</v>
      </c>
      <c r="C374">
        <v>0</v>
      </c>
      <c r="D374">
        <v>40</v>
      </c>
      <c r="E374">
        <v>80</v>
      </c>
      <c r="F374">
        <v>32</v>
      </c>
      <c r="G374">
        <v>16.540273005994599</v>
      </c>
      <c r="M374" t="str">
        <f t="shared" si="36"/>
        <v>Pass</v>
      </c>
      <c r="N374">
        <f t="shared" si="37"/>
        <v>9.4245233535766602</v>
      </c>
      <c r="O374">
        <v>20</v>
      </c>
      <c r="P374">
        <v>0</v>
      </c>
      <c r="Q374">
        <v>2</v>
      </c>
      <c r="R374" t="b">
        <v>1</v>
      </c>
      <c r="S374">
        <v>9.4245236403296602</v>
      </c>
      <c r="Y374" t="str">
        <f t="shared" si="38"/>
        <v>Pass</v>
      </c>
      <c r="Z374">
        <f t="shared" si="39"/>
        <v>46183.5859375</v>
      </c>
      <c r="AA374">
        <v>5600</v>
      </c>
      <c r="AB374">
        <v>20</v>
      </c>
      <c r="AC374">
        <v>8</v>
      </c>
      <c r="AD374">
        <v>0.2</v>
      </c>
      <c r="AE374">
        <v>46183.588158709201</v>
      </c>
      <c r="AK374" t="str">
        <f t="shared" si="40"/>
        <v>Pass</v>
      </c>
      <c r="AL374">
        <f t="shared" si="41"/>
        <v>34.180778503417969</v>
      </c>
      <c r="AM374">
        <v>184000</v>
      </c>
      <c r="AN374">
        <v>34.180777551710399</v>
      </c>
    </row>
    <row r="375" spans="1:40" x14ac:dyDescent="0.3">
      <c r="A375" t="str">
        <f>IF(ISBLANK(B375),"",IF(ROUND(B375,0)=ROUND(G375,0),"Pass","Fail"))</f>
        <v>Pass</v>
      </c>
      <c r="B375">
        <f t="shared" si="35"/>
        <v>14.399726867675781</v>
      </c>
      <c r="C375">
        <v>0</v>
      </c>
      <c r="D375">
        <v>40</v>
      </c>
      <c r="E375">
        <v>80</v>
      </c>
      <c r="F375">
        <v>40</v>
      </c>
      <c r="G375">
        <v>14.399726764327101</v>
      </c>
      <c r="M375" t="str">
        <f t="shared" si="36"/>
        <v>Pass</v>
      </c>
      <c r="N375">
        <f t="shared" si="37"/>
        <v>201.45718383789063</v>
      </c>
      <c r="O375">
        <v>20</v>
      </c>
      <c r="P375">
        <v>0</v>
      </c>
      <c r="Q375">
        <v>2</v>
      </c>
      <c r="R375" t="b">
        <v>0</v>
      </c>
      <c r="S375">
        <v>201.45717655314701</v>
      </c>
      <c r="Y375" t="str">
        <f t="shared" si="38"/>
        <v>Pass</v>
      </c>
      <c r="Z375">
        <f t="shared" si="39"/>
        <v>50035.26953125</v>
      </c>
      <c r="AA375">
        <v>5600</v>
      </c>
      <c r="AB375">
        <v>20</v>
      </c>
      <c r="AC375">
        <v>10</v>
      </c>
      <c r="AD375">
        <v>0.2</v>
      </c>
      <c r="AE375">
        <v>50035.264943374597</v>
      </c>
      <c r="AK375" t="str">
        <f t="shared" si="40"/>
        <v>Pass</v>
      </c>
      <c r="AL375">
        <f t="shared" si="41"/>
        <v>34.239543914794922</v>
      </c>
      <c r="AM375">
        <v>184500</v>
      </c>
      <c r="AN375">
        <v>34.239542923202301</v>
      </c>
    </row>
    <row r="376" spans="1:40" x14ac:dyDescent="0.3">
      <c r="A376" t="str">
        <f>IF(ISBLANK(B376),"",IF(ROUND(B376,0)=ROUND(G376,0),"Pass","Fail"))</f>
        <v>Pass</v>
      </c>
      <c r="B376">
        <f t="shared" si="35"/>
        <v>13.322208404541016</v>
      </c>
      <c r="C376">
        <v>0</v>
      </c>
      <c r="D376">
        <v>40</v>
      </c>
      <c r="E376">
        <v>80</v>
      </c>
      <c r="F376">
        <v>48</v>
      </c>
      <c r="G376">
        <v>13.3222079008197</v>
      </c>
      <c r="M376" t="str">
        <f t="shared" si="36"/>
        <v>Pass</v>
      </c>
      <c r="N376">
        <f t="shared" si="37"/>
        <v>9.9142065048217773</v>
      </c>
      <c r="O376">
        <v>20</v>
      </c>
      <c r="P376">
        <v>0</v>
      </c>
      <c r="Q376">
        <v>2.5</v>
      </c>
      <c r="R376" t="b">
        <v>1</v>
      </c>
      <c r="S376">
        <v>9.9142069714506</v>
      </c>
      <c r="Y376" t="str">
        <f t="shared" si="38"/>
        <v>Pass</v>
      </c>
      <c r="Z376">
        <f t="shared" si="39"/>
        <v>52617.12109375</v>
      </c>
      <c r="AA376">
        <v>5600</v>
      </c>
      <c r="AB376">
        <v>20</v>
      </c>
      <c r="AC376">
        <v>12</v>
      </c>
      <c r="AD376">
        <v>0.2</v>
      </c>
      <c r="AE376">
        <v>52617.121102985999</v>
      </c>
      <c r="AK376" t="str">
        <f t="shared" si="40"/>
        <v>Pass</v>
      </c>
      <c r="AL376">
        <f t="shared" si="41"/>
        <v>34.298248291015625</v>
      </c>
      <c r="AM376">
        <v>185000</v>
      </c>
      <c r="AN376">
        <v>34.298249876805002</v>
      </c>
    </row>
    <row r="377" spans="1:40" x14ac:dyDescent="0.3">
      <c r="A377" t="str">
        <f>IF(ISBLANK(B377),"",IF(ROUND(B377,0)=ROUND(G377,0),"Pass","Fail"))</f>
        <v>Pass</v>
      </c>
      <c r="B377">
        <f t="shared" si="35"/>
        <v>79.358001708984375</v>
      </c>
      <c r="C377">
        <v>0</v>
      </c>
      <c r="D377">
        <v>40</v>
      </c>
      <c r="E377">
        <v>90</v>
      </c>
      <c r="F377">
        <v>0</v>
      </c>
      <c r="G377">
        <v>79.358000000000004</v>
      </c>
      <c r="M377" t="str">
        <f t="shared" si="36"/>
        <v>Pass</v>
      </c>
      <c r="N377">
        <f t="shared" si="37"/>
        <v>211.92457580566406</v>
      </c>
      <c r="O377">
        <v>20</v>
      </c>
      <c r="P377">
        <v>0</v>
      </c>
      <c r="Q377">
        <v>2.5</v>
      </c>
      <c r="R377" t="b">
        <v>0</v>
      </c>
      <c r="S377">
        <v>211.92457257840701</v>
      </c>
      <c r="Y377" t="str">
        <f t="shared" si="38"/>
        <v>Pass</v>
      </c>
      <c r="Z377">
        <f t="shared" si="39"/>
        <v>54347.7890625</v>
      </c>
      <c r="AA377">
        <v>5600</v>
      </c>
      <c r="AB377">
        <v>20</v>
      </c>
      <c r="AC377">
        <v>14</v>
      </c>
      <c r="AD377">
        <v>0.2</v>
      </c>
      <c r="AE377">
        <v>54347.791042753997</v>
      </c>
      <c r="AK377" t="str">
        <f t="shared" si="40"/>
        <v>Pass</v>
      </c>
      <c r="AL377">
        <f t="shared" si="41"/>
        <v>34.356899261474609</v>
      </c>
      <c r="AM377">
        <v>185500</v>
      </c>
      <c r="AN377">
        <v>34.356898628242398</v>
      </c>
    </row>
    <row r="378" spans="1:40" x14ac:dyDescent="0.3">
      <c r="A378" t="str">
        <f>IF(ISBLANK(B378),"",IF(ROUND(B378,0)=ROUND(G378,0),"Pass","Fail"))</f>
        <v>Pass</v>
      </c>
      <c r="B378">
        <f t="shared" si="35"/>
        <v>46.021228790283203</v>
      </c>
      <c r="C378">
        <v>0</v>
      </c>
      <c r="D378">
        <v>40</v>
      </c>
      <c r="E378">
        <v>90</v>
      </c>
      <c r="F378">
        <v>8</v>
      </c>
      <c r="G378">
        <v>46.021228080722999</v>
      </c>
      <c r="M378" t="str">
        <f t="shared" si="36"/>
        <v>Pass</v>
      </c>
      <c r="N378">
        <f t="shared" si="37"/>
        <v>10.333135604858398</v>
      </c>
      <c r="O378">
        <v>20</v>
      </c>
      <c r="P378">
        <v>0</v>
      </c>
      <c r="Q378">
        <v>3</v>
      </c>
      <c r="R378" t="b">
        <v>1</v>
      </c>
      <c r="S378">
        <v>10.333135489509401</v>
      </c>
      <c r="Y378" t="str">
        <f t="shared" si="38"/>
        <v>Pass</v>
      </c>
      <c r="Z378">
        <f t="shared" si="39"/>
        <v>55507.890625</v>
      </c>
      <c r="AA378">
        <v>5600</v>
      </c>
      <c r="AB378">
        <v>20</v>
      </c>
      <c r="AC378">
        <v>16</v>
      </c>
      <c r="AD378">
        <v>0.2</v>
      </c>
      <c r="AE378">
        <v>55507.893796451797</v>
      </c>
      <c r="AK378" t="str">
        <f t="shared" si="40"/>
        <v>Pass</v>
      </c>
      <c r="AL378">
        <f t="shared" si="41"/>
        <v>34.415489196777344</v>
      </c>
      <c r="AM378">
        <v>186000</v>
      </c>
      <c r="AN378">
        <v>34.415489391862899</v>
      </c>
    </row>
    <row r="379" spans="1:40" x14ac:dyDescent="0.3">
      <c r="A379" t="str">
        <f>IF(ISBLANK(B379),"",IF(ROUND(B379,0)=ROUND(G379,0),"Pass","Fail"))</f>
        <v>Pass</v>
      </c>
      <c r="B379">
        <f t="shared" si="35"/>
        <v>29.239997863769531</v>
      </c>
      <c r="C379">
        <v>0</v>
      </c>
      <c r="D379">
        <v>40</v>
      </c>
      <c r="E379">
        <v>90</v>
      </c>
      <c r="F379">
        <v>16</v>
      </c>
      <c r="G379">
        <v>29.239997247101702</v>
      </c>
      <c r="M379" t="str">
        <f t="shared" si="36"/>
        <v>Pass</v>
      </c>
      <c r="N379">
        <f t="shared" si="37"/>
        <v>220.8795166015625</v>
      </c>
      <c r="O379">
        <v>20</v>
      </c>
      <c r="P379">
        <v>0</v>
      </c>
      <c r="Q379">
        <v>3</v>
      </c>
      <c r="R379" t="b">
        <v>0</v>
      </c>
      <c r="S379">
        <v>220.87952453635901</v>
      </c>
      <c r="Y379" t="str">
        <f t="shared" si="38"/>
        <v>Pass</v>
      </c>
      <c r="Z379">
        <f t="shared" si="39"/>
        <v>56285.53515625</v>
      </c>
      <c r="AA379">
        <v>5600</v>
      </c>
      <c r="AB379">
        <v>20</v>
      </c>
      <c r="AC379">
        <v>18</v>
      </c>
      <c r="AD379">
        <v>0.2</v>
      </c>
      <c r="AE379">
        <v>56285.533927716599</v>
      </c>
      <c r="AK379" t="str">
        <f t="shared" si="40"/>
        <v>Pass</v>
      </c>
      <c r="AL379">
        <f t="shared" si="41"/>
        <v>34.474021911621094</v>
      </c>
      <c r="AM379">
        <v>186500</v>
      </c>
      <c r="AN379">
        <v>34.474022380651498</v>
      </c>
    </row>
    <row r="380" spans="1:40" x14ac:dyDescent="0.3">
      <c r="A380" t="str">
        <f>IF(ISBLANK(B380),"",IF(ROUND(B380,0)=ROUND(G380,0),"Pass","Fail"))</f>
        <v>Pass</v>
      </c>
      <c r="B380">
        <f t="shared" si="35"/>
        <v>20.792577743530273</v>
      </c>
      <c r="C380">
        <v>0</v>
      </c>
      <c r="D380">
        <v>40</v>
      </c>
      <c r="E380">
        <v>90</v>
      </c>
      <c r="F380">
        <v>24</v>
      </c>
      <c r="G380">
        <v>20.7925774137362</v>
      </c>
      <c r="M380" t="str">
        <f t="shared" si="36"/>
        <v>Pass</v>
      </c>
      <c r="N380">
        <f t="shared" si="37"/>
        <v>10.701115608215332</v>
      </c>
      <c r="O380">
        <v>20</v>
      </c>
      <c r="P380">
        <v>0</v>
      </c>
      <c r="Q380">
        <v>3.5</v>
      </c>
      <c r="R380" t="b">
        <v>1</v>
      </c>
      <c r="S380">
        <v>10.701115343845199</v>
      </c>
      <c r="Y380" t="str">
        <f t="shared" si="38"/>
        <v>Pass</v>
      </c>
      <c r="Z380">
        <f t="shared" si="39"/>
        <v>56806.8046875</v>
      </c>
      <c r="AA380">
        <v>5600</v>
      </c>
      <c r="AB380">
        <v>20</v>
      </c>
      <c r="AC380">
        <v>20</v>
      </c>
      <c r="AD380">
        <v>0.2</v>
      </c>
      <c r="AE380">
        <v>56806.8016963052</v>
      </c>
      <c r="AK380" t="str">
        <f t="shared" si="40"/>
        <v>Pass</v>
      </c>
      <c r="AL380">
        <f t="shared" si="41"/>
        <v>34.532497406005859</v>
      </c>
      <c r="AM380">
        <v>187000</v>
      </c>
      <c r="AN380">
        <v>34.532497806242397</v>
      </c>
    </row>
    <row r="381" spans="1:40" x14ac:dyDescent="0.3">
      <c r="A381" t="str">
        <f>IF(ISBLANK(B381),"",IF(ROUND(B381,0)=ROUND(G381,0),"Pass","Fail"))</f>
        <v>Pass</v>
      </c>
      <c r="B381">
        <f t="shared" si="35"/>
        <v>16.540273666381836</v>
      </c>
      <c r="C381">
        <v>0</v>
      </c>
      <c r="D381">
        <v>40</v>
      </c>
      <c r="E381">
        <v>90</v>
      </c>
      <c r="F381">
        <v>32</v>
      </c>
      <c r="G381">
        <v>16.540273005994599</v>
      </c>
      <c r="M381" t="str">
        <f t="shared" si="36"/>
        <v>Pass</v>
      </c>
      <c r="N381">
        <f t="shared" si="37"/>
        <v>228.74539184570313</v>
      </c>
      <c r="O381">
        <v>20</v>
      </c>
      <c r="P381">
        <v>0</v>
      </c>
      <c r="Q381">
        <v>3.5</v>
      </c>
      <c r="R381" t="b">
        <v>0</v>
      </c>
      <c r="S381">
        <v>228.74540564738899</v>
      </c>
      <c r="Y381" t="str">
        <f t="shared" si="38"/>
        <v>Pass</v>
      </c>
      <c r="Z381">
        <f t="shared" si="39"/>
        <v>57156.22265625</v>
      </c>
      <c r="AA381">
        <v>5600</v>
      </c>
      <c r="AB381">
        <v>20</v>
      </c>
      <c r="AC381">
        <v>22</v>
      </c>
      <c r="AD381">
        <v>0.2</v>
      </c>
      <c r="AE381">
        <v>57156.217930942403</v>
      </c>
      <c r="AK381" t="str">
        <f t="shared" si="40"/>
        <v>Pass</v>
      </c>
      <c r="AL381">
        <f t="shared" si="41"/>
        <v>34.590915679931641</v>
      </c>
      <c r="AM381">
        <v>187500</v>
      </c>
      <c r="AN381">
        <v>34.590915878931</v>
      </c>
    </row>
    <row r="382" spans="1:40" x14ac:dyDescent="0.3">
      <c r="A382" t="str">
        <f>IF(ISBLANK(B382),"",IF(ROUND(B382,0)=ROUND(G382,0),"Pass","Fail"))</f>
        <v>Pass</v>
      </c>
      <c r="B382">
        <f t="shared" si="35"/>
        <v>14.399726867675781</v>
      </c>
      <c r="C382">
        <v>0</v>
      </c>
      <c r="D382">
        <v>40</v>
      </c>
      <c r="E382">
        <v>90</v>
      </c>
      <c r="F382">
        <v>40</v>
      </c>
      <c r="G382">
        <v>14.399726764327101</v>
      </c>
      <c r="M382" t="str">
        <f t="shared" si="36"/>
        <v>Pass</v>
      </c>
      <c r="N382">
        <f t="shared" si="37"/>
        <v>11.030449867248535</v>
      </c>
      <c r="O382">
        <v>20</v>
      </c>
      <c r="P382">
        <v>0</v>
      </c>
      <c r="Q382">
        <v>4</v>
      </c>
      <c r="R382" t="b">
        <v>1</v>
      </c>
      <c r="S382">
        <v>11.0304496651869</v>
      </c>
      <c r="Y382" t="str">
        <f t="shared" si="38"/>
        <v>Pass</v>
      </c>
      <c r="Z382">
        <f t="shared" si="39"/>
        <v>57390.44140625</v>
      </c>
      <c r="AA382">
        <v>5600</v>
      </c>
      <c r="AB382">
        <v>20</v>
      </c>
      <c r="AC382">
        <v>24</v>
      </c>
      <c r="AD382">
        <v>0.2</v>
      </c>
      <c r="AE382">
        <v>57390.438637430001</v>
      </c>
      <c r="AK382" t="str">
        <f t="shared" si="40"/>
        <v>Pass</v>
      </c>
      <c r="AL382">
        <f t="shared" si="41"/>
        <v>34.649276733398438</v>
      </c>
      <c r="AM382">
        <v>188000</v>
      </c>
      <c r="AN382">
        <v>34.649276807686</v>
      </c>
    </row>
    <row r="383" spans="1:40" x14ac:dyDescent="0.3">
      <c r="A383" t="str">
        <f>IF(ISBLANK(B383),"",IF(ROUND(B383,0)=ROUND(G383,0),"Pass","Fail"))</f>
        <v>Pass</v>
      </c>
      <c r="B383">
        <f t="shared" si="35"/>
        <v>13.322208404541016</v>
      </c>
      <c r="C383">
        <v>0</v>
      </c>
      <c r="D383">
        <v>40</v>
      </c>
      <c r="E383">
        <v>90</v>
      </c>
      <c r="F383">
        <v>48</v>
      </c>
      <c r="G383">
        <v>13.3222079008197</v>
      </c>
      <c r="M383" t="str">
        <f t="shared" si="36"/>
        <v>Pass</v>
      </c>
      <c r="N383">
        <f t="shared" si="37"/>
        <v>235.78520202636719</v>
      </c>
      <c r="O383">
        <v>20</v>
      </c>
      <c r="P383">
        <v>0</v>
      </c>
      <c r="Q383">
        <v>4</v>
      </c>
      <c r="R383" t="b">
        <v>0</v>
      </c>
      <c r="S383">
        <v>235.78520575311001</v>
      </c>
      <c r="Y383" t="str">
        <f t="shared" si="38"/>
        <v>Pass</v>
      </c>
      <c r="Z383">
        <f t="shared" si="39"/>
        <v>0</v>
      </c>
      <c r="AA383">
        <v>5800</v>
      </c>
      <c r="AB383">
        <v>20</v>
      </c>
      <c r="AC383">
        <v>0</v>
      </c>
      <c r="AD383">
        <v>0.2</v>
      </c>
      <c r="AE383">
        <v>0</v>
      </c>
      <c r="AK383" t="str">
        <f t="shared" si="40"/>
        <v>Pass</v>
      </c>
      <c r="AL383">
        <f t="shared" si="41"/>
        <v>34.70758056640625</v>
      </c>
      <c r="AM383">
        <v>188500</v>
      </c>
      <c r="AN383">
        <v>34.707580800161097</v>
      </c>
    </row>
    <row r="384" spans="1:40" x14ac:dyDescent="0.3">
      <c r="A384" t="str">
        <f>IF(ISBLANK(B384),"",IF(ROUND(B384,0)=ROUND(G384,0),"Pass","Fail"))</f>
        <v>Pass</v>
      </c>
      <c r="B384">
        <f t="shared" si="35"/>
        <v>79.358001708984375</v>
      </c>
      <c r="C384">
        <v>0</v>
      </c>
      <c r="D384">
        <v>40</v>
      </c>
      <c r="E384">
        <v>100</v>
      </c>
      <c r="F384">
        <v>0</v>
      </c>
      <c r="G384">
        <v>79.358000000000004</v>
      </c>
      <c r="M384" t="str">
        <f t="shared" si="36"/>
        <v>Pass</v>
      </c>
      <c r="N384">
        <f t="shared" si="37"/>
        <v>0</v>
      </c>
      <c r="O384">
        <v>20</v>
      </c>
      <c r="P384">
        <v>10</v>
      </c>
      <c r="Q384">
        <v>0</v>
      </c>
      <c r="R384" t="b">
        <v>1</v>
      </c>
      <c r="S384">
        <v>0</v>
      </c>
      <c r="Y384" t="str">
        <f t="shared" si="38"/>
        <v>Pass</v>
      </c>
      <c r="Z384">
        <f t="shared" si="39"/>
        <v>19758.818359375</v>
      </c>
      <c r="AA384">
        <v>5800</v>
      </c>
      <c r="AB384">
        <v>20</v>
      </c>
      <c r="AC384">
        <v>2</v>
      </c>
      <c r="AD384">
        <v>0.2</v>
      </c>
      <c r="AE384">
        <v>19758.818574264002</v>
      </c>
      <c r="AK384" t="str">
        <f t="shared" si="40"/>
        <v>Pass</v>
      </c>
      <c r="AL384">
        <f t="shared" si="41"/>
        <v>34.765827178955078</v>
      </c>
      <c r="AM384">
        <v>189000</v>
      </c>
      <c r="AN384">
        <v>34.765828062707101</v>
      </c>
    </row>
    <row r="385" spans="1:40" x14ac:dyDescent="0.3">
      <c r="A385" t="str">
        <f>IF(ISBLANK(B385),"",IF(ROUND(B385,0)=ROUND(G385,0),"Pass","Fail"))</f>
        <v>Pass</v>
      </c>
      <c r="B385">
        <f t="shared" si="35"/>
        <v>46.021228790283203</v>
      </c>
      <c r="C385">
        <v>0</v>
      </c>
      <c r="D385">
        <v>40</v>
      </c>
      <c r="E385">
        <v>100</v>
      </c>
      <c r="F385">
        <v>8</v>
      </c>
      <c r="G385">
        <v>46.021228080722999</v>
      </c>
      <c r="M385" t="str">
        <f t="shared" si="36"/>
        <v>Pass</v>
      </c>
      <c r="N385">
        <f t="shared" si="37"/>
        <v>0</v>
      </c>
      <c r="O385">
        <v>20</v>
      </c>
      <c r="P385">
        <v>10</v>
      </c>
      <c r="Q385">
        <v>0</v>
      </c>
      <c r="R385" t="b">
        <v>0</v>
      </c>
      <c r="S385">
        <v>0</v>
      </c>
      <c r="Y385" t="str">
        <f t="shared" si="38"/>
        <v>Pass</v>
      </c>
      <c r="Z385">
        <f t="shared" si="39"/>
        <v>33003.55078125</v>
      </c>
      <c r="AA385">
        <v>5800</v>
      </c>
      <c r="AB385">
        <v>20</v>
      </c>
      <c r="AC385">
        <v>4</v>
      </c>
      <c r="AD385">
        <v>0.2</v>
      </c>
      <c r="AE385">
        <v>33003.550750574497</v>
      </c>
      <c r="AK385" t="str">
        <f t="shared" si="40"/>
        <v>Pass</v>
      </c>
      <c r="AL385">
        <f t="shared" si="41"/>
        <v>34.824020385742188</v>
      </c>
      <c r="AM385">
        <v>189500</v>
      </c>
      <c r="AN385">
        <v>34.824018800383101</v>
      </c>
    </row>
    <row r="386" spans="1:40" x14ac:dyDescent="0.3">
      <c r="A386" t="str">
        <f>IF(ISBLANK(B386),"",IF(ROUND(B386,0)=ROUND(G386,0),"Pass","Fail"))</f>
        <v>Pass</v>
      </c>
      <c r="B386">
        <f t="shared" si="35"/>
        <v>29.239997863769531</v>
      </c>
      <c r="C386">
        <v>0</v>
      </c>
      <c r="D386">
        <v>40</v>
      </c>
      <c r="E386">
        <v>100</v>
      </c>
      <c r="F386">
        <v>16</v>
      </c>
      <c r="G386">
        <v>29.239997247101702</v>
      </c>
      <c r="M386" t="str">
        <f t="shared" si="36"/>
        <v>Pass</v>
      </c>
      <c r="N386">
        <f t="shared" si="37"/>
        <v>3.0298762321472168</v>
      </c>
      <c r="O386">
        <v>20</v>
      </c>
      <c r="P386">
        <v>10</v>
      </c>
      <c r="Q386">
        <v>0.5</v>
      </c>
      <c r="R386" t="b">
        <v>1</v>
      </c>
      <c r="S386">
        <v>3.0298762325172599</v>
      </c>
      <c r="Y386" t="str">
        <f t="shared" si="38"/>
        <v>Pass</v>
      </c>
      <c r="Z386">
        <f t="shared" si="39"/>
        <v>41881.76171875</v>
      </c>
      <c r="AA386">
        <v>5800</v>
      </c>
      <c r="AB386">
        <v>20</v>
      </c>
      <c r="AC386">
        <v>6</v>
      </c>
      <c r="AD386">
        <v>0.2</v>
      </c>
      <c r="AE386">
        <v>41881.7602327286</v>
      </c>
      <c r="AK386" t="str">
        <f t="shared" si="40"/>
        <v>Pass</v>
      </c>
      <c r="AL386">
        <f t="shared" si="41"/>
        <v>34.882152557373047</v>
      </c>
      <c r="AM386">
        <v>190000</v>
      </c>
      <c r="AN386">
        <v>34.882153216968199</v>
      </c>
    </row>
    <row r="387" spans="1:40" x14ac:dyDescent="0.3">
      <c r="A387" t="str">
        <f>IF(ISBLANK(B387),"",IF(ROUND(B387,0)=ROUND(G387,0),"Pass","Fail"))</f>
        <v>Pass</v>
      </c>
      <c r="B387">
        <f t="shared" si="35"/>
        <v>20.792577743530273</v>
      </c>
      <c r="C387">
        <v>0</v>
      </c>
      <c r="D387">
        <v>40</v>
      </c>
      <c r="E387">
        <v>100</v>
      </c>
      <c r="F387">
        <v>24</v>
      </c>
      <c r="G387">
        <v>20.7925774137362</v>
      </c>
      <c r="M387" t="str">
        <f t="shared" si="36"/>
        <v>Pass</v>
      </c>
      <c r="N387">
        <f t="shared" si="37"/>
        <v>64.766166687011719</v>
      </c>
      <c r="O387">
        <v>20</v>
      </c>
      <c r="P387">
        <v>10</v>
      </c>
      <c r="Q387">
        <v>0.5</v>
      </c>
      <c r="R387" t="b">
        <v>0</v>
      </c>
      <c r="S387">
        <v>64.766171151231106</v>
      </c>
      <c r="Y387" t="str">
        <f t="shared" si="38"/>
        <v>Pass</v>
      </c>
      <c r="Z387">
        <f t="shared" si="39"/>
        <v>47833</v>
      </c>
      <c r="AA387">
        <v>5800</v>
      </c>
      <c r="AB387">
        <v>20</v>
      </c>
      <c r="AC387">
        <v>8</v>
      </c>
      <c r="AD387">
        <v>0.2</v>
      </c>
      <c r="AE387">
        <v>47833.002021520297</v>
      </c>
      <c r="AK387" t="str">
        <f t="shared" si="40"/>
        <v>Pass</v>
      </c>
      <c r="AL387">
        <f t="shared" si="41"/>
        <v>34.940231323242188</v>
      </c>
      <c r="AM387">
        <v>190500</v>
      </c>
      <c r="AN387">
        <v>34.940231514972801</v>
      </c>
    </row>
    <row r="388" spans="1:40" x14ac:dyDescent="0.3">
      <c r="A388" t="str">
        <f>IF(ISBLANK(B388),"",IF(ROUND(B388,0)=ROUND(G388,0),"Pass","Fail"))</f>
        <v>Pass</v>
      </c>
      <c r="B388">
        <f t="shared" si="35"/>
        <v>16.540273666381836</v>
      </c>
      <c r="C388">
        <v>0</v>
      </c>
      <c r="D388">
        <v>40</v>
      </c>
      <c r="E388">
        <v>100</v>
      </c>
      <c r="F388">
        <v>32</v>
      </c>
      <c r="G388">
        <v>16.540273005994599</v>
      </c>
      <c r="M388" t="str">
        <f t="shared" si="36"/>
        <v>Pass</v>
      </c>
      <c r="N388">
        <f t="shared" si="37"/>
        <v>3.5461628437042236</v>
      </c>
      <c r="O388">
        <v>20</v>
      </c>
      <c r="P388">
        <v>10</v>
      </c>
      <c r="Q388">
        <v>1</v>
      </c>
      <c r="R388" t="b">
        <v>1</v>
      </c>
      <c r="S388">
        <v>3.5461630263743502</v>
      </c>
      <c r="Y388" t="str">
        <f t="shared" si="38"/>
        <v>Pass</v>
      </c>
      <c r="Z388">
        <f t="shared" si="39"/>
        <v>51822.2421875</v>
      </c>
      <c r="AA388">
        <v>5800</v>
      </c>
      <c r="AB388">
        <v>20</v>
      </c>
      <c r="AC388">
        <v>10</v>
      </c>
      <c r="AD388">
        <v>0.2</v>
      </c>
      <c r="AE388">
        <v>51822.238691352301</v>
      </c>
      <c r="AK388" t="str">
        <f t="shared" si="40"/>
        <v>Pass</v>
      </c>
      <c r="AL388">
        <f t="shared" si="41"/>
        <v>34.998252868652344</v>
      </c>
      <c r="AM388">
        <v>191000</v>
      </c>
      <c r="AN388">
        <v>34.998253895649697</v>
      </c>
    </row>
    <row r="389" spans="1:40" x14ac:dyDescent="0.3">
      <c r="A389" t="str">
        <f>IF(ISBLANK(B389),"",IF(ROUND(B389,0)=ROUND(G389,0),"Pass","Fail"))</f>
        <v>Pass</v>
      </c>
      <c r="B389">
        <f t="shared" si="35"/>
        <v>14.399726867675781</v>
      </c>
      <c r="C389">
        <v>0</v>
      </c>
      <c r="D389">
        <v>40</v>
      </c>
      <c r="E389">
        <v>100</v>
      </c>
      <c r="F389">
        <v>40</v>
      </c>
      <c r="G389">
        <v>14.399726764327101</v>
      </c>
      <c r="M389" t="str">
        <f t="shared" si="36"/>
        <v>Pass</v>
      </c>
      <c r="N389">
        <f t="shared" si="37"/>
        <v>75.802230834960938</v>
      </c>
      <c r="O389">
        <v>20</v>
      </c>
      <c r="P389">
        <v>10</v>
      </c>
      <c r="Q389">
        <v>1</v>
      </c>
      <c r="R389" t="b">
        <v>0</v>
      </c>
      <c r="S389">
        <v>75.802238728911604</v>
      </c>
      <c r="Y389" t="str">
        <f t="shared" si="38"/>
        <v>Pass</v>
      </c>
      <c r="Z389">
        <f t="shared" si="39"/>
        <v>54496.3046875</v>
      </c>
      <c r="AA389">
        <v>5800</v>
      </c>
      <c r="AB389">
        <v>20</v>
      </c>
      <c r="AC389">
        <v>12</v>
      </c>
      <c r="AD389">
        <v>0.2</v>
      </c>
      <c r="AE389">
        <v>54496.303999521202</v>
      </c>
      <c r="AK389" t="str">
        <f t="shared" si="40"/>
        <v>Pass</v>
      </c>
      <c r="AL389">
        <f t="shared" si="41"/>
        <v>35.056221008300781</v>
      </c>
      <c r="AM389">
        <v>191500</v>
      </c>
      <c r="AN389">
        <v>35.056220559005297</v>
      </c>
    </row>
    <row r="390" spans="1:40" x14ac:dyDescent="0.3">
      <c r="A390" t="str">
        <f>IF(ISBLANK(B390),"",IF(ROUND(B390,0)=ROUND(G390,0),"Pass","Fail"))</f>
        <v>Pass</v>
      </c>
      <c r="B390">
        <f t="shared" si="35"/>
        <v>13.322208404541016</v>
      </c>
      <c r="C390">
        <v>0</v>
      </c>
      <c r="D390">
        <v>40</v>
      </c>
      <c r="E390">
        <v>100</v>
      </c>
      <c r="F390">
        <v>48</v>
      </c>
      <c r="G390">
        <v>13.3222079008197</v>
      </c>
      <c r="M390" t="str">
        <f t="shared" si="36"/>
        <v>Pass</v>
      </c>
      <c r="N390">
        <f t="shared" si="37"/>
        <v>3.8880457878112793</v>
      </c>
      <c r="O390">
        <v>20</v>
      </c>
      <c r="P390">
        <v>10</v>
      </c>
      <c r="Q390">
        <v>1.5</v>
      </c>
      <c r="R390" t="b">
        <v>1</v>
      </c>
      <c r="S390">
        <v>3.8880461674064302</v>
      </c>
      <c r="Y390" t="str">
        <f t="shared" si="38"/>
        <v>Pass</v>
      </c>
      <c r="Z390">
        <f t="shared" si="39"/>
        <v>56288.78125</v>
      </c>
      <c r="AA390">
        <v>5800</v>
      </c>
      <c r="AB390">
        <v>20</v>
      </c>
      <c r="AC390">
        <v>14</v>
      </c>
      <c r="AD390">
        <v>0.2</v>
      </c>
      <c r="AE390">
        <v>56288.783579995201</v>
      </c>
      <c r="AK390" t="str">
        <f t="shared" si="40"/>
        <v>Pass</v>
      </c>
      <c r="AL390">
        <f t="shared" si="41"/>
        <v>35.114131927490234</v>
      </c>
      <c r="AM390">
        <v>192000</v>
      </c>
      <c r="AN390">
        <v>35.114131703810699</v>
      </c>
    </row>
    <row r="391" spans="1:40" x14ac:dyDescent="0.3">
      <c r="A391" t="str">
        <f>IF(ISBLANK(B391),"",IF(ROUND(B391,0)=ROUND(G391,0),"Pass","Fail"))</f>
        <v>Pass</v>
      </c>
      <c r="B391">
        <f t="shared" ref="B391:B454" si="42">FMC_heath(C391,D391,E391,F391)</f>
        <v>13.569999694824219</v>
      </c>
      <c r="C391">
        <v>0</v>
      </c>
      <c r="D391">
        <v>50</v>
      </c>
      <c r="E391">
        <v>0</v>
      </c>
      <c r="F391">
        <v>0</v>
      </c>
      <c r="G391">
        <v>13.57</v>
      </c>
      <c r="M391" t="str">
        <f t="shared" ref="M391:M454" si="43">IF(ISBLANK(N391),"",IF(ROUND(N391,0)=ROUND(S391,0),"Pass","Fail"))</f>
        <v>Pass</v>
      </c>
      <c r="N391">
        <f t="shared" ref="N391:N454" si="44">ROS_heath(O391,Q391,P391,R391)</f>
        <v>83.110275268554688</v>
      </c>
      <c r="O391">
        <v>20</v>
      </c>
      <c r="P391">
        <v>10</v>
      </c>
      <c r="Q391">
        <v>1.5</v>
      </c>
      <c r="R391" t="b">
        <v>0</v>
      </c>
      <c r="S391">
        <v>83.110280485920299</v>
      </c>
      <c r="Y391" t="str">
        <f t="shared" ref="Y391:Y454" si="45">IF(ISBLANK(Z391),"",IF(ROUND(Z391,0)=ROUND(AE391,0),"Pass","Fail"))</f>
        <v>Pass</v>
      </c>
      <c r="Z391">
        <f t="shared" ref="Z391:Z454" si="46">intensity_heath(AA391,AB391,AC391,AD391)</f>
        <v>57490.31640625</v>
      </c>
      <c r="AA391">
        <v>5800</v>
      </c>
      <c r="AB391">
        <v>20</v>
      </c>
      <c r="AC391">
        <v>16</v>
      </c>
      <c r="AD391">
        <v>0.2</v>
      </c>
      <c r="AE391">
        <v>57490.318574896599</v>
      </c>
      <c r="AK391" t="str">
        <f t="shared" ref="AK391:AK406" si="47">IF(ISBLANK(AL391),"",IF(ROUND(AL391,0)=ROUND(AN391,0),"Pass","Fail"))</f>
        <v>Pass</v>
      </c>
      <c r="AL391">
        <f t="shared" ref="AL391:AL406" si="48">Flame_height_heath(AM391)</f>
        <v>35.171985626220703</v>
      </c>
      <c r="AM391">
        <v>192500</v>
      </c>
      <c r="AN391">
        <v>35.171987527612103</v>
      </c>
    </row>
    <row r="392" spans="1:40" x14ac:dyDescent="0.3">
      <c r="A392" t="str">
        <f>IF(ISBLANK(B392),"",IF(ROUND(B392,0)=ROUND(G392,0),"Pass","Fail"))</f>
        <v>Pass</v>
      </c>
      <c r="B392">
        <f t="shared" si="42"/>
        <v>13.569999694824219</v>
      </c>
      <c r="C392">
        <v>0</v>
      </c>
      <c r="D392">
        <v>50</v>
      </c>
      <c r="E392">
        <v>0</v>
      </c>
      <c r="F392">
        <v>8</v>
      </c>
      <c r="G392">
        <v>13.57</v>
      </c>
      <c r="M392" t="str">
        <f t="shared" si="43"/>
        <v>Pass</v>
      </c>
      <c r="N392">
        <f t="shared" si="44"/>
        <v>4.1504240036010742</v>
      </c>
      <c r="O392">
        <v>20</v>
      </c>
      <c r="P392">
        <v>10</v>
      </c>
      <c r="Q392">
        <v>2</v>
      </c>
      <c r="R392" t="b">
        <v>1</v>
      </c>
      <c r="S392">
        <v>4.15042438851596</v>
      </c>
      <c r="Y392" t="str">
        <f t="shared" si="45"/>
        <v>Pass</v>
      </c>
      <c r="Z392">
        <f t="shared" si="46"/>
        <v>58295.734375</v>
      </c>
      <c r="AA392">
        <v>5800</v>
      </c>
      <c r="AB392">
        <v>20</v>
      </c>
      <c r="AC392">
        <v>18</v>
      </c>
      <c r="AD392">
        <v>0.2</v>
      </c>
      <c r="AE392">
        <v>58295.731567992203</v>
      </c>
      <c r="AK392" t="str">
        <f t="shared" si="47"/>
        <v>Pass</v>
      </c>
      <c r="AL392">
        <f t="shared" si="48"/>
        <v>35.229789733886719</v>
      </c>
      <c r="AM392">
        <v>193000</v>
      </c>
      <c r="AN392">
        <v>35.229788226741803</v>
      </c>
    </row>
    <row r="393" spans="1:40" x14ac:dyDescent="0.3">
      <c r="A393" t="str">
        <f>IF(ISBLANK(B393),"",IF(ROUND(B393,0)=ROUND(G393,0),"Pass","Fail"))</f>
        <v>Pass</v>
      </c>
      <c r="B393">
        <f t="shared" si="42"/>
        <v>13.569999694824219</v>
      </c>
      <c r="C393">
        <v>0</v>
      </c>
      <c r="D393">
        <v>50</v>
      </c>
      <c r="E393">
        <v>0</v>
      </c>
      <c r="F393">
        <v>16</v>
      </c>
      <c r="G393">
        <v>13.57</v>
      </c>
      <c r="M393" t="str">
        <f t="shared" si="43"/>
        <v>Pass</v>
      </c>
      <c r="N393">
        <f t="shared" si="44"/>
        <v>88.718833923339844</v>
      </c>
      <c r="O393">
        <v>20</v>
      </c>
      <c r="P393">
        <v>10</v>
      </c>
      <c r="Q393">
        <v>2</v>
      </c>
      <c r="R393" t="b">
        <v>0</v>
      </c>
      <c r="S393">
        <v>88.718837229050706</v>
      </c>
      <c r="Y393" t="str">
        <f t="shared" si="45"/>
        <v>Pass</v>
      </c>
      <c r="Z393">
        <f t="shared" si="46"/>
        <v>58835.6171875</v>
      </c>
      <c r="AA393">
        <v>5800</v>
      </c>
      <c r="AB393">
        <v>20</v>
      </c>
      <c r="AC393">
        <v>20</v>
      </c>
      <c r="AD393">
        <v>0.2</v>
      </c>
      <c r="AE393">
        <v>58835.616042601803</v>
      </c>
      <c r="AK393" t="str">
        <f t="shared" si="47"/>
        <v>Pass</v>
      </c>
      <c r="AL393">
        <f t="shared" si="48"/>
        <v>35.287532806396484</v>
      </c>
      <c r="AM393">
        <v>193500</v>
      </c>
      <c r="AN393">
        <v>35.287533996328797</v>
      </c>
    </row>
    <row r="394" spans="1:40" x14ac:dyDescent="0.3">
      <c r="A394" t="str">
        <f>IF(ISBLANK(B394),"",IF(ROUND(B394,0)=ROUND(G394,0),"Pass","Fail"))</f>
        <v>Pass</v>
      </c>
      <c r="B394">
        <f t="shared" si="42"/>
        <v>13.569999694824219</v>
      </c>
      <c r="C394">
        <v>0</v>
      </c>
      <c r="D394">
        <v>50</v>
      </c>
      <c r="E394">
        <v>0</v>
      </c>
      <c r="F394">
        <v>24</v>
      </c>
      <c r="G394">
        <v>13.57</v>
      </c>
      <c r="M394" t="str">
        <f t="shared" si="43"/>
        <v>Pass</v>
      </c>
      <c r="N394">
        <f t="shared" si="44"/>
        <v>4.3660736083984375</v>
      </c>
      <c r="O394">
        <v>20</v>
      </c>
      <c r="P394">
        <v>10</v>
      </c>
      <c r="Q394">
        <v>2.5</v>
      </c>
      <c r="R394" t="b">
        <v>1</v>
      </c>
      <c r="S394">
        <v>4.3660738704098803</v>
      </c>
      <c r="Y394" t="str">
        <f t="shared" si="45"/>
        <v>Pass</v>
      </c>
      <c r="Z394">
        <f t="shared" si="46"/>
        <v>59197.515625</v>
      </c>
      <c r="AA394">
        <v>5800</v>
      </c>
      <c r="AB394">
        <v>20</v>
      </c>
      <c r="AC394">
        <v>22</v>
      </c>
      <c r="AD394">
        <v>0.2</v>
      </c>
      <c r="AE394">
        <v>59197.5114284761</v>
      </c>
      <c r="AK394" t="str">
        <f t="shared" si="47"/>
        <v>Pass</v>
      </c>
      <c r="AL394">
        <f t="shared" si="48"/>
        <v>35.345226287841797</v>
      </c>
      <c r="AM394">
        <v>194000</v>
      </c>
      <c r="AN394">
        <v>35.345225030309102</v>
      </c>
    </row>
    <row r="395" spans="1:40" x14ac:dyDescent="0.3">
      <c r="A395" t="str">
        <f>IF(ISBLANK(B395),"",IF(ROUND(B395,0)=ROUND(G395,0),"Pass","Fail"))</f>
        <v>Pass</v>
      </c>
      <c r="B395">
        <f t="shared" si="42"/>
        <v>13.569999694824219</v>
      </c>
      <c r="C395">
        <v>0</v>
      </c>
      <c r="D395">
        <v>50</v>
      </c>
      <c r="E395">
        <v>0</v>
      </c>
      <c r="F395">
        <v>32</v>
      </c>
      <c r="G395">
        <v>13.57</v>
      </c>
      <c r="M395" t="str">
        <f t="shared" si="43"/>
        <v>Pass</v>
      </c>
      <c r="N395">
        <f t="shared" si="44"/>
        <v>93.328521728515625</v>
      </c>
      <c r="O395">
        <v>20</v>
      </c>
      <c r="P395">
        <v>10</v>
      </c>
      <c r="Q395">
        <v>2.5</v>
      </c>
      <c r="R395" t="b">
        <v>0</v>
      </c>
      <c r="S395">
        <v>93.328527586406395</v>
      </c>
      <c r="Y395" t="str">
        <f t="shared" si="45"/>
        <v>Pass</v>
      </c>
      <c r="Z395">
        <f t="shared" si="46"/>
        <v>59440.1015625</v>
      </c>
      <c r="AA395">
        <v>5800</v>
      </c>
      <c r="AB395">
        <v>20</v>
      </c>
      <c r="AC395">
        <v>24</v>
      </c>
      <c r="AD395">
        <v>0.2</v>
      </c>
      <c r="AE395">
        <v>59440.097160195401</v>
      </c>
      <c r="AK395" t="str">
        <f t="shared" si="47"/>
        <v>Pass</v>
      </c>
      <c r="AL395">
        <f t="shared" si="48"/>
        <v>35.402862548828125</v>
      </c>
      <c r="AM395">
        <v>194500</v>
      </c>
      <c r="AN395">
        <v>35.4028615214364</v>
      </c>
    </row>
    <row r="396" spans="1:40" x14ac:dyDescent="0.3">
      <c r="A396" t="str">
        <f>IF(ISBLANK(B396),"",IF(ROUND(B396,0)=ROUND(G396,0),"Pass","Fail"))</f>
        <v>Pass</v>
      </c>
      <c r="B396">
        <f t="shared" si="42"/>
        <v>13.569999694824219</v>
      </c>
      <c r="C396">
        <v>0</v>
      </c>
      <c r="D396">
        <v>50</v>
      </c>
      <c r="E396">
        <v>0</v>
      </c>
      <c r="F396">
        <v>40</v>
      </c>
      <c r="G396">
        <v>13.57</v>
      </c>
      <c r="M396" t="str">
        <f t="shared" si="43"/>
        <v>Pass</v>
      </c>
      <c r="N396">
        <f t="shared" si="44"/>
        <v>4.5505633354187012</v>
      </c>
      <c r="O396">
        <v>20</v>
      </c>
      <c r="P396">
        <v>10</v>
      </c>
      <c r="Q396">
        <v>3</v>
      </c>
      <c r="R396" t="b">
        <v>1</v>
      </c>
      <c r="S396">
        <v>4.5505639523229702</v>
      </c>
      <c r="Y396" t="str">
        <f t="shared" si="45"/>
        <v>Pass</v>
      </c>
      <c r="Z396">
        <f t="shared" si="46"/>
        <v>0</v>
      </c>
      <c r="AA396">
        <v>6000</v>
      </c>
      <c r="AB396">
        <v>20</v>
      </c>
      <c r="AC396">
        <v>0</v>
      </c>
      <c r="AD396">
        <v>0.2</v>
      </c>
      <c r="AE396">
        <v>0</v>
      </c>
      <c r="AK396" t="str">
        <f t="shared" si="47"/>
        <v>Pass</v>
      </c>
      <c r="AL396">
        <f t="shared" si="48"/>
        <v>35.460445404052734</v>
      </c>
      <c r="AM396">
        <v>195000</v>
      </c>
      <c r="AN396">
        <v>35.460443661291698</v>
      </c>
    </row>
    <row r="397" spans="1:40" x14ac:dyDescent="0.3">
      <c r="A397" t="str">
        <f>IF(ISBLANK(B397),"",IF(ROUND(B397,0)=ROUND(G397,0),"Pass","Fail"))</f>
        <v>Pass</v>
      </c>
      <c r="B397">
        <f t="shared" si="42"/>
        <v>13.569999694824219</v>
      </c>
      <c r="C397">
        <v>0</v>
      </c>
      <c r="D397">
        <v>50</v>
      </c>
      <c r="E397">
        <v>0</v>
      </c>
      <c r="F397">
        <v>48</v>
      </c>
      <c r="G397">
        <v>13.57</v>
      </c>
      <c r="M397" t="str">
        <f t="shared" si="43"/>
        <v>Pass</v>
      </c>
      <c r="N397">
        <f t="shared" si="44"/>
        <v>97.27215576171875</v>
      </c>
      <c r="O397">
        <v>20</v>
      </c>
      <c r="P397">
        <v>10</v>
      </c>
      <c r="Q397">
        <v>3</v>
      </c>
      <c r="R397" t="b">
        <v>0</v>
      </c>
      <c r="S397">
        <v>97.272159373293306</v>
      </c>
      <c r="Y397" t="str">
        <f t="shared" si="45"/>
        <v>Pass</v>
      </c>
      <c r="Z397">
        <f t="shared" si="46"/>
        <v>20440.15625</v>
      </c>
      <c r="AA397">
        <v>6000</v>
      </c>
      <c r="AB397">
        <v>20</v>
      </c>
      <c r="AC397">
        <v>2</v>
      </c>
      <c r="AD397">
        <v>0.2</v>
      </c>
      <c r="AE397">
        <v>20440.157145790301</v>
      </c>
      <c r="AK397" t="str">
        <f t="shared" si="47"/>
        <v>Pass</v>
      </c>
      <c r="AL397">
        <f t="shared" si="48"/>
        <v>35.517971038818359</v>
      </c>
      <c r="AM397">
        <v>195500</v>
      </c>
      <c r="AN397">
        <v>35.5179716402941</v>
      </c>
    </row>
    <row r="398" spans="1:40" x14ac:dyDescent="0.3">
      <c r="A398" t="str">
        <f>IF(ISBLANK(B398),"",IF(ROUND(B398,0)=ROUND(G398,0),"Pass","Fail"))</f>
        <v>Pass</v>
      </c>
      <c r="B398">
        <f t="shared" si="42"/>
        <v>80.697998046875</v>
      </c>
      <c r="C398">
        <v>0</v>
      </c>
      <c r="D398">
        <v>50</v>
      </c>
      <c r="E398">
        <v>10</v>
      </c>
      <c r="F398">
        <v>0</v>
      </c>
      <c r="G398">
        <v>80.697999999998302</v>
      </c>
      <c r="M398" t="str">
        <f t="shared" si="43"/>
        <v>Pass</v>
      </c>
      <c r="N398">
        <f t="shared" si="44"/>
        <v>4.7126164436340332</v>
      </c>
      <c r="O398">
        <v>20</v>
      </c>
      <c r="P398">
        <v>10</v>
      </c>
      <c r="Q398">
        <v>3.5</v>
      </c>
      <c r="R398" t="b">
        <v>1</v>
      </c>
      <c r="S398">
        <v>4.7126169769853803</v>
      </c>
      <c r="Y398" t="str">
        <f t="shared" si="45"/>
        <v>Pass</v>
      </c>
      <c r="Z398">
        <f t="shared" si="46"/>
        <v>34141.60546875</v>
      </c>
      <c r="AA398">
        <v>6000</v>
      </c>
      <c r="AB398">
        <v>20</v>
      </c>
      <c r="AC398">
        <v>4</v>
      </c>
      <c r="AD398">
        <v>0.2</v>
      </c>
      <c r="AE398">
        <v>34141.604224732197</v>
      </c>
      <c r="AK398" t="str">
        <f t="shared" si="47"/>
        <v>Pass</v>
      </c>
      <c r="AL398">
        <f t="shared" si="48"/>
        <v>35.575447082519531</v>
      </c>
      <c r="AM398">
        <v>196000</v>
      </c>
      <c r="AN398">
        <v>35.575445647710303</v>
      </c>
    </row>
    <row r="399" spans="1:40" x14ac:dyDescent="0.3">
      <c r="A399" t="str">
        <f>IF(ISBLANK(B399),"",IF(ROUND(B399,0)=ROUND(G399,0),"Pass","Fail"))</f>
        <v>Pass</v>
      </c>
      <c r="B399">
        <f t="shared" si="42"/>
        <v>47.361228942871094</v>
      </c>
      <c r="C399">
        <v>0</v>
      </c>
      <c r="D399">
        <v>50</v>
      </c>
      <c r="E399">
        <v>10</v>
      </c>
      <c r="F399">
        <v>8</v>
      </c>
      <c r="G399">
        <v>47.361228080722199</v>
      </c>
      <c r="M399" t="str">
        <f t="shared" si="43"/>
        <v>Pass</v>
      </c>
      <c r="N399">
        <f t="shared" si="44"/>
        <v>100.73618316650391</v>
      </c>
      <c r="O399">
        <v>20</v>
      </c>
      <c r="P399">
        <v>10</v>
      </c>
      <c r="Q399">
        <v>3.5</v>
      </c>
      <c r="R399" t="b">
        <v>0</v>
      </c>
      <c r="S399">
        <v>100.736180054474</v>
      </c>
      <c r="Y399" t="str">
        <f t="shared" si="45"/>
        <v>Pass</v>
      </c>
      <c r="Z399">
        <f t="shared" si="46"/>
        <v>43325.9609375</v>
      </c>
      <c r="AA399">
        <v>6000</v>
      </c>
      <c r="AB399">
        <v>20</v>
      </c>
      <c r="AC399">
        <v>6</v>
      </c>
      <c r="AD399">
        <v>0.2</v>
      </c>
      <c r="AE399">
        <v>43325.958861443403</v>
      </c>
      <c r="AK399" t="str">
        <f t="shared" si="47"/>
        <v>Pass</v>
      </c>
      <c r="AL399">
        <f t="shared" si="48"/>
        <v>35.632865905761719</v>
      </c>
      <c r="AM399">
        <v>196500</v>
      </c>
      <c r="AN399">
        <v>35.632865871664897</v>
      </c>
    </row>
    <row r="400" spans="1:40" x14ac:dyDescent="0.3">
      <c r="A400" t="str">
        <f>IF(ISBLANK(B400),"",IF(ROUND(B400,0)=ROUND(G400,0),"Pass","Fail"))</f>
        <v>Pass</v>
      </c>
      <c r="B400">
        <f t="shared" si="42"/>
        <v>30.579996109008789</v>
      </c>
      <c r="C400">
        <v>0</v>
      </c>
      <c r="D400">
        <v>50</v>
      </c>
      <c r="E400">
        <v>10</v>
      </c>
      <c r="F400">
        <v>16</v>
      </c>
      <c r="G400">
        <v>30.5799972471013</v>
      </c>
      <c r="M400" t="str">
        <f t="shared" si="43"/>
        <v>Pass</v>
      </c>
      <c r="N400">
        <f t="shared" si="44"/>
        <v>4.8576507568359375</v>
      </c>
      <c r="O400">
        <v>20</v>
      </c>
      <c r="P400">
        <v>10</v>
      </c>
      <c r="Q400">
        <v>4</v>
      </c>
      <c r="R400" t="b">
        <v>1</v>
      </c>
      <c r="S400">
        <v>4.8576510658620897</v>
      </c>
      <c r="Y400" t="str">
        <f t="shared" si="45"/>
        <v>Pass</v>
      </c>
      <c r="Z400">
        <f t="shared" si="46"/>
        <v>49482.4140625</v>
      </c>
      <c r="AA400">
        <v>6000</v>
      </c>
      <c r="AB400">
        <v>20</v>
      </c>
      <c r="AC400">
        <v>8</v>
      </c>
      <c r="AD400">
        <v>0.2</v>
      </c>
      <c r="AE400">
        <v>49482.415884331298</v>
      </c>
      <c r="AK400" t="str">
        <f t="shared" si="47"/>
        <v>Pass</v>
      </c>
      <c r="AL400">
        <f t="shared" si="48"/>
        <v>35.690231323242188</v>
      </c>
      <c r="AM400">
        <v>197000</v>
      </c>
      <c r="AN400">
        <v>35.690232499149701</v>
      </c>
    </row>
    <row r="401" spans="1:40" x14ac:dyDescent="0.3">
      <c r="A401" t="str">
        <f>IF(ISBLANK(B401),"",IF(ROUND(B401,0)=ROUND(G401,0),"Pass","Fail"))</f>
        <v>Pass</v>
      </c>
      <c r="B401">
        <f t="shared" si="42"/>
        <v>22.132575988769531</v>
      </c>
      <c r="C401">
        <v>0</v>
      </c>
      <c r="D401">
        <v>50</v>
      </c>
      <c r="E401">
        <v>10</v>
      </c>
      <c r="F401">
        <v>24</v>
      </c>
      <c r="G401">
        <v>22.132577413736001</v>
      </c>
      <c r="M401" t="str">
        <f t="shared" si="43"/>
        <v>Pass</v>
      </c>
      <c r="N401">
        <f t="shared" si="44"/>
        <v>103.83640289306641</v>
      </c>
      <c r="O401">
        <v>20</v>
      </c>
      <c r="P401">
        <v>10</v>
      </c>
      <c r="Q401">
        <v>4</v>
      </c>
      <c r="R401" t="b">
        <v>0</v>
      </c>
      <c r="S401">
        <v>103.836406566086</v>
      </c>
      <c r="Y401" t="str">
        <f t="shared" si="45"/>
        <v>Pass</v>
      </c>
      <c r="Z401">
        <f t="shared" si="46"/>
        <v>53609.21484375</v>
      </c>
      <c r="AA401">
        <v>6000</v>
      </c>
      <c r="AB401">
        <v>20</v>
      </c>
      <c r="AC401">
        <v>10</v>
      </c>
      <c r="AD401">
        <v>0.2</v>
      </c>
      <c r="AE401">
        <v>53609.212439329996</v>
      </c>
      <c r="AK401" t="str">
        <f t="shared" si="47"/>
        <v>Pass</v>
      </c>
      <c r="AL401">
        <f t="shared" si="48"/>
        <v>35.747547149658203</v>
      </c>
      <c r="AM401">
        <v>197500</v>
      </c>
      <c r="AN401">
        <v>35.747545716033898</v>
      </c>
    </row>
    <row r="402" spans="1:40" x14ac:dyDescent="0.3">
      <c r="A402" t="str">
        <f>IF(ISBLANK(B402),"",IF(ROUND(B402,0)=ROUND(G402,0),"Pass","Fail"))</f>
        <v>Pass</v>
      </c>
      <c r="B402">
        <f t="shared" si="42"/>
        <v>17.880271911621094</v>
      </c>
      <c r="C402">
        <v>0</v>
      </c>
      <c r="D402">
        <v>50</v>
      </c>
      <c r="E402">
        <v>10</v>
      </c>
      <c r="F402">
        <v>32</v>
      </c>
      <c r="G402">
        <v>17.8802730059945</v>
      </c>
      <c r="M402" t="str">
        <f t="shared" si="43"/>
        <v>Pass</v>
      </c>
      <c r="N402">
        <f t="shared" si="44"/>
        <v>0</v>
      </c>
      <c r="O402">
        <v>20</v>
      </c>
      <c r="P402">
        <v>20</v>
      </c>
      <c r="Q402">
        <v>0</v>
      </c>
      <c r="R402" t="b">
        <v>1</v>
      </c>
      <c r="S402">
        <v>0</v>
      </c>
      <c r="Y402" t="str">
        <f t="shared" si="45"/>
        <v>Pass</v>
      </c>
      <c r="Z402">
        <f t="shared" si="46"/>
        <v>56375.48828125</v>
      </c>
      <c r="AA402">
        <v>6000</v>
      </c>
      <c r="AB402">
        <v>20</v>
      </c>
      <c r="AC402">
        <v>12</v>
      </c>
      <c r="AD402">
        <v>0.2</v>
      </c>
      <c r="AE402">
        <v>56375.486896056398</v>
      </c>
      <c r="AK402" t="str">
        <f t="shared" si="47"/>
        <v>Pass</v>
      </c>
      <c r="AL402">
        <f t="shared" si="48"/>
        <v>35.804805755615234</v>
      </c>
      <c r="AM402">
        <v>198000</v>
      </c>
      <c r="AN402">
        <v>35.8048057070732</v>
      </c>
    </row>
    <row r="403" spans="1:40" x14ac:dyDescent="0.3">
      <c r="A403" t="str">
        <f>IF(ISBLANK(B403),"",IF(ROUND(B403,0)=ROUND(G403,0),"Pass","Fail"))</f>
        <v>Pass</v>
      </c>
      <c r="B403">
        <f t="shared" si="42"/>
        <v>15.739727020263672</v>
      </c>
      <c r="C403">
        <v>0</v>
      </c>
      <c r="D403">
        <v>50</v>
      </c>
      <c r="E403">
        <v>10</v>
      </c>
      <c r="F403">
        <v>40</v>
      </c>
      <c r="G403">
        <v>15.739726764326999</v>
      </c>
      <c r="M403" t="str">
        <f t="shared" si="43"/>
        <v>Pass</v>
      </c>
      <c r="N403">
        <f t="shared" si="44"/>
        <v>0</v>
      </c>
      <c r="O403">
        <v>20</v>
      </c>
      <c r="P403">
        <v>20</v>
      </c>
      <c r="Q403">
        <v>0</v>
      </c>
      <c r="R403" t="b">
        <v>0</v>
      </c>
      <c r="S403">
        <v>0</v>
      </c>
      <c r="Y403" t="str">
        <f t="shared" si="45"/>
        <v>Pass</v>
      </c>
      <c r="Z403">
        <f t="shared" si="46"/>
        <v>58229.7734375</v>
      </c>
      <c r="AA403">
        <v>6000</v>
      </c>
      <c r="AB403">
        <v>20</v>
      </c>
      <c r="AC403">
        <v>14</v>
      </c>
      <c r="AD403">
        <v>0.2</v>
      </c>
      <c r="AE403">
        <v>58229.776117236499</v>
      </c>
      <c r="AK403" t="str">
        <f t="shared" si="47"/>
        <v>Pass</v>
      </c>
      <c r="AL403">
        <f t="shared" si="48"/>
        <v>35.862010955810547</v>
      </c>
      <c r="AM403">
        <v>198500</v>
      </c>
      <c r="AN403">
        <v>35.8620126559196</v>
      </c>
    </row>
    <row r="404" spans="1:40" x14ac:dyDescent="0.3">
      <c r="A404" t="str">
        <f>IF(ISBLANK(B404),"",IF(ROUND(B404,0)=ROUND(G404,0),"Pass","Fail"))</f>
        <v>Pass</v>
      </c>
      <c r="B404">
        <f t="shared" si="42"/>
        <v>14.66220760345459</v>
      </c>
      <c r="C404">
        <v>0</v>
      </c>
      <c r="D404">
        <v>50</v>
      </c>
      <c r="E404">
        <v>10</v>
      </c>
      <c r="F404">
        <v>48</v>
      </c>
      <c r="G404">
        <v>14.6622079008197</v>
      </c>
      <c r="M404" t="str">
        <f t="shared" si="43"/>
        <v>Pass</v>
      </c>
      <c r="N404">
        <f t="shared" si="44"/>
        <v>8.0272279679775238E-2</v>
      </c>
      <c r="O404">
        <v>20</v>
      </c>
      <c r="P404">
        <v>20</v>
      </c>
      <c r="Q404">
        <v>0.5</v>
      </c>
      <c r="R404" t="b">
        <v>1</v>
      </c>
      <c r="S404">
        <v>8.0272282185357494E-2</v>
      </c>
      <c r="Y404" t="str">
        <f t="shared" si="45"/>
        <v>Pass</v>
      </c>
      <c r="Z404">
        <f t="shared" si="46"/>
        <v>59472.7421875</v>
      </c>
      <c r="AA404">
        <v>6000</v>
      </c>
      <c r="AB404">
        <v>20</v>
      </c>
      <c r="AC404">
        <v>16</v>
      </c>
      <c r="AD404">
        <v>0.2</v>
      </c>
      <c r="AE404">
        <v>59472.743353341299</v>
      </c>
      <c r="AK404" t="str">
        <f t="shared" si="47"/>
        <v>Pass</v>
      </c>
      <c r="AL404">
        <f t="shared" si="48"/>
        <v>35.919166564941406</v>
      </c>
      <c r="AM404">
        <v>199000</v>
      </c>
      <c r="AN404">
        <v>35.919166745130497</v>
      </c>
    </row>
    <row r="405" spans="1:40" x14ac:dyDescent="0.3">
      <c r="A405" t="str">
        <f>IF(ISBLANK(B405),"",IF(ROUND(B405,0)=ROUND(G405,0),"Pass","Fail"))</f>
        <v>Pass</v>
      </c>
      <c r="B405">
        <f t="shared" si="42"/>
        <v>80.697998046875</v>
      </c>
      <c r="C405">
        <v>0</v>
      </c>
      <c r="D405">
        <v>50</v>
      </c>
      <c r="E405">
        <v>20</v>
      </c>
      <c r="F405">
        <v>0</v>
      </c>
      <c r="G405">
        <v>80.697999999999993</v>
      </c>
      <c r="M405" t="str">
        <f t="shared" si="43"/>
        <v>Pass</v>
      </c>
      <c r="N405">
        <f t="shared" si="44"/>
        <v>1.7158880233764648</v>
      </c>
      <c r="O405">
        <v>20</v>
      </c>
      <c r="P405">
        <v>20</v>
      </c>
      <c r="Q405">
        <v>0.5</v>
      </c>
      <c r="R405" t="b">
        <v>0</v>
      </c>
      <c r="S405">
        <v>1.71588803229676</v>
      </c>
      <c r="Y405" t="str">
        <f t="shared" si="45"/>
        <v>Pass</v>
      </c>
      <c r="Z405">
        <f t="shared" si="46"/>
        <v>60305.9296875</v>
      </c>
      <c r="AA405">
        <v>6000</v>
      </c>
      <c r="AB405">
        <v>20</v>
      </c>
      <c r="AC405">
        <v>18</v>
      </c>
      <c r="AD405">
        <v>0.2</v>
      </c>
      <c r="AE405">
        <v>60305.9292082678</v>
      </c>
      <c r="AK405" t="str">
        <f t="shared" si="47"/>
        <v>Pass</v>
      </c>
      <c r="AL405">
        <f t="shared" si="48"/>
        <v>35.976268768310547</v>
      </c>
      <c r="AM405">
        <v>199500</v>
      </c>
      <c r="AN405">
        <v>35.976268156178399</v>
      </c>
    </row>
    <row r="406" spans="1:40" x14ac:dyDescent="0.3">
      <c r="A406" t="str">
        <f>IF(ISBLANK(B406),"",IF(ROUND(B406,0)=ROUND(G406,0),"Pass","Fail"))</f>
        <v>Pass</v>
      </c>
      <c r="B406">
        <f t="shared" si="42"/>
        <v>47.361228942871094</v>
      </c>
      <c r="C406">
        <v>0</v>
      </c>
      <c r="D406">
        <v>50</v>
      </c>
      <c r="E406">
        <v>20</v>
      </c>
      <c r="F406">
        <v>8</v>
      </c>
      <c r="G406">
        <v>47.361228080723002</v>
      </c>
      <c r="M406" t="str">
        <f t="shared" si="43"/>
        <v>Pass</v>
      </c>
      <c r="N406">
        <f t="shared" si="44"/>
        <v>9.3950562179088593E-2</v>
      </c>
      <c r="O406">
        <v>20</v>
      </c>
      <c r="P406">
        <v>20</v>
      </c>
      <c r="Q406">
        <v>1</v>
      </c>
      <c r="R406" t="b">
        <v>1</v>
      </c>
      <c r="S406">
        <v>9.3950570017807405E-2</v>
      </c>
      <c r="Y406" t="str">
        <f t="shared" si="45"/>
        <v>Pass</v>
      </c>
      <c r="Z406">
        <f t="shared" si="46"/>
        <v>60864.43359375</v>
      </c>
      <c r="AA406">
        <v>6000</v>
      </c>
      <c r="AB406">
        <v>20</v>
      </c>
      <c r="AC406">
        <v>20</v>
      </c>
      <c r="AD406">
        <v>0.2</v>
      </c>
      <c r="AE406">
        <v>60864.4303888984</v>
      </c>
      <c r="AK406" t="str">
        <f t="shared" si="47"/>
        <v>Pass</v>
      </c>
      <c r="AL406">
        <f t="shared" si="48"/>
        <v>36.033317565917969</v>
      </c>
      <c r="AM406">
        <v>200000</v>
      </c>
      <c r="AN406">
        <v>36.0333170694594</v>
      </c>
    </row>
    <row r="407" spans="1:40" x14ac:dyDescent="0.3">
      <c r="A407" t="str">
        <f>IF(ISBLANK(B407),"",IF(ROUND(B407,0)=ROUND(G407,0),"Pass","Fail"))</f>
        <v>Pass</v>
      </c>
      <c r="B407">
        <f t="shared" si="42"/>
        <v>30.579996109008789</v>
      </c>
      <c r="C407">
        <v>0</v>
      </c>
      <c r="D407">
        <v>50</v>
      </c>
      <c r="E407">
        <v>20</v>
      </c>
      <c r="F407">
        <v>16</v>
      </c>
      <c r="G407">
        <v>30.579997247101701</v>
      </c>
      <c r="M407" t="str">
        <f t="shared" si="43"/>
        <v>Pass</v>
      </c>
      <c r="N407">
        <f t="shared" si="44"/>
        <v>2.0082731246948242</v>
      </c>
      <c r="O407">
        <v>20</v>
      </c>
      <c r="P407">
        <v>20</v>
      </c>
      <c r="Q407">
        <v>1</v>
      </c>
      <c r="R407" t="b">
        <v>0</v>
      </c>
      <c r="S407">
        <v>2.0082730219226401</v>
      </c>
      <c r="Y407" t="str">
        <f t="shared" si="45"/>
        <v>Pass</v>
      </c>
      <c r="Z407">
        <f t="shared" si="46"/>
        <v>61238.80859375</v>
      </c>
      <c r="AA407">
        <v>6000</v>
      </c>
      <c r="AB407">
        <v>20</v>
      </c>
      <c r="AC407">
        <v>22</v>
      </c>
      <c r="AD407">
        <v>0.2</v>
      </c>
      <c r="AE407">
        <v>61238.804926009703</v>
      </c>
    </row>
    <row r="408" spans="1:40" x14ac:dyDescent="0.3">
      <c r="A408" t="str">
        <f>IF(ISBLANK(B408),"",IF(ROUND(B408,0)=ROUND(G408,0),"Pass","Fail"))</f>
        <v>Pass</v>
      </c>
      <c r="B408">
        <f t="shared" si="42"/>
        <v>22.132575988769531</v>
      </c>
      <c r="C408">
        <v>0</v>
      </c>
      <c r="D408">
        <v>50</v>
      </c>
      <c r="E408">
        <v>20</v>
      </c>
      <c r="F408">
        <v>24</v>
      </c>
      <c r="G408">
        <v>22.1325774137362</v>
      </c>
      <c r="M408" t="str">
        <f t="shared" si="43"/>
        <v>Pass</v>
      </c>
      <c r="N408">
        <f t="shared" si="44"/>
        <v>0.10300827026367188</v>
      </c>
      <c r="O408">
        <v>20</v>
      </c>
      <c r="P408">
        <v>20</v>
      </c>
      <c r="Q408">
        <v>1.5</v>
      </c>
      <c r="R408" t="b">
        <v>1</v>
      </c>
      <c r="S408">
        <v>0.10300827992582599</v>
      </c>
      <c r="Y408" t="str">
        <f t="shared" si="45"/>
        <v>Pass</v>
      </c>
      <c r="Z408">
        <f t="shared" si="46"/>
        <v>61489.7578125</v>
      </c>
      <c r="AA408">
        <v>6000</v>
      </c>
      <c r="AB408">
        <v>20</v>
      </c>
      <c r="AC408">
        <v>24</v>
      </c>
      <c r="AD408">
        <v>0.2</v>
      </c>
      <c r="AE408">
        <v>61489.755682960698</v>
      </c>
    </row>
    <row r="409" spans="1:40" x14ac:dyDescent="0.3">
      <c r="A409" t="str">
        <f>IF(ISBLANK(B409),"",IF(ROUND(B409,0)=ROUND(G409,0),"Pass","Fail"))</f>
        <v>Pass</v>
      </c>
      <c r="B409">
        <f t="shared" si="42"/>
        <v>17.880271911621094</v>
      </c>
      <c r="C409">
        <v>0</v>
      </c>
      <c r="D409">
        <v>50</v>
      </c>
      <c r="E409">
        <v>20</v>
      </c>
      <c r="F409">
        <v>32</v>
      </c>
      <c r="G409">
        <v>17.880273005994599</v>
      </c>
      <c r="M409" t="str">
        <f t="shared" si="43"/>
        <v>Pass</v>
      </c>
      <c r="N409">
        <f t="shared" si="44"/>
        <v>2.2018892765045166</v>
      </c>
      <c r="O409">
        <v>20</v>
      </c>
      <c r="P409">
        <v>20</v>
      </c>
      <c r="Q409">
        <v>1.5</v>
      </c>
      <c r="R409" t="b">
        <v>0</v>
      </c>
      <c r="S409">
        <v>2.2018892442108999</v>
      </c>
      <c r="Y409" t="str">
        <f t="shared" si="45"/>
        <v>Pass</v>
      </c>
      <c r="Z409">
        <f t="shared" si="46"/>
        <v>0</v>
      </c>
      <c r="AA409">
        <v>6200</v>
      </c>
      <c r="AB409">
        <v>20</v>
      </c>
      <c r="AC409">
        <v>0</v>
      </c>
      <c r="AD409">
        <v>0.2</v>
      </c>
      <c r="AE409">
        <v>0</v>
      </c>
    </row>
    <row r="410" spans="1:40" x14ac:dyDescent="0.3">
      <c r="A410" t="str">
        <f>IF(ISBLANK(B410),"",IF(ROUND(B410,0)=ROUND(G410,0),"Pass","Fail"))</f>
        <v>Pass</v>
      </c>
      <c r="B410">
        <f t="shared" si="42"/>
        <v>15.739727020263672</v>
      </c>
      <c r="C410">
        <v>0</v>
      </c>
      <c r="D410">
        <v>50</v>
      </c>
      <c r="E410">
        <v>20</v>
      </c>
      <c r="F410">
        <v>40</v>
      </c>
      <c r="G410">
        <v>15.7397267643271</v>
      </c>
      <c r="M410" t="str">
        <f t="shared" si="43"/>
        <v>Pass</v>
      </c>
      <c r="N410">
        <f t="shared" si="44"/>
        <v>0.10995960980653763</v>
      </c>
      <c r="O410">
        <v>20</v>
      </c>
      <c r="P410">
        <v>20</v>
      </c>
      <c r="Q410">
        <v>2</v>
      </c>
      <c r="R410" t="b">
        <v>1</v>
      </c>
      <c r="S410">
        <v>0.10995961951460501</v>
      </c>
      <c r="Y410" t="str">
        <f t="shared" si="45"/>
        <v>Pass</v>
      </c>
      <c r="Z410">
        <f t="shared" si="46"/>
        <v>21121.494140625</v>
      </c>
      <c r="AA410">
        <v>6200</v>
      </c>
      <c r="AB410">
        <v>20</v>
      </c>
      <c r="AC410">
        <v>2</v>
      </c>
      <c r="AD410">
        <v>0.2</v>
      </c>
      <c r="AE410">
        <v>21121.495717316699</v>
      </c>
    </row>
    <row r="411" spans="1:40" x14ac:dyDescent="0.3">
      <c r="A411" t="str">
        <f>IF(ISBLANK(B411),"",IF(ROUND(B411,0)=ROUND(G411,0),"Pass","Fail"))</f>
        <v>Pass</v>
      </c>
      <c r="B411">
        <f t="shared" si="42"/>
        <v>14.66220760345459</v>
      </c>
      <c r="C411">
        <v>0</v>
      </c>
      <c r="D411">
        <v>50</v>
      </c>
      <c r="E411">
        <v>20</v>
      </c>
      <c r="F411">
        <v>48</v>
      </c>
      <c r="G411">
        <v>14.6622079008197</v>
      </c>
      <c r="M411" t="str">
        <f t="shared" si="43"/>
        <v>Pass</v>
      </c>
      <c r="N411">
        <f t="shared" si="44"/>
        <v>2.3504800796508789</v>
      </c>
      <c r="O411">
        <v>20</v>
      </c>
      <c r="P411">
        <v>20</v>
      </c>
      <c r="Q411">
        <v>2</v>
      </c>
      <c r="R411" t="b">
        <v>0</v>
      </c>
      <c r="S411">
        <v>2.3504800165683299</v>
      </c>
      <c r="Y411" t="str">
        <f t="shared" si="45"/>
        <v>Pass</v>
      </c>
      <c r="Z411">
        <f t="shared" si="46"/>
        <v>35279.66015625</v>
      </c>
      <c r="AA411">
        <v>6200</v>
      </c>
      <c r="AB411">
        <v>20</v>
      </c>
      <c r="AC411">
        <v>4</v>
      </c>
      <c r="AD411">
        <v>0.2</v>
      </c>
      <c r="AE411">
        <v>35279.657698889998</v>
      </c>
    </row>
    <row r="412" spans="1:40" x14ac:dyDescent="0.3">
      <c r="A412" t="str">
        <f>IF(ISBLANK(B412),"",IF(ROUND(B412,0)=ROUND(G412,0),"Pass","Fail"))</f>
        <v>Pass</v>
      </c>
      <c r="B412">
        <f t="shared" si="42"/>
        <v>80.697998046875</v>
      </c>
      <c r="C412">
        <v>0</v>
      </c>
      <c r="D412">
        <v>50</v>
      </c>
      <c r="E412">
        <v>30</v>
      </c>
      <c r="F412">
        <v>0</v>
      </c>
      <c r="G412">
        <v>80.697999999999993</v>
      </c>
      <c r="M412" t="str">
        <f t="shared" si="43"/>
        <v>Pass</v>
      </c>
      <c r="N412">
        <f t="shared" si="44"/>
        <v>0.11567293852567673</v>
      </c>
      <c r="O412">
        <v>20</v>
      </c>
      <c r="P412">
        <v>20</v>
      </c>
      <c r="Q412">
        <v>2.5</v>
      </c>
      <c r="R412" t="b">
        <v>1</v>
      </c>
      <c r="S412">
        <v>0.11567294729939399</v>
      </c>
      <c r="Y412" t="str">
        <f t="shared" si="45"/>
        <v>Pass</v>
      </c>
      <c r="Z412">
        <f t="shared" si="46"/>
        <v>44770.16015625</v>
      </c>
      <c r="AA412">
        <v>6200</v>
      </c>
      <c r="AB412">
        <v>20</v>
      </c>
      <c r="AC412">
        <v>6</v>
      </c>
      <c r="AD412">
        <v>0.2</v>
      </c>
      <c r="AE412">
        <v>44770.157490158199</v>
      </c>
    </row>
    <row r="413" spans="1:40" x14ac:dyDescent="0.3">
      <c r="A413" t="str">
        <f>IF(ISBLANK(B413),"",IF(ROUND(B413,0)=ROUND(G413,0),"Pass","Fail"))</f>
        <v>Pass</v>
      </c>
      <c r="B413">
        <f t="shared" si="42"/>
        <v>47.361228942871094</v>
      </c>
      <c r="C413">
        <v>0</v>
      </c>
      <c r="D413">
        <v>50</v>
      </c>
      <c r="E413">
        <v>30</v>
      </c>
      <c r="F413">
        <v>8</v>
      </c>
      <c r="G413">
        <v>47.361228080723002</v>
      </c>
      <c r="M413" t="str">
        <f t="shared" si="43"/>
        <v>Pass</v>
      </c>
      <c r="N413">
        <f t="shared" si="44"/>
        <v>2.4726073741912842</v>
      </c>
      <c r="O413">
        <v>20</v>
      </c>
      <c r="P413">
        <v>20</v>
      </c>
      <c r="Q413">
        <v>2.5</v>
      </c>
      <c r="R413" t="b">
        <v>0</v>
      </c>
      <c r="S413">
        <v>2.4726072378658599</v>
      </c>
      <c r="Y413" t="str">
        <f t="shared" si="45"/>
        <v>Pass</v>
      </c>
      <c r="Z413">
        <f t="shared" si="46"/>
        <v>51131.828125</v>
      </c>
      <c r="AA413">
        <v>6200</v>
      </c>
      <c r="AB413">
        <v>20</v>
      </c>
      <c r="AC413">
        <v>8</v>
      </c>
      <c r="AD413">
        <v>0.2</v>
      </c>
      <c r="AE413">
        <v>51131.829747142401</v>
      </c>
    </row>
    <row r="414" spans="1:40" x14ac:dyDescent="0.3">
      <c r="A414" t="str">
        <f>IF(ISBLANK(B414),"",IF(ROUND(B414,0)=ROUND(G414,0),"Pass","Fail"))</f>
        <v>Pass</v>
      </c>
      <c r="B414">
        <f t="shared" si="42"/>
        <v>30.579996109008789</v>
      </c>
      <c r="C414">
        <v>0</v>
      </c>
      <c r="D414">
        <v>50</v>
      </c>
      <c r="E414">
        <v>30</v>
      </c>
      <c r="F414">
        <v>16</v>
      </c>
      <c r="G414">
        <v>30.579997247101701</v>
      </c>
      <c r="M414" t="str">
        <f t="shared" si="43"/>
        <v>Pass</v>
      </c>
      <c r="N414">
        <f t="shared" si="44"/>
        <v>0.12056075036525726</v>
      </c>
      <c r="O414">
        <v>20</v>
      </c>
      <c r="P414">
        <v>20</v>
      </c>
      <c r="Q414">
        <v>3</v>
      </c>
      <c r="R414" t="b">
        <v>1</v>
      </c>
      <c r="S414">
        <v>0.12056075088582099</v>
      </c>
      <c r="Y414" t="str">
        <f t="shared" si="45"/>
        <v>Pass</v>
      </c>
      <c r="Z414">
        <f t="shared" si="46"/>
        <v>55396.1875</v>
      </c>
      <c r="AA414">
        <v>6200</v>
      </c>
      <c r="AB414">
        <v>20</v>
      </c>
      <c r="AC414">
        <v>10</v>
      </c>
      <c r="AD414">
        <v>0.2</v>
      </c>
      <c r="AE414">
        <v>55396.186187307598</v>
      </c>
    </row>
    <row r="415" spans="1:40" x14ac:dyDescent="0.3">
      <c r="A415" t="str">
        <f>IF(ISBLANK(B415),"",IF(ROUND(B415,0)=ROUND(G415,0),"Pass","Fail"))</f>
        <v>Pass</v>
      </c>
      <c r="B415">
        <f t="shared" si="42"/>
        <v>22.132575988769531</v>
      </c>
      <c r="C415">
        <v>0</v>
      </c>
      <c r="D415">
        <v>50</v>
      </c>
      <c r="E415">
        <v>30</v>
      </c>
      <c r="F415">
        <v>24</v>
      </c>
      <c r="G415">
        <v>22.1325774137362</v>
      </c>
      <c r="M415" t="str">
        <f t="shared" si="43"/>
        <v>Pass</v>
      </c>
      <c r="N415">
        <f t="shared" si="44"/>
        <v>2.5770883560180664</v>
      </c>
      <c r="O415">
        <v>20</v>
      </c>
      <c r="P415">
        <v>20</v>
      </c>
      <c r="Q415">
        <v>3</v>
      </c>
      <c r="R415" t="b">
        <v>0</v>
      </c>
      <c r="S415">
        <v>2.5770881801019501</v>
      </c>
      <c r="Y415" t="str">
        <f t="shared" si="45"/>
        <v>Pass</v>
      </c>
      <c r="Z415">
        <f t="shared" si="46"/>
        <v>58254.671875</v>
      </c>
      <c r="AA415">
        <v>6200</v>
      </c>
      <c r="AB415">
        <v>20</v>
      </c>
      <c r="AC415">
        <v>12</v>
      </c>
      <c r="AD415">
        <v>0.2</v>
      </c>
      <c r="AE415">
        <v>58254.669792591601</v>
      </c>
    </row>
    <row r="416" spans="1:40" x14ac:dyDescent="0.3">
      <c r="A416" t="str">
        <f>IF(ISBLANK(B416),"",IF(ROUND(B416,0)=ROUND(G416,0),"Pass","Fail"))</f>
        <v>Pass</v>
      </c>
      <c r="B416">
        <f t="shared" si="42"/>
        <v>17.880271911621094</v>
      </c>
      <c r="C416">
        <v>0</v>
      </c>
      <c r="D416">
        <v>50</v>
      </c>
      <c r="E416">
        <v>30</v>
      </c>
      <c r="F416">
        <v>32</v>
      </c>
      <c r="G416">
        <v>17.880273005994599</v>
      </c>
      <c r="M416" t="str">
        <f t="shared" si="43"/>
        <v>Pass</v>
      </c>
      <c r="N416">
        <f t="shared" si="44"/>
        <v>0.12485412508249283</v>
      </c>
      <c r="O416">
        <v>20</v>
      </c>
      <c r="P416">
        <v>20</v>
      </c>
      <c r="Q416">
        <v>3.5</v>
      </c>
      <c r="R416" t="b">
        <v>1</v>
      </c>
      <c r="S416">
        <v>0.124854116398605</v>
      </c>
      <c r="Y416" t="str">
        <f t="shared" si="45"/>
        <v>Pass</v>
      </c>
      <c r="Z416">
        <f t="shared" si="46"/>
        <v>60170.765625</v>
      </c>
      <c r="AA416">
        <v>6200</v>
      </c>
      <c r="AB416">
        <v>20</v>
      </c>
      <c r="AC416">
        <v>14</v>
      </c>
      <c r="AD416">
        <v>0.2</v>
      </c>
      <c r="AE416">
        <v>60170.768654477703</v>
      </c>
    </row>
    <row r="417" spans="1:31" x14ac:dyDescent="0.3">
      <c r="A417" t="str">
        <f>IF(ISBLANK(B417),"",IF(ROUND(B417,0)=ROUND(G417,0),"Pass","Fail"))</f>
        <v>Pass</v>
      </c>
      <c r="B417">
        <f t="shared" si="42"/>
        <v>15.739727020263672</v>
      </c>
      <c r="C417">
        <v>0</v>
      </c>
      <c r="D417">
        <v>50</v>
      </c>
      <c r="E417">
        <v>30</v>
      </c>
      <c r="F417">
        <v>40</v>
      </c>
      <c r="G417">
        <v>15.7397267643271</v>
      </c>
      <c r="M417" t="str">
        <f t="shared" si="43"/>
        <v>Pass</v>
      </c>
      <c r="N417">
        <f t="shared" si="44"/>
        <v>2.6688623428344727</v>
      </c>
      <c r="O417">
        <v>20</v>
      </c>
      <c r="P417">
        <v>20</v>
      </c>
      <c r="Q417">
        <v>3.5</v>
      </c>
      <c r="R417" t="b">
        <v>0</v>
      </c>
      <c r="S417">
        <v>2.6688625049510799</v>
      </c>
      <c r="Y417" t="str">
        <f t="shared" si="45"/>
        <v>Pass</v>
      </c>
      <c r="Z417">
        <f t="shared" si="46"/>
        <v>61455.1640625</v>
      </c>
      <c r="AA417">
        <v>6200</v>
      </c>
      <c r="AB417">
        <v>20</v>
      </c>
      <c r="AC417">
        <v>16</v>
      </c>
      <c r="AD417">
        <v>0.2</v>
      </c>
      <c r="AE417">
        <v>61455.168131785998</v>
      </c>
    </row>
    <row r="418" spans="1:31" x14ac:dyDescent="0.3">
      <c r="A418" t="str">
        <f>IF(ISBLANK(B418),"",IF(ROUND(B418,0)=ROUND(G418,0),"Pass","Fail"))</f>
        <v>Pass</v>
      </c>
      <c r="B418">
        <f t="shared" si="42"/>
        <v>14.66220760345459</v>
      </c>
      <c r="C418">
        <v>0</v>
      </c>
      <c r="D418">
        <v>50</v>
      </c>
      <c r="E418">
        <v>30</v>
      </c>
      <c r="F418">
        <v>48</v>
      </c>
      <c r="G418">
        <v>14.6622079008197</v>
      </c>
      <c r="M418" t="str">
        <f t="shared" si="43"/>
        <v>Pass</v>
      </c>
      <c r="N418">
        <f t="shared" si="44"/>
        <v>0.12869657576084137</v>
      </c>
      <c r="O418">
        <v>20</v>
      </c>
      <c r="P418">
        <v>20</v>
      </c>
      <c r="Q418">
        <v>4</v>
      </c>
      <c r="R418" t="b">
        <v>1</v>
      </c>
      <c r="S418">
        <v>0.12869658929695599</v>
      </c>
      <c r="Y418" t="str">
        <f t="shared" si="45"/>
        <v>Pass</v>
      </c>
      <c r="Z418">
        <f t="shared" si="46"/>
        <v>62316.12890625</v>
      </c>
      <c r="AA418">
        <v>6200</v>
      </c>
      <c r="AB418">
        <v>20</v>
      </c>
      <c r="AC418">
        <v>18</v>
      </c>
      <c r="AD418">
        <v>0.2</v>
      </c>
      <c r="AE418">
        <v>62316.126848543398</v>
      </c>
    </row>
    <row r="419" spans="1:31" x14ac:dyDescent="0.3">
      <c r="A419" t="str">
        <f>IF(ISBLANK(B419),"",IF(ROUND(B419,0)=ROUND(G419,0),"Pass","Fail"))</f>
        <v>Pass</v>
      </c>
      <c r="B419">
        <f t="shared" si="42"/>
        <v>80.697998046875</v>
      </c>
      <c r="C419">
        <v>0</v>
      </c>
      <c r="D419">
        <v>50</v>
      </c>
      <c r="E419">
        <v>40</v>
      </c>
      <c r="F419">
        <v>0</v>
      </c>
      <c r="G419">
        <v>80.697999999999993</v>
      </c>
      <c r="M419" t="str">
        <f t="shared" si="43"/>
        <v>Pass</v>
      </c>
      <c r="N419">
        <f t="shared" si="44"/>
        <v>2.7509984970092773</v>
      </c>
      <c r="O419">
        <v>20</v>
      </c>
      <c r="P419">
        <v>20</v>
      </c>
      <c r="Q419">
        <v>4</v>
      </c>
      <c r="R419" t="b">
        <v>0</v>
      </c>
      <c r="S419">
        <v>2.7509986182047399</v>
      </c>
      <c r="Y419" t="str">
        <f t="shared" si="45"/>
        <v>Pass</v>
      </c>
      <c r="Z419">
        <f t="shared" si="46"/>
        <v>62893.25</v>
      </c>
      <c r="AA419">
        <v>6200</v>
      </c>
      <c r="AB419">
        <v>20</v>
      </c>
      <c r="AC419">
        <v>20</v>
      </c>
      <c r="AD419">
        <v>0.2</v>
      </c>
      <c r="AE419">
        <v>62893.244735195003</v>
      </c>
    </row>
    <row r="420" spans="1:31" x14ac:dyDescent="0.3">
      <c r="A420" t="str">
        <f>IF(ISBLANK(B420),"",IF(ROUND(B420,0)=ROUND(G420,0),"Pass","Fail"))</f>
        <v>Pass</v>
      </c>
      <c r="B420">
        <f t="shared" si="42"/>
        <v>47.361228942871094</v>
      </c>
      <c r="C420">
        <v>0</v>
      </c>
      <c r="D420">
        <v>50</v>
      </c>
      <c r="E420">
        <v>40</v>
      </c>
      <c r="F420">
        <v>8</v>
      </c>
      <c r="G420">
        <v>47.361228080723002</v>
      </c>
      <c r="M420" t="str">
        <f t="shared" si="43"/>
        <v>Pass</v>
      </c>
      <c r="N420">
        <f t="shared" si="44"/>
        <v>0</v>
      </c>
      <c r="O420">
        <v>20</v>
      </c>
      <c r="P420">
        <v>30</v>
      </c>
      <c r="Q420">
        <v>0</v>
      </c>
      <c r="R420" t="b">
        <v>1</v>
      </c>
      <c r="S420">
        <v>0</v>
      </c>
      <c r="Y420" t="str">
        <f t="shared" si="45"/>
        <v>Pass</v>
      </c>
      <c r="Z420">
        <f t="shared" si="46"/>
        <v>63280.1015625</v>
      </c>
      <c r="AA420">
        <v>6200</v>
      </c>
      <c r="AB420">
        <v>20</v>
      </c>
      <c r="AC420">
        <v>22</v>
      </c>
      <c r="AD420">
        <v>0.2</v>
      </c>
      <c r="AE420">
        <v>63280.098423543401</v>
      </c>
    </row>
    <row r="421" spans="1:31" x14ac:dyDescent="0.3">
      <c r="A421" t="str">
        <f>IF(ISBLANK(B421),"",IF(ROUND(B421,0)=ROUND(G421,0),"Pass","Fail"))</f>
        <v>Pass</v>
      </c>
      <c r="B421">
        <f t="shared" si="42"/>
        <v>30.579996109008789</v>
      </c>
      <c r="C421">
        <v>0</v>
      </c>
      <c r="D421">
        <v>50</v>
      </c>
      <c r="E421">
        <v>40</v>
      </c>
      <c r="F421">
        <v>16</v>
      </c>
      <c r="G421">
        <v>30.579997247101701</v>
      </c>
      <c r="M421" t="str">
        <f t="shared" si="43"/>
        <v>Pass</v>
      </c>
      <c r="N421">
        <f t="shared" si="44"/>
        <v>0</v>
      </c>
      <c r="O421">
        <v>20</v>
      </c>
      <c r="P421">
        <v>30</v>
      </c>
      <c r="Q421">
        <v>0</v>
      </c>
      <c r="R421" t="b">
        <v>0</v>
      </c>
      <c r="S421">
        <v>0</v>
      </c>
      <c r="Y421" t="str">
        <f t="shared" si="45"/>
        <v>Pass</v>
      </c>
      <c r="Z421">
        <f t="shared" si="46"/>
        <v>63539.41796875</v>
      </c>
      <c r="AA421">
        <v>6200</v>
      </c>
      <c r="AB421">
        <v>20</v>
      </c>
      <c r="AC421">
        <v>24</v>
      </c>
      <c r="AD421">
        <v>0.2</v>
      </c>
      <c r="AE421">
        <v>63539.414205726098</v>
      </c>
    </row>
    <row r="422" spans="1:31" x14ac:dyDescent="0.3">
      <c r="A422" t="str">
        <f>IF(ISBLANK(B422),"",IF(ROUND(B422,0)=ROUND(G422,0),"Pass","Fail"))</f>
        <v>Pass</v>
      </c>
      <c r="B422">
        <f t="shared" si="42"/>
        <v>22.132575988769531</v>
      </c>
      <c r="C422">
        <v>0</v>
      </c>
      <c r="D422">
        <v>50</v>
      </c>
      <c r="E422">
        <v>40</v>
      </c>
      <c r="F422">
        <v>24</v>
      </c>
      <c r="G422">
        <v>22.1325774137362</v>
      </c>
      <c r="M422" t="str">
        <f t="shared" si="43"/>
        <v>Pass</v>
      </c>
      <c r="N422">
        <f t="shared" si="44"/>
        <v>3.5095372004434466E-4</v>
      </c>
      <c r="O422">
        <v>20</v>
      </c>
      <c r="P422">
        <v>30</v>
      </c>
      <c r="Q422">
        <v>0.5</v>
      </c>
      <c r="R422" t="b">
        <v>1</v>
      </c>
      <c r="S422">
        <v>3.50953738080575E-4</v>
      </c>
      <c r="Y422" t="str">
        <f t="shared" si="45"/>
        <v>Pass</v>
      </c>
      <c r="Z422">
        <f t="shared" si="46"/>
        <v>0</v>
      </c>
      <c r="AA422">
        <v>6400</v>
      </c>
      <c r="AB422">
        <v>20</v>
      </c>
      <c r="AC422">
        <v>0</v>
      </c>
      <c r="AD422">
        <v>0.2</v>
      </c>
      <c r="AE422">
        <v>0</v>
      </c>
    </row>
    <row r="423" spans="1:31" x14ac:dyDescent="0.3">
      <c r="A423" t="str">
        <f>IF(ISBLANK(B423),"",IF(ROUND(B423,0)=ROUND(G423,0),"Pass","Fail"))</f>
        <v>Pass</v>
      </c>
      <c r="B423">
        <f t="shared" si="42"/>
        <v>17.880271911621094</v>
      </c>
      <c r="C423">
        <v>0</v>
      </c>
      <c r="D423">
        <v>50</v>
      </c>
      <c r="E423">
        <v>40</v>
      </c>
      <c r="F423">
        <v>32</v>
      </c>
      <c r="G423">
        <v>17.880273005994599</v>
      </c>
      <c r="M423" t="str">
        <f t="shared" si="43"/>
        <v>Pass</v>
      </c>
      <c r="N423">
        <f t="shared" si="44"/>
        <v>7.5019332580268383E-3</v>
      </c>
      <c r="O423">
        <v>20</v>
      </c>
      <c r="P423">
        <v>30</v>
      </c>
      <c r="Q423">
        <v>0.5</v>
      </c>
      <c r="R423" t="b">
        <v>0</v>
      </c>
      <c r="S423">
        <v>7.5019334528415799E-3</v>
      </c>
      <c r="Y423" t="str">
        <f t="shared" si="45"/>
        <v>Pass</v>
      </c>
      <c r="Z423">
        <f t="shared" si="46"/>
        <v>21802.833984375</v>
      </c>
      <c r="AA423">
        <v>6400</v>
      </c>
      <c r="AB423">
        <v>20</v>
      </c>
      <c r="AC423">
        <v>2</v>
      </c>
      <c r="AD423">
        <v>0.2</v>
      </c>
      <c r="AE423">
        <v>21802.834288843002</v>
      </c>
    </row>
    <row r="424" spans="1:31" x14ac:dyDescent="0.3">
      <c r="A424" t="str">
        <f>IF(ISBLANK(B424),"",IF(ROUND(B424,0)=ROUND(G424,0),"Pass","Fail"))</f>
        <v>Pass</v>
      </c>
      <c r="B424">
        <f t="shared" si="42"/>
        <v>15.739727020263672</v>
      </c>
      <c r="C424">
        <v>0</v>
      </c>
      <c r="D424">
        <v>50</v>
      </c>
      <c r="E424">
        <v>40</v>
      </c>
      <c r="F424">
        <v>40</v>
      </c>
      <c r="G424">
        <v>15.7397267643271</v>
      </c>
      <c r="M424" t="str">
        <f t="shared" si="43"/>
        <v>Pass</v>
      </c>
      <c r="N424">
        <f t="shared" si="44"/>
        <v>4.1075577610172331E-4</v>
      </c>
      <c r="O424">
        <v>20</v>
      </c>
      <c r="P424">
        <v>30</v>
      </c>
      <c r="Q424">
        <v>1</v>
      </c>
      <c r="R424" t="b">
        <v>1</v>
      </c>
      <c r="S424">
        <v>4.1075577826993402E-4</v>
      </c>
      <c r="Y424" t="str">
        <f t="shared" si="45"/>
        <v>Pass</v>
      </c>
      <c r="Z424">
        <f t="shared" si="46"/>
        <v>36417.7109375</v>
      </c>
      <c r="AA424">
        <v>6400</v>
      </c>
      <c r="AB424">
        <v>20</v>
      </c>
      <c r="AC424">
        <v>4</v>
      </c>
      <c r="AD424">
        <v>0.2</v>
      </c>
      <c r="AE424">
        <v>36417.711173047697</v>
      </c>
    </row>
    <row r="425" spans="1:31" x14ac:dyDescent="0.3">
      <c r="A425" t="str">
        <f>IF(ISBLANK(B425),"",IF(ROUND(B425,0)=ROUND(G425,0),"Pass","Fail"))</f>
        <v>Pass</v>
      </c>
      <c r="B425">
        <f t="shared" si="42"/>
        <v>14.66220760345459</v>
      </c>
      <c r="C425">
        <v>0</v>
      </c>
      <c r="D425">
        <v>50</v>
      </c>
      <c r="E425">
        <v>40</v>
      </c>
      <c r="F425">
        <v>48</v>
      </c>
      <c r="G425">
        <v>14.6622079008197</v>
      </c>
      <c r="M425" t="str">
        <f t="shared" si="43"/>
        <v>Pass</v>
      </c>
      <c r="N425">
        <f t="shared" si="44"/>
        <v>8.7802521884441376E-3</v>
      </c>
      <c r="O425">
        <v>20</v>
      </c>
      <c r="P425">
        <v>30</v>
      </c>
      <c r="Q425">
        <v>1</v>
      </c>
      <c r="R425" t="b">
        <v>0</v>
      </c>
      <c r="S425">
        <v>8.7802527216385602E-3</v>
      </c>
      <c r="Y425" t="str">
        <f t="shared" si="45"/>
        <v>Pass</v>
      </c>
      <c r="Z425">
        <f t="shared" si="46"/>
        <v>46214.359375</v>
      </c>
      <c r="AA425">
        <v>6400</v>
      </c>
      <c r="AB425">
        <v>20</v>
      </c>
      <c r="AC425">
        <v>6</v>
      </c>
      <c r="AD425">
        <v>0.2</v>
      </c>
      <c r="AE425">
        <v>46214.356118873002</v>
      </c>
    </row>
    <row r="426" spans="1:31" x14ac:dyDescent="0.3">
      <c r="A426" t="str">
        <f>IF(ISBLANK(B426),"",IF(ROUND(B426,0)=ROUND(G426,0),"Pass","Fail"))</f>
        <v>Pass</v>
      </c>
      <c r="B426">
        <f t="shared" si="42"/>
        <v>80.697998046875</v>
      </c>
      <c r="C426">
        <v>0</v>
      </c>
      <c r="D426">
        <v>50</v>
      </c>
      <c r="E426">
        <v>50</v>
      </c>
      <c r="F426">
        <v>0</v>
      </c>
      <c r="G426">
        <v>80.697999999999993</v>
      </c>
      <c r="M426" t="str">
        <f t="shared" si="43"/>
        <v>Pass</v>
      </c>
      <c r="N426">
        <f t="shared" si="44"/>
        <v>4.5035642688162625E-4</v>
      </c>
      <c r="O426">
        <v>20</v>
      </c>
      <c r="P426">
        <v>30</v>
      </c>
      <c r="Q426">
        <v>1.5</v>
      </c>
      <c r="R426" t="b">
        <v>1</v>
      </c>
      <c r="S426">
        <v>4.5035646064904599E-4</v>
      </c>
      <c r="Y426" t="str">
        <f t="shared" si="45"/>
        <v>Pass</v>
      </c>
      <c r="Z426">
        <f t="shared" si="46"/>
        <v>52781.2421875</v>
      </c>
      <c r="AA426">
        <v>6400</v>
      </c>
      <c r="AB426">
        <v>20</v>
      </c>
      <c r="AC426">
        <v>8</v>
      </c>
      <c r="AD426">
        <v>0.2</v>
      </c>
      <c r="AE426">
        <v>52781.243609953402</v>
      </c>
    </row>
    <row r="427" spans="1:31" x14ac:dyDescent="0.3">
      <c r="A427" t="str">
        <f>IF(ISBLANK(B427),"",IF(ROUND(B427,0)=ROUND(G427,0),"Pass","Fail"))</f>
        <v>Pass</v>
      </c>
      <c r="B427">
        <f t="shared" si="42"/>
        <v>47.361228942871094</v>
      </c>
      <c r="C427">
        <v>0</v>
      </c>
      <c r="D427">
        <v>50</v>
      </c>
      <c r="E427">
        <v>50</v>
      </c>
      <c r="F427">
        <v>8</v>
      </c>
      <c r="G427">
        <v>47.361228080723002</v>
      </c>
      <c r="M427" t="str">
        <f t="shared" si="43"/>
        <v>Pass</v>
      </c>
      <c r="N427">
        <f t="shared" si="44"/>
        <v>9.6267508342862129E-3</v>
      </c>
      <c r="O427">
        <v>20</v>
      </c>
      <c r="P427">
        <v>30</v>
      </c>
      <c r="Q427">
        <v>1.5</v>
      </c>
      <c r="R427" t="b">
        <v>0</v>
      </c>
      <c r="S427">
        <v>9.62675085418448E-3</v>
      </c>
      <c r="Y427" t="str">
        <f t="shared" si="45"/>
        <v>Pass</v>
      </c>
      <c r="Z427">
        <f t="shared" si="46"/>
        <v>57183.1640625</v>
      </c>
      <c r="AA427">
        <v>6400</v>
      </c>
      <c r="AB427">
        <v>20</v>
      </c>
      <c r="AC427">
        <v>10</v>
      </c>
      <c r="AD427">
        <v>0.2</v>
      </c>
      <c r="AE427">
        <v>57183.159935285301</v>
      </c>
    </row>
    <row r="428" spans="1:31" x14ac:dyDescent="0.3">
      <c r="A428" t="str">
        <f>IF(ISBLANK(B428),"",IF(ROUND(B428,0)=ROUND(G428,0),"Pass","Fail"))</f>
        <v>Pass</v>
      </c>
      <c r="B428">
        <f t="shared" si="42"/>
        <v>30.579996109008789</v>
      </c>
      <c r="C428">
        <v>0</v>
      </c>
      <c r="D428">
        <v>50</v>
      </c>
      <c r="E428">
        <v>50</v>
      </c>
      <c r="F428">
        <v>16</v>
      </c>
      <c r="G428">
        <v>30.579997247101701</v>
      </c>
      <c r="M428" t="str">
        <f t="shared" si="43"/>
        <v>Pass</v>
      </c>
      <c r="N428">
        <f t="shared" si="44"/>
        <v>4.8074795631691813E-4</v>
      </c>
      <c r="O428">
        <v>20</v>
      </c>
      <c r="P428">
        <v>30</v>
      </c>
      <c r="Q428">
        <v>2</v>
      </c>
      <c r="R428" t="b">
        <v>1</v>
      </c>
      <c r="S428">
        <v>4.8074800486496902E-4</v>
      </c>
      <c r="Y428" t="str">
        <f t="shared" si="45"/>
        <v>Pass</v>
      </c>
      <c r="Z428">
        <f t="shared" si="46"/>
        <v>60133.85546875</v>
      </c>
      <c r="AA428">
        <v>6400</v>
      </c>
      <c r="AB428">
        <v>20</v>
      </c>
      <c r="AC428">
        <v>12</v>
      </c>
      <c r="AD428">
        <v>0.2</v>
      </c>
      <c r="AE428">
        <v>60133.852689126797</v>
      </c>
    </row>
    <row r="429" spans="1:31" x14ac:dyDescent="0.3">
      <c r="A429" t="str">
        <f>IF(ISBLANK(B429),"",IF(ROUND(B429,0)=ROUND(G429,0),"Pass","Fail"))</f>
        <v>Pass</v>
      </c>
      <c r="B429">
        <f t="shared" si="42"/>
        <v>22.132575988769531</v>
      </c>
      <c r="C429">
        <v>0</v>
      </c>
      <c r="D429">
        <v>50</v>
      </c>
      <c r="E429">
        <v>50</v>
      </c>
      <c r="F429">
        <v>24</v>
      </c>
      <c r="G429">
        <v>22.1325774137362</v>
      </c>
      <c r="M429" t="str">
        <f t="shared" si="43"/>
        <v>Pass</v>
      </c>
      <c r="N429">
        <f t="shared" si="44"/>
        <v>1.027639489620924E-2</v>
      </c>
      <c r="O429">
        <v>20</v>
      </c>
      <c r="P429">
        <v>30</v>
      </c>
      <c r="Q429">
        <v>2</v>
      </c>
      <c r="R429" t="b">
        <v>0</v>
      </c>
      <c r="S429">
        <v>1.0276395857209301E-2</v>
      </c>
      <c r="Y429" t="str">
        <f t="shared" si="45"/>
        <v>Pass</v>
      </c>
      <c r="Z429">
        <f t="shared" si="46"/>
        <v>62111.7578125</v>
      </c>
      <c r="AA429">
        <v>6400</v>
      </c>
      <c r="AB429">
        <v>20</v>
      </c>
      <c r="AC429">
        <v>14</v>
      </c>
      <c r="AD429">
        <v>0.2</v>
      </c>
      <c r="AE429">
        <v>62111.761191718899</v>
      </c>
    </row>
    <row r="430" spans="1:31" x14ac:dyDescent="0.3">
      <c r="A430" t="str">
        <f>IF(ISBLANK(B430),"",IF(ROUND(B430,0)=ROUND(G430,0),"Pass","Fail"))</f>
        <v>Pass</v>
      </c>
      <c r="B430">
        <f t="shared" si="42"/>
        <v>17.880271911621094</v>
      </c>
      <c r="C430">
        <v>0</v>
      </c>
      <c r="D430">
        <v>50</v>
      </c>
      <c r="E430">
        <v>50</v>
      </c>
      <c r="F430">
        <v>32</v>
      </c>
      <c r="G430">
        <v>17.880273005994599</v>
      </c>
      <c r="M430" t="str">
        <f t="shared" si="43"/>
        <v>Pass</v>
      </c>
      <c r="N430">
        <f t="shared" si="44"/>
        <v>5.0572684267535806E-4</v>
      </c>
      <c r="O430">
        <v>20</v>
      </c>
      <c r="P430">
        <v>30</v>
      </c>
      <c r="Q430">
        <v>2.5</v>
      </c>
      <c r="R430" t="b">
        <v>1</v>
      </c>
      <c r="S430">
        <v>5.0572691026498596E-4</v>
      </c>
      <c r="Y430" t="str">
        <f t="shared" si="45"/>
        <v>Pass</v>
      </c>
      <c r="Z430">
        <f t="shared" si="46"/>
        <v>63437.58984375</v>
      </c>
      <c r="AA430">
        <v>6400</v>
      </c>
      <c r="AB430">
        <v>20</v>
      </c>
      <c r="AC430">
        <v>16</v>
      </c>
      <c r="AD430">
        <v>0.2</v>
      </c>
      <c r="AE430">
        <v>63437.592910230698</v>
      </c>
    </row>
    <row r="431" spans="1:31" x14ac:dyDescent="0.3">
      <c r="A431" t="str">
        <f>IF(ISBLANK(B431),"",IF(ROUND(B431,0)=ROUND(G431,0),"Pass","Fail"))</f>
        <v>Pass</v>
      </c>
      <c r="B431">
        <f t="shared" si="42"/>
        <v>15.739727020263672</v>
      </c>
      <c r="C431">
        <v>0</v>
      </c>
      <c r="D431">
        <v>50</v>
      </c>
      <c r="E431">
        <v>50</v>
      </c>
      <c r="F431">
        <v>40</v>
      </c>
      <c r="G431">
        <v>15.7397267643271</v>
      </c>
      <c r="M431" t="str">
        <f t="shared" si="43"/>
        <v>Pass</v>
      </c>
      <c r="N431">
        <f t="shared" si="44"/>
        <v>1.0810340754687786E-2</v>
      </c>
      <c r="O431">
        <v>20</v>
      </c>
      <c r="P431">
        <v>30</v>
      </c>
      <c r="Q431">
        <v>2.5</v>
      </c>
      <c r="R431" t="b">
        <v>0</v>
      </c>
      <c r="S431">
        <v>1.0810341120367399E-2</v>
      </c>
      <c r="Y431" t="str">
        <f t="shared" si="45"/>
        <v>Pass</v>
      </c>
      <c r="Z431">
        <f t="shared" si="46"/>
        <v>64326.328125</v>
      </c>
      <c r="AA431">
        <v>6400</v>
      </c>
      <c r="AB431">
        <v>20</v>
      </c>
      <c r="AC431">
        <v>18</v>
      </c>
      <c r="AD431">
        <v>0.2</v>
      </c>
      <c r="AE431">
        <v>64326.324488819002</v>
      </c>
    </row>
    <row r="432" spans="1:31" x14ac:dyDescent="0.3">
      <c r="A432" t="str">
        <f>IF(ISBLANK(B432),"",IF(ROUND(B432,0)=ROUND(G432,0),"Pass","Fail"))</f>
        <v>Pass</v>
      </c>
      <c r="B432">
        <f t="shared" si="42"/>
        <v>14.66220760345459</v>
      </c>
      <c r="C432">
        <v>0</v>
      </c>
      <c r="D432">
        <v>50</v>
      </c>
      <c r="E432">
        <v>50</v>
      </c>
      <c r="F432">
        <v>48</v>
      </c>
      <c r="G432">
        <v>14.6622079008197</v>
      </c>
      <c r="M432" t="str">
        <f t="shared" si="43"/>
        <v>Pass</v>
      </c>
      <c r="N432">
        <f t="shared" si="44"/>
        <v>5.2709656301885843E-4</v>
      </c>
      <c r="O432">
        <v>20</v>
      </c>
      <c r="P432">
        <v>30</v>
      </c>
      <c r="Q432">
        <v>3</v>
      </c>
      <c r="R432" t="b">
        <v>1</v>
      </c>
      <c r="S432">
        <v>5.27096589722948E-4</v>
      </c>
      <c r="Y432" t="str">
        <f t="shared" si="45"/>
        <v>Pass</v>
      </c>
      <c r="Z432">
        <f t="shared" si="46"/>
        <v>64922.0625</v>
      </c>
      <c r="AA432">
        <v>6400</v>
      </c>
      <c r="AB432">
        <v>20</v>
      </c>
      <c r="AC432">
        <v>20</v>
      </c>
      <c r="AD432">
        <v>0.2</v>
      </c>
      <c r="AE432">
        <v>64922.059081491701</v>
      </c>
    </row>
    <row r="433" spans="1:31" x14ac:dyDescent="0.3">
      <c r="A433" t="str">
        <f>IF(ISBLANK(B433),"",IF(ROUND(B433,0)=ROUND(G433,0),"Pass","Fail"))</f>
        <v>Pass</v>
      </c>
      <c r="B433">
        <f t="shared" si="42"/>
        <v>80.697998046875</v>
      </c>
      <c r="C433">
        <v>0</v>
      </c>
      <c r="D433">
        <v>50</v>
      </c>
      <c r="E433">
        <v>60</v>
      </c>
      <c r="F433">
        <v>0</v>
      </c>
      <c r="G433">
        <v>80.697999999999993</v>
      </c>
      <c r="M433" t="str">
        <f t="shared" si="43"/>
        <v>Pass</v>
      </c>
      <c r="N433">
        <f t="shared" si="44"/>
        <v>1.1267135851085186E-2</v>
      </c>
      <c r="O433">
        <v>20</v>
      </c>
      <c r="P433">
        <v>30</v>
      </c>
      <c r="Q433">
        <v>3</v>
      </c>
      <c r="R433" t="b">
        <v>0</v>
      </c>
      <c r="S433">
        <v>1.12671361215518E-2</v>
      </c>
      <c r="Y433" t="str">
        <f t="shared" si="45"/>
        <v>Pass</v>
      </c>
      <c r="Z433">
        <f t="shared" si="46"/>
        <v>65321.39453125</v>
      </c>
      <c r="AA433">
        <v>6400</v>
      </c>
      <c r="AB433">
        <v>20</v>
      </c>
      <c r="AC433">
        <v>22</v>
      </c>
      <c r="AD433">
        <v>0.2</v>
      </c>
      <c r="AE433">
        <v>65321.391921076996</v>
      </c>
    </row>
    <row r="434" spans="1:31" x14ac:dyDescent="0.3">
      <c r="A434" t="str">
        <f>IF(ISBLANK(B434),"",IF(ROUND(B434,0)=ROUND(G434,0),"Pass","Fail"))</f>
        <v>Pass</v>
      </c>
      <c r="B434">
        <f t="shared" si="42"/>
        <v>47.361228942871094</v>
      </c>
      <c r="C434">
        <v>0</v>
      </c>
      <c r="D434">
        <v>50</v>
      </c>
      <c r="E434">
        <v>60</v>
      </c>
      <c r="F434">
        <v>8</v>
      </c>
      <c r="G434">
        <v>47.361228080723002</v>
      </c>
      <c r="M434" t="str">
        <f t="shared" si="43"/>
        <v>Pass</v>
      </c>
      <c r="N434">
        <f t="shared" si="44"/>
        <v>5.458673695102334E-4</v>
      </c>
      <c r="O434">
        <v>20</v>
      </c>
      <c r="P434">
        <v>30</v>
      </c>
      <c r="Q434">
        <v>3.5</v>
      </c>
      <c r="R434" t="b">
        <v>1</v>
      </c>
      <c r="S434">
        <v>5.4586736133472604E-4</v>
      </c>
      <c r="Y434" t="str">
        <f t="shared" si="45"/>
        <v>Pass</v>
      </c>
      <c r="Z434">
        <f t="shared" si="46"/>
        <v>65589.078125</v>
      </c>
      <c r="AA434">
        <v>6400</v>
      </c>
      <c r="AB434">
        <v>20</v>
      </c>
      <c r="AC434">
        <v>24</v>
      </c>
      <c r="AD434">
        <v>0.2</v>
      </c>
      <c r="AE434">
        <v>65589.072728491403</v>
      </c>
    </row>
    <row r="435" spans="1:31" x14ac:dyDescent="0.3">
      <c r="A435" t="str">
        <f>IF(ISBLANK(B435),"",IF(ROUND(B435,0)=ROUND(G435,0),"Pass","Fail"))</f>
        <v>Pass</v>
      </c>
      <c r="B435">
        <f t="shared" si="42"/>
        <v>30.579996109008789</v>
      </c>
      <c r="C435">
        <v>0</v>
      </c>
      <c r="D435">
        <v>50</v>
      </c>
      <c r="E435">
        <v>60</v>
      </c>
      <c r="F435">
        <v>16</v>
      </c>
      <c r="G435">
        <v>30.579997247101701</v>
      </c>
      <c r="M435" t="str">
        <f t="shared" si="43"/>
        <v>Pass</v>
      </c>
      <c r="N435">
        <f t="shared" si="44"/>
        <v>1.1668377555906773E-2</v>
      </c>
      <c r="O435">
        <v>20</v>
      </c>
      <c r="P435">
        <v>30</v>
      </c>
      <c r="Q435">
        <v>3.5</v>
      </c>
      <c r="R435" t="b">
        <v>0</v>
      </c>
      <c r="S435">
        <v>1.1668377265926601E-2</v>
      </c>
      <c r="Y435" t="str">
        <f t="shared" si="45"/>
        <v>Pass</v>
      </c>
      <c r="Z435">
        <f t="shared" si="46"/>
        <v>0</v>
      </c>
      <c r="AA435">
        <v>6600</v>
      </c>
      <c r="AB435">
        <v>20</v>
      </c>
      <c r="AC435">
        <v>0</v>
      </c>
      <c r="AD435">
        <v>0.2</v>
      </c>
      <c r="AE435">
        <v>0</v>
      </c>
    </row>
    <row r="436" spans="1:31" x14ac:dyDescent="0.3">
      <c r="A436" t="str">
        <f>IF(ISBLANK(B436),"",IF(ROUND(B436,0)=ROUND(G436,0),"Pass","Fail"))</f>
        <v>Pass</v>
      </c>
      <c r="B436">
        <f t="shared" si="42"/>
        <v>22.132575988769531</v>
      </c>
      <c r="C436">
        <v>0</v>
      </c>
      <c r="D436">
        <v>50</v>
      </c>
      <c r="E436">
        <v>60</v>
      </c>
      <c r="F436">
        <v>24</v>
      </c>
      <c r="G436">
        <v>22.1325774137362</v>
      </c>
      <c r="M436" t="str">
        <f t="shared" si="43"/>
        <v>Pass</v>
      </c>
      <c r="N436">
        <f t="shared" si="44"/>
        <v>5.6266679894179106E-4</v>
      </c>
      <c r="O436">
        <v>20</v>
      </c>
      <c r="P436">
        <v>30</v>
      </c>
      <c r="Q436">
        <v>4</v>
      </c>
      <c r="R436" t="b">
        <v>1</v>
      </c>
      <c r="S436">
        <v>5.6266681178557905E-4</v>
      </c>
      <c r="Y436" t="str">
        <f t="shared" si="45"/>
        <v>Pass</v>
      </c>
      <c r="Z436">
        <f t="shared" si="46"/>
        <v>22484.171875</v>
      </c>
      <c r="AA436">
        <v>6600</v>
      </c>
      <c r="AB436">
        <v>20</v>
      </c>
      <c r="AC436">
        <v>2</v>
      </c>
      <c r="AD436">
        <v>0.2</v>
      </c>
      <c r="AE436">
        <v>22484.172860369399</v>
      </c>
    </row>
    <row r="437" spans="1:31" x14ac:dyDescent="0.3">
      <c r="A437" t="str">
        <f>IF(ISBLANK(B437),"",IF(ROUND(B437,0)=ROUND(G437,0),"Pass","Fail"))</f>
        <v>Pass</v>
      </c>
      <c r="B437">
        <f t="shared" si="42"/>
        <v>17.880271911621094</v>
      </c>
      <c r="C437">
        <v>0</v>
      </c>
      <c r="D437">
        <v>50</v>
      </c>
      <c r="E437">
        <v>60</v>
      </c>
      <c r="F437">
        <v>32</v>
      </c>
      <c r="G437">
        <v>17.880273005994599</v>
      </c>
      <c r="M437" t="str">
        <f t="shared" si="43"/>
        <v>Pass</v>
      </c>
      <c r="N437">
        <f t="shared" si="44"/>
        <v>1.2027479708194733E-2</v>
      </c>
      <c r="O437">
        <v>20</v>
      </c>
      <c r="P437">
        <v>30</v>
      </c>
      <c r="Q437">
        <v>4</v>
      </c>
      <c r="R437" t="b">
        <v>0</v>
      </c>
      <c r="S437">
        <v>1.20274797505329E-2</v>
      </c>
      <c r="Y437" t="str">
        <f t="shared" si="45"/>
        <v>Pass</v>
      </c>
      <c r="Z437">
        <f t="shared" si="46"/>
        <v>37555.765625</v>
      </c>
      <c r="AA437">
        <v>6600</v>
      </c>
      <c r="AB437">
        <v>20</v>
      </c>
      <c r="AC437">
        <v>4</v>
      </c>
      <c r="AD437">
        <v>0.2</v>
      </c>
      <c r="AE437">
        <v>37555.764647205397</v>
      </c>
    </row>
    <row r="438" spans="1:31" x14ac:dyDescent="0.3">
      <c r="A438" t="str">
        <f>IF(ISBLANK(B438),"",IF(ROUND(B438,0)=ROUND(G438,0),"Pass","Fail"))</f>
        <v>Pass</v>
      </c>
      <c r="B438">
        <f t="shared" si="42"/>
        <v>15.739727020263672</v>
      </c>
      <c r="C438">
        <v>0</v>
      </c>
      <c r="D438">
        <v>50</v>
      </c>
      <c r="E438">
        <v>60</v>
      </c>
      <c r="F438">
        <v>40</v>
      </c>
      <c r="G438">
        <v>15.7397267643271</v>
      </c>
      <c r="M438" t="str">
        <f t="shared" si="43"/>
        <v>Pass</v>
      </c>
      <c r="N438">
        <f t="shared" si="44"/>
        <v>0</v>
      </c>
      <c r="O438">
        <v>20</v>
      </c>
      <c r="P438">
        <v>40</v>
      </c>
      <c r="Q438">
        <v>0</v>
      </c>
      <c r="R438" t="b">
        <v>1</v>
      </c>
      <c r="S438">
        <v>0</v>
      </c>
      <c r="Y438" t="str">
        <f t="shared" si="45"/>
        <v>Pass</v>
      </c>
      <c r="Z438">
        <f t="shared" si="46"/>
        <v>47658.5546875</v>
      </c>
      <c r="AA438">
        <v>6600</v>
      </c>
      <c r="AB438">
        <v>20</v>
      </c>
      <c r="AC438">
        <v>6</v>
      </c>
      <c r="AD438">
        <v>0.2</v>
      </c>
      <c r="AE438">
        <v>47658.554747587797</v>
      </c>
    </row>
    <row r="439" spans="1:31" x14ac:dyDescent="0.3">
      <c r="A439" t="str">
        <f>IF(ISBLANK(B439),"",IF(ROUND(B439,0)=ROUND(G439,0),"Pass","Fail"))</f>
        <v>Pass</v>
      </c>
      <c r="B439">
        <f t="shared" si="42"/>
        <v>14.66220760345459</v>
      </c>
      <c r="C439">
        <v>0</v>
      </c>
      <c r="D439">
        <v>50</v>
      </c>
      <c r="E439">
        <v>60</v>
      </c>
      <c r="F439">
        <v>48</v>
      </c>
      <c r="G439">
        <v>14.6622079008197</v>
      </c>
      <c r="M439" t="str">
        <f t="shared" si="43"/>
        <v>Pass</v>
      </c>
      <c r="N439">
        <f t="shared" si="44"/>
        <v>0</v>
      </c>
      <c r="O439">
        <v>20</v>
      </c>
      <c r="P439">
        <v>40</v>
      </c>
      <c r="Q439">
        <v>0</v>
      </c>
      <c r="R439" t="b">
        <v>0</v>
      </c>
      <c r="S439">
        <v>0</v>
      </c>
      <c r="Y439" t="str">
        <f t="shared" si="45"/>
        <v>Pass</v>
      </c>
      <c r="Z439">
        <f t="shared" si="46"/>
        <v>54430.65625</v>
      </c>
      <c r="AA439">
        <v>6600</v>
      </c>
      <c r="AB439">
        <v>20</v>
      </c>
      <c r="AC439">
        <v>8</v>
      </c>
      <c r="AD439">
        <v>0.2</v>
      </c>
      <c r="AE439">
        <v>54430.657472764498</v>
      </c>
    </row>
    <row r="440" spans="1:31" x14ac:dyDescent="0.3">
      <c r="A440" t="str">
        <f>IF(ISBLANK(B440),"",IF(ROUND(B440,0)=ROUND(G440,0),"Pass","Fail"))</f>
        <v>Pass</v>
      </c>
      <c r="B440">
        <f t="shared" si="42"/>
        <v>80.697998046875</v>
      </c>
      <c r="C440">
        <v>0</v>
      </c>
      <c r="D440">
        <v>50</v>
      </c>
      <c r="E440">
        <v>70</v>
      </c>
      <c r="F440">
        <v>0</v>
      </c>
      <c r="G440">
        <v>80.697999999999993</v>
      </c>
      <c r="M440" t="str">
        <f t="shared" si="43"/>
        <v>Pass</v>
      </c>
      <c r="N440">
        <f t="shared" si="44"/>
        <v>6.4326527535740752E-6</v>
      </c>
      <c r="O440">
        <v>20</v>
      </c>
      <c r="P440">
        <v>40</v>
      </c>
      <c r="Q440">
        <v>0.5</v>
      </c>
      <c r="R440" t="b">
        <v>1</v>
      </c>
      <c r="S440">
        <v>6.4326529822015999E-6</v>
      </c>
      <c r="Y440" t="str">
        <f t="shared" si="45"/>
        <v>Pass</v>
      </c>
      <c r="Z440">
        <f t="shared" si="46"/>
        <v>58970.13671875</v>
      </c>
      <c r="AA440">
        <v>6600</v>
      </c>
      <c r="AB440">
        <v>20</v>
      </c>
      <c r="AC440">
        <v>10</v>
      </c>
      <c r="AD440">
        <v>0.2</v>
      </c>
      <c r="AE440">
        <v>58970.133683262997</v>
      </c>
    </row>
    <row r="441" spans="1:31" x14ac:dyDescent="0.3">
      <c r="A441" t="str">
        <f>IF(ISBLANK(B441),"",IF(ROUND(B441,0)=ROUND(G441,0),"Pass","Fail"))</f>
        <v>Pass</v>
      </c>
      <c r="B441">
        <f t="shared" si="42"/>
        <v>47.361228942871094</v>
      </c>
      <c r="C441">
        <v>0</v>
      </c>
      <c r="D441">
        <v>50</v>
      </c>
      <c r="E441">
        <v>70</v>
      </c>
      <c r="F441">
        <v>8</v>
      </c>
      <c r="G441">
        <v>47.361228080723002</v>
      </c>
      <c r="M441" t="str">
        <f t="shared" si="43"/>
        <v>Pass</v>
      </c>
      <c r="N441">
        <f t="shared" si="44"/>
        <v>1.3750340440310538E-4</v>
      </c>
      <c r="O441">
        <v>20</v>
      </c>
      <c r="P441">
        <v>40</v>
      </c>
      <c r="Q441">
        <v>0.5</v>
      </c>
      <c r="R441" t="b">
        <v>0</v>
      </c>
      <c r="S441">
        <v>1.37503406749923E-4</v>
      </c>
      <c r="Y441" t="str">
        <f t="shared" si="45"/>
        <v>Pass</v>
      </c>
      <c r="Z441">
        <f t="shared" si="46"/>
        <v>62013.0390625</v>
      </c>
      <c r="AA441">
        <v>6600</v>
      </c>
      <c r="AB441">
        <v>20</v>
      </c>
      <c r="AC441">
        <v>12</v>
      </c>
      <c r="AD441">
        <v>0.2</v>
      </c>
      <c r="AE441">
        <v>62013.035585662001</v>
      </c>
    </row>
    <row r="442" spans="1:31" x14ac:dyDescent="0.3">
      <c r="A442" t="str">
        <f>IF(ISBLANK(B442),"",IF(ROUND(B442,0)=ROUND(G442,0),"Pass","Fail"))</f>
        <v>Pass</v>
      </c>
      <c r="B442">
        <f t="shared" si="42"/>
        <v>30.579996109008789</v>
      </c>
      <c r="C442">
        <v>0</v>
      </c>
      <c r="D442">
        <v>50</v>
      </c>
      <c r="E442">
        <v>70</v>
      </c>
      <c r="F442">
        <v>16</v>
      </c>
      <c r="G442">
        <v>30.579997247101701</v>
      </c>
      <c r="M442" t="str">
        <f t="shared" si="43"/>
        <v>Pass</v>
      </c>
      <c r="N442">
        <f t="shared" si="44"/>
        <v>7.5287684921931941E-6</v>
      </c>
      <c r="O442">
        <v>20</v>
      </c>
      <c r="P442">
        <v>40</v>
      </c>
      <c r="Q442">
        <v>1</v>
      </c>
      <c r="R442" t="b">
        <v>1</v>
      </c>
      <c r="S442">
        <v>7.5287683114462302E-6</v>
      </c>
      <c r="Y442" t="str">
        <f t="shared" si="45"/>
        <v>Pass</v>
      </c>
      <c r="Z442">
        <f t="shared" si="46"/>
        <v>64052.75</v>
      </c>
      <c r="AA442">
        <v>6600</v>
      </c>
      <c r="AB442">
        <v>20</v>
      </c>
      <c r="AC442">
        <v>14</v>
      </c>
      <c r="AD442">
        <v>0.2</v>
      </c>
      <c r="AE442">
        <v>64052.753728960102</v>
      </c>
    </row>
    <row r="443" spans="1:31" x14ac:dyDescent="0.3">
      <c r="A443" t="str">
        <f>IF(ISBLANK(B443),"",IF(ROUND(B443,0)=ROUND(G443,0),"Pass","Fail"))</f>
        <v>Pass</v>
      </c>
      <c r="B443">
        <f t="shared" si="42"/>
        <v>22.132575988769531</v>
      </c>
      <c r="C443">
        <v>0</v>
      </c>
      <c r="D443">
        <v>50</v>
      </c>
      <c r="E443">
        <v>70</v>
      </c>
      <c r="F443">
        <v>24</v>
      </c>
      <c r="G443">
        <v>22.1325774137362</v>
      </c>
      <c r="M443" t="str">
        <f t="shared" si="43"/>
        <v>Pass</v>
      </c>
      <c r="N443">
        <f t="shared" si="44"/>
        <v>1.6093379235826433E-4</v>
      </c>
      <c r="O443">
        <v>20</v>
      </c>
      <c r="P443">
        <v>40</v>
      </c>
      <c r="Q443">
        <v>1</v>
      </c>
      <c r="R443" t="b">
        <v>0</v>
      </c>
      <c r="S443">
        <v>1.6093380045823801E-4</v>
      </c>
      <c r="Y443" t="str">
        <f t="shared" si="45"/>
        <v>Pass</v>
      </c>
      <c r="Z443">
        <f t="shared" si="46"/>
        <v>65420.015625</v>
      </c>
      <c r="AA443">
        <v>6600</v>
      </c>
      <c r="AB443">
        <v>20</v>
      </c>
      <c r="AC443">
        <v>16</v>
      </c>
      <c r="AD443">
        <v>0.2</v>
      </c>
      <c r="AE443">
        <v>65420.017688675398</v>
      </c>
    </row>
    <row r="444" spans="1:31" x14ac:dyDescent="0.3">
      <c r="A444" t="str">
        <f>IF(ISBLANK(B444),"",IF(ROUND(B444,0)=ROUND(G444,0),"Pass","Fail"))</f>
        <v>Pass</v>
      </c>
      <c r="B444">
        <f t="shared" si="42"/>
        <v>17.880271911621094</v>
      </c>
      <c r="C444">
        <v>0</v>
      </c>
      <c r="D444">
        <v>50</v>
      </c>
      <c r="E444">
        <v>70</v>
      </c>
      <c r="F444">
        <v>32</v>
      </c>
      <c r="G444">
        <v>17.880273005994599</v>
      </c>
      <c r="M444" t="str">
        <f t="shared" si="43"/>
        <v>Pass</v>
      </c>
      <c r="N444">
        <f t="shared" si="44"/>
        <v>8.2546112025738694E-6</v>
      </c>
      <c r="O444">
        <v>20</v>
      </c>
      <c r="P444">
        <v>40</v>
      </c>
      <c r="Q444">
        <v>1.5</v>
      </c>
      <c r="R444" t="b">
        <v>1</v>
      </c>
      <c r="S444">
        <v>8.2546116918199998E-6</v>
      </c>
      <c r="Y444" t="str">
        <f t="shared" si="45"/>
        <v>Pass</v>
      </c>
      <c r="Z444">
        <f t="shared" si="46"/>
        <v>66336.5234375</v>
      </c>
      <c r="AA444">
        <v>6600</v>
      </c>
      <c r="AB444">
        <v>20</v>
      </c>
      <c r="AC444">
        <v>18</v>
      </c>
      <c r="AD444">
        <v>0.2</v>
      </c>
      <c r="AE444">
        <v>66336.522129094606</v>
      </c>
    </row>
    <row r="445" spans="1:31" x14ac:dyDescent="0.3">
      <c r="A445" t="str">
        <f>IF(ISBLANK(B445),"",IF(ROUND(B445,0)=ROUND(G445,0),"Pass","Fail"))</f>
        <v>Pass</v>
      </c>
      <c r="B445">
        <f t="shared" si="42"/>
        <v>15.739727020263672</v>
      </c>
      <c r="C445">
        <v>0</v>
      </c>
      <c r="D445">
        <v>50</v>
      </c>
      <c r="E445">
        <v>70</v>
      </c>
      <c r="F445">
        <v>40</v>
      </c>
      <c r="G445">
        <v>15.7397267643271</v>
      </c>
      <c r="M445" t="str">
        <f t="shared" si="43"/>
        <v>Pass</v>
      </c>
      <c r="N445">
        <f t="shared" si="44"/>
        <v>1.7644930630922318E-4</v>
      </c>
      <c r="O445">
        <v>20</v>
      </c>
      <c r="P445">
        <v>40</v>
      </c>
      <c r="Q445">
        <v>1.5</v>
      </c>
      <c r="R445" t="b">
        <v>0</v>
      </c>
      <c r="S445">
        <v>1.76449317593147E-4</v>
      </c>
      <c r="Y445" t="str">
        <f t="shared" si="45"/>
        <v>Pass</v>
      </c>
      <c r="Z445">
        <f t="shared" si="46"/>
        <v>66950.875</v>
      </c>
      <c r="AA445">
        <v>6600</v>
      </c>
      <c r="AB445">
        <v>20</v>
      </c>
      <c r="AC445">
        <v>20</v>
      </c>
      <c r="AD445">
        <v>0.2</v>
      </c>
      <c r="AE445">
        <v>66950.873427788305</v>
      </c>
    </row>
    <row r="446" spans="1:31" x14ac:dyDescent="0.3">
      <c r="A446" t="str">
        <f>IF(ISBLANK(B446),"",IF(ROUND(B446,0)=ROUND(G446,0),"Pass","Fail"))</f>
        <v>Pass</v>
      </c>
      <c r="B446">
        <f t="shared" si="42"/>
        <v>14.66220760345459</v>
      </c>
      <c r="C446">
        <v>0</v>
      </c>
      <c r="D446">
        <v>50</v>
      </c>
      <c r="E446">
        <v>70</v>
      </c>
      <c r="F446">
        <v>48</v>
      </c>
      <c r="G446">
        <v>14.6622079008197</v>
      </c>
      <c r="M446" t="str">
        <f t="shared" si="43"/>
        <v>Pass</v>
      </c>
      <c r="N446">
        <f t="shared" si="44"/>
        <v>8.8116594270104542E-6</v>
      </c>
      <c r="O446">
        <v>20</v>
      </c>
      <c r="P446">
        <v>40</v>
      </c>
      <c r="Q446">
        <v>2</v>
      </c>
      <c r="R446" t="b">
        <v>1</v>
      </c>
      <c r="S446">
        <v>8.8116602036936103E-6</v>
      </c>
      <c r="Y446" t="str">
        <f t="shared" si="45"/>
        <v>Pass</v>
      </c>
      <c r="Z446">
        <f t="shared" si="46"/>
        <v>67362.6875</v>
      </c>
      <c r="AA446">
        <v>6600</v>
      </c>
      <c r="AB446">
        <v>20</v>
      </c>
      <c r="AC446">
        <v>22</v>
      </c>
      <c r="AD446">
        <v>0.2</v>
      </c>
      <c r="AE446">
        <v>67362.685418610694</v>
      </c>
    </row>
    <row r="447" spans="1:31" x14ac:dyDescent="0.3">
      <c r="A447" t="str">
        <f>IF(ISBLANK(B447),"",IF(ROUND(B447,0)=ROUND(G447,0),"Pass","Fail"))</f>
        <v>Pass</v>
      </c>
      <c r="B447">
        <f t="shared" si="42"/>
        <v>80.697998046875</v>
      </c>
      <c r="C447">
        <v>0</v>
      </c>
      <c r="D447">
        <v>50</v>
      </c>
      <c r="E447">
        <v>80</v>
      </c>
      <c r="F447">
        <v>0</v>
      </c>
      <c r="G447">
        <v>80.697999999999993</v>
      </c>
      <c r="M447" t="str">
        <f t="shared" si="43"/>
        <v>Pass</v>
      </c>
      <c r="N447">
        <f t="shared" si="44"/>
        <v>1.8835668743122369E-4</v>
      </c>
      <c r="O447">
        <v>20</v>
      </c>
      <c r="P447">
        <v>40</v>
      </c>
      <c r="Q447">
        <v>2</v>
      </c>
      <c r="R447" t="b">
        <v>0</v>
      </c>
      <c r="S447">
        <v>1.8835670142366401E-4</v>
      </c>
      <c r="Y447" t="str">
        <f t="shared" si="45"/>
        <v>Pass</v>
      </c>
      <c r="Z447">
        <f t="shared" si="46"/>
        <v>67638.734375</v>
      </c>
      <c r="AA447">
        <v>6600</v>
      </c>
      <c r="AB447">
        <v>20</v>
      </c>
      <c r="AC447">
        <v>24</v>
      </c>
      <c r="AD447">
        <v>0.2</v>
      </c>
      <c r="AE447">
        <v>67638.731251256802</v>
      </c>
    </row>
    <row r="448" spans="1:31" x14ac:dyDescent="0.3">
      <c r="A448" t="str">
        <f>IF(ISBLANK(B448),"",IF(ROUND(B448,0)=ROUND(G448,0),"Pass","Fail"))</f>
        <v>Pass</v>
      </c>
      <c r="B448">
        <f t="shared" si="42"/>
        <v>47.361228942871094</v>
      </c>
      <c r="C448">
        <v>0</v>
      </c>
      <c r="D448">
        <v>50</v>
      </c>
      <c r="E448">
        <v>80</v>
      </c>
      <c r="F448">
        <v>8</v>
      </c>
      <c r="G448">
        <v>47.361228080723002</v>
      </c>
      <c r="M448" t="str">
        <f t="shared" si="43"/>
        <v>Pass</v>
      </c>
      <c r="N448">
        <f t="shared" si="44"/>
        <v>9.2694990598829463E-6</v>
      </c>
      <c r="O448">
        <v>20</v>
      </c>
      <c r="P448">
        <v>40</v>
      </c>
      <c r="Q448">
        <v>2.5</v>
      </c>
      <c r="R448" t="b">
        <v>1</v>
      </c>
      <c r="S448">
        <v>9.2695001206933299E-6</v>
      </c>
      <c r="Y448" t="str">
        <f t="shared" si="45"/>
        <v>Pass</v>
      </c>
      <c r="Z448">
        <f t="shared" si="46"/>
        <v>0</v>
      </c>
      <c r="AA448">
        <v>6800</v>
      </c>
      <c r="AB448">
        <v>20</v>
      </c>
      <c r="AC448">
        <v>0</v>
      </c>
      <c r="AD448">
        <v>0.2</v>
      </c>
      <c r="AE448">
        <v>0</v>
      </c>
    </row>
    <row r="449" spans="1:31" x14ac:dyDescent="0.3">
      <c r="A449" t="str">
        <f>IF(ISBLANK(B449),"",IF(ROUND(B449,0)=ROUND(G449,0),"Pass","Fail"))</f>
        <v>Pass</v>
      </c>
      <c r="B449">
        <f t="shared" si="42"/>
        <v>30.579996109008789</v>
      </c>
      <c r="C449">
        <v>0</v>
      </c>
      <c r="D449">
        <v>50</v>
      </c>
      <c r="E449">
        <v>80</v>
      </c>
      <c r="F449">
        <v>16</v>
      </c>
      <c r="G449">
        <v>30.579997247101701</v>
      </c>
      <c r="M449" t="str">
        <f t="shared" si="43"/>
        <v>Pass</v>
      </c>
      <c r="N449">
        <f t="shared" si="44"/>
        <v>1.981434179469943E-4</v>
      </c>
      <c r="O449">
        <v>20</v>
      </c>
      <c r="P449">
        <v>40</v>
      </c>
      <c r="Q449">
        <v>2.5</v>
      </c>
      <c r="R449" t="b">
        <v>0</v>
      </c>
      <c r="S449">
        <v>1.98143417496761E-4</v>
      </c>
      <c r="Y449" t="str">
        <f t="shared" si="45"/>
        <v>Pass</v>
      </c>
      <c r="Z449">
        <f t="shared" si="46"/>
        <v>23165.509765625</v>
      </c>
      <c r="AA449">
        <v>6800</v>
      </c>
      <c r="AB449">
        <v>20</v>
      </c>
      <c r="AC449">
        <v>2</v>
      </c>
      <c r="AD449">
        <v>0.2</v>
      </c>
      <c r="AE449">
        <v>23165.511431895698</v>
      </c>
    </row>
    <row r="450" spans="1:31" x14ac:dyDescent="0.3">
      <c r="A450" t="str">
        <f>IF(ISBLANK(B450),"",IF(ROUND(B450,0)=ROUND(G450,0),"Pass","Fail"))</f>
        <v>Pass</v>
      </c>
      <c r="B450">
        <f t="shared" si="42"/>
        <v>22.132575988769531</v>
      </c>
      <c r="C450">
        <v>0</v>
      </c>
      <c r="D450">
        <v>50</v>
      </c>
      <c r="E450">
        <v>80</v>
      </c>
      <c r="F450">
        <v>24</v>
      </c>
      <c r="G450">
        <v>22.1325774137362</v>
      </c>
      <c r="M450" t="str">
        <f t="shared" si="43"/>
        <v>Pass</v>
      </c>
      <c r="N450">
        <f t="shared" si="44"/>
        <v>9.6611856861272827E-6</v>
      </c>
      <c r="O450">
        <v>20</v>
      </c>
      <c r="P450">
        <v>40</v>
      </c>
      <c r="Q450">
        <v>3</v>
      </c>
      <c r="R450" t="b">
        <v>1</v>
      </c>
      <c r="S450">
        <v>9.6611863100063896E-6</v>
      </c>
      <c r="Y450" t="str">
        <f t="shared" si="45"/>
        <v>Pass</v>
      </c>
      <c r="Z450">
        <f t="shared" si="46"/>
        <v>38693.8203125</v>
      </c>
      <c r="AA450">
        <v>6800</v>
      </c>
      <c r="AB450">
        <v>20</v>
      </c>
      <c r="AC450">
        <v>4</v>
      </c>
      <c r="AD450">
        <v>0.2</v>
      </c>
      <c r="AE450">
        <v>38693.818121363198</v>
      </c>
    </row>
    <row r="451" spans="1:31" x14ac:dyDescent="0.3">
      <c r="A451" t="str">
        <f>IF(ISBLANK(B451),"",IF(ROUND(B451,0)=ROUND(G451,0),"Pass","Fail"))</f>
        <v>Pass</v>
      </c>
      <c r="B451">
        <f t="shared" si="42"/>
        <v>17.880271911621094</v>
      </c>
      <c r="C451">
        <v>0</v>
      </c>
      <c r="D451">
        <v>50</v>
      </c>
      <c r="E451">
        <v>80</v>
      </c>
      <c r="F451">
        <v>32</v>
      </c>
      <c r="G451">
        <v>17.880273005994599</v>
      </c>
      <c r="M451" t="str">
        <f t="shared" si="43"/>
        <v>Pass</v>
      </c>
      <c r="N451">
        <f t="shared" si="44"/>
        <v>2.0651603699661791E-4</v>
      </c>
      <c r="O451">
        <v>20</v>
      </c>
      <c r="P451">
        <v>40</v>
      </c>
      <c r="Q451">
        <v>3</v>
      </c>
      <c r="R451" t="b">
        <v>0</v>
      </c>
      <c r="S451">
        <v>2.0651604160013801E-4</v>
      </c>
      <c r="Y451" t="str">
        <f t="shared" si="45"/>
        <v>Pass</v>
      </c>
      <c r="Z451">
        <f t="shared" si="46"/>
        <v>49102.75390625</v>
      </c>
      <c r="AA451">
        <v>6800</v>
      </c>
      <c r="AB451">
        <v>20</v>
      </c>
      <c r="AC451">
        <v>6</v>
      </c>
      <c r="AD451">
        <v>0.2</v>
      </c>
      <c r="AE451">
        <v>49102.7533763026</v>
      </c>
    </row>
    <row r="452" spans="1:31" x14ac:dyDescent="0.3">
      <c r="A452" t="str">
        <f>IF(ISBLANK(B452),"",IF(ROUND(B452,0)=ROUND(G452,0),"Pass","Fail"))</f>
        <v>Pass</v>
      </c>
      <c r="B452">
        <f t="shared" si="42"/>
        <v>15.739727020263672</v>
      </c>
      <c r="C452">
        <v>0</v>
      </c>
      <c r="D452">
        <v>50</v>
      </c>
      <c r="E452">
        <v>80</v>
      </c>
      <c r="F452">
        <v>40</v>
      </c>
      <c r="G452">
        <v>15.7397267643271</v>
      </c>
      <c r="M452" t="str">
        <f t="shared" si="43"/>
        <v>Pass</v>
      </c>
      <c r="N452">
        <f t="shared" si="44"/>
        <v>1.000523661787156E-5</v>
      </c>
      <c r="O452">
        <v>20</v>
      </c>
      <c r="P452">
        <v>40</v>
      </c>
      <c r="Q452">
        <v>3.5</v>
      </c>
      <c r="R452" t="b">
        <v>1</v>
      </c>
      <c r="S452">
        <v>1.00052369551059E-5</v>
      </c>
      <c r="Y452" t="str">
        <f t="shared" si="45"/>
        <v>Pass</v>
      </c>
      <c r="Z452">
        <f t="shared" si="46"/>
        <v>56080.0703125</v>
      </c>
      <c r="AA452">
        <v>6800</v>
      </c>
      <c r="AB452">
        <v>20</v>
      </c>
      <c r="AC452">
        <v>8</v>
      </c>
      <c r="AD452">
        <v>0.2</v>
      </c>
      <c r="AE452">
        <v>56080.0713355755</v>
      </c>
    </row>
    <row r="453" spans="1:31" x14ac:dyDescent="0.3">
      <c r="A453" t="str">
        <f>IF(ISBLANK(B453),"",IF(ROUND(B453,0)=ROUND(G453,0),"Pass","Fail"))</f>
        <v>Pass</v>
      </c>
      <c r="B453">
        <f t="shared" si="42"/>
        <v>14.66220760345459</v>
      </c>
      <c r="C453">
        <v>0</v>
      </c>
      <c r="D453">
        <v>50</v>
      </c>
      <c r="E453">
        <v>80</v>
      </c>
      <c r="F453">
        <v>48</v>
      </c>
      <c r="G453">
        <v>14.6622079008197</v>
      </c>
      <c r="M453" t="str">
        <f t="shared" si="43"/>
        <v>Pass</v>
      </c>
      <c r="N453">
        <f t="shared" si="44"/>
        <v>2.1387041488196701E-4</v>
      </c>
      <c r="O453">
        <v>20</v>
      </c>
      <c r="P453">
        <v>40</v>
      </c>
      <c r="Q453">
        <v>3.5</v>
      </c>
      <c r="R453" t="b">
        <v>0</v>
      </c>
      <c r="S453">
        <v>2.1387041559273401E-4</v>
      </c>
      <c r="Y453" t="str">
        <f t="shared" si="45"/>
        <v>Pass</v>
      </c>
      <c r="Z453">
        <f t="shared" si="46"/>
        <v>60757.109375</v>
      </c>
      <c r="AA453">
        <v>6800</v>
      </c>
      <c r="AB453">
        <v>20</v>
      </c>
      <c r="AC453">
        <v>10</v>
      </c>
      <c r="AD453">
        <v>0.2</v>
      </c>
      <c r="AE453">
        <v>60757.107431240598</v>
      </c>
    </row>
    <row r="454" spans="1:31" x14ac:dyDescent="0.3">
      <c r="A454" t="str">
        <f>IF(ISBLANK(B454),"",IF(ROUND(B454,0)=ROUND(G454,0),"Pass","Fail"))</f>
        <v>Pass</v>
      </c>
      <c r="B454">
        <f t="shared" si="42"/>
        <v>80.697998046875</v>
      </c>
      <c r="C454">
        <v>0</v>
      </c>
      <c r="D454">
        <v>50</v>
      </c>
      <c r="E454">
        <v>90</v>
      </c>
      <c r="F454">
        <v>0</v>
      </c>
      <c r="G454">
        <v>80.697999999999993</v>
      </c>
      <c r="M454" t="str">
        <f t="shared" si="43"/>
        <v>Pass</v>
      </c>
      <c r="N454">
        <f t="shared" si="44"/>
        <v>1.0313155144103803E-5</v>
      </c>
      <c r="O454">
        <v>20</v>
      </c>
      <c r="P454">
        <v>40</v>
      </c>
      <c r="Q454">
        <v>4</v>
      </c>
      <c r="R454" t="b">
        <v>1</v>
      </c>
      <c r="S454">
        <v>1.0313155131538699E-5</v>
      </c>
      <c r="Y454" t="str">
        <f t="shared" si="45"/>
        <v>Pass</v>
      </c>
      <c r="Z454">
        <f t="shared" si="46"/>
        <v>63892.21875</v>
      </c>
      <c r="AA454">
        <v>6800</v>
      </c>
      <c r="AB454">
        <v>20</v>
      </c>
      <c r="AC454">
        <v>12</v>
      </c>
      <c r="AD454">
        <v>0.2</v>
      </c>
      <c r="AE454">
        <v>63892.218482197197</v>
      </c>
    </row>
    <row r="455" spans="1:31" x14ac:dyDescent="0.3">
      <c r="A455" t="str">
        <f>IF(ISBLANK(B455),"",IF(ROUND(B455,0)=ROUND(G455,0),"Pass","Fail"))</f>
        <v>Pass</v>
      </c>
      <c r="B455">
        <f t="shared" ref="B455:B518" si="49">FMC_heath(C455,D455,E455,F455)</f>
        <v>47.361228942871094</v>
      </c>
      <c r="C455">
        <v>0</v>
      </c>
      <c r="D455">
        <v>50</v>
      </c>
      <c r="E455">
        <v>90</v>
      </c>
      <c r="F455">
        <v>8</v>
      </c>
      <c r="G455">
        <v>47.361228080723002</v>
      </c>
      <c r="M455" t="str">
        <f t="shared" ref="M455:M518" si="50">IF(ISBLANK(N455),"",IF(ROUND(N455,0)=ROUND(S455,0),"Pass","Fail"))</f>
        <v>Pass</v>
      </c>
      <c r="N455">
        <f t="shared" ref="N455:N518" si="51">ROS_heath(O455,Q455,P455,R455)</f>
        <v>2.2045242076274008E-4</v>
      </c>
      <c r="O455">
        <v>20</v>
      </c>
      <c r="P455">
        <v>40</v>
      </c>
      <c r="Q455">
        <v>4</v>
      </c>
      <c r="R455" t="b">
        <v>0</v>
      </c>
      <c r="S455">
        <v>2.2045242745889201E-4</v>
      </c>
      <c r="Y455" t="str">
        <f t="shared" ref="Y455:Y518" si="52">IF(ISBLANK(Z455),"",IF(ROUND(Z455,0)=ROUND(AE455,0),"Pass","Fail"))</f>
        <v>Pass</v>
      </c>
      <c r="Z455">
        <f t="shared" ref="Z455:Z518" si="53">intensity_heath(AA455,AB455,AC455,AD455)</f>
        <v>65993.7421875</v>
      </c>
      <c r="AA455">
        <v>6800</v>
      </c>
      <c r="AB455">
        <v>20</v>
      </c>
      <c r="AC455">
        <v>14</v>
      </c>
      <c r="AD455">
        <v>0.2</v>
      </c>
      <c r="AE455">
        <v>65993.746266201299</v>
      </c>
    </row>
    <row r="456" spans="1:31" x14ac:dyDescent="0.3">
      <c r="A456" t="str">
        <f>IF(ISBLANK(B456),"",IF(ROUND(B456,0)=ROUND(G456,0),"Pass","Fail"))</f>
        <v>Pass</v>
      </c>
      <c r="B456">
        <f t="shared" si="49"/>
        <v>30.579996109008789</v>
      </c>
      <c r="C456">
        <v>0</v>
      </c>
      <c r="D456">
        <v>50</v>
      </c>
      <c r="E456">
        <v>90</v>
      </c>
      <c r="F456">
        <v>16</v>
      </c>
      <c r="G456">
        <v>30.579997247101701</v>
      </c>
      <c r="M456" t="str">
        <f t="shared" si="50"/>
        <v>Pass</v>
      </c>
      <c r="N456">
        <f t="shared" si="51"/>
        <v>0</v>
      </c>
      <c r="O456">
        <v>20</v>
      </c>
      <c r="P456">
        <v>50</v>
      </c>
      <c r="Q456">
        <v>0</v>
      </c>
      <c r="R456" t="b">
        <v>1</v>
      </c>
      <c r="S456">
        <v>0</v>
      </c>
      <c r="Y456" t="str">
        <f t="shared" si="52"/>
        <v>Pass</v>
      </c>
      <c r="Z456">
        <f t="shared" si="53"/>
        <v>67402.4375</v>
      </c>
      <c r="AA456">
        <v>6800</v>
      </c>
      <c r="AB456">
        <v>20</v>
      </c>
      <c r="AC456">
        <v>16</v>
      </c>
      <c r="AD456">
        <v>0.2</v>
      </c>
      <c r="AE456">
        <v>67402.442467120098</v>
      </c>
    </row>
    <row r="457" spans="1:31" x14ac:dyDescent="0.3">
      <c r="A457" t="str">
        <f>IF(ISBLANK(B457),"",IF(ROUND(B457,0)=ROUND(G457,0),"Pass","Fail"))</f>
        <v>Pass</v>
      </c>
      <c r="B457">
        <f t="shared" si="49"/>
        <v>22.132575988769531</v>
      </c>
      <c r="C457">
        <v>0</v>
      </c>
      <c r="D457">
        <v>50</v>
      </c>
      <c r="E457">
        <v>90</v>
      </c>
      <c r="F457">
        <v>24</v>
      </c>
      <c r="G457">
        <v>22.1325774137362</v>
      </c>
      <c r="M457" t="str">
        <f t="shared" si="50"/>
        <v>Pass</v>
      </c>
      <c r="N457">
        <f t="shared" si="51"/>
        <v>0</v>
      </c>
      <c r="O457">
        <v>20</v>
      </c>
      <c r="P457">
        <v>50</v>
      </c>
      <c r="Q457">
        <v>0</v>
      </c>
      <c r="R457" t="b">
        <v>0</v>
      </c>
      <c r="S457">
        <v>0</v>
      </c>
      <c r="Y457" t="str">
        <f t="shared" si="52"/>
        <v>Pass</v>
      </c>
      <c r="Z457">
        <f t="shared" si="53"/>
        <v>68346.71875</v>
      </c>
      <c r="AA457">
        <v>6800</v>
      </c>
      <c r="AB457">
        <v>20</v>
      </c>
      <c r="AC457">
        <v>18</v>
      </c>
      <c r="AD457">
        <v>0.2</v>
      </c>
      <c r="AE457">
        <v>68346.719769370204</v>
      </c>
    </row>
    <row r="458" spans="1:31" x14ac:dyDescent="0.3">
      <c r="A458" t="str">
        <f>IF(ISBLANK(B458),"",IF(ROUND(B458,0)=ROUND(G458,0),"Pass","Fail"))</f>
        <v>Pass</v>
      </c>
      <c r="B458">
        <f t="shared" si="49"/>
        <v>17.880271911621094</v>
      </c>
      <c r="C458">
        <v>0</v>
      </c>
      <c r="D458">
        <v>50</v>
      </c>
      <c r="E458">
        <v>90</v>
      </c>
      <c r="F458">
        <v>32</v>
      </c>
      <c r="G458">
        <v>17.880273005994599</v>
      </c>
      <c r="M458" t="str">
        <f t="shared" si="50"/>
        <v>Pass</v>
      </c>
      <c r="N458">
        <f t="shared" si="51"/>
        <v>1.1781973086044673E-7</v>
      </c>
      <c r="O458">
        <v>20</v>
      </c>
      <c r="P458">
        <v>50</v>
      </c>
      <c r="Q458">
        <v>0.5</v>
      </c>
      <c r="R458" t="b">
        <v>1</v>
      </c>
      <c r="S458">
        <v>1.1781973067887001E-7</v>
      </c>
      <c r="Y458" t="str">
        <f t="shared" si="52"/>
        <v>Pass</v>
      </c>
      <c r="Z458">
        <f t="shared" si="53"/>
        <v>68979.6875</v>
      </c>
      <c r="AA458">
        <v>6800</v>
      </c>
      <c r="AB458">
        <v>20</v>
      </c>
      <c r="AC458">
        <v>20</v>
      </c>
      <c r="AD458">
        <v>0.2</v>
      </c>
      <c r="AE458">
        <v>68979.687774084901</v>
      </c>
    </row>
    <row r="459" spans="1:31" x14ac:dyDescent="0.3">
      <c r="A459" t="str">
        <f>IF(ISBLANK(B459),"",IF(ROUND(B459,0)=ROUND(G459,0),"Pass","Fail"))</f>
        <v>Pass</v>
      </c>
      <c r="B459">
        <f t="shared" si="49"/>
        <v>15.739727020263672</v>
      </c>
      <c r="C459">
        <v>0</v>
      </c>
      <c r="D459">
        <v>50</v>
      </c>
      <c r="E459">
        <v>90</v>
      </c>
      <c r="F459">
        <v>40</v>
      </c>
      <c r="G459">
        <v>15.7397267643271</v>
      </c>
      <c r="M459" t="str">
        <f t="shared" si="50"/>
        <v>Pass</v>
      </c>
      <c r="N459">
        <f t="shared" si="51"/>
        <v>2.5184965579683194E-6</v>
      </c>
      <c r="O459">
        <v>20</v>
      </c>
      <c r="P459">
        <v>50</v>
      </c>
      <c r="Q459">
        <v>0.5</v>
      </c>
      <c r="R459" t="b">
        <v>0</v>
      </c>
      <c r="S459">
        <v>2.51849655119409E-6</v>
      </c>
      <c r="Y459" t="str">
        <f t="shared" si="52"/>
        <v>Pass</v>
      </c>
      <c r="Z459">
        <f t="shared" si="53"/>
        <v>69403.984375</v>
      </c>
      <c r="AA459">
        <v>6800</v>
      </c>
      <c r="AB459">
        <v>20</v>
      </c>
      <c r="AC459">
        <v>22</v>
      </c>
      <c r="AD459">
        <v>0.2</v>
      </c>
      <c r="AE459">
        <v>69403.978916144304</v>
      </c>
    </row>
    <row r="460" spans="1:31" x14ac:dyDescent="0.3">
      <c r="A460" t="str">
        <f>IF(ISBLANK(B460),"",IF(ROUND(B460,0)=ROUND(G460,0),"Pass","Fail"))</f>
        <v>Pass</v>
      </c>
      <c r="B460">
        <f t="shared" si="49"/>
        <v>14.66220760345459</v>
      </c>
      <c r="C460">
        <v>0</v>
      </c>
      <c r="D460">
        <v>50</v>
      </c>
      <c r="E460">
        <v>90</v>
      </c>
      <c r="F460">
        <v>48</v>
      </c>
      <c r="G460">
        <v>14.6622079008197</v>
      </c>
      <c r="M460" t="str">
        <f t="shared" si="50"/>
        <v>Pass</v>
      </c>
      <c r="N460">
        <f t="shared" si="51"/>
        <v>1.3789605191050214E-7</v>
      </c>
      <c r="O460">
        <v>20</v>
      </c>
      <c r="P460">
        <v>50</v>
      </c>
      <c r="Q460">
        <v>1</v>
      </c>
      <c r="R460" t="b">
        <v>1</v>
      </c>
      <c r="S460">
        <v>1.3789605272545101E-7</v>
      </c>
      <c r="Y460" t="str">
        <f t="shared" si="52"/>
        <v>Pass</v>
      </c>
      <c r="Z460">
        <f t="shared" si="53"/>
        <v>69688.390625</v>
      </c>
      <c r="AA460">
        <v>6800</v>
      </c>
      <c r="AB460">
        <v>20</v>
      </c>
      <c r="AC460">
        <v>24</v>
      </c>
      <c r="AD460">
        <v>0.2</v>
      </c>
      <c r="AE460">
        <v>69688.3897740221</v>
      </c>
    </row>
    <row r="461" spans="1:31" x14ac:dyDescent="0.3">
      <c r="A461" t="str">
        <f>IF(ISBLANK(B461),"",IF(ROUND(B461,0)=ROUND(G461,0),"Pass","Fail"))</f>
        <v>Pass</v>
      </c>
      <c r="B461">
        <f t="shared" si="49"/>
        <v>80.697998046875</v>
      </c>
      <c r="C461">
        <v>0</v>
      </c>
      <c r="D461">
        <v>50</v>
      </c>
      <c r="E461">
        <v>100</v>
      </c>
      <c r="F461">
        <v>0</v>
      </c>
      <c r="G461">
        <v>80.697999999999993</v>
      </c>
      <c r="M461" t="str">
        <f t="shared" si="50"/>
        <v>Pass</v>
      </c>
      <c r="N461">
        <f t="shared" si="51"/>
        <v>2.9476448162313318E-6</v>
      </c>
      <c r="O461">
        <v>20</v>
      </c>
      <c r="P461">
        <v>50</v>
      </c>
      <c r="Q461">
        <v>1</v>
      </c>
      <c r="R461" t="b">
        <v>0</v>
      </c>
      <c r="S461">
        <v>2.9476449420760002E-6</v>
      </c>
      <c r="Y461" t="str">
        <f t="shared" si="52"/>
        <v>Pass</v>
      </c>
      <c r="Z461">
        <f t="shared" si="53"/>
        <v>0</v>
      </c>
      <c r="AA461">
        <v>7000</v>
      </c>
      <c r="AB461">
        <v>20</v>
      </c>
      <c r="AC461">
        <v>0</v>
      </c>
      <c r="AD461">
        <v>0.2</v>
      </c>
      <c r="AE461">
        <v>0</v>
      </c>
    </row>
    <row r="462" spans="1:31" x14ac:dyDescent="0.3">
      <c r="A462" t="str">
        <f>IF(ISBLANK(B462),"",IF(ROUND(B462,0)=ROUND(G462,0),"Pass","Fail"))</f>
        <v>Pass</v>
      </c>
      <c r="B462">
        <f t="shared" si="49"/>
        <v>47.361228942871094</v>
      </c>
      <c r="C462">
        <v>0</v>
      </c>
      <c r="D462">
        <v>50</v>
      </c>
      <c r="E462">
        <v>100</v>
      </c>
      <c r="F462">
        <v>8</v>
      </c>
      <c r="G462">
        <v>47.361228080723002</v>
      </c>
      <c r="M462" t="str">
        <f t="shared" si="50"/>
        <v>Pass</v>
      </c>
      <c r="N462">
        <f t="shared" si="51"/>
        <v>1.5119050544853962E-7</v>
      </c>
      <c r="O462">
        <v>20</v>
      </c>
      <c r="P462">
        <v>50</v>
      </c>
      <c r="Q462">
        <v>1.5</v>
      </c>
      <c r="R462" t="b">
        <v>1</v>
      </c>
      <c r="S462">
        <v>1.5119051642919801E-7</v>
      </c>
      <c r="Y462" t="str">
        <f t="shared" si="52"/>
        <v>Pass</v>
      </c>
      <c r="Z462">
        <f t="shared" si="53"/>
        <v>23846.849609375</v>
      </c>
      <c r="AA462">
        <v>7000</v>
      </c>
      <c r="AB462">
        <v>20</v>
      </c>
      <c r="AC462">
        <v>2</v>
      </c>
      <c r="AD462">
        <v>0.2</v>
      </c>
      <c r="AE462">
        <v>23846.850003422001</v>
      </c>
    </row>
    <row r="463" spans="1:31" x14ac:dyDescent="0.3">
      <c r="A463" t="str">
        <f>IF(ISBLANK(B463),"",IF(ROUND(B463,0)=ROUND(G463,0),"Pass","Fail"))</f>
        <v>Pass</v>
      </c>
      <c r="B463">
        <f t="shared" si="49"/>
        <v>30.579996109008789</v>
      </c>
      <c r="C463">
        <v>0</v>
      </c>
      <c r="D463">
        <v>50</v>
      </c>
      <c r="E463">
        <v>100</v>
      </c>
      <c r="F463">
        <v>16</v>
      </c>
      <c r="G463">
        <v>30.579997247101701</v>
      </c>
      <c r="M463" t="str">
        <f t="shared" si="50"/>
        <v>Pass</v>
      </c>
      <c r="N463">
        <f t="shared" si="51"/>
        <v>3.2318253033736255E-6</v>
      </c>
      <c r="O463">
        <v>20</v>
      </c>
      <c r="P463">
        <v>50</v>
      </c>
      <c r="Q463">
        <v>1.5</v>
      </c>
      <c r="R463" t="b">
        <v>0</v>
      </c>
      <c r="S463">
        <v>3.23182536580418E-6</v>
      </c>
      <c r="Y463" t="str">
        <f t="shared" si="52"/>
        <v>Pass</v>
      </c>
      <c r="Z463">
        <f t="shared" si="53"/>
        <v>39831.87109375</v>
      </c>
      <c r="AA463">
        <v>7000</v>
      </c>
      <c r="AB463">
        <v>20</v>
      </c>
      <c r="AC463">
        <v>4</v>
      </c>
      <c r="AD463">
        <v>0.2</v>
      </c>
      <c r="AE463">
        <v>39831.871595520897</v>
      </c>
    </row>
    <row r="464" spans="1:31" x14ac:dyDescent="0.3">
      <c r="A464" t="str">
        <f>IF(ISBLANK(B464),"",IF(ROUND(B464,0)=ROUND(G464,0),"Pass","Fail"))</f>
        <v>Pass</v>
      </c>
      <c r="B464">
        <f t="shared" si="49"/>
        <v>22.132575988769531</v>
      </c>
      <c r="C464">
        <v>0</v>
      </c>
      <c r="D464">
        <v>50</v>
      </c>
      <c r="E464">
        <v>100</v>
      </c>
      <c r="F464">
        <v>24</v>
      </c>
      <c r="G464">
        <v>22.1325774137362</v>
      </c>
      <c r="M464" t="str">
        <f t="shared" si="50"/>
        <v>Pass</v>
      </c>
      <c r="N464">
        <f t="shared" si="51"/>
        <v>1.6139334491072077E-7</v>
      </c>
      <c r="O464">
        <v>20</v>
      </c>
      <c r="P464">
        <v>50</v>
      </c>
      <c r="Q464">
        <v>2</v>
      </c>
      <c r="R464" t="b">
        <v>1</v>
      </c>
      <c r="S464">
        <v>1.6139335277457701E-7</v>
      </c>
      <c r="Y464" t="str">
        <f t="shared" si="52"/>
        <v>Pass</v>
      </c>
      <c r="Z464">
        <f t="shared" si="53"/>
        <v>50546.953125</v>
      </c>
      <c r="AA464">
        <v>7000</v>
      </c>
      <c r="AB464">
        <v>20</v>
      </c>
      <c r="AC464">
        <v>6</v>
      </c>
      <c r="AD464">
        <v>0.2</v>
      </c>
      <c r="AE464">
        <v>50546.952005017301</v>
      </c>
    </row>
    <row r="465" spans="1:31" x14ac:dyDescent="0.3">
      <c r="A465" t="str">
        <f>IF(ISBLANK(B465),"",IF(ROUND(B465,0)=ROUND(G465,0),"Pass","Fail"))</f>
        <v>Pass</v>
      </c>
      <c r="B465">
        <f t="shared" si="49"/>
        <v>17.880271911621094</v>
      </c>
      <c r="C465">
        <v>0</v>
      </c>
      <c r="D465">
        <v>50</v>
      </c>
      <c r="E465">
        <v>100</v>
      </c>
      <c r="F465">
        <v>32</v>
      </c>
      <c r="G465">
        <v>17.880273005994599</v>
      </c>
      <c r="M465" t="str">
        <f t="shared" si="50"/>
        <v>Pass</v>
      </c>
      <c r="N465">
        <f t="shared" si="51"/>
        <v>3.4499194043746684E-6</v>
      </c>
      <c r="O465">
        <v>20</v>
      </c>
      <c r="P465">
        <v>50</v>
      </c>
      <c r="Q465">
        <v>2</v>
      </c>
      <c r="R465" t="b">
        <v>0</v>
      </c>
      <c r="S465">
        <v>3.4499196357552001E-6</v>
      </c>
      <c r="Y465" t="str">
        <f t="shared" si="52"/>
        <v>Pass</v>
      </c>
      <c r="Z465">
        <f t="shared" si="53"/>
        <v>57729.484375</v>
      </c>
      <c r="AA465">
        <v>7000</v>
      </c>
      <c r="AB465">
        <v>20</v>
      </c>
      <c r="AC465">
        <v>8</v>
      </c>
      <c r="AD465">
        <v>0.2</v>
      </c>
      <c r="AE465">
        <v>57729.485198386501</v>
      </c>
    </row>
    <row r="466" spans="1:31" x14ac:dyDescent="0.3">
      <c r="A466" t="str">
        <f>IF(ISBLANK(B466),"",IF(ROUND(B466,0)=ROUND(G466,0),"Pass","Fail"))</f>
        <v>Pass</v>
      </c>
      <c r="B466">
        <f t="shared" si="49"/>
        <v>15.739727020263672</v>
      </c>
      <c r="C466">
        <v>0</v>
      </c>
      <c r="D466">
        <v>50</v>
      </c>
      <c r="E466">
        <v>100</v>
      </c>
      <c r="F466">
        <v>40</v>
      </c>
      <c r="G466">
        <v>15.7397267643271</v>
      </c>
      <c r="M466" t="str">
        <f t="shared" si="50"/>
        <v>Pass</v>
      </c>
      <c r="N466">
        <f t="shared" si="51"/>
        <v>1.6977908501303318E-7</v>
      </c>
      <c r="O466">
        <v>20</v>
      </c>
      <c r="P466">
        <v>50</v>
      </c>
      <c r="Q466">
        <v>2.5</v>
      </c>
      <c r="R466" t="b">
        <v>1</v>
      </c>
      <c r="S466">
        <v>1.69779095929726E-7</v>
      </c>
      <c r="Y466" t="str">
        <f t="shared" si="52"/>
        <v>Pass</v>
      </c>
      <c r="Z466">
        <f t="shared" si="53"/>
        <v>62544.0859375</v>
      </c>
      <c r="AA466">
        <v>7000</v>
      </c>
      <c r="AB466">
        <v>20</v>
      </c>
      <c r="AC466">
        <v>10</v>
      </c>
      <c r="AD466">
        <v>0.2</v>
      </c>
      <c r="AE466">
        <v>62544.081179218301</v>
      </c>
    </row>
    <row r="467" spans="1:31" x14ac:dyDescent="0.3">
      <c r="A467" t="str">
        <f>IF(ISBLANK(B467),"",IF(ROUND(B467,0)=ROUND(G467,0),"Pass","Fail"))</f>
        <v>Pass</v>
      </c>
      <c r="B467">
        <f t="shared" si="49"/>
        <v>14.66220760345459</v>
      </c>
      <c r="C467">
        <v>0</v>
      </c>
      <c r="D467">
        <v>50</v>
      </c>
      <c r="E467">
        <v>100</v>
      </c>
      <c r="F467">
        <v>48</v>
      </c>
      <c r="G467">
        <v>14.6622079008197</v>
      </c>
      <c r="M467" t="str">
        <f t="shared" si="50"/>
        <v>Pass</v>
      </c>
      <c r="N467">
        <f t="shared" si="51"/>
        <v>3.6291719425207702E-6</v>
      </c>
      <c r="O467">
        <v>20</v>
      </c>
      <c r="P467">
        <v>50</v>
      </c>
      <c r="Q467">
        <v>2.5</v>
      </c>
      <c r="R467" t="b">
        <v>0</v>
      </c>
      <c r="S467">
        <v>3.6291719994616199E-6</v>
      </c>
      <c r="Y467" t="str">
        <f t="shared" si="52"/>
        <v>Pass</v>
      </c>
      <c r="Z467">
        <f t="shared" si="53"/>
        <v>65771.40625</v>
      </c>
      <c r="AA467">
        <v>7000</v>
      </c>
      <c r="AB467">
        <v>20</v>
      </c>
      <c r="AC467">
        <v>12</v>
      </c>
      <c r="AD467">
        <v>0.2</v>
      </c>
      <c r="AE467">
        <v>65771.401378732495</v>
      </c>
    </row>
    <row r="468" spans="1:31" x14ac:dyDescent="0.3">
      <c r="A468" t="str">
        <f>IF(ISBLANK(B468),"",IF(ROUND(B468,0)=ROUND(G468,0),"Pass","Fail"))</f>
        <v>Pass</v>
      </c>
      <c r="B468">
        <f t="shared" si="49"/>
        <v>14.910000801086426</v>
      </c>
      <c r="C468">
        <v>0</v>
      </c>
      <c r="D468">
        <v>60</v>
      </c>
      <c r="E468">
        <v>0</v>
      </c>
      <c r="F468">
        <v>0</v>
      </c>
      <c r="G468">
        <v>14.91</v>
      </c>
      <c r="M468" t="str">
        <f t="shared" si="50"/>
        <v>Pass</v>
      </c>
      <c r="N468">
        <f t="shared" si="51"/>
        <v>1.7695315079890861E-7</v>
      </c>
      <c r="O468">
        <v>20</v>
      </c>
      <c r="P468">
        <v>50</v>
      </c>
      <c r="Q468">
        <v>3</v>
      </c>
      <c r="R468" t="b">
        <v>1</v>
      </c>
      <c r="S468">
        <v>1.7695317503257499E-7</v>
      </c>
      <c r="Y468" t="str">
        <f t="shared" si="52"/>
        <v>Pass</v>
      </c>
      <c r="Z468">
        <f t="shared" si="53"/>
        <v>67934.734375</v>
      </c>
      <c r="AA468">
        <v>7000</v>
      </c>
      <c r="AB468">
        <v>20</v>
      </c>
      <c r="AC468">
        <v>14</v>
      </c>
      <c r="AD468">
        <v>0.2</v>
      </c>
      <c r="AE468">
        <v>67934.738803442495</v>
      </c>
    </row>
    <row r="469" spans="1:31" x14ac:dyDescent="0.3">
      <c r="A469" t="str">
        <f>IF(ISBLANK(B469),"",IF(ROUND(B469,0)=ROUND(G469,0),"Pass","Fail"))</f>
        <v>Pass</v>
      </c>
      <c r="B469">
        <f t="shared" si="49"/>
        <v>14.910000801086426</v>
      </c>
      <c r="C469">
        <v>0</v>
      </c>
      <c r="D469">
        <v>60</v>
      </c>
      <c r="E469">
        <v>0</v>
      </c>
      <c r="F469">
        <v>8</v>
      </c>
      <c r="G469">
        <v>14.91</v>
      </c>
      <c r="M469" t="str">
        <f t="shared" si="50"/>
        <v>Pass</v>
      </c>
      <c r="N469">
        <f t="shared" si="51"/>
        <v>3.7825238905497827E-6</v>
      </c>
      <c r="O469">
        <v>20</v>
      </c>
      <c r="P469">
        <v>50</v>
      </c>
      <c r="Q469">
        <v>3</v>
      </c>
      <c r="R469" t="b">
        <v>0</v>
      </c>
      <c r="S469">
        <v>3.7825240176203301E-6</v>
      </c>
      <c r="Y469" t="str">
        <f t="shared" si="52"/>
        <v>Pass</v>
      </c>
      <c r="Z469">
        <f t="shared" si="53"/>
        <v>69384.8671875</v>
      </c>
      <c r="AA469">
        <v>7000</v>
      </c>
      <c r="AB469">
        <v>20</v>
      </c>
      <c r="AC469">
        <v>16</v>
      </c>
      <c r="AD469">
        <v>0.2</v>
      </c>
      <c r="AE469">
        <v>69384.867245564805</v>
      </c>
    </row>
    <row r="470" spans="1:31" x14ac:dyDescent="0.3">
      <c r="A470" t="str">
        <f>IF(ISBLANK(B470),"",IF(ROUND(B470,0)=ROUND(G470,0),"Pass","Fail"))</f>
        <v>Pass</v>
      </c>
      <c r="B470">
        <f t="shared" si="49"/>
        <v>14.910000801086426</v>
      </c>
      <c r="C470">
        <v>0</v>
      </c>
      <c r="D470">
        <v>60</v>
      </c>
      <c r="E470">
        <v>0</v>
      </c>
      <c r="F470">
        <v>16</v>
      </c>
      <c r="G470">
        <v>14.91</v>
      </c>
      <c r="M470" t="str">
        <f t="shared" si="50"/>
        <v>Pass</v>
      </c>
      <c r="N470">
        <f t="shared" si="51"/>
        <v>1.8325475537039893E-7</v>
      </c>
      <c r="O470">
        <v>20</v>
      </c>
      <c r="P470">
        <v>50</v>
      </c>
      <c r="Q470">
        <v>3.5</v>
      </c>
      <c r="R470" t="b">
        <v>1</v>
      </c>
      <c r="S470">
        <v>1.8325476699745801E-7</v>
      </c>
      <c r="Y470" t="str">
        <f t="shared" si="52"/>
        <v>Pass</v>
      </c>
      <c r="Z470">
        <f t="shared" si="53"/>
        <v>70356.921875</v>
      </c>
      <c r="AA470">
        <v>7000</v>
      </c>
      <c r="AB470">
        <v>20</v>
      </c>
      <c r="AC470">
        <v>18</v>
      </c>
      <c r="AD470">
        <v>0.2</v>
      </c>
      <c r="AE470">
        <v>70356.917409645801</v>
      </c>
    </row>
    <row r="471" spans="1:31" x14ac:dyDescent="0.3">
      <c r="A471" t="str">
        <f>IF(ISBLANK(B471),"",IF(ROUND(B471,0)=ROUND(G471,0),"Pass","Fail"))</f>
        <v>Pass</v>
      </c>
      <c r="B471">
        <f t="shared" si="49"/>
        <v>14.910000801086426</v>
      </c>
      <c r="C471">
        <v>0</v>
      </c>
      <c r="D471">
        <v>60</v>
      </c>
      <c r="E471">
        <v>0</v>
      </c>
      <c r="F471">
        <v>24</v>
      </c>
      <c r="G471">
        <v>14.91</v>
      </c>
      <c r="M471" t="str">
        <f t="shared" si="50"/>
        <v>Pass</v>
      </c>
      <c r="N471">
        <f t="shared" si="51"/>
        <v>3.9172259675979149E-6</v>
      </c>
      <c r="O471">
        <v>20</v>
      </c>
      <c r="P471">
        <v>50</v>
      </c>
      <c r="Q471">
        <v>3.5</v>
      </c>
      <c r="R471" t="b">
        <v>0</v>
      </c>
      <c r="S471">
        <v>3.91722588410012E-6</v>
      </c>
      <c r="Y471" t="str">
        <f t="shared" si="52"/>
        <v>Pass</v>
      </c>
      <c r="Z471">
        <f t="shared" si="53"/>
        <v>71008.5078125</v>
      </c>
      <c r="AA471">
        <v>7000</v>
      </c>
      <c r="AB471">
        <v>20</v>
      </c>
      <c r="AC471">
        <v>20</v>
      </c>
      <c r="AD471">
        <v>0.2</v>
      </c>
      <c r="AE471">
        <v>71008.502120381498</v>
      </c>
    </row>
    <row r="472" spans="1:31" x14ac:dyDescent="0.3">
      <c r="A472" t="str">
        <f>IF(ISBLANK(B472),"",IF(ROUND(B472,0)=ROUND(G472,0),"Pass","Fail"))</f>
        <v>Pass</v>
      </c>
      <c r="B472">
        <f t="shared" si="49"/>
        <v>14.910000801086426</v>
      </c>
      <c r="C472">
        <v>0</v>
      </c>
      <c r="D472">
        <v>60</v>
      </c>
      <c r="E472">
        <v>0</v>
      </c>
      <c r="F472">
        <v>32</v>
      </c>
      <c r="G472">
        <v>14.91</v>
      </c>
      <c r="M472" t="str">
        <f t="shared" si="50"/>
        <v>Pass</v>
      </c>
      <c r="N472">
        <f t="shared" si="51"/>
        <v>1.8889456043780228E-7</v>
      </c>
      <c r="O472">
        <v>20</v>
      </c>
      <c r="P472">
        <v>50</v>
      </c>
      <c r="Q472">
        <v>4</v>
      </c>
      <c r="R472" t="b">
        <v>1</v>
      </c>
      <c r="S472">
        <v>1.8889456083039401E-7</v>
      </c>
      <c r="Y472" t="str">
        <f t="shared" si="52"/>
        <v>Pass</v>
      </c>
      <c r="Z472">
        <f t="shared" si="53"/>
        <v>71445.2734375</v>
      </c>
      <c r="AA472">
        <v>7000</v>
      </c>
      <c r="AB472">
        <v>20</v>
      </c>
      <c r="AC472">
        <v>22</v>
      </c>
      <c r="AD472">
        <v>0.2</v>
      </c>
      <c r="AE472">
        <v>71445.272413678002</v>
      </c>
    </row>
    <row r="473" spans="1:31" x14ac:dyDescent="0.3">
      <c r="A473" t="str">
        <f>IF(ISBLANK(B473),"",IF(ROUND(B473,0)=ROUND(G473,0),"Pass","Fail"))</f>
        <v>Pass</v>
      </c>
      <c r="B473">
        <f t="shared" si="49"/>
        <v>14.910000801086426</v>
      </c>
      <c r="C473">
        <v>0</v>
      </c>
      <c r="D473">
        <v>60</v>
      </c>
      <c r="E473">
        <v>0</v>
      </c>
      <c r="F473">
        <v>40</v>
      </c>
      <c r="G473">
        <v>14.91</v>
      </c>
      <c r="M473" t="str">
        <f t="shared" si="50"/>
        <v>Pass</v>
      </c>
      <c r="N473">
        <f t="shared" si="51"/>
        <v>4.03778130930732E-6</v>
      </c>
      <c r="O473">
        <v>20</v>
      </c>
      <c r="P473">
        <v>50</v>
      </c>
      <c r="Q473">
        <v>4</v>
      </c>
      <c r="R473" t="b">
        <v>0</v>
      </c>
      <c r="S473">
        <v>4.0377812548843902E-6</v>
      </c>
      <c r="Y473" t="str">
        <f t="shared" si="52"/>
        <v>Pass</v>
      </c>
      <c r="Z473">
        <f t="shared" si="53"/>
        <v>71738.0546875</v>
      </c>
      <c r="AA473">
        <v>7000</v>
      </c>
      <c r="AB473">
        <v>20</v>
      </c>
      <c r="AC473">
        <v>24</v>
      </c>
      <c r="AD473">
        <v>0.2</v>
      </c>
      <c r="AE473">
        <v>71738.0482967875</v>
      </c>
    </row>
    <row r="474" spans="1:31" x14ac:dyDescent="0.3">
      <c r="A474" t="str">
        <f>IF(ISBLANK(B474),"",IF(ROUND(B474,0)=ROUND(G474,0),"Pass","Fail"))</f>
        <v>Pass</v>
      </c>
      <c r="B474">
        <f t="shared" si="49"/>
        <v>14.910000801086426</v>
      </c>
      <c r="C474">
        <v>0</v>
      </c>
      <c r="D474">
        <v>60</v>
      </c>
      <c r="E474">
        <v>0</v>
      </c>
      <c r="F474">
        <v>48</v>
      </c>
      <c r="G474">
        <v>14.91</v>
      </c>
      <c r="M474" t="str">
        <f t="shared" si="50"/>
        <v>Pass</v>
      </c>
      <c r="N474">
        <f t="shared" si="51"/>
        <v>0</v>
      </c>
      <c r="O474">
        <v>20</v>
      </c>
      <c r="P474">
        <v>60</v>
      </c>
      <c r="Q474">
        <v>0</v>
      </c>
      <c r="R474" t="b">
        <v>1</v>
      </c>
      <c r="S474">
        <v>0</v>
      </c>
      <c r="Y474" t="str">
        <f t="shared" si="52"/>
        <v>Pass</v>
      </c>
      <c r="Z474">
        <f t="shared" si="53"/>
        <v>0</v>
      </c>
      <c r="AA474">
        <v>7200</v>
      </c>
      <c r="AB474">
        <v>20</v>
      </c>
      <c r="AC474">
        <v>0</v>
      </c>
      <c r="AD474">
        <v>0.2</v>
      </c>
      <c r="AE474">
        <v>0</v>
      </c>
    </row>
    <row r="475" spans="1:31" x14ac:dyDescent="0.3">
      <c r="A475" t="str">
        <f>IF(ISBLANK(B475),"",IF(ROUND(B475,0)=ROUND(G475,0),"Pass","Fail"))</f>
        <v>Pass</v>
      </c>
      <c r="B475">
        <f t="shared" si="49"/>
        <v>82.038002014160156</v>
      </c>
      <c r="C475">
        <v>0</v>
      </c>
      <c r="D475">
        <v>60</v>
      </c>
      <c r="E475">
        <v>10</v>
      </c>
      <c r="F475">
        <v>0</v>
      </c>
      <c r="G475">
        <v>82.037999999998306</v>
      </c>
      <c r="M475" t="str">
        <f t="shared" si="50"/>
        <v>Pass</v>
      </c>
      <c r="N475">
        <f t="shared" si="51"/>
        <v>0</v>
      </c>
      <c r="O475">
        <v>20</v>
      </c>
      <c r="P475">
        <v>60</v>
      </c>
      <c r="Q475">
        <v>0</v>
      </c>
      <c r="R475" t="b">
        <v>0</v>
      </c>
      <c r="S475">
        <v>0</v>
      </c>
      <c r="Y475" t="str">
        <f t="shared" si="52"/>
        <v>Pass</v>
      </c>
      <c r="Z475">
        <f t="shared" si="53"/>
        <v>24528.1875</v>
      </c>
      <c r="AA475">
        <v>7200</v>
      </c>
      <c r="AB475">
        <v>20</v>
      </c>
      <c r="AC475">
        <v>2</v>
      </c>
      <c r="AD475">
        <v>0.2</v>
      </c>
      <c r="AE475">
        <v>24528.188574948399</v>
      </c>
    </row>
    <row r="476" spans="1:31" x14ac:dyDescent="0.3">
      <c r="A476" t="str">
        <f>IF(ISBLANK(B476),"",IF(ROUND(B476,0)=ROUND(G476,0),"Pass","Fail"))</f>
        <v>Pass</v>
      </c>
      <c r="B476">
        <f t="shared" si="49"/>
        <v>48.701229095458984</v>
      </c>
      <c r="C476">
        <v>0</v>
      </c>
      <c r="D476">
        <v>60</v>
      </c>
      <c r="E476">
        <v>10</v>
      </c>
      <c r="F476">
        <v>8</v>
      </c>
      <c r="G476">
        <v>48.701228080722203</v>
      </c>
      <c r="M476" t="str">
        <f t="shared" si="50"/>
        <v>Pass</v>
      </c>
      <c r="N476">
        <f t="shared" si="51"/>
        <v>2.1579440456775956E-9</v>
      </c>
      <c r="O476">
        <v>20</v>
      </c>
      <c r="P476">
        <v>60</v>
      </c>
      <c r="Q476">
        <v>0.5</v>
      </c>
      <c r="R476" t="b">
        <v>1</v>
      </c>
      <c r="S476">
        <v>2.1579441716437302E-9</v>
      </c>
      <c r="Y476" t="str">
        <f t="shared" si="52"/>
        <v>Pass</v>
      </c>
      <c r="Z476">
        <f t="shared" si="53"/>
        <v>40969.92578125</v>
      </c>
      <c r="AA476">
        <v>7200</v>
      </c>
      <c r="AB476">
        <v>20</v>
      </c>
      <c r="AC476">
        <v>4</v>
      </c>
      <c r="AD476">
        <v>0.2</v>
      </c>
      <c r="AE476">
        <v>40969.925069678698</v>
      </c>
    </row>
    <row r="477" spans="1:31" x14ac:dyDescent="0.3">
      <c r="A477" t="str">
        <f>IF(ISBLANK(B477),"",IF(ROUND(B477,0)=ROUND(G477,0),"Pass","Fail"))</f>
        <v>Pass</v>
      </c>
      <c r="B477">
        <f t="shared" si="49"/>
        <v>31.919998168945313</v>
      </c>
      <c r="C477">
        <v>0</v>
      </c>
      <c r="D477">
        <v>60</v>
      </c>
      <c r="E477">
        <v>10</v>
      </c>
      <c r="F477">
        <v>16</v>
      </c>
      <c r="G477">
        <v>31.9199972471013</v>
      </c>
      <c r="M477" t="str">
        <f t="shared" si="50"/>
        <v>Pass</v>
      </c>
      <c r="N477">
        <f t="shared" si="51"/>
        <v>4.612788373492549E-8</v>
      </c>
      <c r="O477">
        <v>20</v>
      </c>
      <c r="P477">
        <v>60</v>
      </c>
      <c r="Q477">
        <v>0.5</v>
      </c>
      <c r="R477" t="b">
        <v>0</v>
      </c>
      <c r="S477">
        <v>4.6127884715397698E-8</v>
      </c>
      <c r="Y477" t="str">
        <f t="shared" si="52"/>
        <v>Pass</v>
      </c>
      <c r="Z477">
        <f t="shared" si="53"/>
        <v>51991.15234375</v>
      </c>
      <c r="AA477">
        <v>7200</v>
      </c>
      <c r="AB477">
        <v>20</v>
      </c>
      <c r="AC477">
        <v>6</v>
      </c>
      <c r="AD477">
        <v>0.2</v>
      </c>
      <c r="AE477">
        <v>51991.150633732097</v>
      </c>
    </row>
    <row r="478" spans="1:31" x14ac:dyDescent="0.3">
      <c r="A478" t="str">
        <f>IF(ISBLANK(B478),"",IF(ROUND(B478,0)=ROUND(G478,0),"Pass","Fail"))</f>
        <v>Pass</v>
      </c>
      <c r="B478">
        <f t="shared" si="49"/>
        <v>23.472578048706055</v>
      </c>
      <c r="C478">
        <v>0</v>
      </c>
      <c r="D478">
        <v>60</v>
      </c>
      <c r="E478">
        <v>10</v>
      </c>
      <c r="F478">
        <v>24</v>
      </c>
      <c r="G478">
        <v>23.472577413736001</v>
      </c>
      <c r="M478" t="str">
        <f t="shared" si="50"/>
        <v>Pass</v>
      </c>
      <c r="N478">
        <f t="shared" si="51"/>
        <v>2.5256550184593607E-9</v>
      </c>
      <c r="O478">
        <v>20</v>
      </c>
      <c r="P478">
        <v>60</v>
      </c>
      <c r="Q478">
        <v>1</v>
      </c>
      <c r="R478" t="b">
        <v>1</v>
      </c>
      <c r="S478">
        <v>2.52565492686983E-9</v>
      </c>
      <c r="Y478" t="str">
        <f t="shared" si="52"/>
        <v>Pass</v>
      </c>
      <c r="Z478">
        <f t="shared" si="53"/>
        <v>59378.8984375</v>
      </c>
      <c r="AA478">
        <v>7200</v>
      </c>
      <c r="AB478">
        <v>20</v>
      </c>
      <c r="AC478">
        <v>8</v>
      </c>
      <c r="AD478">
        <v>0.2</v>
      </c>
      <c r="AE478">
        <v>59378.899061197597</v>
      </c>
    </row>
    <row r="479" spans="1:31" x14ac:dyDescent="0.3">
      <c r="A479" t="str">
        <f>IF(ISBLANK(B479),"",IF(ROUND(B479,0)=ROUND(G479,0),"Pass","Fail"))</f>
        <v>Pass</v>
      </c>
      <c r="B479">
        <f t="shared" si="49"/>
        <v>19.220273971557617</v>
      </c>
      <c r="C479">
        <v>0</v>
      </c>
      <c r="D479">
        <v>60</v>
      </c>
      <c r="E479">
        <v>10</v>
      </c>
      <c r="F479">
        <v>32</v>
      </c>
      <c r="G479">
        <v>19.2202730059945</v>
      </c>
      <c r="M479" t="str">
        <f t="shared" si="50"/>
        <v>Pass</v>
      </c>
      <c r="N479">
        <f t="shared" si="51"/>
        <v>5.3988010506600403E-8</v>
      </c>
      <c r="O479">
        <v>20</v>
      </c>
      <c r="P479">
        <v>60</v>
      </c>
      <c r="Q479">
        <v>1</v>
      </c>
      <c r="R479" t="b">
        <v>0</v>
      </c>
      <c r="S479">
        <v>5.3988013604997902E-8</v>
      </c>
      <c r="Y479" t="str">
        <f t="shared" si="52"/>
        <v>Pass</v>
      </c>
      <c r="Z479">
        <f t="shared" si="53"/>
        <v>64331.05859375</v>
      </c>
      <c r="AA479">
        <v>7200</v>
      </c>
      <c r="AB479">
        <v>20</v>
      </c>
      <c r="AC479">
        <v>10</v>
      </c>
      <c r="AD479">
        <v>0.2</v>
      </c>
      <c r="AE479">
        <v>64331.054927195997</v>
      </c>
    </row>
    <row r="480" spans="1:31" x14ac:dyDescent="0.3">
      <c r="A480" t="str">
        <f>IF(ISBLANK(B480),"",IF(ROUND(B480,0)=ROUND(G480,0),"Pass","Fail"))</f>
        <v>Pass</v>
      </c>
      <c r="B480">
        <f t="shared" si="49"/>
        <v>17.079727172851563</v>
      </c>
      <c r="C480">
        <v>0</v>
      </c>
      <c r="D480">
        <v>60</v>
      </c>
      <c r="E480">
        <v>10</v>
      </c>
      <c r="F480">
        <v>40</v>
      </c>
      <c r="G480">
        <v>17.079726764326999</v>
      </c>
      <c r="M480" t="str">
        <f t="shared" si="50"/>
        <v>Pass</v>
      </c>
      <c r="N480">
        <f t="shared" si="51"/>
        <v>2.7691513526661993E-9</v>
      </c>
      <c r="O480">
        <v>20</v>
      </c>
      <c r="P480">
        <v>60</v>
      </c>
      <c r="Q480">
        <v>1.5</v>
      </c>
      <c r="R480" t="b">
        <v>1</v>
      </c>
      <c r="S480">
        <v>2.7691515831541998E-9</v>
      </c>
      <c r="Y480" t="str">
        <f t="shared" si="52"/>
        <v>Pass</v>
      </c>
      <c r="Z480">
        <f t="shared" si="53"/>
        <v>67650.5859375</v>
      </c>
      <c r="AA480">
        <v>7200</v>
      </c>
      <c r="AB480">
        <v>20</v>
      </c>
      <c r="AC480">
        <v>12</v>
      </c>
      <c r="AD480">
        <v>0.2</v>
      </c>
      <c r="AE480">
        <v>67650.584275267698</v>
      </c>
    </row>
    <row r="481" spans="1:31" x14ac:dyDescent="0.3">
      <c r="A481" t="str">
        <f>IF(ISBLANK(B481),"",IF(ROUND(B481,0)=ROUND(G481,0),"Pass","Fail"))</f>
        <v>Pass</v>
      </c>
      <c r="B481">
        <f t="shared" si="49"/>
        <v>16.002208709716797</v>
      </c>
      <c r="C481">
        <v>0</v>
      </c>
      <c r="D481">
        <v>60</v>
      </c>
      <c r="E481">
        <v>10</v>
      </c>
      <c r="F481">
        <v>48</v>
      </c>
      <c r="G481">
        <v>16.002207900819698</v>
      </c>
      <c r="M481" t="str">
        <f t="shared" si="50"/>
        <v>Pass</v>
      </c>
      <c r="N481">
        <f t="shared" si="51"/>
        <v>5.9192959867004902E-8</v>
      </c>
      <c r="O481">
        <v>20</v>
      </c>
      <c r="P481">
        <v>60</v>
      </c>
      <c r="Q481">
        <v>1.5</v>
      </c>
      <c r="R481" t="b">
        <v>0</v>
      </c>
      <c r="S481">
        <v>5.9192960904962E-8</v>
      </c>
      <c r="Y481" t="str">
        <f t="shared" si="52"/>
        <v>Pass</v>
      </c>
      <c r="Z481">
        <f t="shared" si="53"/>
        <v>69875.7265625</v>
      </c>
      <c r="AA481">
        <v>7200</v>
      </c>
      <c r="AB481">
        <v>20</v>
      </c>
      <c r="AC481">
        <v>14</v>
      </c>
      <c r="AD481">
        <v>0.2</v>
      </c>
      <c r="AE481">
        <v>69875.731340683793</v>
      </c>
    </row>
    <row r="482" spans="1:31" x14ac:dyDescent="0.3">
      <c r="A482" t="str">
        <f>IF(ISBLANK(B482),"",IF(ROUND(B482,0)=ROUND(G482,0),"Pass","Fail"))</f>
        <v>Pass</v>
      </c>
      <c r="B482">
        <f t="shared" si="49"/>
        <v>82.038002014160156</v>
      </c>
      <c r="C482">
        <v>0</v>
      </c>
      <c r="D482">
        <v>60</v>
      </c>
      <c r="E482">
        <v>20</v>
      </c>
      <c r="F482">
        <v>0</v>
      </c>
      <c r="G482">
        <v>82.037999999999997</v>
      </c>
      <c r="M482" t="str">
        <f t="shared" si="50"/>
        <v>Pass</v>
      </c>
      <c r="N482">
        <f t="shared" si="51"/>
        <v>2.9560227599034761E-9</v>
      </c>
      <c r="O482">
        <v>20</v>
      </c>
      <c r="P482">
        <v>60</v>
      </c>
      <c r="Q482">
        <v>2</v>
      </c>
      <c r="R482" t="b">
        <v>1</v>
      </c>
      <c r="S482">
        <v>2.9560230952420601E-9</v>
      </c>
      <c r="Y482" t="str">
        <f t="shared" si="52"/>
        <v>Pass</v>
      </c>
      <c r="Z482">
        <f t="shared" si="53"/>
        <v>71367.2890625</v>
      </c>
      <c r="AA482">
        <v>7200</v>
      </c>
      <c r="AB482">
        <v>20</v>
      </c>
      <c r="AC482">
        <v>16</v>
      </c>
      <c r="AD482">
        <v>0.2</v>
      </c>
      <c r="AE482">
        <v>71367.292024009497</v>
      </c>
    </row>
    <row r="483" spans="1:31" x14ac:dyDescent="0.3">
      <c r="A483" t="str">
        <f>IF(ISBLANK(B483),"",IF(ROUND(B483,0)=ROUND(G483,0),"Pass","Fail"))</f>
        <v>Pass</v>
      </c>
      <c r="B483">
        <f t="shared" si="49"/>
        <v>48.701229095458984</v>
      </c>
      <c r="C483">
        <v>0</v>
      </c>
      <c r="D483">
        <v>60</v>
      </c>
      <c r="E483">
        <v>20</v>
      </c>
      <c r="F483">
        <v>8</v>
      </c>
      <c r="G483">
        <v>48.701228080723098</v>
      </c>
      <c r="M483" t="str">
        <f t="shared" si="50"/>
        <v>Pass</v>
      </c>
      <c r="N483">
        <f t="shared" si="51"/>
        <v>6.3187492571614712E-8</v>
      </c>
      <c r="O483">
        <v>20</v>
      </c>
      <c r="P483">
        <v>60</v>
      </c>
      <c r="Q483">
        <v>2</v>
      </c>
      <c r="R483" t="b">
        <v>0</v>
      </c>
      <c r="S483">
        <v>6.3187497779201303E-8</v>
      </c>
      <c r="Y483" t="str">
        <f t="shared" si="52"/>
        <v>Pass</v>
      </c>
      <c r="Z483">
        <f t="shared" si="53"/>
        <v>72367.1171875</v>
      </c>
      <c r="AA483">
        <v>7200</v>
      </c>
      <c r="AB483">
        <v>20</v>
      </c>
      <c r="AC483">
        <v>18</v>
      </c>
      <c r="AD483">
        <v>0.2</v>
      </c>
      <c r="AE483">
        <v>72367.115049921398</v>
      </c>
    </row>
    <row r="484" spans="1:31" x14ac:dyDescent="0.3">
      <c r="A484" t="str">
        <f>IF(ISBLANK(B484),"",IF(ROUND(B484,0)=ROUND(G484,0),"Pass","Fail"))</f>
        <v>Pass</v>
      </c>
      <c r="B484">
        <f t="shared" si="49"/>
        <v>31.919998168945313</v>
      </c>
      <c r="C484">
        <v>0</v>
      </c>
      <c r="D484">
        <v>60</v>
      </c>
      <c r="E484">
        <v>20</v>
      </c>
      <c r="F484">
        <v>16</v>
      </c>
      <c r="G484">
        <v>31.919997247101701</v>
      </c>
      <c r="M484" t="str">
        <f t="shared" si="50"/>
        <v>Pass</v>
      </c>
      <c r="N484">
        <f t="shared" si="51"/>
        <v>3.1096130115315646E-9</v>
      </c>
      <c r="O484">
        <v>20</v>
      </c>
      <c r="P484">
        <v>60</v>
      </c>
      <c r="Q484">
        <v>2.5</v>
      </c>
      <c r="R484" t="b">
        <v>1</v>
      </c>
      <c r="S484">
        <v>3.1096133764478198E-9</v>
      </c>
      <c r="Y484" t="str">
        <f t="shared" si="52"/>
        <v>Pass</v>
      </c>
      <c r="Z484">
        <f t="shared" si="53"/>
        <v>73037.3203125</v>
      </c>
      <c r="AA484">
        <v>7200</v>
      </c>
      <c r="AB484">
        <v>20</v>
      </c>
      <c r="AC484">
        <v>20</v>
      </c>
      <c r="AD484">
        <v>0.2</v>
      </c>
      <c r="AE484">
        <v>73037.316466678094</v>
      </c>
    </row>
    <row r="485" spans="1:31" x14ac:dyDescent="0.3">
      <c r="A485" t="str">
        <f>IF(ISBLANK(B485),"",IF(ROUND(B485,0)=ROUND(G485,0),"Pass","Fail"))</f>
        <v>Pass</v>
      </c>
      <c r="B485">
        <f t="shared" si="49"/>
        <v>23.472578048706055</v>
      </c>
      <c r="C485">
        <v>0</v>
      </c>
      <c r="D485">
        <v>60</v>
      </c>
      <c r="E485">
        <v>20</v>
      </c>
      <c r="F485">
        <v>24</v>
      </c>
      <c r="G485">
        <v>23.4725774137362</v>
      </c>
      <c r="M485" t="str">
        <f t="shared" si="50"/>
        <v>Pass</v>
      </c>
      <c r="N485">
        <f t="shared" si="51"/>
        <v>6.6470619231040473E-8</v>
      </c>
      <c r="O485">
        <v>20</v>
      </c>
      <c r="P485">
        <v>60</v>
      </c>
      <c r="Q485">
        <v>2.5</v>
      </c>
      <c r="R485" t="b">
        <v>0</v>
      </c>
      <c r="S485">
        <v>6.6470620150002995E-8</v>
      </c>
      <c r="Y485" t="str">
        <f t="shared" si="52"/>
        <v>Pass</v>
      </c>
      <c r="Z485">
        <f t="shared" si="53"/>
        <v>73486.5703125</v>
      </c>
      <c r="AA485">
        <v>7200</v>
      </c>
      <c r="AB485">
        <v>20</v>
      </c>
      <c r="AC485">
        <v>22</v>
      </c>
      <c r="AD485">
        <v>0.2</v>
      </c>
      <c r="AE485">
        <v>73486.565911211699</v>
      </c>
    </row>
    <row r="486" spans="1:31" x14ac:dyDescent="0.3">
      <c r="A486" t="str">
        <f>IF(ISBLANK(B486),"",IF(ROUND(B486,0)=ROUND(G486,0),"Pass","Fail"))</f>
        <v>Pass</v>
      </c>
      <c r="B486">
        <f t="shared" si="49"/>
        <v>19.220273971557617</v>
      </c>
      <c r="C486">
        <v>0</v>
      </c>
      <c r="D486">
        <v>60</v>
      </c>
      <c r="E486">
        <v>20</v>
      </c>
      <c r="F486">
        <v>32</v>
      </c>
      <c r="G486">
        <v>19.220273005994599</v>
      </c>
      <c r="M486" t="str">
        <f t="shared" si="50"/>
        <v>Pass</v>
      </c>
      <c r="N486">
        <f t="shared" si="51"/>
        <v>3.2410110151204208E-9</v>
      </c>
      <c r="O486">
        <v>20</v>
      </c>
      <c r="P486">
        <v>60</v>
      </c>
      <c r="Q486">
        <v>3</v>
      </c>
      <c r="R486" t="b">
        <v>1</v>
      </c>
      <c r="S486">
        <v>3.24101125096089E-9</v>
      </c>
      <c r="Y486" t="str">
        <f t="shared" si="52"/>
        <v>Pass</v>
      </c>
      <c r="Z486">
        <f t="shared" si="53"/>
        <v>73787.7109375</v>
      </c>
      <c r="AA486">
        <v>7200</v>
      </c>
      <c r="AB486">
        <v>20</v>
      </c>
      <c r="AC486">
        <v>24</v>
      </c>
      <c r="AD486">
        <v>0.2</v>
      </c>
      <c r="AE486">
        <v>73787.706819552899</v>
      </c>
    </row>
    <row r="487" spans="1:31" x14ac:dyDescent="0.3">
      <c r="A487" t="str">
        <f>IF(ISBLANK(B487),"",IF(ROUND(B487,0)=ROUND(G487,0),"Pass","Fail"))</f>
        <v>Pass</v>
      </c>
      <c r="B487">
        <f t="shared" si="49"/>
        <v>17.079727172851563</v>
      </c>
      <c r="C487">
        <v>0</v>
      </c>
      <c r="D487">
        <v>60</v>
      </c>
      <c r="E487">
        <v>20</v>
      </c>
      <c r="F487">
        <v>40</v>
      </c>
      <c r="G487">
        <v>17.079726764327098</v>
      </c>
      <c r="M487" t="str">
        <f t="shared" si="50"/>
        <v>Pass</v>
      </c>
      <c r="N487">
        <f t="shared" si="51"/>
        <v>6.9279359138363361E-8</v>
      </c>
      <c r="O487">
        <v>20</v>
      </c>
      <c r="P487">
        <v>60</v>
      </c>
      <c r="Q487">
        <v>3</v>
      </c>
      <c r="R487" t="b">
        <v>0</v>
      </c>
      <c r="S487">
        <v>6.9279361028025998E-8</v>
      </c>
      <c r="Y487" t="str">
        <f t="shared" si="52"/>
        <v>Pass</v>
      </c>
      <c r="Z487">
        <f t="shared" si="53"/>
        <v>0</v>
      </c>
      <c r="AA487">
        <v>7400</v>
      </c>
      <c r="AB487">
        <v>20</v>
      </c>
      <c r="AC487">
        <v>0</v>
      </c>
      <c r="AD487">
        <v>0.2</v>
      </c>
      <c r="AE487">
        <v>0</v>
      </c>
    </row>
    <row r="488" spans="1:31" x14ac:dyDescent="0.3">
      <c r="A488" t="str">
        <f>IF(ISBLANK(B488),"",IF(ROUND(B488,0)=ROUND(G488,0),"Pass","Fail"))</f>
        <v>Pass</v>
      </c>
      <c r="B488">
        <f t="shared" si="49"/>
        <v>16.002208709716797</v>
      </c>
      <c r="C488">
        <v>0</v>
      </c>
      <c r="D488">
        <v>60</v>
      </c>
      <c r="E488">
        <v>20</v>
      </c>
      <c r="F488">
        <v>48</v>
      </c>
      <c r="G488">
        <v>16.002207900819698</v>
      </c>
      <c r="M488" t="str">
        <f t="shared" si="50"/>
        <v>Pass</v>
      </c>
      <c r="N488">
        <f t="shared" si="51"/>
        <v>3.3564289125820324E-9</v>
      </c>
      <c r="O488">
        <v>20</v>
      </c>
      <c r="P488">
        <v>60</v>
      </c>
      <c r="Q488">
        <v>3.5</v>
      </c>
      <c r="R488" t="b">
        <v>1</v>
      </c>
      <c r="S488">
        <v>3.3564289621909401E-9</v>
      </c>
      <c r="Y488" t="str">
        <f t="shared" si="52"/>
        <v>Pass</v>
      </c>
      <c r="Z488">
        <f t="shared" si="53"/>
        <v>25209.525390625</v>
      </c>
      <c r="AA488">
        <v>7400</v>
      </c>
      <c r="AB488">
        <v>20</v>
      </c>
      <c r="AC488">
        <v>2</v>
      </c>
      <c r="AD488">
        <v>0.2</v>
      </c>
      <c r="AE488">
        <v>25209.527146474698</v>
      </c>
    </row>
    <row r="489" spans="1:31" x14ac:dyDescent="0.3">
      <c r="A489" t="str">
        <f>IF(ISBLANK(B489),"",IF(ROUND(B489,0)=ROUND(G489,0),"Pass","Fail"))</f>
        <v>Pass</v>
      </c>
      <c r="B489">
        <f t="shared" si="49"/>
        <v>82.038002014160156</v>
      </c>
      <c r="C489">
        <v>0</v>
      </c>
      <c r="D489">
        <v>60</v>
      </c>
      <c r="E489">
        <v>30</v>
      </c>
      <c r="F489">
        <v>0</v>
      </c>
      <c r="G489">
        <v>82.037999999999997</v>
      </c>
      <c r="M489" t="str">
        <f t="shared" si="50"/>
        <v>Pass</v>
      </c>
      <c r="N489">
        <f t="shared" si="51"/>
        <v>7.1746512730896939E-8</v>
      </c>
      <c r="O489">
        <v>20</v>
      </c>
      <c r="P489">
        <v>60</v>
      </c>
      <c r="Q489">
        <v>3.5</v>
      </c>
      <c r="R489" t="b">
        <v>0</v>
      </c>
      <c r="S489">
        <v>7.1746512378693095E-8</v>
      </c>
      <c r="Y489" t="str">
        <f t="shared" si="52"/>
        <v>Pass</v>
      </c>
      <c r="Z489">
        <f t="shared" si="53"/>
        <v>42107.98046875</v>
      </c>
      <c r="AA489">
        <v>7400</v>
      </c>
      <c r="AB489">
        <v>20</v>
      </c>
      <c r="AC489">
        <v>4</v>
      </c>
      <c r="AD489">
        <v>0.2</v>
      </c>
      <c r="AE489">
        <v>42107.978543836398</v>
      </c>
    </row>
    <row r="490" spans="1:31" x14ac:dyDescent="0.3">
      <c r="A490" t="str">
        <f>IF(ISBLANK(B490),"",IF(ROUND(B490,0)=ROUND(G490,0),"Pass","Fail"))</f>
        <v>Pass</v>
      </c>
      <c r="B490">
        <f t="shared" si="49"/>
        <v>48.701229095458984</v>
      </c>
      <c r="C490">
        <v>0</v>
      </c>
      <c r="D490">
        <v>60</v>
      </c>
      <c r="E490">
        <v>30</v>
      </c>
      <c r="F490">
        <v>8</v>
      </c>
      <c r="G490">
        <v>48.701228080723098</v>
      </c>
      <c r="M490" t="str">
        <f t="shared" si="50"/>
        <v>Pass</v>
      </c>
      <c r="N490">
        <f t="shared" si="51"/>
        <v>3.4597253950607865E-9</v>
      </c>
      <c r="O490">
        <v>20</v>
      </c>
      <c r="P490">
        <v>60</v>
      </c>
      <c r="Q490">
        <v>4</v>
      </c>
      <c r="R490" t="b">
        <v>1</v>
      </c>
      <c r="S490">
        <v>3.4597254148388201E-9</v>
      </c>
      <c r="Y490" t="str">
        <f t="shared" si="52"/>
        <v>Pass</v>
      </c>
      <c r="Z490">
        <f t="shared" si="53"/>
        <v>53435.3515625</v>
      </c>
      <c r="AA490">
        <v>7400</v>
      </c>
      <c r="AB490">
        <v>20</v>
      </c>
      <c r="AC490">
        <v>6</v>
      </c>
      <c r="AD490">
        <v>0.2</v>
      </c>
      <c r="AE490">
        <v>53435.3492624469</v>
      </c>
    </row>
    <row r="491" spans="1:31" x14ac:dyDescent="0.3">
      <c r="A491" t="str">
        <f>IF(ISBLANK(B491),"",IF(ROUND(B491,0)=ROUND(G491,0),"Pass","Fail"))</f>
        <v>Pass</v>
      </c>
      <c r="B491">
        <f t="shared" si="49"/>
        <v>31.919998168945313</v>
      </c>
      <c r="C491">
        <v>0</v>
      </c>
      <c r="D491">
        <v>60</v>
      </c>
      <c r="E491">
        <v>30</v>
      </c>
      <c r="F491">
        <v>16</v>
      </c>
      <c r="G491">
        <v>31.919997247101701</v>
      </c>
      <c r="M491" t="str">
        <f t="shared" si="50"/>
        <v>Pass</v>
      </c>
      <c r="N491">
        <f t="shared" si="51"/>
        <v>7.3954559809408238E-8</v>
      </c>
      <c r="O491">
        <v>20</v>
      </c>
      <c r="P491">
        <v>60</v>
      </c>
      <c r="Q491">
        <v>4</v>
      </c>
      <c r="R491" t="b">
        <v>0</v>
      </c>
      <c r="S491">
        <v>7.3954561558955902E-8</v>
      </c>
      <c r="Y491" t="str">
        <f t="shared" si="52"/>
        <v>Pass</v>
      </c>
      <c r="Z491">
        <f t="shared" si="53"/>
        <v>61028.3125</v>
      </c>
      <c r="AA491">
        <v>7400</v>
      </c>
      <c r="AB491">
        <v>20</v>
      </c>
      <c r="AC491">
        <v>8</v>
      </c>
      <c r="AD491">
        <v>0.2</v>
      </c>
      <c r="AE491">
        <v>61028.312924008598</v>
      </c>
    </row>
    <row r="492" spans="1:31" x14ac:dyDescent="0.3">
      <c r="A492" t="str">
        <f>IF(ISBLANK(B492),"",IF(ROUND(B492,0)=ROUND(G492,0),"Pass","Fail"))</f>
        <v>Pass</v>
      </c>
      <c r="B492">
        <f t="shared" si="49"/>
        <v>23.472578048706055</v>
      </c>
      <c r="C492">
        <v>0</v>
      </c>
      <c r="D492">
        <v>60</v>
      </c>
      <c r="E492">
        <v>30</v>
      </c>
      <c r="F492">
        <v>24</v>
      </c>
      <c r="G492">
        <v>23.4725774137362</v>
      </c>
      <c r="M492" t="str">
        <f t="shared" si="50"/>
        <v>Pass</v>
      </c>
      <c r="N492">
        <f t="shared" si="51"/>
        <v>0</v>
      </c>
      <c r="O492">
        <v>20</v>
      </c>
      <c r="P492">
        <v>70</v>
      </c>
      <c r="Q492">
        <v>0</v>
      </c>
      <c r="R492" t="b">
        <v>1</v>
      </c>
      <c r="S492">
        <v>0</v>
      </c>
      <c r="Y492" t="str">
        <f t="shared" si="52"/>
        <v>Pass</v>
      </c>
      <c r="Z492">
        <f t="shared" si="53"/>
        <v>66118.03125</v>
      </c>
      <c r="AA492">
        <v>7400</v>
      </c>
      <c r="AB492">
        <v>20</v>
      </c>
      <c r="AC492">
        <v>10</v>
      </c>
      <c r="AD492">
        <v>0.2</v>
      </c>
      <c r="AE492">
        <v>66118.028675173598</v>
      </c>
    </row>
    <row r="493" spans="1:31" x14ac:dyDescent="0.3">
      <c r="A493" t="str">
        <f>IF(ISBLANK(B493),"",IF(ROUND(B493,0)=ROUND(G493,0),"Pass","Fail"))</f>
        <v>Pass</v>
      </c>
      <c r="B493">
        <f t="shared" si="49"/>
        <v>19.220273971557617</v>
      </c>
      <c r="C493">
        <v>0</v>
      </c>
      <c r="D493">
        <v>60</v>
      </c>
      <c r="E493">
        <v>30</v>
      </c>
      <c r="F493">
        <v>32</v>
      </c>
      <c r="G493">
        <v>19.220273005994599</v>
      </c>
      <c r="M493" t="str">
        <f t="shared" si="50"/>
        <v>Pass</v>
      </c>
      <c r="N493">
        <f t="shared" si="51"/>
        <v>0</v>
      </c>
      <c r="O493">
        <v>20</v>
      </c>
      <c r="P493">
        <v>70</v>
      </c>
      <c r="Q493">
        <v>0</v>
      </c>
      <c r="R493" t="b">
        <v>0</v>
      </c>
      <c r="S493">
        <v>0</v>
      </c>
      <c r="Y493" t="str">
        <f t="shared" si="52"/>
        <v>Pass</v>
      </c>
      <c r="Z493">
        <f t="shared" si="53"/>
        <v>69529.765625</v>
      </c>
      <c r="AA493">
        <v>7400</v>
      </c>
      <c r="AB493">
        <v>20</v>
      </c>
      <c r="AC493">
        <v>12</v>
      </c>
      <c r="AD493">
        <v>0.2</v>
      </c>
      <c r="AE493">
        <v>69529.767171802901</v>
      </c>
    </row>
    <row r="494" spans="1:31" x14ac:dyDescent="0.3">
      <c r="A494" t="str">
        <f>IF(ISBLANK(B494),"",IF(ROUND(B494,0)=ROUND(G494,0),"Pass","Fail"))</f>
        <v>Pass</v>
      </c>
      <c r="B494">
        <f t="shared" si="49"/>
        <v>17.079727172851563</v>
      </c>
      <c r="C494">
        <v>0</v>
      </c>
      <c r="D494">
        <v>60</v>
      </c>
      <c r="E494">
        <v>30</v>
      </c>
      <c r="F494">
        <v>40</v>
      </c>
      <c r="G494">
        <v>17.079726764327098</v>
      </c>
      <c r="M494" t="str">
        <f t="shared" si="50"/>
        <v>Pass</v>
      </c>
      <c r="N494">
        <f t="shared" si="51"/>
        <v>3.9524127026790978E-11</v>
      </c>
      <c r="O494">
        <v>20</v>
      </c>
      <c r="P494">
        <v>70</v>
      </c>
      <c r="Q494">
        <v>0.5</v>
      </c>
      <c r="R494" t="b">
        <v>1</v>
      </c>
      <c r="S494">
        <v>3.9524126367858902E-11</v>
      </c>
      <c r="Y494" t="str">
        <f t="shared" si="52"/>
        <v>Pass</v>
      </c>
      <c r="Z494">
        <f t="shared" si="53"/>
        <v>71816.71875</v>
      </c>
      <c r="AA494">
        <v>7400</v>
      </c>
      <c r="AB494">
        <v>20</v>
      </c>
      <c r="AC494">
        <v>14</v>
      </c>
      <c r="AD494">
        <v>0.2</v>
      </c>
      <c r="AE494">
        <v>71816.723877925004</v>
      </c>
    </row>
    <row r="495" spans="1:31" x14ac:dyDescent="0.3">
      <c r="A495" t="str">
        <f>IF(ISBLANK(B495),"",IF(ROUND(B495,0)=ROUND(G495,0),"Pass","Fail"))</f>
        <v>Pass</v>
      </c>
      <c r="B495">
        <f t="shared" si="49"/>
        <v>16.002208709716797</v>
      </c>
      <c r="C495">
        <v>0</v>
      </c>
      <c r="D495">
        <v>60</v>
      </c>
      <c r="E495">
        <v>30</v>
      </c>
      <c r="F495">
        <v>48</v>
      </c>
      <c r="G495">
        <v>16.002207900819698</v>
      </c>
      <c r="M495" t="str">
        <f t="shared" si="50"/>
        <v>Pass</v>
      </c>
      <c r="N495">
        <f t="shared" si="51"/>
        <v>8.4486168061559397E-10</v>
      </c>
      <c r="O495">
        <v>20</v>
      </c>
      <c r="P495">
        <v>70</v>
      </c>
      <c r="Q495">
        <v>0.5</v>
      </c>
      <c r="R495" t="b">
        <v>0</v>
      </c>
      <c r="S495">
        <v>8.4486168295293599E-10</v>
      </c>
      <c r="Y495" t="str">
        <f t="shared" si="52"/>
        <v>Pass</v>
      </c>
      <c r="Z495">
        <f t="shared" si="53"/>
        <v>73349.7109375</v>
      </c>
      <c r="AA495">
        <v>7400</v>
      </c>
      <c r="AB495">
        <v>20</v>
      </c>
      <c r="AC495">
        <v>16</v>
      </c>
      <c r="AD495">
        <v>0.2</v>
      </c>
      <c r="AE495">
        <v>73349.716802454204</v>
      </c>
    </row>
    <row r="496" spans="1:31" x14ac:dyDescent="0.3">
      <c r="A496" t="str">
        <f>IF(ISBLANK(B496),"",IF(ROUND(B496,0)=ROUND(G496,0),"Pass","Fail"))</f>
        <v>Pass</v>
      </c>
      <c r="B496">
        <f t="shared" si="49"/>
        <v>82.038002014160156</v>
      </c>
      <c r="C496">
        <v>0</v>
      </c>
      <c r="D496">
        <v>60</v>
      </c>
      <c r="E496">
        <v>40</v>
      </c>
      <c r="F496">
        <v>0</v>
      </c>
      <c r="G496">
        <v>82.037999999999997</v>
      </c>
      <c r="M496" t="str">
        <f t="shared" si="50"/>
        <v>Pass</v>
      </c>
      <c r="N496">
        <f t="shared" si="51"/>
        <v>4.6258982755453815E-11</v>
      </c>
      <c r="O496">
        <v>20</v>
      </c>
      <c r="P496">
        <v>70</v>
      </c>
      <c r="Q496">
        <v>1</v>
      </c>
      <c r="R496" t="b">
        <v>1</v>
      </c>
      <c r="S496">
        <v>4.6258983806412102E-11</v>
      </c>
      <c r="Y496" t="str">
        <f t="shared" si="52"/>
        <v>Pass</v>
      </c>
      <c r="Z496">
        <f t="shared" si="53"/>
        <v>74377.3125</v>
      </c>
      <c r="AA496">
        <v>7400</v>
      </c>
      <c r="AB496">
        <v>20</v>
      </c>
      <c r="AC496">
        <v>18</v>
      </c>
      <c r="AD496">
        <v>0.2</v>
      </c>
      <c r="AE496">
        <v>74377.312690196995</v>
      </c>
    </row>
    <row r="497" spans="1:31" x14ac:dyDescent="0.3">
      <c r="A497" t="str">
        <f>IF(ISBLANK(B497),"",IF(ROUND(B497,0)=ROUND(G497,0),"Pass","Fail"))</f>
        <v>Pass</v>
      </c>
      <c r="B497">
        <f t="shared" si="49"/>
        <v>48.701229095458984</v>
      </c>
      <c r="C497">
        <v>0</v>
      </c>
      <c r="D497">
        <v>60</v>
      </c>
      <c r="E497">
        <v>40</v>
      </c>
      <c r="F497">
        <v>8</v>
      </c>
      <c r="G497">
        <v>48.701228080723098</v>
      </c>
      <c r="M497" t="str">
        <f t="shared" si="50"/>
        <v>Pass</v>
      </c>
      <c r="N497">
        <f t="shared" si="51"/>
        <v>9.8882491084140156E-10</v>
      </c>
      <c r="O497">
        <v>20</v>
      </c>
      <c r="P497">
        <v>70</v>
      </c>
      <c r="Q497">
        <v>1</v>
      </c>
      <c r="R497" t="b">
        <v>0</v>
      </c>
      <c r="S497">
        <v>9.8882496596205199E-10</v>
      </c>
      <c r="Y497" t="str">
        <f t="shared" si="52"/>
        <v>Pass</v>
      </c>
      <c r="Z497">
        <f t="shared" si="53"/>
        <v>75066.1328125</v>
      </c>
      <c r="AA497">
        <v>7400</v>
      </c>
      <c r="AB497">
        <v>20</v>
      </c>
      <c r="AC497">
        <v>20</v>
      </c>
      <c r="AD497">
        <v>0.2</v>
      </c>
      <c r="AE497">
        <v>75066.130812974705</v>
      </c>
    </row>
    <row r="498" spans="1:31" x14ac:dyDescent="0.3">
      <c r="A498" t="str">
        <f>IF(ISBLANK(B498),"",IF(ROUND(B498,0)=ROUND(G498,0),"Pass","Fail"))</f>
        <v>Pass</v>
      </c>
      <c r="B498">
        <f t="shared" si="49"/>
        <v>31.919998168945313</v>
      </c>
      <c r="C498">
        <v>0</v>
      </c>
      <c r="D498">
        <v>60</v>
      </c>
      <c r="E498">
        <v>40</v>
      </c>
      <c r="F498">
        <v>16</v>
      </c>
      <c r="G498">
        <v>31.919997247101701</v>
      </c>
      <c r="M498" t="str">
        <f t="shared" si="50"/>
        <v>Pass</v>
      </c>
      <c r="N498">
        <f t="shared" si="51"/>
        <v>5.0718776400948684E-11</v>
      </c>
      <c r="O498">
        <v>20</v>
      </c>
      <c r="P498">
        <v>70</v>
      </c>
      <c r="Q498">
        <v>1.5</v>
      </c>
      <c r="R498" t="b">
        <v>1</v>
      </c>
      <c r="S498">
        <v>5.0718780653614003E-11</v>
      </c>
      <c r="Y498" t="str">
        <f t="shared" si="52"/>
        <v>Pass</v>
      </c>
      <c r="Z498">
        <f t="shared" si="53"/>
        <v>75527.8671875</v>
      </c>
      <c r="AA498">
        <v>7400</v>
      </c>
      <c r="AB498">
        <v>20</v>
      </c>
      <c r="AC498">
        <v>22</v>
      </c>
      <c r="AD498">
        <v>0.2</v>
      </c>
      <c r="AE498">
        <v>75527.859408745295</v>
      </c>
    </row>
    <row r="499" spans="1:31" x14ac:dyDescent="0.3">
      <c r="A499" t="str">
        <f>IF(ISBLANK(B499),"",IF(ROUND(B499,0)=ROUND(G499,0),"Pass","Fail"))</f>
        <v>Pass</v>
      </c>
      <c r="B499">
        <f t="shared" si="49"/>
        <v>23.472578048706055</v>
      </c>
      <c r="C499">
        <v>0</v>
      </c>
      <c r="D499">
        <v>60</v>
      </c>
      <c r="E499">
        <v>40</v>
      </c>
      <c r="F499">
        <v>24</v>
      </c>
      <c r="G499">
        <v>23.4725774137362</v>
      </c>
      <c r="M499" t="str">
        <f t="shared" si="50"/>
        <v>Pass</v>
      </c>
      <c r="N499">
        <f t="shared" si="51"/>
        <v>1.0841568753860997E-9</v>
      </c>
      <c r="O499">
        <v>20</v>
      </c>
      <c r="P499">
        <v>70</v>
      </c>
      <c r="Q499">
        <v>1.5</v>
      </c>
      <c r="R499" t="b">
        <v>0</v>
      </c>
      <c r="S499">
        <v>1.0841569015723799E-9</v>
      </c>
      <c r="Y499" t="str">
        <f t="shared" si="52"/>
        <v>Pass</v>
      </c>
      <c r="Z499">
        <f t="shared" si="53"/>
        <v>75837.3671875</v>
      </c>
      <c r="AA499">
        <v>7400</v>
      </c>
      <c r="AB499">
        <v>20</v>
      </c>
      <c r="AC499">
        <v>24</v>
      </c>
      <c r="AD499">
        <v>0.2</v>
      </c>
      <c r="AE499">
        <v>75837.365342318197</v>
      </c>
    </row>
    <row r="500" spans="1:31" x14ac:dyDescent="0.3">
      <c r="A500" t="str">
        <f>IF(ISBLANK(B500),"",IF(ROUND(B500,0)=ROUND(G500,0),"Pass","Fail"))</f>
        <v>Pass</v>
      </c>
      <c r="B500">
        <f t="shared" si="49"/>
        <v>19.220273971557617</v>
      </c>
      <c r="C500">
        <v>0</v>
      </c>
      <c r="D500">
        <v>60</v>
      </c>
      <c r="E500">
        <v>40</v>
      </c>
      <c r="F500">
        <v>32</v>
      </c>
      <c r="G500">
        <v>19.220273005994599</v>
      </c>
      <c r="M500" t="str">
        <f t="shared" si="50"/>
        <v>Pass</v>
      </c>
      <c r="N500">
        <f t="shared" si="51"/>
        <v>5.414144826909606E-11</v>
      </c>
      <c r="O500">
        <v>20</v>
      </c>
      <c r="P500">
        <v>70</v>
      </c>
      <c r="Q500">
        <v>2</v>
      </c>
      <c r="R500" t="b">
        <v>1</v>
      </c>
      <c r="S500">
        <v>5.4141451803019802E-11</v>
      </c>
      <c r="Y500" t="str">
        <f t="shared" si="52"/>
        <v>Pass</v>
      </c>
      <c r="Z500">
        <f t="shared" si="53"/>
        <v>0</v>
      </c>
      <c r="AA500">
        <v>7600</v>
      </c>
      <c r="AB500">
        <v>20</v>
      </c>
      <c r="AC500">
        <v>0</v>
      </c>
      <c r="AD500">
        <v>0.2</v>
      </c>
      <c r="AE500">
        <v>0</v>
      </c>
    </row>
    <row r="501" spans="1:31" x14ac:dyDescent="0.3">
      <c r="A501" t="str">
        <f>IF(ISBLANK(B501),"",IF(ROUND(B501,0)=ROUND(G501,0),"Pass","Fail"))</f>
        <v>Pass</v>
      </c>
      <c r="B501">
        <f t="shared" si="49"/>
        <v>17.079727172851563</v>
      </c>
      <c r="C501">
        <v>0</v>
      </c>
      <c r="D501">
        <v>60</v>
      </c>
      <c r="E501">
        <v>40</v>
      </c>
      <c r="F501">
        <v>40</v>
      </c>
      <c r="G501">
        <v>17.079726764327098</v>
      </c>
      <c r="M501" t="str">
        <f t="shared" si="50"/>
        <v>Pass</v>
      </c>
      <c r="N501">
        <f t="shared" si="51"/>
        <v>1.1573193514635705E-9</v>
      </c>
      <c r="O501">
        <v>20</v>
      </c>
      <c r="P501">
        <v>70</v>
      </c>
      <c r="Q501">
        <v>2</v>
      </c>
      <c r="R501" t="b">
        <v>0</v>
      </c>
      <c r="S501">
        <v>1.1573193968181401E-9</v>
      </c>
      <c r="Y501" t="str">
        <f t="shared" si="52"/>
        <v>Pass</v>
      </c>
      <c r="Z501">
        <f t="shared" si="53"/>
        <v>25890.865234375</v>
      </c>
      <c r="AA501">
        <v>7600</v>
      </c>
      <c r="AB501">
        <v>20</v>
      </c>
      <c r="AC501">
        <v>2</v>
      </c>
      <c r="AD501">
        <v>0.2</v>
      </c>
      <c r="AE501">
        <v>25890.8657180011</v>
      </c>
    </row>
    <row r="502" spans="1:31" x14ac:dyDescent="0.3">
      <c r="A502" t="str">
        <f>IF(ISBLANK(B502),"",IF(ROUND(B502,0)=ROUND(G502,0),"Pass","Fail"))</f>
        <v>Pass</v>
      </c>
      <c r="B502">
        <f t="shared" si="49"/>
        <v>16.002208709716797</v>
      </c>
      <c r="C502">
        <v>0</v>
      </c>
      <c r="D502">
        <v>60</v>
      </c>
      <c r="E502">
        <v>40</v>
      </c>
      <c r="F502">
        <v>48</v>
      </c>
      <c r="G502">
        <v>16.002207900819698</v>
      </c>
      <c r="M502" t="str">
        <f t="shared" si="50"/>
        <v>Pass</v>
      </c>
      <c r="N502">
        <f t="shared" si="51"/>
        <v>5.6954552185572993E-11</v>
      </c>
      <c r="O502">
        <v>20</v>
      </c>
      <c r="P502">
        <v>70</v>
      </c>
      <c r="Q502">
        <v>2.5</v>
      </c>
      <c r="R502" t="b">
        <v>1</v>
      </c>
      <c r="S502">
        <v>5.6954555943071402E-11</v>
      </c>
      <c r="Y502" t="str">
        <f t="shared" si="52"/>
        <v>Pass</v>
      </c>
      <c r="Z502">
        <f t="shared" si="53"/>
        <v>43246.03125</v>
      </c>
      <c r="AA502">
        <v>7600</v>
      </c>
      <c r="AB502">
        <v>20</v>
      </c>
      <c r="AC502">
        <v>4</v>
      </c>
      <c r="AD502">
        <v>0.2</v>
      </c>
      <c r="AE502">
        <v>43246.032017994199</v>
      </c>
    </row>
    <row r="503" spans="1:31" x14ac:dyDescent="0.3">
      <c r="A503" t="str">
        <f>IF(ISBLANK(B503),"",IF(ROUND(B503,0)=ROUND(G503,0),"Pass","Fail"))</f>
        <v>Pass</v>
      </c>
      <c r="B503">
        <f t="shared" si="49"/>
        <v>82.038002014160156</v>
      </c>
      <c r="C503">
        <v>0</v>
      </c>
      <c r="D503">
        <v>60</v>
      </c>
      <c r="E503">
        <v>50</v>
      </c>
      <c r="F503">
        <v>0</v>
      </c>
      <c r="G503">
        <v>82.037999999999997</v>
      </c>
      <c r="M503" t="str">
        <f t="shared" si="50"/>
        <v>Pass</v>
      </c>
      <c r="N503">
        <f t="shared" si="51"/>
        <v>1.217451917057133E-9</v>
      </c>
      <c r="O503">
        <v>20</v>
      </c>
      <c r="P503">
        <v>70</v>
      </c>
      <c r="Q503">
        <v>2.5</v>
      </c>
      <c r="R503" t="b">
        <v>0</v>
      </c>
      <c r="S503">
        <v>1.2174518808600601E-9</v>
      </c>
      <c r="Y503" t="str">
        <f t="shared" si="52"/>
        <v>Pass</v>
      </c>
      <c r="Z503">
        <f t="shared" si="53"/>
        <v>54879.55078125</v>
      </c>
      <c r="AA503">
        <v>7600</v>
      </c>
      <c r="AB503">
        <v>20</v>
      </c>
      <c r="AC503">
        <v>6</v>
      </c>
      <c r="AD503">
        <v>0.2</v>
      </c>
      <c r="AE503">
        <v>54879.547891161703</v>
      </c>
    </row>
    <row r="504" spans="1:31" x14ac:dyDescent="0.3">
      <c r="A504" t="str">
        <f>IF(ISBLANK(B504),"",IF(ROUND(B504,0)=ROUND(G504,0),"Pass","Fail"))</f>
        <v>Pass</v>
      </c>
      <c r="B504">
        <f t="shared" si="49"/>
        <v>48.701229095458984</v>
      </c>
      <c r="C504">
        <v>0</v>
      </c>
      <c r="D504">
        <v>60</v>
      </c>
      <c r="E504">
        <v>50</v>
      </c>
      <c r="F504">
        <v>8</v>
      </c>
      <c r="G504">
        <v>48.701228080723098</v>
      </c>
      <c r="M504" t="str">
        <f t="shared" si="50"/>
        <v>Pass</v>
      </c>
      <c r="N504">
        <f t="shared" si="51"/>
        <v>5.9361182636052945E-11</v>
      </c>
      <c r="O504">
        <v>20</v>
      </c>
      <c r="P504">
        <v>70</v>
      </c>
      <c r="Q504">
        <v>3</v>
      </c>
      <c r="R504" t="b">
        <v>1</v>
      </c>
      <c r="S504">
        <v>5.9361191974237594E-11</v>
      </c>
      <c r="Y504" t="str">
        <f t="shared" si="52"/>
        <v>Pass</v>
      </c>
      <c r="Z504">
        <f t="shared" si="53"/>
        <v>62677.7265625</v>
      </c>
      <c r="AA504">
        <v>7600</v>
      </c>
      <c r="AB504">
        <v>20</v>
      </c>
      <c r="AC504">
        <v>8</v>
      </c>
      <c r="AD504">
        <v>0.2</v>
      </c>
      <c r="AE504">
        <v>62677.726786819701</v>
      </c>
    </row>
    <row r="505" spans="1:31" x14ac:dyDescent="0.3">
      <c r="A505" t="str">
        <f>IF(ISBLANK(B505),"",IF(ROUND(B505,0)=ROUND(G505,0),"Pass","Fail"))</f>
        <v>Pass</v>
      </c>
      <c r="B505">
        <f t="shared" si="49"/>
        <v>31.919998168945313</v>
      </c>
      <c r="C505">
        <v>0</v>
      </c>
      <c r="D505">
        <v>60</v>
      </c>
      <c r="E505">
        <v>50</v>
      </c>
      <c r="F505">
        <v>16</v>
      </c>
      <c r="G505">
        <v>31.919997247101701</v>
      </c>
      <c r="M505" t="str">
        <f t="shared" si="50"/>
        <v>Pass</v>
      </c>
      <c r="N505">
        <f t="shared" si="51"/>
        <v>1.2688957662376765E-9</v>
      </c>
      <c r="O505">
        <v>20</v>
      </c>
      <c r="P505">
        <v>70</v>
      </c>
      <c r="Q505">
        <v>3</v>
      </c>
      <c r="R505" t="b">
        <v>0</v>
      </c>
      <c r="S505">
        <v>1.26889576474561E-9</v>
      </c>
      <c r="Y505" t="str">
        <f t="shared" si="52"/>
        <v>Pass</v>
      </c>
      <c r="Z505">
        <f t="shared" si="53"/>
        <v>67905.0078125</v>
      </c>
      <c r="AA505">
        <v>7600</v>
      </c>
      <c r="AB505">
        <v>20</v>
      </c>
      <c r="AC505">
        <v>10</v>
      </c>
      <c r="AD505">
        <v>0.2</v>
      </c>
      <c r="AE505">
        <v>67905.002423151294</v>
      </c>
    </row>
    <row r="506" spans="1:31" x14ac:dyDescent="0.3">
      <c r="A506" t="str">
        <f>IF(ISBLANK(B506),"",IF(ROUND(B506,0)=ROUND(G506,0),"Pass","Fail"))</f>
        <v>Pass</v>
      </c>
      <c r="B506">
        <f t="shared" si="49"/>
        <v>23.472578048706055</v>
      </c>
      <c r="C506">
        <v>0</v>
      </c>
      <c r="D506">
        <v>60</v>
      </c>
      <c r="E506">
        <v>50</v>
      </c>
      <c r="F506">
        <v>24</v>
      </c>
      <c r="G506">
        <v>23.4725774137362</v>
      </c>
      <c r="M506" t="str">
        <f t="shared" si="50"/>
        <v>Pass</v>
      </c>
      <c r="N506">
        <f t="shared" si="51"/>
        <v>6.1475137480559994E-11</v>
      </c>
      <c r="O506">
        <v>20</v>
      </c>
      <c r="P506">
        <v>70</v>
      </c>
      <c r="Q506">
        <v>3.5</v>
      </c>
      <c r="R506" t="b">
        <v>1</v>
      </c>
      <c r="S506">
        <v>6.1475141104010799E-11</v>
      </c>
      <c r="Y506" t="str">
        <f t="shared" si="52"/>
        <v>Pass</v>
      </c>
      <c r="Z506">
        <f t="shared" si="53"/>
        <v>71408.953125</v>
      </c>
      <c r="AA506">
        <v>7600</v>
      </c>
      <c r="AB506">
        <v>20</v>
      </c>
      <c r="AC506">
        <v>12</v>
      </c>
      <c r="AD506">
        <v>0.2</v>
      </c>
      <c r="AE506">
        <v>71408.950068338105</v>
      </c>
    </row>
    <row r="507" spans="1:31" x14ac:dyDescent="0.3">
      <c r="A507" t="str">
        <f>IF(ISBLANK(B507),"",IF(ROUND(B507,0)=ROUND(G507,0),"Pass","Fail"))</f>
        <v>Pass</v>
      </c>
      <c r="B507">
        <f t="shared" si="49"/>
        <v>19.220273971557617</v>
      </c>
      <c r="C507">
        <v>0</v>
      </c>
      <c r="D507">
        <v>60</v>
      </c>
      <c r="E507">
        <v>50</v>
      </c>
      <c r="F507">
        <v>32</v>
      </c>
      <c r="G507">
        <v>19.220273005994599</v>
      </c>
      <c r="M507" t="str">
        <f t="shared" si="50"/>
        <v>Pass</v>
      </c>
      <c r="N507">
        <f t="shared" si="51"/>
        <v>1.3140831756075499E-9</v>
      </c>
      <c r="O507">
        <v>20</v>
      </c>
      <c r="P507">
        <v>70</v>
      </c>
      <c r="Q507">
        <v>3.5</v>
      </c>
      <c r="R507" t="b">
        <v>0</v>
      </c>
      <c r="S507">
        <v>1.3140832181717699E-9</v>
      </c>
      <c r="Y507" t="str">
        <f t="shared" si="52"/>
        <v>Pass</v>
      </c>
      <c r="Z507">
        <f t="shared" si="53"/>
        <v>73757.7109375</v>
      </c>
      <c r="AA507">
        <v>7600</v>
      </c>
      <c r="AB507">
        <v>20</v>
      </c>
      <c r="AC507">
        <v>14</v>
      </c>
      <c r="AD507">
        <v>0.2</v>
      </c>
      <c r="AE507">
        <v>73757.7164151662</v>
      </c>
    </row>
    <row r="508" spans="1:31" x14ac:dyDescent="0.3">
      <c r="A508" t="str">
        <f>IF(ISBLANK(B508),"",IF(ROUND(B508,0)=ROUND(G508,0),"Pass","Fail"))</f>
        <v>Pass</v>
      </c>
      <c r="B508">
        <f t="shared" si="49"/>
        <v>17.079727172851563</v>
      </c>
      <c r="C508">
        <v>0</v>
      </c>
      <c r="D508">
        <v>60</v>
      </c>
      <c r="E508">
        <v>50</v>
      </c>
      <c r="F508">
        <v>40</v>
      </c>
      <c r="G508">
        <v>17.079726764327098</v>
      </c>
      <c r="M508" t="str">
        <f t="shared" si="50"/>
        <v>Pass</v>
      </c>
      <c r="N508">
        <f t="shared" si="51"/>
        <v>6.3367082414611531E-11</v>
      </c>
      <c r="O508">
        <v>20</v>
      </c>
      <c r="P508">
        <v>70</v>
      </c>
      <c r="Q508">
        <v>4</v>
      </c>
      <c r="R508" t="b">
        <v>1</v>
      </c>
      <c r="S508">
        <v>6.33670816377163E-11</v>
      </c>
      <c r="Y508" t="str">
        <f t="shared" si="52"/>
        <v>Pass</v>
      </c>
      <c r="Z508">
        <f t="shared" si="53"/>
        <v>75332.140625</v>
      </c>
      <c r="AA508">
        <v>7600</v>
      </c>
      <c r="AB508">
        <v>20</v>
      </c>
      <c r="AC508">
        <v>16</v>
      </c>
      <c r="AD508">
        <v>0.2</v>
      </c>
      <c r="AE508">
        <v>75332.141580898999</v>
      </c>
    </row>
    <row r="509" spans="1:31" x14ac:dyDescent="0.3">
      <c r="A509" t="str">
        <f>IF(ISBLANK(B509),"",IF(ROUND(B509,0)=ROUND(G509,0),"Pass","Fail"))</f>
        <v>Pass</v>
      </c>
      <c r="B509">
        <f t="shared" si="49"/>
        <v>16.002208709716797</v>
      </c>
      <c r="C509">
        <v>0</v>
      </c>
      <c r="D509">
        <v>60</v>
      </c>
      <c r="E509">
        <v>50</v>
      </c>
      <c r="F509">
        <v>48</v>
      </c>
      <c r="G509">
        <v>16.002207900819698</v>
      </c>
      <c r="M509" t="str">
        <f t="shared" si="50"/>
        <v>Pass</v>
      </c>
      <c r="N509">
        <f t="shared" si="51"/>
        <v>1.3545250476809656E-9</v>
      </c>
      <c r="O509">
        <v>20</v>
      </c>
      <c r="P509">
        <v>70</v>
      </c>
      <c r="Q509">
        <v>4</v>
      </c>
      <c r="R509" t="b">
        <v>0</v>
      </c>
      <c r="S509">
        <v>1.35452504978814E-9</v>
      </c>
      <c r="Y509" t="str">
        <f t="shared" si="52"/>
        <v>Pass</v>
      </c>
      <c r="Z509">
        <f t="shared" si="53"/>
        <v>76387.515625</v>
      </c>
      <c r="AA509">
        <v>7600</v>
      </c>
      <c r="AB509">
        <v>20</v>
      </c>
      <c r="AC509">
        <v>18</v>
      </c>
      <c r="AD509">
        <v>0.2</v>
      </c>
      <c r="AE509">
        <v>76387.510330472607</v>
      </c>
    </row>
    <row r="510" spans="1:31" x14ac:dyDescent="0.3">
      <c r="A510" t="str">
        <f>IF(ISBLANK(B510),"",IF(ROUND(B510,0)=ROUND(G510,0),"Pass","Fail"))</f>
        <v>Pass</v>
      </c>
      <c r="B510">
        <f t="shared" si="49"/>
        <v>82.038002014160156</v>
      </c>
      <c r="C510">
        <v>0</v>
      </c>
      <c r="D510">
        <v>60</v>
      </c>
      <c r="E510">
        <v>60</v>
      </c>
      <c r="F510">
        <v>0</v>
      </c>
      <c r="G510">
        <v>82.037999999999997</v>
      </c>
      <c r="M510" t="str">
        <f t="shared" si="50"/>
        <v>Pass</v>
      </c>
      <c r="N510">
        <f t="shared" si="51"/>
        <v>0</v>
      </c>
      <c r="O510">
        <v>20</v>
      </c>
      <c r="P510">
        <v>80</v>
      </c>
      <c r="Q510">
        <v>0</v>
      </c>
      <c r="R510" t="b">
        <v>1</v>
      </c>
      <c r="S510">
        <v>0</v>
      </c>
      <c r="Y510" t="str">
        <f t="shared" si="52"/>
        <v>Pass</v>
      </c>
      <c r="Z510">
        <f t="shared" si="53"/>
        <v>77094.953125</v>
      </c>
      <c r="AA510">
        <v>7600</v>
      </c>
      <c r="AB510">
        <v>20</v>
      </c>
      <c r="AC510">
        <v>20</v>
      </c>
      <c r="AD510">
        <v>0.2</v>
      </c>
      <c r="AE510">
        <v>77094.945159271403</v>
      </c>
    </row>
    <row r="511" spans="1:31" x14ac:dyDescent="0.3">
      <c r="A511" t="str">
        <f>IF(ISBLANK(B511),"",IF(ROUND(B511,0)=ROUND(G511,0),"Pass","Fail"))</f>
        <v>Pass</v>
      </c>
      <c r="B511">
        <f t="shared" si="49"/>
        <v>48.701229095458984</v>
      </c>
      <c r="C511">
        <v>0</v>
      </c>
      <c r="D511">
        <v>60</v>
      </c>
      <c r="E511">
        <v>60</v>
      </c>
      <c r="F511">
        <v>8</v>
      </c>
      <c r="G511">
        <v>48.701228080723098</v>
      </c>
      <c r="M511" t="str">
        <f t="shared" si="50"/>
        <v>Pass</v>
      </c>
      <c r="N511">
        <f t="shared" si="51"/>
        <v>0</v>
      </c>
      <c r="O511">
        <v>20</v>
      </c>
      <c r="P511">
        <v>80</v>
      </c>
      <c r="Q511">
        <v>0</v>
      </c>
      <c r="R511" t="b">
        <v>0</v>
      </c>
      <c r="S511">
        <v>0</v>
      </c>
      <c r="Y511" t="str">
        <f t="shared" si="52"/>
        <v>Pass</v>
      </c>
      <c r="Z511">
        <f t="shared" si="53"/>
        <v>77569.15625</v>
      </c>
      <c r="AA511">
        <v>7600</v>
      </c>
      <c r="AB511">
        <v>20</v>
      </c>
      <c r="AC511">
        <v>22</v>
      </c>
      <c r="AD511">
        <v>0.2</v>
      </c>
      <c r="AE511">
        <v>77569.152906279007</v>
      </c>
    </row>
    <row r="512" spans="1:31" x14ac:dyDescent="0.3">
      <c r="A512" t="str">
        <f>IF(ISBLANK(B512),"",IF(ROUND(B512,0)=ROUND(G512,0),"Pass","Fail"))</f>
        <v>Pass</v>
      </c>
      <c r="B512">
        <f t="shared" si="49"/>
        <v>31.919998168945313</v>
      </c>
      <c r="C512">
        <v>0</v>
      </c>
      <c r="D512">
        <v>60</v>
      </c>
      <c r="E512">
        <v>60</v>
      </c>
      <c r="F512">
        <v>16</v>
      </c>
      <c r="G512">
        <v>31.919997247101701</v>
      </c>
      <c r="M512" t="str">
        <f t="shared" si="50"/>
        <v>Pass</v>
      </c>
      <c r="N512">
        <f t="shared" si="51"/>
        <v>7.2390959329413085E-13</v>
      </c>
      <c r="O512">
        <v>20</v>
      </c>
      <c r="P512">
        <v>80</v>
      </c>
      <c r="Q512">
        <v>0.5</v>
      </c>
      <c r="R512" t="b">
        <v>1</v>
      </c>
      <c r="S512">
        <v>7.2390962600610798E-13</v>
      </c>
      <c r="Y512" t="str">
        <f t="shared" si="52"/>
        <v>Pass</v>
      </c>
      <c r="Z512">
        <f t="shared" si="53"/>
        <v>77887.03125</v>
      </c>
      <c r="AA512">
        <v>7600</v>
      </c>
      <c r="AB512">
        <v>20</v>
      </c>
      <c r="AC512">
        <v>24</v>
      </c>
      <c r="AD512">
        <v>0.2</v>
      </c>
      <c r="AE512">
        <v>77887.023865083596</v>
      </c>
    </row>
    <row r="513" spans="1:31" x14ac:dyDescent="0.3">
      <c r="A513" t="str">
        <f>IF(ISBLANK(B513),"",IF(ROUND(B513,0)=ROUND(G513,0),"Pass","Fail"))</f>
        <v>Pass</v>
      </c>
      <c r="B513">
        <f t="shared" si="49"/>
        <v>23.472578048706055</v>
      </c>
      <c r="C513">
        <v>0</v>
      </c>
      <c r="D513">
        <v>60</v>
      </c>
      <c r="E513">
        <v>60</v>
      </c>
      <c r="F513">
        <v>24</v>
      </c>
      <c r="G513">
        <v>23.4725774137362</v>
      </c>
      <c r="M513" t="str">
        <f t="shared" si="50"/>
        <v>Pass</v>
      </c>
      <c r="N513">
        <f t="shared" si="51"/>
        <v>1.5474180964369921E-11</v>
      </c>
      <c r="O513">
        <v>20</v>
      </c>
      <c r="P513">
        <v>80</v>
      </c>
      <c r="Q513">
        <v>0.5</v>
      </c>
      <c r="R513" t="b">
        <v>0</v>
      </c>
      <c r="S513">
        <v>1.5474181497170499E-11</v>
      </c>
      <c r="Y513" t="str">
        <f t="shared" si="52"/>
        <v>Pass</v>
      </c>
      <c r="Z513">
        <f t="shared" si="53"/>
        <v>0</v>
      </c>
      <c r="AA513">
        <v>7800</v>
      </c>
      <c r="AB513">
        <v>20</v>
      </c>
      <c r="AC513">
        <v>0</v>
      </c>
      <c r="AD513">
        <v>0.2</v>
      </c>
      <c r="AE513">
        <v>0</v>
      </c>
    </row>
    <row r="514" spans="1:31" x14ac:dyDescent="0.3">
      <c r="A514" t="str">
        <f>IF(ISBLANK(B514),"",IF(ROUND(B514,0)=ROUND(G514,0),"Pass","Fail"))</f>
        <v>Pass</v>
      </c>
      <c r="B514">
        <f t="shared" si="49"/>
        <v>19.220273971557617</v>
      </c>
      <c r="C514">
        <v>0</v>
      </c>
      <c r="D514">
        <v>60</v>
      </c>
      <c r="E514">
        <v>60</v>
      </c>
      <c r="F514">
        <v>32</v>
      </c>
      <c r="G514">
        <v>19.220273005994599</v>
      </c>
      <c r="M514" t="str">
        <f t="shared" si="50"/>
        <v>Pass</v>
      </c>
      <c r="N514">
        <f t="shared" si="51"/>
        <v>8.4726285232497589E-13</v>
      </c>
      <c r="O514">
        <v>20</v>
      </c>
      <c r="P514">
        <v>80</v>
      </c>
      <c r="Q514">
        <v>1</v>
      </c>
      <c r="R514" t="b">
        <v>1</v>
      </c>
      <c r="S514">
        <v>8.4726284282792696E-13</v>
      </c>
      <c r="Y514" t="str">
        <f t="shared" si="52"/>
        <v>Pass</v>
      </c>
      <c r="Z514">
        <f t="shared" si="53"/>
        <v>26572.203125</v>
      </c>
      <c r="AA514">
        <v>7800</v>
      </c>
      <c r="AB514">
        <v>20</v>
      </c>
      <c r="AC514">
        <v>2</v>
      </c>
      <c r="AD514">
        <v>0.2</v>
      </c>
      <c r="AE514">
        <v>26572.204289527399</v>
      </c>
    </row>
    <row r="515" spans="1:31" x14ac:dyDescent="0.3">
      <c r="A515" t="str">
        <f>IF(ISBLANK(B515),"",IF(ROUND(B515,0)=ROUND(G515,0),"Pass","Fail"))</f>
        <v>Pass</v>
      </c>
      <c r="B515">
        <f t="shared" si="49"/>
        <v>17.079727172851563</v>
      </c>
      <c r="C515">
        <v>0</v>
      </c>
      <c r="D515">
        <v>60</v>
      </c>
      <c r="E515">
        <v>60</v>
      </c>
      <c r="F515">
        <v>40</v>
      </c>
      <c r="G515">
        <v>17.079726764327098</v>
      </c>
      <c r="M515" t="str">
        <f t="shared" si="50"/>
        <v>Pass</v>
      </c>
      <c r="N515">
        <f t="shared" si="51"/>
        <v>1.8110960647854668E-11</v>
      </c>
      <c r="O515">
        <v>20</v>
      </c>
      <c r="P515">
        <v>80</v>
      </c>
      <c r="Q515">
        <v>1</v>
      </c>
      <c r="R515" t="b">
        <v>0</v>
      </c>
      <c r="S515">
        <v>1.8110961002219498E-11</v>
      </c>
      <c r="Y515" t="str">
        <f t="shared" si="52"/>
        <v>Pass</v>
      </c>
      <c r="Z515">
        <f t="shared" si="53"/>
        <v>44384.0859375</v>
      </c>
      <c r="AA515">
        <v>7800</v>
      </c>
      <c r="AB515">
        <v>20</v>
      </c>
      <c r="AC515">
        <v>4</v>
      </c>
      <c r="AD515">
        <v>0.2</v>
      </c>
      <c r="AE515">
        <v>44384.085492151899</v>
      </c>
    </row>
    <row r="516" spans="1:31" x14ac:dyDescent="0.3">
      <c r="A516" t="str">
        <f>IF(ISBLANK(B516),"",IF(ROUND(B516,0)=ROUND(G516,0),"Pass","Fail"))</f>
        <v>Pass</v>
      </c>
      <c r="B516">
        <f t="shared" si="49"/>
        <v>16.002208709716797</v>
      </c>
      <c r="C516">
        <v>0</v>
      </c>
      <c r="D516">
        <v>60</v>
      </c>
      <c r="E516">
        <v>60</v>
      </c>
      <c r="F516">
        <v>48</v>
      </c>
      <c r="G516">
        <v>16.002207900819698</v>
      </c>
      <c r="M516" t="str">
        <f t="shared" si="50"/>
        <v>Pass</v>
      </c>
      <c r="N516">
        <f t="shared" si="51"/>
        <v>9.2894680663035967E-13</v>
      </c>
      <c r="O516">
        <v>20</v>
      </c>
      <c r="P516">
        <v>80</v>
      </c>
      <c r="Q516">
        <v>1.5</v>
      </c>
      <c r="R516" t="b">
        <v>1</v>
      </c>
      <c r="S516">
        <v>9.2894687140513002E-13</v>
      </c>
      <c r="Y516" t="str">
        <f t="shared" si="52"/>
        <v>Pass</v>
      </c>
      <c r="Z516">
        <f t="shared" si="53"/>
        <v>56323.75</v>
      </c>
      <c r="AA516">
        <v>7800</v>
      </c>
      <c r="AB516">
        <v>20</v>
      </c>
      <c r="AC516">
        <v>6</v>
      </c>
      <c r="AD516">
        <v>0.2</v>
      </c>
      <c r="AE516">
        <v>56323.746519876498</v>
      </c>
    </row>
    <row r="517" spans="1:31" x14ac:dyDescent="0.3">
      <c r="A517" t="str">
        <f>IF(ISBLANK(B517),"",IF(ROUND(B517,0)=ROUND(G517,0),"Pass","Fail"))</f>
        <v>Pass</v>
      </c>
      <c r="B517">
        <f t="shared" si="49"/>
        <v>82.038002014160156</v>
      </c>
      <c r="C517">
        <v>0</v>
      </c>
      <c r="D517">
        <v>60</v>
      </c>
      <c r="E517">
        <v>70</v>
      </c>
      <c r="F517">
        <v>0</v>
      </c>
      <c r="G517">
        <v>82.037999999999997</v>
      </c>
      <c r="M517" t="str">
        <f t="shared" si="50"/>
        <v>Pass</v>
      </c>
      <c r="N517">
        <f t="shared" si="51"/>
        <v>1.9857025745917412E-11</v>
      </c>
      <c r="O517">
        <v>20</v>
      </c>
      <c r="P517">
        <v>80</v>
      </c>
      <c r="Q517">
        <v>1.5</v>
      </c>
      <c r="R517" t="b">
        <v>0</v>
      </c>
      <c r="S517">
        <v>1.9857026309566401E-11</v>
      </c>
      <c r="Y517" t="str">
        <f t="shared" si="52"/>
        <v>Pass</v>
      </c>
      <c r="Z517">
        <f t="shared" si="53"/>
        <v>64327.140625</v>
      </c>
      <c r="AA517">
        <v>7800</v>
      </c>
      <c r="AB517">
        <v>20</v>
      </c>
      <c r="AC517">
        <v>8</v>
      </c>
      <c r="AD517">
        <v>0.2</v>
      </c>
      <c r="AE517">
        <v>64327.140649630703</v>
      </c>
    </row>
    <row r="518" spans="1:31" x14ac:dyDescent="0.3">
      <c r="A518" t="str">
        <f>IF(ISBLANK(B518),"",IF(ROUND(B518,0)=ROUND(G518,0),"Pass","Fail"))</f>
        <v>Pass</v>
      </c>
      <c r="B518">
        <f t="shared" si="49"/>
        <v>48.701229095458984</v>
      </c>
      <c r="C518">
        <v>0</v>
      </c>
      <c r="D518">
        <v>60</v>
      </c>
      <c r="E518">
        <v>70</v>
      </c>
      <c r="F518">
        <v>8</v>
      </c>
      <c r="G518">
        <v>48.701228080723098</v>
      </c>
      <c r="M518" t="str">
        <f t="shared" si="50"/>
        <v>Pass</v>
      </c>
      <c r="N518">
        <f t="shared" si="51"/>
        <v>9.9163515940303704E-13</v>
      </c>
      <c r="O518">
        <v>20</v>
      </c>
      <c r="P518">
        <v>80</v>
      </c>
      <c r="Q518">
        <v>2</v>
      </c>
      <c r="R518" t="b">
        <v>1</v>
      </c>
      <c r="S518">
        <v>9.9163528021770496E-13</v>
      </c>
      <c r="Y518" t="str">
        <f t="shared" si="52"/>
        <v>Pass</v>
      </c>
      <c r="Z518">
        <f t="shared" si="53"/>
        <v>69691.9765625</v>
      </c>
      <c r="AA518">
        <v>7800</v>
      </c>
      <c r="AB518">
        <v>20</v>
      </c>
      <c r="AC518">
        <v>10</v>
      </c>
      <c r="AD518">
        <v>0.2</v>
      </c>
      <c r="AE518">
        <v>69691.976171129005</v>
      </c>
    </row>
    <row r="519" spans="1:31" x14ac:dyDescent="0.3">
      <c r="A519" t="str">
        <f>IF(ISBLANK(B519),"",IF(ROUND(B519,0)=ROUND(G519,0),"Pass","Fail"))</f>
        <v>Pass</v>
      </c>
      <c r="B519">
        <f t="shared" ref="B519:B582" si="54">FMC_heath(C519,D519,E519,F519)</f>
        <v>31.919998168945313</v>
      </c>
      <c r="C519">
        <v>0</v>
      </c>
      <c r="D519">
        <v>60</v>
      </c>
      <c r="E519">
        <v>70</v>
      </c>
      <c r="F519">
        <v>16</v>
      </c>
      <c r="G519">
        <v>31.919997247101701</v>
      </c>
      <c r="M519" t="str">
        <f t="shared" ref="M519:M582" si="55">IF(ISBLANK(N519),"",IF(ROUND(N519,0)=ROUND(S519,0),"Pass","Fail"))</f>
        <v>Pass</v>
      </c>
      <c r="N519">
        <f t="shared" ref="N519:N582" si="56">ROS_heath(O519,Q519,P519,R519)</f>
        <v>2.1197042385234788E-11</v>
      </c>
      <c r="O519">
        <v>20</v>
      </c>
      <c r="P519">
        <v>80</v>
      </c>
      <c r="Q519">
        <v>2</v>
      </c>
      <c r="R519" t="b">
        <v>0</v>
      </c>
      <c r="S519">
        <v>2.1197044152797001E-11</v>
      </c>
      <c r="Y519" t="str">
        <f t="shared" ref="Y519:Y582" si="57">IF(ISBLANK(Z519),"",IF(ROUND(Z519,0)=ROUND(AE519,0),"Pass","Fail"))</f>
        <v>Pass</v>
      </c>
      <c r="Z519">
        <f t="shared" ref="Z519:Z582" si="58">intensity_heath(AA519,AB519,AC519,AD519)</f>
        <v>73288.1328125</v>
      </c>
      <c r="AA519">
        <v>7800</v>
      </c>
      <c r="AB519">
        <v>20</v>
      </c>
      <c r="AC519">
        <v>12</v>
      </c>
      <c r="AD519">
        <v>0.2</v>
      </c>
      <c r="AE519">
        <v>73288.132964873294</v>
      </c>
    </row>
    <row r="520" spans="1:31" x14ac:dyDescent="0.3">
      <c r="A520" t="str">
        <f>IF(ISBLANK(B520),"",IF(ROUND(B520,0)=ROUND(G520,0),"Pass","Fail"))</f>
        <v>Pass</v>
      </c>
      <c r="B520">
        <f t="shared" si="54"/>
        <v>23.472578048706055</v>
      </c>
      <c r="C520">
        <v>0</v>
      </c>
      <c r="D520">
        <v>60</v>
      </c>
      <c r="E520">
        <v>70</v>
      </c>
      <c r="F520">
        <v>24</v>
      </c>
      <c r="G520">
        <v>23.4725774137362</v>
      </c>
      <c r="M520" t="str">
        <f t="shared" si="55"/>
        <v>Pass</v>
      </c>
      <c r="N520">
        <f t="shared" si="56"/>
        <v>1.0431589403045449E-12</v>
      </c>
      <c r="O520">
        <v>20</v>
      </c>
      <c r="P520">
        <v>80</v>
      </c>
      <c r="Q520">
        <v>2.5</v>
      </c>
      <c r="R520" t="b">
        <v>1</v>
      </c>
      <c r="S520">
        <v>1.04315907980754E-12</v>
      </c>
      <c r="Y520" t="str">
        <f t="shared" si="57"/>
        <v>Pass</v>
      </c>
      <c r="Z520">
        <f t="shared" si="58"/>
        <v>75698.703125</v>
      </c>
      <c r="AA520">
        <v>7800</v>
      </c>
      <c r="AB520">
        <v>20</v>
      </c>
      <c r="AC520">
        <v>14</v>
      </c>
      <c r="AD520">
        <v>0.2</v>
      </c>
      <c r="AE520">
        <v>75698.708952407396</v>
      </c>
    </row>
    <row r="521" spans="1:31" x14ac:dyDescent="0.3">
      <c r="A521" t="str">
        <f>IF(ISBLANK(B521),"",IF(ROUND(B521,0)=ROUND(G521,0),"Pass","Fail"))</f>
        <v>Pass</v>
      </c>
      <c r="B521">
        <f t="shared" si="54"/>
        <v>19.220273971557617</v>
      </c>
      <c r="C521">
        <v>0</v>
      </c>
      <c r="D521">
        <v>60</v>
      </c>
      <c r="E521">
        <v>70</v>
      </c>
      <c r="F521">
        <v>32</v>
      </c>
      <c r="G521">
        <v>19.220273005994599</v>
      </c>
      <c r="M521" t="str">
        <f t="shared" si="55"/>
        <v>Pass</v>
      </c>
      <c r="N521">
        <f t="shared" si="56"/>
        <v>2.2298409646515083E-11</v>
      </c>
      <c r="O521">
        <v>20</v>
      </c>
      <c r="P521">
        <v>80</v>
      </c>
      <c r="Q521">
        <v>2.5</v>
      </c>
      <c r="R521" t="b">
        <v>0</v>
      </c>
      <c r="S521">
        <v>2.22984090160822E-11</v>
      </c>
      <c r="Y521" t="str">
        <f t="shared" si="57"/>
        <v>Pass</v>
      </c>
      <c r="Z521">
        <f t="shared" si="58"/>
        <v>77314.5625</v>
      </c>
      <c r="AA521">
        <v>7800</v>
      </c>
      <c r="AB521">
        <v>20</v>
      </c>
      <c r="AC521">
        <v>16</v>
      </c>
      <c r="AD521">
        <v>0.2</v>
      </c>
      <c r="AE521">
        <v>77314.566359343604</v>
      </c>
    </row>
    <row r="522" spans="1:31" x14ac:dyDescent="0.3">
      <c r="A522" t="str">
        <f>IF(ISBLANK(B522),"",IF(ROUND(B522,0)=ROUND(G522,0),"Pass","Fail"))</f>
        <v>Pass</v>
      </c>
      <c r="B522">
        <f t="shared" si="54"/>
        <v>17.079727172851563</v>
      </c>
      <c r="C522">
        <v>0</v>
      </c>
      <c r="D522">
        <v>60</v>
      </c>
      <c r="E522">
        <v>70</v>
      </c>
      <c r="F522">
        <v>40</v>
      </c>
      <c r="G522">
        <v>17.079726764327098</v>
      </c>
      <c r="M522" t="str">
        <f t="shared" si="55"/>
        <v>Pass</v>
      </c>
      <c r="N522">
        <f t="shared" si="56"/>
        <v>1.0872380469886811E-12</v>
      </c>
      <c r="O522">
        <v>20</v>
      </c>
      <c r="P522">
        <v>80</v>
      </c>
      <c r="Q522">
        <v>3</v>
      </c>
      <c r="R522" t="b">
        <v>1</v>
      </c>
      <c r="S522">
        <v>1.0872381562946301E-12</v>
      </c>
      <c r="Y522" t="str">
        <f t="shared" si="57"/>
        <v>Pass</v>
      </c>
      <c r="Z522">
        <f t="shared" si="58"/>
        <v>78397.7109375</v>
      </c>
      <c r="AA522">
        <v>7800</v>
      </c>
      <c r="AB522">
        <v>20</v>
      </c>
      <c r="AC522">
        <v>18</v>
      </c>
      <c r="AD522">
        <v>0.2</v>
      </c>
      <c r="AE522">
        <v>78397.707970748204</v>
      </c>
    </row>
    <row r="523" spans="1:31" x14ac:dyDescent="0.3">
      <c r="A523" t="str">
        <f>IF(ISBLANK(B523),"",IF(ROUND(B523,0)=ROUND(G523,0),"Pass","Fail"))</f>
        <v>Pass</v>
      </c>
      <c r="B523">
        <f t="shared" si="54"/>
        <v>16.002208709716797</v>
      </c>
      <c r="C523">
        <v>0</v>
      </c>
      <c r="D523">
        <v>60</v>
      </c>
      <c r="E523">
        <v>70</v>
      </c>
      <c r="F523">
        <v>48</v>
      </c>
      <c r="G523">
        <v>16.002207900819698</v>
      </c>
      <c r="M523" t="str">
        <f t="shared" si="55"/>
        <v>Pass</v>
      </c>
      <c r="N523">
        <f t="shared" si="56"/>
        <v>2.3240636845556217E-11</v>
      </c>
      <c r="O523">
        <v>20</v>
      </c>
      <c r="P523">
        <v>80</v>
      </c>
      <c r="Q523">
        <v>3</v>
      </c>
      <c r="R523" t="b">
        <v>0</v>
      </c>
      <c r="S523">
        <v>2.3240636616441699E-11</v>
      </c>
      <c r="Y523" t="str">
        <f t="shared" si="57"/>
        <v>Pass</v>
      </c>
      <c r="Z523">
        <f t="shared" si="58"/>
        <v>79123.765625</v>
      </c>
      <c r="AA523">
        <v>7800</v>
      </c>
      <c r="AB523">
        <v>20</v>
      </c>
      <c r="AC523">
        <v>20</v>
      </c>
      <c r="AD523">
        <v>0.2</v>
      </c>
      <c r="AE523">
        <v>79123.759505567999</v>
      </c>
    </row>
    <row r="524" spans="1:31" x14ac:dyDescent="0.3">
      <c r="A524" t="str">
        <f>IF(ISBLANK(B524),"",IF(ROUND(B524,0)=ROUND(G524,0),"Pass","Fail"))</f>
        <v>Pass</v>
      </c>
      <c r="B524">
        <f t="shared" si="54"/>
        <v>82.038002014160156</v>
      </c>
      <c r="C524">
        <v>0</v>
      </c>
      <c r="D524">
        <v>60</v>
      </c>
      <c r="E524">
        <v>80</v>
      </c>
      <c r="F524">
        <v>0</v>
      </c>
      <c r="G524">
        <v>82.037999999999997</v>
      </c>
      <c r="M524" t="str">
        <f t="shared" si="55"/>
        <v>Pass</v>
      </c>
      <c r="N524">
        <f t="shared" si="56"/>
        <v>1.1259564244511799E-12</v>
      </c>
      <c r="O524">
        <v>20</v>
      </c>
      <c r="P524">
        <v>80</v>
      </c>
      <c r="Q524">
        <v>3.5</v>
      </c>
      <c r="R524" t="b">
        <v>1</v>
      </c>
      <c r="S524">
        <v>1.12595648518791E-12</v>
      </c>
      <c r="Y524" t="str">
        <f t="shared" si="57"/>
        <v>Pass</v>
      </c>
      <c r="Z524">
        <f t="shared" si="58"/>
        <v>79610.453125</v>
      </c>
      <c r="AA524">
        <v>7800</v>
      </c>
      <c r="AB524">
        <v>20</v>
      </c>
      <c r="AC524">
        <v>22</v>
      </c>
      <c r="AD524">
        <v>0.2</v>
      </c>
      <c r="AE524">
        <v>79610.446403812603</v>
      </c>
    </row>
    <row r="525" spans="1:31" x14ac:dyDescent="0.3">
      <c r="A525" t="str">
        <f>IF(ISBLANK(B525),"",IF(ROUND(B525,0)=ROUND(G525,0),"Pass","Fail"))</f>
        <v>Pass</v>
      </c>
      <c r="B525">
        <f t="shared" si="54"/>
        <v>48.701229095458984</v>
      </c>
      <c r="C525">
        <v>0</v>
      </c>
      <c r="D525">
        <v>60</v>
      </c>
      <c r="E525">
        <v>80</v>
      </c>
      <c r="F525">
        <v>8</v>
      </c>
      <c r="G525">
        <v>48.701228080723098</v>
      </c>
      <c r="M525" t="str">
        <f t="shared" si="55"/>
        <v>Pass</v>
      </c>
      <c r="N525">
        <f t="shared" si="56"/>
        <v>2.4068273415944752E-11</v>
      </c>
      <c r="O525">
        <v>20</v>
      </c>
      <c r="P525">
        <v>80</v>
      </c>
      <c r="Q525">
        <v>3.5</v>
      </c>
      <c r="R525" t="b">
        <v>0</v>
      </c>
      <c r="S525">
        <v>2.4068273695764899E-11</v>
      </c>
      <c r="Y525" t="str">
        <f t="shared" si="57"/>
        <v>Pass</v>
      </c>
      <c r="Z525">
        <f t="shared" si="58"/>
        <v>79936.6875</v>
      </c>
      <c r="AA525">
        <v>7800</v>
      </c>
      <c r="AB525">
        <v>20</v>
      </c>
      <c r="AC525">
        <v>24</v>
      </c>
      <c r="AD525">
        <v>0.2</v>
      </c>
      <c r="AE525">
        <v>79936.682387848894</v>
      </c>
    </row>
    <row r="526" spans="1:31" x14ac:dyDescent="0.3">
      <c r="A526" t="str">
        <f>IF(ISBLANK(B526),"",IF(ROUND(B526,0)=ROUND(G526,0),"Pass","Fail"))</f>
        <v>Pass</v>
      </c>
      <c r="B526">
        <f t="shared" si="54"/>
        <v>31.919998168945313</v>
      </c>
      <c r="C526">
        <v>0</v>
      </c>
      <c r="D526">
        <v>60</v>
      </c>
      <c r="E526">
        <v>80</v>
      </c>
      <c r="F526">
        <v>16</v>
      </c>
      <c r="G526">
        <v>31.919997247101701</v>
      </c>
      <c r="M526" t="str">
        <f t="shared" si="55"/>
        <v>Pass</v>
      </c>
      <c r="N526">
        <f t="shared" si="56"/>
        <v>1.1606086100859891E-12</v>
      </c>
      <c r="O526">
        <v>20</v>
      </c>
      <c r="P526">
        <v>80</v>
      </c>
      <c r="Q526">
        <v>4</v>
      </c>
      <c r="R526" t="b">
        <v>1</v>
      </c>
      <c r="S526">
        <v>1.16060858480507E-12</v>
      </c>
      <c r="Y526" t="str">
        <f t="shared" si="57"/>
        <v>Pass</v>
      </c>
      <c r="Z526">
        <f t="shared" si="58"/>
        <v>0</v>
      </c>
      <c r="AA526">
        <v>8000</v>
      </c>
      <c r="AB526">
        <v>20</v>
      </c>
      <c r="AC526">
        <v>0</v>
      </c>
      <c r="AD526">
        <v>0.2</v>
      </c>
      <c r="AE526">
        <v>0</v>
      </c>
    </row>
    <row r="527" spans="1:31" x14ac:dyDescent="0.3">
      <c r="A527" t="str">
        <f>IF(ISBLANK(B527),"",IF(ROUND(B527,0)=ROUND(G527,0),"Pass","Fail"))</f>
        <v>Pass</v>
      </c>
      <c r="B527">
        <f t="shared" si="54"/>
        <v>23.472578048706055</v>
      </c>
      <c r="C527">
        <v>0</v>
      </c>
      <c r="D527">
        <v>60</v>
      </c>
      <c r="E527">
        <v>80</v>
      </c>
      <c r="F527">
        <v>24</v>
      </c>
      <c r="G527">
        <v>23.4725774137362</v>
      </c>
      <c r="M527" t="str">
        <f t="shared" si="55"/>
        <v>Pass</v>
      </c>
      <c r="N527">
        <f t="shared" si="56"/>
        <v>2.4808991666569469E-11</v>
      </c>
      <c r="O527">
        <v>20</v>
      </c>
      <c r="P527">
        <v>80</v>
      </c>
      <c r="Q527">
        <v>4</v>
      </c>
      <c r="R527" t="b">
        <v>0</v>
      </c>
      <c r="S527">
        <v>2.48089916797106E-11</v>
      </c>
      <c r="Y527" t="str">
        <f t="shared" si="57"/>
        <v>Pass</v>
      </c>
      <c r="Z527">
        <f t="shared" si="58"/>
        <v>27253.541015625</v>
      </c>
      <c r="AA527">
        <v>8000</v>
      </c>
      <c r="AB527">
        <v>20</v>
      </c>
      <c r="AC527">
        <v>2</v>
      </c>
      <c r="AD527">
        <v>0.2</v>
      </c>
      <c r="AE527">
        <v>27253.5428610538</v>
      </c>
    </row>
    <row r="528" spans="1:31" x14ac:dyDescent="0.3">
      <c r="A528" t="str">
        <f>IF(ISBLANK(B528),"",IF(ROUND(B528,0)=ROUND(G528,0),"Pass","Fail"))</f>
        <v>Pass</v>
      </c>
      <c r="B528">
        <f t="shared" si="54"/>
        <v>19.220273971557617</v>
      </c>
      <c r="C528">
        <v>0</v>
      </c>
      <c r="D528">
        <v>60</v>
      </c>
      <c r="E528">
        <v>80</v>
      </c>
      <c r="F528">
        <v>32</v>
      </c>
      <c r="G528">
        <v>19.220273005994599</v>
      </c>
      <c r="M528" t="str">
        <f t="shared" si="55"/>
        <v>Pass</v>
      </c>
      <c r="N528">
        <f t="shared" si="56"/>
        <v>0</v>
      </c>
      <c r="O528">
        <v>20</v>
      </c>
      <c r="P528">
        <v>90</v>
      </c>
      <c r="Q528">
        <v>0</v>
      </c>
      <c r="R528" t="b">
        <v>1</v>
      </c>
      <c r="S528">
        <v>0</v>
      </c>
      <c r="Y528" t="str">
        <f t="shared" si="57"/>
        <v>Pass</v>
      </c>
      <c r="Z528">
        <f t="shared" si="58"/>
        <v>45522.140625</v>
      </c>
      <c r="AA528">
        <v>8000</v>
      </c>
      <c r="AB528">
        <v>20</v>
      </c>
      <c r="AC528">
        <v>4</v>
      </c>
      <c r="AD528">
        <v>0.2</v>
      </c>
      <c r="AE528">
        <v>45522.138966309598</v>
      </c>
    </row>
    <row r="529" spans="1:31" x14ac:dyDescent="0.3">
      <c r="A529" t="str">
        <f>IF(ISBLANK(B529),"",IF(ROUND(B529,0)=ROUND(G529,0),"Pass","Fail"))</f>
        <v>Pass</v>
      </c>
      <c r="B529">
        <f t="shared" si="54"/>
        <v>17.079727172851563</v>
      </c>
      <c r="C529">
        <v>0</v>
      </c>
      <c r="D529">
        <v>60</v>
      </c>
      <c r="E529">
        <v>80</v>
      </c>
      <c r="F529">
        <v>40</v>
      </c>
      <c r="G529">
        <v>17.079726764327098</v>
      </c>
      <c r="M529" t="str">
        <f t="shared" si="55"/>
        <v>Pass</v>
      </c>
      <c r="N529">
        <f t="shared" si="56"/>
        <v>0</v>
      </c>
      <c r="O529">
        <v>20</v>
      </c>
      <c r="P529">
        <v>90</v>
      </c>
      <c r="Q529">
        <v>0</v>
      </c>
      <c r="R529" t="b">
        <v>0</v>
      </c>
      <c r="S529">
        <v>0</v>
      </c>
      <c r="Y529" t="str">
        <f t="shared" si="57"/>
        <v>Pass</v>
      </c>
      <c r="Z529">
        <f t="shared" si="58"/>
        <v>57767.9453125</v>
      </c>
      <c r="AA529">
        <v>8000</v>
      </c>
      <c r="AB529">
        <v>20</v>
      </c>
      <c r="AC529">
        <v>6</v>
      </c>
      <c r="AD529">
        <v>0.2</v>
      </c>
      <c r="AE529">
        <v>57767.945148591301</v>
      </c>
    </row>
    <row r="530" spans="1:31" x14ac:dyDescent="0.3">
      <c r="A530" t="str">
        <f>IF(ISBLANK(B530),"",IF(ROUND(B530,0)=ROUND(G530,0),"Pass","Fail"))</f>
        <v>Pass</v>
      </c>
      <c r="B530">
        <f t="shared" si="54"/>
        <v>16.002208709716797</v>
      </c>
      <c r="C530">
        <v>0</v>
      </c>
      <c r="D530">
        <v>60</v>
      </c>
      <c r="E530">
        <v>80</v>
      </c>
      <c r="F530">
        <v>48</v>
      </c>
      <c r="G530">
        <v>16.002207900819698</v>
      </c>
      <c r="M530" t="str">
        <f t="shared" si="55"/>
        <v>Pass</v>
      </c>
      <c r="N530">
        <f t="shared" si="56"/>
        <v>1.325886676248637E-14</v>
      </c>
      <c r="O530">
        <v>20</v>
      </c>
      <c r="P530">
        <v>90</v>
      </c>
      <c r="Q530">
        <v>0.5</v>
      </c>
      <c r="R530" t="b">
        <v>1</v>
      </c>
      <c r="S530">
        <v>1.3258867298026499E-14</v>
      </c>
      <c r="Y530" t="str">
        <f t="shared" si="57"/>
        <v>Pass</v>
      </c>
      <c r="Z530">
        <f t="shared" si="58"/>
        <v>65976.5546875</v>
      </c>
      <c r="AA530">
        <v>8000</v>
      </c>
      <c r="AB530">
        <v>20</v>
      </c>
      <c r="AC530">
        <v>8</v>
      </c>
      <c r="AD530">
        <v>0.2</v>
      </c>
      <c r="AE530">
        <v>65976.554512441799</v>
      </c>
    </row>
    <row r="531" spans="1:31" x14ac:dyDescent="0.3">
      <c r="A531" t="str">
        <f>IF(ISBLANK(B531),"",IF(ROUND(B531,0)=ROUND(G531,0),"Pass","Fail"))</f>
        <v>Pass</v>
      </c>
      <c r="B531">
        <f t="shared" si="54"/>
        <v>82.038002014160156</v>
      </c>
      <c r="C531">
        <v>0</v>
      </c>
      <c r="D531">
        <v>60</v>
      </c>
      <c r="E531">
        <v>90</v>
      </c>
      <c r="F531">
        <v>0</v>
      </c>
      <c r="G531">
        <v>82.037999999999997</v>
      </c>
      <c r="M531" t="str">
        <f t="shared" si="55"/>
        <v>Pass</v>
      </c>
      <c r="N531">
        <f t="shared" si="56"/>
        <v>2.8341952808090543E-13</v>
      </c>
      <c r="O531">
        <v>20</v>
      </c>
      <c r="P531">
        <v>90</v>
      </c>
      <c r="Q531">
        <v>0.5</v>
      </c>
      <c r="R531" t="b">
        <v>0</v>
      </c>
      <c r="S531">
        <v>2.8341952040133502E-13</v>
      </c>
      <c r="Y531" t="str">
        <f t="shared" si="57"/>
        <v>Pass</v>
      </c>
      <c r="Z531">
        <f t="shared" si="58"/>
        <v>71478.953125</v>
      </c>
      <c r="AA531">
        <v>8000</v>
      </c>
      <c r="AB531">
        <v>20</v>
      </c>
      <c r="AC531">
        <v>10</v>
      </c>
      <c r="AD531">
        <v>0.2</v>
      </c>
      <c r="AE531">
        <v>71478.949919106599</v>
      </c>
    </row>
    <row r="532" spans="1:31" x14ac:dyDescent="0.3">
      <c r="A532" t="str">
        <f>IF(ISBLANK(B532),"",IF(ROUND(B532,0)=ROUND(G532,0),"Pass","Fail"))</f>
        <v>Pass</v>
      </c>
      <c r="B532">
        <f t="shared" si="54"/>
        <v>48.701229095458984</v>
      </c>
      <c r="C532">
        <v>0</v>
      </c>
      <c r="D532">
        <v>60</v>
      </c>
      <c r="E532">
        <v>90</v>
      </c>
      <c r="F532">
        <v>8</v>
      </c>
      <c r="G532">
        <v>48.701228080723098</v>
      </c>
      <c r="M532" t="str">
        <f t="shared" si="55"/>
        <v>Pass</v>
      </c>
      <c r="N532">
        <f t="shared" si="56"/>
        <v>1.5518160283796607E-14</v>
      </c>
      <c r="O532">
        <v>20</v>
      </c>
      <c r="P532">
        <v>90</v>
      </c>
      <c r="Q532">
        <v>1</v>
      </c>
      <c r="R532" t="b">
        <v>1</v>
      </c>
      <c r="S532">
        <v>1.5518160273102099E-14</v>
      </c>
      <c r="Y532" t="str">
        <f t="shared" si="57"/>
        <v>Pass</v>
      </c>
      <c r="Z532">
        <f t="shared" si="58"/>
        <v>75167.3203125</v>
      </c>
      <c r="AA532">
        <v>8000</v>
      </c>
      <c r="AB532">
        <v>20</v>
      </c>
      <c r="AC532">
        <v>12</v>
      </c>
      <c r="AD532">
        <v>0.2</v>
      </c>
      <c r="AE532">
        <v>75167.315861408497</v>
      </c>
    </row>
    <row r="533" spans="1:31" x14ac:dyDescent="0.3">
      <c r="A533" t="str">
        <f>IF(ISBLANK(B533),"",IF(ROUND(B533,0)=ROUND(G533,0),"Pass","Fail"))</f>
        <v>Pass</v>
      </c>
      <c r="B533">
        <f t="shared" si="54"/>
        <v>31.919998168945313</v>
      </c>
      <c r="C533">
        <v>0</v>
      </c>
      <c r="D533">
        <v>60</v>
      </c>
      <c r="E533">
        <v>90</v>
      </c>
      <c r="F533">
        <v>16</v>
      </c>
      <c r="G533">
        <v>31.919997247101701</v>
      </c>
      <c r="M533" t="str">
        <f t="shared" si="55"/>
        <v>Pass</v>
      </c>
      <c r="N533">
        <f t="shared" si="56"/>
        <v>3.3171382307628505E-13</v>
      </c>
      <c r="O533">
        <v>20</v>
      </c>
      <c r="P533">
        <v>90</v>
      </c>
      <c r="Q533">
        <v>1</v>
      </c>
      <c r="R533" t="b">
        <v>0</v>
      </c>
      <c r="S533">
        <v>3.3171382164510199E-13</v>
      </c>
      <c r="Y533" t="str">
        <f t="shared" si="57"/>
        <v>Pass</v>
      </c>
      <c r="Z533">
        <f t="shared" si="58"/>
        <v>77639.6953125</v>
      </c>
      <c r="AA533">
        <v>8000</v>
      </c>
      <c r="AB533">
        <v>20</v>
      </c>
      <c r="AC533">
        <v>14</v>
      </c>
      <c r="AD533">
        <v>0.2</v>
      </c>
      <c r="AE533">
        <v>77639.701489648607</v>
      </c>
    </row>
    <row r="534" spans="1:31" x14ac:dyDescent="0.3">
      <c r="A534" t="str">
        <f>IF(ISBLANK(B534),"",IF(ROUND(B534,0)=ROUND(G534,0),"Pass","Fail"))</f>
        <v>Pass</v>
      </c>
      <c r="B534">
        <f t="shared" si="54"/>
        <v>23.472578048706055</v>
      </c>
      <c r="C534">
        <v>0</v>
      </c>
      <c r="D534">
        <v>60</v>
      </c>
      <c r="E534">
        <v>90</v>
      </c>
      <c r="F534">
        <v>24</v>
      </c>
      <c r="G534">
        <v>23.4725774137362</v>
      </c>
      <c r="M534" t="str">
        <f t="shared" si="55"/>
        <v>Pass</v>
      </c>
      <c r="N534">
        <f t="shared" si="56"/>
        <v>1.7014254249741144E-14</v>
      </c>
      <c r="O534">
        <v>20</v>
      </c>
      <c r="P534">
        <v>90</v>
      </c>
      <c r="Q534">
        <v>1.5</v>
      </c>
      <c r="R534" t="b">
        <v>1</v>
      </c>
      <c r="S534">
        <v>1.7014255443501399E-14</v>
      </c>
      <c r="Y534" t="str">
        <f t="shared" si="57"/>
        <v>Pass</v>
      </c>
      <c r="Z534">
        <f t="shared" si="58"/>
        <v>79296.984375</v>
      </c>
      <c r="AA534">
        <v>8000</v>
      </c>
      <c r="AB534">
        <v>20</v>
      </c>
      <c r="AC534">
        <v>16</v>
      </c>
      <c r="AD534">
        <v>0.2</v>
      </c>
      <c r="AE534">
        <v>79296.991137788398</v>
      </c>
    </row>
    <row r="535" spans="1:31" x14ac:dyDescent="0.3">
      <c r="A535" t="str">
        <f>IF(ISBLANK(B535),"",IF(ROUND(B535,0)=ROUND(G535,0),"Pass","Fail"))</f>
        <v>Pass</v>
      </c>
      <c r="B535">
        <f t="shared" si="54"/>
        <v>19.220273971557617</v>
      </c>
      <c r="C535">
        <v>0</v>
      </c>
      <c r="D535">
        <v>60</v>
      </c>
      <c r="E535">
        <v>90</v>
      </c>
      <c r="F535">
        <v>32</v>
      </c>
      <c r="G535">
        <v>19.220273005994599</v>
      </c>
      <c r="M535" t="str">
        <f t="shared" si="55"/>
        <v>Pass</v>
      </c>
      <c r="N535">
        <f t="shared" si="56"/>
        <v>3.6369410087722098E-13</v>
      </c>
      <c r="O535">
        <v>20</v>
      </c>
      <c r="P535">
        <v>90</v>
      </c>
      <c r="Q535">
        <v>1.5</v>
      </c>
      <c r="R535" t="b">
        <v>0</v>
      </c>
      <c r="S535">
        <v>3.6369412329066201E-13</v>
      </c>
      <c r="Y535" t="str">
        <f t="shared" si="57"/>
        <v>Pass</v>
      </c>
      <c r="Z535">
        <f t="shared" si="58"/>
        <v>80407.90625</v>
      </c>
      <c r="AA535">
        <v>8000</v>
      </c>
      <c r="AB535">
        <v>20</v>
      </c>
      <c r="AC535">
        <v>18</v>
      </c>
      <c r="AD535">
        <v>0.2</v>
      </c>
      <c r="AE535">
        <v>80407.905611023802</v>
      </c>
    </row>
    <row r="536" spans="1:31" x14ac:dyDescent="0.3">
      <c r="A536" t="str">
        <f>IF(ISBLANK(B536),"",IF(ROUND(B536,0)=ROUND(G536,0),"Pass","Fail"))</f>
        <v>Pass</v>
      </c>
      <c r="B536">
        <f t="shared" si="54"/>
        <v>17.079727172851563</v>
      </c>
      <c r="C536">
        <v>0</v>
      </c>
      <c r="D536">
        <v>60</v>
      </c>
      <c r="E536">
        <v>90</v>
      </c>
      <c r="F536">
        <v>40</v>
      </c>
      <c r="G536">
        <v>17.079726764327098</v>
      </c>
      <c r="M536" t="str">
        <f t="shared" si="55"/>
        <v>Pass</v>
      </c>
      <c r="N536">
        <f t="shared" si="56"/>
        <v>1.8162432820732766E-14</v>
      </c>
      <c r="O536">
        <v>20</v>
      </c>
      <c r="P536">
        <v>90</v>
      </c>
      <c r="Q536">
        <v>2</v>
      </c>
      <c r="R536" t="b">
        <v>1</v>
      </c>
      <c r="S536">
        <v>1.8162433701823599E-14</v>
      </c>
      <c r="Y536" t="str">
        <f t="shared" si="57"/>
        <v>Pass</v>
      </c>
      <c r="Z536">
        <f t="shared" si="58"/>
        <v>81152.578125</v>
      </c>
      <c r="AA536">
        <v>8000</v>
      </c>
      <c r="AB536">
        <v>20</v>
      </c>
      <c r="AC536">
        <v>20</v>
      </c>
      <c r="AD536">
        <v>0.2</v>
      </c>
      <c r="AE536">
        <v>81152.573851864596</v>
      </c>
    </row>
    <row r="537" spans="1:31" x14ac:dyDescent="0.3">
      <c r="A537" t="str">
        <f>IF(ISBLANK(B537),"",IF(ROUND(B537,0)=ROUND(G537,0),"Pass","Fail"))</f>
        <v>Pass</v>
      </c>
      <c r="B537">
        <f t="shared" si="54"/>
        <v>16.002208709716797</v>
      </c>
      <c r="C537">
        <v>0</v>
      </c>
      <c r="D537">
        <v>60</v>
      </c>
      <c r="E537">
        <v>90</v>
      </c>
      <c r="F537">
        <v>48</v>
      </c>
      <c r="G537">
        <v>16.002207900819698</v>
      </c>
      <c r="M537" t="str">
        <f t="shared" si="55"/>
        <v>Pass</v>
      </c>
      <c r="N537">
        <f t="shared" si="56"/>
        <v>3.8823737519115553E-13</v>
      </c>
      <c r="O537">
        <v>20</v>
      </c>
      <c r="P537">
        <v>90</v>
      </c>
      <c r="Q537">
        <v>2</v>
      </c>
      <c r="R537" t="b">
        <v>0</v>
      </c>
      <c r="S537">
        <v>3.8823740621177201E-13</v>
      </c>
      <c r="Y537" t="str">
        <f t="shared" si="57"/>
        <v>Pass</v>
      </c>
      <c r="Z537">
        <f t="shared" si="58"/>
        <v>81651.7421875</v>
      </c>
      <c r="AA537">
        <v>8000</v>
      </c>
      <c r="AB537">
        <v>20</v>
      </c>
      <c r="AC537">
        <v>22</v>
      </c>
      <c r="AD537">
        <v>0.2</v>
      </c>
      <c r="AE537">
        <v>81651.7399013463</v>
      </c>
    </row>
    <row r="538" spans="1:31" x14ac:dyDescent="0.3">
      <c r="A538" t="str">
        <f>IF(ISBLANK(B538),"",IF(ROUND(B538,0)=ROUND(G538,0),"Pass","Fail"))</f>
        <v>Pass</v>
      </c>
      <c r="B538">
        <f t="shared" si="54"/>
        <v>82.038002014160156</v>
      </c>
      <c r="C538">
        <v>0</v>
      </c>
      <c r="D538">
        <v>60</v>
      </c>
      <c r="E538">
        <v>100</v>
      </c>
      <c r="F538">
        <v>0</v>
      </c>
      <c r="G538">
        <v>82.037999999999997</v>
      </c>
      <c r="M538" t="str">
        <f t="shared" si="55"/>
        <v>Pass</v>
      </c>
      <c r="N538">
        <f t="shared" si="56"/>
        <v>1.9106124085730043E-14</v>
      </c>
      <c r="O538">
        <v>20</v>
      </c>
      <c r="P538">
        <v>90</v>
      </c>
      <c r="Q538">
        <v>2.5</v>
      </c>
      <c r="R538" t="b">
        <v>1</v>
      </c>
      <c r="S538">
        <v>1.9106125009288001E-14</v>
      </c>
      <c r="Y538" t="str">
        <f t="shared" si="57"/>
        <v>Pass</v>
      </c>
      <c r="Z538">
        <f t="shared" si="58"/>
        <v>81986.34375</v>
      </c>
      <c r="AA538">
        <v>8000</v>
      </c>
      <c r="AB538">
        <v>20</v>
      </c>
      <c r="AC538">
        <v>24</v>
      </c>
      <c r="AD538">
        <v>0.2</v>
      </c>
      <c r="AE538">
        <v>81986.340910614294</v>
      </c>
    </row>
    <row r="539" spans="1:31" x14ac:dyDescent="0.3">
      <c r="A539" t="str">
        <f>IF(ISBLANK(B539),"",IF(ROUND(B539,0)=ROUND(G539,0),"Pass","Fail"))</f>
        <v>Pass</v>
      </c>
      <c r="B539">
        <f t="shared" si="54"/>
        <v>48.701229095458984</v>
      </c>
      <c r="C539">
        <v>0</v>
      </c>
      <c r="D539">
        <v>60</v>
      </c>
      <c r="E539">
        <v>100</v>
      </c>
      <c r="F539">
        <v>8</v>
      </c>
      <c r="G539">
        <v>48.701228080723098</v>
      </c>
      <c r="M539" t="str">
        <f t="shared" si="55"/>
        <v>Pass</v>
      </c>
      <c r="N539">
        <f t="shared" si="56"/>
        <v>4.0840960713155183E-13</v>
      </c>
      <c r="O539">
        <v>20</v>
      </c>
      <c r="P539">
        <v>90</v>
      </c>
      <c r="Q539">
        <v>2.5</v>
      </c>
      <c r="R539" t="b">
        <v>0</v>
      </c>
      <c r="S539">
        <v>4.0840960733247301E-13</v>
      </c>
      <c r="Y539" t="str">
        <f t="shared" si="57"/>
        <v>Pass</v>
      </c>
      <c r="Z539">
        <f t="shared" si="58"/>
        <v>0</v>
      </c>
      <c r="AA539">
        <v>8200</v>
      </c>
      <c r="AB539">
        <v>20</v>
      </c>
      <c r="AC539">
        <v>0</v>
      </c>
      <c r="AD539">
        <v>0.2</v>
      </c>
      <c r="AE539">
        <v>0</v>
      </c>
    </row>
    <row r="540" spans="1:31" x14ac:dyDescent="0.3">
      <c r="A540" t="str">
        <f>IF(ISBLANK(B540),"",IF(ROUND(B540,0)=ROUND(G540,0),"Pass","Fail"))</f>
        <v>Pass</v>
      </c>
      <c r="B540">
        <f t="shared" si="54"/>
        <v>31.919998168945313</v>
      </c>
      <c r="C540">
        <v>0</v>
      </c>
      <c r="D540">
        <v>60</v>
      </c>
      <c r="E540">
        <v>100</v>
      </c>
      <c r="F540">
        <v>16</v>
      </c>
      <c r="G540">
        <v>31.919997247101701</v>
      </c>
      <c r="M540" t="str">
        <f t="shared" si="55"/>
        <v>Pass</v>
      </c>
      <c r="N540">
        <f t="shared" si="56"/>
        <v>1.9913459986878324E-14</v>
      </c>
      <c r="O540">
        <v>20</v>
      </c>
      <c r="P540">
        <v>90</v>
      </c>
      <c r="Q540">
        <v>3</v>
      </c>
      <c r="R540" t="b">
        <v>1</v>
      </c>
      <c r="S540">
        <v>1.99134614567757E-14</v>
      </c>
      <c r="Y540" t="str">
        <f t="shared" si="57"/>
        <v>Pass</v>
      </c>
      <c r="Z540">
        <f t="shared" si="58"/>
        <v>27934.880859375</v>
      </c>
      <c r="AA540">
        <v>8200</v>
      </c>
      <c r="AB540">
        <v>20</v>
      </c>
      <c r="AC540">
        <v>2</v>
      </c>
      <c r="AD540">
        <v>0.2</v>
      </c>
      <c r="AE540">
        <v>27934.881432580099</v>
      </c>
    </row>
    <row r="541" spans="1:31" x14ac:dyDescent="0.3">
      <c r="A541" t="str">
        <f>IF(ISBLANK(B541),"",IF(ROUND(B541,0)=ROUND(G541,0),"Pass","Fail"))</f>
        <v>Pass</v>
      </c>
      <c r="B541">
        <f t="shared" si="54"/>
        <v>23.472578048706055</v>
      </c>
      <c r="C541">
        <v>0</v>
      </c>
      <c r="D541">
        <v>60</v>
      </c>
      <c r="E541">
        <v>100</v>
      </c>
      <c r="F541">
        <v>24</v>
      </c>
      <c r="G541">
        <v>23.4725774137362</v>
      </c>
      <c r="M541" t="str">
        <f t="shared" si="55"/>
        <v>Pass</v>
      </c>
      <c r="N541">
        <f t="shared" si="56"/>
        <v>4.2566709705649242E-13</v>
      </c>
      <c r="O541">
        <v>20</v>
      </c>
      <c r="P541">
        <v>90</v>
      </c>
      <c r="Q541">
        <v>3</v>
      </c>
      <c r="R541" t="b">
        <v>0</v>
      </c>
      <c r="S541">
        <v>4.2566710781168301E-13</v>
      </c>
      <c r="Y541" t="str">
        <f t="shared" si="57"/>
        <v>Pass</v>
      </c>
      <c r="Z541">
        <f t="shared" si="58"/>
        <v>46660.19140625</v>
      </c>
      <c r="AA541">
        <v>8200</v>
      </c>
      <c r="AB541">
        <v>20</v>
      </c>
      <c r="AC541">
        <v>4</v>
      </c>
      <c r="AD541">
        <v>0.2</v>
      </c>
      <c r="AE541">
        <v>46660.192440467399</v>
      </c>
    </row>
    <row r="542" spans="1:31" x14ac:dyDescent="0.3">
      <c r="A542" t="str">
        <f>IF(ISBLANK(B542),"",IF(ROUND(B542,0)=ROUND(G542,0),"Pass","Fail"))</f>
        <v>Pass</v>
      </c>
      <c r="B542">
        <f t="shared" si="54"/>
        <v>19.220273971557617</v>
      </c>
      <c r="C542">
        <v>0</v>
      </c>
      <c r="D542">
        <v>60</v>
      </c>
      <c r="E542">
        <v>100</v>
      </c>
      <c r="F542">
        <v>32</v>
      </c>
      <c r="G542">
        <v>19.220273005994599</v>
      </c>
      <c r="M542" t="str">
        <f t="shared" si="55"/>
        <v>Pass</v>
      </c>
      <c r="N542">
        <f t="shared" si="56"/>
        <v>2.0622611216912674E-14</v>
      </c>
      <c r="O542">
        <v>20</v>
      </c>
      <c r="P542">
        <v>90</v>
      </c>
      <c r="Q542">
        <v>3.5</v>
      </c>
      <c r="R542" t="b">
        <v>1</v>
      </c>
      <c r="S542">
        <v>2.0622612387161198E-14</v>
      </c>
      <c r="Y542" t="str">
        <f t="shared" si="57"/>
        <v>Pass</v>
      </c>
      <c r="Z542">
        <f t="shared" si="58"/>
        <v>59212.14453125</v>
      </c>
      <c r="AA542">
        <v>8200</v>
      </c>
      <c r="AB542">
        <v>20</v>
      </c>
      <c r="AC542">
        <v>6</v>
      </c>
      <c r="AD542">
        <v>0.2</v>
      </c>
      <c r="AE542">
        <v>59212.143777306002</v>
      </c>
    </row>
    <row r="543" spans="1:31" x14ac:dyDescent="0.3">
      <c r="A543" t="str">
        <f>IF(ISBLANK(B543),"",IF(ROUND(B543,0)=ROUND(G543,0),"Pass","Fail"))</f>
        <v>Pass</v>
      </c>
      <c r="B543">
        <f t="shared" si="54"/>
        <v>17.079727172851563</v>
      </c>
      <c r="C543">
        <v>0</v>
      </c>
      <c r="D543">
        <v>60</v>
      </c>
      <c r="E543">
        <v>100</v>
      </c>
      <c r="F543">
        <v>40</v>
      </c>
      <c r="G543">
        <v>17.079726764327098</v>
      </c>
      <c r="M543" t="str">
        <f t="shared" si="55"/>
        <v>Pass</v>
      </c>
      <c r="N543">
        <f t="shared" si="56"/>
        <v>4.4082581552098987E-13</v>
      </c>
      <c r="O543">
        <v>20</v>
      </c>
      <c r="P543">
        <v>90</v>
      </c>
      <c r="Q543">
        <v>3.5</v>
      </c>
      <c r="R543" t="b">
        <v>0</v>
      </c>
      <c r="S543">
        <v>4.4082580968751701E-13</v>
      </c>
      <c r="Y543" t="str">
        <f t="shared" si="57"/>
        <v>Pass</v>
      </c>
      <c r="Z543">
        <f t="shared" si="58"/>
        <v>67625.96875</v>
      </c>
      <c r="AA543">
        <v>8200</v>
      </c>
      <c r="AB543">
        <v>20</v>
      </c>
      <c r="AC543">
        <v>8</v>
      </c>
      <c r="AD543">
        <v>0.2</v>
      </c>
      <c r="AE543">
        <v>67625.968375252807</v>
      </c>
    </row>
    <row r="544" spans="1:31" x14ac:dyDescent="0.3">
      <c r="A544" t="str">
        <f>IF(ISBLANK(B544),"",IF(ROUND(B544,0)=ROUND(G544,0),"Pass","Fail"))</f>
        <v>Pass</v>
      </c>
      <c r="B544">
        <f t="shared" si="54"/>
        <v>16.002208709716797</v>
      </c>
      <c r="C544">
        <v>0</v>
      </c>
      <c r="D544">
        <v>60</v>
      </c>
      <c r="E544">
        <v>100</v>
      </c>
      <c r="F544">
        <v>48</v>
      </c>
      <c r="G544">
        <v>16.002207900819698</v>
      </c>
      <c r="M544" t="str">
        <f t="shared" si="55"/>
        <v>Pass</v>
      </c>
      <c r="N544">
        <f t="shared" si="56"/>
        <v>2.1257287922092638E-14</v>
      </c>
      <c r="O544">
        <v>20</v>
      </c>
      <c r="P544">
        <v>90</v>
      </c>
      <c r="Q544">
        <v>4</v>
      </c>
      <c r="R544" t="b">
        <v>1</v>
      </c>
      <c r="S544">
        <v>2.1257287730486699E-14</v>
      </c>
      <c r="Y544" t="str">
        <f t="shared" si="57"/>
        <v>Pass</v>
      </c>
      <c r="Z544">
        <f t="shared" si="58"/>
        <v>73265.9296875</v>
      </c>
      <c r="AA544">
        <v>8200</v>
      </c>
      <c r="AB544">
        <v>20</v>
      </c>
      <c r="AC544">
        <v>10</v>
      </c>
      <c r="AD544">
        <v>0.2</v>
      </c>
      <c r="AE544">
        <v>73265.923667084295</v>
      </c>
    </row>
    <row r="545" spans="1:31" x14ac:dyDescent="0.3">
      <c r="A545" t="str">
        <f>IF(ISBLANK(B545),"",IF(ROUND(B545,0)=ROUND(G545,0),"Pass","Fail"))</f>
        <v>Pass</v>
      </c>
      <c r="B545">
        <f t="shared" si="54"/>
        <v>18.139999389648438</v>
      </c>
      <c r="C545">
        <v>0</v>
      </c>
      <c r="D545">
        <v>70</v>
      </c>
      <c r="E545">
        <v>0</v>
      </c>
      <c r="F545">
        <v>0</v>
      </c>
      <c r="G545">
        <v>18.14</v>
      </c>
      <c r="M545" t="str">
        <f t="shared" si="55"/>
        <v>Pass</v>
      </c>
      <c r="N545">
        <f t="shared" si="56"/>
        <v>4.5439251862046393E-13</v>
      </c>
      <c r="O545">
        <v>20</v>
      </c>
      <c r="P545">
        <v>90</v>
      </c>
      <c r="Q545">
        <v>4</v>
      </c>
      <c r="R545" t="b">
        <v>0</v>
      </c>
      <c r="S545">
        <v>4.54392532799876E-13</v>
      </c>
      <c r="Y545" t="str">
        <f t="shared" si="57"/>
        <v>Fail</v>
      </c>
      <c r="Z545">
        <f t="shared" si="58"/>
        <v>77046.5</v>
      </c>
      <c r="AA545">
        <v>8200</v>
      </c>
      <c r="AB545">
        <v>20</v>
      </c>
      <c r="AC545">
        <v>12</v>
      </c>
      <c r="AD545">
        <v>0.2</v>
      </c>
      <c r="AE545">
        <v>77046.4987579437</v>
      </c>
    </row>
    <row r="546" spans="1:31" x14ac:dyDescent="0.3">
      <c r="A546" t="str">
        <f>IF(ISBLANK(B546),"",IF(ROUND(B546,0)=ROUND(G546,0),"Pass","Fail"))</f>
        <v>Pass</v>
      </c>
      <c r="B546">
        <f t="shared" si="54"/>
        <v>18.139999389648438</v>
      </c>
      <c r="C546">
        <v>0</v>
      </c>
      <c r="D546">
        <v>70</v>
      </c>
      <c r="E546">
        <v>0</v>
      </c>
      <c r="F546">
        <v>8</v>
      </c>
      <c r="G546">
        <v>18.14</v>
      </c>
      <c r="M546" t="str">
        <f t="shared" si="55"/>
        <v>Pass</v>
      </c>
      <c r="N546">
        <f t="shared" si="56"/>
        <v>0</v>
      </c>
      <c r="O546">
        <v>30</v>
      </c>
      <c r="P546">
        <v>0</v>
      </c>
      <c r="Q546">
        <v>0</v>
      </c>
      <c r="R546" t="b">
        <v>1</v>
      </c>
      <c r="S546">
        <v>0</v>
      </c>
      <c r="Y546" t="str">
        <f t="shared" si="57"/>
        <v>Pass</v>
      </c>
      <c r="Z546">
        <f t="shared" si="58"/>
        <v>79580.6875</v>
      </c>
      <c r="AA546">
        <v>8200</v>
      </c>
      <c r="AB546">
        <v>20</v>
      </c>
      <c r="AC546">
        <v>14</v>
      </c>
      <c r="AD546">
        <v>0.2</v>
      </c>
      <c r="AE546">
        <v>79580.694026889803</v>
      </c>
    </row>
    <row r="547" spans="1:31" x14ac:dyDescent="0.3">
      <c r="A547" t="str">
        <f>IF(ISBLANK(B547),"",IF(ROUND(B547,0)=ROUND(G547,0),"Pass","Fail"))</f>
        <v>Pass</v>
      </c>
      <c r="B547">
        <f t="shared" si="54"/>
        <v>18.139999389648438</v>
      </c>
      <c r="C547">
        <v>0</v>
      </c>
      <c r="D547">
        <v>70</v>
      </c>
      <c r="E547">
        <v>0</v>
      </c>
      <c r="F547">
        <v>16</v>
      </c>
      <c r="G547">
        <v>18.14</v>
      </c>
      <c r="M547" t="str">
        <f t="shared" si="55"/>
        <v>Pass</v>
      </c>
      <c r="N547">
        <f t="shared" si="56"/>
        <v>0</v>
      </c>
      <c r="O547">
        <v>30</v>
      </c>
      <c r="P547">
        <v>0</v>
      </c>
      <c r="Q547">
        <v>0</v>
      </c>
      <c r="R547" t="b">
        <v>0</v>
      </c>
      <c r="S547">
        <v>0</v>
      </c>
      <c r="Y547" t="str">
        <f t="shared" si="57"/>
        <v>Pass</v>
      </c>
      <c r="Z547">
        <f t="shared" si="58"/>
        <v>81279.4140625</v>
      </c>
      <c r="AA547">
        <v>8200</v>
      </c>
      <c r="AB547">
        <v>20</v>
      </c>
      <c r="AC547">
        <v>16</v>
      </c>
      <c r="AD547">
        <v>0.2</v>
      </c>
      <c r="AE547">
        <v>81279.415916233105</v>
      </c>
    </row>
    <row r="548" spans="1:31" x14ac:dyDescent="0.3">
      <c r="A548" t="str">
        <f>IF(ISBLANK(B548),"",IF(ROUND(B548,0)=ROUND(G548,0),"Pass","Fail"))</f>
        <v>Pass</v>
      </c>
      <c r="B548">
        <f t="shared" si="54"/>
        <v>18.139999389648438</v>
      </c>
      <c r="C548">
        <v>0</v>
      </c>
      <c r="D548">
        <v>70</v>
      </c>
      <c r="E548">
        <v>0</v>
      </c>
      <c r="F548">
        <v>24</v>
      </c>
      <c r="G548">
        <v>18.14</v>
      </c>
      <c r="M548" t="str">
        <f t="shared" si="55"/>
        <v>Pass</v>
      </c>
      <c r="N548">
        <f t="shared" si="56"/>
        <v>39.717330932617188</v>
      </c>
      <c r="O548">
        <v>30</v>
      </c>
      <c r="P548">
        <v>0</v>
      </c>
      <c r="Q548">
        <v>0.5</v>
      </c>
      <c r="R548" t="b">
        <v>1</v>
      </c>
      <c r="S548">
        <v>39.717334750913203</v>
      </c>
      <c r="Y548" t="str">
        <f t="shared" si="57"/>
        <v>Pass</v>
      </c>
      <c r="Z548">
        <f t="shared" si="58"/>
        <v>82418.109375</v>
      </c>
      <c r="AA548">
        <v>8200</v>
      </c>
      <c r="AB548">
        <v>20</v>
      </c>
      <c r="AC548">
        <v>18</v>
      </c>
      <c r="AD548">
        <v>0.2</v>
      </c>
      <c r="AE548">
        <v>82418.103251299399</v>
      </c>
    </row>
    <row r="549" spans="1:31" x14ac:dyDescent="0.3">
      <c r="A549" t="str">
        <f>IF(ISBLANK(B549),"",IF(ROUND(B549,0)=ROUND(G549,0),"Pass","Fail"))</f>
        <v>Pass</v>
      </c>
      <c r="B549">
        <f t="shared" si="54"/>
        <v>18.139999389648438</v>
      </c>
      <c r="C549">
        <v>0</v>
      </c>
      <c r="D549">
        <v>70</v>
      </c>
      <c r="E549">
        <v>0</v>
      </c>
      <c r="F549">
        <v>32</v>
      </c>
      <c r="G549">
        <v>18.14</v>
      </c>
      <c r="M549" t="str">
        <f t="shared" si="55"/>
        <v>Pass</v>
      </c>
      <c r="N549">
        <f t="shared" si="56"/>
        <v>1637.412109375</v>
      </c>
      <c r="O549">
        <v>30</v>
      </c>
      <c r="P549">
        <v>0</v>
      </c>
      <c r="Q549">
        <v>0.5</v>
      </c>
      <c r="R549" t="b">
        <v>0</v>
      </c>
      <c r="S549">
        <v>1637.4120511969199</v>
      </c>
      <c r="Y549" t="str">
        <f t="shared" si="57"/>
        <v>Pass</v>
      </c>
      <c r="Z549">
        <f t="shared" si="58"/>
        <v>83181.390625</v>
      </c>
      <c r="AA549">
        <v>8200</v>
      </c>
      <c r="AB549">
        <v>20</v>
      </c>
      <c r="AC549">
        <v>20</v>
      </c>
      <c r="AD549">
        <v>0.2</v>
      </c>
      <c r="AE549">
        <v>83181.388198161207</v>
      </c>
    </row>
    <row r="550" spans="1:31" x14ac:dyDescent="0.3">
      <c r="A550" t="str">
        <f>IF(ISBLANK(B550),"",IF(ROUND(B550,0)=ROUND(G550,0),"Pass","Fail"))</f>
        <v>Pass</v>
      </c>
      <c r="B550">
        <f t="shared" si="54"/>
        <v>18.139999389648438</v>
      </c>
      <c r="C550">
        <v>0</v>
      </c>
      <c r="D550">
        <v>70</v>
      </c>
      <c r="E550">
        <v>0</v>
      </c>
      <c r="F550">
        <v>40</v>
      </c>
      <c r="G550">
        <v>18.14</v>
      </c>
      <c r="M550" t="str">
        <f t="shared" si="55"/>
        <v>Pass</v>
      </c>
      <c r="N550">
        <f t="shared" si="56"/>
        <v>46.485111236572266</v>
      </c>
      <c r="O550">
        <v>30</v>
      </c>
      <c r="P550">
        <v>0</v>
      </c>
      <c r="Q550">
        <v>1</v>
      </c>
      <c r="R550" t="b">
        <v>1</v>
      </c>
      <c r="S550">
        <v>46.485114635460299</v>
      </c>
      <c r="Y550" t="str">
        <f t="shared" si="57"/>
        <v>Pass</v>
      </c>
      <c r="Z550">
        <f t="shared" si="58"/>
        <v>83693.0390625</v>
      </c>
      <c r="AA550">
        <v>8200</v>
      </c>
      <c r="AB550">
        <v>20</v>
      </c>
      <c r="AC550">
        <v>22</v>
      </c>
      <c r="AD550">
        <v>0.2</v>
      </c>
      <c r="AE550">
        <v>83693.033398879998</v>
      </c>
    </row>
    <row r="551" spans="1:31" x14ac:dyDescent="0.3">
      <c r="A551" t="str">
        <f>IF(ISBLANK(B551),"",IF(ROUND(B551,0)=ROUND(G551,0),"Pass","Fail"))</f>
        <v>Pass</v>
      </c>
      <c r="B551">
        <f t="shared" si="54"/>
        <v>18.139999389648438</v>
      </c>
      <c r="C551">
        <v>0</v>
      </c>
      <c r="D551">
        <v>70</v>
      </c>
      <c r="E551">
        <v>0</v>
      </c>
      <c r="F551">
        <v>48</v>
      </c>
      <c r="G551">
        <v>18.14</v>
      </c>
      <c r="M551" t="str">
        <f t="shared" si="55"/>
        <v>Pass</v>
      </c>
      <c r="N551">
        <f t="shared" si="56"/>
        <v>1916.4246826171875</v>
      </c>
      <c r="O551">
        <v>30</v>
      </c>
      <c r="P551">
        <v>0</v>
      </c>
      <c r="Q551">
        <v>1</v>
      </c>
      <c r="R551" t="b">
        <v>0</v>
      </c>
      <c r="S551">
        <v>1916.4248402549999</v>
      </c>
      <c r="Y551" t="str">
        <f t="shared" si="57"/>
        <v>Pass</v>
      </c>
      <c r="Z551">
        <f t="shared" si="58"/>
        <v>84036.0078125</v>
      </c>
      <c r="AA551">
        <v>8200</v>
      </c>
      <c r="AB551">
        <v>20</v>
      </c>
      <c r="AC551">
        <v>24</v>
      </c>
      <c r="AD551">
        <v>0.2</v>
      </c>
      <c r="AE551">
        <v>84035.999433379693</v>
      </c>
    </row>
    <row r="552" spans="1:31" x14ac:dyDescent="0.3">
      <c r="A552" t="str">
        <f>IF(ISBLANK(B552),"",IF(ROUND(B552,0)=ROUND(G552,0),"Pass","Fail"))</f>
        <v>Pass</v>
      </c>
      <c r="B552">
        <f t="shared" si="54"/>
        <v>85.267997741699219</v>
      </c>
      <c r="C552">
        <v>0</v>
      </c>
      <c r="D552">
        <v>70</v>
      </c>
      <c r="E552">
        <v>10</v>
      </c>
      <c r="F552">
        <v>0</v>
      </c>
      <c r="G552">
        <v>85.267999999998295</v>
      </c>
      <c r="M552" t="str">
        <f t="shared" si="55"/>
        <v>Pass</v>
      </c>
      <c r="N552">
        <f t="shared" si="56"/>
        <v>50.966709136962891</v>
      </c>
      <c r="O552">
        <v>30</v>
      </c>
      <c r="P552">
        <v>0</v>
      </c>
      <c r="Q552">
        <v>1.5</v>
      </c>
      <c r="R552" t="b">
        <v>1</v>
      </c>
      <c r="S552">
        <v>50.966712600530798</v>
      </c>
      <c r="Y552" t="str">
        <f t="shared" si="57"/>
        <v>Pass</v>
      </c>
      <c r="Z552">
        <f t="shared" si="58"/>
        <v>0</v>
      </c>
      <c r="AA552">
        <v>8400</v>
      </c>
      <c r="AB552">
        <v>20</v>
      </c>
      <c r="AC552">
        <v>0</v>
      </c>
      <c r="AD552">
        <v>0.2</v>
      </c>
      <c r="AE552">
        <v>0</v>
      </c>
    </row>
    <row r="553" spans="1:31" x14ac:dyDescent="0.3">
      <c r="A553" t="str">
        <f>IF(ISBLANK(B553),"",IF(ROUND(B553,0)=ROUND(G553,0),"Pass","Fail"))</f>
        <v>Pass</v>
      </c>
      <c r="B553">
        <f t="shared" si="54"/>
        <v>51.931228637695313</v>
      </c>
      <c r="C553">
        <v>0</v>
      </c>
      <c r="D553">
        <v>70</v>
      </c>
      <c r="E553">
        <v>10</v>
      </c>
      <c r="F553">
        <v>8</v>
      </c>
      <c r="G553">
        <v>51.9312280807222</v>
      </c>
      <c r="M553" t="str">
        <f t="shared" si="55"/>
        <v>Pass</v>
      </c>
      <c r="N553">
        <f t="shared" si="56"/>
        <v>2101.18603515625</v>
      </c>
      <c r="O553">
        <v>30</v>
      </c>
      <c r="P553">
        <v>0</v>
      </c>
      <c r="Q553">
        <v>1.5</v>
      </c>
      <c r="R553" t="b">
        <v>0</v>
      </c>
      <c r="S553">
        <v>2101.1860424516599</v>
      </c>
      <c r="Y553" t="str">
        <f t="shared" si="57"/>
        <v>Pass</v>
      </c>
      <c r="Z553">
        <f t="shared" si="58"/>
        <v>28616.21875</v>
      </c>
      <c r="AA553">
        <v>8400</v>
      </c>
      <c r="AB553">
        <v>20</v>
      </c>
      <c r="AC553">
        <v>2</v>
      </c>
      <c r="AD553">
        <v>0.2</v>
      </c>
      <c r="AE553">
        <v>28616.220004106501</v>
      </c>
    </row>
    <row r="554" spans="1:31" x14ac:dyDescent="0.3">
      <c r="A554" t="str">
        <f>IF(ISBLANK(B554),"",IF(ROUND(B554,0)=ROUND(G554,0),"Pass","Fail"))</f>
        <v>Pass</v>
      </c>
      <c r="B554">
        <f t="shared" si="54"/>
        <v>35.149993896484375</v>
      </c>
      <c r="C554">
        <v>0</v>
      </c>
      <c r="D554">
        <v>70</v>
      </c>
      <c r="E554">
        <v>10</v>
      </c>
      <c r="F554">
        <v>16</v>
      </c>
      <c r="G554">
        <v>35.149997247101297</v>
      </c>
      <c r="M554" t="str">
        <f t="shared" si="55"/>
        <v>Pass</v>
      </c>
      <c r="N554">
        <f t="shared" si="56"/>
        <v>54.406108856201172</v>
      </c>
      <c r="O554">
        <v>30</v>
      </c>
      <c r="P554">
        <v>0</v>
      </c>
      <c r="Q554">
        <v>2</v>
      </c>
      <c r="R554" t="b">
        <v>1</v>
      </c>
      <c r="S554">
        <v>54.406115018133299</v>
      </c>
      <c r="Y554" t="str">
        <f t="shared" si="57"/>
        <v>Pass</v>
      </c>
      <c r="Z554">
        <f t="shared" si="58"/>
        <v>47798.24609375</v>
      </c>
      <c r="AA554">
        <v>8400</v>
      </c>
      <c r="AB554">
        <v>20</v>
      </c>
      <c r="AC554">
        <v>4</v>
      </c>
      <c r="AD554">
        <v>0.2</v>
      </c>
      <c r="AE554">
        <v>47798.245914625099</v>
      </c>
    </row>
    <row r="555" spans="1:31" x14ac:dyDescent="0.3">
      <c r="A555" t="str">
        <f>IF(ISBLANK(B555),"",IF(ROUND(B555,0)=ROUND(G555,0),"Pass","Fail"))</f>
        <v>Pass</v>
      </c>
      <c r="B555">
        <f t="shared" si="54"/>
        <v>26.70257568359375</v>
      </c>
      <c r="C555">
        <v>0</v>
      </c>
      <c r="D555">
        <v>70</v>
      </c>
      <c r="E555">
        <v>10</v>
      </c>
      <c r="F555">
        <v>24</v>
      </c>
      <c r="G555">
        <v>26.702577413736002</v>
      </c>
      <c r="M555" t="str">
        <f t="shared" si="55"/>
        <v>Pass</v>
      </c>
      <c r="N555">
        <f t="shared" si="56"/>
        <v>2242.98095703125</v>
      </c>
      <c r="O555">
        <v>30</v>
      </c>
      <c r="P555">
        <v>0</v>
      </c>
      <c r="Q555">
        <v>2</v>
      </c>
      <c r="R555" t="b">
        <v>0</v>
      </c>
      <c r="S555">
        <v>2242.9810295226098</v>
      </c>
      <c r="Y555" t="str">
        <f t="shared" si="57"/>
        <v>Pass</v>
      </c>
      <c r="Z555">
        <f t="shared" si="58"/>
        <v>60656.34375</v>
      </c>
      <c r="AA555">
        <v>8400</v>
      </c>
      <c r="AB555">
        <v>20</v>
      </c>
      <c r="AC555">
        <v>6</v>
      </c>
      <c r="AD555">
        <v>0.2</v>
      </c>
      <c r="AE555">
        <v>60656.342406020798</v>
      </c>
    </row>
    <row r="556" spans="1:31" x14ac:dyDescent="0.3">
      <c r="A556" t="str">
        <f>IF(ISBLANK(B556),"",IF(ROUND(B556,0)=ROUND(G556,0),"Pass","Fail"))</f>
        <v>Pass</v>
      </c>
      <c r="B556">
        <f t="shared" si="54"/>
        <v>22.450271606445313</v>
      </c>
      <c r="C556">
        <v>0</v>
      </c>
      <c r="D556">
        <v>70</v>
      </c>
      <c r="E556">
        <v>10</v>
      </c>
      <c r="F556">
        <v>32</v>
      </c>
      <c r="G556">
        <v>22.4502730059945</v>
      </c>
      <c r="M556" t="str">
        <f t="shared" si="55"/>
        <v>Pass</v>
      </c>
      <c r="N556">
        <f t="shared" si="56"/>
        <v>57.232967376708984</v>
      </c>
      <c r="O556">
        <v>30</v>
      </c>
      <c r="P556">
        <v>0</v>
      </c>
      <c r="Q556">
        <v>2.5</v>
      </c>
      <c r="R556" t="b">
        <v>1</v>
      </c>
      <c r="S556">
        <v>57.232970639930699</v>
      </c>
      <c r="Y556" t="str">
        <f t="shared" si="57"/>
        <v>Pass</v>
      </c>
      <c r="Z556">
        <f t="shared" si="58"/>
        <v>69275.3828125</v>
      </c>
      <c r="AA556">
        <v>8400</v>
      </c>
      <c r="AB556">
        <v>20</v>
      </c>
      <c r="AC556">
        <v>8</v>
      </c>
      <c r="AD556">
        <v>0.2</v>
      </c>
      <c r="AE556">
        <v>69275.382238063903</v>
      </c>
    </row>
    <row r="557" spans="1:31" x14ac:dyDescent="0.3">
      <c r="A557" t="str">
        <f>IF(ISBLANK(B557),"",IF(ROUND(B557,0)=ROUND(G557,0),"Pass","Fail"))</f>
        <v>Pass</v>
      </c>
      <c r="B557">
        <f t="shared" si="54"/>
        <v>20.309726715087891</v>
      </c>
      <c r="C557">
        <v>0</v>
      </c>
      <c r="D557">
        <v>70</v>
      </c>
      <c r="E557">
        <v>10</v>
      </c>
      <c r="F557">
        <v>40</v>
      </c>
      <c r="G557">
        <v>20.309726764326999</v>
      </c>
      <c r="M557" t="str">
        <f t="shared" si="55"/>
        <v>Pass</v>
      </c>
      <c r="N557">
        <f t="shared" si="56"/>
        <v>2359.522705078125</v>
      </c>
      <c r="O557">
        <v>30</v>
      </c>
      <c r="P557">
        <v>0</v>
      </c>
      <c r="Q557">
        <v>2.5</v>
      </c>
      <c r="R557" t="b">
        <v>0</v>
      </c>
      <c r="S557">
        <v>2359.52277360372</v>
      </c>
      <c r="Y557" t="str">
        <f t="shared" si="57"/>
        <v>Pass</v>
      </c>
      <c r="Z557">
        <f t="shared" si="58"/>
        <v>75052.8984375</v>
      </c>
      <c r="AA557">
        <v>8400</v>
      </c>
      <c r="AB557">
        <v>20</v>
      </c>
      <c r="AC557">
        <v>10</v>
      </c>
      <c r="AD557">
        <v>0.2</v>
      </c>
      <c r="AE557">
        <v>75052.897415062005</v>
      </c>
    </row>
    <row r="558" spans="1:31" x14ac:dyDescent="0.3">
      <c r="A558" t="str">
        <f>IF(ISBLANK(B558),"",IF(ROUND(B558,0)=ROUND(G558,0),"Pass","Fail"))</f>
        <v>Pass</v>
      </c>
      <c r="B558">
        <f t="shared" si="54"/>
        <v>19.232208251953125</v>
      </c>
      <c r="C558">
        <v>0</v>
      </c>
      <c r="D558">
        <v>70</v>
      </c>
      <c r="E558">
        <v>10</v>
      </c>
      <c r="F558">
        <v>48</v>
      </c>
      <c r="G558">
        <v>19.232207900819699</v>
      </c>
      <c r="M558" t="str">
        <f t="shared" si="55"/>
        <v>Pass</v>
      </c>
      <c r="N558">
        <f t="shared" si="56"/>
        <v>59.651363372802734</v>
      </c>
      <c r="O558">
        <v>30</v>
      </c>
      <c r="P558">
        <v>0</v>
      </c>
      <c r="Q558">
        <v>3</v>
      </c>
      <c r="R558" t="b">
        <v>1</v>
      </c>
      <c r="S558">
        <v>59.651371188087097</v>
      </c>
      <c r="Y558" t="str">
        <f t="shared" si="57"/>
        <v>Pass</v>
      </c>
      <c r="Z558">
        <f t="shared" si="58"/>
        <v>78925.6875</v>
      </c>
      <c r="AA558">
        <v>8400</v>
      </c>
      <c r="AB558">
        <v>20</v>
      </c>
      <c r="AC558">
        <v>12</v>
      </c>
      <c r="AD558">
        <v>0.2</v>
      </c>
      <c r="AE558">
        <v>78925.681654479005</v>
      </c>
    </row>
    <row r="559" spans="1:31" x14ac:dyDescent="0.3">
      <c r="A559" t="str">
        <f>IF(ISBLANK(B559),"",IF(ROUND(B559,0)=ROUND(G559,0),"Pass","Fail"))</f>
        <v>Pass</v>
      </c>
      <c r="B559">
        <f t="shared" si="54"/>
        <v>85.267997741699219</v>
      </c>
      <c r="C559">
        <v>0</v>
      </c>
      <c r="D559">
        <v>70</v>
      </c>
      <c r="E559">
        <v>20</v>
      </c>
      <c r="F559">
        <v>0</v>
      </c>
      <c r="G559">
        <v>85.268000000000001</v>
      </c>
      <c r="M559" t="str">
        <f t="shared" si="55"/>
        <v>Pass</v>
      </c>
      <c r="N559">
        <f t="shared" si="56"/>
        <v>2459.225341796875</v>
      </c>
      <c r="O559">
        <v>30</v>
      </c>
      <c r="P559">
        <v>0</v>
      </c>
      <c r="Q559">
        <v>3</v>
      </c>
      <c r="R559" t="b">
        <v>0</v>
      </c>
      <c r="S559">
        <v>2459.2252895708002</v>
      </c>
      <c r="Y559" t="str">
        <f t="shared" si="57"/>
        <v>Pass</v>
      </c>
      <c r="Z559">
        <f t="shared" si="58"/>
        <v>81521.6796875</v>
      </c>
      <c r="AA559">
        <v>8400</v>
      </c>
      <c r="AB559">
        <v>20</v>
      </c>
      <c r="AC559">
        <v>14</v>
      </c>
      <c r="AD559">
        <v>0.2</v>
      </c>
      <c r="AE559">
        <v>81521.686564131101</v>
      </c>
    </row>
    <row r="560" spans="1:31" x14ac:dyDescent="0.3">
      <c r="A560" t="str">
        <f>IF(ISBLANK(B560),"",IF(ROUND(B560,0)=ROUND(G560,0),"Pass","Fail"))</f>
        <v>Pass</v>
      </c>
      <c r="B560">
        <f t="shared" si="54"/>
        <v>51.931228637695313</v>
      </c>
      <c r="C560">
        <v>0</v>
      </c>
      <c r="D560">
        <v>70</v>
      </c>
      <c r="E560">
        <v>20</v>
      </c>
      <c r="F560">
        <v>8</v>
      </c>
      <c r="G560">
        <v>51.931228080723002</v>
      </c>
      <c r="M560" t="str">
        <f t="shared" si="55"/>
        <v>Pass</v>
      </c>
      <c r="N560">
        <f t="shared" si="56"/>
        <v>61.775653839111328</v>
      </c>
      <c r="O560">
        <v>30</v>
      </c>
      <c r="P560">
        <v>0</v>
      </c>
      <c r="Q560">
        <v>3.5</v>
      </c>
      <c r="R560" t="b">
        <v>1</v>
      </c>
      <c r="S560">
        <v>61.775654074245601</v>
      </c>
      <c r="Y560" t="str">
        <f t="shared" si="57"/>
        <v>Pass</v>
      </c>
      <c r="Z560">
        <f t="shared" si="58"/>
        <v>83261.8359375</v>
      </c>
      <c r="AA560">
        <v>8400</v>
      </c>
      <c r="AB560">
        <v>20</v>
      </c>
      <c r="AC560">
        <v>16</v>
      </c>
      <c r="AD560">
        <v>0.2</v>
      </c>
      <c r="AE560">
        <v>83261.840694677798</v>
      </c>
    </row>
    <row r="561" spans="1:31" x14ac:dyDescent="0.3">
      <c r="A561" t="str">
        <f>IF(ISBLANK(B561),"",IF(ROUND(B561,0)=ROUND(G561,0),"Pass","Fail"))</f>
        <v>Pass</v>
      </c>
      <c r="B561">
        <f t="shared" si="54"/>
        <v>35.149993896484375</v>
      </c>
      <c r="C561">
        <v>0</v>
      </c>
      <c r="D561">
        <v>70</v>
      </c>
      <c r="E561">
        <v>20</v>
      </c>
      <c r="F561">
        <v>16</v>
      </c>
      <c r="G561">
        <v>35.149997247101702</v>
      </c>
      <c r="M561" t="str">
        <f t="shared" si="55"/>
        <v>Pass</v>
      </c>
      <c r="N561">
        <f t="shared" si="56"/>
        <v>2546.802490234375</v>
      </c>
      <c r="O561">
        <v>30</v>
      </c>
      <c r="P561">
        <v>0</v>
      </c>
      <c r="Q561">
        <v>3.5</v>
      </c>
      <c r="R561" t="b">
        <v>0</v>
      </c>
      <c r="S561">
        <v>2546.8023241266501</v>
      </c>
      <c r="Y561" t="str">
        <f t="shared" si="57"/>
        <v>Pass</v>
      </c>
      <c r="Z561">
        <f t="shared" si="58"/>
        <v>84428.3046875</v>
      </c>
      <c r="AA561">
        <v>8400</v>
      </c>
      <c r="AB561">
        <v>20</v>
      </c>
      <c r="AC561">
        <v>18</v>
      </c>
      <c r="AD561">
        <v>0.2</v>
      </c>
      <c r="AE561">
        <v>84428.300891574996</v>
      </c>
    </row>
    <row r="562" spans="1:31" x14ac:dyDescent="0.3">
      <c r="A562" t="str">
        <f>IF(ISBLANK(B562),"",IF(ROUND(B562,0)=ROUND(G562,0),"Pass","Fail"))</f>
        <v>Pass</v>
      </c>
      <c r="B562">
        <f t="shared" si="54"/>
        <v>26.70257568359375</v>
      </c>
      <c r="C562">
        <v>0</v>
      </c>
      <c r="D562">
        <v>70</v>
      </c>
      <c r="E562">
        <v>20</v>
      </c>
      <c r="F562">
        <v>24</v>
      </c>
      <c r="G562">
        <v>26.702577413736201</v>
      </c>
      <c r="M562" t="str">
        <f t="shared" si="55"/>
        <v>Pass</v>
      </c>
      <c r="N562">
        <f t="shared" si="56"/>
        <v>63.676837921142578</v>
      </c>
      <c r="O562">
        <v>30</v>
      </c>
      <c r="P562">
        <v>0</v>
      </c>
      <c r="Q562">
        <v>4</v>
      </c>
      <c r="R562" t="b">
        <v>1</v>
      </c>
      <c r="S562">
        <v>63.6768431051335</v>
      </c>
      <c r="Y562" t="str">
        <f t="shared" si="57"/>
        <v>Pass</v>
      </c>
      <c r="Z562">
        <f t="shared" si="58"/>
        <v>85210.203125</v>
      </c>
      <c r="AA562">
        <v>8400</v>
      </c>
      <c r="AB562">
        <v>20</v>
      </c>
      <c r="AC562">
        <v>20</v>
      </c>
      <c r="AD562">
        <v>0.2</v>
      </c>
      <c r="AE562">
        <v>85210.202544457803</v>
      </c>
    </row>
    <row r="563" spans="1:31" x14ac:dyDescent="0.3">
      <c r="A563" t="str">
        <f>IF(ISBLANK(B563),"",IF(ROUND(B563,0)=ROUND(G563,0),"Pass","Fail"))</f>
        <v>Pass</v>
      </c>
      <c r="B563">
        <f t="shared" si="54"/>
        <v>22.450271606445313</v>
      </c>
      <c r="C563">
        <v>0</v>
      </c>
      <c r="D563">
        <v>70</v>
      </c>
      <c r="E563">
        <v>20</v>
      </c>
      <c r="F563">
        <v>32</v>
      </c>
      <c r="G563">
        <v>22.4502730059946</v>
      </c>
      <c r="M563" t="str">
        <f t="shared" si="55"/>
        <v>Pass</v>
      </c>
      <c r="N563">
        <f t="shared" si="56"/>
        <v>2625.18212890625</v>
      </c>
      <c r="O563">
        <v>30</v>
      </c>
      <c r="P563">
        <v>0</v>
      </c>
      <c r="Q563">
        <v>4</v>
      </c>
      <c r="R563" t="b">
        <v>0</v>
      </c>
      <c r="S563">
        <v>2625.1819498065402</v>
      </c>
      <c r="Y563" t="str">
        <f t="shared" si="57"/>
        <v>Pass</v>
      </c>
      <c r="Z563">
        <f t="shared" si="58"/>
        <v>85734.328125</v>
      </c>
      <c r="AA563">
        <v>8400</v>
      </c>
      <c r="AB563">
        <v>20</v>
      </c>
      <c r="AC563">
        <v>22</v>
      </c>
      <c r="AD563">
        <v>0.2</v>
      </c>
      <c r="AE563">
        <v>85734.326896413593</v>
      </c>
    </row>
    <row r="564" spans="1:31" x14ac:dyDescent="0.3">
      <c r="A564" t="str">
        <f>IF(ISBLANK(B564),"",IF(ROUND(B564,0)=ROUND(G564,0),"Pass","Fail"))</f>
        <v>Pass</v>
      </c>
      <c r="B564">
        <f t="shared" si="54"/>
        <v>20.309726715087891</v>
      </c>
      <c r="C564">
        <v>0</v>
      </c>
      <c r="D564">
        <v>70</v>
      </c>
      <c r="E564">
        <v>20</v>
      </c>
      <c r="F564">
        <v>40</v>
      </c>
      <c r="G564">
        <v>20.309726764327099</v>
      </c>
      <c r="M564" t="str">
        <f t="shared" si="55"/>
        <v>Pass</v>
      </c>
      <c r="N564">
        <f t="shared" si="56"/>
        <v>0</v>
      </c>
      <c r="O564">
        <v>30</v>
      </c>
      <c r="P564">
        <v>10</v>
      </c>
      <c r="Q564">
        <v>0</v>
      </c>
      <c r="R564" t="b">
        <v>1</v>
      </c>
      <c r="S564">
        <v>0</v>
      </c>
      <c r="Y564" t="str">
        <f t="shared" si="57"/>
        <v>Pass</v>
      </c>
      <c r="Z564">
        <f t="shared" si="58"/>
        <v>86085.6640625</v>
      </c>
      <c r="AA564">
        <v>8400</v>
      </c>
      <c r="AB564">
        <v>20</v>
      </c>
      <c r="AC564">
        <v>24</v>
      </c>
      <c r="AD564">
        <v>0.2</v>
      </c>
      <c r="AE564">
        <v>86085.657956145005</v>
      </c>
    </row>
    <row r="565" spans="1:31" x14ac:dyDescent="0.3">
      <c r="A565" t="str">
        <f>IF(ISBLANK(B565),"",IF(ROUND(B565,0)=ROUND(G565,0),"Pass","Fail"))</f>
        <v>Pass</v>
      </c>
      <c r="B565">
        <f t="shared" si="54"/>
        <v>19.232208251953125</v>
      </c>
      <c r="C565">
        <v>0</v>
      </c>
      <c r="D565">
        <v>70</v>
      </c>
      <c r="E565">
        <v>20</v>
      </c>
      <c r="F565">
        <v>48</v>
      </c>
      <c r="G565">
        <v>19.232207900819699</v>
      </c>
      <c r="M565" t="str">
        <f t="shared" si="55"/>
        <v>Pass</v>
      </c>
      <c r="N565">
        <f t="shared" si="56"/>
        <v>0</v>
      </c>
      <c r="O565">
        <v>30</v>
      </c>
      <c r="P565">
        <v>10</v>
      </c>
      <c r="Q565">
        <v>0</v>
      </c>
      <c r="R565" t="b">
        <v>0</v>
      </c>
      <c r="S565">
        <v>0</v>
      </c>
      <c r="Y565" t="str">
        <f t="shared" si="57"/>
        <v>Pass</v>
      </c>
      <c r="Z565">
        <f t="shared" si="58"/>
        <v>0</v>
      </c>
      <c r="AA565">
        <v>8600</v>
      </c>
      <c r="AB565">
        <v>20</v>
      </c>
      <c r="AC565">
        <v>0</v>
      </c>
      <c r="AD565">
        <v>0.2</v>
      </c>
      <c r="AE565">
        <v>0</v>
      </c>
    </row>
    <row r="566" spans="1:31" x14ac:dyDescent="0.3">
      <c r="A566" t="str">
        <f>IF(ISBLANK(B566),"",IF(ROUND(B566,0)=ROUND(G566,0),"Pass","Fail"))</f>
        <v>Pass</v>
      </c>
      <c r="B566">
        <f t="shared" si="54"/>
        <v>85.267997741699219</v>
      </c>
      <c r="C566">
        <v>0</v>
      </c>
      <c r="D566">
        <v>70</v>
      </c>
      <c r="E566">
        <v>30</v>
      </c>
      <c r="F566">
        <v>0</v>
      </c>
      <c r="G566">
        <v>85.268000000000001</v>
      </c>
      <c r="M566" t="str">
        <f t="shared" si="55"/>
        <v>Pass</v>
      </c>
      <c r="N566">
        <f t="shared" si="56"/>
        <v>17.490940093994141</v>
      </c>
      <c r="O566">
        <v>30</v>
      </c>
      <c r="P566">
        <v>10</v>
      </c>
      <c r="Q566">
        <v>0.5</v>
      </c>
      <c r="R566" t="b">
        <v>1</v>
      </c>
      <c r="S566">
        <v>17.4909418330321</v>
      </c>
      <c r="Y566" t="str">
        <f t="shared" si="57"/>
        <v>Pass</v>
      </c>
      <c r="Z566">
        <f t="shared" si="58"/>
        <v>29297.556640625</v>
      </c>
      <c r="AA566">
        <v>8600</v>
      </c>
      <c r="AB566">
        <v>20</v>
      </c>
      <c r="AC566">
        <v>2</v>
      </c>
      <c r="AD566">
        <v>0.2</v>
      </c>
      <c r="AE566">
        <v>29297.5585756328</v>
      </c>
    </row>
    <row r="567" spans="1:31" x14ac:dyDescent="0.3">
      <c r="A567" t="str">
        <f>IF(ISBLANK(B567),"",IF(ROUND(B567,0)=ROUND(G567,0),"Pass","Fail"))</f>
        <v>Pass</v>
      </c>
      <c r="B567">
        <f t="shared" si="54"/>
        <v>51.931228637695313</v>
      </c>
      <c r="C567">
        <v>0</v>
      </c>
      <c r="D567">
        <v>70</v>
      </c>
      <c r="E567">
        <v>30</v>
      </c>
      <c r="F567">
        <v>8</v>
      </c>
      <c r="G567">
        <v>51.931228080723002</v>
      </c>
      <c r="M567" t="str">
        <f t="shared" si="55"/>
        <v>Pass</v>
      </c>
      <c r="N567">
        <f t="shared" si="56"/>
        <v>721.0926513671875</v>
      </c>
      <c r="O567">
        <v>30</v>
      </c>
      <c r="P567">
        <v>10</v>
      </c>
      <c r="Q567">
        <v>0.5</v>
      </c>
      <c r="R567" t="b">
        <v>0</v>
      </c>
      <c r="S567">
        <v>721.09266958133003</v>
      </c>
      <c r="Y567" t="str">
        <f t="shared" si="57"/>
        <v>Pass</v>
      </c>
      <c r="Z567">
        <f t="shared" si="58"/>
        <v>48936.30078125</v>
      </c>
      <c r="AA567">
        <v>8600</v>
      </c>
      <c r="AB567">
        <v>20</v>
      </c>
      <c r="AC567">
        <v>4</v>
      </c>
      <c r="AD567">
        <v>0.2</v>
      </c>
      <c r="AE567">
        <v>48936.2993887829</v>
      </c>
    </row>
    <row r="568" spans="1:31" x14ac:dyDescent="0.3">
      <c r="A568" t="str">
        <f>IF(ISBLANK(B568),"",IF(ROUND(B568,0)=ROUND(G568,0),"Pass","Fail"))</f>
        <v>Pass</v>
      </c>
      <c r="B568">
        <f t="shared" si="54"/>
        <v>35.149993896484375</v>
      </c>
      <c r="C568">
        <v>0</v>
      </c>
      <c r="D568">
        <v>70</v>
      </c>
      <c r="E568">
        <v>30</v>
      </c>
      <c r="F568">
        <v>16</v>
      </c>
      <c r="G568">
        <v>35.149997247101702</v>
      </c>
      <c r="M568" t="str">
        <f t="shared" si="55"/>
        <v>Pass</v>
      </c>
      <c r="N568">
        <f t="shared" si="56"/>
        <v>20.471372604370117</v>
      </c>
      <c r="O568">
        <v>30</v>
      </c>
      <c r="P568">
        <v>10</v>
      </c>
      <c r="Q568">
        <v>1</v>
      </c>
      <c r="R568" t="b">
        <v>1</v>
      </c>
      <c r="S568">
        <v>20.471374559491899</v>
      </c>
      <c r="Y568" t="str">
        <f t="shared" si="57"/>
        <v>Pass</v>
      </c>
      <c r="Z568">
        <f t="shared" si="58"/>
        <v>62100.54296875</v>
      </c>
      <c r="AA568">
        <v>8600</v>
      </c>
      <c r="AB568">
        <v>20</v>
      </c>
      <c r="AC568">
        <v>6</v>
      </c>
      <c r="AD568">
        <v>0.2</v>
      </c>
      <c r="AE568">
        <v>62100.541034735601</v>
      </c>
    </row>
    <row r="569" spans="1:31" x14ac:dyDescent="0.3">
      <c r="A569" t="str">
        <f>IF(ISBLANK(B569),"",IF(ROUND(B569,0)=ROUND(G569,0),"Pass","Fail"))</f>
        <v>Pass</v>
      </c>
      <c r="B569">
        <f t="shared" si="54"/>
        <v>26.70257568359375</v>
      </c>
      <c r="C569">
        <v>0</v>
      </c>
      <c r="D569">
        <v>70</v>
      </c>
      <c r="E569">
        <v>30</v>
      </c>
      <c r="F569">
        <v>24</v>
      </c>
      <c r="G569">
        <v>26.702577413736201</v>
      </c>
      <c r="M569" t="str">
        <f t="shared" si="55"/>
        <v>Pass</v>
      </c>
      <c r="N569">
        <f t="shared" si="56"/>
        <v>843.9658203125</v>
      </c>
      <c r="O569">
        <v>30</v>
      </c>
      <c r="P569">
        <v>10</v>
      </c>
      <c r="Q569">
        <v>1</v>
      </c>
      <c r="R569" t="b">
        <v>0</v>
      </c>
      <c r="S569">
        <v>843.96588085527401</v>
      </c>
      <c r="Y569" t="str">
        <f t="shared" si="57"/>
        <v>Pass</v>
      </c>
      <c r="Z569">
        <f t="shared" si="58"/>
        <v>70924.796875</v>
      </c>
      <c r="AA569">
        <v>8600</v>
      </c>
      <c r="AB569">
        <v>20</v>
      </c>
      <c r="AC569">
        <v>8</v>
      </c>
      <c r="AD569">
        <v>0.2</v>
      </c>
      <c r="AE569">
        <v>70924.796100874897</v>
      </c>
    </row>
    <row r="570" spans="1:31" x14ac:dyDescent="0.3">
      <c r="A570" t="str">
        <f>IF(ISBLANK(B570),"",IF(ROUND(B570,0)=ROUND(G570,0),"Pass","Fail"))</f>
        <v>Pass</v>
      </c>
      <c r="B570">
        <f t="shared" si="54"/>
        <v>22.450271606445313</v>
      </c>
      <c r="C570">
        <v>0</v>
      </c>
      <c r="D570">
        <v>70</v>
      </c>
      <c r="E570">
        <v>30</v>
      </c>
      <c r="F570">
        <v>32</v>
      </c>
      <c r="G570">
        <v>22.4502730059946</v>
      </c>
      <c r="M570" t="str">
        <f t="shared" si="55"/>
        <v>Pass</v>
      </c>
      <c r="N570">
        <f t="shared" si="56"/>
        <v>22.445003509521484</v>
      </c>
      <c r="O570">
        <v>30</v>
      </c>
      <c r="P570">
        <v>10</v>
      </c>
      <c r="Q570">
        <v>1.5</v>
      </c>
      <c r="R570" t="b">
        <v>1</v>
      </c>
      <c r="S570">
        <v>22.4450057162069</v>
      </c>
      <c r="Y570" t="str">
        <f t="shared" si="57"/>
        <v>Pass</v>
      </c>
      <c r="Z570">
        <f t="shared" si="58"/>
        <v>76839.875</v>
      </c>
      <c r="AA570">
        <v>8600</v>
      </c>
      <c r="AB570">
        <v>20</v>
      </c>
      <c r="AC570">
        <v>10</v>
      </c>
      <c r="AD570">
        <v>0.2</v>
      </c>
      <c r="AE570">
        <v>76839.871163039599</v>
      </c>
    </row>
    <row r="571" spans="1:31" x14ac:dyDescent="0.3">
      <c r="A571" t="str">
        <f>IF(ISBLANK(B571),"",IF(ROUND(B571,0)=ROUND(G571,0),"Pass","Fail"))</f>
        <v>Pass</v>
      </c>
      <c r="B571">
        <f t="shared" si="54"/>
        <v>20.309726715087891</v>
      </c>
      <c r="C571">
        <v>0</v>
      </c>
      <c r="D571">
        <v>70</v>
      </c>
      <c r="E571">
        <v>30</v>
      </c>
      <c r="F571">
        <v>40</v>
      </c>
      <c r="G571">
        <v>20.309726764327099</v>
      </c>
      <c r="M571" t="str">
        <f t="shared" si="55"/>
        <v>Pass</v>
      </c>
      <c r="N571">
        <f t="shared" si="56"/>
        <v>925.33209228515625</v>
      </c>
      <c r="O571">
        <v>30</v>
      </c>
      <c r="P571">
        <v>10</v>
      </c>
      <c r="Q571">
        <v>1.5</v>
      </c>
      <c r="R571" t="b">
        <v>0</v>
      </c>
      <c r="S571">
        <v>925.33205159382396</v>
      </c>
      <c r="Y571" t="str">
        <f t="shared" si="57"/>
        <v>Pass</v>
      </c>
      <c r="Z571">
        <f t="shared" si="58"/>
        <v>80804.8671875</v>
      </c>
      <c r="AA571">
        <v>8600</v>
      </c>
      <c r="AB571">
        <v>20</v>
      </c>
      <c r="AC571">
        <v>12</v>
      </c>
      <c r="AD571">
        <v>0.2</v>
      </c>
      <c r="AE571">
        <v>80804.864551014194</v>
      </c>
    </row>
    <row r="572" spans="1:31" x14ac:dyDescent="0.3">
      <c r="A572" t="str">
        <f>IF(ISBLANK(B572),"",IF(ROUND(B572,0)=ROUND(G572,0),"Pass","Fail"))</f>
        <v>Pass</v>
      </c>
      <c r="B572">
        <f t="shared" si="54"/>
        <v>19.232208251953125</v>
      </c>
      <c r="C572">
        <v>0</v>
      </c>
      <c r="D572">
        <v>70</v>
      </c>
      <c r="E572">
        <v>30</v>
      </c>
      <c r="F572">
        <v>48</v>
      </c>
      <c r="G572">
        <v>19.232207900819699</v>
      </c>
      <c r="M572" t="str">
        <f t="shared" si="55"/>
        <v>Pass</v>
      </c>
      <c r="N572">
        <f t="shared" si="56"/>
        <v>23.959665298461914</v>
      </c>
      <c r="O572">
        <v>30</v>
      </c>
      <c r="P572">
        <v>10</v>
      </c>
      <c r="Q572">
        <v>2</v>
      </c>
      <c r="R572" t="b">
        <v>1</v>
      </c>
      <c r="S572">
        <v>23.959668973546801</v>
      </c>
      <c r="Y572" t="str">
        <f t="shared" si="57"/>
        <v>Pass</v>
      </c>
      <c r="Z572">
        <f t="shared" si="58"/>
        <v>83462.671875</v>
      </c>
      <c r="AA572">
        <v>8600</v>
      </c>
      <c r="AB572">
        <v>20</v>
      </c>
      <c r="AC572">
        <v>14</v>
      </c>
      <c r="AD572">
        <v>0.2</v>
      </c>
      <c r="AE572">
        <v>83462.679101372298</v>
      </c>
    </row>
    <row r="573" spans="1:31" x14ac:dyDescent="0.3">
      <c r="A573" t="str">
        <f>IF(ISBLANK(B573),"",IF(ROUND(B573,0)=ROUND(G573,0),"Pass","Fail"))</f>
        <v>Pass</v>
      </c>
      <c r="B573">
        <f t="shared" si="54"/>
        <v>85.267997741699219</v>
      </c>
      <c r="C573">
        <v>0</v>
      </c>
      <c r="D573">
        <v>70</v>
      </c>
      <c r="E573">
        <v>40</v>
      </c>
      <c r="F573">
        <v>0</v>
      </c>
      <c r="G573">
        <v>85.268000000000001</v>
      </c>
      <c r="M573" t="str">
        <f t="shared" si="55"/>
        <v>Pass</v>
      </c>
      <c r="N573">
        <f t="shared" si="56"/>
        <v>987.7764892578125</v>
      </c>
      <c r="O573">
        <v>30</v>
      </c>
      <c r="P573">
        <v>10</v>
      </c>
      <c r="Q573">
        <v>2</v>
      </c>
      <c r="R573" t="b">
        <v>0</v>
      </c>
      <c r="S573">
        <v>987.77652040391797</v>
      </c>
      <c r="Y573" t="str">
        <f t="shared" si="57"/>
        <v>Pass</v>
      </c>
      <c r="Z573">
        <f t="shared" si="58"/>
        <v>85244.265625</v>
      </c>
      <c r="AA573">
        <v>8600</v>
      </c>
      <c r="AB573">
        <v>20</v>
      </c>
      <c r="AC573">
        <v>16</v>
      </c>
      <c r="AD573">
        <v>0.2</v>
      </c>
      <c r="AE573">
        <v>85244.265473122505</v>
      </c>
    </row>
    <row r="574" spans="1:31" x14ac:dyDescent="0.3">
      <c r="A574" t="str">
        <f>IF(ISBLANK(B574),"",IF(ROUND(B574,0)=ROUND(G574,0),"Pass","Fail"))</f>
        <v>Pass</v>
      </c>
      <c r="B574">
        <f t="shared" si="54"/>
        <v>51.931228637695313</v>
      </c>
      <c r="C574">
        <v>0</v>
      </c>
      <c r="D574">
        <v>70</v>
      </c>
      <c r="E574">
        <v>40</v>
      </c>
      <c r="F574">
        <v>8</v>
      </c>
      <c r="G574">
        <v>51.931228080723002</v>
      </c>
      <c r="M574" t="str">
        <f t="shared" si="55"/>
        <v>Pass</v>
      </c>
      <c r="N574">
        <f t="shared" si="56"/>
        <v>25.204574584960938</v>
      </c>
      <c r="O574">
        <v>30</v>
      </c>
      <c r="P574">
        <v>10</v>
      </c>
      <c r="Q574">
        <v>2.5</v>
      </c>
      <c r="R574" t="b">
        <v>1</v>
      </c>
      <c r="S574">
        <v>25.204575449807798</v>
      </c>
      <c r="Y574" t="str">
        <f t="shared" si="57"/>
        <v>Fail</v>
      </c>
      <c r="Z574">
        <f t="shared" si="58"/>
        <v>86438.5</v>
      </c>
      <c r="AA574">
        <v>8600</v>
      </c>
      <c r="AB574">
        <v>20</v>
      </c>
      <c r="AC574">
        <v>18</v>
      </c>
      <c r="AD574">
        <v>0.2</v>
      </c>
      <c r="AE574">
        <v>86438.498531850593</v>
      </c>
    </row>
    <row r="575" spans="1:31" x14ac:dyDescent="0.3">
      <c r="A575" t="str">
        <f>IF(ISBLANK(B575),"",IF(ROUND(B575,0)=ROUND(G575,0),"Pass","Fail"))</f>
        <v>Pass</v>
      </c>
      <c r="B575">
        <f t="shared" si="54"/>
        <v>35.149993896484375</v>
      </c>
      <c r="C575">
        <v>0</v>
      </c>
      <c r="D575">
        <v>70</v>
      </c>
      <c r="E575">
        <v>40</v>
      </c>
      <c r="F575">
        <v>16</v>
      </c>
      <c r="G575">
        <v>35.149997247101702</v>
      </c>
      <c r="M575" t="str">
        <f t="shared" si="55"/>
        <v>Pass</v>
      </c>
      <c r="N575">
        <f t="shared" si="56"/>
        <v>1039.099853515625</v>
      </c>
      <c r="O575">
        <v>30</v>
      </c>
      <c r="P575">
        <v>10</v>
      </c>
      <c r="Q575">
        <v>2.5</v>
      </c>
      <c r="R575" t="b">
        <v>0</v>
      </c>
      <c r="S575">
        <v>1039.09982494151</v>
      </c>
      <c r="Y575" t="str">
        <f t="shared" si="57"/>
        <v>Pass</v>
      </c>
      <c r="Z575">
        <f t="shared" si="58"/>
        <v>87239.0234375</v>
      </c>
      <c r="AA575">
        <v>8600</v>
      </c>
      <c r="AB575">
        <v>20</v>
      </c>
      <c r="AC575">
        <v>20</v>
      </c>
      <c r="AD575">
        <v>0.2</v>
      </c>
      <c r="AE575">
        <v>87239.016890754399</v>
      </c>
    </row>
    <row r="576" spans="1:31" x14ac:dyDescent="0.3">
      <c r="A576" t="str">
        <f>IF(ISBLANK(B576),"",IF(ROUND(B576,0)=ROUND(G576,0),"Pass","Fail"))</f>
        <v>Pass</v>
      </c>
      <c r="B576">
        <f t="shared" si="54"/>
        <v>26.70257568359375</v>
      </c>
      <c r="C576">
        <v>0</v>
      </c>
      <c r="D576">
        <v>70</v>
      </c>
      <c r="E576">
        <v>40</v>
      </c>
      <c r="F576">
        <v>24</v>
      </c>
      <c r="G576">
        <v>26.702577413736201</v>
      </c>
      <c r="M576" t="str">
        <f t="shared" si="55"/>
        <v>Pass</v>
      </c>
      <c r="N576">
        <f t="shared" si="56"/>
        <v>26.269601821899414</v>
      </c>
      <c r="O576">
        <v>30</v>
      </c>
      <c r="P576">
        <v>10</v>
      </c>
      <c r="Q576">
        <v>3</v>
      </c>
      <c r="R576" t="b">
        <v>1</v>
      </c>
      <c r="S576">
        <v>26.269604198138001</v>
      </c>
      <c r="Y576" t="str">
        <f t="shared" si="57"/>
        <v>Pass</v>
      </c>
      <c r="Z576">
        <f t="shared" si="58"/>
        <v>87775.625</v>
      </c>
      <c r="AA576">
        <v>8600</v>
      </c>
      <c r="AB576">
        <v>20</v>
      </c>
      <c r="AC576">
        <v>22</v>
      </c>
      <c r="AD576">
        <v>0.2</v>
      </c>
      <c r="AE576">
        <v>87775.620393947305</v>
      </c>
    </row>
    <row r="577" spans="1:31" x14ac:dyDescent="0.3">
      <c r="A577" t="str">
        <f>IF(ISBLANK(B577),"",IF(ROUND(B577,0)=ROUND(G577,0),"Pass","Fail"))</f>
        <v>Pass</v>
      </c>
      <c r="B577">
        <f t="shared" si="54"/>
        <v>22.450271606445313</v>
      </c>
      <c r="C577">
        <v>0</v>
      </c>
      <c r="D577">
        <v>70</v>
      </c>
      <c r="E577">
        <v>40</v>
      </c>
      <c r="F577">
        <v>32</v>
      </c>
      <c r="G577">
        <v>22.4502730059946</v>
      </c>
      <c r="M577" t="str">
        <f t="shared" si="55"/>
        <v>Pass</v>
      </c>
      <c r="N577">
        <f t="shared" si="56"/>
        <v>1083.00732421875</v>
      </c>
      <c r="O577">
        <v>30</v>
      </c>
      <c r="P577">
        <v>10</v>
      </c>
      <c r="Q577">
        <v>3</v>
      </c>
      <c r="R577" t="b">
        <v>0</v>
      </c>
      <c r="S577">
        <v>1083.0073760983</v>
      </c>
      <c r="Y577" t="str">
        <f t="shared" si="57"/>
        <v>Pass</v>
      </c>
      <c r="Z577">
        <f t="shared" si="58"/>
        <v>88135.3203125</v>
      </c>
      <c r="AA577">
        <v>8600</v>
      </c>
      <c r="AB577">
        <v>20</v>
      </c>
      <c r="AC577">
        <v>24</v>
      </c>
      <c r="AD577">
        <v>0.2</v>
      </c>
      <c r="AE577">
        <v>88135.316478910405</v>
      </c>
    </row>
    <row r="578" spans="1:31" x14ac:dyDescent="0.3">
      <c r="A578" t="str">
        <f>IF(ISBLANK(B578),"",IF(ROUND(B578,0)=ROUND(G578,0),"Pass","Fail"))</f>
        <v>Pass</v>
      </c>
      <c r="B578">
        <f t="shared" si="54"/>
        <v>20.309726715087891</v>
      </c>
      <c r="C578">
        <v>0</v>
      </c>
      <c r="D578">
        <v>70</v>
      </c>
      <c r="E578">
        <v>40</v>
      </c>
      <c r="F578">
        <v>40</v>
      </c>
      <c r="G578">
        <v>20.309726764327099</v>
      </c>
      <c r="M578" t="str">
        <f t="shared" si="55"/>
        <v>Pass</v>
      </c>
      <c r="N578">
        <f t="shared" si="56"/>
        <v>27.205104827880859</v>
      </c>
      <c r="O578">
        <v>30</v>
      </c>
      <c r="P578">
        <v>10</v>
      </c>
      <c r="Q578">
        <v>3.5</v>
      </c>
      <c r="R578" t="b">
        <v>1</v>
      </c>
      <c r="S578">
        <v>27.205107766837301</v>
      </c>
      <c r="Y578" t="str">
        <f t="shared" si="57"/>
        <v>Pass</v>
      </c>
      <c r="Z578">
        <f t="shared" si="58"/>
        <v>0</v>
      </c>
      <c r="AA578">
        <v>8800</v>
      </c>
      <c r="AB578">
        <v>20</v>
      </c>
      <c r="AC578">
        <v>0</v>
      </c>
      <c r="AD578">
        <v>0.2</v>
      </c>
      <c r="AE578">
        <v>0</v>
      </c>
    </row>
    <row r="579" spans="1:31" x14ac:dyDescent="0.3">
      <c r="A579" t="str">
        <f>IF(ISBLANK(B579),"",IF(ROUND(B579,0)=ROUND(G579,0),"Pass","Fail"))</f>
        <v>Pass</v>
      </c>
      <c r="B579">
        <f t="shared" si="54"/>
        <v>19.232208251953125</v>
      </c>
      <c r="C579">
        <v>0</v>
      </c>
      <c r="D579">
        <v>70</v>
      </c>
      <c r="E579">
        <v>40</v>
      </c>
      <c r="F579">
        <v>48</v>
      </c>
      <c r="G579">
        <v>19.232207900819699</v>
      </c>
      <c r="M579" t="str">
        <f t="shared" si="55"/>
        <v>Pass</v>
      </c>
      <c r="N579">
        <f t="shared" si="56"/>
        <v>1121.574951171875</v>
      </c>
      <c r="O579">
        <v>30</v>
      </c>
      <c r="P579">
        <v>10</v>
      </c>
      <c r="Q579">
        <v>3.5</v>
      </c>
      <c r="R579" t="b">
        <v>0</v>
      </c>
      <c r="S579">
        <v>1121.57503998946</v>
      </c>
      <c r="Y579" t="str">
        <f t="shared" si="57"/>
        <v>Pass</v>
      </c>
      <c r="Z579">
        <f t="shared" si="58"/>
        <v>29978.896484375</v>
      </c>
      <c r="AA579">
        <v>8800</v>
      </c>
      <c r="AB579">
        <v>20</v>
      </c>
      <c r="AC579">
        <v>2</v>
      </c>
      <c r="AD579">
        <v>0.2</v>
      </c>
      <c r="AE579">
        <v>29978.897147159201</v>
      </c>
    </row>
    <row r="580" spans="1:31" x14ac:dyDescent="0.3">
      <c r="A580" t="str">
        <f>IF(ISBLANK(B580),"",IF(ROUND(B580,0)=ROUND(G580,0),"Pass","Fail"))</f>
        <v>Pass</v>
      </c>
      <c r="B580">
        <f t="shared" si="54"/>
        <v>85.267997741699219</v>
      </c>
      <c r="C580">
        <v>0</v>
      </c>
      <c r="D580">
        <v>70</v>
      </c>
      <c r="E580">
        <v>50</v>
      </c>
      <c r="F580">
        <v>0</v>
      </c>
      <c r="G580">
        <v>85.268000000000001</v>
      </c>
      <c r="M580" t="str">
        <f t="shared" si="55"/>
        <v>Pass</v>
      </c>
      <c r="N580">
        <f t="shared" si="56"/>
        <v>28.042362213134766</v>
      </c>
      <c r="O580">
        <v>30</v>
      </c>
      <c r="P580">
        <v>10</v>
      </c>
      <c r="Q580">
        <v>4</v>
      </c>
      <c r="R580" t="b">
        <v>1</v>
      </c>
      <c r="S580">
        <v>28.042364016820098</v>
      </c>
      <c r="Y580" t="str">
        <f t="shared" si="57"/>
        <v>Pass</v>
      </c>
      <c r="Z580">
        <f t="shared" si="58"/>
        <v>50074.35546875</v>
      </c>
      <c r="AA580">
        <v>8800</v>
      </c>
      <c r="AB580">
        <v>20</v>
      </c>
      <c r="AC580">
        <v>4</v>
      </c>
      <c r="AD580">
        <v>0.2</v>
      </c>
      <c r="AE580">
        <v>50074.352862940599</v>
      </c>
    </row>
    <row r="581" spans="1:31" x14ac:dyDescent="0.3">
      <c r="A581" t="str">
        <f>IF(ISBLANK(B581),"",IF(ROUND(B581,0)=ROUND(G581,0),"Pass","Fail"))</f>
        <v>Pass</v>
      </c>
      <c r="B581">
        <f t="shared" si="54"/>
        <v>51.931228637695313</v>
      </c>
      <c r="C581">
        <v>0</v>
      </c>
      <c r="D581">
        <v>70</v>
      </c>
      <c r="E581">
        <v>50</v>
      </c>
      <c r="F581">
        <v>8</v>
      </c>
      <c r="G581">
        <v>51.931228080723002</v>
      </c>
      <c r="M581" t="str">
        <f t="shared" si="55"/>
        <v>Pass</v>
      </c>
      <c r="N581">
        <f t="shared" si="56"/>
        <v>1156.09228515625</v>
      </c>
      <c r="O581">
        <v>30</v>
      </c>
      <c r="P581">
        <v>10</v>
      </c>
      <c r="Q581">
        <v>4</v>
      </c>
      <c r="R581" t="b">
        <v>0</v>
      </c>
      <c r="S581">
        <v>1156.09229756124</v>
      </c>
      <c r="Y581" t="str">
        <f t="shared" si="57"/>
        <v>Pass</v>
      </c>
      <c r="Z581">
        <f t="shared" si="58"/>
        <v>63544.7421875</v>
      </c>
      <c r="AA581">
        <v>8800</v>
      </c>
      <c r="AB581">
        <v>20</v>
      </c>
      <c r="AC581">
        <v>6</v>
      </c>
      <c r="AD581">
        <v>0.2</v>
      </c>
      <c r="AE581">
        <v>63544.739663450397</v>
      </c>
    </row>
    <row r="582" spans="1:31" x14ac:dyDescent="0.3">
      <c r="A582" t="str">
        <f>IF(ISBLANK(B582),"",IF(ROUND(B582,0)=ROUND(G582,0),"Pass","Fail"))</f>
        <v>Pass</v>
      </c>
      <c r="B582">
        <f t="shared" si="54"/>
        <v>35.149993896484375</v>
      </c>
      <c r="C582">
        <v>0</v>
      </c>
      <c r="D582">
        <v>70</v>
      </c>
      <c r="E582">
        <v>50</v>
      </c>
      <c r="F582">
        <v>16</v>
      </c>
      <c r="G582">
        <v>35.149997247101702</v>
      </c>
      <c r="M582" t="str">
        <f t="shared" si="55"/>
        <v>Pass</v>
      </c>
      <c r="N582">
        <f t="shared" si="56"/>
        <v>0</v>
      </c>
      <c r="O582">
        <v>30</v>
      </c>
      <c r="P582">
        <v>20</v>
      </c>
      <c r="Q582">
        <v>0</v>
      </c>
      <c r="R582" t="b">
        <v>1</v>
      </c>
      <c r="S582">
        <v>0</v>
      </c>
      <c r="Y582" t="str">
        <f t="shared" si="57"/>
        <v>Pass</v>
      </c>
      <c r="Z582">
        <f t="shared" si="58"/>
        <v>72574.2109375</v>
      </c>
      <c r="AA582">
        <v>8800</v>
      </c>
      <c r="AB582">
        <v>20</v>
      </c>
      <c r="AC582">
        <v>8</v>
      </c>
      <c r="AD582">
        <v>0.2</v>
      </c>
      <c r="AE582">
        <v>72574.209963685993</v>
      </c>
    </row>
    <row r="583" spans="1:31" x14ac:dyDescent="0.3">
      <c r="A583" t="str">
        <f>IF(ISBLANK(B583),"",IF(ROUND(B583,0)=ROUND(G583,0),"Pass","Fail"))</f>
        <v>Pass</v>
      </c>
      <c r="B583">
        <f t="shared" ref="B583:B646" si="59">FMC_heath(C583,D583,E583,F583)</f>
        <v>26.70257568359375</v>
      </c>
      <c r="C583">
        <v>0</v>
      </c>
      <c r="D583">
        <v>70</v>
      </c>
      <c r="E583">
        <v>50</v>
      </c>
      <c r="F583">
        <v>24</v>
      </c>
      <c r="G583">
        <v>26.702577413736201</v>
      </c>
      <c r="M583" t="str">
        <f t="shared" ref="M583:M646" si="60">IF(ISBLANK(N583),"",IF(ROUND(N583,0)=ROUND(S583,0),"Pass","Fail"))</f>
        <v>Pass</v>
      </c>
      <c r="N583">
        <f t="shared" ref="N583:N646" si="61">ROS_heath(O583,Q583,P583,R583)</f>
        <v>0</v>
      </c>
      <c r="O583">
        <v>30</v>
      </c>
      <c r="P583">
        <v>20</v>
      </c>
      <c r="Q583">
        <v>0</v>
      </c>
      <c r="R583" t="b">
        <v>0</v>
      </c>
      <c r="S583">
        <v>0</v>
      </c>
      <c r="Y583" t="str">
        <f t="shared" ref="Y583:Y646" si="62">IF(ISBLANK(Z583),"",IF(ROUND(Z583,0)=ROUND(AE583,0),"Pass","Fail"))</f>
        <v>Pass</v>
      </c>
      <c r="Z583">
        <f t="shared" ref="Z583:Z646" si="63">intensity_heath(AA583,AB583,AC583,AD583)</f>
        <v>78626.8515625</v>
      </c>
      <c r="AA583">
        <v>8800</v>
      </c>
      <c r="AB583">
        <v>20</v>
      </c>
      <c r="AC583">
        <v>10</v>
      </c>
      <c r="AD583">
        <v>0.2</v>
      </c>
      <c r="AE583">
        <v>78626.844911017295</v>
      </c>
    </row>
    <row r="584" spans="1:31" x14ac:dyDescent="0.3">
      <c r="A584" t="str">
        <f>IF(ISBLANK(B584),"",IF(ROUND(B584,0)=ROUND(G584,0),"Pass","Fail"))</f>
        <v>Pass</v>
      </c>
      <c r="B584">
        <f t="shared" si="59"/>
        <v>22.450271606445313</v>
      </c>
      <c r="C584">
        <v>0</v>
      </c>
      <c r="D584">
        <v>70</v>
      </c>
      <c r="E584">
        <v>50</v>
      </c>
      <c r="F584">
        <v>32</v>
      </c>
      <c r="G584">
        <v>22.4502730059946</v>
      </c>
      <c r="M584" t="str">
        <f t="shared" si="60"/>
        <v>Pass</v>
      </c>
      <c r="N584">
        <f t="shared" si="61"/>
        <v>0.46339774131774902</v>
      </c>
      <c r="O584">
        <v>30</v>
      </c>
      <c r="P584">
        <v>20</v>
      </c>
      <c r="Q584">
        <v>0.5</v>
      </c>
      <c r="R584" t="b">
        <v>1</v>
      </c>
      <c r="S584">
        <v>0.46339774656152799</v>
      </c>
      <c r="Y584" t="str">
        <f t="shared" si="62"/>
        <v>Pass</v>
      </c>
      <c r="Z584">
        <f t="shared" si="63"/>
        <v>82684.046875</v>
      </c>
      <c r="AA584">
        <v>8800</v>
      </c>
      <c r="AB584">
        <v>20</v>
      </c>
      <c r="AC584">
        <v>12</v>
      </c>
      <c r="AD584">
        <v>0.2</v>
      </c>
      <c r="AE584">
        <v>82684.047447549397</v>
      </c>
    </row>
    <row r="585" spans="1:31" x14ac:dyDescent="0.3">
      <c r="A585" t="str">
        <f>IF(ISBLANK(B585),"",IF(ROUND(B585,0)=ROUND(G585,0),"Pass","Fail"))</f>
        <v>Pass</v>
      </c>
      <c r="B585">
        <f t="shared" si="59"/>
        <v>20.309726715087891</v>
      </c>
      <c r="C585">
        <v>0</v>
      </c>
      <c r="D585">
        <v>70</v>
      </c>
      <c r="E585">
        <v>50</v>
      </c>
      <c r="F585">
        <v>40</v>
      </c>
      <c r="G585">
        <v>20.309726764327099</v>
      </c>
      <c r="M585" t="str">
        <f t="shared" si="60"/>
        <v>Pass</v>
      </c>
      <c r="N585">
        <f t="shared" si="61"/>
        <v>19.104330062866211</v>
      </c>
      <c r="O585">
        <v>30</v>
      </c>
      <c r="P585">
        <v>20</v>
      </c>
      <c r="Q585">
        <v>0.5</v>
      </c>
      <c r="R585" t="b">
        <v>0</v>
      </c>
      <c r="S585">
        <v>19.104329620201899</v>
      </c>
      <c r="Y585" t="str">
        <f t="shared" si="62"/>
        <v>Pass</v>
      </c>
      <c r="Z585">
        <f t="shared" si="63"/>
        <v>85403.6640625</v>
      </c>
      <c r="AA585">
        <v>8800</v>
      </c>
      <c r="AB585">
        <v>20</v>
      </c>
      <c r="AC585">
        <v>14</v>
      </c>
      <c r="AD585">
        <v>0.2</v>
      </c>
      <c r="AE585">
        <v>85403.671638613494</v>
      </c>
    </row>
    <row r="586" spans="1:31" x14ac:dyDescent="0.3">
      <c r="A586" t="str">
        <f>IF(ISBLANK(B586),"",IF(ROUND(B586,0)=ROUND(G586,0),"Pass","Fail"))</f>
        <v>Pass</v>
      </c>
      <c r="B586">
        <f t="shared" si="59"/>
        <v>19.232208251953125</v>
      </c>
      <c r="C586">
        <v>0</v>
      </c>
      <c r="D586">
        <v>70</v>
      </c>
      <c r="E586">
        <v>50</v>
      </c>
      <c r="F586">
        <v>48</v>
      </c>
      <c r="G586">
        <v>19.232207900819699</v>
      </c>
      <c r="M586" t="str">
        <f t="shared" si="60"/>
        <v>Pass</v>
      </c>
      <c r="N586">
        <f t="shared" si="61"/>
        <v>0.54236006736755371</v>
      </c>
      <c r="O586">
        <v>30</v>
      </c>
      <c r="P586">
        <v>20</v>
      </c>
      <c r="Q586">
        <v>1</v>
      </c>
      <c r="R586" t="b">
        <v>1</v>
      </c>
      <c r="S586">
        <v>0.54236009303799904</v>
      </c>
      <c r="Y586" t="str">
        <f t="shared" si="62"/>
        <v>Pass</v>
      </c>
      <c r="Z586">
        <f t="shared" si="63"/>
        <v>87226.6875</v>
      </c>
      <c r="AA586">
        <v>8800</v>
      </c>
      <c r="AB586">
        <v>20</v>
      </c>
      <c r="AC586">
        <v>16</v>
      </c>
      <c r="AD586">
        <v>0.2</v>
      </c>
      <c r="AE586">
        <v>87226.690251567197</v>
      </c>
    </row>
    <row r="587" spans="1:31" x14ac:dyDescent="0.3">
      <c r="A587" t="str">
        <f>IF(ISBLANK(B587),"",IF(ROUND(B587,0)=ROUND(G587,0),"Pass","Fail"))</f>
        <v>Pass</v>
      </c>
      <c r="B587">
        <f t="shared" si="59"/>
        <v>85.267997741699219</v>
      </c>
      <c r="C587">
        <v>0</v>
      </c>
      <c r="D587">
        <v>70</v>
      </c>
      <c r="E587">
        <v>60</v>
      </c>
      <c r="F587">
        <v>0</v>
      </c>
      <c r="G587">
        <v>85.268000000000001</v>
      </c>
      <c r="M587" t="str">
        <f t="shared" si="60"/>
        <v>Pass</v>
      </c>
      <c r="N587">
        <f t="shared" si="61"/>
        <v>22.359683990478516</v>
      </c>
      <c r="O587">
        <v>30</v>
      </c>
      <c r="P587">
        <v>20</v>
      </c>
      <c r="Q587">
        <v>1</v>
      </c>
      <c r="R587" t="b">
        <v>0</v>
      </c>
      <c r="S587">
        <v>22.359681433767001</v>
      </c>
      <c r="Y587" t="str">
        <f t="shared" si="62"/>
        <v>Pass</v>
      </c>
      <c r="Z587">
        <f t="shared" si="63"/>
        <v>88448.6953125</v>
      </c>
      <c r="AA587">
        <v>8800</v>
      </c>
      <c r="AB587">
        <v>20</v>
      </c>
      <c r="AC587">
        <v>18</v>
      </c>
      <c r="AD587">
        <v>0.2</v>
      </c>
      <c r="AE587">
        <v>88448.696172126205</v>
      </c>
    </row>
    <row r="588" spans="1:31" x14ac:dyDescent="0.3">
      <c r="A588" t="str">
        <f>IF(ISBLANK(B588),"",IF(ROUND(B588,0)=ROUND(G588,0),"Pass","Fail"))</f>
        <v>Pass</v>
      </c>
      <c r="B588">
        <f t="shared" si="59"/>
        <v>51.931228637695313</v>
      </c>
      <c r="C588">
        <v>0</v>
      </c>
      <c r="D588">
        <v>70</v>
      </c>
      <c r="E588">
        <v>60</v>
      </c>
      <c r="F588">
        <v>8</v>
      </c>
      <c r="G588">
        <v>51.931228080723002</v>
      </c>
      <c r="M588" t="str">
        <f t="shared" si="60"/>
        <v>Pass</v>
      </c>
      <c r="N588">
        <f t="shared" si="61"/>
        <v>0.59464865922927856</v>
      </c>
      <c r="O588">
        <v>30</v>
      </c>
      <c r="P588">
        <v>20</v>
      </c>
      <c r="Q588">
        <v>1.5</v>
      </c>
      <c r="R588" t="b">
        <v>1</v>
      </c>
      <c r="S588">
        <v>0.59464865698703495</v>
      </c>
      <c r="Y588" t="str">
        <f t="shared" si="62"/>
        <v>Pass</v>
      </c>
      <c r="Z588">
        <f t="shared" si="63"/>
        <v>89267.8359375</v>
      </c>
      <c r="AA588">
        <v>8800</v>
      </c>
      <c r="AB588">
        <v>20</v>
      </c>
      <c r="AC588">
        <v>20</v>
      </c>
      <c r="AD588">
        <v>0.2</v>
      </c>
      <c r="AE588">
        <v>89267.831237051098</v>
      </c>
    </row>
    <row r="589" spans="1:31" x14ac:dyDescent="0.3">
      <c r="A589" t="str">
        <f>IF(ISBLANK(B589),"",IF(ROUND(B589,0)=ROUND(G589,0),"Pass","Fail"))</f>
        <v>Pass</v>
      </c>
      <c r="B589">
        <f t="shared" si="59"/>
        <v>35.149993896484375</v>
      </c>
      <c r="C589">
        <v>0</v>
      </c>
      <c r="D589">
        <v>70</v>
      </c>
      <c r="E589">
        <v>60</v>
      </c>
      <c r="F589">
        <v>16</v>
      </c>
      <c r="G589">
        <v>35.149997247101702</v>
      </c>
      <c r="M589" t="str">
        <f t="shared" si="60"/>
        <v>Pass</v>
      </c>
      <c r="N589">
        <f t="shared" si="61"/>
        <v>24.515363693237305</v>
      </c>
      <c r="O589">
        <v>30</v>
      </c>
      <c r="P589">
        <v>20</v>
      </c>
      <c r="Q589">
        <v>1.5</v>
      </c>
      <c r="R589" t="b">
        <v>0</v>
      </c>
      <c r="S589">
        <v>24.515362958896699</v>
      </c>
      <c r="Y589" t="str">
        <f t="shared" si="62"/>
        <v>Pass</v>
      </c>
      <c r="Z589">
        <f t="shared" si="63"/>
        <v>89816.921875</v>
      </c>
      <c r="AA589">
        <v>8800</v>
      </c>
      <c r="AB589">
        <v>20</v>
      </c>
      <c r="AC589">
        <v>22</v>
      </c>
      <c r="AD589">
        <v>0.2</v>
      </c>
      <c r="AE589">
        <v>89816.913891480901</v>
      </c>
    </row>
    <row r="590" spans="1:31" x14ac:dyDescent="0.3">
      <c r="A590" t="str">
        <f>IF(ISBLANK(B590),"",IF(ROUND(B590,0)=ROUND(G590,0),"Pass","Fail"))</f>
        <v>Pass</v>
      </c>
      <c r="B590">
        <f t="shared" si="59"/>
        <v>26.70257568359375</v>
      </c>
      <c r="C590">
        <v>0</v>
      </c>
      <c r="D590">
        <v>70</v>
      </c>
      <c r="E590">
        <v>60</v>
      </c>
      <c r="F590">
        <v>24</v>
      </c>
      <c r="G590">
        <v>26.702577413736201</v>
      </c>
      <c r="M590" t="str">
        <f t="shared" si="60"/>
        <v>Pass</v>
      </c>
      <c r="N590">
        <f t="shared" si="61"/>
        <v>0.6347774863243103</v>
      </c>
      <c r="O590">
        <v>30</v>
      </c>
      <c r="P590">
        <v>20</v>
      </c>
      <c r="Q590">
        <v>2</v>
      </c>
      <c r="R590" t="b">
        <v>1</v>
      </c>
      <c r="S590">
        <v>0.63477751608170696</v>
      </c>
      <c r="Y590" t="str">
        <f t="shared" si="62"/>
        <v>Pass</v>
      </c>
      <c r="Z590">
        <f t="shared" si="63"/>
        <v>90184.9765625</v>
      </c>
      <c r="AA590">
        <v>8800</v>
      </c>
      <c r="AB590">
        <v>20</v>
      </c>
      <c r="AC590">
        <v>24</v>
      </c>
      <c r="AD590">
        <v>0.2</v>
      </c>
      <c r="AE590">
        <v>90184.975001675703</v>
      </c>
    </row>
    <row r="591" spans="1:31" x14ac:dyDescent="0.3">
      <c r="A591" t="str">
        <f>IF(ISBLANK(B591),"",IF(ROUND(B591,0)=ROUND(G591,0),"Pass","Fail"))</f>
        <v>Pass</v>
      </c>
      <c r="B591">
        <f t="shared" si="59"/>
        <v>22.450271606445313</v>
      </c>
      <c r="C591">
        <v>0</v>
      </c>
      <c r="D591">
        <v>70</v>
      </c>
      <c r="E591">
        <v>60</v>
      </c>
      <c r="F591">
        <v>32</v>
      </c>
      <c r="G591">
        <v>22.4502730059946</v>
      </c>
      <c r="M591" t="str">
        <f t="shared" si="60"/>
        <v>Pass</v>
      </c>
      <c r="N591">
        <f t="shared" si="61"/>
        <v>26.169740676879883</v>
      </c>
      <c r="O591">
        <v>30</v>
      </c>
      <c r="P591">
        <v>20</v>
      </c>
      <c r="Q591">
        <v>2</v>
      </c>
      <c r="R591" t="b">
        <v>0</v>
      </c>
      <c r="S591">
        <v>26.1697407738856</v>
      </c>
      <c r="Y591" t="str">
        <f t="shared" si="62"/>
        <v>Pass</v>
      </c>
      <c r="Z591">
        <f t="shared" si="63"/>
        <v>0</v>
      </c>
      <c r="AA591">
        <v>9000</v>
      </c>
      <c r="AB591">
        <v>20</v>
      </c>
      <c r="AC591">
        <v>0</v>
      </c>
      <c r="AD591">
        <v>0.2</v>
      </c>
      <c r="AE591">
        <v>0</v>
      </c>
    </row>
    <row r="592" spans="1:31" x14ac:dyDescent="0.3">
      <c r="A592" t="str">
        <f>IF(ISBLANK(B592),"",IF(ROUND(B592,0)=ROUND(G592,0),"Pass","Fail"))</f>
        <v>Pass</v>
      </c>
      <c r="B592">
        <f t="shared" si="59"/>
        <v>20.309726715087891</v>
      </c>
      <c r="C592">
        <v>0</v>
      </c>
      <c r="D592">
        <v>70</v>
      </c>
      <c r="E592">
        <v>60</v>
      </c>
      <c r="F592">
        <v>40</v>
      </c>
      <c r="G592">
        <v>20.309726764327099</v>
      </c>
      <c r="M592" t="str">
        <f t="shared" si="60"/>
        <v>Pass</v>
      </c>
      <c r="N592">
        <f t="shared" si="61"/>
        <v>0.66775953769683838</v>
      </c>
      <c r="O592">
        <v>30</v>
      </c>
      <c r="P592">
        <v>20</v>
      </c>
      <c r="Q592">
        <v>2.5</v>
      </c>
      <c r="R592" t="b">
        <v>1</v>
      </c>
      <c r="S592">
        <v>0.66775955108509</v>
      </c>
      <c r="Y592" t="str">
        <f t="shared" si="62"/>
        <v>Pass</v>
      </c>
      <c r="Z592">
        <f t="shared" si="63"/>
        <v>30660.234375</v>
      </c>
      <c r="AA592">
        <v>9000</v>
      </c>
      <c r="AB592">
        <v>20</v>
      </c>
      <c r="AC592">
        <v>2</v>
      </c>
      <c r="AD592">
        <v>0.2</v>
      </c>
      <c r="AE592">
        <v>30660.235718685501</v>
      </c>
    </row>
    <row r="593" spans="1:31" x14ac:dyDescent="0.3">
      <c r="A593" t="str">
        <f>IF(ISBLANK(B593),"",IF(ROUND(B593,0)=ROUND(G593,0),"Pass","Fail"))</f>
        <v>Pass</v>
      </c>
      <c r="B593">
        <f t="shared" si="59"/>
        <v>19.232208251953125</v>
      </c>
      <c r="C593">
        <v>0</v>
      </c>
      <c r="D593">
        <v>70</v>
      </c>
      <c r="E593">
        <v>60</v>
      </c>
      <c r="F593">
        <v>48</v>
      </c>
      <c r="G593">
        <v>19.232207900819699</v>
      </c>
      <c r="M593" t="str">
        <f t="shared" si="60"/>
        <v>Pass</v>
      </c>
      <c r="N593">
        <f t="shared" si="61"/>
        <v>27.529478073120117</v>
      </c>
      <c r="O593">
        <v>30</v>
      </c>
      <c r="P593">
        <v>20</v>
      </c>
      <c r="Q593">
        <v>2.5</v>
      </c>
      <c r="R593" t="b">
        <v>0</v>
      </c>
      <c r="S593">
        <v>27.5294790827684</v>
      </c>
      <c r="Y593" t="str">
        <f t="shared" si="62"/>
        <v>Pass</v>
      </c>
      <c r="Z593">
        <f t="shared" si="63"/>
        <v>51212.40625</v>
      </c>
      <c r="AA593">
        <v>9000</v>
      </c>
      <c r="AB593">
        <v>20</v>
      </c>
      <c r="AC593">
        <v>4</v>
      </c>
      <c r="AD593">
        <v>0.2</v>
      </c>
      <c r="AE593">
        <v>51212.406337098299</v>
      </c>
    </row>
    <row r="594" spans="1:31" x14ac:dyDescent="0.3">
      <c r="A594" t="str">
        <f>IF(ISBLANK(B594),"",IF(ROUND(B594,0)=ROUND(G594,0),"Pass","Fail"))</f>
        <v>Pass</v>
      </c>
      <c r="B594">
        <f t="shared" si="59"/>
        <v>85.267997741699219</v>
      </c>
      <c r="C594">
        <v>0</v>
      </c>
      <c r="D594">
        <v>70</v>
      </c>
      <c r="E594">
        <v>70</v>
      </c>
      <c r="F594">
        <v>0</v>
      </c>
      <c r="G594">
        <v>85.268000000000001</v>
      </c>
      <c r="M594" t="str">
        <f t="shared" si="60"/>
        <v>Pass</v>
      </c>
      <c r="N594">
        <f t="shared" si="61"/>
        <v>0.69597595930099487</v>
      </c>
      <c r="O594">
        <v>30</v>
      </c>
      <c r="P594">
        <v>20</v>
      </c>
      <c r="Q594">
        <v>3</v>
      </c>
      <c r="R594" t="b">
        <v>1</v>
      </c>
      <c r="S594">
        <v>0.695975980292316</v>
      </c>
      <c r="Y594" t="str">
        <f t="shared" si="62"/>
        <v>Pass</v>
      </c>
      <c r="Z594">
        <f t="shared" si="63"/>
        <v>64988.94140625</v>
      </c>
      <c r="AA594">
        <v>9000</v>
      </c>
      <c r="AB594">
        <v>20</v>
      </c>
      <c r="AC594">
        <v>6</v>
      </c>
      <c r="AD594">
        <v>0.2</v>
      </c>
      <c r="AE594">
        <v>64988.9382921652</v>
      </c>
    </row>
    <row r="595" spans="1:31" x14ac:dyDescent="0.3">
      <c r="A595" t="str">
        <f>IF(ISBLANK(B595),"",IF(ROUND(B595,0)=ROUND(G595,0),"Pass","Fail"))</f>
        <v>Pass</v>
      </c>
      <c r="B595">
        <f t="shared" si="59"/>
        <v>51.931228637695313</v>
      </c>
      <c r="C595">
        <v>0</v>
      </c>
      <c r="D595">
        <v>70</v>
      </c>
      <c r="E595">
        <v>70</v>
      </c>
      <c r="F595">
        <v>8</v>
      </c>
      <c r="G595">
        <v>51.931228080723002</v>
      </c>
      <c r="M595" t="str">
        <f t="shared" si="60"/>
        <v>Pass</v>
      </c>
      <c r="N595">
        <f t="shared" si="61"/>
        <v>28.692747116088867</v>
      </c>
      <c r="O595">
        <v>30</v>
      </c>
      <c r="P595">
        <v>20</v>
      </c>
      <c r="Q595">
        <v>3</v>
      </c>
      <c r="R595" t="b">
        <v>0</v>
      </c>
      <c r="S595">
        <v>28.692747502349199</v>
      </c>
      <c r="Y595" t="str">
        <f t="shared" si="62"/>
        <v>Pass</v>
      </c>
      <c r="Z595">
        <f t="shared" si="63"/>
        <v>74223.625</v>
      </c>
      <c r="AA595">
        <v>9000</v>
      </c>
      <c r="AB595">
        <v>20</v>
      </c>
      <c r="AC595">
        <v>8</v>
      </c>
      <c r="AD595">
        <v>0.2</v>
      </c>
      <c r="AE595">
        <v>74223.623826497002</v>
      </c>
    </row>
    <row r="596" spans="1:31" x14ac:dyDescent="0.3">
      <c r="A596" t="str">
        <f>IF(ISBLANK(B596),"",IF(ROUND(B596,0)=ROUND(G596,0),"Pass","Fail"))</f>
        <v>Pass</v>
      </c>
      <c r="B596">
        <f t="shared" si="59"/>
        <v>35.149993896484375</v>
      </c>
      <c r="C596">
        <v>0</v>
      </c>
      <c r="D596">
        <v>70</v>
      </c>
      <c r="E596">
        <v>70</v>
      </c>
      <c r="F596">
        <v>16</v>
      </c>
      <c r="G596">
        <v>35.149997247101702</v>
      </c>
      <c r="M596" t="str">
        <f t="shared" si="60"/>
        <v>Pass</v>
      </c>
      <c r="N596">
        <f t="shared" si="61"/>
        <v>0.7207607626914978</v>
      </c>
      <c r="O596">
        <v>30</v>
      </c>
      <c r="P596">
        <v>20</v>
      </c>
      <c r="Q596">
        <v>3.5</v>
      </c>
      <c r="R596" t="b">
        <v>1</v>
      </c>
      <c r="S596">
        <v>0.72076082319979295</v>
      </c>
      <c r="Y596" t="str">
        <f t="shared" si="62"/>
        <v>Pass</v>
      </c>
      <c r="Z596">
        <f t="shared" si="63"/>
        <v>80413.8203125</v>
      </c>
      <c r="AA596">
        <v>9000</v>
      </c>
      <c r="AB596">
        <v>20</v>
      </c>
      <c r="AC596">
        <v>10</v>
      </c>
      <c r="AD596">
        <v>0.2</v>
      </c>
      <c r="AE596">
        <v>80413.818658995006</v>
      </c>
    </row>
    <row r="597" spans="1:31" x14ac:dyDescent="0.3">
      <c r="A597" t="str">
        <f>IF(ISBLANK(B597),"",IF(ROUND(B597,0)=ROUND(G597,0),"Pass","Fail"))</f>
        <v>Pass</v>
      </c>
      <c r="B597">
        <f t="shared" si="59"/>
        <v>26.70257568359375</v>
      </c>
      <c r="C597">
        <v>0</v>
      </c>
      <c r="D597">
        <v>70</v>
      </c>
      <c r="E597">
        <v>70</v>
      </c>
      <c r="F597">
        <v>24</v>
      </c>
      <c r="G597">
        <v>26.702577413736201</v>
      </c>
      <c r="M597" t="str">
        <f t="shared" si="60"/>
        <v>Pass</v>
      </c>
      <c r="N597">
        <f t="shared" si="61"/>
        <v>29.714544296264648</v>
      </c>
      <c r="O597">
        <v>30</v>
      </c>
      <c r="P597">
        <v>20</v>
      </c>
      <c r="Q597">
        <v>3.5</v>
      </c>
      <c r="R597" t="b">
        <v>0</v>
      </c>
      <c r="S597">
        <v>29.7145431670946</v>
      </c>
      <c r="Y597" t="str">
        <f t="shared" si="62"/>
        <v>Pass</v>
      </c>
      <c r="Z597">
        <f t="shared" si="63"/>
        <v>84563.234375</v>
      </c>
      <c r="AA597">
        <v>9000</v>
      </c>
      <c r="AB597">
        <v>20</v>
      </c>
      <c r="AC597">
        <v>12</v>
      </c>
      <c r="AD597">
        <v>0.2</v>
      </c>
      <c r="AE597">
        <v>84563.230344084601</v>
      </c>
    </row>
    <row r="598" spans="1:31" x14ac:dyDescent="0.3">
      <c r="A598" t="str">
        <f>IF(ISBLANK(B598),"",IF(ROUND(B598,0)=ROUND(G598,0),"Pass","Fail"))</f>
        <v>Pass</v>
      </c>
      <c r="B598">
        <f t="shared" si="59"/>
        <v>22.450271606445313</v>
      </c>
      <c r="C598">
        <v>0</v>
      </c>
      <c r="D598">
        <v>70</v>
      </c>
      <c r="E598">
        <v>70</v>
      </c>
      <c r="F598">
        <v>32</v>
      </c>
      <c r="G598">
        <v>22.4502730059946</v>
      </c>
      <c r="M598" t="str">
        <f t="shared" si="60"/>
        <v>Pass</v>
      </c>
      <c r="N598">
        <f t="shared" si="61"/>
        <v>0.74294275045394897</v>
      </c>
      <c r="O598">
        <v>30</v>
      </c>
      <c r="P598">
        <v>20</v>
      </c>
      <c r="Q598">
        <v>4</v>
      </c>
      <c r="R598" t="b">
        <v>1</v>
      </c>
      <c r="S598">
        <v>0.74294274246064396</v>
      </c>
      <c r="Y598" t="str">
        <f t="shared" si="62"/>
        <v>Pass</v>
      </c>
      <c r="Z598">
        <f t="shared" si="63"/>
        <v>87344.65625</v>
      </c>
      <c r="AA598">
        <v>9000</v>
      </c>
      <c r="AB598">
        <v>20</v>
      </c>
      <c r="AC598">
        <v>14</v>
      </c>
      <c r="AD598">
        <v>0.2</v>
      </c>
      <c r="AE598">
        <v>87344.664175854705</v>
      </c>
    </row>
    <row r="599" spans="1:31" x14ac:dyDescent="0.3">
      <c r="A599" t="str">
        <f>IF(ISBLANK(B599),"",IF(ROUND(B599,0)=ROUND(G599,0),"Pass","Fail"))</f>
        <v>Pass</v>
      </c>
      <c r="B599">
        <f t="shared" si="59"/>
        <v>20.309726715087891</v>
      </c>
      <c r="C599">
        <v>0</v>
      </c>
      <c r="D599">
        <v>70</v>
      </c>
      <c r="E599">
        <v>70</v>
      </c>
      <c r="F599">
        <v>40</v>
      </c>
      <c r="G599">
        <v>20.309726764327099</v>
      </c>
      <c r="M599" t="str">
        <f t="shared" si="60"/>
        <v>Pass</v>
      </c>
      <c r="N599">
        <f t="shared" si="61"/>
        <v>30.629030227661133</v>
      </c>
      <c r="O599">
        <v>30</v>
      </c>
      <c r="P599">
        <v>20</v>
      </c>
      <c r="Q599">
        <v>4</v>
      </c>
      <c r="R599" t="b">
        <v>0</v>
      </c>
      <c r="S599">
        <v>30.629029049497898</v>
      </c>
      <c r="Y599" t="str">
        <f t="shared" si="62"/>
        <v>Pass</v>
      </c>
      <c r="Z599">
        <f t="shared" si="63"/>
        <v>89209.109375</v>
      </c>
      <c r="AA599">
        <v>9000</v>
      </c>
      <c r="AB599">
        <v>20</v>
      </c>
      <c r="AC599">
        <v>16</v>
      </c>
      <c r="AD599">
        <v>0.2</v>
      </c>
      <c r="AE599">
        <v>89209.115030011904</v>
      </c>
    </row>
    <row r="600" spans="1:31" x14ac:dyDescent="0.3">
      <c r="A600" t="str">
        <f>IF(ISBLANK(B600),"",IF(ROUND(B600,0)=ROUND(G600,0),"Pass","Fail"))</f>
        <v>Pass</v>
      </c>
      <c r="B600">
        <f t="shared" si="59"/>
        <v>19.232208251953125</v>
      </c>
      <c r="C600">
        <v>0</v>
      </c>
      <c r="D600">
        <v>70</v>
      </c>
      <c r="E600">
        <v>70</v>
      </c>
      <c r="F600">
        <v>48</v>
      </c>
      <c r="G600">
        <v>19.232207900819699</v>
      </c>
      <c r="M600" t="str">
        <f t="shared" si="60"/>
        <v>Pass</v>
      </c>
      <c r="N600">
        <f t="shared" si="61"/>
        <v>0</v>
      </c>
      <c r="O600">
        <v>30</v>
      </c>
      <c r="P600">
        <v>30</v>
      </c>
      <c r="Q600">
        <v>0</v>
      </c>
      <c r="R600" t="b">
        <v>1</v>
      </c>
      <c r="S600">
        <v>0</v>
      </c>
      <c r="Y600" t="str">
        <f t="shared" si="62"/>
        <v>Pass</v>
      </c>
      <c r="Z600">
        <f t="shared" si="63"/>
        <v>90458.8984375</v>
      </c>
      <c r="AA600">
        <v>9000</v>
      </c>
      <c r="AB600">
        <v>20</v>
      </c>
      <c r="AC600">
        <v>18</v>
      </c>
      <c r="AD600">
        <v>0.2</v>
      </c>
      <c r="AE600">
        <v>90458.893812401802</v>
      </c>
    </row>
    <row r="601" spans="1:31" x14ac:dyDescent="0.3">
      <c r="A601" t="str">
        <f>IF(ISBLANK(B601),"",IF(ROUND(B601,0)=ROUND(G601,0),"Pass","Fail"))</f>
        <v>Pass</v>
      </c>
      <c r="B601">
        <f t="shared" si="59"/>
        <v>85.267997741699219</v>
      </c>
      <c r="C601">
        <v>0</v>
      </c>
      <c r="D601">
        <v>70</v>
      </c>
      <c r="E601">
        <v>80</v>
      </c>
      <c r="F601">
        <v>0</v>
      </c>
      <c r="G601">
        <v>85.268000000000001</v>
      </c>
      <c r="M601" t="str">
        <f t="shared" si="60"/>
        <v>Pass</v>
      </c>
      <c r="N601">
        <f t="shared" si="61"/>
        <v>0</v>
      </c>
      <c r="O601">
        <v>30</v>
      </c>
      <c r="P601">
        <v>30</v>
      </c>
      <c r="Q601">
        <v>0</v>
      </c>
      <c r="R601" t="b">
        <v>0</v>
      </c>
      <c r="S601">
        <v>0</v>
      </c>
      <c r="Y601" t="str">
        <f t="shared" si="62"/>
        <v>Pass</v>
      </c>
      <c r="Z601">
        <f t="shared" si="63"/>
        <v>91296.6484375</v>
      </c>
      <c r="AA601">
        <v>9000</v>
      </c>
      <c r="AB601">
        <v>20</v>
      </c>
      <c r="AC601">
        <v>20</v>
      </c>
      <c r="AD601">
        <v>0.2</v>
      </c>
      <c r="AE601">
        <v>91296.645583347694</v>
      </c>
    </row>
    <row r="602" spans="1:31" x14ac:dyDescent="0.3">
      <c r="A602" t="str">
        <f>IF(ISBLANK(B602),"",IF(ROUND(B602,0)=ROUND(G602,0),"Pass","Fail"))</f>
        <v>Pass</v>
      </c>
      <c r="B602">
        <f t="shared" si="59"/>
        <v>51.931228637695313</v>
      </c>
      <c r="C602">
        <v>0</v>
      </c>
      <c r="D602">
        <v>70</v>
      </c>
      <c r="E602">
        <v>80</v>
      </c>
      <c r="F602">
        <v>8</v>
      </c>
      <c r="G602">
        <v>51.931228080723002</v>
      </c>
      <c r="M602" t="str">
        <f t="shared" si="60"/>
        <v>Pass</v>
      </c>
      <c r="N602">
        <f t="shared" si="61"/>
        <v>2.0259940065443516E-3</v>
      </c>
      <c r="O602">
        <v>30</v>
      </c>
      <c r="P602">
        <v>30</v>
      </c>
      <c r="Q602">
        <v>0.5</v>
      </c>
      <c r="R602" t="b">
        <v>1</v>
      </c>
      <c r="S602">
        <v>2.0259941158562002E-3</v>
      </c>
      <c r="Y602" t="str">
        <f t="shared" si="62"/>
        <v>Pass</v>
      </c>
      <c r="Z602">
        <f t="shared" si="63"/>
        <v>91858.2109375</v>
      </c>
      <c r="AA602">
        <v>9000</v>
      </c>
      <c r="AB602">
        <v>20</v>
      </c>
      <c r="AC602">
        <v>22</v>
      </c>
      <c r="AD602">
        <v>0.2</v>
      </c>
      <c r="AE602">
        <v>91858.207389014598</v>
      </c>
    </row>
    <row r="603" spans="1:31" x14ac:dyDescent="0.3">
      <c r="A603" t="str">
        <f>IF(ISBLANK(B603),"",IF(ROUND(B603,0)=ROUND(G603,0),"Pass","Fail"))</f>
        <v>Pass</v>
      </c>
      <c r="B603">
        <f t="shared" si="59"/>
        <v>35.149993896484375</v>
      </c>
      <c r="C603">
        <v>0</v>
      </c>
      <c r="D603">
        <v>70</v>
      </c>
      <c r="E603">
        <v>80</v>
      </c>
      <c r="F603">
        <v>16</v>
      </c>
      <c r="G603">
        <v>35.149997247101702</v>
      </c>
      <c r="M603" t="str">
        <f t="shared" si="60"/>
        <v>Pass</v>
      </c>
      <c r="N603">
        <f t="shared" si="61"/>
        <v>8.3524912595748901E-2</v>
      </c>
      <c r="O603">
        <v>30</v>
      </c>
      <c r="P603">
        <v>30</v>
      </c>
      <c r="Q603">
        <v>0.5</v>
      </c>
      <c r="R603" t="b">
        <v>0</v>
      </c>
      <c r="S603">
        <v>8.3524919327089095E-2</v>
      </c>
      <c r="Y603" t="str">
        <f t="shared" si="62"/>
        <v>Pass</v>
      </c>
      <c r="Z603">
        <f t="shared" si="63"/>
        <v>92234.640625</v>
      </c>
      <c r="AA603">
        <v>9000</v>
      </c>
      <c r="AB603">
        <v>20</v>
      </c>
      <c r="AC603">
        <v>24</v>
      </c>
      <c r="AD603">
        <v>0.2</v>
      </c>
      <c r="AE603">
        <v>92234.633524441102</v>
      </c>
    </row>
    <row r="604" spans="1:31" x14ac:dyDescent="0.3">
      <c r="A604" t="str">
        <f>IF(ISBLANK(B604),"",IF(ROUND(B604,0)=ROUND(G604,0),"Pass","Fail"))</f>
        <v>Pass</v>
      </c>
      <c r="B604">
        <f t="shared" si="59"/>
        <v>26.70257568359375</v>
      </c>
      <c r="C604">
        <v>0</v>
      </c>
      <c r="D604">
        <v>70</v>
      </c>
      <c r="E604">
        <v>80</v>
      </c>
      <c r="F604">
        <v>24</v>
      </c>
      <c r="G604">
        <v>26.702577413736201</v>
      </c>
      <c r="M604" t="str">
        <f t="shared" si="60"/>
        <v>Pass</v>
      </c>
      <c r="N604">
        <f t="shared" si="61"/>
        <v>2.3712206166237593E-3</v>
      </c>
      <c r="O604">
        <v>30</v>
      </c>
      <c r="P604">
        <v>30</v>
      </c>
      <c r="Q604">
        <v>1</v>
      </c>
      <c r="R604" t="b">
        <v>1</v>
      </c>
      <c r="S604">
        <v>2.3712207608336099E-3</v>
      </c>
      <c r="Y604" t="str">
        <f t="shared" si="62"/>
        <v>Pass</v>
      </c>
      <c r="Z604">
        <f t="shared" si="63"/>
        <v>0</v>
      </c>
      <c r="AA604">
        <v>9200</v>
      </c>
      <c r="AB604">
        <v>20</v>
      </c>
      <c r="AC604">
        <v>0</v>
      </c>
      <c r="AD604">
        <v>0.2</v>
      </c>
      <c r="AE604">
        <v>0</v>
      </c>
    </row>
    <row r="605" spans="1:31" x14ac:dyDescent="0.3">
      <c r="A605" t="str">
        <f>IF(ISBLANK(B605),"",IF(ROUND(B605,0)=ROUND(G605,0),"Pass","Fail"))</f>
        <v>Pass</v>
      </c>
      <c r="B605">
        <f t="shared" si="59"/>
        <v>22.450271606445313</v>
      </c>
      <c r="C605">
        <v>0</v>
      </c>
      <c r="D605">
        <v>70</v>
      </c>
      <c r="E605">
        <v>80</v>
      </c>
      <c r="F605">
        <v>32</v>
      </c>
      <c r="G605">
        <v>22.4502730059946</v>
      </c>
      <c r="M605" t="str">
        <f t="shared" si="60"/>
        <v>Pass</v>
      </c>
      <c r="N605">
        <f t="shared" si="61"/>
        <v>9.7757451236248016E-2</v>
      </c>
      <c r="O605">
        <v>30</v>
      </c>
      <c r="P605">
        <v>30</v>
      </c>
      <c r="Q605">
        <v>1</v>
      </c>
      <c r="R605" t="b">
        <v>0</v>
      </c>
      <c r="S605">
        <v>9.7757452109699702E-2</v>
      </c>
      <c r="Y605" t="str">
        <f t="shared" si="62"/>
        <v>Pass</v>
      </c>
      <c r="Z605">
        <f t="shared" si="63"/>
        <v>31341.572265625</v>
      </c>
      <c r="AA605">
        <v>9200</v>
      </c>
      <c r="AB605">
        <v>20</v>
      </c>
      <c r="AC605">
        <v>2</v>
      </c>
      <c r="AD605">
        <v>0.2</v>
      </c>
      <c r="AE605">
        <v>31341.5742902118</v>
      </c>
    </row>
    <row r="606" spans="1:31" x14ac:dyDescent="0.3">
      <c r="A606" t="str">
        <f>IF(ISBLANK(B606),"",IF(ROUND(B606,0)=ROUND(G606,0),"Pass","Fail"))</f>
        <v>Pass</v>
      </c>
      <c r="B606">
        <f t="shared" si="59"/>
        <v>20.309726715087891</v>
      </c>
      <c r="C606">
        <v>0</v>
      </c>
      <c r="D606">
        <v>70</v>
      </c>
      <c r="E606">
        <v>80</v>
      </c>
      <c r="F606">
        <v>40</v>
      </c>
      <c r="G606">
        <v>20.309726764327099</v>
      </c>
      <c r="M606" t="str">
        <f t="shared" si="60"/>
        <v>Pass</v>
      </c>
      <c r="N606">
        <f t="shared" si="61"/>
        <v>2.5998284108936787E-3</v>
      </c>
      <c r="O606">
        <v>30</v>
      </c>
      <c r="P606">
        <v>30</v>
      </c>
      <c r="Q606">
        <v>1.5</v>
      </c>
      <c r="R606" t="b">
        <v>1</v>
      </c>
      <c r="S606">
        <v>2.59982852527222E-3</v>
      </c>
      <c r="Y606" t="str">
        <f t="shared" si="62"/>
        <v>Pass</v>
      </c>
      <c r="Z606">
        <f t="shared" si="63"/>
        <v>52350.4609375</v>
      </c>
      <c r="AA606">
        <v>9200</v>
      </c>
      <c r="AB606">
        <v>20</v>
      </c>
      <c r="AC606">
        <v>4</v>
      </c>
      <c r="AD606">
        <v>0.2</v>
      </c>
      <c r="AE606">
        <v>52350.4598112561</v>
      </c>
    </row>
    <row r="607" spans="1:31" x14ac:dyDescent="0.3">
      <c r="A607" t="str">
        <f>IF(ISBLANK(B607),"",IF(ROUND(B607,0)=ROUND(G607,0),"Pass","Fail"))</f>
        <v>Pass</v>
      </c>
      <c r="B607">
        <f t="shared" si="59"/>
        <v>19.232208251953125</v>
      </c>
      <c r="C607">
        <v>0</v>
      </c>
      <c r="D607">
        <v>70</v>
      </c>
      <c r="E607">
        <v>80</v>
      </c>
      <c r="F607">
        <v>48</v>
      </c>
      <c r="G607">
        <v>19.232207900819699</v>
      </c>
      <c r="M607" t="str">
        <f t="shared" si="60"/>
        <v>Pass</v>
      </c>
      <c r="N607">
        <f t="shared" si="61"/>
        <v>0.10718217492103577</v>
      </c>
      <c r="O607">
        <v>30</v>
      </c>
      <c r="P607">
        <v>30</v>
      </c>
      <c r="Q607">
        <v>1.5</v>
      </c>
      <c r="R607" t="b">
        <v>0</v>
      </c>
      <c r="S607">
        <v>0.107182180904734</v>
      </c>
      <c r="Y607" t="str">
        <f t="shared" si="62"/>
        <v>Pass</v>
      </c>
      <c r="Z607">
        <f t="shared" si="63"/>
        <v>66433.140625</v>
      </c>
      <c r="AA607">
        <v>9200</v>
      </c>
      <c r="AB607">
        <v>20</v>
      </c>
      <c r="AC607">
        <v>6</v>
      </c>
      <c r="AD607">
        <v>0.2</v>
      </c>
      <c r="AE607">
        <v>66433.136920879901</v>
      </c>
    </row>
    <row r="608" spans="1:31" x14ac:dyDescent="0.3">
      <c r="A608" t="str">
        <f>IF(ISBLANK(B608),"",IF(ROUND(B608,0)=ROUND(G608,0),"Pass","Fail"))</f>
        <v>Pass</v>
      </c>
      <c r="B608">
        <f t="shared" si="59"/>
        <v>85.267997741699219</v>
      </c>
      <c r="C608">
        <v>0</v>
      </c>
      <c r="D608">
        <v>70</v>
      </c>
      <c r="E608">
        <v>90</v>
      </c>
      <c r="F608">
        <v>0</v>
      </c>
      <c r="G608">
        <v>85.268000000000001</v>
      </c>
      <c r="M608" t="str">
        <f t="shared" si="60"/>
        <v>Pass</v>
      </c>
      <c r="N608">
        <f t="shared" si="61"/>
        <v>2.775273285806179E-3</v>
      </c>
      <c r="O608">
        <v>30</v>
      </c>
      <c r="P608">
        <v>30</v>
      </c>
      <c r="Q608">
        <v>2</v>
      </c>
      <c r="R608" t="b">
        <v>1</v>
      </c>
      <c r="S608">
        <v>2.77527355711601E-3</v>
      </c>
      <c r="Y608" t="str">
        <f t="shared" si="62"/>
        <v>Pass</v>
      </c>
      <c r="Z608">
        <f t="shared" si="63"/>
        <v>75873.0390625</v>
      </c>
      <c r="AA608">
        <v>9200</v>
      </c>
      <c r="AB608">
        <v>20</v>
      </c>
      <c r="AC608">
        <v>8</v>
      </c>
      <c r="AD608">
        <v>0.2</v>
      </c>
      <c r="AE608">
        <v>75873.037689308097</v>
      </c>
    </row>
    <row r="609" spans="1:31" x14ac:dyDescent="0.3">
      <c r="A609" t="str">
        <f>IF(ISBLANK(B609),"",IF(ROUND(B609,0)=ROUND(G609,0),"Pass","Fail"))</f>
        <v>Pass</v>
      </c>
      <c r="B609">
        <f t="shared" si="59"/>
        <v>51.931228637695313</v>
      </c>
      <c r="C609">
        <v>0</v>
      </c>
      <c r="D609">
        <v>70</v>
      </c>
      <c r="E609">
        <v>90</v>
      </c>
      <c r="F609">
        <v>8</v>
      </c>
      <c r="G609">
        <v>51.931228080723002</v>
      </c>
      <c r="M609" t="str">
        <f t="shared" si="60"/>
        <v>Pass</v>
      </c>
      <c r="N609">
        <f t="shared" si="61"/>
        <v>0.11441519111394882</v>
      </c>
      <c r="O609">
        <v>30</v>
      </c>
      <c r="P609">
        <v>30</v>
      </c>
      <c r="Q609">
        <v>2</v>
      </c>
      <c r="R609" t="b">
        <v>0</v>
      </c>
      <c r="S609">
        <v>0.114415189143209</v>
      </c>
      <c r="Y609" t="str">
        <f t="shared" si="62"/>
        <v>Pass</v>
      </c>
      <c r="Z609">
        <f t="shared" si="63"/>
        <v>82200.796875</v>
      </c>
      <c r="AA609">
        <v>9200</v>
      </c>
      <c r="AB609">
        <v>20</v>
      </c>
      <c r="AC609">
        <v>10</v>
      </c>
      <c r="AD609">
        <v>0.2</v>
      </c>
      <c r="AE609">
        <v>82200.7924069726</v>
      </c>
    </row>
    <row r="610" spans="1:31" x14ac:dyDescent="0.3">
      <c r="A610" t="str">
        <f>IF(ISBLANK(B610),"",IF(ROUND(B610,0)=ROUND(G610,0),"Pass","Fail"))</f>
        <v>Pass</v>
      </c>
      <c r="B610">
        <f t="shared" si="59"/>
        <v>35.149993896484375</v>
      </c>
      <c r="C610">
        <v>0</v>
      </c>
      <c r="D610">
        <v>70</v>
      </c>
      <c r="E610">
        <v>90</v>
      </c>
      <c r="F610">
        <v>16</v>
      </c>
      <c r="G610">
        <v>35.149997247101702</v>
      </c>
      <c r="M610" t="str">
        <f t="shared" si="60"/>
        <v>Pass</v>
      </c>
      <c r="N610">
        <f t="shared" si="61"/>
        <v>2.9194722883403301E-3</v>
      </c>
      <c r="O610">
        <v>30</v>
      </c>
      <c r="P610">
        <v>30</v>
      </c>
      <c r="Q610">
        <v>2.5</v>
      </c>
      <c r="R610" t="b">
        <v>1</v>
      </c>
      <c r="S610">
        <v>2.9194723784129201E-3</v>
      </c>
      <c r="Y610" t="str">
        <f t="shared" si="62"/>
        <v>Pass</v>
      </c>
      <c r="Z610">
        <f t="shared" si="63"/>
        <v>86442.4140625</v>
      </c>
      <c r="AA610">
        <v>9200</v>
      </c>
      <c r="AB610">
        <v>20</v>
      </c>
      <c r="AC610">
        <v>12</v>
      </c>
      <c r="AD610">
        <v>0.2</v>
      </c>
      <c r="AE610">
        <v>86442.413240619804</v>
      </c>
    </row>
    <row r="611" spans="1:31" x14ac:dyDescent="0.3">
      <c r="A611" t="str">
        <f>IF(ISBLANK(B611),"",IF(ROUND(B611,0)=ROUND(G611,0),"Pass","Fail"))</f>
        <v>Pass</v>
      </c>
      <c r="B611">
        <f t="shared" si="59"/>
        <v>26.70257568359375</v>
      </c>
      <c r="C611">
        <v>0</v>
      </c>
      <c r="D611">
        <v>70</v>
      </c>
      <c r="E611">
        <v>90</v>
      </c>
      <c r="F611">
        <v>24</v>
      </c>
      <c r="G611">
        <v>26.702577413736201</v>
      </c>
      <c r="M611" t="str">
        <f t="shared" si="60"/>
        <v>Pass</v>
      </c>
      <c r="N611">
        <f t="shared" si="61"/>
        <v>0.12036001682281494</v>
      </c>
      <c r="O611">
        <v>30</v>
      </c>
      <c r="P611">
        <v>30</v>
      </c>
      <c r="Q611">
        <v>2.5</v>
      </c>
      <c r="R611" t="b">
        <v>0</v>
      </c>
      <c r="S611">
        <v>0.120360021273581</v>
      </c>
      <c r="Y611" t="str">
        <f t="shared" si="62"/>
        <v>Pass</v>
      </c>
      <c r="Z611">
        <f t="shared" si="63"/>
        <v>89285.6484375</v>
      </c>
      <c r="AA611">
        <v>9200</v>
      </c>
      <c r="AB611">
        <v>20</v>
      </c>
      <c r="AC611">
        <v>14</v>
      </c>
      <c r="AD611">
        <v>0.2</v>
      </c>
      <c r="AE611">
        <v>89285.656713095901</v>
      </c>
    </row>
    <row r="612" spans="1:31" x14ac:dyDescent="0.3">
      <c r="A612" t="str">
        <f>IF(ISBLANK(B612),"",IF(ROUND(B612,0)=ROUND(G612,0),"Pass","Fail"))</f>
        <v>Pass</v>
      </c>
      <c r="B612">
        <f t="shared" si="59"/>
        <v>22.450271606445313</v>
      </c>
      <c r="C612">
        <v>0</v>
      </c>
      <c r="D612">
        <v>70</v>
      </c>
      <c r="E612">
        <v>90</v>
      </c>
      <c r="F612">
        <v>32</v>
      </c>
      <c r="G612">
        <v>22.4502730059946</v>
      </c>
      <c r="M612" t="str">
        <f t="shared" si="60"/>
        <v>Pass</v>
      </c>
      <c r="N612">
        <f t="shared" si="61"/>
        <v>3.0428357422351837E-3</v>
      </c>
      <c r="O612">
        <v>30</v>
      </c>
      <c r="P612">
        <v>30</v>
      </c>
      <c r="Q612">
        <v>3</v>
      </c>
      <c r="R612" t="b">
        <v>1</v>
      </c>
      <c r="S612">
        <v>3.0428357740454898E-3</v>
      </c>
      <c r="Y612" t="str">
        <f t="shared" si="62"/>
        <v>Pass</v>
      </c>
      <c r="Z612">
        <f t="shared" si="63"/>
        <v>91191.5390625</v>
      </c>
      <c r="AA612">
        <v>9200</v>
      </c>
      <c r="AB612">
        <v>20</v>
      </c>
      <c r="AC612">
        <v>16</v>
      </c>
      <c r="AD612">
        <v>0.2</v>
      </c>
      <c r="AE612">
        <v>91191.539808456597</v>
      </c>
    </row>
    <row r="613" spans="1:31" x14ac:dyDescent="0.3">
      <c r="A613" t="str">
        <f>IF(ISBLANK(B613),"",IF(ROUND(B613,0)=ROUND(G613,0),"Pass","Fail"))</f>
        <v>Pass</v>
      </c>
      <c r="B613">
        <f t="shared" si="59"/>
        <v>20.309726715087891</v>
      </c>
      <c r="C613">
        <v>0</v>
      </c>
      <c r="D613">
        <v>70</v>
      </c>
      <c r="E613">
        <v>90</v>
      </c>
      <c r="F613">
        <v>40</v>
      </c>
      <c r="G613">
        <v>20.309726764327099</v>
      </c>
      <c r="M613" t="str">
        <f t="shared" si="60"/>
        <v>Pass</v>
      </c>
      <c r="N613">
        <f t="shared" si="61"/>
        <v>0.1254458874464035</v>
      </c>
      <c r="O613">
        <v>30</v>
      </c>
      <c r="P613">
        <v>30</v>
      </c>
      <c r="Q613">
        <v>3</v>
      </c>
      <c r="R613" t="b">
        <v>0</v>
      </c>
      <c r="S613">
        <v>0.125445878921184</v>
      </c>
      <c r="Y613" t="str">
        <f t="shared" si="62"/>
        <v>Pass</v>
      </c>
      <c r="Z613">
        <f t="shared" si="63"/>
        <v>92469.09375</v>
      </c>
      <c r="AA613">
        <v>9200</v>
      </c>
      <c r="AB613">
        <v>20</v>
      </c>
      <c r="AC613">
        <v>18</v>
      </c>
      <c r="AD613">
        <v>0.2</v>
      </c>
      <c r="AE613">
        <v>92469.091452677298</v>
      </c>
    </row>
    <row r="614" spans="1:31" x14ac:dyDescent="0.3">
      <c r="A614" t="str">
        <f>IF(ISBLANK(B614),"",IF(ROUND(B614,0)=ROUND(G614,0),"Pass","Fail"))</f>
        <v>Pass</v>
      </c>
      <c r="B614">
        <f t="shared" si="59"/>
        <v>19.232208251953125</v>
      </c>
      <c r="C614">
        <v>0</v>
      </c>
      <c r="D614">
        <v>70</v>
      </c>
      <c r="E614">
        <v>90</v>
      </c>
      <c r="F614">
        <v>48</v>
      </c>
      <c r="G614">
        <v>19.232207900819699</v>
      </c>
      <c r="M614" t="str">
        <f t="shared" si="60"/>
        <v>Pass</v>
      </c>
      <c r="N614">
        <f t="shared" si="61"/>
        <v>3.1511958222836256E-3</v>
      </c>
      <c r="O614">
        <v>30</v>
      </c>
      <c r="P614">
        <v>30</v>
      </c>
      <c r="Q614">
        <v>3.5</v>
      </c>
      <c r="R614" t="b">
        <v>1</v>
      </c>
      <c r="S614">
        <v>3.1511961324321301E-3</v>
      </c>
      <c r="Y614" t="str">
        <f t="shared" si="62"/>
        <v>Pass</v>
      </c>
      <c r="Z614">
        <f t="shared" si="63"/>
        <v>93325.46875</v>
      </c>
      <c r="AA614">
        <v>9200</v>
      </c>
      <c r="AB614">
        <v>20</v>
      </c>
      <c r="AC614">
        <v>20</v>
      </c>
      <c r="AD614">
        <v>0.2</v>
      </c>
      <c r="AE614">
        <v>93325.459929644305</v>
      </c>
    </row>
    <row r="615" spans="1:31" x14ac:dyDescent="0.3">
      <c r="A615" t="str">
        <f>IF(ISBLANK(B615),"",IF(ROUND(B615,0)=ROUND(G615,0),"Pass","Fail"))</f>
        <v>Pass</v>
      </c>
      <c r="B615">
        <f t="shared" si="59"/>
        <v>85.267997741699219</v>
      </c>
      <c r="C615">
        <v>0</v>
      </c>
      <c r="D615">
        <v>70</v>
      </c>
      <c r="E615">
        <v>100</v>
      </c>
      <c r="F615">
        <v>0</v>
      </c>
      <c r="G615">
        <v>85.268000000000001</v>
      </c>
      <c r="M615" t="str">
        <f t="shared" si="60"/>
        <v>Pass</v>
      </c>
      <c r="N615">
        <f t="shared" si="61"/>
        <v>0.12991321086883545</v>
      </c>
      <c r="O615">
        <v>30</v>
      </c>
      <c r="P615">
        <v>30</v>
      </c>
      <c r="Q615">
        <v>3.5</v>
      </c>
      <c r="R615" t="b">
        <v>0</v>
      </c>
      <c r="S615">
        <v>0.129913211832797</v>
      </c>
      <c r="Y615" t="str">
        <f t="shared" si="62"/>
        <v>Pass</v>
      </c>
      <c r="Z615">
        <f t="shared" si="63"/>
        <v>93899.5078125</v>
      </c>
      <c r="AA615">
        <v>9200</v>
      </c>
      <c r="AB615">
        <v>20</v>
      </c>
      <c r="AC615">
        <v>22</v>
      </c>
      <c r="AD615">
        <v>0.2</v>
      </c>
      <c r="AE615">
        <v>93899.500886548296</v>
      </c>
    </row>
    <row r="616" spans="1:31" x14ac:dyDescent="0.3">
      <c r="A616" t="str">
        <f>IF(ISBLANK(B616),"",IF(ROUND(B616,0)=ROUND(G616,0),"Pass","Fail"))</f>
        <v>Pass</v>
      </c>
      <c r="B616">
        <f t="shared" si="59"/>
        <v>51.931228637695313</v>
      </c>
      <c r="C616">
        <v>0</v>
      </c>
      <c r="D616">
        <v>70</v>
      </c>
      <c r="E616">
        <v>100</v>
      </c>
      <c r="F616">
        <v>8</v>
      </c>
      <c r="G616">
        <v>51.931228080723002</v>
      </c>
      <c r="M616" t="str">
        <f t="shared" si="60"/>
        <v>Pass</v>
      </c>
      <c r="N616">
        <f t="shared" si="61"/>
        <v>3.248176071792841E-3</v>
      </c>
      <c r="O616">
        <v>30</v>
      </c>
      <c r="P616">
        <v>30</v>
      </c>
      <c r="Q616">
        <v>4</v>
      </c>
      <c r="R616" t="b">
        <v>1</v>
      </c>
      <c r="S616">
        <v>3.2481764009689301E-3</v>
      </c>
      <c r="Y616" t="str">
        <f t="shared" si="62"/>
        <v>Pass</v>
      </c>
      <c r="Z616">
        <f t="shared" si="63"/>
        <v>94284.296875</v>
      </c>
      <c r="AA616">
        <v>9200</v>
      </c>
      <c r="AB616">
        <v>20</v>
      </c>
      <c r="AC616">
        <v>24</v>
      </c>
      <c r="AD616">
        <v>0.2</v>
      </c>
      <c r="AE616">
        <v>94284.2920472064</v>
      </c>
    </row>
    <row r="617" spans="1:31" x14ac:dyDescent="0.3">
      <c r="A617" t="str">
        <f>IF(ISBLANK(B617),"",IF(ROUND(B617,0)=ROUND(G617,0),"Pass","Fail"))</f>
        <v>Pass</v>
      </c>
      <c r="B617">
        <f t="shared" si="59"/>
        <v>35.149993896484375</v>
      </c>
      <c r="C617">
        <v>0</v>
      </c>
      <c r="D617">
        <v>70</v>
      </c>
      <c r="E617">
        <v>100</v>
      </c>
      <c r="F617">
        <v>16</v>
      </c>
      <c r="G617">
        <v>35.149997247101702</v>
      </c>
      <c r="M617" t="str">
        <f t="shared" si="60"/>
        <v>Pass</v>
      </c>
      <c r="N617">
        <f t="shared" si="61"/>
        <v>0.1339113861322403</v>
      </c>
      <c r="O617">
        <v>30</v>
      </c>
      <c r="P617">
        <v>30</v>
      </c>
      <c r="Q617">
        <v>4</v>
      </c>
      <c r="R617" t="b">
        <v>0</v>
      </c>
      <c r="S617">
        <v>0.13391138193727101</v>
      </c>
      <c r="Y617" t="str">
        <f t="shared" si="62"/>
        <v>Pass</v>
      </c>
      <c r="Z617">
        <f t="shared" si="63"/>
        <v>0</v>
      </c>
      <c r="AA617">
        <v>9400</v>
      </c>
      <c r="AB617">
        <v>20</v>
      </c>
      <c r="AC617">
        <v>0</v>
      </c>
      <c r="AD617">
        <v>0.2</v>
      </c>
      <c r="AE617">
        <v>0</v>
      </c>
    </row>
    <row r="618" spans="1:31" x14ac:dyDescent="0.3">
      <c r="A618" t="str">
        <f>IF(ISBLANK(B618),"",IF(ROUND(B618,0)=ROUND(G618,0),"Pass","Fail"))</f>
        <v>Pass</v>
      </c>
      <c r="B618">
        <f t="shared" si="59"/>
        <v>26.70257568359375</v>
      </c>
      <c r="C618">
        <v>0</v>
      </c>
      <c r="D618">
        <v>70</v>
      </c>
      <c r="E618">
        <v>100</v>
      </c>
      <c r="F618">
        <v>24</v>
      </c>
      <c r="G618">
        <v>26.702577413736201</v>
      </c>
      <c r="M618" t="str">
        <f t="shared" si="60"/>
        <v>Pass</v>
      </c>
      <c r="N618">
        <f t="shared" si="61"/>
        <v>0</v>
      </c>
      <c r="O618">
        <v>30</v>
      </c>
      <c r="P618">
        <v>40</v>
      </c>
      <c r="Q618">
        <v>0</v>
      </c>
      <c r="R618" t="b">
        <v>1</v>
      </c>
      <c r="S618">
        <v>0</v>
      </c>
      <c r="Y618" t="str">
        <f t="shared" si="62"/>
        <v>Pass</v>
      </c>
      <c r="Z618">
        <f t="shared" si="63"/>
        <v>32022.912109375</v>
      </c>
      <c r="AA618">
        <v>9400</v>
      </c>
      <c r="AB618">
        <v>20</v>
      </c>
      <c r="AC618">
        <v>2</v>
      </c>
      <c r="AD618">
        <v>0.2</v>
      </c>
      <c r="AE618">
        <v>32022.912861738201</v>
      </c>
    </row>
    <row r="619" spans="1:31" x14ac:dyDescent="0.3">
      <c r="A619" t="str">
        <f>IF(ISBLANK(B619),"",IF(ROUND(B619,0)=ROUND(G619,0),"Pass","Fail"))</f>
        <v>Pass</v>
      </c>
      <c r="B619">
        <f t="shared" si="59"/>
        <v>22.450271606445313</v>
      </c>
      <c r="C619">
        <v>0</v>
      </c>
      <c r="D619">
        <v>70</v>
      </c>
      <c r="E619">
        <v>100</v>
      </c>
      <c r="F619">
        <v>32</v>
      </c>
      <c r="G619">
        <v>22.4502730059946</v>
      </c>
      <c r="M619" t="str">
        <f t="shared" si="60"/>
        <v>Pass</v>
      </c>
      <c r="N619">
        <f t="shared" si="61"/>
        <v>0</v>
      </c>
      <c r="O619">
        <v>30</v>
      </c>
      <c r="P619">
        <v>40</v>
      </c>
      <c r="Q619">
        <v>0</v>
      </c>
      <c r="R619" t="b">
        <v>0</v>
      </c>
      <c r="S619">
        <v>0</v>
      </c>
      <c r="Y619" t="str">
        <f t="shared" si="62"/>
        <v>Pass</v>
      </c>
      <c r="Z619">
        <f t="shared" si="63"/>
        <v>53488.515625</v>
      </c>
      <c r="AA619">
        <v>9400</v>
      </c>
      <c r="AB619">
        <v>20</v>
      </c>
      <c r="AC619">
        <v>4</v>
      </c>
      <c r="AD619">
        <v>0.2</v>
      </c>
      <c r="AE619">
        <v>53488.513285413799</v>
      </c>
    </row>
    <row r="620" spans="1:31" x14ac:dyDescent="0.3">
      <c r="A620" t="str">
        <f>IF(ISBLANK(B620),"",IF(ROUND(B620,0)=ROUND(G620,0),"Pass","Fail"))</f>
        <v>Pass</v>
      </c>
      <c r="B620">
        <f t="shared" si="59"/>
        <v>20.309726715087891</v>
      </c>
      <c r="C620">
        <v>0</v>
      </c>
      <c r="D620">
        <v>70</v>
      </c>
      <c r="E620">
        <v>100</v>
      </c>
      <c r="F620">
        <v>40</v>
      </c>
      <c r="G620">
        <v>20.309726764327099</v>
      </c>
      <c r="M620" t="str">
        <f t="shared" si="60"/>
        <v>Pass</v>
      </c>
      <c r="N620">
        <f t="shared" si="61"/>
        <v>3.7134570447960868E-5</v>
      </c>
      <c r="O620">
        <v>30</v>
      </c>
      <c r="P620">
        <v>40</v>
      </c>
      <c r="Q620">
        <v>0.5</v>
      </c>
      <c r="R620" t="b">
        <v>1</v>
      </c>
      <c r="S620">
        <v>3.7134572672063098E-5</v>
      </c>
      <c r="Y620" t="str">
        <f t="shared" si="62"/>
        <v>Pass</v>
      </c>
      <c r="Z620">
        <f t="shared" si="63"/>
        <v>67877.3359375</v>
      </c>
      <c r="AA620">
        <v>9400</v>
      </c>
      <c r="AB620">
        <v>20</v>
      </c>
      <c r="AC620">
        <v>6</v>
      </c>
      <c r="AD620">
        <v>0.2</v>
      </c>
      <c r="AE620">
        <v>67877.335549594703</v>
      </c>
    </row>
    <row r="621" spans="1:31" x14ac:dyDescent="0.3">
      <c r="A621" t="str">
        <f>IF(ISBLANK(B621),"",IF(ROUND(B621,0)=ROUND(G621,0),"Pass","Fail"))</f>
        <v>Pass</v>
      </c>
      <c r="B621">
        <f t="shared" si="59"/>
        <v>19.232208251953125</v>
      </c>
      <c r="C621">
        <v>0</v>
      </c>
      <c r="D621">
        <v>70</v>
      </c>
      <c r="E621">
        <v>100</v>
      </c>
      <c r="F621">
        <v>48</v>
      </c>
      <c r="G621">
        <v>19.232207900819699</v>
      </c>
      <c r="M621" t="str">
        <f t="shared" si="60"/>
        <v>Pass</v>
      </c>
      <c r="N621">
        <f t="shared" si="61"/>
        <v>1.5309334266930819E-3</v>
      </c>
      <c r="O621">
        <v>30</v>
      </c>
      <c r="P621">
        <v>40</v>
      </c>
      <c r="Q621">
        <v>0.5</v>
      </c>
      <c r="R621" t="b">
        <v>0</v>
      </c>
      <c r="S621">
        <v>1.5309334624445301E-3</v>
      </c>
      <c r="Y621" t="str">
        <f t="shared" si="62"/>
        <v>Pass</v>
      </c>
      <c r="Z621">
        <f t="shared" si="63"/>
        <v>77522.453125</v>
      </c>
      <c r="AA621">
        <v>9400</v>
      </c>
      <c r="AB621">
        <v>20</v>
      </c>
      <c r="AC621">
        <v>8</v>
      </c>
      <c r="AD621">
        <v>0.2</v>
      </c>
      <c r="AE621">
        <v>77522.451552119106</v>
      </c>
    </row>
    <row r="622" spans="1:31" x14ac:dyDescent="0.3">
      <c r="A622" t="str">
        <f>IF(ISBLANK(B622),"",IF(ROUND(B622,0)=ROUND(G622,0),"Pass","Fail"))</f>
        <v>Pass</v>
      </c>
      <c r="B622">
        <f t="shared" si="59"/>
        <v>19.75</v>
      </c>
      <c r="C622">
        <v>0</v>
      </c>
      <c r="D622">
        <v>80</v>
      </c>
      <c r="E622">
        <v>0</v>
      </c>
      <c r="F622">
        <v>0</v>
      </c>
      <c r="G622">
        <v>19.75</v>
      </c>
      <c r="M622" t="str">
        <f t="shared" si="60"/>
        <v>Pass</v>
      </c>
      <c r="N622">
        <f t="shared" si="61"/>
        <v>4.3462248868308961E-5</v>
      </c>
      <c r="O622">
        <v>30</v>
      </c>
      <c r="P622">
        <v>40</v>
      </c>
      <c r="Q622">
        <v>1</v>
      </c>
      <c r="R622" t="b">
        <v>1</v>
      </c>
      <c r="S622">
        <v>4.34622534071221E-5</v>
      </c>
      <c r="Y622" t="str">
        <f t="shared" si="62"/>
        <v>Pass</v>
      </c>
      <c r="Z622">
        <f t="shared" si="63"/>
        <v>83987.7734375</v>
      </c>
      <c r="AA622">
        <v>9400</v>
      </c>
      <c r="AB622">
        <v>20</v>
      </c>
      <c r="AC622">
        <v>10</v>
      </c>
      <c r="AD622">
        <v>0.2</v>
      </c>
      <c r="AE622">
        <v>83987.766154950295</v>
      </c>
    </row>
    <row r="623" spans="1:31" x14ac:dyDescent="0.3">
      <c r="A623" t="str">
        <f>IF(ISBLANK(B623),"",IF(ROUND(B623,0)=ROUND(G623,0),"Pass","Fail"))</f>
        <v>Pass</v>
      </c>
      <c r="B623">
        <f t="shared" si="59"/>
        <v>19.75</v>
      </c>
      <c r="C623">
        <v>0</v>
      </c>
      <c r="D623">
        <v>80</v>
      </c>
      <c r="E623">
        <v>0</v>
      </c>
      <c r="F623">
        <v>8</v>
      </c>
      <c r="G623">
        <v>19.75</v>
      </c>
      <c r="M623" t="str">
        <f t="shared" si="60"/>
        <v>Pass</v>
      </c>
      <c r="N623">
        <f t="shared" si="61"/>
        <v>1.7918024677783251E-3</v>
      </c>
      <c r="O623">
        <v>30</v>
      </c>
      <c r="P623">
        <v>40</v>
      </c>
      <c r="Q623">
        <v>1</v>
      </c>
      <c r="R623" t="b">
        <v>0</v>
      </c>
      <c r="S623">
        <v>1.7918024446330701E-3</v>
      </c>
      <c r="Y623" t="str">
        <f t="shared" si="62"/>
        <v>Pass</v>
      </c>
      <c r="Z623">
        <f t="shared" si="63"/>
        <v>88321.6015625</v>
      </c>
      <c r="AA623">
        <v>9400</v>
      </c>
      <c r="AB623">
        <v>20</v>
      </c>
      <c r="AC623">
        <v>12</v>
      </c>
      <c r="AD623">
        <v>0.2</v>
      </c>
      <c r="AE623">
        <v>88321.596137154993</v>
      </c>
    </row>
    <row r="624" spans="1:31" x14ac:dyDescent="0.3">
      <c r="A624" t="str">
        <f>IF(ISBLANK(B624),"",IF(ROUND(B624,0)=ROUND(G624,0),"Pass","Fail"))</f>
        <v>Pass</v>
      </c>
      <c r="B624">
        <f t="shared" si="59"/>
        <v>19.75</v>
      </c>
      <c r="C624">
        <v>0</v>
      </c>
      <c r="D624">
        <v>80</v>
      </c>
      <c r="E624">
        <v>0</v>
      </c>
      <c r="F624">
        <v>16</v>
      </c>
      <c r="G624">
        <v>19.75</v>
      </c>
      <c r="M624" t="str">
        <f t="shared" si="60"/>
        <v>Pass</v>
      </c>
      <c r="N624">
        <f t="shared" si="61"/>
        <v>4.765241828863509E-5</v>
      </c>
      <c r="O624">
        <v>30</v>
      </c>
      <c r="P624">
        <v>40</v>
      </c>
      <c r="Q624">
        <v>1.5</v>
      </c>
      <c r="R624" t="b">
        <v>1</v>
      </c>
      <c r="S624">
        <v>4.7652419397982201E-5</v>
      </c>
      <c r="Y624" t="str">
        <f t="shared" si="62"/>
        <v>Pass</v>
      </c>
      <c r="Z624">
        <f t="shared" si="63"/>
        <v>91226.640625</v>
      </c>
      <c r="AA624">
        <v>9400</v>
      </c>
      <c r="AB624">
        <v>20</v>
      </c>
      <c r="AC624">
        <v>14</v>
      </c>
      <c r="AD624">
        <v>0.2</v>
      </c>
      <c r="AE624">
        <v>91226.649250337097</v>
      </c>
    </row>
    <row r="625" spans="1:31" x14ac:dyDescent="0.3">
      <c r="A625" t="str">
        <f>IF(ISBLANK(B625),"",IF(ROUND(B625,0)=ROUND(G625,0),"Pass","Fail"))</f>
        <v>Pass</v>
      </c>
      <c r="B625">
        <f t="shared" si="59"/>
        <v>19.75</v>
      </c>
      <c r="C625">
        <v>0</v>
      </c>
      <c r="D625">
        <v>80</v>
      </c>
      <c r="E625">
        <v>0</v>
      </c>
      <c r="F625">
        <v>24</v>
      </c>
      <c r="G625">
        <v>19.75</v>
      </c>
      <c r="M625" t="str">
        <f t="shared" si="60"/>
        <v>Pass</v>
      </c>
      <c r="N625">
        <f t="shared" si="61"/>
        <v>1.9645488355308771E-3</v>
      </c>
      <c r="O625">
        <v>30</v>
      </c>
      <c r="P625">
        <v>40</v>
      </c>
      <c r="Q625">
        <v>1.5</v>
      </c>
      <c r="R625" t="b">
        <v>0</v>
      </c>
      <c r="S625">
        <v>1.9645488872878599E-3</v>
      </c>
      <c r="Y625" t="str">
        <f t="shared" si="62"/>
        <v>Pass</v>
      </c>
      <c r="Z625">
        <f t="shared" si="63"/>
        <v>93173.9609375</v>
      </c>
      <c r="AA625">
        <v>9400</v>
      </c>
      <c r="AB625">
        <v>20</v>
      </c>
      <c r="AC625">
        <v>16</v>
      </c>
      <c r="AD625">
        <v>0.2</v>
      </c>
      <c r="AE625">
        <v>93173.964586901304</v>
      </c>
    </row>
    <row r="626" spans="1:31" x14ac:dyDescent="0.3">
      <c r="A626" t="str">
        <f>IF(ISBLANK(B626),"",IF(ROUND(B626,0)=ROUND(G626,0),"Pass","Fail"))</f>
        <v>Pass</v>
      </c>
      <c r="B626">
        <f t="shared" si="59"/>
        <v>19.75</v>
      </c>
      <c r="C626">
        <v>0</v>
      </c>
      <c r="D626">
        <v>80</v>
      </c>
      <c r="E626">
        <v>0</v>
      </c>
      <c r="F626">
        <v>32</v>
      </c>
      <c r="G626">
        <v>19.75</v>
      </c>
      <c r="M626" t="str">
        <f t="shared" si="60"/>
        <v>Pass</v>
      </c>
      <c r="N626">
        <f t="shared" si="61"/>
        <v>5.086815872346051E-5</v>
      </c>
      <c r="O626">
        <v>30</v>
      </c>
      <c r="P626">
        <v>40</v>
      </c>
      <c r="Q626">
        <v>2</v>
      </c>
      <c r="R626" t="b">
        <v>1</v>
      </c>
      <c r="S626">
        <v>5.0868162343120102E-5</v>
      </c>
      <c r="Y626" t="str">
        <f t="shared" si="62"/>
        <v>Pass</v>
      </c>
      <c r="Z626">
        <f t="shared" si="63"/>
        <v>94479.2890625</v>
      </c>
      <c r="AA626">
        <v>9400</v>
      </c>
      <c r="AB626">
        <v>20</v>
      </c>
      <c r="AC626">
        <v>18</v>
      </c>
      <c r="AD626">
        <v>0.2</v>
      </c>
      <c r="AE626">
        <v>94479.289092952997</v>
      </c>
    </row>
    <row r="627" spans="1:31" x14ac:dyDescent="0.3">
      <c r="A627" t="str">
        <f>IF(ISBLANK(B627),"",IF(ROUND(B627,0)=ROUND(G627,0),"Pass","Fail"))</f>
        <v>Pass</v>
      </c>
      <c r="B627">
        <f t="shared" si="59"/>
        <v>19.75</v>
      </c>
      <c r="C627">
        <v>0</v>
      </c>
      <c r="D627">
        <v>80</v>
      </c>
      <c r="E627">
        <v>0</v>
      </c>
      <c r="F627">
        <v>40</v>
      </c>
      <c r="G627">
        <v>19.75</v>
      </c>
      <c r="M627" t="str">
        <f t="shared" si="60"/>
        <v>Pass</v>
      </c>
      <c r="N627">
        <f t="shared" si="61"/>
        <v>2.0971233025193214E-3</v>
      </c>
      <c r="O627">
        <v>30</v>
      </c>
      <c r="P627">
        <v>40</v>
      </c>
      <c r="Q627">
        <v>2</v>
      </c>
      <c r="R627" t="b">
        <v>0</v>
      </c>
      <c r="S627">
        <v>2.0971231469894E-3</v>
      </c>
      <c r="Y627" t="str">
        <f t="shared" si="62"/>
        <v>Pass</v>
      </c>
      <c r="Z627">
        <f t="shared" si="63"/>
        <v>95354.28125</v>
      </c>
      <c r="AA627">
        <v>9400</v>
      </c>
      <c r="AB627">
        <v>20</v>
      </c>
      <c r="AC627">
        <v>20</v>
      </c>
      <c r="AD627">
        <v>0.2</v>
      </c>
      <c r="AE627">
        <v>95354.274275940901</v>
      </c>
    </row>
    <row r="628" spans="1:31" x14ac:dyDescent="0.3">
      <c r="A628" t="str">
        <f>IF(ISBLANK(B628),"",IF(ROUND(B628,0)=ROUND(G628,0),"Pass","Fail"))</f>
        <v>Pass</v>
      </c>
      <c r="B628">
        <f t="shared" si="59"/>
        <v>19.75</v>
      </c>
      <c r="C628">
        <v>0</v>
      </c>
      <c r="D628">
        <v>80</v>
      </c>
      <c r="E628">
        <v>0</v>
      </c>
      <c r="F628">
        <v>48</v>
      </c>
      <c r="G628">
        <v>19.75</v>
      </c>
      <c r="M628" t="str">
        <f t="shared" si="60"/>
        <v>Pass</v>
      </c>
      <c r="N628">
        <f t="shared" si="61"/>
        <v>5.3511186706600711E-5</v>
      </c>
      <c r="O628">
        <v>30</v>
      </c>
      <c r="P628">
        <v>40</v>
      </c>
      <c r="Q628">
        <v>2.5</v>
      </c>
      <c r="R628" t="b">
        <v>1</v>
      </c>
      <c r="S628">
        <v>5.3511191543830801E-5</v>
      </c>
      <c r="Y628" t="str">
        <f t="shared" si="62"/>
        <v>Pass</v>
      </c>
      <c r="Z628">
        <f t="shared" si="63"/>
        <v>95940.796875</v>
      </c>
      <c r="AA628">
        <v>9400</v>
      </c>
      <c r="AB628">
        <v>20</v>
      </c>
      <c r="AC628">
        <v>22</v>
      </c>
      <c r="AD628">
        <v>0.2</v>
      </c>
      <c r="AE628">
        <v>95940.794384081906</v>
      </c>
    </row>
    <row r="629" spans="1:31" x14ac:dyDescent="0.3">
      <c r="A629" t="str">
        <f>IF(ISBLANK(B629),"",IF(ROUND(B629,0)=ROUND(G629,0),"Pass","Fail"))</f>
        <v>Pass</v>
      </c>
      <c r="B629">
        <f t="shared" si="59"/>
        <v>86.877998352050781</v>
      </c>
      <c r="C629">
        <v>0</v>
      </c>
      <c r="D629">
        <v>80</v>
      </c>
      <c r="E629">
        <v>10</v>
      </c>
      <c r="F629">
        <v>0</v>
      </c>
      <c r="G629">
        <v>86.877999999998295</v>
      </c>
      <c r="M629" t="str">
        <f t="shared" si="60"/>
        <v>Pass</v>
      </c>
      <c r="N629">
        <f t="shared" si="61"/>
        <v>2.2060864139348269E-3</v>
      </c>
      <c r="O629">
        <v>30</v>
      </c>
      <c r="P629">
        <v>40</v>
      </c>
      <c r="Q629">
        <v>2.5</v>
      </c>
      <c r="R629" t="b">
        <v>0</v>
      </c>
      <c r="S629">
        <v>2.2060863463593998E-3</v>
      </c>
      <c r="Y629" t="str">
        <f t="shared" si="62"/>
        <v>Pass</v>
      </c>
      <c r="Z629">
        <f t="shared" si="63"/>
        <v>96333.953125</v>
      </c>
      <c r="AA629">
        <v>9400</v>
      </c>
      <c r="AB629">
        <v>20</v>
      </c>
      <c r="AC629">
        <v>24</v>
      </c>
      <c r="AD629">
        <v>0.2</v>
      </c>
      <c r="AE629">
        <v>96333.950569971799</v>
      </c>
    </row>
    <row r="630" spans="1:31" x14ac:dyDescent="0.3">
      <c r="A630" t="str">
        <f>IF(ISBLANK(B630),"",IF(ROUND(B630,0)=ROUND(G630,0),"Pass","Fail"))</f>
        <v>Pass</v>
      </c>
      <c r="B630">
        <f t="shared" si="59"/>
        <v>53.541229248046875</v>
      </c>
      <c r="C630">
        <v>0</v>
      </c>
      <c r="D630">
        <v>80</v>
      </c>
      <c r="E630">
        <v>10</v>
      </c>
      <c r="F630">
        <v>8</v>
      </c>
      <c r="G630">
        <v>53.541228080722199</v>
      </c>
      <c r="M630" t="str">
        <f t="shared" si="60"/>
        <v>Pass</v>
      </c>
      <c r="N630">
        <f t="shared" si="61"/>
        <v>5.5772325140424073E-5</v>
      </c>
      <c r="O630">
        <v>30</v>
      </c>
      <c r="P630">
        <v>40</v>
      </c>
      <c r="Q630">
        <v>3</v>
      </c>
      <c r="R630" t="b">
        <v>1</v>
      </c>
      <c r="S630">
        <v>5.5772326926375803E-5</v>
      </c>
      <c r="Y630" t="str">
        <f t="shared" si="62"/>
        <v>Pass</v>
      </c>
      <c r="Z630">
        <f t="shared" si="63"/>
        <v>0</v>
      </c>
      <c r="AA630">
        <v>9600</v>
      </c>
      <c r="AB630">
        <v>20</v>
      </c>
      <c r="AC630">
        <v>0</v>
      </c>
      <c r="AD630">
        <v>0.2</v>
      </c>
      <c r="AE630">
        <v>0</v>
      </c>
    </row>
    <row r="631" spans="1:31" x14ac:dyDescent="0.3">
      <c r="A631" t="str">
        <f>IF(ISBLANK(B631),"",IF(ROUND(B631,0)=ROUND(G631,0),"Pass","Fail"))</f>
        <v>Pass</v>
      </c>
      <c r="B631">
        <f t="shared" si="59"/>
        <v>36.759994506835938</v>
      </c>
      <c r="C631">
        <v>0</v>
      </c>
      <c r="D631">
        <v>80</v>
      </c>
      <c r="E631">
        <v>10</v>
      </c>
      <c r="F631">
        <v>16</v>
      </c>
      <c r="G631">
        <v>36.759997247101303</v>
      </c>
      <c r="M631" t="str">
        <f t="shared" si="60"/>
        <v>Pass</v>
      </c>
      <c r="N631">
        <f t="shared" si="61"/>
        <v>2.2993055172264576E-3</v>
      </c>
      <c r="O631">
        <v>30</v>
      </c>
      <c r="P631">
        <v>40</v>
      </c>
      <c r="Q631">
        <v>3</v>
      </c>
      <c r="R631" t="b">
        <v>0</v>
      </c>
      <c r="S631">
        <v>2.2993053487921299E-3</v>
      </c>
      <c r="Y631" t="str">
        <f t="shared" si="62"/>
        <v>Pass</v>
      </c>
      <c r="Z631">
        <f t="shared" si="63"/>
        <v>32704.25</v>
      </c>
      <c r="AA631">
        <v>9600</v>
      </c>
      <c r="AB631">
        <v>20</v>
      </c>
      <c r="AC631">
        <v>2</v>
      </c>
      <c r="AD631">
        <v>0.2</v>
      </c>
      <c r="AE631">
        <v>32704.251433264501</v>
      </c>
    </row>
    <row r="632" spans="1:31" x14ac:dyDescent="0.3">
      <c r="A632" t="str">
        <f>IF(ISBLANK(B632),"",IF(ROUND(B632,0)=ROUND(G632,0),"Pass","Fail"))</f>
        <v>Pass</v>
      </c>
      <c r="B632">
        <f t="shared" si="59"/>
        <v>28.312576293945313</v>
      </c>
      <c r="C632">
        <v>0</v>
      </c>
      <c r="D632">
        <v>80</v>
      </c>
      <c r="E632">
        <v>10</v>
      </c>
      <c r="F632">
        <v>24</v>
      </c>
      <c r="G632">
        <v>28.312577413736001</v>
      </c>
      <c r="M632" t="str">
        <f t="shared" si="60"/>
        <v>Pass</v>
      </c>
      <c r="N632">
        <f t="shared" si="61"/>
        <v>5.7758465118240565E-5</v>
      </c>
      <c r="O632">
        <v>30</v>
      </c>
      <c r="P632">
        <v>40</v>
      </c>
      <c r="Q632">
        <v>3.5</v>
      </c>
      <c r="R632" t="b">
        <v>1</v>
      </c>
      <c r="S632">
        <v>5.7758470702306198E-5</v>
      </c>
      <c r="Y632" t="str">
        <f t="shared" si="62"/>
        <v>Pass</v>
      </c>
      <c r="Z632">
        <f t="shared" si="63"/>
        <v>54626.56640625</v>
      </c>
      <c r="AA632">
        <v>9600</v>
      </c>
      <c r="AB632">
        <v>20</v>
      </c>
      <c r="AC632">
        <v>4</v>
      </c>
      <c r="AD632">
        <v>0.2</v>
      </c>
      <c r="AE632">
        <v>54626.5667595716</v>
      </c>
    </row>
    <row r="633" spans="1:31" x14ac:dyDescent="0.3">
      <c r="A633" t="str">
        <f>IF(ISBLANK(B633),"",IF(ROUND(B633,0)=ROUND(G633,0),"Pass","Fail"))</f>
        <v>Pass</v>
      </c>
      <c r="B633">
        <f t="shared" si="59"/>
        <v>24.060272216796875</v>
      </c>
      <c r="C633">
        <v>0</v>
      </c>
      <c r="D633">
        <v>80</v>
      </c>
      <c r="E633">
        <v>10</v>
      </c>
      <c r="F633">
        <v>32</v>
      </c>
      <c r="G633">
        <v>24.0602730059945</v>
      </c>
      <c r="M633" t="str">
        <f t="shared" si="60"/>
        <v>Pass</v>
      </c>
      <c r="N633">
        <f t="shared" si="61"/>
        <v>2.3811873979866505E-3</v>
      </c>
      <c r="O633">
        <v>30</v>
      </c>
      <c r="P633">
        <v>40</v>
      </c>
      <c r="Q633">
        <v>3.5</v>
      </c>
      <c r="R633" t="b">
        <v>0</v>
      </c>
      <c r="S633">
        <v>2.3811873727122698E-3</v>
      </c>
      <c r="Y633" t="str">
        <f t="shared" si="62"/>
        <v>Pass</v>
      </c>
      <c r="Z633">
        <f t="shared" si="63"/>
        <v>69321.5390625</v>
      </c>
      <c r="AA633">
        <v>9600</v>
      </c>
      <c r="AB633">
        <v>20</v>
      </c>
      <c r="AC633">
        <v>6</v>
      </c>
      <c r="AD633">
        <v>0.2</v>
      </c>
      <c r="AE633">
        <v>69321.534178309506</v>
      </c>
    </row>
    <row r="634" spans="1:31" x14ac:dyDescent="0.3">
      <c r="A634" t="str">
        <f>IF(ISBLANK(B634),"",IF(ROUND(B634,0)=ROUND(G634,0),"Pass","Fail"))</f>
        <v>Pass</v>
      </c>
      <c r="B634">
        <f t="shared" si="59"/>
        <v>21.919727325439453</v>
      </c>
      <c r="C634">
        <v>0</v>
      </c>
      <c r="D634">
        <v>80</v>
      </c>
      <c r="E634">
        <v>10</v>
      </c>
      <c r="F634">
        <v>40</v>
      </c>
      <c r="G634">
        <v>21.919726764326999</v>
      </c>
      <c r="M634" t="str">
        <f t="shared" si="60"/>
        <v>Pass</v>
      </c>
      <c r="N634">
        <f t="shared" si="61"/>
        <v>5.9536025219131261E-5</v>
      </c>
      <c r="O634">
        <v>30</v>
      </c>
      <c r="P634">
        <v>40</v>
      </c>
      <c r="Q634">
        <v>4</v>
      </c>
      <c r="R634" t="b">
        <v>1</v>
      </c>
      <c r="S634">
        <v>5.9536028100696697E-5</v>
      </c>
      <c r="Y634" t="str">
        <f t="shared" si="62"/>
        <v>Pass</v>
      </c>
      <c r="Z634">
        <f t="shared" si="63"/>
        <v>79171.8671875</v>
      </c>
      <c r="AA634">
        <v>9600</v>
      </c>
      <c r="AB634">
        <v>20</v>
      </c>
      <c r="AC634">
        <v>8</v>
      </c>
      <c r="AD634">
        <v>0.2</v>
      </c>
      <c r="AE634">
        <v>79171.8654149301</v>
      </c>
    </row>
    <row r="635" spans="1:31" x14ac:dyDescent="0.3">
      <c r="A635" t="str">
        <f>IF(ISBLANK(B635),"",IF(ROUND(B635,0)=ROUND(G635,0),"Pass","Fail"))</f>
        <v>Pass</v>
      </c>
      <c r="B635">
        <f t="shared" si="59"/>
        <v>20.842208862304688</v>
      </c>
      <c r="C635">
        <v>0</v>
      </c>
      <c r="D635">
        <v>80</v>
      </c>
      <c r="E635">
        <v>10</v>
      </c>
      <c r="F635">
        <v>48</v>
      </c>
      <c r="G635">
        <v>20.842207900819599</v>
      </c>
      <c r="M635" t="str">
        <f t="shared" si="60"/>
        <v>Pass</v>
      </c>
      <c r="N635">
        <f t="shared" si="61"/>
        <v>2.4544699117541313E-3</v>
      </c>
      <c r="O635">
        <v>30</v>
      </c>
      <c r="P635">
        <v>40</v>
      </c>
      <c r="Q635">
        <v>4</v>
      </c>
      <c r="R635" t="b">
        <v>0</v>
      </c>
      <c r="S635">
        <v>2.4544700822413099E-3</v>
      </c>
      <c r="Y635" t="str">
        <f t="shared" si="62"/>
        <v>Pass</v>
      </c>
      <c r="Z635">
        <f t="shared" si="63"/>
        <v>85774.7421875</v>
      </c>
      <c r="AA635">
        <v>9600</v>
      </c>
      <c r="AB635">
        <v>20</v>
      </c>
      <c r="AC635">
        <v>10</v>
      </c>
      <c r="AD635">
        <v>0.2</v>
      </c>
      <c r="AE635">
        <v>85774.739902928006</v>
      </c>
    </row>
    <row r="636" spans="1:31" x14ac:dyDescent="0.3">
      <c r="A636" t="str">
        <f>IF(ISBLANK(B636),"",IF(ROUND(B636,0)=ROUND(G636,0),"Pass","Fail"))</f>
        <v>Pass</v>
      </c>
      <c r="B636">
        <f t="shared" si="59"/>
        <v>86.877998352050781</v>
      </c>
      <c r="C636">
        <v>0</v>
      </c>
      <c r="D636">
        <v>80</v>
      </c>
      <c r="E636">
        <v>20</v>
      </c>
      <c r="F636">
        <v>0</v>
      </c>
      <c r="G636">
        <v>86.878</v>
      </c>
      <c r="M636" t="str">
        <f t="shared" si="60"/>
        <v>Pass</v>
      </c>
      <c r="N636">
        <f t="shared" si="61"/>
        <v>0</v>
      </c>
      <c r="O636">
        <v>30</v>
      </c>
      <c r="P636">
        <v>50</v>
      </c>
      <c r="Q636">
        <v>0</v>
      </c>
      <c r="R636" t="b">
        <v>1</v>
      </c>
      <c r="S636">
        <v>0</v>
      </c>
      <c r="Y636" t="str">
        <f t="shared" si="62"/>
        <v>Pass</v>
      </c>
      <c r="Z636">
        <f t="shared" si="63"/>
        <v>90200.78125</v>
      </c>
      <c r="AA636">
        <v>9600</v>
      </c>
      <c r="AB636">
        <v>20</v>
      </c>
      <c r="AC636">
        <v>12</v>
      </c>
      <c r="AD636">
        <v>0.2</v>
      </c>
      <c r="AE636">
        <v>90200.779033690196</v>
      </c>
    </row>
    <row r="637" spans="1:31" x14ac:dyDescent="0.3">
      <c r="A637" t="str">
        <f>IF(ISBLANK(B637),"",IF(ROUND(B637,0)=ROUND(G637,0),"Pass","Fail"))</f>
        <v>Pass</v>
      </c>
      <c r="B637">
        <f t="shared" si="59"/>
        <v>53.541229248046875</v>
      </c>
      <c r="C637">
        <v>0</v>
      </c>
      <c r="D637">
        <v>80</v>
      </c>
      <c r="E637">
        <v>20</v>
      </c>
      <c r="F637">
        <v>8</v>
      </c>
      <c r="G637">
        <v>53.541228080723002</v>
      </c>
      <c r="M637" t="str">
        <f t="shared" si="60"/>
        <v>Pass</v>
      </c>
      <c r="N637">
        <f t="shared" si="61"/>
        <v>0</v>
      </c>
      <c r="O637">
        <v>30</v>
      </c>
      <c r="P637">
        <v>50</v>
      </c>
      <c r="Q637">
        <v>0</v>
      </c>
      <c r="R637" t="b">
        <v>0</v>
      </c>
      <c r="S637">
        <v>0</v>
      </c>
      <c r="Y637" t="str">
        <f t="shared" si="62"/>
        <v>Pass</v>
      </c>
      <c r="Z637">
        <f t="shared" si="63"/>
        <v>93167.6328125</v>
      </c>
      <c r="AA637">
        <v>9600</v>
      </c>
      <c r="AB637">
        <v>20</v>
      </c>
      <c r="AC637">
        <v>14</v>
      </c>
      <c r="AD637">
        <v>0.2</v>
      </c>
      <c r="AE637">
        <v>93167.641787578294</v>
      </c>
    </row>
    <row r="638" spans="1:31" x14ac:dyDescent="0.3">
      <c r="A638" t="str">
        <f>IF(ISBLANK(B638),"",IF(ROUND(B638,0)=ROUND(G638,0),"Pass","Fail"))</f>
        <v>Pass</v>
      </c>
      <c r="B638">
        <f t="shared" si="59"/>
        <v>36.759994506835938</v>
      </c>
      <c r="C638">
        <v>0</v>
      </c>
      <c r="D638">
        <v>80</v>
      </c>
      <c r="E638">
        <v>20</v>
      </c>
      <c r="F638">
        <v>16</v>
      </c>
      <c r="G638">
        <v>36.759997247101701</v>
      </c>
      <c r="M638" t="str">
        <f t="shared" si="60"/>
        <v>Pass</v>
      </c>
      <c r="N638">
        <f t="shared" si="61"/>
        <v>6.801525387345464E-7</v>
      </c>
      <c r="O638">
        <v>30</v>
      </c>
      <c r="P638">
        <v>50</v>
      </c>
      <c r="Q638">
        <v>0.5</v>
      </c>
      <c r="R638" t="b">
        <v>1</v>
      </c>
      <c r="S638">
        <v>6.80152553418168E-7</v>
      </c>
      <c r="Y638" t="str">
        <f t="shared" si="62"/>
        <v>Pass</v>
      </c>
      <c r="Z638">
        <f t="shared" si="63"/>
        <v>95156.3828125</v>
      </c>
      <c r="AA638">
        <v>9600</v>
      </c>
      <c r="AB638">
        <v>20</v>
      </c>
      <c r="AC638">
        <v>16</v>
      </c>
      <c r="AD638">
        <v>0.2</v>
      </c>
      <c r="AE638">
        <v>95156.389365345996</v>
      </c>
    </row>
    <row r="639" spans="1:31" x14ac:dyDescent="0.3">
      <c r="A639" t="str">
        <f>IF(ISBLANK(B639),"",IF(ROUND(B639,0)=ROUND(G639,0),"Pass","Fail"))</f>
        <v>Pass</v>
      </c>
      <c r="B639">
        <f t="shared" si="59"/>
        <v>28.312576293945313</v>
      </c>
      <c r="C639">
        <v>0</v>
      </c>
      <c r="D639">
        <v>80</v>
      </c>
      <c r="E639">
        <v>20</v>
      </c>
      <c r="F639">
        <v>24</v>
      </c>
      <c r="G639">
        <v>28.3125774137362</v>
      </c>
      <c r="M639" t="str">
        <f t="shared" si="60"/>
        <v>Pass</v>
      </c>
      <c r="N639">
        <f t="shared" si="61"/>
        <v>2.80404001387069E-5</v>
      </c>
      <c r="O639">
        <v>30</v>
      </c>
      <c r="P639">
        <v>50</v>
      </c>
      <c r="Q639">
        <v>0.5</v>
      </c>
      <c r="R639" t="b">
        <v>0</v>
      </c>
      <c r="S639">
        <v>2.8040400862841401E-5</v>
      </c>
      <c r="Y639" t="str">
        <f t="shared" si="62"/>
        <v>Pass</v>
      </c>
      <c r="Z639">
        <f t="shared" si="63"/>
        <v>96489.4921875</v>
      </c>
      <c r="AA639">
        <v>9600</v>
      </c>
      <c r="AB639">
        <v>20</v>
      </c>
      <c r="AC639">
        <v>18</v>
      </c>
      <c r="AD639">
        <v>0.2</v>
      </c>
      <c r="AE639">
        <v>96489.486733228507</v>
      </c>
    </row>
    <row r="640" spans="1:31" x14ac:dyDescent="0.3">
      <c r="A640" t="str">
        <f>IF(ISBLANK(B640),"",IF(ROUND(B640,0)=ROUND(G640,0),"Pass","Fail"))</f>
        <v>Pass</v>
      </c>
      <c r="B640">
        <f t="shared" si="59"/>
        <v>24.060272216796875</v>
      </c>
      <c r="C640">
        <v>0</v>
      </c>
      <c r="D640">
        <v>80</v>
      </c>
      <c r="E640">
        <v>20</v>
      </c>
      <c r="F640">
        <v>32</v>
      </c>
      <c r="G640">
        <v>24.060273005994599</v>
      </c>
      <c r="M640" t="str">
        <f t="shared" si="60"/>
        <v>Pass</v>
      </c>
      <c r="N640">
        <f t="shared" si="61"/>
        <v>7.9604956226830836E-7</v>
      </c>
      <c r="O640">
        <v>30</v>
      </c>
      <c r="P640">
        <v>50</v>
      </c>
      <c r="Q640">
        <v>1</v>
      </c>
      <c r="R640" t="b">
        <v>1</v>
      </c>
      <c r="S640">
        <v>7.9604962451609802E-7</v>
      </c>
      <c r="Y640" t="str">
        <f t="shared" si="62"/>
        <v>Pass</v>
      </c>
      <c r="Z640">
        <f t="shared" si="63"/>
        <v>97383.09375</v>
      </c>
      <c r="AA640">
        <v>9600</v>
      </c>
      <c r="AB640">
        <v>20</v>
      </c>
      <c r="AC640">
        <v>20</v>
      </c>
      <c r="AD640">
        <v>0.2</v>
      </c>
      <c r="AE640">
        <v>97383.088622237497</v>
      </c>
    </row>
    <row r="641" spans="1:31" x14ac:dyDescent="0.3">
      <c r="A641" t="str">
        <f>IF(ISBLANK(B641),"",IF(ROUND(B641,0)=ROUND(G641,0),"Pass","Fail"))</f>
        <v>Pass</v>
      </c>
      <c r="B641">
        <f t="shared" si="59"/>
        <v>21.919727325439453</v>
      </c>
      <c r="C641">
        <v>0</v>
      </c>
      <c r="D641">
        <v>80</v>
      </c>
      <c r="E641">
        <v>20</v>
      </c>
      <c r="F641">
        <v>40</v>
      </c>
      <c r="G641">
        <v>21.919726764327098</v>
      </c>
      <c r="M641" t="str">
        <f t="shared" si="60"/>
        <v>Pass</v>
      </c>
      <c r="N641">
        <f t="shared" si="61"/>
        <v>3.2818446925375611E-5</v>
      </c>
      <c r="O641">
        <v>30</v>
      </c>
      <c r="P641">
        <v>50</v>
      </c>
      <c r="Q641">
        <v>1</v>
      </c>
      <c r="R641" t="b">
        <v>0</v>
      </c>
      <c r="S641">
        <v>3.2818447076272497E-5</v>
      </c>
      <c r="Y641" t="str">
        <f t="shared" si="62"/>
        <v>Pass</v>
      </c>
      <c r="Z641">
        <f t="shared" si="63"/>
        <v>97982.09375</v>
      </c>
      <c r="AA641">
        <v>9600</v>
      </c>
      <c r="AB641">
        <v>20</v>
      </c>
      <c r="AC641">
        <v>22</v>
      </c>
      <c r="AD641">
        <v>0.2</v>
      </c>
      <c r="AE641">
        <v>97982.087881615604</v>
      </c>
    </row>
    <row r="642" spans="1:31" x14ac:dyDescent="0.3">
      <c r="A642" t="str">
        <f>IF(ISBLANK(B642),"",IF(ROUND(B642,0)=ROUND(G642,0),"Pass","Fail"))</f>
        <v>Pass</v>
      </c>
      <c r="B642">
        <f t="shared" si="59"/>
        <v>20.842208862304688</v>
      </c>
      <c r="C642">
        <v>0</v>
      </c>
      <c r="D642">
        <v>80</v>
      </c>
      <c r="E642">
        <v>20</v>
      </c>
      <c r="F642">
        <v>48</v>
      </c>
      <c r="G642">
        <v>20.842207900819702</v>
      </c>
      <c r="M642" t="str">
        <f t="shared" si="60"/>
        <v>Pass</v>
      </c>
      <c r="N642">
        <f t="shared" si="61"/>
        <v>8.7279619265245856E-7</v>
      </c>
      <c r="O642">
        <v>30</v>
      </c>
      <c r="P642">
        <v>50</v>
      </c>
      <c r="Q642">
        <v>1.5</v>
      </c>
      <c r="R642" t="b">
        <v>1</v>
      </c>
      <c r="S642">
        <v>8.7279622190116702E-7</v>
      </c>
      <c r="Y642" t="str">
        <f t="shared" si="62"/>
        <v>Pass</v>
      </c>
      <c r="Z642">
        <f t="shared" si="63"/>
        <v>98383.6171875</v>
      </c>
      <c r="AA642">
        <v>9600</v>
      </c>
      <c r="AB642">
        <v>20</v>
      </c>
      <c r="AC642">
        <v>24</v>
      </c>
      <c r="AD642">
        <v>0.2</v>
      </c>
      <c r="AE642">
        <v>98383.609092737199</v>
      </c>
    </row>
    <row r="643" spans="1:31" x14ac:dyDescent="0.3">
      <c r="A643" t="str">
        <f>IF(ISBLANK(B643),"",IF(ROUND(B643,0)=ROUND(G643,0),"Pass","Fail"))</f>
        <v>Pass</v>
      </c>
      <c r="B643">
        <f t="shared" si="59"/>
        <v>86.877998352050781</v>
      </c>
      <c r="C643">
        <v>0</v>
      </c>
      <c r="D643">
        <v>80</v>
      </c>
      <c r="E643">
        <v>30</v>
      </c>
      <c r="F643">
        <v>0</v>
      </c>
      <c r="G643">
        <v>86.878</v>
      </c>
      <c r="M643" t="str">
        <f t="shared" si="60"/>
        <v>Pass</v>
      </c>
      <c r="N643">
        <f t="shared" si="61"/>
        <v>3.598245166358538E-5</v>
      </c>
      <c r="O643">
        <v>30</v>
      </c>
      <c r="P643">
        <v>50</v>
      </c>
      <c r="Q643">
        <v>1.5</v>
      </c>
      <c r="R643" t="b">
        <v>0</v>
      </c>
      <c r="S643">
        <v>3.5982451011450499E-5</v>
      </c>
      <c r="Y643" t="str">
        <f t="shared" si="62"/>
        <v>Pass</v>
      </c>
      <c r="Z643">
        <f t="shared" si="63"/>
        <v>0</v>
      </c>
      <c r="AA643">
        <v>9800</v>
      </c>
      <c r="AB643">
        <v>20</v>
      </c>
      <c r="AC643">
        <v>0</v>
      </c>
      <c r="AD643">
        <v>0.2</v>
      </c>
      <c r="AE643">
        <v>0</v>
      </c>
    </row>
    <row r="644" spans="1:31" x14ac:dyDescent="0.3">
      <c r="A644" t="str">
        <f>IF(ISBLANK(B644),"",IF(ROUND(B644,0)=ROUND(G644,0),"Pass","Fail"))</f>
        <v>Pass</v>
      </c>
      <c r="B644">
        <f t="shared" si="59"/>
        <v>53.541229248046875</v>
      </c>
      <c r="C644">
        <v>0</v>
      </c>
      <c r="D644">
        <v>80</v>
      </c>
      <c r="E644">
        <v>30</v>
      </c>
      <c r="F644">
        <v>8</v>
      </c>
      <c r="G644">
        <v>53.541228080723002</v>
      </c>
      <c r="M644" t="str">
        <f t="shared" si="60"/>
        <v>Pass</v>
      </c>
      <c r="N644">
        <f t="shared" si="61"/>
        <v>9.3169535375636769E-7</v>
      </c>
      <c r="O644">
        <v>30</v>
      </c>
      <c r="P644">
        <v>50</v>
      </c>
      <c r="Q644">
        <v>2</v>
      </c>
      <c r="R644" t="b">
        <v>1</v>
      </c>
      <c r="S644">
        <v>9.3169539907999797E-7</v>
      </c>
      <c r="Y644" t="str">
        <f t="shared" si="62"/>
        <v>Pass</v>
      </c>
      <c r="Z644">
        <f t="shared" si="63"/>
        <v>33385.58984375</v>
      </c>
      <c r="AA644">
        <v>9800</v>
      </c>
      <c r="AB644">
        <v>20</v>
      </c>
      <c r="AC644">
        <v>2</v>
      </c>
      <c r="AD644">
        <v>0.2</v>
      </c>
      <c r="AE644">
        <v>33385.590004790902</v>
      </c>
    </row>
    <row r="645" spans="1:31" x14ac:dyDescent="0.3">
      <c r="A645" t="str">
        <f>IF(ISBLANK(B645),"",IF(ROUND(B645,0)=ROUND(G645,0),"Pass","Fail"))</f>
        <v>Pass</v>
      </c>
      <c r="B645">
        <f t="shared" si="59"/>
        <v>36.759994506835938</v>
      </c>
      <c r="C645">
        <v>0</v>
      </c>
      <c r="D645">
        <v>80</v>
      </c>
      <c r="E645">
        <v>30</v>
      </c>
      <c r="F645">
        <v>16</v>
      </c>
      <c r="G645">
        <v>36.759997247101701</v>
      </c>
      <c r="M645" t="str">
        <f t="shared" si="60"/>
        <v>Pass</v>
      </c>
      <c r="N645">
        <f t="shared" si="61"/>
        <v>3.8410667912103236E-5</v>
      </c>
      <c r="O645">
        <v>30</v>
      </c>
      <c r="P645">
        <v>50</v>
      </c>
      <c r="Q645">
        <v>2</v>
      </c>
      <c r="R645" t="b">
        <v>0</v>
      </c>
      <c r="S645">
        <v>3.8410665873375102E-5</v>
      </c>
      <c r="Y645" t="str">
        <f t="shared" si="62"/>
        <v>Pass</v>
      </c>
      <c r="Z645">
        <f t="shared" si="63"/>
        <v>55764.62109375</v>
      </c>
      <c r="AA645">
        <v>9800</v>
      </c>
      <c r="AB645">
        <v>20</v>
      </c>
      <c r="AC645">
        <v>4</v>
      </c>
      <c r="AD645">
        <v>0.2</v>
      </c>
      <c r="AE645">
        <v>55764.6202337293</v>
      </c>
    </row>
    <row r="646" spans="1:31" x14ac:dyDescent="0.3">
      <c r="A646" t="str">
        <f>IF(ISBLANK(B646),"",IF(ROUND(B646,0)=ROUND(G646,0),"Pass","Fail"))</f>
        <v>Pass</v>
      </c>
      <c r="B646">
        <f t="shared" si="59"/>
        <v>28.312576293945313</v>
      </c>
      <c r="C646">
        <v>0</v>
      </c>
      <c r="D646">
        <v>80</v>
      </c>
      <c r="E646">
        <v>30</v>
      </c>
      <c r="F646">
        <v>24</v>
      </c>
      <c r="G646">
        <v>28.3125774137362</v>
      </c>
      <c r="M646" t="str">
        <f t="shared" si="60"/>
        <v>Pass</v>
      </c>
      <c r="N646">
        <f t="shared" si="61"/>
        <v>9.801048008739599E-7</v>
      </c>
      <c r="O646">
        <v>30</v>
      </c>
      <c r="P646">
        <v>50</v>
      </c>
      <c r="Q646">
        <v>2.5</v>
      </c>
      <c r="R646" t="b">
        <v>1</v>
      </c>
      <c r="S646">
        <v>9.80104817319368E-7</v>
      </c>
      <c r="Y646" t="str">
        <f t="shared" si="62"/>
        <v>Pass</v>
      </c>
      <c r="Z646">
        <f t="shared" si="63"/>
        <v>70765.734375</v>
      </c>
      <c r="AA646">
        <v>9800</v>
      </c>
      <c r="AB646">
        <v>20</v>
      </c>
      <c r="AC646">
        <v>6</v>
      </c>
      <c r="AD646">
        <v>0.2</v>
      </c>
      <c r="AE646">
        <v>70765.732807024295</v>
      </c>
    </row>
    <row r="647" spans="1:31" x14ac:dyDescent="0.3">
      <c r="A647" t="str">
        <f>IF(ISBLANK(B647),"",IF(ROUND(B647,0)=ROUND(G647,0),"Pass","Fail"))</f>
        <v>Pass</v>
      </c>
      <c r="B647">
        <f t="shared" ref="B647:B710" si="64">FMC_heath(C647,D647,E647,F647)</f>
        <v>24.060272216796875</v>
      </c>
      <c r="C647">
        <v>0</v>
      </c>
      <c r="D647">
        <v>80</v>
      </c>
      <c r="E647">
        <v>30</v>
      </c>
      <c r="F647">
        <v>32</v>
      </c>
      <c r="G647">
        <v>24.060273005994599</v>
      </c>
      <c r="M647" t="str">
        <f t="shared" ref="M647:M710" si="65">IF(ISBLANK(N647),"",IF(ROUND(N647,0)=ROUND(S647,0),"Pass","Fail"))</f>
        <v>Pass</v>
      </c>
      <c r="N647">
        <f t="shared" ref="N647:N710" si="66">ROS_heath(O647,Q647,P647,R647)</f>
        <v>4.0406423067906871E-5</v>
      </c>
      <c r="O647">
        <v>30</v>
      </c>
      <c r="P647">
        <v>50</v>
      </c>
      <c r="Q647">
        <v>2.5</v>
      </c>
      <c r="R647" t="b">
        <v>0</v>
      </c>
      <c r="S647">
        <v>4.04064232753683E-5</v>
      </c>
      <c r="Y647" t="str">
        <f t="shared" ref="Y647:Y710" si="67">IF(ISBLANK(Z647),"",IF(ROUND(Z647,0)=ROUND(AE647,0),"Pass","Fail"))</f>
        <v>Pass</v>
      </c>
      <c r="Z647">
        <f t="shared" ref="Z647:Z710" si="68">intensity_heath(AA647,AB647,AC647,AD647)</f>
        <v>80821.28125</v>
      </c>
      <c r="AA647">
        <v>9800</v>
      </c>
      <c r="AB647">
        <v>20</v>
      </c>
      <c r="AC647">
        <v>8</v>
      </c>
      <c r="AD647">
        <v>0.2</v>
      </c>
      <c r="AE647">
        <v>80821.279277741196</v>
      </c>
    </row>
    <row r="648" spans="1:31" x14ac:dyDescent="0.3">
      <c r="A648" t="str">
        <f>IF(ISBLANK(B648),"",IF(ROUND(B648,0)=ROUND(G648,0),"Pass","Fail"))</f>
        <v>Pass</v>
      </c>
      <c r="B648">
        <f t="shared" si="64"/>
        <v>21.919727325439453</v>
      </c>
      <c r="C648">
        <v>0</v>
      </c>
      <c r="D648">
        <v>80</v>
      </c>
      <c r="E648">
        <v>30</v>
      </c>
      <c r="F648">
        <v>40</v>
      </c>
      <c r="G648">
        <v>21.919726764327098</v>
      </c>
      <c r="M648" t="str">
        <f t="shared" si="65"/>
        <v>Pass</v>
      </c>
      <c r="N648">
        <f t="shared" si="66"/>
        <v>1.0215194379270542E-6</v>
      </c>
      <c r="O648">
        <v>30</v>
      </c>
      <c r="P648">
        <v>50</v>
      </c>
      <c r="Q648">
        <v>3</v>
      </c>
      <c r="R648" t="b">
        <v>1</v>
      </c>
      <c r="S648">
        <v>1.02151951239728E-6</v>
      </c>
      <c r="Y648" t="str">
        <f t="shared" si="67"/>
        <v>Pass</v>
      </c>
      <c r="Z648">
        <f t="shared" si="68"/>
        <v>87561.71875</v>
      </c>
      <c r="AA648">
        <v>9800</v>
      </c>
      <c r="AB648">
        <v>20</v>
      </c>
      <c r="AC648">
        <v>10</v>
      </c>
      <c r="AD648">
        <v>0.2</v>
      </c>
      <c r="AE648">
        <v>87561.7136509056</v>
      </c>
    </row>
    <row r="649" spans="1:31" x14ac:dyDescent="0.3">
      <c r="A649" t="str">
        <f>IF(ISBLANK(B649),"",IF(ROUND(B649,0)=ROUND(G649,0),"Pass","Fail"))</f>
        <v>Pass</v>
      </c>
      <c r="B649">
        <f t="shared" si="64"/>
        <v>20.842208862304688</v>
      </c>
      <c r="C649">
        <v>0</v>
      </c>
      <c r="D649">
        <v>80</v>
      </c>
      <c r="E649">
        <v>30</v>
      </c>
      <c r="F649">
        <v>48</v>
      </c>
      <c r="G649">
        <v>20.842207900819702</v>
      </c>
      <c r="M649" t="str">
        <f t="shared" si="65"/>
        <v>Pass</v>
      </c>
      <c r="N649">
        <f t="shared" si="66"/>
        <v>4.2113813833566383E-5</v>
      </c>
      <c r="O649">
        <v>30</v>
      </c>
      <c r="P649">
        <v>50</v>
      </c>
      <c r="Q649">
        <v>3</v>
      </c>
      <c r="R649" t="b">
        <v>0</v>
      </c>
      <c r="S649">
        <v>4.2113811780727703E-5</v>
      </c>
      <c r="Y649" t="str">
        <f t="shared" si="67"/>
        <v>Pass</v>
      </c>
      <c r="Z649">
        <f t="shared" si="68"/>
        <v>92079.9609375</v>
      </c>
      <c r="AA649">
        <v>9800</v>
      </c>
      <c r="AB649">
        <v>20</v>
      </c>
      <c r="AC649">
        <v>12</v>
      </c>
      <c r="AD649">
        <v>0.2</v>
      </c>
      <c r="AE649">
        <v>92079.961930225501</v>
      </c>
    </row>
    <row r="650" spans="1:31" x14ac:dyDescent="0.3">
      <c r="A650" t="str">
        <f>IF(ISBLANK(B650),"",IF(ROUND(B650,0)=ROUND(G650,0),"Pass","Fail"))</f>
        <v>Pass</v>
      </c>
      <c r="B650">
        <f t="shared" si="64"/>
        <v>86.877998352050781</v>
      </c>
      <c r="C650">
        <v>0</v>
      </c>
      <c r="D650">
        <v>80</v>
      </c>
      <c r="E650">
        <v>40</v>
      </c>
      <c r="F650">
        <v>0</v>
      </c>
      <c r="G650">
        <v>86.878</v>
      </c>
      <c r="M650" t="str">
        <f t="shared" si="65"/>
        <v>Pass</v>
      </c>
      <c r="N650">
        <f t="shared" si="66"/>
        <v>1.0578974070085678E-6</v>
      </c>
      <c r="O650">
        <v>30</v>
      </c>
      <c r="P650">
        <v>50</v>
      </c>
      <c r="Q650">
        <v>3.5</v>
      </c>
      <c r="R650" t="b">
        <v>1</v>
      </c>
      <c r="S650">
        <v>1.0578974929003601E-6</v>
      </c>
      <c r="Y650" t="str">
        <f t="shared" si="67"/>
        <v>Pass</v>
      </c>
      <c r="Z650">
        <f t="shared" si="68"/>
        <v>95108.625</v>
      </c>
      <c r="AA650">
        <v>9800</v>
      </c>
      <c r="AB650">
        <v>20</v>
      </c>
      <c r="AC650">
        <v>14</v>
      </c>
      <c r="AD650">
        <v>0.2</v>
      </c>
      <c r="AE650">
        <v>95108.634324819606</v>
      </c>
    </row>
    <row r="651" spans="1:31" x14ac:dyDescent="0.3">
      <c r="A651" t="str">
        <f>IF(ISBLANK(B651),"",IF(ROUND(B651,0)=ROUND(G651,0),"Pass","Fail"))</f>
        <v>Pass</v>
      </c>
      <c r="B651">
        <f t="shared" si="64"/>
        <v>53.541229248046875</v>
      </c>
      <c r="C651">
        <v>0</v>
      </c>
      <c r="D651">
        <v>80</v>
      </c>
      <c r="E651">
        <v>40</v>
      </c>
      <c r="F651">
        <v>8</v>
      </c>
      <c r="G651">
        <v>53.541228080723002</v>
      </c>
      <c r="M651" t="str">
        <f t="shared" si="65"/>
        <v>Pass</v>
      </c>
      <c r="N651">
        <f t="shared" si="66"/>
        <v>4.3613552406895906E-5</v>
      </c>
      <c r="O651">
        <v>30</v>
      </c>
      <c r="P651">
        <v>50</v>
      </c>
      <c r="Q651">
        <v>3.5</v>
      </c>
      <c r="R651" t="b">
        <v>0</v>
      </c>
      <c r="S651">
        <v>4.3613553494201797E-5</v>
      </c>
      <c r="Y651" t="str">
        <f t="shared" si="67"/>
        <v>Pass</v>
      </c>
      <c r="Z651">
        <f t="shared" si="68"/>
        <v>97138.8125</v>
      </c>
      <c r="AA651">
        <v>9800</v>
      </c>
      <c r="AB651">
        <v>20</v>
      </c>
      <c r="AC651">
        <v>16</v>
      </c>
      <c r="AD651">
        <v>0.2</v>
      </c>
      <c r="AE651">
        <v>97138.814143790805</v>
      </c>
    </row>
    <row r="652" spans="1:31" x14ac:dyDescent="0.3">
      <c r="A652" t="str">
        <f>IF(ISBLANK(B652),"",IF(ROUND(B652,0)=ROUND(G652,0),"Pass","Fail"))</f>
        <v>Pass</v>
      </c>
      <c r="B652">
        <f t="shared" si="64"/>
        <v>36.759994506835938</v>
      </c>
      <c r="C652">
        <v>0</v>
      </c>
      <c r="D652">
        <v>80</v>
      </c>
      <c r="E652">
        <v>40</v>
      </c>
      <c r="F652">
        <v>16</v>
      </c>
      <c r="G652">
        <v>36.759997247101701</v>
      </c>
      <c r="M652" t="str">
        <f t="shared" si="65"/>
        <v>Pass</v>
      </c>
      <c r="N652">
        <f t="shared" si="66"/>
        <v>1.0904549299084465E-6</v>
      </c>
      <c r="O652">
        <v>30</v>
      </c>
      <c r="P652">
        <v>50</v>
      </c>
      <c r="Q652">
        <v>4</v>
      </c>
      <c r="R652" t="b">
        <v>1</v>
      </c>
      <c r="S652">
        <v>1.0904550293513499E-6</v>
      </c>
      <c r="Y652" t="str">
        <f t="shared" si="67"/>
        <v>Pass</v>
      </c>
      <c r="Z652">
        <f t="shared" si="68"/>
        <v>98499.6875</v>
      </c>
      <c r="AA652">
        <v>9800</v>
      </c>
      <c r="AB652">
        <v>20</v>
      </c>
      <c r="AC652">
        <v>18</v>
      </c>
      <c r="AD652">
        <v>0.2</v>
      </c>
      <c r="AE652">
        <v>98499.684373504104</v>
      </c>
    </row>
    <row r="653" spans="1:31" x14ac:dyDescent="0.3">
      <c r="A653" t="str">
        <f>IF(ISBLANK(B653),"",IF(ROUND(B653,0)=ROUND(G653,0),"Pass","Fail"))</f>
        <v>Pass</v>
      </c>
      <c r="B653">
        <f t="shared" si="64"/>
        <v>28.312576293945313</v>
      </c>
      <c r="C653">
        <v>0</v>
      </c>
      <c r="D653">
        <v>80</v>
      </c>
      <c r="E653">
        <v>40</v>
      </c>
      <c r="F653">
        <v>24</v>
      </c>
      <c r="G653">
        <v>28.3125774137362</v>
      </c>
      <c r="M653" t="str">
        <f t="shared" si="65"/>
        <v>Pass</v>
      </c>
      <c r="N653">
        <f t="shared" si="66"/>
        <v>4.49557883257512E-5</v>
      </c>
      <c r="O653">
        <v>30</v>
      </c>
      <c r="P653">
        <v>50</v>
      </c>
      <c r="Q653">
        <v>4</v>
      </c>
      <c r="R653" t="b">
        <v>0</v>
      </c>
      <c r="S653">
        <v>4.4955791156332598E-5</v>
      </c>
      <c r="Y653" t="str">
        <f t="shared" si="67"/>
        <v>Pass</v>
      </c>
      <c r="Z653">
        <f t="shared" si="68"/>
        <v>99411.90625</v>
      </c>
      <c r="AA653">
        <v>9800</v>
      </c>
      <c r="AB653">
        <v>20</v>
      </c>
      <c r="AC653">
        <v>20</v>
      </c>
      <c r="AD653">
        <v>0.2</v>
      </c>
      <c r="AE653">
        <v>99411.902968534094</v>
      </c>
    </row>
    <row r="654" spans="1:31" x14ac:dyDescent="0.3">
      <c r="A654" t="str">
        <f>IF(ISBLANK(B654),"",IF(ROUND(B654,0)=ROUND(G654,0),"Pass","Fail"))</f>
        <v>Pass</v>
      </c>
      <c r="B654">
        <f t="shared" si="64"/>
        <v>24.060272216796875</v>
      </c>
      <c r="C654">
        <v>0</v>
      </c>
      <c r="D654">
        <v>80</v>
      </c>
      <c r="E654">
        <v>40</v>
      </c>
      <c r="F654">
        <v>32</v>
      </c>
      <c r="G654">
        <v>24.060273005994599</v>
      </c>
      <c r="M654" t="str">
        <f t="shared" si="65"/>
        <v>Pass</v>
      </c>
      <c r="N654">
        <f t="shared" si="66"/>
        <v>0</v>
      </c>
      <c r="O654">
        <v>30</v>
      </c>
      <c r="P654">
        <v>60</v>
      </c>
      <c r="Q654">
        <v>0</v>
      </c>
      <c r="R654" t="b">
        <v>1</v>
      </c>
      <c r="S654">
        <v>0</v>
      </c>
      <c r="Y654" t="str">
        <f t="shared" si="67"/>
        <v>Pass</v>
      </c>
      <c r="Z654">
        <f t="shared" si="68"/>
        <v>100023.390625</v>
      </c>
      <c r="AA654">
        <v>9800</v>
      </c>
      <c r="AB654">
        <v>20</v>
      </c>
      <c r="AC654">
        <v>22</v>
      </c>
      <c r="AD654">
        <v>0.2</v>
      </c>
      <c r="AE654">
        <v>100023.381379149</v>
      </c>
    </row>
    <row r="655" spans="1:31" x14ac:dyDescent="0.3">
      <c r="A655" t="str">
        <f>IF(ISBLANK(B655),"",IF(ROUND(B655,0)=ROUND(G655,0),"Pass","Fail"))</f>
        <v>Pass</v>
      </c>
      <c r="B655">
        <f t="shared" si="64"/>
        <v>21.919727325439453</v>
      </c>
      <c r="C655">
        <v>0</v>
      </c>
      <c r="D655">
        <v>80</v>
      </c>
      <c r="E655">
        <v>40</v>
      </c>
      <c r="F655">
        <v>40</v>
      </c>
      <c r="G655">
        <v>21.919726764327098</v>
      </c>
      <c r="M655" t="str">
        <f t="shared" si="65"/>
        <v>Pass</v>
      </c>
      <c r="N655">
        <f t="shared" si="66"/>
        <v>0</v>
      </c>
      <c r="O655">
        <v>30</v>
      </c>
      <c r="P655">
        <v>60</v>
      </c>
      <c r="Q655">
        <v>0</v>
      </c>
      <c r="R655" t="b">
        <v>0</v>
      </c>
      <c r="S655">
        <v>0</v>
      </c>
      <c r="Y655" t="str">
        <f t="shared" si="67"/>
        <v>Pass</v>
      </c>
      <c r="Z655">
        <f t="shared" si="68"/>
        <v>100433.2734375</v>
      </c>
      <c r="AA655">
        <v>9800</v>
      </c>
      <c r="AB655">
        <v>20</v>
      </c>
      <c r="AC655">
        <v>24</v>
      </c>
      <c r="AD655">
        <v>0.2</v>
      </c>
      <c r="AE655">
        <v>100433.267615502</v>
      </c>
    </row>
    <row r="656" spans="1:31" x14ac:dyDescent="0.3">
      <c r="A656" t="str">
        <f>IF(ISBLANK(B656),"",IF(ROUND(B656,0)=ROUND(G656,0),"Pass","Fail"))</f>
        <v>Pass</v>
      </c>
      <c r="B656">
        <f t="shared" si="64"/>
        <v>20.842208862304688</v>
      </c>
      <c r="C656">
        <v>0</v>
      </c>
      <c r="D656">
        <v>80</v>
      </c>
      <c r="E656">
        <v>40</v>
      </c>
      <c r="F656">
        <v>48</v>
      </c>
      <c r="G656">
        <v>20.842207900819702</v>
      </c>
      <c r="M656" t="str">
        <f t="shared" si="65"/>
        <v>Pass</v>
      </c>
      <c r="N656">
        <f t="shared" si="66"/>
        <v>1.245743064259841E-8</v>
      </c>
      <c r="O656">
        <v>30</v>
      </c>
      <c r="P656">
        <v>60</v>
      </c>
      <c r="Q656">
        <v>0.5</v>
      </c>
      <c r="R656" t="b">
        <v>1</v>
      </c>
      <c r="S656">
        <v>1.2457431620496501E-8</v>
      </c>
      <c r="Y656" t="str">
        <f t="shared" si="67"/>
        <v>Pass</v>
      </c>
      <c r="Z656">
        <f t="shared" si="68"/>
        <v>0</v>
      </c>
      <c r="AA656">
        <v>10000</v>
      </c>
      <c r="AB656">
        <v>20</v>
      </c>
      <c r="AC656">
        <v>0</v>
      </c>
      <c r="AD656">
        <v>0.2</v>
      </c>
      <c r="AE656">
        <v>0</v>
      </c>
    </row>
    <row r="657" spans="1:31" x14ac:dyDescent="0.3">
      <c r="A657" t="str">
        <f>IF(ISBLANK(B657),"",IF(ROUND(B657,0)=ROUND(G657,0),"Pass","Fail"))</f>
        <v>Pass</v>
      </c>
      <c r="B657">
        <f t="shared" si="64"/>
        <v>86.877998352050781</v>
      </c>
      <c r="C657">
        <v>0</v>
      </c>
      <c r="D657">
        <v>80</v>
      </c>
      <c r="E657">
        <v>50</v>
      </c>
      <c r="F657">
        <v>0</v>
      </c>
      <c r="G657">
        <v>86.878</v>
      </c>
      <c r="M657" t="str">
        <f t="shared" si="65"/>
        <v>Pass</v>
      </c>
      <c r="N657">
        <f t="shared" si="66"/>
        <v>5.1357795882722712E-7</v>
      </c>
      <c r="O657">
        <v>30</v>
      </c>
      <c r="P657">
        <v>60</v>
      </c>
      <c r="Q657">
        <v>0.5</v>
      </c>
      <c r="R657" t="b">
        <v>0</v>
      </c>
      <c r="S657">
        <v>5.1357798276969302E-7</v>
      </c>
      <c r="Y657" t="str">
        <f t="shared" si="67"/>
        <v>Pass</v>
      </c>
      <c r="Z657">
        <f t="shared" si="68"/>
        <v>34066.92578125</v>
      </c>
      <c r="AA657">
        <v>10000</v>
      </c>
      <c r="AB657">
        <v>20</v>
      </c>
      <c r="AC657">
        <v>2</v>
      </c>
      <c r="AD657">
        <v>0.2</v>
      </c>
      <c r="AE657">
        <v>34066.928576317201</v>
      </c>
    </row>
    <row r="658" spans="1:31" x14ac:dyDescent="0.3">
      <c r="A658" t="str">
        <f>IF(ISBLANK(B658),"",IF(ROUND(B658,0)=ROUND(G658,0),"Pass","Fail"))</f>
        <v>Pass</v>
      </c>
      <c r="B658">
        <f t="shared" si="64"/>
        <v>53.541229248046875</v>
      </c>
      <c r="C658">
        <v>0</v>
      </c>
      <c r="D658">
        <v>80</v>
      </c>
      <c r="E658">
        <v>50</v>
      </c>
      <c r="F658">
        <v>8</v>
      </c>
      <c r="G658">
        <v>53.541228080723002</v>
      </c>
      <c r="M658" t="str">
        <f t="shared" si="65"/>
        <v>Pass</v>
      </c>
      <c r="N658">
        <f t="shared" si="66"/>
        <v>1.4580160190291735E-8</v>
      </c>
      <c r="O658">
        <v>30</v>
      </c>
      <c r="P658">
        <v>60</v>
      </c>
      <c r="Q658">
        <v>1</v>
      </c>
      <c r="R658" t="b">
        <v>1</v>
      </c>
      <c r="S658">
        <v>1.45801610448917E-8</v>
      </c>
      <c r="Y658" t="str">
        <f t="shared" si="67"/>
        <v>Pass</v>
      </c>
      <c r="Z658">
        <f t="shared" si="68"/>
        <v>56902.67578125</v>
      </c>
      <c r="AA658">
        <v>10000</v>
      </c>
      <c r="AB658">
        <v>20</v>
      </c>
      <c r="AC658">
        <v>4</v>
      </c>
      <c r="AD658">
        <v>0.2</v>
      </c>
      <c r="AE658">
        <v>56902.673707887101</v>
      </c>
    </row>
    <row r="659" spans="1:31" x14ac:dyDescent="0.3">
      <c r="A659" t="str">
        <f>IF(ISBLANK(B659),"",IF(ROUND(B659,0)=ROUND(G659,0),"Pass","Fail"))</f>
        <v>Pass</v>
      </c>
      <c r="B659">
        <f t="shared" si="64"/>
        <v>36.759994506835938</v>
      </c>
      <c r="C659">
        <v>0</v>
      </c>
      <c r="D659">
        <v>80</v>
      </c>
      <c r="E659">
        <v>50</v>
      </c>
      <c r="F659">
        <v>16</v>
      </c>
      <c r="G659">
        <v>36.759997247101701</v>
      </c>
      <c r="M659" t="str">
        <f t="shared" si="65"/>
        <v>Pass</v>
      </c>
      <c r="N659">
        <f t="shared" si="66"/>
        <v>6.010909601172898E-7</v>
      </c>
      <c r="O659">
        <v>30</v>
      </c>
      <c r="P659">
        <v>60</v>
      </c>
      <c r="Q659">
        <v>1</v>
      </c>
      <c r="R659" t="b">
        <v>0</v>
      </c>
      <c r="S659">
        <v>6.0109097332490895E-7</v>
      </c>
      <c r="Y659" t="str">
        <f t="shared" si="67"/>
        <v>Pass</v>
      </c>
      <c r="Z659">
        <f t="shared" si="68"/>
        <v>72209.9375</v>
      </c>
      <c r="AA659">
        <v>10000</v>
      </c>
      <c r="AB659">
        <v>20</v>
      </c>
      <c r="AC659">
        <v>6</v>
      </c>
      <c r="AD659">
        <v>0.2</v>
      </c>
      <c r="AE659">
        <v>72209.931435739098</v>
      </c>
    </row>
    <row r="660" spans="1:31" x14ac:dyDescent="0.3">
      <c r="A660" t="str">
        <f>IF(ISBLANK(B660),"",IF(ROUND(B660,0)=ROUND(G660,0),"Pass","Fail"))</f>
        <v>Pass</v>
      </c>
      <c r="B660">
        <f t="shared" si="64"/>
        <v>28.312576293945313</v>
      </c>
      <c r="C660">
        <v>0</v>
      </c>
      <c r="D660">
        <v>80</v>
      </c>
      <c r="E660">
        <v>50</v>
      </c>
      <c r="F660">
        <v>24</v>
      </c>
      <c r="G660">
        <v>28.3125774137362</v>
      </c>
      <c r="M660" t="str">
        <f t="shared" si="65"/>
        <v>Pass</v>
      </c>
      <c r="N660">
        <f t="shared" si="66"/>
        <v>1.5985824219910683E-8</v>
      </c>
      <c r="O660">
        <v>30</v>
      </c>
      <c r="P660">
        <v>60</v>
      </c>
      <c r="Q660">
        <v>1.5</v>
      </c>
      <c r="R660" t="b">
        <v>1</v>
      </c>
      <c r="S660">
        <v>1.59858243541382E-8</v>
      </c>
      <c r="Y660" t="str">
        <f t="shared" si="67"/>
        <v>Pass</v>
      </c>
      <c r="Z660">
        <f t="shared" si="68"/>
        <v>82470.6953125</v>
      </c>
      <c r="AA660">
        <v>10000</v>
      </c>
      <c r="AB660">
        <v>20</v>
      </c>
      <c r="AC660">
        <v>8</v>
      </c>
      <c r="AD660">
        <v>0.2</v>
      </c>
      <c r="AE660">
        <v>82470.693140552205</v>
      </c>
    </row>
    <row r="661" spans="1:31" x14ac:dyDescent="0.3">
      <c r="A661" t="str">
        <f>IF(ISBLANK(B661),"",IF(ROUND(B661,0)=ROUND(G661,0),"Pass","Fail"))</f>
        <v>Pass</v>
      </c>
      <c r="B661">
        <f t="shared" si="64"/>
        <v>24.060272216796875</v>
      </c>
      <c r="C661">
        <v>0</v>
      </c>
      <c r="D661">
        <v>80</v>
      </c>
      <c r="E661">
        <v>50</v>
      </c>
      <c r="F661">
        <v>32</v>
      </c>
      <c r="G661">
        <v>24.060273005994599</v>
      </c>
      <c r="M661" t="str">
        <f t="shared" si="65"/>
        <v>Pass</v>
      </c>
      <c r="N661">
        <f t="shared" si="66"/>
        <v>6.5904174562092521E-7</v>
      </c>
      <c r="O661">
        <v>30</v>
      </c>
      <c r="P661">
        <v>60</v>
      </c>
      <c r="Q661">
        <v>1.5</v>
      </c>
      <c r="R661" t="b">
        <v>0</v>
      </c>
      <c r="S661">
        <v>6.59041741092194E-7</v>
      </c>
      <c r="Y661" t="str">
        <f t="shared" si="67"/>
        <v>Pass</v>
      </c>
      <c r="Z661">
        <f t="shared" si="68"/>
        <v>89348.6953125</v>
      </c>
      <c r="AA661">
        <v>10000</v>
      </c>
      <c r="AB661">
        <v>20</v>
      </c>
      <c r="AC661">
        <v>10</v>
      </c>
      <c r="AD661">
        <v>0.2</v>
      </c>
      <c r="AE661">
        <v>89348.687398883296</v>
      </c>
    </row>
    <row r="662" spans="1:31" x14ac:dyDescent="0.3">
      <c r="A662" t="str">
        <f>IF(ISBLANK(B662),"",IF(ROUND(B662,0)=ROUND(G662,0),"Pass","Fail"))</f>
        <v>Pass</v>
      </c>
      <c r="B662">
        <f t="shared" si="64"/>
        <v>21.919727325439453</v>
      </c>
      <c r="C662">
        <v>0</v>
      </c>
      <c r="D662">
        <v>80</v>
      </c>
      <c r="E662">
        <v>50</v>
      </c>
      <c r="F662">
        <v>40</v>
      </c>
      <c r="G662">
        <v>21.919726764327098</v>
      </c>
      <c r="M662" t="str">
        <f t="shared" si="65"/>
        <v>Pass</v>
      </c>
      <c r="N662">
        <f t="shared" si="66"/>
        <v>1.7064598623051097E-8</v>
      </c>
      <c r="O662">
        <v>30</v>
      </c>
      <c r="P662">
        <v>60</v>
      </c>
      <c r="Q662">
        <v>2</v>
      </c>
      <c r="R662" t="b">
        <v>1</v>
      </c>
      <c r="S662">
        <v>1.7064600679422001E-8</v>
      </c>
      <c r="Y662" t="str">
        <f t="shared" si="67"/>
        <v>Pass</v>
      </c>
      <c r="Z662">
        <f t="shared" si="68"/>
        <v>93959.1484375</v>
      </c>
      <c r="AA662">
        <v>10000</v>
      </c>
      <c r="AB662">
        <v>20</v>
      </c>
      <c r="AC662">
        <v>12</v>
      </c>
      <c r="AD662">
        <v>0.2</v>
      </c>
      <c r="AE662">
        <v>93959.144826760705</v>
      </c>
    </row>
    <row r="663" spans="1:31" x14ac:dyDescent="0.3">
      <c r="A663" t="str">
        <f>IF(ISBLANK(B663),"",IF(ROUND(B663,0)=ROUND(G663,0),"Pass","Fail"))</f>
        <v>Pass</v>
      </c>
      <c r="B663">
        <f t="shared" si="64"/>
        <v>20.842208862304688</v>
      </c>
      <c r="C663">
        <v>0</v>
      </c>
      <c r="D663">
        <v>80</v>
      </c>
      <c r="E663">
        <v>50</v>
      </c>
      <c r="F663">
        <v>48</v>
      </c>
      <c r="G663">
        <v>20.842207900819702</v>
      </c>
      <c r="M663" t="str">
        <f t="shared" si="65"/>
        <v>Pass</v>
      </c>
      <c r="N663">
        <f t="shared" si="66"/>
        <v>7.0351609338104026E-7</v>
      </c>
      <c r="O663">
        <v>30</v>
      </c>
      <c r="P663">
        <v>60</v>
      </c>
      <c r="Q663">
        <v>2</v>
      </c>
      <c r="R663" t="b">
        <v>0</v>
      </c>
      <c r="S663">
        <v>7.0351605858211295E-7</v>
      </c>
      <c r="Y663" t="str">
        <f t="shared" si="67"/>
        <v>Pass</v>
      </c>
      <c r="Z663">
        <f t="shared" si="68"/>
        <v>97049.6171875</v>
      </c>
      <c r="AA663">
        <v>10000</v>
      </c>
      <c r="AB663">
        <v>20</v>
      </c>
      <c r="AC663">
        <v>14</v>
      </c>
      <c r="AD663">
        <v>0.2</v>
      </c>
      <c r="AE663">
        <v>97049.626862060803</v>
      </c>
    </row>
    <row r="664" spans="1:31" x14ac:dyDescent="0.3">
      <c r="A664" t="str">
        <f>IF(ISBLANK(B664),"",IF(ROUND(B664,0)=ROUND(G664,0),"Pass","Fail"))</f>
        <v>Pass</v>
      </c>
      <c r="B664">
        <f t="shared" si="64"/>
        <v>86.877998352050781</v>
      </c>
      <c r="C664">
        <v>0</v>
      </c>
      <c r="D664">
        <v>80</v>
      </c>
      <c r="E664">
        <v>60</v>
      </c>
      <c r="F664">
        <v>0</v>
      </c>
      <c r="G664">
        <v>86.878</v>
      </c>
      <c r="M664" t="str">
        <f t="shared" si="65"/>
        <v>Pass</v>
      </c>
      <c r="N664">
        <f t="shared" si="66"/>
        <v>1.7951249375869338E-8</v>
      </c>
      <c r="O664">
        <v>30</v>
      </c>
      <c r="P664">
        <v>60</v>
      </c>
      <c r="Q664">
        <v>2.5</v>
      </c>
      <c r="R664" t="b">
        <v>1</v>
      </c>
      <c r="S664">
        <v>1.7951250320703499E-8</v>
      </c>
      <c r="Y664" t="str">
        <f t="shared" si="67"/>
        <v>Pass</v>
      </c>
      <c r="Z664">
        <f t="shared" si="68"/>
        <v>99121.234375</v>
      </c>
      <c r="AA664">
        <v>10000</v>
      </c>
      <c r="AB664">
        <v>20</v>
      </c>
      <c r="AC664">
        <v>16</v>
      </c>
      <c r="AD664">
        <v>0.2</v>
      </c>
      <c r="AE664">
        <v>99121.238922235498</v>
      </c>
    </row>
    <row r="665" spans="1:31" x14ac:dyDescent="0.3">
      <c r="A665" t="str">
        <f>IF(ISBLANK(B665),"",IF(ROUND(B665,0)=ROUND(G665,0),"Pass","Fail"))</f>
        <v>Pass</v>
      </c>
      <c r="B665">
        <f t="shared" si="64"/>
        <v>53.541229248046875</v>
      </c>
      <c r="C665">
        <v>0</v>
      </c>
      <c r="D665">
        <v>80</v>
      </c>
      <c r="E665">
        <v>60</v>
      </c>
      <c r="F665">
        <v>8</v>
      </c>
      <c r="G665">
        <v>53.541228080723002</v>
      </c>
      <c r="M665" t="str">
        <f t="shared" si="65"/>
        <v>Pass</v>
      </c>
      <c r="N665">
        <f t="shared" si="66"/>
        <v>7.4006965178341488E-7</v>
      </c>
      <c r="O665">
        <v>30</v>
      </c>
      <c r="P665">
        <v>60</v>
      </c>
      <c r="Q665">
        <v>2.5</v>
      </c>
      <c r="R665" t="b">
        <v>0</v>
      </c>
      <c r="S665">
        <v>7.40069639453762E-7</v>
      </c>
      <c r="Y665" t="str">
        <f t="shared" si="67"/>
        <v>Pass</v>
      </c>
      <c r="Z665">
        <f t="shared" si="68"/>
        <v>100509.8828125</v>
      </c>
      <c r="AA665">
        <v>10000</v>
      </c>
      <c r="AB665">
        <v>20</v>
      </c>
      <c r="AC665">
        <v>18</v>
      </c>
      <c r="AD665">
        <v>0.2</v>
      </c>
      <c r="AE665">
        <v>100509.882013779</v>
      </c>
    </row>
    <row r="666" spans="1:31" x14ac:dyDescent="0.3">
      <c r="A666" t="str">
        <f>IF(ISBLANK(B666),"",IF(ROUND(B666,0)=ROUND(G666,0),"Pass","Fail"))</f>
        <v>Pass</v>
      </c>
      <c r="B666">
        <f t="shared" si="64"/>
        <v>36.759994506835938</v>
      </c>
      <c r="C666">
        <v>0</v>
      </c>
      <c r="D666">
        <v>80</v>
      </c>
      <c r="E666">
        <v>60</v>
      </c>
      <c r="F666">
        <v>16</v>
      </c>
      <c r="G666">
        <v>36.759997247101701</v>
      </c>
      <c r="M666" t="str">
        <f t="shared" si="65"/>
        <v>Pass</v>
      </c>
      <c r="N666">
        <f t="shared" si="66"/>
        <v>1.8709785720716354E-8</v>
      </c>
      <c r="O666">
        <v>30</v>
      </c>
      <c r="P666">
        <v>60</v>
      </c>
      <c r="Q666">
        <v>3</v>
      </c>
      <c r="R666" t="b">
        <v>1</v>
      </c>
      <c r="S666">
        <v>1.8709787106934801E-8</v>
      </c>
      <c r="Y666" t="str">
        <f t="shared" si="67"/>
        <v>Pass</v>
      </c>
      <c r="Z666">
        <f t="shared" si="68"/>
        <v>101440.71875</v>
      </c>
      <c r="AA666">
        <v>10000</v>
      </c>
      <c r="AB666">
        <v>20</v>
      </c>
      <c r="AC666">
        <v>20</v>
      </c>
      <c r="AD666">
        <v>0.2</v>
      </c>
      <c r="AE666">
        <v>101440.71731483001</v>
      </c>
    </row>
    <row r="667" spans="1:31" x14ac:dyDescent="0.3">
      <c r="A667" t="str">
        <f>IF(ISBLANK(B667),"",IF(ROUND(B667,0)=ROUND(G667,0),"Pass","Fail"))</f>
        <v>Pass</v>
      </c>
      <c r="B667">
        <f t="shared" si="64"/>
        <v>28.312576293945313</v>
      </c>
      <c r="C667">
        <v>0</v>
      </c>
      <c r="D667">
        <v>80</v>
      </c>
      <c r="E667">
        <v>60</v>
      </c>
      <c r="F667">
        <v>24</v>
      </c>
      <c r="G667">
        <v>28.3125774137362</v>
      </c>
      <c r="M667" t="str">
        <f t="shared" si="65"/>
        <v>Pass</v>
      </c>
      <c r="N667">
        <f t="shared" si="66"/>
        <v>7.7134160392233753E-7</v>
      </c>
      <c r="O667">
        <v>30</v>
      </c>
      <c r="P667">
        <v>60</v>
      </c>
      <c r="Q667">
        <v>3</v>
      </c>
      <c r="R667" t="b">
        <v>0</v>
      </c>
      <c r="S667">
        <v>7.7134155844935205E-7</v>
      </c>
      <c r="Y667" t="str">
        <f t="shared" si="67"/>
        <v>Pass</v>
      </c>
      <c r="Z667">
        <f t="shared" si="68"/>
        <v>102064.6796875</v>
      </c>
      <c r="AA667">
        <v>10000</v>
      </c>
      <c r="AB667">
        <v>20</v>
      </c>
      <c r="AC667">
        <v>22</v>
      </c>
      <c r="AD667">
        <v>0.2</v>
      </c>
      <c r="AE667">
        <v>102064.67487668199</v>
      </c>
    </row>
    <row r="668" spans="1:31" x14ac:dyDescent="0.3">
      <c r="A668" t="str">
        <f>IF(ISBLANK(B668),"",IF(ROUND(B668,0)=ROUND(G668,0),"Pass","Fail"))</f>
        <v>Pass</v>
      </c>
      <c r="B668">
        <f t="shared" si="64"/>
        <v>24.060272216796875</v>
      </c>
      <c r="C668">
        <v>0</v>
      </c>
      <c r="D668">
        <v>80</v>
      </c>
      <c r="E668">
        <v>60</v>
      </c>
      <c r="F668">
        <v>32</v>
      </c>
      <c r="G668">
        <v>24.060273005994599</v>
      </c>
      <c r="M668" t="str">
        <f t="shared" si="65"/>
        <v>Pass</v>
      </c>
      <c r="N668">
        <f t="shared" si="66"/>
        <v>1.9376072302179637E-8</v>
      </c>
      <c r="O668">
        <v>30</v>
      </c>
      <c r="P668">
        <v>60</v>
      </c>
      <c r="Q668">
        <v>3.5</v>
      </c>
      <c r="R668" t="b">
        <v>1</v>
      </c>
      <c r="S668">
        <v>1.9376073225146801E-8</v>
      </c>
      <c r="Y668" t="str">
        <f t="shared" si="67"/>
        <v>Pass</v>
      </c>
      <c r="Z668">
        <f t="shared" si="68"/>
        <v>102482.9296875</v>
      </c>
      <c r="AA668">
        <v>10000</v>
      </c>
      <c r="AB668">
        <v>20</v>
      </c>
      <c r="AC668">
        <v>24</v>
      </c>
      <c r="AD668">
        <v>0.2</v>
      </c>
      <c r="AE668">
        <v>102482.92613826699</v>
      </c>
    </row>
    <row r="669" spans="1:31" x14ac:dyDescent="0.3">
      <c r="A669" t="str">
        <f>IF(ISBLANK(B669),"",IF(ROUND(B669,0)=ROUND(G669,0),"Pass","Fail"))</f>
        <v>Pass</v>
      </c>
      <c r="B669">
        <f t="shared" si="64"/>
        <v>21.919727325439453</v>
      </c>
      <c r="C669">
        <v>0</v>
      </c>
      <c r="D669">
        <v>80</v>
      </c>
      <c r="E669">
        <v>60</v>
      </c>
      <c r="F669">
        <v>40</v>
      </c>
      <c r="G669">
        <v>21.919726764327098</v>
      </c>
      <c r="M669" t="str">
        <f t="shared" si="65"/>
        <v>Pass</v>
      </c>
      <c r="N669">
        <f t="shared" si="66"/>
        <v>7.9881027659212123E-7</v>
      </c>
      <c r="O669">
        <v>30</v>
      </c>
      <c r="P669">
        <v>60</v>
      </c>
      <c r="Q669">
        <v>3.5</v>
      </c>
      <c r="R669" t="b">
        <v>0</v>
      </c>
      <c r="S669">
        <v>7.9881029285329796E-7</v>
      </c>
      <c r="Y669" t="str">
        <f t="shared" si="67"/>
        <v>Pass</v>
      </c>
      <c r="Z669">
        <f t="shared" si="68"/>
        <v>0</v>
      </c>
      <c r="AA669">
        <v>10200</v>
      </c>
      <c r="AB669">
        <v>20</v>
      </c>
      <c r="AC669">
        <v>0</v>
      </c>
      <c r="AD669">
        <v>0.2</v>
      </c>
      <c r="AE669">
        <v>0</v>
      </c>
    </row>
    <row r="670" spans="1:31" x14ac:dyDescent="0.3">
      <c r="A670" t="str">
        <f>IF(ISBLANK(B670),"",IF(ROUND(B670,0)=ROUND(G670,0),"Pass","Fail"))</f>
        <v>Pass</v>
      </c>
      <c r="B670">
        <f t="shared" si="64"/>
        <v>20.842208862304688</v>
      </c>
      <c r="C670">
        <v>0</v>
      </c>
      <c r="D670">
        <v>80</v>
      </c>
      <c r="E670">
        <v>60</v>
      </c>
      <c r="F670">
        <v>48</v>
      </c>
      <c r="G670">
        <v>20.842207900819702</v>
      </c>
      <c r="M670" t="str">
        <f t="shared" si="65"/>
        <v>Pass</v>
      </c>
      <c r="N670">
        <f t="shared" si="66"/>
        <v>1.9972384635025264E-8</v>
      </c>
      <c r="O670">
        <v>30</v>
      </c>
      <c r="P670">
        <v>60</v>
      </c>
      <c r="Q670">
        <v>4</v>
      </c>
      <c r="R670" t="b">
        <v>1</v>
      </c>
      <c r="S670">
        <v>1.9972385452501801E-8</v>
      </c>
      <c r="Y670" t="str">
        <f t="shared" si="67"/>
        <v>Pass</v>
      </c>
      <c r="Z670">
        <f t="shared" si="68"/>
        <v>34748.265625</v>
      </c>
      <c r="AA670">
        <v>10200</v>
      </c>
      <c r="AB670">
        <v>20</v>
      </c>
      <c r="AC670">
        <v>2</v>
      </c>
      <c r="AD670">
        <v>0.2</v>
      </c>
      <c r="AE670">
        <v>34748.267147843602</v>
      </c>
    </row>
    <row r="671" spans="1:31" x14ac:dyDescent="0.3">
      <c r="A671" t="str">
        <f>IF(ISBLANK(B671),"",IF(ROUND(B671,0)=ROUND(G671,0),"Pass","Fail"))</f>
        <v>Pass</v>
      </c>
      <c r="B671">
        <f t="shared" si="64"/>
        <v>86.877998352050781</v>
      </c>
      <c r="C671">
        <v>0</v>
      </c>
      <c r="D671">
        <v>80</v>
      </c>
      <c r="E671">
        <v>70</v>
      </c>
      <c r="F671">
        <v>0</v>
      </c>
      <c r="G671">
        <v>86.878</v>
      </c>
      <c r="M671" t="str">
        <f t="shared" si="65"/>
        <v>Pass</v>
      </c>
      <c r="N671">
        <f t="shared" si="66"/>
        <v>8.2339420259813778E-7</v>
      </c>
      <c r="O671">
        <v>30</v>
      </c>
      <c r="P671">
        <v>60</v>
      </c>
      <c r="Q671">
        <v>4</v>
      </c>
      <c r="R671" t="b">
        <v>0</v>
      </c>
      <c r="S671">
        <v>8.2339423922006296E-7</v>
      </c>
      <c r="Y671" t="str">
        <f t="shared" si="67"/>
        <v>Pass</v>
      </c>
      <c r="Z671">
        <f t="shared" si="68"/>
        <v>58040.7265625</v>
      </c>
      <c r="AA671">
        <v>10200</v>
      </c>
      <c r="AB671">
        <v>20</v>
      </c>
      <c r="AC671">
        <v>4</v>
      </c>
      <c r="AD671">
        <v>0.2</v>
      </c>
      <c r="AE671">
        <v>58040.7271820448</v>
      </c>
    </row>
    <row r="672" spans="1:31" x14ac:dyDescent="0.3">
      <c r="A672" t="str">
        <f>IF(ISBLANK(B672),"",IF(ROUND(B672,0)=ROUND(G672,0),"Pass","Fail"))</f>
        <v>Pass</v>
      </c>
      <c r="B672">
        <f t="shared" si="64"/>
        <v>53.541229248046875</v>
      </c>
      <c r="C672">
        <v>0</v>
      </c>
      <c r="D672">
        <v>80</v>
      </c>
      <c r="E672">
        <v>70</v>
      </c>
      <c r="F672">
        <v>8</v>
      </c>
      <c r="G672">
        <v>53.541228080723002</v>
      </c>
      <c r="M672" t="str">
        <f t="shared" si="65"/>
        <v>Pass</v>
      </c>
      <c r="N672">
        <f t="shared" si="66"/>
        <v>0</v>
      </c>
      <c r="O672">
        <v>30</v>
      </c>
      <c r="P672">
        <v>70</v>
      </c>
      <c r="Q672">
        <v>0</v>
      </c>
      <c r="R672" t="b">
        <v>1</v>
      </c>
      <c r="S672">
        <v>0</v>
      </c>
      <c r="Y672" t="str">
        <f t="shared" si="67"/>
        <v>Pass</v>
      </c>
      <c r="Z672">
        <f t="shared" si="68"/>
        <v>73654.1328125</v>
      </c>
      <c r="AA672">
        <v>10200</v>
      </c>
      <c r="AB672">
        <v>20</v>
      </c>
      <c r="AC672">
        <v>6</v>
      </c>
      <c r="AD672">
        <v>0.2</v>
      </c>
      <c r="AE672">
        <v>73654.130064453901</v>
      </c>
    </row>
    <row r="673" spans="1:31" x14ac:dyDescent="0.3">
      <c r="A673" t="str">
        <f>IF(ISBLANK(B673),"",IF(ROUND(B673,0)=ROUND(G673,0),"Pass","Fail"))</f>
        <v>Pass</v>
      </c>
      <c r="B673">
        <f t="shared" si="64"/>
        <v>36.759994506835938</v>
      </c>
      <c r="C673">
        <v>0</v>
      </c>
      <c r="D673">
        <v>80</v>
      </c>
      <c r="E673">
        <v>70</v>
      </c>
      <c r="F673">
        <v>16</v>
      </c>
      <c r="G673">
        <v>36.759997247101701</v>
      </c>
      <c r="M673" t="str">
        <f t="shared" si="65"/>
        <v>Pass</v>
      </c>
      <c r="N673">
        <f t="shared" si="66"/>
        <v>0</v>
      </c>
      <c r="O673">
        <v>30</v>
      </c>
      <c r="P673">
        <v>70</v>
      </c>
      <c r="Q673">
        <v>0</v>
      </c>
      <c r="R673" t="b">
        <v>0</v>
      </c>
      <c r="S673">
        <v>0</v>
      </c>
      <c r="Y673" t="str">
        <f t="shared" si="67"/>
        <v>Pass</v>
      </c>
      <c r="Z673">
        <f t="shared" si="68"/>
        <v>84120.109375</v>
      </c>
      <c r="AA673">
        <v>10200</v>
      </c>
      <c r="AB673">
        <v>20</v>
      </c>
      <c r="AC673">
        <v>8</v>
      </c>
      <c r="AD673">
        <v>0.2</v>
      </c>
      <c r="AE673">
        <v>84120.1070033633</v>
      </c>
    </row>
    <row r="674" spans="1:31" x14ac:dyDescent="0.3">
      <c r="A674" t="str">
        <f>IF(ISBLANK(B674),"",IF(ROUND(B674,0)=ROUND(G674,0),"Pass","Fail"))</f>
        <v>Pass</v>
      </c>
      <c r="B674">
        <f t="shared" si="64"/>
        <v>28.312576293945313</v>
      </c>
      <c r="C674">
        <v>0</v>
      </c>
      <c r="D674">
        <v>80</v>
      </c>
      <c r="E674">
        <v>70</v>
      </c>
      <c r="F674">
        <v>24</v>
      </c>
      <c r="G674">
        <v>28.3125774137362</v>
      </c>
      <c r="M674" t="str">
        <f t="shared" si="65"/>
        <v>Pass</v>
      </c>
      <c r="N674">
        <f t="shared" si="66"/>
        <v>2.281658056935143E-10</v>
      </c>
      <c r="O674">
        <v>30</v>
      </c>
      <c r="P674">
        <v>70</v>
      </c>
      <c r="Q674">
        <v>0.5</v>
      </c>
      <c r="R674" t="b">
        <v>1</v>
      </c>
      <c r="S674">
        <v>2.28165820069581E-10</v>
      </c>
      <c r="Y674" t="str">
        <f t="shared" si="67"/>
        <v>Pass</v>
      </c>
      <c r="Z674">
        <f t="shared" si="68"/>
        <v>91135.6640625</v>
      </c>
      <c r="AA674">
        <v>10200</v>
      </c>
      <c r="AB674">
        <v>20</v>
      </c>
      <c r="AC674">
        <v>10</v>
      </c>
      <c r="AD674">
        <v>0.2</v>
      </c>
      <c r="AE674">
        <v>91135.661146861006</v>
      </c>
    </row>
    <row r="675" spans="1:31" x14ac:dyDescent="0.3">
      <c r="A675" t="str">
        <f>IF(ISBLANK(B675),"",IF(ROUND(B675,0)=ROUND(G675,0),"Pass","Fail"))</f>
        <v>Pass</v>
      </c>
      <c r="B675">
        <f t="shared" si="64"/>
        <v>24.060272216796875</v>
      </c>
      <c r="C675">
        <v>0</v>
      </c>
      <c r="D675">
        <v>80</v>
      </c>
      <c r="E675">
        <v>70</v>
      </c>
      <c r="F675">
        <v>32</v>
      </c>
      <c r="G675">
        <v>24.060273005994599</v>
      </c>
      <c r="M675" t="str">
        <f t="shared" si="65"/>
        <v>Pass</v>
      </c>
      <c r="N675">
        <f t="shared" si="66"/>
        <v>9.4065084610406302E-9</v>
      </c>
      <c r="O675">
        <v>30</v>
      </c>
      <c r="P675">
        <v>70</v>
      </c>
      <c r="Q675">
        <v>0.5</v>
      </c>
      <c r="R675" t="b">
        <v>0</v>
      </c>
      <c r="S675">
        <v>9.4065089159732994E-9</v>
      </c>
      <c r="Y675" t="str">
        <f t="shared" si="67"/>
        <v>Pass</v>
      </c>
      <c r="Z675">
        <f t="shared" si="68"/>
        <v>95838.328125</v>
      </c>
      <c r="AA675">
        <v>10200</v>
      </c>
      <c r="AB675">
        <v>20</v>
      </c>
      <c r="AC675">
        <v>12</v>
      </c>
      <c r="AD675">
        <v>0.2</v>
      </c>
      <c r="AE675">
        <v>95838.327723295894</v>
      </c>
    </row>
    <row r="676" spans="1:31" x14ac:dyDescent="0.3">
      <c r="A676" t="str">
        <f>IF(ISBLANK(B676),"",IF(ROUND(B676,0)=ROUND(G676,0),"Pass","Fail"))</f>
        <v>Pass</v>
      </c>
      <c r="B676">
        <f t="shared" si="64"/>
        <v>21.919727325439453</v>
      </c>
      <c r="C676">
        <v>0</v>
      </c>
      <c r="D676">
        <v>80</v>
      </c>
      <c r="E676">
        <v>70</v>
      </c>
      <c r="F676">
        <v>40</v>
      </c>
      <c r="G676">
        <v>21.919726764327098</v>
      </c>
      <c r="M676" t="str">
        <f t="shared" si="65"/>
        <v>Pass</v>
      </c>
      <c r="N676">
        <f t="shared" si="66"/>
        <v>2.6704494171525539E-10</v>
      </c>
      <c r="O676">
        <v>30</v>
      </c>
      <c r="P676">
        <v>70</v>
      </c>
      <c r="Q676">
        <v>1</v>
      </c>
      <c r="R676" t="b">
        <v>1</v>
      </c>
      <c r="S676">
        <v>2.6704496584037299E-10</v>
      </c>
      <c r="Y676" t="str">
        <f t="shared" si="67"/>
        <v>Pass</v>
      </c>
      <c r="Z676">
        <f t="shared" si="68"/>
        <v>98990.609375</v>
      </c>
      <c r="AA676">
        <v>10200</v>
      </c>
      <c r="AB676">
        <v>20</v>
      </c>
      <c r="AC676">
        <v>14</v>
      </c>
      <c r="AD676">
        <v>0.2</v>
      </c>
      <c r="AE676">
        <v>98990.619399301999</v>
      </c>
    </row>
    <row r="677" spans="1:31" x14ac:dyDescent="0.3">
      <c r="A677" t="str">
        <f>IF(ISBLANK(B677),"",IF(ROUND(B677,0)=ROUND(G677,0),"Pass","Fail"))</f>
        <v>Pass</v>
      </c>
      <c r="B677">
        <f t="shared" si="64"/>
        <v>20.842208862304688</v>
      </c>
      <c r="C677">
        <v>0</v>
      </c>
      <c r="D677">
        <v>80</v>
      </c>
      <c r="E677">
        <v>70</v>
      </c>
      <c r="F677">
        <v>48</v>
      </c>
      <c r="G677">
        <v>20.842207900819702</v>
      </c>
      <c r="M677" t="str">
        <f t="shared" si="65"/>
        <v>Pass</v>
      </c>
      <c r="N677">
        <f t="shared" si="66"/>
        <v>1.1009364975222979E-8</v>
      </c>
      <c r="O677">
        <v>30</v>
      </c>
      <c r="P677">
        <v>70</v>
      </c>
      <c r="Q677">
        <v>1</v>
      </c>
      <c r="R677" t="b">
        <v>0</v>
      </c>
      <c r="S677">
        <v>1.1009365256273699E-8</v>
      </c>
      <c r="Y677" t="str">
        <f t="shared" si="67"/>
        <v>Pass</v>
      </c>
      <c r="Z677">
        <f t="shared" si="68"/>
        <v>101103.65625</v>
      </c>
      <c r="AA677">
        <v>10200</v>
      </c>
      <c r="AB677">
        <v>20</v>
      </c>
      <c r="AC677">
        <v>16</v>
      </c>
      <c r="AD677">
        <v>0.2</v>
      </c>
      <c r="AE677">
        <v>101103.66370068</v>
      </c>
    </row>
    <row r="678" spans="1:31" x14ac:dyDescent="0.3">
      <c r="A678" t="str">
        <f>IF(ISBLANK(B678),"",IF(ROUND(B678,0)=ROUND(G678,0),"Pass","Fail"))</f>
        <v>Pass</v>
      </c>
      <c r="B678">
        <f t="shared" si="64"/>
        <v>86.877998352050781</v>
      </c>
      <c r="C678">
        <v>0</v>
      </c>
      <c r="D678">
        <v>80</v>
      </c>
      <c r="E678">
        <v>80</v>
      </c>
      <c r="F678">
        <v>0</v>
      </c>
      <c r="G678">
        <v>86.878</v>
      </c>
      <c r="M678" t="str">
        <f t="shared" si="65"/>
        <v>Pass</v>
      </c>
      <c r="N678">
        <f t="shared" si="66"/>
        <v>2.9279056956710292E-10</v>
      </c>
      <c r="O678">
        <v>30</v>
      </c>
      <c r="P678">
        <v>70</v>
      </c>
      <c r="Q678">
        <v>1.5</v>
      </c>
      <c r="R678" t="b">
        <v>1</v>
      </c>
      <c r="S678">
        <v>2.9279058752761301E-10</v>
      </c>
      <c r="Y678" t="str">
        <f t="shared" si="67"/>
        <v>Pass</v>
      </c>
      <c r="Z678">
        <f t="shared" si="68"/>
        <v>102520.0859375</v>
      </c>
      <c r="AA678">
        <v>10200</v>
      </c>
      <c r="AB678">
        <v>20</v>
      </c>
      <c r="AC678">
        <v>18</v>
      </c>
      <c r="AD678">
        <v>0.2</v>
      </c>
      <c r="AE678">
        <v>102520.07965405501</v>
      </c>
    </row>
    <row r="679" spans="1:31" x14ac:dyDescent="0.3">
      <c r="A679" t="str">
        <f>IF(ISBLANK(B679),"",IF(ROUND(B679,0)=ROUND(G679,0),"Pass","Fail"))</f>
        <v>Pass</v>
      </c>
      <c r="B679">
        <f t="shared" si="64"/>
        <v>53.541229248046875</v>
      </c>
      <c r="C679">
        <v>0</v>
      </c>
      <c r="D679">
        <v>80</v>
      </c>
      <c r="E679">
        <v>80</v>
      </c>
      <c r="F679">
        <v>8</v>
      </c>
      <c r="G679">
        <v>53.541228080723002</v>
      </c>
      <c r="M679" t="str">
        <f t="shared" si="65"/>
        <v>Pass</v>
      </c>
      <c r="N679">
        <f t="shared" si="66"/>
        <v>1.2070770161187738E-8</v>
      </c>
      <c r="O679">
        <v>30</v>
      </c>
      <c r="P679">
        <v>70</v>
      </c>
      <c r="Q679">
        <v>1.5</v>
      </c>
      <c r="R679" t="b">
        <v>0</v>
      </c>
      <c r="S679">
        <v>1.2070770596803901E-8</v>
      </c>
      <c r="Y679" t="str">
        <f t="shared" si="67"/>
        <v>Pass</v>
      </c>
      <c r="Z679">
        <f t="shared" si="68"/>
        <v>103469.5390625</v>
      </c>
      <c r="AA679">
        <v>10200</v>
      </c>
      <c r="AB679">
        <v>20</v>
      </c>
      <c r="AC679">
        <v>20</v>
      </c>
      <c r="AD679">
        <v>0.2</v>
      </c>
      <c r="AE679">
        <v>103469.531661127</v>
      </c>
    </row>
    <row r="680" spans="1:31" x14ac:dyDescent="0.3">
      <c r="A680" t="str">
        <f>IF(ISBLANK(B680),"",IF(ROUND(B680,0)=ROUND(G680,0),"Pass","Fail"))</f>
        <v>Pass</v>
      </c>
      <c r="B680">
        <f t="shared" si="64"/>
        <v>36.759994506835938</v>
      </c>
      <c r="C680">
        <v>0</v>
      </c>
      <c r="D680">
        <v>80</v>
      </c>
      <c r="E680">
        <v>80</v>
      </c>
      <c r="F680">
        <v>16</v>
      </c>
      <c r="G680">
        <v>36.759997247101701</v>
      </c>
      <c r="M680" t="str">
        <f t="shared" si="65"/>
        <v>Pass</v>
      </c>
      <c r="N680">
        <f t="shared" si="66"/>
        <v>3.1254904220290314E-10</v>
      </c>
      <c r="O680">
        <v>30</v>
      </c>
      <c r="P680">
        <v>70</v>
      </c>
      <c r="Q680">
        <v>2</v>
      </c>
      <c r="R680" t="b">
        <v>1</v>
      </c>
      <c r="S680">
        <v>3.1254906523220102E-10</v>
      </c>
      <c r="Y680" t="str">
        <f t="shared" si="67"/>
        <v>Pass</v>
      </c>
      <c r="Z680">
        <f t="shared" si="68"/>
        <v>104105.9765625</v>
      </c>
      <c r="AA680">
        <v>10200</v>
      </c>
      <c r="AB680">
        <v>20</v>
      </c>
      <c r="AC680">
        <v>22</v>
      </c>
      <c r="AD680">
        <v>0.2</v>
      </c>
      <c r="AE680">
        <v>104105.968374216</v>
      </c>
    </row>
    <row r="681" spans="1:31" x14ac:dyDescent="0.3">
      <c r="A681" t="str">
        <f>IF(ISBLANK(B681),"",IF(ROUND(B681,0)=ROUND(G681,0),"Pass","Fail"))</f>
        <v>Pass</v>
      </c>
      <c r="B681">
        <f t="shared" si="64"/>
        <v>28.312576293945313</v>
      </c>
      <c r="C681">
        <v>0</v>
      </c>
      <c r="D681">
        <v>80</v>
      </c>
      <c r="E681">
        <v>80</v>
      </c>
      <c r="F681">
        <v>24</v>
      </c>
      <c r="G681">
        <v>28.3125774137362</v>
      </c>
      <c r="M681" t="str">
        <f t="shared" si="65"/>
        <v>Pass</v>
      </c>
      <c r="N681">
        <f t="shared" si="66"/>
        <v>1.2885347011604154E-8</v>
      </c>
      <c r="O681">
        <v>30</v>
      </c>
      <c r="P681">
        <v>70</v>
      </c>
      <c r="Q681">
        <v>2</v>
      </c>
      <c r="R681" t="b">
        <v>0</v>
      </c>
      <c r="S681">
        <v>1.28853461394403E-8</v>
      </c>
      <c r="Y681" t="str">
        <f t="shared" si="67"/>
        <v>Pass</v>
      </c>
      <c r="Z681">
        <f t="shared" si="68"/>
        <v>104532.59375</v>
      </c>
      <c r="AA681">
        <v>10200</v>
      </c>
      <c r="AB681">
        <v>20</v>
      </c>
      <c r="AC681">
        <v>24</v>
      </c>
      <c r="AD681">
        <v>0.2</v>
      </c>
      <c r="AE681">
        <v>104532.584661033</v>
      </c>
    </row>
    <row r="682" spans="1:31" x14ac:dyDescent="0.3">
      <c r="A682" t="str">
        <f>IF(ISBLANK(B682),"",IF(ROUND(B682,0)=ROUND(G682,0),"Pass","Fail"))</f>
        <v>Pass</v>
      </c>
      <c r="B682">
        <f t="shared" si="64"/>
        <v>24.060272216796875</v>
      </c>
      <c r="C682">
        <v>0</v>
      </c>
      <c r="D682">
        <v>80</v>
      </c>
      <c r="E682">
        <v>80</v>
      </c>
      <c r="F682">
        <v>32</v>
      </c>
      <c r="G682">
        <v>24.060273005994599</v>
      </c>
      <c r="M682" t="str">
        <f t="shared" si="65"/>
        <v>Pass</v>
      </c>
      <c r="N682">
        <f t="shared" si="66"/>
        <v>3.2878860745100269E-10</v>
      </c>
      <c r="O682">
        <v>30</v>
      </c>
      <c r="P682">
        <v>70</v>
      </c>
      <c r="Q682">
        <v>2.5</v>
      </c>
      <c r="R682" t="b">
        <v>1</v>
      </c>
      <c r="S682">
        <v>3.28788619955869E-10</v>
      </c>
      <c r="Y682" t="str">
        <f t="shared" si="67"/>
        <v>Pass</v>
      </c>
      <c r="Z682">
        <f t="shared" si="68"/>
        <v>0</v>
      </c>
      <c r="AA682">
        <v>10400</v>
      </c>
      <c r="AB682">
        <v>20</v>
      </c>
      <c r="AC682">
        <v>0</v>
      </c>
      <c r="AD682">
        <v>0.2</v>
      </c>
      <c r="AE682">
        <v>0</v>
      </c>
    </row>
    <row r="683" spans="1:31" x14ac:dyDescent="0.3">
      <c r="A683" t="str">
        <f>IF(ISBLANK(B683),"",IF(ROUND(B683,0)=ROUND(G683,0),"Pass","Fail"))</f>
        <v>Pass</v>
      </c>
      <c r="B683">
        <f t="shared" si="64"/>
        <v>21.919727325439453</v>
      </c>
      <c r="C683">
        <v>0</v>
      </c>
      <c r="D683">
        <v>80</v>
      </c>
      <c r="E683">
        <v>80</v>
      </c>
      <c r="F683">
        <v>40</v>
      </c>
      <c r="G683">
        <v>21.919726764327098</v>
      </c>
      <c r="M683" t="str">
        <f t="shared" si="65"/>
        <v>Pass</v>
      </c>
      <c r="N683">
        <f t="shared" si="66"/>
        <v>1.3554847910768331E-8</v>
      </c>
      <c r="O683">
        <v>30</v>
      </c>
      <c r="P683">
        <v>70</v>
      </c>
      <c r="Q683">
        <v>2.5</v>
      </c>
      <c r="R683" t="b">
        <v>0</v>
      </c>
      <c r="S683">
        <v>1.35548483297905E-8</v>
      </c>
      <c r="Y683" t="str">
        <f t="shared" si="67"/>
        <v>Pass</v>
      </c>
      <c r="Z683">
        <f t="shared" si="68"/>
        <v>35429.60546875</v>
      </c>
      <c r="AA683">
        <v>10400</v>
      </c>
      <c r="AB683">
        <v>20</v>
      </c>
      <c r="AC683">
        <v>2</v>
      </c>
      <c r="AD683">
        <v>0.2</v>
      </c>
      <c r="AE683">
        <v>35429.605719369902</v>
      </c>
    </row>
    <row r="684" spans="1:31" x14ac:dyDescent="0.3">
      <c r="A684" t="str">
        <f>IF(ISBLANK(B684),"",IF(ROUND(B684,0)=ROUND(G684,0),"Pass","Fail"))</f>
        <v>Pass</v>
      </c>
      <c r="B684">
        <f t="shared" si="64"/>
        <v>20.842208862304688</v>
      </c>
      <c r="C684">
        <v>0</v>
      </c>
      <c r="D684">
        <v>80</v>
      </c>
      <c r="E684">
        <v>80</v>
      </c>
      <c r="F684">
        <v>48</v>
      </c>
      <c r="G684">
        <v>20.842207900819702</v>
      </c>
      <c r="M684" t="str">
        <f t="shared" si="65"/>
        <v>Pass</v>
      </c>
      <c r="N684">
        <f t="shared" si="66"/>
        <v>3.4268168858098136E-10</v>
      </c>
      <c r="O684">
        <v>30</v>
      </c>
      <c r="P684">
        <v>70</v>
      </c>
      <c r="Q684">
        <v>3</v>
      </c>
      <c r="R684" t="b">
        <v>1</v>
      </c>
      <c r="S684">
        <v>3.4268170587886502E-10</v>
      </c>
      <c r="Y684" t="str">
        <f t="shared" si="67"/>
        <v>Pass</v>
      </c>
      <c r="Z684">
        <f t="shared" si="68"/>
        <v>59178.78125</v>
      </c>
      <c r="AA684">
        <v>10400</v>
      </c>
      <c r="AB684">
        <v>20</v>
      </c>
      <c r="AC684">
        <v>4</v>
      </c>
      <c r="AD684">
        <v>0.2</v>
      </c>
      <c r="AE684">
        <v>59178.7806562025</v>
      </c>
    </row>
    <row r="685" spans="1:31" x14ac:dyDescent="0.3">
      <c r="A685" t="str">
        <f>IF(ISBLANK(B685),"",IF(ROUND(B685,0)=ROUND(G685,0),"Pass","Fail"))</f>
        <v>Pass</v>
      </c>
      <c r="B685">
        <f t="shared" si="64"/>
        <v>86.877998352050781</v>
      </c>
      <c r="C685">
        <v>0</v>
      </c>
      <c r="D685">
        <v>80</v>
      </c>
      <c r="E685">
        <v>90</v>
      </c>
      <c r="F685">
        <v>0</v>
      </c>
      <c r="G685">
        <v>86.878</v>
      </c>
      <c r="M685" t="str">
        <f t="shared" si="65"/>
        <v>Pass</v>
      </c>
      <c r="N685">
        <f t="shared" si="66"/>
        <v>1.4127613745529288E-8</v>
      </c>
      <c r="O685">
        <v>30</v>
      </c>
      <c r="P685">
        <v>70</v>
      </c>
      <c r="Q685">
        <v>3</v>
      </c>
      <c r="R685" t="b">
        <v>0</v>
      </c>
      <c r="S685">
        <v>1.4127613508050701E-8</v>
      </c>
      <c r="Y685" t="str">
        <f t="shared" si="67"/>
        <v>Pass</v>
      </c>
      <c r="Z685">
        <f t="shared" si="68"/>
        <v>75098.328125</v>
      </c>
      <c r="AA685">
        <v>10400</v>
      </c>
      <c r="AB685">
        <v>20</v>
      </c>
      <c r="AC685">
        <v>6</v>
      </c>
      <c r="AD685">
        <v>0.2</v>
      </c>
      <c r="AE685">
        <v>75098.328693168602</v>
      </c>
    </row>
    <row r="686" spans="1:31" x14ac:dyDescent="0.3">
      <c r="A686" t="str">
        <f>IF(ISBLANK(B686),"",IF(ROUND(B686,0)=ROUND(G686,0),"Pass","Fail"))</f>
        <v>Pass</v>
      </c>
      <c r="B686">
        <f t="shared" si="64"/>
        <v>53.541229248046875</v>
      </c>
      <c r="C686">
        <v>0</v>
      </c>
      <c r="D686">
        <v>80</v>
      </c>
      <c r="E686">
        <v>90</v>
      </c>
      <c r="F686">
        <v>8</v>
      </c>
      <c r="G686">
        <v>53.541228080723002</v>
      </c>
      <c r="M686" t="str">
        <f t="shared" si="65"/>
        <v>Pass</v>
      </c>
      <c r="N686">
        <f t="shared" si="66"/>
        <v>3.5488514904535862E-10</v>
      </c>
      <c r="O686">
        <v>30</v>
      </c>
      <c r="P686">
        <v>70</v>
      </c>
      <c r="Q686">
        <v>3.5</v>
      </c>
      <c r="R686" t="b">
        <v>1</v>
      </c>
      <c r="S686">
        <v>3.5488516187156598E-10</v>
      </c>
      <c r="Y686" t="str">
        <f t="shared" si="67"/>
        <v>Pass</v>
      </c>
      <c r="Z686">
        <f t="shared" si="68"/>
        <v>85769.5234375</v>
      </c>
      <c r="AA686">
        <v>10400</v>
      </c>
      <c r="AB686">
        <v>20</v>
      </c>
      <c r="AC686">
        <v>8</v>
      </c>
      <c r="AD686">
        <v>0.2</v>
      </c>
      <c r="AE686">
        <v>85769.520866174294</v>
      </c>
    </row>
    <row r="687" spans="1:31" x14ac:dyDescent="0.3">
      <c r="A687" t="str">
        <f>IF(ISBLANK(B687),"",IF(ROUND(B687,0)=ROUND(G687,0),"Pass","Fail"))</f>
        <v>Pass</v>
      </c>
      <c r="B687">
        <f t="shared" si="64"/>
        <v>36.759994506835938</v>
      </c>
      <c r="C687">
        <v>0</v>
      </c>
      <c r="D687">
        <v>80</v>
      </c>
      <c r="E687">
        <v>90</v>
      </c>
      <c r="F687">
        <v>16</v>
      </c>
      <c r="G687">
        <v>36.759997247101701</v>
      </c>
      <c r="M687" t="str">
        <f t="shared" si="65"/>
        <v>Pass</v>
      </c>
      <c r="N687">
        <f t="shared" si="66"/>
        <v>1.4630720635011585E-8</v>
      </c>
      <c r="O687">
        <v>30</v>
      </c>
      <c r="P687">
        <v>70</v>
      </c>
      <c r="Q687">
        <v>3.5</v>
      </c>
      <c r="R687" t="b">
        <v>0</v>
      </c>
      <c r="S687">
        <v>1.46307209303895E-8</v>
      </c>
      <c r="Y687" t="str">
        <f t="shared" si="67"/>
        <v>Pass</v>
      </c>
      <c r="Z687">
        <f t="shared" si="68"/>
        <v>92922.640625</v>
      </c>
      <c r="AA687">
        <v>10400</v>
      </c>
      <c r="AB687">
        <v>20</v>
      </c>
      <c r="AC687">
        <v>10</v>
      </c>
      <c r="AD687">
        <v>0.2</v>
      </c>
      <c r="AE687">
        <v>92922.6348948386</v>
      </c>
    </row>
    <row r="688" spans="1:31" x14ac:dyDescent="0.3">
      <c r="A688" t="str">
        <f>IF(ISBLANK(B688),"",IF(ROUND(B688,0)=ROUND(G688,0),"Pass","Fail"))</f>
        <v>Pass</v>
      </c>
      <c r="B688">
        <f t="shared" si="64"/>
        <v>28.312576293945313</v>
      </c>
      <c r="C688">
        <v>0</v>
      </c>
      <c r="D688">
        <v>80</v>
      </c>
      <c r="E688">
        <v>90</v>
      </c>
      <c r="F688">
        <v>24</v>
      </c>
      <c r="G688">
        <v>28.3125774137362</v>
      </c>
      <c r="M688" t="str">
        <f t="shared" si="65"/>
        <v>Pass</v>
      </c>
      <c r="N688">
        <f t="shared" si="66"/>
        <v>3.6580696805010859E-10</v>
      </c>
      <c r="O688">
        <v>30</v>
      </c>
      <c r="P688">
        <v>70</v>
      </c>
      <c r="Q688">
        <v>4</v>
      </c>
      <c r="R688" t="b">
        <v>1</v>
      </c>
      <c r="S688">
        <v>3.6580700134192102E-10</v>
      </c>
      <c r="Y688" t="str">
        <f t="shared" si="67"/>
        <v>Pass</v>
      </c>
      <c r="Z688">
        <f t="shared" si="68"/>
        <v>97717.515625</v>
      </c>
      <c r="AA688">
        <v>10400</v>
      </c>
      <c r="AB688">
        <v>20</v>
      </c>
      <c r="AC688">
        <v>12</v>
      </c>
      <c r="AD688">
        <v>0.2</v>
      </c>
      <c r="AE688">
        <v>97717.510619831097</v>
      </c>
    </row>
    <row r="689" spans="1:31" x14ac:dyDescent="0.3">
      <c r="A689" t="str">
        <f>IF(ISBLANK(B689),"",IF(ROUND(B689,0)=ROUND(G689,0),"Pass","Fail"))</f>
        <v>Pass</v>
      </c>
      <c r="B689">
        <f t="shared" si="64"/>
        <v>24.060272216796875</v>
      </c>
      <c r="C689">
        <v>0</v>
      </c>
      <c r="D689">
        <v>80</v>
      </c>
      <c r="E689">
        <v>90</v>
      </c>
      <c r="F689">
        <v>32</v>
      </c>
      <c r="G689">
        <v>24.060273005994599</v>
      </c>
      <c r="M689" t="str">
        <f t="shared" si="65"/>
        <v>Pass</v>
      </c>
      <c r="N689">
        <f t="shared" si="66"/>
        <v>1.5080990678484341E-8</v>
      </c>
      <c r="O689">
        <v>30</v>
      </c>
      <c r="P689">
        <v>70</v>
      </c>
      <c r="Q689">
        <v>4</v>
      </c>
      <c r="R689" t="b">
        <v>0</v>
      </c>
      <c r="S689">
        <v>1.5080991616530799E-8</v>
      </c>
      <c r="Y689" t="str">
        <f t="shared" si="67"/>
        <v>Pass</v>
      </c>
      <c r="Z689">
        <f t="shared" si="68"/>
        <v>100931.6015625</v>
      </c>
      <c r="AA689">
        <v>10400</v>
      </c>
      <c r="AB689">
        <v>20</v>
      </c>
      <c r="AC689">
        <v>14</v>
      </c>
      <c r="AD689">
        <v>0.2</v>
      </c>
      <c r="AE689">
        <v>100931.61193654301</v>
      </c>
    </row>
    <row r="690" spans="1:31" x14ac:dyDescent="0.3">
      <c r="A690" t="str">
        <f>IF(ISBLANK(B690),"",IF(ROUND(B690,0)=ROUND(G690,0),"Pass","Fail"))</f>
        <v>Pass</v>
      </c>
      <c r="B690">
        <f t="shared" si="64"/>
        <v>21.919727325439453</v>
      </c>
      <c r="C690">
        <v>0</v>
      </c>
      <c r="D690">
        <v>80</v>
      </c>
      <c r="E690">
        <v>90</v>
      </c>
      <c r="F690">
        <v>40</v>
      </c>
      <c r="G690">
        <v>21.919726764327098</v>
      </c>
      <c r="M690" t="str">
        <f t="shared" si="65"/>
        <v>Pass</v>
      </c>
      <c r="N690">
        <f t="shared" si="66"/>
        <v>0</v>
      </c>
      <c r="O690">
        <v>30</v>
      </c>
      <c r="P690">
        <v>80</v>
      </c>
      <c r="Q690">
        <v>0</v>
      </c>
      <c r="R690" t="b">
        <v>1</v>
      </c>
      <c r="S690">
        <v>0</v>
      </c>
      <c r="Y690" t="str">
        <f t="shared" si="67"/>
        <v>Pass</v>
      </c>
      <c r="Z690">
        <f t="shared" si="68"/>
        <v>103086.0859375</v>
      </c>
      <c r="AA690">
        <v>10400</v>
      </c>
      <c r="AB690">
        <v>20</v>
      </c>
      <c r="AC690">
        <v>16</v>
      </c>
      <c r="AD690">
        <v>0.2</v>
      </c>
      <c r="AE690">
        <v>103086.088479124</v>
      </c>
    </row>
    <row r="691" spans="1:31" x14ac:dyDescent="0.3">
      <c r="A691" t="str">
        <f>IF(ISBLANK(B691),"",IF(ROUND(B691,0)=ROUND(G691,0),"Pass","Fail"))</f>
        <v>Pass</v>
      </c>
      <c r="B691">
        <f t="shared" si="64"/>
        <v>20.842208862304688</v>
      </c>
      <c r="C691">
        <v>0</v>
      </c>
      <c r="D691">
        <v>80</v>
      </c>
      <c r="E691">
        <v>90</v>
      </c>
      <c r="F691">
        <v>48</v>
      </c>
      <c r="G691">
        <v>20.842207900819702</v>
      </c>
      <c r="M691" t="str">
        <f t="shared" si="65"/>
        <v>Pass</v>
      </c>
      <c r="N691">
        <f t="shared" si="66"/>
        <v>0</v>
      </c>
      <c r="O691">
        <v>30</v>
      </c>
      <c r="P691">
        <v>80</v>
      </c>
      <c r="Q691">
        <v>0</v>
      </c>
      <c r="R691" t="b">
        <v>0</v>
      </c>
      <c r="S691">
        <v>0</v>
      </c>
      <c r="Y691" t="str">
        <f t="shared" si="67"/>
        <v>Pass</v>
      </c>
      <c r="Z691">
        <f t="shared" si="68"/>
        <v>104530.28125</v>
      </c>
      <c r="AA691">
        <v>10400</v>
      </c>
      <c r="AB691">
        <v>20</v>
      </c>
      <c r="AC691">
        <v>18</v>
      </c>
      <c r="AD691">
        <v>0.2</v>
      </c>
      <c r="AE691">
        <v>104530.27729432999</v>
      </c>
    </row>
    <row r="692" spans="1:31" x14ac:dyDescent="0.3">
      <c r="A692" t="str">
        <f>IF(ISBLANK(B692),"",IF(ROUND(B692,0)=ROUND(G692,0),"Pass","Fail"))</f>
        <v>Pass</v>
      </c>
      <c r="B692">
        <f t="shared" si="64"/>
        <v>86.877998352050781</v>
      </c>
      <c r="C692">
        <v>0</v>
      </c>
      <c r="D692">
        <v>80</v>
      </c>
      <c r="E692">
        <v>100</v>
      </c>
      <c r="F692">
        <v>0</v>
      </c>
      <c r="G692">
        <v>86.878</v>
      </c>
      <c r="M692" t="str">
        <f t="shared" si="65"/>
        <v>Pass</v>
      </c>
      <c r="N692">
        <f t="shared" si="66"/>
        <v>4.1790026300558836E-12</v>
      </c>
      <c r="O692">
        <v>30</v>
      </c>
      <c r="P692">
        <v>80</v>
      </c>
      <c r="Q692">
        <v>0.5</v>
      </c>
      <c r="R692" t="b">
        <v>1</v>
      </c>
      <c r="S692">
        <v>4.1790027674910198E-12</v>
      </c>
      <c r="Y692" t="str">
        <f t="shared" si="67"/>
        <v>Pass</v>
      </c>
      <c r="Z692">
        <f t="shared" si="68"/>
        <v>105498.3515625</v>
      </c>
      <c r="AA692">
        <v>10400</v>
      </c>
      <c r="AB692">
        <v>20</v>
      </c>
      <c r="AC692">
        <v>20</v>
      </c>
      <c r="AD692">
        <v>0.2</v>
      </c>
      <c r="AE692">
        <v>105498.346007424</v>
      </c>
    </row>
    <row r="693" spans="1:31" x14ac:dyDescent="0.3">
      <c r="A693" t="str">
        <f>IF(ISBLANK(B693),"",IF(ROUND(B693,0)=ROUND(G693,0),"Pass","Fail"))</f>
        <v>Pass</v>
      </c>
      <c r="B693">
        <f t="shared" si="64"/>
        <v>53.541229248046875</v>
      </c>
      <c r="C693">
        <v>0</v>
      </c>
      <c r="D693">
        <v>80</v>
      </c>
      <c r="E693">
        <v>100</v>
      </c>
      <c r="F693">
        <v>8</v>
      </c>
      <c r="G693">
        <v>53.541228080723002</v>
      </c>
      <c r="M693" t="str">
        <f t="shared" si="65"/>
        <v>Pass</v>
      </c>
      <c r="N693">
        <f t="shared" si="66"/>
        <v>1.7228621307374681E-10</v>
      </c>
      <c r="O693">
        <v>30</v>
      </c>
      <c r="P693">
        <v>80</v>
      </c>
      <c r="Q693">
        <v>0.5</v>
      </c>
      <c r="R693" t="b">
        <v>0</v>
      </c>
      <c r="S693">
        <v>1.7228622052283501E-10</v>
      </c>
      <c r="Y693" t="str">
        <f t="shared" si="67"/>
        <v>Pass</v>
      </c>
      <c r="Z693">
        <f t="shared" si="68"/>
        <v>106147.265625</v>
      </c>
      <c r="AA693">
        <v>10400</v>
      </c>
      <c r="AB693">
        <v>20</v>
      </c>
      <c r="AC693">
        <v>22</v>
      </c>
      <c r="AD693">
        <v>0.2</v>
      </c>
      <c r="AE693">
        <v>106147.26187175</v>
      </c>
    </row>
    <row r="694" spans="1:31" x14ac:dyDescent="0.3">
      <c r="A694" t="str">
        <f>IF(ISBLANK(B694),"",IF(ROUND(B694,0)=ROUND(G694,0),"Pass","Fail"))</f>
        <v>Pass</v>
      </c>
      <c r="B694">
        <f t="shared" si="64"/>
        <v>36.759994506835938</v>
      </c>
      <c r="C694">
        <v>0</v>
      </c>
      <c r="D694">
        <v>80</v>
      </c>
      <c r="E694">
        <v>100</v>
      </c>
      <c r="F694">
        <v>16</v>
      </c>
      <c r="G694">
        <v>36.759997247101701</v>
      </c>
      <c r="M694" t="str">
        <f t="shared" si="65"/>
        <v>Pass</v>
      </c>
      <c r="N694">
        <f t="shared" si="66"/>
        <v>4.891098810688721E-12</v>
      </c>
      <c r="O694">
        <v>30</v>
      </c>
      <c r="P694">
        <v>80</v>
      </c>
      <c r="Q694">
        <v>1</v>
      </c>
      <c r="R694" t="b">
        <v>1</v>
      </c>
      <c r="S694">
        <v>4.8910991617900403E-12</v>
      </c>
      <c r="Y694" t="str">
        <f t="shared" si="67"/>
        <v>Pass</v>
      </c>
      <c r="Z694">
        <f t="shared" si="68"/>
        <v>106582.25</v>
      </c>
      <c r="AA694">
        <v>10400</v>
      </c>
      <c r="AB694">
        <v>20</v>
      </c>
      <c r="AC694">
        <v>24</v>
      </c>
      <c r="AD694">
        <v>0.2</v>
      </c>
      <c r="AE694">
        <v>106582.243183798</v>
      </c>
    </row>
    <row r="695" spans="1:31" x14ac:dyDescent="0.3">
      <c r="A695" t="str">
        <f>IF(ISBLANK(B695),"",IF(ROUND(B695,0)=ROUND(G695,0),"Pass","Fail"))</f>
        <v>Pass</v>
      </c>
      <c r="B695">
        <f t="shared" si="64"/>
        <v>28.312576293945313</v>
      </c>
      <c r="C695">
        <v>0</v>
      </c>
      <c r="D695">
        <v>80</v>
      </c>
      <c r="E695">
        <v>100</v>
      </c>
      <c r="F695">
        <v>24</v>
      </c>
      <c r="G695">
        <v>28.3125774137362</v>
      </c>
      <c r="M695" t="str">
        <f t="shared" si="65"/>
        <v>Pass</v>
      </c>
      <c r="N695">
        <f t="shared" si="66"/>
        <v>2.0164354908036586E-10</v>
      </c>
      <c r="O695">
        <v>30</v>
      </c>
      <c r="P695">
        <v>80</v>
      </c>
      <c r="Q695">
        <v>1</v>
      </c>
      <c r="R695" t="b">
        <v>0</v>
      </c>
      <c r="S695">
        <v>2.01643558444718E-10</v>
      </c>
      <c r="Y695" t="str">
        <f t="shared" si="67"/>
        <v>Pass</v>
      </c>
      <c r="Z695">
        <f t="shared" si="68"/>
        <v>0</v>
      </c>
      <c r="AA695">
        <v>10600</v>
      </c>
      <c r="AB695">
        <v>20</v>
      </c>
      <c r="AC695">
        <v>0</v>
      </c>
      <c r="AD695">
        <v>0.2</v>
      </c>
      <c r="AE695">
        <v>0</v>
      </c>
    </row>
    <row r="696" spans="1:31" x14ac:dyDescent="0.3">
      <c r="A696" t="str">
        <f>IF(ISBLANK(B696),"",IF(ROUND(B696,0)=ROUND(G696,0),"Pass","Fail"))</f>
        <v>Pass</v>
      </c>
      <c r="B696">
        <f t="shared" si="64"/>
        <v>24.060272216796875</v>
      </c>
      <c r="C696">
        <v>0</v>
      </c>
      <c r="D696">
        <v>80</v>
      </c>
      <c r="E696">
        <v>100</v>
      </c>
      <c r="F696">
        <v>32</v>
      </c>
      <c r="G696">
        <v>24.060273005994599</v>
      </c>
      <c r="M696" t="str">
        <f t="shared" si="65"/>
        <v>Pass</v>
      </c>
      <c r="N696">
        <f t="shared" si="66"/>
        <v>5.3626465247591515E-12</v>
      </c>
      <c r="O696">
        <v>30</v>
      </c>
      <c r="P696">
        <v>80</v>
      </c>
      <c r="Q696">
        <v>1.5</v>
      </c>
      <c r="R696" t="b">
        <v>1</v>
      </c>
      <c r="S696">
        <v>5.3626466716183799E-12</v>
      </c>
      <c r="Y696" t="str">
        <f t="shared" si="67"/>
        <v>Pass</v>
      </c>
      <c r="Z696">
        <f t="shared" si="68"/>
        <v>36110.94140625</v>
      </c>
      <c r="AA696">
        <v>10600</v>
      </c>
      <c r="AB696">
        <v>20</v>
      </c>
      <c r="AC696">
        <v>2</v>
      </c>
      <c r="AD696">
        <v>0.2</v>
      </c>
      <c r="AE696">
        <v>36110.944290896303</v>
      </c>
    </row>
    <row r="697" spans="1:31" x14ac:dyDescent="0.3">
      <c r="A697" t="str">
        <f>IF(ISBLANK(B697),"",IF(ROUND(B697,0)=ROUND(G697,0),"Pass","Fail"))</f>
        <v>Pass</v>
      </c>
      <c r="B697">
        <f t="shared" si="64"/>
        <v>21.919727325439453</v>
      </c>
      <c r="C697">
        <v>0</v>
      </c>
      <c r="D697">
        <v>80</v>
      </c>
      <c r="E697">
        <v>100</v>
      </c>
      <c r="F697">
        <v>40</v>
      </c>
      <c r="G697">
        <v>21.919726764327098</v>
      </c>
      <c r="M697" t="str">
        <f t="shared" si="65"/>
        <v>Pass</v>
      </c>
      <c r="N697">
        <f t="shared" si="66"/>
        <v>2.2108387343067193E-10</v>
      </c>
      <c r="O697">
        <v>30</v>
      </c>
      <c r="P697">
        <v>80</v>
      </c>
      <c r="Q697">
        <v>1.5</v>
      </c>
      <c r="R697" t="b">
        <v>0</v>
      </c>
      <c r="S697">
        <v>2.2108387537804501E-10</v>
      </c>
      <c r="Y697" t="str">
        <f t="shared" si="67"/>
        <v>Pass</v>
      </c>
      <c r="Z697">
        <f t="shared" si="68"/>
        <v>60316.8359375</v>
      </c>
      <c r="AA697">
        <v>10600</v>
      </c>
      <c r="AB697">
        <v>20</v>
      </c>
      <c r="AC697">
        <v>4</v>
      </c>
      <c r="AD697">
        <v>0.2</v>
      </c>
      <c r="AE697">
        <v>60316.834130360301</v>
      </c>
    </row>
    <row r="698" spans="1:31" x14ac:dyDescent="0.3">
      <c r="A698" t="str">
        <f>IF(ISBLANK(B698),"",IF(ROUND(B698,0)=ROUND(G698,0),"Pass","Fail"))</f>
        <v>Pass</v>
      </c>
      <c r="B698">
        <f t="shared" si="64"/>
        <v>20.842208862304688</v>
      </c>
      <c r="C698">
        <v>0</v>
      </c>
      <c r="D698">
        <v>80</v>
      </c>
      <c r="E698">
        <v>100</v>
      </c>
      <c r="F698">
        <v>48</v>
      </c>
      <c r="G698">
        <v>20.842207900819702</v>
      </c>
      <c r="M698" t="str">
        <f t="shared" si="65"/>
        <v>Pass</v>
      </c>
      <c r="N698">
        <f t="shared" si="66"/>
        <v>5.7245354290191841E-12</v>
      </c>
      <c r="O698">
        <v>30</v>
      </c>
      <c r="P698">
        <v>80</v>
      </c>
      <c r="Q698">
        <v>2</v>
      </c>
      <c r="R698" t="b">
        <v>1</v>
      </c>
      <c r="S698">
        <v>5.7245358142765697E-12</v>
      </c>
      <c r="Y698" t="str">
        <f t="shared" si="67"/>
        <v>Pass</v>
      </c>
      <c r="Z698">
        <f t="shared" si="68"/>
        <v>76542.53125</v>
      </c>
      <c r="AA698">
        <v>10600</v>
      </c>
      <c r="AB698">
        <v>20</v>
      </c>
      <c r="AC698">
        <v>6</v>
      </c>
      <c r="AD698">
        <v>0.2</v>
      </c>
      <c r="AE698">
        <v>76542.527321883405</v>
      </c>
    </row>
    <row r="699" spans="1:31" x14ac:dyDescent="0.3">
      <c r="A699" t="str">
        <f>IF(ISBLANK(B699),"",IF(ROUND(B699,0)=ROUND(G699,0),"Pass","Fail"))</f>
        <v>Pass</v>
      </c>
      <c r="B699">
        <f t="shared" si="64"/>
        <v>21.360000610351563</v>
      </c>
      <c r="C699">
        <v>0</v>
      </c>
      <c r="D699">
        <v>90</v>
      </c>
      <c r="E699">
        <v>0</v>
      </c>
      <c r="F699">
        <v>0</v>
      </c>
      <c r="G699">
        <v>21.36</v>
      </c>
      <c r="M699" t="str">
        <f t="shared" si="65"/>
        <v>Pass</v>
      </c>
      <c r="N699">
        <f t="shared" si="66"/>
        <v>2.3600335574691655E-10</v>
      </c>
      <c r="O699">
        <v>30</v>
      </c>
      <c r="P699">
        <v>80</v>
      </c>
      <c r="Q699">
        <v>2</v>
      </c>
      <c r="R699" t="b">
        <v>0</v>
      </c>
      <c r="S699">
        <v>2.3600334686579999E-10</v>
      </c>
      <c r="Y699" t="str">
        <f t="shared" si="67"/>
        <v>Pass</v>
      </c>
      <c r="Z699">
        <f t="shared" si="68"/>
        <v>87418.9375</v>
      </c>
      <c r="AA699">
        <v>10600</v>
      </c>
      <c r="AB699">
        <v>20</v>
      </c>
      <c r="AC699">
        <v>8</v>
      </c>
      <c r="AD699">
        <v>0.2</v>
      </c>
      <c r="AE699">
        <v>87418.934728985405</v>
      </c>
    </row>
    <row r="700" spans="1:31" x14ac:dyDescent="0.3">
      <c r="A700" t="str">
        <f>IF(ISBLANK(B700),"",IF(ROUND(B700,0)=ROUND(G700,0),"Pass","Fail"))</f>
        <v>Pass</v>
      </c>
      <c r="B700">
        <f t="shared" si="64"/>
        <v>21.360000610351563</v>
      </c>
      <c r="C700">
        <v>0</v>
      </c>
      <c r="D700">
        <v>90</v>
      </c>
      <c r="E700">
        <v>0</v>
      </c>
      <c r="F700">
        <v>8</v>
      </c>
      <c r="G700">
        <v>21.36</v>
      </c>
      <c r="M700" t="str">
        <f t="shared" si="65"/>
        <v>Pass</v>
      </c>
      <c r="N700">
        <f t="shared" si="66"/>
        <v>6.0219732846145124E-12</v>
      </c>
      <c r="O700">
        <v>30</v>
      </c>
      <c r="P700">
        <v>80</v>
      </c>
      <c r="Q700">
        <v>2.5</v>
      </c>
      <c r="R700" t="b">
        <v>1</v>
      </c>
      <c r="S700">
        <v>6.0219736343336501E-12</v>
      </c>
      <c r="Y700" t="str">
        <f t="shared" si="67"/>
        <v>Pass</v>
      </c>
      <c r="Z700">
        <f t="shared" si="68"/>
        <v>94709.6171875</v>
      </c>
      <c r="AA700">
        <v>10600</v>
      </c>
      <c r="AB700">
        <v>20</v>
      </c>
      <c r="AC700">
        <v>10</v>
      </c>
      <c r="AD700">
        <v>0.2</v>
      </c>
      <c r="AE700">
        <v>94709.608642816296</v>
      </c>
    </row>
    <row r="701" spans="1:31" x14ac:dyDescent="0.3">
      <c r="A701" t="str">
        <f>IF(ISBLANK(B701),"",IF(ROUND(B701,0)=ROUND(G701,0),"Pass","Fail"))</f>
        <v>Pass</v>
      </c>
      <c r="B701">
        <f t="shared" si="64"/>
        <v>21.360000610351563</v>
      </c>
      <c r="C701">
        <v>0</v>
      </c>
      <c r="D701">
        <v>90</v>
      </c>
      <c r="E701">
        <v>0</v>
      </c>
      <c r="F701">
        <v>16</v>
      </c>
      <c r="G701">
        <v>21.36</v>
      </c>
      <c r="M701" t="str">
        <f t="shared" si="65"/>
        <v>Pass</v>
      </c>
      <c r="N701">
        <f t="shared" si="66"/>
        <v>2.4826571354275018E-10</v>
      </c>
      <c r="O701">
        <v>30</v>
      </c>
      <c r="P701">
        <v>80</v>
      </c>
      <c r="Q701">
        <v>2.5</v>
      </c>
      <c r="R701" t="b">
        <v>0</v>
      </c>
      <c r="S701">
        <v>2.4826570722048101E-10</v>
      </c>
      <c r="Y701" t="str">
        <f t="shared" si="67"/>
        <v>Pass</v>
      </c>
      <c r="Z701">
        <f t="shared" si="68"/>
        <v>99596.6953125</v>
      </c>
      <c r="AA701">
        <v>10600</v>
      </c>
      <c r="AB701">
        <v>20</v>
      </c>
      <c r="AC701">
        <v>12</v>
      </c>
      <c r="AD701">
        <v>0.2</v>
      </c>
      <c r="AE701">
        <v>99596.6935163663</v>
      </c>
    </row>
    <row r="702" spans="1:31" x14ac:dyDescent="0.3">
      <c r="A702" t="str">
        <f>IF(ISBLANK(B702),"",IF(ROUND(B702,0)=ROUND(G702,0),"Pass","Fail"))</f>
        <v>Pass</v>
      </c>
      <c r="B702">
        <f t="shared" si="64"/>
        <v>21.360000610351563</v>
      </c>
      <c r="C702">
        <v>0</v>
      </c>
      <c r="D702">
        <v>90</v>
      </c>
      <c r="E702">
        <v>0</v>
      </c>
      <c r="F702">
        <v>24</v>
      </c>
      <c r="G702">
        <v>21.36</v>
      </c>
      <c r="M702" t="str">
        <f t="shared" si="65"/>
        <v>Pass</v>
      </c>
      <c r="N702">
        <f t="shared" si="66"/>
        <v>6.2764342334542533E-12</v>
      </c>
      <c r="O702">
        <v>30</v>
      </c>
      <c r="P702">
        <v>80</v>
      </c>
      <c r="Q702">
        <v>3</v>
      </c>
      <c r="R702" t="b">
        <v>1</v>
      </c>
      <c r="S702">
        <v>6.27643437917039E-12</v>
      </c>
      <c r="Y702" t="str">
        <f t="shared" si="67"/>
        <v>Pass</v>
      </c>
      <c r="Z702">
        <f t="shared" si="68"/>
        <v>102872.59375</v>
      </c>
      <c r="AA702">
        <v>10600</v>
      </c>
      <c r="AB702">
        <v>20</v>
      </c>
      <c r="AC702">
        <v>14</v>
      </c>
      <c r="AD702">
        <v>0.2</v>
      </c>
      <c r="AE702">
        <v>102872.604473784</v>
      </c>
    </row>
    <row r="703" spans="1:31" x14ac:dyDescent="0.3">
      <c r="A703" t="str">
        <f>IF(ISBLANK(B703),"",IF(ROUND(B703,0)=ROUND(G703,0),"Pass","Fail"))</f>
        <v>Pass</v>
      </c>
      <c r="B703">
        <f t="shared" si="64"/>
        <v>21.360000610351563</v>
      </c>
      <c r="C703">
        <v>0</v>
      </c>
      <c r="D703">
        <v>90</v>
      </c>
      <c r="E703">
        <v>0</v>
      </c>
      <c r="F703">
        <v>32</v>
      </c>
      <c r="G703">
        <v>21.36</v>
      </c>
      <c r="M703" t="str">
        <f t="shared" si="65"/>
        <v>Pass</v>
      </c>
      <c r="N703">
        <f t="shared" si="66"/>
        <v>2.5875626641358451E-10</v>
      </c>
      <c r="O703">
        <v>30</v>
      </c>
      <c r="P703">
        <v>80</v>
      </c>
      <c r="Q703">
        <v>3</v>
      </c>
      <c r="R703" t="b">
        <v>0</v>
      </c>
      <c r="S703">
        <v>2.5875626739440198E-10</v>
      </c>
      <c r="Y703" t="str">
        <f t="shared" si="67"/>
        <v>Pass</v>
      </c>
      <c r="Z703">
        <f t="shared" si="68"/>
        <v>105068.5078125</v>
      </c>
      <c r="AA703">
        <v>10600</v>
      </c>
      <c r="AB703">
        <v>20</v>
      </c>
      <c r="AC703">
        <v>16</v>
      </c>
      <c r="AD703">
        <v>0.2</v>
      </c>
      <c r="AE703">
        <v>105068.51325756899</v>
      </c>
    </row>
    <row r="704" spans="1:31" x14ac:dyDescent="0.3">
      <c r="A704" t="str">
        <f>IF(ISBLANK(B704),"",IF(ROUND(B704,0)=ROUND(G704,0),"Pass","Fail"))</f>
        <v>Pass</v>
      </c>
      <c r="B704">
        <f t="shared" si="64"/>
        <v>21.360000610351563</v>
      </c>
      <c r="C704">
        <v>0</v>
      </c>
      <c r="D704">
        <v>90</v>
      </c>
      <c r="E704">
        <v>0</v>
      </c>
      <c r="F704">
        <v>40</v>
      </c>
      <c r="G704">
        <v>21.36</v>
      </c>
      <c r="M704" t="str">
        <f t="shared" si="65"/>
        <v>Pass</v>
      </c>
      <c r="N704">
        <f t="shared" si="66"/>
        <v>6.499948149163437E-12</v>
      </c>
      <c r="O704">
        <v>30</v>
      </c>
      <c r="P704">
        <v>80</v>
      </c>
      <c r="Q704">
        <v>3.5</v>
      </c>
      <c r="R704" t="b">
        <v>1</v>
      </c>
      <c r="S704">
        <v>6.4999484723456803E-12</v>
      </c>
      <c r="Y704" t="str">
        <f t="shared" si="67"/>
        <v>Pass</v>
      </c>
      <c r="Z704">
        <f t="shared" si="68"/>
        <v>106540.4765625</v>
      </c>
      <c r="AA704">
        <v>10600</v>
      </c>
      <c r="AB704">
        <v>20</v>
      </c>
      <c r="AC704">
        <v>18</v>
      </c>
      <c r="AD704">
        <v>0.2</v>
      </c>
      <c r="AE704">
        <v>106540.474934606</v>
      </c>
    </row>
    <row r="705" spans="1:31" x14ac:dyDescent="0.3">
      <c r="A705" t="str">
        <f>IF(ISBLANK(B705),"",IF(ROUND(B705,0)=ROUND(G705,0),"Pass","Fail"))</f>
        <v>Pass</v>
      </c>
      <c r="B705">
        <f t="shared" si="64"/>
        <v>21.360000610351563</v>
      </c>
      <c r="C705">
        <v>0</v>
      </c>
      <c r="D705">
        <v>90</v>
      </c>
      <c r="E705">
        <v>0</v>
      </c>
      <c r="F705">
        <v>48</v>
      </c>
      <c r="G705">
        <v>21.36</v>
      </c>
      <c r="M705" t="str">
        <f t="shared" si="65"/>
        <v>Pass</v>
      </c>
      <c r="N705">
        <f t="shared" si="66"/>
        <v>2.6797100649567085E-10</v>
      </c>
      <c r="O705">
        <v>30</v>
      </c>
      <c r="P705">
        <v>80</v>
      </c>
      <c r="Q705">
        <v>3.5</v>
      </c>
      <c r="R705" t="b">
        <v>0</v>
      </c>
      <c r="S705">
        <v>2.67971001264961E-10</v>
      </c>
      <c r="Y705" t="str">
        <f t="shared" si="67"/>
        <v>Pass</v>
      </c>
      <c r="Z705">
        <f t="shared" si="68"/>
        <v>107527.1640625</v>
      </c>
      <c r="AA705">
        <v>10600</v>
      </c>
      <c r="AB705">
        <v>20</v>
      </c>
      <c r="AC705">
        <v>20</v>
      </c>
      <c r="AD705">
        <v>0.2</v>
      </c>
      <c r="AE705">
        <v>107527.16035372</v>
      </c>
    </row>
    <row r="706" spans="1:31" x14ac:dyDescent="0.3">
      <c r="A706" t="str">
        <f>IF(ISBLANK(B706),"",IF(ROUND(B706,0)=ROUND(G706,0),"Pass","Fail"))</f>
        <v>Pass</v>
      </c>
      <c r="B706">
        <f t="shared" si="64"/>
        <v>88.487998962402344</v>
      </c>
      <c r="C706">
        <v>0</v>
      </c>
      <c r="D706">
        <v>90</v>
      </c>
      <c r="E706">
        <v>10</v>
      </c>
      <c r="F706">
        <v>0</v>
      </c>
      <c r="G706">
        <v>88.487999999998294</v>
      </c>
      <c r="M706" t="str">
        <f t="shared" si="65"/>
        <v>Pass</v>
      </c>
      <c r="N706">
        <f t="shared" si="66"/>
        <v>6.6999886541574405E-12</v>
      </c>
      <c r="O706">
        <v>30</v>
      </c>
      <c r="P706">
        <v>80</v>
      </c>
      <c r="Q706">
        <v>4</v>
      </c>
      <c r="R706" t="b">
        <v>1</v>
      </c>
      <c r="S706">
        <v>6.6999889401019303E-12</v>
      </c>
      <c r="Y706" t="str">
        <f t="shared" si="67"/>
        <v>Pass</v>
      </c>
      <c r="Z706">
        <f t="shared" si="68"/>
        <v>108188.5625</v>
      </c>
      <c r="AA706">
        <v>10600</v>
      </c>
      <c r="AB706">
        <v>20</v>
      </c>
      <c r="AC706">
        <v>22</v>
      </c>
      <c r="AD706">
        <v>0.2</v>
      </c>
      <c r="AE706">
        <v>108188.555369283</v>
      </c>
    </row>
    <row r="707" spans="1:31" x14ac:dyDescent="0.3">
      <c r="A707" t="str">
        <f>IF(ISBLANK(B707),"",IF(ROUND(B707,0)=ROUND(G707,0),"Pass","Fail"))</f>
        <v>Pass</v>
      </c>
      <c r="B707">
        <f t="shared" si="64"/>
        <v>55.151229858398438</v>
      </c>
      <c r="C707">
        <v>0</v>
      </c>
      <c r="D707">
        <v>90</v>
      </c>
      <c r="E707">
        <v>10</v>
      </c>
      <c r="F707">
        <v>8</v>
      </c>
      <c r="G707">
        <v>55.151228080722198</v>
      </c>
      <c r="M707" t="str">
        <f t="shared" si="65"/>
        <v>Pass</v>
      </c>
      <c r="N707">
        <f t="shared" si="66"/>
        <v>2.7621799292276705E-10</v>
      </c>
      <c r="O707">
        <v>30</v>
      </c>
      <c r="P707">
        <v>80</v>
      </c>
      <c r="Q707">
        <v>4</v>
      </c>
      <c r="R707" t="b">
        <v>0</v>
      </c>
      <c r="S707">
        <v>2.7621799655518901E-10</v>
      </c>
      <c r="Y707" t="str">
        <f t="shared" si="67"/>
        <v>Pass</v>
      </c>
      <c r="Z707">
        <f t="shared" si="68"/>
        <v>108631.90625</v>
      </c>
      <c r="AA707">
        <v>10600</v>
      </c>
      <c r="AB707">
        <v>20</v>
      </c>
      <c r="AC707">
        <v>24</v>
      </c>
      <c r="AD707">
        <v>0.2</v>
      </c>
      <c r="AE707">
        <v>108631.90170656399</v>
      </c>
    </row>
    <row r="708" spans="1:31" x14ac:dyDescent="0.3">
      <c r="A708" t="str">
        <f>IF(ISBLANK(B708),"",IF(ROUND(B708,0)=ROUND(G708,0),"Pass","Fail"))</f>
        <v>Pass</v>
      </c>
      <c r="B708">
        <f t="shared" si="64"/>
        <v>38.3699951171875</v>
      </c>
      <c r="C708">
        <v>0</v>
      </c>
      <c r="D708">
        <v>90</v>
      </c>
      <c r="E708">
        <v>10</v>
      </c>
      <c r="F708">
        <v>16</v>
      </c>
      <c r="G708">
        <v>38.369997247101303</v>
      </c>
      <c r="M708" t="str">
        <f t="shared" si="65"/>
        <v>Pass</v>
      </c>
      <c r="N708">
        <f t="shared" si="66"/>
        <v>0</v>
      </c>
      <c r="O708">
        <v>30</v>
      </c>
      <c r="P708">
        <v>90</v>
      </c>
      <c r="Q708">
        <v>0</v>
      </c>
      <c r="R708" t="b">
        <v>1</v>
      </c>
      <c r="S708">
        <v>0</v>
      </c>
      <c r="Y708" t="str">
        <f t="shared" si="67"/>
        <v>Pass</v>
      </c>
      <c r="Z708">
        <f t="shared" si="68"/>
        <v>0</v>
      </c>
      <c r="AA708">
        <v>10800</v>
      </c>
      <c r="AB708">
        <v>20</v>
      </c>
      <c r="AC708">
        <v>0</v>
      </c>
      <c r="AD708">
        <v>0.2</v>
      </c>
      <c r="AE708">
        <v>0</v>
      </c>
    </row>
    <row r="709" spans="1:31" x14ac:dyDescent="0.3">
      <c r="A709" t="str">
        <f>IF(ISBLANK(B709),"",IF(ROUND(B709,0)=ROUND(G709,0),"Pass","Fail"))</f>
        <v>Pass</v>
      </c>
      <c r="B709">
        <f t="shared" si="64"/>
        <v>29.922576904296875</v>
      </c>
      <c r="C709">
        <v>0</v>
      </c>
      <c r="D709">
        <v>90</v>
      </c>
      <c r="E709">
        <v>10</v>
      </c>
      <c r="F709">
        <v>24</v>
      </c>
      <c r="G709">
        <v>29.922577413736001</v>
      </c>
      <c r="M709" t="str">
        <f t="shared" si="65"/>
        <v>Pass</v>
      </c>
      <c r="N709">
        <f t="shared" si="66"/>
        <v>0</v>
      </c>
      <c r="O709">
        <v>30</v>
      </c>
      <c r="P709">
        <v>90</v>
      </c>
      <c r="Q709">
        <v>0</v>
      </c>
      <c r="R709" t="b">
        <v>0</v>
      </c>
      <c r="S709">
        <v>0</v>
      </c>
      <c r="Y709" t="str">
        <f t="shared" si="67"/>
        <v>Pass</v>
      </c>
      <c r="Z709">
        <f t="shared" si="68"/>
        <v>36792.28125</v>
      </c>
      <c r="AA709">
        <v>10800</v>
      </c>
      <c r="AB709">
        <v>20</v>
      </c>
      <c r="AC709">
        <v>2</v>
      </c>
      <c r="AD709">
        <v>0.2</v>
      </c>
      <c r="AE709">
        <v>36792.282862422602</v>
      </c>
    </row>
    <row r="710" spans="1:31" x14ac:dyDescent="0.3">
      <c r="A710" t="str">
        <f>IF(ISBLANK(B710),"",IF(ROUND(B710,0)=ROUND(G710,0),"Pass","Fail"))</f>
        <v>Pass</v>
      </c>
      <c r="B710">
        <f t="shared" si="64"/>
        <v>25.670272827148438</v>
      </c>
      <c r="C710">
        <v>0</v>
      </c>
      <c r="D710">
        <v>90</v>
      </c>
      <c r="E710">
        <v>10</v>
      </c>
      <c r="F710">
        <v>32</v>
      </c>
      <c r="G710">
        <v>25.670273005994499</v>
      </c>
      <c r="M710" t="str">
        <f t="shared" si="65"/>
        <v>Pass</v>
      </c>
      <c r="N710">
        <f t="shared" si="66"/>
        <v>7.6541102286570989E-14</v>
      </c>
      <c r="O710">
        <v>30</v>
      </c>
      <c r="P710">
        <v>90</v>
      </c>
      <c r="Q710">
        <v>0.5</v>
      </c>
      <c r="R710" t="b">
        <v>1</v>
      </c>
      <c r="S710">
        <v>7.6541105604501895E-14</v>
      </c>
      <c r="Y710" t="str">
        <f t="shared" si="67"/>
        <v>Pass</v>
      </c>
      <c r="Z710">
        <f t="shared" si="68"/>
        <v>61454.890625</v>
      </c>
      <c r="AA710">
        <v>10800</v>
      </c>
      <c r="AB710">
        <v>20</v>
      </c>
      <c r="AC710">
        <v>4</v>
      </c>
      <c r="AD710">
        <v>0.2</v>
      </c>
      <c r="AE710">
        <v>61454.887604518</v>
      </c>
    </row>
    <row r="711" spans="1:31" x14ac:dyDescent="0.3">
      <c r="A711" t="str">
        <f>IF(ISBLANK(B711),"",IF(ROUND(B711,0)=ROUND(G711,0),"Pass","Fail"))</f>
        <v>Pass</v>
      </c>
      <c r="B711">
        <f t="shared" ref="B711:B774" si="69">FMC_heath(C711,D711,E711,F711)</f>
        <v>23.529727935791016</v>
      </c>
      <c r="C711">
        <v>0</v>
      </c>
      <c r="D711">
        <v>90</v>
      </c>
      <c r="E711">
        <v>10</v>
      </c>
      <c r="F711">
        <v>40</v>
      </c>
      <c r="G711">
        <v>23.529726764326998</v>
      </c>
      <c r="M711" t="str">
        <f t="shared" ref="M711:M774" si="70">IF(ISBLANK(N711),"",IF(ROUND(N711,0)=ROUND(S711,0),"Pass","Fail"))</f>
        <v>Pass</v>
      </c>
      <c r="N711">
        <f t="shared" ref="N711:N774" si="71">ROS_heath(O711,Q711,P711,R711)</f>
        <v>3.1555320422621547E-12</v>
      </c>
      <c r="O711">
        <v>30</v>
      </c>
      <c r="P711">
        <v>90</v>
      </c>
      <c r="Q711">
        <v>0.5</v>
      </c>
      <c r="R711" t="b">
        <v>0</v>
      </c>
      <c r="S711">
        <v>3.15553220060584E-12</v>
      </c>
      <c r="Y711" t="str">
        <f t="shared" ref="Y711:Y774" si="72">IF(ISBLANK(Z711),"",IF(ROUND(Z711,0)=ROUND(AE711,0),"Pass","Fail"))</f>
        <v>Pass</v>
      </c>
      <c r="Z711">
        <f t="shared" ref="Z711:Z774" si="73">intensity_heath(AA711,AB711,AC711,AD711)</f>
        <v>77986.7265625</v>
      </c>
      <c r="AA711">
        <v>10800</v>
      </c>
      <c r="AB711">
        <v>20</v>
      </c>
      <c r="AC711">
        <v>6</v>
      </c>
      <c r="AD711">
        <v>0.2</v>
      </c>
      <c r="AE711">
        <v>77986.725950598193</v>
      </c>
    </row>
    <row r="712" spans="1:31" x14ac:dyDescent="0.3">
      <c r="A712" t="str">
        <f>IF(ISBLANK(B712),"",IF(ROUND(B712,0)=ROUND(G712,0),"Pass","Fail"))</f>
        <v>Pass</v>
      </c>
      <c r="B712">
        <f t="shared" si="69"/>
        <v>22.45220947265625</v>
      </c>
      <c r="C712">
        <v>0</v>
      </c>
      <c r="D712">
        <v>90</v>
      </c>
      <c r="E712">
        <v>10</v>
      </c>
      <c r="F712">
        <v>48</v>
      </c>
      <c r="G712">
        <v>22.452207900819602</v>
      </c>
      <c r="M712" t="str">
        <f t="shared" si="70"/>
        <v>Pass</v>
      </c>
      <c r="N712">
        <f t="shared" si="71"/>
        <v>8.9583600411911879E-14</v>
      </c>
      <c r="O712">
        <v>30</v>
      </c>
      <c r="P712">
        <v>90</v>
      </c>
      <c r="Q712">
        <v>1</v>
      </c>
      <c r="R712" t="b">
        <v>1</v>
      </c>
      <c r="S712">
        <v>8.9583606016472201E-14</v>
      </c>
      <c r="Y712" t="str">
        <f t="shared" si="72"/>
        <v>Pass</v>
      </c>
      <c r="Z712">
        <f t="shared" si="73"/>
        <v>89068.34375</v>
      </c>
      <c r="AA712">
        <v>10800</v>
      </c>
      <c r="AB712">
        <v>20</v>
      </c>
      <c r="AC712">
        <v>8</v>
      </c>
      <c r="AD712">
        <v>0.2</v>
      </c>
      <c r="AE712">
        <v>89068.348591796399</v>
      </c>
    </row>
    <row r="713" spans="1:31" x14ac:dyDescent="0.3">
      <c r="A713" t="str">
        <f>IF(ISBLANK(B713),"",IF(ROUND(B713,0)=ROUND(G713,0),"Pass","Fail"))</f>
        <v>Pass</v>
      </c>
      <c r="B713">
        <f t="shared" si="69"/>
        <v>88.487998962402344</v>
      </c>
      <c r="C713">
        <v>0</v>
      </c>
      <c r="D713">
        <v>90</v>
      </c>
      <c r="E713">
        <v>20</v>
      </c>
      <c r="F713">
        <v>0</v>
      </c>
      <c r="G713">
        <v>88.488</v>
      </c>
      <c r="M713" t="str">
        <f t="shared" si="70"/>
        <v>Pass</v>
      </c>
      <c r="N713">
        <f t="shared" si="71"/>
        <v>3.6932306171633122E-12</v>
      </c>
      <c r="O713">
        <v>30</v>
      </c>
      <c r="P713">
        <v>90</v>
      </c>
      <c r="Q713">
        <v>1</v>
      </c>
      <c r="R713" t="b">
        <v>0</v>
      </c>
      <c r="S713">
        <v>3.6932306007184003E-12</v>
      </c>
      <c r="Y713" t="str">
        <f t="shared" si="72"/>
        <v>Pass</v>
      </c>
      <c r="Z713">
        <f t="shared" si="73"/>
        <v>96496.5859375</v>
      </c>
      <c r="AA713">
        <v>10800</v>
      </c>
      <c r="AB713">
        <v>20</v>
      </c>
      <c r="AC713">
        <v>10</v>
      </c>
      <c r="AD713">
        <v>0.2</v>
      </c>
      <c r="AE713">
        <v>96496.582390794007</v>
      </c>
    </row>
    <row r="714" spans="1:31" x14ac:dyDescent="0.3">
      <c r="A714" t="str">
        <f>IF(ISBLANK(B714),"",IF(ROUND(B714,0)=ROUND(G714,0),"Pass","Fail"))</f>
        <v>Pass</v>
      </c>
      <c r="B714">
        <f t="shared" si="69"/>
        <v>55.151229858398438</v>
      </c>
      <c r="C714">
        <v>0</v>
      </c>
      <c r="D714">
        <v>90</v>
      </c>
      <c r="E714">
        <v>20</v>
      </c>
      <c r="F714">
        <v>8</v>
      </c>
      <c r="G714">
        <v>55.151228080723001</v>
      </c>
      <c r="M714" t="str">
        <f t="shared" si="70"/>
        <v>Pass</v>
      </c>
      <c r="N714">
        <f t="shared" si="71"/>
        <v>9.8220293931559205E-14</v>
      </c>
      <c r="O714">
        <v>30</v>
      </c>
      <c r="P714">
        <v>90</v>
      </c>
      <c r="Q714">
        <v>1.5</v>
      </c>
      <c r="R714" t="b">
        <v>1</v>
      </c>
      <c r="S714">
        <v>9.8220299925382903E-14</v>
      </c>
      <c r="Y714" t="str">
        <f t="shared" si="72"/>
        <v>Pass</v>
      </c>
      <c r="Z714">
        <f t="shared" si="73"/>
        <v>101475.875</v>
      </c>
      <c r="AA714">
        <v>10800</v>
      </c>
      <c r="AB714">
        <v>20</v>
      </c>
      <c r="AC714">
        <v>12</v>
      </c>
      <c r="AD714">
        <v>0.2</v>
      </c>
      <c r="AE714">
        <v>101475.87641290099</v>
      </c>
    </row>
    <row r="715" spans="1:31" x14ac:dyDescent="0.3">
      <c r="A715" t="str">
        <f>IF(ISBLANK(B715),"",IF(ROUND(B715,0)=ROUND(G715,0),"Pass","Fail"))</f>
        <v>Pass</v>
      </c>
      <c r="B715">
        <f t="shared" si="69"/>
        <v>38.3699951171875</v>
      </c>
      <c r="C715">
        <v>0</v>
      </c>
      <c r="D715">
        <v>90</v>
      </c>
      <c r="E715">
        <v>20</v>
      </c>
      <c r="F715">
        <v>16</v>
      </c>
      <c r="G715">
        <v>38.369997247101701</v>
      </c>
      <c r="M715" t="str">
        <f t="shared" si="70"/>
        <v>Pass</v>
      </c>
      <c r="N715">
        <f t="shared" si="71"/>
        <v>4.0492921515866698E-12</v>
      </c>
      <c r="O715">
        <v>30</v>
      </c>
      <c r="P715">
        <v>90</v>
      </c>
      <c r="Q715">
        <v>1.5</v>
      </c>
      <c r="R715" t="b">
        <v>0</v>
      </c>
      <c r="S715">
        <v>4.0492924255523097E-12</v>
      </c>
      <c r="Y715" t="str">
        <f t="shared" si="72"/>
        <v>Pass</v>
      </c>
      <c r="Z715">
        <f t="shared" si="73"/>
        <v>104813.59375</v>
      </c>
      <c r="AA715">
        <v>10800</v>
      </c>
      <c r="AB715">
        <v>20</v>
      </c>
      <c r="AC715">
        <v>14</v>
      </c>
      <c r="AD715">
        <v>0.2</v>
      </c>
      <c r="AE715">
        <v>104813.59701102501</v>
      </c>
    </row>
    <row r="716" spans="1:31" x14ac:dyDescent="0.3">
      <c r="A716" t="str">
        <f>IF(ISBLANK(B716),"",IF(ROUND(B716,0)=ROUND(G716,0),"Pass","Fail"))</f>
        <v>Pass</v>
      </c>
      <c r="B716">
        <f t="shared" si="69"/>
        <v>29.922576904296875</v>
      </c>
      <c r="C716">
        <v>0</v>
      </c>
      <c r="D716">
        <v>90</v>
      </c>
      <c r="E716">
        <v>20</v>
      </c>
      <c r="F716">
        <v>24</v>
      </c>
      <c r="G716">
        <v>29.9225774137362</v>
      </c>
      <c r="M716" t="str">
        <f t="shared" si="70"/>
        <v>Pass</v>
      </c>
      <c r="N716">
        <f t="shared" si="71"/>
        <v>1.0484852325546787E-13</v>
      </c>
      <c r="O716">
        <v>30</v>
      </c>
      <c r="P716">
        <v>90</v>
      </c>
      <c r="Q716">
        <v>2</v>
      </c>
      <c r="R716" t="b">
        <v>1</v>
      </c>
      <c r="S716">
        <v>1.0484853078007399E-13</v>
      </c>
      <c r="Y716" t="str">
        <f t="shared" si="72"/>
        <v>Pass</v>
      </c>
      <c r="Z716">
        <f t="shared" si="73"/>
        <v>107050.9375</v>
      </c>
      <c r="AA716">
        <v>10800</v>
      </c>
      <c r="AB716">
        <v>20</v>
      </c>
      <c r="AC716">
        <v>16</v>
      </c>
      <c r="AD716">
        <v>0.2</v>
      </c>
      <c r="AE716">
        <v>107050.93803601401</v>
      </c>
    </row>
    <row r="717" spans="1:31" x14ac:dyDescent="0.3">
      <c r="A717" t="str">
        <f>IF(ISBLANK(B717),"",IF(ROUND(B717,0)=ROUND(G717,0),"Pass","Fail"))</f>
        <v>Pass</v>
      </c>
      <c r="B717">
        <f t="shared" si="69"/>
        <v>25.670272827148438</v>
      </c>
      <c r="C717">
        <v>0</v>
      </c>
      <c r="D717">
        <v>90</v>
      </c>
      <c r="E717">
        <v>20</v>
      </c>
      <c r="F717">
        <v>32</v>
      </c>
      <c r="G717">
        <v>25.670273005994598</v>
      </c>
      <c r="M717" t="str">
        <f t="shared" si="70"/>
        <v>Pass</v>
      </c>
      <c r="N717">
        <f t="shared" si="71"/>
        <v>4.3225522987355713E-12</v>
      </c>
      <c r="O717">
        <v>30</v>
      </c>
      <c r="P717">
        <v>90</v>
      </c>
      <c r="Q717">
        <v>2</v>
      </c>
      <c r="R717" t="b">
        <v>0</v>
      </c>
      <c r="S717">
        <v>4.3225520777332002E-12</v>
      </c>
      <c r="Y717" t="str">
        <f t="shared" si="72"/>
        <v>Pass</v>
      </c>
      <c r="Z717">
        <f t="shared" si="73"/>
        <v>108550.671875</v>
      </c>
      <c r="AA717">
        <v>10800</v>
      </c>
      <c r="AB717">
        <v>20</v>
      </c>
      <c r="AC717">
        <v>18</v>
      </c>
      <c r="AD717">
        <v>0.2</v>
      </c>
      <c r="AE717">
        <v>108550.672574882</v>
      </c>
    </row>
    <row r="718" spans="1:31" x14ac:dyDescent="0.3">
      <c r="A718" t="str">
        <f>IF(ISBLANK(B718),"",IF(ROUND(B718,0)=ROUND(G718,0),"Pass","Fail"))</f>
        <v>Pass</v>
      </c>
      <c r="B718">
        <f t="shared" si="69"/>
        <v>23.529727935791016</v>
      </c>
      <c r="C718">
        <v>0</v>
      </c>
      <c r="D718">
        <v>90</v>
      </c>
      <c r="E718">
        <v>20</v>
      </c>
      <c r="F718">
        <v>40</v>
      </c>
      <c r="G718">
        <v>23.529726764327101</v>
      </c>
      <c r="M718" t="str">
        <f t="shared" si="70"/>
        <v>Pass</v>
      </c>
      <c r="N718">
        <f t="shared" si="71"/>
        <v>1.1029628680650147E-13</v>
      </c>
      <c r="O718">
        <v>30</v>
      </c>
      <c r="P718">
        <v>90</v>
      </c>
      <c r="Q718">
        <v>2.5</v>
      </c>
      <c r="R718" t="b">
        <v>1</v>
      </c>
      <c r="S718">
        <v>1.10296294484099E-13</v>
      </c>
      <c r="Y718" t="str">
        <f t="shared" si="72"/>
        <v>Pass</v>
      </c>
      <c r="Z718">
        <f t="shared" si="73"/>
        <v>109555.984375</v>
      </c>
      <c r="AA718">
        <v>10800</v>
      </c>
      <c r="AB718">
        <v>20</v>
      </c>
      <c r="AC718">
        <v>20</v>
      </c>
      <c r="AD718">
        <v>0.2</v>
      </c>
      <c r="AE718">
        <v>109555.974700017</v>
      </c>
    </row>
    <row r="719" spans="1:31" x14ac:dyDescent="0.3">
      <c r="A719" t="str">
        <f>IF(ISBLANK(B719),"",IF(ROUND(B719,0)=ROUND(G719,0),"Pass","Fail"))</f>
        <v>Pass</v>
      </c>
      <c r="B719">
        <f t="shared" si="69"/>
        <v>22.45220947265625</v>
      </c>
      <c r="C719">
        <v>0</v>
      </c>
      <c r="D719">
        <v>90</v>
      </c>
      <c r="E719">
        <v>20</v>
      </c>
      <c r="F719">
        <v>48</v>
      </c>
      <c r="G719">
        <v>22.452207900819701</v>
      </c>
      <c r="M719" t="str">
        <f t="shared" si="70"/>
        <v>Pass</v>
      </c>
      <c r="N719">
        <f t="shared" si="71"/>
        <v>4.5471452124468126E-12</v>
      </c>
      <c r="O719">
        <v>30</v>
      </c>
      <c r="P719">
        <v>90</v>
      </c>
      <c r="Q719">
        <v>2.5</v>
      </c>
      <c r="R719" t="b">
        <v>0</v>
      </c>
      <c r="S719">
        <v>4.5471450419134101E-12</v>
      </c>
      <c r="Y719" t="str">
        <f t="shared" si="72"/>
        <v>Pass</v>
      </c>
      <c r="Z719">
        <f t="shared" si="73"/>
        <v>110229.859375</v>
      </c>
      <c r="AA719">
        <v>10800</v>
      </c>
      <c r="AB719">
        <v>20</v>
      </c>
      <c r="AC719">
        <v>22</v>
      </c>
      <c r="AD719">
        <v>0.2</v>
      </c>
      <c r="AE719">
        <v>110229.848866817</v>
      </c>
    </row>
    <row r="720" spans="1:31" x14ac:dyDescent="0.3">
      <c r="A720" t="str">
        <f>IF(ISBLANK(B720),"",IF(ROUND(B720,0)=ROUND(G720,0),"Pass","Fail"))</f>
        <v>Pass</v>
      </c>
      <c r="B720">
        <f t="shared" si="69"/>
        <v>88.487998962402344</v>
      </c>
      <c r="C720">
        <v>0</v>
      </c>
      <c r="D720">
        <v>90</v>
      </c>
      <c r="E720">
        <v>30</v>
      </c>
      <c r="F720">
        <v>0</v>
      </c>
      <c r="G720">
        <v>88.488</v>
      </c>
      <c r="M720" t="str">
        <f t="shared" si="70"/>
        <v>Pass</v>
      </c>
      <c r="N720">
        <f t="shared" si="71"/>
        <v>1.1495689925151986E-13</v>
      </c>
      <c r="O720">
        <v>30</v>
      </c>
      <c r="P720">
        <v>90</v>
      </c>
      <c r="Q720">
        <v>3</v>
      </c>
      <c r="R720" t="b">
        <v>1</v>
      </c>
      <c r="S720">
        <v>1.1495690559789499E-13</v>
      </c>
      <c r="Y720" t="str">
        <f t="shared" si="72"/>
        <v>Pass</v>
      </c>
      <c r="Z720">
        <f t="shared" si="73"/>
        <v>110681.5625</v>
      </c>
      <c r="AA720">
        <v>10800</v>
      </c>
      <c r="AB720">
        <v>20</v>
      </c>
      <c r="AC720">
        <v>24</v>
      </c>
      <c r="AD720">
        <v>0.2</v>
      </c>
      <c r="AE720">
        <v>110681.560229329</v>
      </c>
    </row>
    <row r="721" spans="1:31" x14ac:dyDescent="0.3">
      <c r="A721" t="str">
        <f>IF(ISBLANK(B721),"",IF(ROUND(B721,0)=ROUND(G721,0),"Pass","Fail"))</f>
        <v>Pass</v>
      </c>
      <c r="B721">
        <f t="shared" si="69"/>
        <v>55.151229858398438</v>
      </c>
      <c r="C721">
        <v>0</v>
      </c>
      <c r="D721">
        <v>90</v>
      </c>
      <c r="E721">
        <v>30</v>
      </c>
      <c r="F721">
        <v>8</v>
      </c>
      <c r="G721">
        <v>55.151228080723001</v>
      </c>
      <c r="M721" t="str">
        <f t="shared" si="70"/>
        <v>Pass</v>
      </c>
      <c r="N721">
        <f t="shared" si="71"/>
        <v>4.7392866540929557E-12</v>
      </c>
      <c r="O721">
        <v>30</v>
      </c>
      <c r="P721">
        <v>90</v>
      </c>
      <c r="Q721">
        <v>3</v>
      </c>
      <c r="R721" t="b">
        <v>0</v>
      </c>
      <c r="S721">
        <v>4.7392863537997701E-12</v>
      </c>
      <c r="Y721" t="str">
        <f t="shared" si="72"/>
        <v>Pass</v>
      </c>
      <c r="Z721">
        <f t="shared" si="73"/>
        <v>0</v>
      </c>
      <c r="AA721">
        <v>11000</v>
      </c>
      <c r="AB721">
        <v>20</v>
      </c>
      <c r="AC721">
        <v>0</v>
      </c>
      <c r="AD721">
        <v>0.2</v>
      </c>
      <c r="AE721">
        <v>0</v>
      </c>
    </row>
    <row r="722" spans="1:31" x14ac:dyDescent="0.3">
      <c r="A722" t="str">
        <f>IF(ISBLANK(B722),"",IF(ROUND(B722,0)=ROUND(G722,0),"Pass","Fail"))</f>
        <v>Pass</v>
      </c>
      <c r="B722">
        <f t="shared" si="69"/>
        <v>38.3699951171875</v>
      </c>
      <c r="C722">
        <v>0</v>
      </c>
      <c r="D722">
        <v>90</v>
      </c>
      <c r="E722">
        <v>30</v>
      </c>
      <c r="F722">
        <v>16</v>
      </c>
      <c r="G722">
        <v>38.369997247101701</v>
      </c>
      <c r="M722" t="str">
        <f t="shared" si="70"/>
        <v>Pass</v>
      </c>
      <c r="N722">
        <f t="shared" si="71"/>
        <v>1.1905069757702641E-13</v>
      </c>
      <c r="O722">
        <v>30</v>
      </c>
      <c r="P722">
        <v>90</v>
      </c>
      <c r="Q722">
        <v>3.5</v>
      </c>
      <c r="R722" t="b">
        <v>1</v>
      </c>
      <c r="S722">
        <v>1.19050709015042E-13</v>
      </c>
      <c r="Y722" t="str">
        <f t="shared" si="72"/>
        <v>Pass</v>
      </c>
      <c r="Z722">
        <f t="shared" si="73"/>
        <v>37473.62109375</v>
      </c>
      <c r="AA722">
        <v>11000</v>
      </c>
      <c r="AB722">
        <v>20</v>
      </c>
      <c r="AC722">
        <v>2</v>
      </c>
      <c r="AD722">
        <v>0.2</v>
      </c>
      <c r="AE722">
        <v>37473.621433948902</v>
      </c>
    </row>
    <row r="723" spans="1:31" x14ac:dyDescent="0.3">
      <c r="A723" t="str">
        <f>IF(ISBLANK(B723),"",IF(ROUND(B723,0)=ROUND(G723,0),"Pass","Fail"))</f>
        <v>Pass</v>
      </c>
      <c r="B723">
        <f t="shared" si="69"/>
        <v>29.922576904296875</v>
      </c>
      <c r="C723">
        <v>0</v>
      </c>
      <c r="D723">
        <v>90</v>
      </c>
      <c r="E723">
        <v>30</v>
      </c>
      <c r="F723">
        <v>24</v>
      </c>
      <c r="G723">
        <v>29.9225774137362</v>
      </c>
      <c r="M723" t="str">
        <f t="shared" si="70"/>
        <v>Pass</v>
      </c>
      <c r="N723">
        <f t="shared" si="71"/>
        <v>4.9080600694750842E-12</v>
      </c>
      <c r="O723">
        <v>30</v>
      </c>
      <c r="P723">
        <v>90</v>
      </c>
      <c r="Q723">
        <v>3.5</v>
      </c>
      <c r="R723" t="b">
        <v>0</v>
      </c>
      <c r="S723">
        <v>4.9080600918289803E-12</v>
      </c>
      <c r="Y723" t="str">
        <f t="shared" si="72"/>
        <v>Pass</v>
      </c>
      <c r="Z723">
        <f t="shared" si="73"/>
        <v>62592.94140625</v>
      </c>
      <c r="AA723">
        <v>11000</v>
      </c>
      <c r="AB723">
        <v>20</v>
      </c>
      <c r="AC723">
        <v>4</v>
      </c>
      <c r="AD723">
        <v>0.2</v>
      </c>
      <c r="AE723">
        <v>62592.941078675802</v>
      </c>
    </row>
    <row r="724" spans="1:31" x14ac:dyDescent="0.3">
      <c r="A724" t="str">
        <f>IF(ISBLANK(B724),"",IF(ROUND(B724,0)=ROUND(G724,0),"Pass","Fail"))</f>
        <v>Pass</v>
      </c>
      <c r="B724">
        <f t="shared" si="69"/>
        <v>25.670272827148438</v>
      </c>
      <c r="C724">
        <v>0</v>
      </c>
      <c r="D724">
        <v>90</v>
      </c>
      <c r="E724">
        <v>30</v>
      </c>
      <c r="F724">
        <v>32</v>
      </c>
      <c r="G724">
        <v>25.670273005994598</v>
      </c>
      <c r="M724" t="str">
        <f t="shared" si="70"/>
        <v>Pass</v>
      </c>
      <c r="N724">
        <f t="shared" si="71"/>
        <v>1.2271456908356099E-13</v>
      </c>
      <c r="O724">
        <v>30</v>
      </c>
      <c r="P724">
        <v>90</v>
      </c>
      <c r="Q724">
        <v>4</v>
      </c>
      <c r="R724" t="b">
        <v>1</v>
      </c>
      <c r="S724">
        <v>1.22714577985605E-13</v>
      </c>
      <c r="Y724" t="str">
        <f t="shared" si="72"/>
        <v>Pass</v>
      </c>
      <c r="Z724">
        <f t="shared" si="73"/>
        <v>79430.9296875</v>
      </c>
      <c r="AA724">
        <v>11000</v>
      </c>
      <c r="AB724">
        <v>20</v>
      </c>
      <c r="AC724">
        <v>6</v>
      </c>
      <c r="AD724">
        <v>0.2</v>
      </c>
      <c r="AE724">
        <v>79430.924579312996</v>
      </c>
    </row>
    <row r="725" spans="1:31" x14ac:dyDescent="0.3">
      <c r="A725" t="str">
        <f>IF(ISBLANK(B725),"",IF(ROUND(B725,0)=ROUND(G725,0),"Pass","Fail"))</f>
        <v>Pass</v>
      </c>
      <c r="B725">
        <f t="shared" si="69"/>
        <v>23.529727935791016</v>
      </c>
      <c r="C725">
        <v>0</v>
      </c>
      <c r="D725">
        <v>90</v>
      </c>
      <c r="E725">
        <v>30</v>
      </c>
      <c r="F725">
        <v>40</v>
      </c>
      <c r="G725">
        <v>23.529726764327101</v>
      </c>
      <c r="M725" t="str">
        <f t="shared" si="70"/>
        <v>Pass</v>
      </c>
      <c r="N725">
        <f t="shared" si="71"/>
        <v>5.0591089477414197E-12</v>
      </c>
      <c r="O725">
        <v>30</v>
      </c>
      <c r="P725">
        <v>90</v>
      </c>
      <c r="Q725">
        <v>4</v>
      </c>
      <c r="R725" t="b">
        <v>0</v>
      </c>
      <c r="S725">
        <v>5.0591090794821001E-12</v>
      </c>
      <c r="Y725" t="str">
        <f t="shared" si="72"/>
        <v>Pass</v>
      </c>
      <c r="Z725">
        <f t="shared" si="73"/>
        <v>90717.7578125</v>
      </c>
      <c r="AA725">
        <v>11000</v>
      </c>
      <c r="AB725">
        <v>20</v>
      </c>
      <c r="AC725">
        <v>8</v>
      </c>
      <c r="AD725">
        <v>0.2</v>
      </c>
      <c r="AE725">
        <v>90717.762454607495</v>
      </c>
    </row>
    <row r="726" spans="1:31" x14ac:dyDescent="0.3">
      <c r="A726" t="str">
        <f>IF(ISBLANK(B726),"",IF(ROUND(B726,0)=ROUND(G726,0),"Pass","Fail"))</f>
        <v>Pass</v>
      </c>
      <c r="B726">
        <f t="shared" si="69"/>
        <v>22.45220947265625</v>
      </c>
      <c r="C726">
        <v>0</v>
      </c>
      <c r="D726">
        <v>90</v>
      </c>
      <c r="E726">
        <v>30</v>
      </c>
      <c r="F726">
        <v>48</v>
      </c>
      <c r="G726">
        <v>22.452207900819701</v>
      </c>
      <c r="M726" t="str">
        <f t="shared" si="70"/>
        <v>Pass</v>
      </c>
      <c r="N726">
        <f t="shared" si="71"/>
        <v>0</v>
      </c>
      <c r="O726">
        <v>40</v>
      </c>
      <c r="P726">
        <v>0</v>
      </c>
      <c r="Q726">
        <v>0</v>
      </c>
      <c r="R726" t="b">
        <v>1</v>
      </c>
      <c r="S726">
        <v>0</v>
      </c>
      <c r="Y726" t="str">
        <f t="shared" si="72"/>
        <v>Pass</v>
      </c>
      <c r="Z726">
        <f t="shared" si="73"/>
        <v>98283.5625</v>
      </c>
      <c r="AA726">
        <v>11000</v>
      </c>
      <c r="AB726">
        <v>20</v>
      </c>
      <c r="AC726">
        <v>10</v>
      </c>
      <c r="AD726">
        <v>0.2</v>
      </c>
      <c r="AE726">
        <v>98283.556138771601</v>
      </c>
    </row>
    <row r="727" spans="1:31" x14ac:dyDescent="0.3">
      <c r="A727" t="str">
        <f>IF(ISBLANK(B727),"",IF(ROUND(B727,0)=ROUND(G727,0),"Pass","Fail"))</f>
        <v>Pass</v>
      </c>
      <c r="B727">
        <f t="shared" si="69"/>
        <v>88.487998962402344</v>
      </c>
      <c r="C727">
        <v>0</v>
      </c>
      <c r="D727">
        <v>90</v>
      </c>
      <c r="E727">
        <v>40</v>
      </c>
      <c r="F727">
        <v>0</v>
      </c>
      <c r="G727">
        <v>88.488</v>
      </c>
      <c r="M727" t="str">
        <f t="shared" si="70"/>
        <v>Pass</v>
      </c>
      <c r="N727">
        <f t="shared" si="71"/>
        <v>0</v>
      </c>
      <c r="O727">
        <v>40</v>
      </c>
      <c r="P727">
        <v>0</v>
      </c>
      <c r="Q727">
        <v>0</v>
      </c>
      <c r="R727" t="b">
        <v>0</v>
      </c>
      <c r="S727">
        <v>0</v>
      </c>
      <c r="Y727" t="str">
        <f t="shared" si="72"/>
        <v>Pass</v>
      </c>
      <c r="Z727">
        <f t="shared" si="73"/>
        <v>103355.0625</v>
      </c>
      <c r="AA727">
        <v>11000</v>
      </c>
      <c r="AB727">
        <v>20</v>
      </c>
      <c r="AC727">
        <v>12</v>
      </c>
      <c r="AD727">
        <v>0.2</v>
      </c>
      <c r="AE727">
        <v>103355.05930943599</v>
      </c>
    </row>
    <row r="728" spans="1:31" x14ac:dyDescent="0.3">
      <c r="A728" t="str">
        <f>IF(ISBLANK(B728),"",IF(ROUND(B728,0)=ROUND(G728,0),"Pass","Fail"))</f>
        <v>Pass</v>
      </c>
      <c r="B728">
        <f t="shared" si="69"/>
        <v>55.151229858398438</v>
      </c>
      <c r="C728">
        <v>0</v>
      </c>
      <c r="D728">
        <v>90</v>
      </c>
      <c r="E728">
        <v>40</v>
      </c>
      <c r="F728">
        <v>8</v>
      </c>
      <c r="G728">
        <v>55.151228080723001</v>
      </c>
      <c r="M728" t="str">
        <f t="shared" si="70"/>
        <v>Pass</v>
      </c>
      <c r="N728">
        <f t="shared" si="71"/>
        <v>196.26028442382813</v>
      </c>
      <c r="O728">
        <v>40</v>
      </c>
      <c r="P728">
        <v>0</v>
      </c>
      <c r="Q728">
        <v>0.5</v>
      </c>
      <c r="R728" t="b">
        <v>1</v>
      </c>
      <c r="S728">
        <v>196.26030216026399</v>
      </c>
      <c r="Y728" t="str">
        <f t="shared" si="72"/>
        <v>Pass</v>
      </c>
      <c r="Z728">
        <f t="shared" si="73"/>
        <v>106754.5859375</v>
      </c>
      <c r="AA728">
        <v>11000</v>
      </c>
      <c r="AB728">
        <v>20</v>
      </c>
      <c r="AC728">
        <v>14</v>
      </c>
      <c r="AD728">
        <v>0.2</v>
      </c>
      <c r="AE728">
        <v>106754.589548266</v>
      </c>
    </row>
    <row r="729" spans="1:31" x14ac:dyDescent="0.3">
      <c r="A729" t="str">
        <f>IF(ISBLANK(B729),"",IF(ROUND(B729,0)=ROUND(G729,0),"Pass","Fail"))</f>
        <v>Pass</v>
      </c>
      <c r="B729">
        <f t="shared" si="69"/>
        <v>38.3699951171875</v>
      </c>
      <c r="C729">
        <v>0</v>
      </c>
      <c r="D729">
        <v>90</v>
      </c>
      <c r="E729">
        <v>40</v>
      </c>
      <c r="F729">
        <v>16</v>
      </c>
      <c r="G729">
        <v>38.369997247101701</v>
      </c>
      <c r="M729" t="str">
        <f t="shared" si="70"/>
        <v>Pass</v>
      </c>
      <c r="N729">
        <f t="shared" si="71"/>
        <v>3974.114990234375</v>
      </c>
      <c r="O729">
        <v>40</v>
      </c>
      <c r="P729">
        <v>0</v>
      </c>
      <c r="Q729">
        <v>0.5</v>
      </c>
      <c r="R729" t="b">
        <v>0</v>
      </c>
      <c r="S729">
        <v>3974.1149613376501</v>
      </c>
      <c r="Y729" t="str">
        <f t="shared" si="72"/>
        <v>Pass</v>
      </c>
      <c r="Z729">
        <f t="shared" si="73"/>
        <v>109033.359375</v>
      </c>
      <c r="AA729">
        <v>11000</v>
      </c>
      <c r="AB729">
        <v>20</v>
      </c>
      <c r="AC729">
        <v>16</v>
      </c>
      <c r="AD729">
        <v>0.2</v>
      </c>
      <c r="AE729">
        <v>109033.362814459</v>
      </c>
    </row>
    <row r="730" spans="1:31" x14ac:dyDescent="0.3">
      <c r="A730" t="str">
        <f>IF(ISBLANK(B730),"",IF(ROUND(B730,0)=ROUND(G730,0),"Pass","Fail"))</f>
        <v>Pass</v>
      </c>
      <c r="B730">
        <f t="shared" si="69"/>
        <v>29.922576904296875</v>
      </c>
      <c r="C730">
        <v>0</v>
      </c>
      <c r="D730">
        <v>90</v>
      </c>
      <c r="E730">
        <v>40</v>
      </c>
      <c r="F730">
        <v>24</v>
      </c>
      <c r="G730">
        <v>29.9225774137362</v>
      </c>
      <c r="M730" t="str">
        <f t="shared" si="70"/>
        <v>Pass</v>
      </c>
      <c r="N730">
        <f t="shared" si="71"/>
        <v>229.70277404785156</v>
      </c>
      <c r="O730">
        <v>40</v>
      </c>
      <c r="P730">
        <v>0</v>
      </c>
      <c r="Q730">
        <v>1</v>
      </c>
      <c r="R730" t="b">
        <v>1</v>
      </c>
      <c r="S730">
        <v>229.702791023766</v>
      </c>
      <c r="Y730" t="str">
        <f t="shared" si="72"/>
        <v>Pass</v>
      </c>
      <c r="Z730">
        <f t="shared" si="73"/>
        <v>110560.875</v>
      </c>
      <c r="AA730">
        <v>11000</v>
      </c>
      <c r="AB730">
        <v>20</v>
      </c>
      <c r="AC730">
        <v>18</v>
      </c>
      <c r="AD730">
        <v>0.2</v>
      </c>
      <c r="AE730">
        <v>110560.870215157</v>
      </c>
    </row>
    <row r="731" spans="1:31" x14ac:dyDescent="0.3">
      <c r="A731" t="str">
        <f>IF(ISBLANK(B731),"",IF(ROUND(B731,0)=ROUND(G731,0),"Pass","Fail"))</f>
        <v>Pass</v>
      </c>
      <c r="B731">
        <f t="shared" si="69"/>
        <v>25.670272827148438</v>
      </c>
      <c r="C731">
        <v>0</v>
      </c>
      <c r="D731">
        <v>90</v>
      </c>
      <c r="E731">
        <v>40</v>
      </c>
      <c r="F731">
        <v>32</v>
      </c>
      <c r="G731">
        <v>25.670273005994598</v>
      </c>
      <c r="M731" t="str">
        <f t="shared" si="70"/>
        <v>Pass</v>
      </c>
      <c r="N731">
        <f t="shared" si="71"/>
        <v>4651.29931640625</v>
      </c>
      <c r="O731">
        <v>40</v>
      </c>
      <c r="P731">
        <v>0</v>
      </c>
      <c r="Q731">
        <v>1</v>
      </c>
      <c r="R731" t="b">
        <v>0</v>
      </c>
      <c r="S731">
        <v>4651.2987518134296</v>
      </c>
      <c r="Y731" t="str">
        <f t="shared" si="72"/>
        <v>Pass</v>
      </c>
      <c r="Z731">
        <f t="shared" si="73"/>
        <v>111584.796875</v>
      </c>
      <c r="AA731">
        <v>11000</v>
      </c>
      <c r="AB731">
        <v>20</v>
      </c>
      <c r="AC731">
        <v>20</v>
      </c>
      <c r="AD731">
        <v>0.2</v>
      </c>
      <c r="AE731">
        <v>111584.789046313</v>
      </c>
    </row>
    <row r="732" spans="1:31" x14ac:dyDescent="0.3">
      <c r="A732" t="str">
        <f>IF(ISBLANK(B732),"",IF(ROUND(B732,0)=ROUND(G732,0),"Pass","Fail"))</f>
        <v>Pass</v>
      </c>
      <c r="B732">
        <f t="shared" si="69"/>
        <v>23.529727935791016</v>
      </c>
      <c r="C732">
        <v>0</v>
      </c>
      <c r="D732">
        <v>90</v>
      </c>
      <c r="E732">
        <v>40</v>
      </c>
      <c r="F732">
        <v>40</v>
      </c>
      <c r="G732">
        <v>23.529726764327101</v>
      </c>
      <c r="M732" t="str">
        <f t="shared" si="70"/>
        <v>Pass</v>
      </c>
      <c r="N732">
        <f t="shared" si="71"/>
        <v>251.84825134277344</v>
      </c>
      <c r="O732">
        <v>40</v>
      </c>
      <c r="P732">
        <v>0</v>
      </c>
      <c r="Q732">
        <v>1.5</v>
      </c>
      <c r="R732" t="b">
        <v>1</v>
      </c>
      <c r="S732">
        <v>251.84827929234501</v>
      </c>
      <c r="Y732" t="str">
        <f t="shared" si="72"/>
        <v>Pass</v>
      </c>
      <c r="Z732">
        <f t="shared" si="73"/>
        <v>112271.1484375</v>
      </c>
      <c r="AA732">
        <v>11000</v>
      </c>
      <c r="AB732">
        <v>20</v>
      </c>
      <c r="AC732">
        <v>22</v>
      </c>
      <c r="AD732">
        <v>0.2</v>
      </c>
      <c r="AE732">
        <v>112271.14236435101</v>
      </c>
    </row>
    <row r="733" spans="1:31" x14ac:dyDescent="0.3">
      <c r="A733" t="str">
        <f>IF(ISBLANK(B733),"",IF(ROUND(B733,0)=ROUND(G733,0),"Pass","Fail"))</f>
        <v>Pass</v>
      </c>
      <c r="B733">
        <f t="shared" si="69"/>
        <v>22.45220947265625</v>
      </c>
      <c r="C733">
        <v>0</v>
      </c>
      <c r="D733">
        <v>90</v>
      </c>
      <c r="E733">
        <v>40</v>
      </c>
      <c r="F733">
        <v>48</v>
      </c>
      <c r="G733">
        <v>22.452207900819701</v>
      </c>
      <c r="M733" t="str">
        <f t="shared" si="70"/>
        <v>Pass</v>
      </c>
      <c r="N733">
        <f t="shared" si="71"/>
        <v>5099.72802734375</v>
      </c>
      <c r="O733">
        <v>40</v>
      </c>
      <c r="P733">
        <v>0</v>
      </c>
      <c r="Q733">
        <v>1.5</v>
      </c>
      <c r="R733" t="b">
        <v>0</v>
      </c>
      <c r="S733">
        <v>5099.7272688673702</v>
      </c>
      <c r="Y733" t="str">
        <f t="shared" si="72"/>
        <v>Pass</v>
      </c>
      <c r="Z733">
        <f t="shared" si="73"/>
        <v>112731.2265625</v>
      </c>
      <c r="AA733">
        <v>11000</v>
      </c>
      <c r="AB733">
        <v>20</v>
      </c>
      <c r="AC733">
        <v>24</v>
      </c>
      <c r="AD733">
        <v>0.2</v>
      </c>
      <c r="AE733">
        <v>112731.21875209401</v>
      </c>
    </row>
    <row r="734" spans="1:31" x14ac:dyDescent="0.3">
      <c r="A734" t="str">
        <f>IF(ISBLANK(B734),"",IF(ROUND(B734,0)=ROUND(G734,0),"Pass","Fail"))</f>
        <v>Pass</v>
      </c>
      <c r="B734">
        <f t="shared" si="69"/>
        <v>88.487998962402344</v>
      </c>
      <c r="C734">
        <v>0</v>
      </c>
      <c r="D734">
        <v>90</v>
      </c>
      <c r="E734">
        <v>50</v>
      </c>
      <c r="F734">
        <v>0</v>
      </c>
      <c r="G734">
        <v>88.488</v>
      </c>
      <c r="M734" t="str">
        <f t="shared" si="70"/>
        <v>Pass</v>
      </c>
      <c r="N734">
        <f t="shared" si="71"/>
        <v>268.84381103515625</v>
      </c>
      <c r="O734">
        <v>40</v>
      </c>
      <c r="P734">
        <v>0</v>
      </c>
      <c r="Q734">
        <v>2</v>
      </c>
      <c r="R734" t="b">
        <v>1</v>
      </c>
      <c r="S734">
        <v>268.843834557138</v>
      </c>
      <c r="Y734" t="str">
        <f t="shared" si="72"/>
        <v>Pass</v>
      </c>
      <c r="Z734">
        <f t="shared" si="73"/>
        <v>0</v>
      </c>
      <c r="AA734">
        <v>11200</v>
      </c>
      <c r="AB734">
        <v>20</v>
      </c>
      <c r="AC734">
        <v>0</v>
      </c>
      <c r="AD734">
        <v>0.2</v>
      </c>
      <c r="AE734">
        <v>0</v>
      </c>
    </row>
    <row r="735" spans="1:31" x14ac:dyDescent="0.3">
      <c r="A735" t="str">
        <f>IF(ISBLANK(B735),"",IF(ROUND(B735,0)=ROUND(G735,0),"Pass","Fail"))</f>
        <v>Pass</v>
      </c>
      <c r="B735">
        <f t="shared" si="69"/>
        <v>55.151229858398438</v>
      </c>
      <c r="C735">
        <v>0</v>
      </c>
      <c r="D735">
        <v>90</v>
      </c>
      <c r="E735">
        <v>50</v>
      </c>
      <c r="F735">
        <v>8</v>
      </c>
      <c r="G735">
        <v>55.151228080723001</v>
      </c>
      <c r="M735" t="str">
        <f t="shared" si="70"/>
        <v>Pass</v>
      </c>
      <c r="N735">
        <f t="shared" si="71"/>
        <v>5443.87353515625</v>
      </c>
      <c r="O735">
        <v>40</v>
      </c>
      <c r="P735">
        <v>0</v>
      </c>
      <c r="Q735">
        <v>2</v>
      </c>
      <c r="R735" t="b">
        <v>0</v>
      </c>
      <c r="S735">
        <v>5443.8737402148899</v>
      </c>
      <c r="Y735" t="str">
        <f t="shared" si="72"/>
        <v>Pass</v>
      </c>
      <c r="Z735">
        <f t="shared" si="73"/>
        <v>38154.95703125</v>
      </c>
      <c r="AA735">
        <v>11200</v>
      </c>
      <c r="AB735">
        <v>20</v>
      </c>
      <c r="AC735">
        <v>2</v>
      </c>
      <c r="AD735">
        <v>0.2</v>
      </c>
      <c r="AE735">
        <v>38154.960005475303</v>
      </c>
    </row>
    <row r="736" spans="1:31" x14ac:dyDescent="0.3">
      <c r="A736" t="str">
        <f>IF(ISBLANK(B736),"",IF(ROUND(B736,0)=ROUND(G736,0),"Pass","Fail"))</f>
        <v>Pass</v>
      </c>
      <c r="B736">
        <f t="shared" si="69"/>
        <v>38.3699951171875</v>
      </c>
      <c r="C736">
        <v>0</v>
      </c>
      <c r="D736">
        <v>90</v>
      </c>
      <c r="E736">
        <v>50</v>
      </c>
      <c r="F736">
        <v>16</v>
      </c>
      <c r="G736">
        <v>38.369997247101701</v>
      </c>
      <c r="M736" t="str">
        <f t="shared" si="70"/>
        <v>Pass</v>
      </c>
      <c r="N736">
        <f t="shared" si="71"/>
        <v>282.8125</v>
      </c>
      <c r="O736">
        <v>40</v>
      </c>
      <c r="P736">
        <v>0</v>
      </c>
      <c r="Q736">
        <v>2.5</v>
      </c>
      <c r="R736" t="b">
        <v>1</v>
      </c>
      <c r="S736">
        <v>282.81253467200702</v>
      </c>
      <c r="Y736" t="str">
        <f t="shared" si="72"/>
        <v>Pass</v>
      </c>
      <c r="Z736">
        <f t="shared" si="73"/>
        <v>63730.99609375</v>
      </c>
      <c r="AA736">
        <v>11200</v>
      </c>
      <c r="AB736">
        <v>20</v>
      </c>
      <c r="AC736">
        <v>4</v>
      </c>
      <c r="AD736">
        <v>0.2</v>
      </c>
      <c r="AE736">
        <v>63730.994552833501</v>
      </c>
    </row>
    <row r="737" spans="1:31" x14ac:dyDescent="0.3">
      <c r="A737" t="str">
        <f>IF(ISBLANK(B737),"",IF(ROUND(B737,0)=ROUND(G737,0),"Pass","Fail"))</f>
        <v>Pass</v>
      </c>
      <c r="B737">
        <f t="shared" si="69"/>
        <v>29.922576904296875</v>
      </c>
      <c r="C737">
        <v>0</v>
      </c>
      <c r="D737">
        <v>90</v>
      </c>
      <c r="E737">
        <v>50</v>
      </c>
      <c r="F737">
        <v>24</v>
      </c>
      <c r="G737">
        <v>29.9225774137362</v>
      </c>
      <c r="M737" t="str">
        <f t="shared" si="70"/>
        <v>Pass</v>
      </c>
      <c r="N737">
        <f t="shared" si="71"/>
        <v>5726.72900390625</v>
      </c>
      <c r="O737">
        <v>40</v>
      </c>
      <c r="P737">
        <v>0</v>
      </c>
      <c r="Q737">
        <v>2.5</v>
      </c>
      <c r="R737" t="b">
        <v>0</v>
      </c>
      <c r="S737">
        <v>5726.7288031384796</v>
      </c>
      <c r="Y737" t="str">
        <f t="shared" si="72"/>
        <v>Pass</v>
      </c>
      <c r="Z737">
        <f t="shared" si="73"/>
        <v>80875.125</v>
      </c>
      <c r="AA737">
        <v>11200</v>
      </c>
      <c r="AB737">
        <v>20</v>
      </c>
      <c r="AC737">
        <v>6</v>
      </c>
      <c r="AD737">
        <v>0.2</v>
      </c>
      <c r="AE737">
        <v>80875.123208027799</v>
      </c>
    </row>
    <row r="738" spans="1:31" x14ac:dyDescent="0.3">
      <c r="A738" t="str">
        <f>IF(ISBLANK(B738),"",IF(ROUND(B738,0)=ROUND(G738,0),"Pass","Fail"))</f>
        <v>Pass</v>
      </c>
      <c r="B738">
        <f t="shared" si="69"/>
        <v>25.670272827148438</v>
      </c>
      <c r="C738">
        <v>0</v>
      </c>
      <c r="D738">
        <v>90</v>
      </c>
      <c r="E738">
        <v>50</v>
      </c>
      <c r="F738">
        <v>32</v>
      </c>
      <c r="G738">
        <v>25.670273005994598</v>
      </c>
      <c r="M738" t="str">
        <f t="shared" si="70"/>
        <v>Pass</v>
      </c>
      <c r="N738">
        <f t="shared" si="71"/>
        <v>294.76287841796875</v>
      </c>
      <c r="O738">
        <v>40</v>
      </c>
      <c r="P738">
        <v>0</v>
      </c>
      <c r="Q738">
        <v>3</v>
      </c>
      <c r="R738" t="b">
        <v>1</v>
      </c>
      <c r="S738">
        <v>294.762883941474</v>
      </c>
      <c r="Y738" t="str">
        <f t="shared" si="72"/>
        <v>Pass</v>
      </c>
      <c r="Z738">
        <f t="shared" si="73"/>
        <v>92367.171875</v>
      </c>
      <c r="AA738">
        <v>11200</v>
      </c>
      <c r="AB738">
        <v>20</v>
      </c>
      <c r="AC738">
        <v>8</v>
      </c>
      <c r="AD738">
        <v>0.2</v>
      </c>
      <c r="AE738">
        <v>92367.176317418503</v>
      </c>
    </row>
    <row r="739" spans="1:31" x14ac:dyDescent="0.3">
      <c r="A739" t="str">
        <f>IF(ISBLANK(B739),"",IF(ROUND(B739,0)=ROUND(G739,0),"Pass","Fail"))</f>
        <v>Pass</v>
      </c>
      <c r="B739">
        <f t="shared" si="69"/>
        <v>23.529727935791016</v>
      </c>
      <c r="C739">
        <v>0</v>
      </c>
      <c r="D739">
        <v>90</v>
      </c>
      <c r="E739">
        <v>50</v>
      </c>
      <c r="F739">
        <v>40</v>
      </c>
      <c r="G739">
        <v>23.529726764327101</v>
      </c>
      <c r="M739" t="str">
        <f t="shared" si="70"/>
        <v>Pass</v>
      </c>
      <c r="N739">
        <f t="shared" si="71"/>
        <v>5968.7138671875</v>
      </c>
      <c r="O739">
        <v>40</v>
      </c>
      <c r="P739">
        <v>0</v>
      </c>
      <c r="Q739">
        <v>3</v>
      </c>
      <c r="R739" t="b">
        <v>0</v>
      </c>
      <c r="S739">
        <v>5968.7138673732998</v>
      </c>
      <c r="Y739" t="str">
        <f t="shared" si="72"/>
        <v>Pass</v>
      </c>
      <c r="Z739">
        <f t="shared" si="73"/>
        <v>100070.5390625</v>
      </c>
      <c r="AA739">
        <v>11200</v>
      </c>
      <c r="AB739">
        <v>20</v>
      </c>
      <c r="AC739">
        <v>10</v>
      </c>
      <c r="AD739">
        <v>0.2</v>
      </c>
      <c r="AE739">
        <v>100070.52988674901</v>
      </c>
    </row>
    <row r="740" spans="1:31" x14ac:dyDescent="0.3">
      <c r="A740" t="str">
        <f>IF(ISBLANK(B740),"",IF(ROUND(B740,0)=ROUND(G740,0),"Pass","Fail"))</f>
        <v>Pass</v>
      </c>
      <c r="B740">
        <f t="shared" si="69"/>
        <v>22.45220947265625</v>
      </c>
      <c r="C740">
        <v>0</v>
      </c>
      <c r="D740">
        <v>90</v>
      </c>
      <c r="E740">
        <v>50</v>
      </c>
      <c r="F740">
        <v>48</v>
      </c>
      <c r="G740">
        <v>22.452207900819701</v>
      </c>
      <c r="M740" t="str">
        <f t="shared" si="70"/>
        <v>Pass</v>
      </c>
      <c r="N740">
        <f t="shared" si="71"/>
        <v>305.25985717773438</v>
      </c>
      <c r="O740">
        <v>40</v>
      </c>
      <c r="P740">
        <v>0</v>
      </c>
      <c r="Q740">
        <v>3.5</v>
      </c>
      <c r="R740" t="b">
        <v>1</v>
      </c>
      <c r="S740">
        <v>305.25987231508901</v>
      </c>
      <c r="Y740" t="str">
        <f t="shared" si="72"/>
        <v>Pass</v>
      </c>
      <c r="Z740">
        <f t="shared" si="73"/>
        <v>105234.2421875</v>
      </c>
      <c r="AA740">
        <v>11200</v>
      </c>
      <c r="AB740">
        <v>20</v>
      </c>
      <c r="AC740">
        <v>12</v>
      </c>
      <c r="AD740">
        <v>0.2</v>
      </c>
      <c r="AE740">
        <v>105234.242205972</v>
      </c>
    </row>
    <row r="741" spans="1:31" x14ac:dyDescent="0.3">
      <c r="A741" t="str">
        <f>IF(ISBLANK(B741),"",IF(ROUND(B741,0)=ROUND(G741,0),"Pass","Fail"))</f>
        <v>Pass</v>
      </c>
      <c r="B741">
        <f t="shared" si="69"/>
        <v>88.487998962402344</v>
      </c>
      <c r="C741">
        <v>0</v>
      </c>
      <c r="D741">
        <v>90</v>
      </c>
      <c r="E741">
        <v>60</v>
      </c>
      <c r="F741">
        <v>0</v>
      </c>
      <c r="G741">
        <v>88.488</v>
      </c>
      <c r="M741" t="str">
        <f t="shared" si="70"/>
        <v>Pass</v>
      </c>
      <c r="N741">
        <f t="shared" si="71"/>
        <v>6181.27001953125</v>
      </c>
      <c r="O741">
        <v>40</v>
      </c>
      <c r="P741">
        <v>0</v>
      </c>
      <c r="Q741">
        <v>3.5</v>
      </c>
      <c r="R741" t="b">
        <v>0</v>
      </c>
      <c r="S741">
        <v>6181.2695298551998</v>
      </c>
      <c r="Y741" t="str">
        <f t="shared" si="72"/>
        <v>Pass</v>
      </c>
      <c r="Z741">
        <f t="shared" si="73"/>
        <v>108695.578125</v>
      </c>
      <c r="AA741">
        <v>11200</v>
      </c>
      <c r="AB741">
        <v>20</v>
      </c>
      <c r="AC741">
        <v>14</v>
      </c>
      <c r="AD741">
        <v>0.2</v>
      </c>
      <c r="AE741">
        <v>108695.58208550799</v>
      </c>
    </row>
    <row r="742" spans="1:31" x14ac:dyDescent="0.3">
      <c r="A742" t="str">
        <f>IF(ISBLANK(B742),"",IF(ROUND(B742,0)=ROUND(G742,0),"Pass","Fail"))</f>
        <v>Pass</v>
      </c>
      <c r="B742">
        <f t="shared" si="69"/>
        <v>55.151229858398438</v>
      </c>
      <c r="C742">
        <v>0</v>
      </c>
      <c r="D742">
        <v>90</v>
      </c>
      <c r="E742">
        <v>60</v>
      </c>
      <c r="F742">
        <v>8</v>
      </c>
      <c r="G742">
        <v>55.151228080723001</v>
      </c>
      <c r="M742" t="str">
        <f t="shared" si="70"/>
        <v>Pass</v>
      </c>
      <c r="N742">
        <f t="shared" si="71"/>
        <v>314.6544189453125</v>
      </c>
      <c r="O742">
        <v>40</v>
      </c>
      <c r="P742">
        <v>0</v>
      </c>
      <c r="Q742">
        <v>4</v>
      </c>
      <c r="R742" t="b">
        <v>1</v>
      </c>
      <c r="S742">
        <v>314.65445873449301</v>
      </c>
      <c r="Y742" t="str">
        <f t="shared" si="72"/>
        <v>Pass</v>
      </c>
      <c r="Z742">
        <f t="shared" si="73"/>
        <v>111015.78125</v>
      </c>
      <c r="AA742">
        <v>11200</v>
      </c>
      <c r="AB742">
        <v>20</v>
      </c>
      <c r="AC742">
        <v>16</v>
      </c>
      <c r="AD742">
        <v>0.2</v>
      </c>
      <c r="AE742">
        <v>111015.787592903</v>
      </c>
    </row>
    <row r="743" spans="1:31" x14ac:dyDescent="0.3">
      <c r="A743" t="str">
        <f>IF(ISBLANK(B743),"",IF(ROUND(B743,0)=ROUND(G743,0),"Pass","Fail"))</f>
        <v>Pass</v>
      </c>
      <c r="B743">
        <f t="shared" si="69"/>
        <v>38.3699951171875</v>
      </c>
      <c r="C743">
        <v>0</v>
      </c>
      <c r="D743">
        <v>90</v>
      </c>
      <c r="E743">
        <v>60</v>
      </c>
      <c r="F743">
        <v>16</v>
      </c>
      <c r="G743">
        <v>38.369997247101701</v>
      </c>
      <c r="M743" t="str">
        <f t="shared" si="70"/>
        <v>Pass</v>
      </c>
      <c r="N743">
        <f t="shared" si="71"/>
        <v>6371.501953125</v>
      </c>
      <c r="O743">
        <v>40</v>
      </c>
      <c r="P743">
        <v>0</v>
      </c>
      <c r="Q743">
        <v>4</v>
      </c>
      <c r="R743" t="b">
        <v>0</v>
      </c>
      <c r="S743">
        <v>6371.5024299067099</v>
      </c>
      <c r="Y743" t="str">
        <f t="shared" si="72"/>
        <v>Pass</v>
      </c>
      <c r="Z743">
        <f t="shared" si="73"/>
        <v>112571.0703125</v>
      </c>
      <c r="AA743">
        <v>11200</v>
      </c>
      <c r="AB743">
        <v>20</v>
      </c>
      <c r="AC743">
        <v>18</v>
      </c>
      <c r="AD743">
        <v>0.2</v>
      </c>
      <c r="AE743">
        <v>112571.06785543299</v>
      </c>
    </row>
    <row r="744" spans="1:31" x14ac:dyDescent="0.3">
      <c r="A744" t="str">
        <f>IF(ISBLANK(B744),"",IF(ROUND(B744,0)=ROUND(G744,0),"Pass","Fail"))</f>
        <v>Pass</v>
      </c>
      <c r="B744">
        <f t="shared" si="69"/>
        <v>29.922576904296875</v>
      </c>
      <c r="C744">
        <v>0</v>
      </c>
      <c r="D744">
        <v>90</v>
      </c>
      <c r="E744">
        <v>60</v>
      </c>
      <c r="F744">
        <v>24</v>
      </c>
      <c r="G744">
        <v>29.9225774137362</v>
      </c>
      <c r="M744" t="str">
        <f t="shared" si="70"/>
        <v>Pass</v>
      </c>
      <c r="N744">
        <f t="shared" si="71"/>
        <v>0</v>
      </c>
      <c r="O744">
        <v>40</v>
      </c>
      <c r="P744">
        <v>10</v>
      </c>
      <c r="Q744">
        <v>0</v>
      </c>
      <c r="R744" t="b">
        <v>1</v>
      </c>
      <c r="S744">
        <v>0</v>
      </c>
      <c r="Y744" t="str">
        <f t="shared" si="72"/>
        <v>Pass</v>
      </c>
      <c r="Z744">
        <f t="shared" si="73"/>
        <v>113613.609375</v>
      </c>
      <c r="AA744">
        <v>11200</v>
      </c>
      <c r="AB744">
        <v>20</v>
      </c>
      <c r="AC744">
        <v>20</v>
      </c>
      <c r="AD744">
        <v>0.2</v>
      </c>
      <c r="AE744">
        <v>113613.60339261001</v>
      </c>
    </row>
    <row r="745" spans="1:31" x14ac:dyDescent="0.3">
      <c r="A745" t="str">
        <f>IF(ISBLANK(B745),"",IF(ROUND(B745,0)=ROUND(G745,0),"Pass","Fail"))</f>
        <v>Pass</v>
      </c>
      <c r="B745">
        <f t="shared" si="69"/>
        <v>25.670272827148438</v>
      </c>
      <c r="C745">
        <v>0</v>
      </c>
      <c r="D745">
        <v>90</v>
      </c>
      <c r="E745">
        <v>60</v>
      </c>
      <c r="F745">
        <v>32</v>
      </c>
      <c r="G745">
        <v>25.670273005994598</v>
      </c>
      <c r="M745" t="str">
        <f t="shared" si="70"/>
        <v>Pass</v>
      </c>
      <c r="N745">
        <f t="shared" si="71"/>
        <v>0</v>
      </c>
      <c r="O745">
        <v>40</v>
      </c>
      <c r="P745">
        <v>10</v>
      </c>
      <c r="Q745">
        <v>0</v>
      </c>
      <c r="R745" t="b">
        <v>0</v>
      </c>
      <c r="S745">
        <v>0</v>
      </c>
      <c r="Y745" t="str">
        <f t="shared" si="72"/>
        <v>Pass</v>
      </c>
      <c r="Z745">
        <f t="shared" si="73"/>
        <v>114312.4453125</v>
      </c>
      <c r="AA745">
        <v>11200</v>
      </c>
      <c r="AB745">
        <v>20</v>
      </c>
      <c r="AC745">
        <v>22</v>
      </c>
      <c r="AD745">
        <v>0.2</v>
      </c>
      <c r="AE745">
        <v>114312.43586188401</v>
      </c>
    </row>
    <row r="746" spans="1:31" x14ac:dyDescent="0.3">
      <c r="A746" t="str">
        <f>IF(ISBLANK(B746),"",IF(ROUND(B746,0)=ROUND(G746,0),"Pass","Fail"))</f>
        <v>Pass</v>
      </c>
      <c r="B746">
        <f t="shared" si="69"/>
        <v>23.529727935791016</v>
      </c>
      <c r="C746">
        <v>0</v>
      </c>
      <c r="D746">
        <v>90</v>
      </c>
      <c r="E746">
        <v>60</v>
      </c>
      <c r="F746">
        <v>40</v>
      </c>
      <c r="G746">
        <v>23.529726764327101</v>
      </c>
      <c r="M746" t="str">
        <f t="shared" si="70"/>
        <v>Pass</v>
      </c>
      <c r="N746">
        <f t="shared" si="71"/>
        <v>86.430198669433594</v>
      </c>
      <c r="O746">
        <v>40</v>
      </c>
      <c r="P746">
        <v>10</v>
      </c>
      <c r="Q746">
        <v>0.5</v>
      </c>
      <c r="R746" t="b">
        <v>1</v>
      </c>
      <c r="S746">
        <v>86.430208641821906</v>
      </c>
      <c r="Y746" t="str">
        <f t="shared" si="72"/>
        <v>Pass</v>
      </c>
      <c r="Z746">
        <f t="shared" si="73"/>
        <v>114780.8828125</v>
      </c>
      <c r="AA746">
        <v>11200</v>
      </c>
      <c r="AB746">
        <v>20</v>
      </c>
      <c r="AC746">
        <v>24</v>
      </c>
      <c r="AD746">
        <v>0.2</v>
      </c>
      <c r="AE746">
        <v>114780.87727486</v>
      </c>
    </row>
    <row r="747" spans="1:31" x14ac:dyDescent="0.3">
      <c r="A747" t="str">
        <f>IF(ISBLANK(B747),"",IF(ROUND(B747,0)=ROUND(G747,0),"Pass","Fail"))</f>
        <v>Pass</v>
      </c>
      <c r="B747">
        <f t="shared" si="69"/>
        <v>22.45220947265625</v>
      </c>
      <c r="C747">
        <v>0</v>
      </c>
      <c r="D747">
        <v>90</v>
      </c>
      <c r="E747">
        <v>60</v>
      </c>
      <c r="F747">
        <v>48</v>
      </c>
      <c r="G747">
        <v>22.452207900819701</v>
      </c>
      <c r="M747" t="str">
        <f t="shared" si="70"/>
        <v>Pass</v>
      </c>
      <c r="N747">
        <f t="shared" si="71"/>
        <v>1750.14306640625</v>
      </c>
      <c r="O747">
        <v>40</v>
      </c>
      <c r="P747">
        <v>10</v>
      </c>
      <c r="Q747">
        <v>0.5</v>
      </c>
      <c r="R747" t="b">
        <v>0</v>
      </c>
      <c r="S747">
        <v>1750.1429555250199</v>
      </c>
      <c r="Y747" t="str">
        <f t="shared" si="72"/>
        <v>Pass</v>
      </c>
      <c r="Z747">
        <f t="shared" si="73"/>
        <v>0</v>
      </c>
      <c r="AA747">
        <v>11400</v>
      </c>
      <c r="AB747">
        <v>20</v>
      </c>
      <c r="AC747">
        <v>0</v>
      </c>
      <c r="AD747">
        <v>0.2</v>
      </c>
      <c r="AE747">
        <v>0</v>
      </c>
    </row>
    <row r="748" spans="1:31" x14ac:dyDescent="0.3">
      <c r="A748" t="str">
        <f>IF(ISBLANK(B748),"",IF(ROUND(B748,0)=ROUND(G748,0),"Pass","Fail"))</f>
        <v>Pass</v>
      </c>
      <c r="B748">
        <f t="shared" si="69"/>
        <v>88.487998962402344</v>
      </c>
      <c r="C748">
        <v>0</v>
      </c>
      <c r="D748">
        <v>90</v>
      </c>
      <c r="E748">
        <v>70</v>
      </c>
      <c r="F748">
        <v>0</v>
      </c>
      <c r="G748">
        <v>88.488</v>
      </c>
      <c r="M748" t="str">
        <f t="shared" si="70"/>
        <v>Pass</v>
      </c>
      <c r="N748">
        <f t="shared" si="71"/>
        <v>101.15779113769531</v>
      </c>
      <c r="O748">
        <v>40</v>
      </c>
      <c r="P748">
        <v>10</v>
      </c>
      <c r="Q748">
        <v>1</v>
      </c>
      <c r="R748" t="b">
        <v>1</v>
      </c>
      <c r="S748">
        <v>101.157798776753</v>
      </c>
      <c r="Y748" t="str">
        <f t="shared" si="72"/>
        <v>Pass</v>
      </c>
      <c r="Z748">
        <f t="shared" si="73"/>
        <v>38836.296875</v>
      </c>
      <c r="AA748">
        <v>11400</v>
      </c>
      <c r="AB748">
        <v>20</v>
      </c>
      <c r="AC748">
        <v>2</v>
      </c>
      <c r="AD748">
        <v>0.2</v>
      </c>
      <c r="AE748">
        <v>38836.298577001602</v>
      </c>
    </row>
    <row r="749" spans="1:31" x14ac:dyDescent="0.3">
      <c r="A749" t="str">
        <f>IF(ISBLANK(B749),"",IF(ROUND(B749,0)=ROUND(G749,0),"Pass","Fail"))</f>
        <v>Pass</v>
      </c>
      <c r="B749">
        <f t="shared" si="69"/>
        <v>55.151229858398438</v>
      </c>
      <c r="C749">
        <v>0</v>
      </c>
      <c r="D749">
        <v>90</v>
      </c>
      <c r="E749">
        <v>70</v>
      </c>
      <c r="F749">
        <v>8</v>
      </c>
      <c r="G749">
        <v>55.151228080723001</v>
      </c>
      <c r="M749" t="str">
        <f t="shared" si="70"/>
        <v>Pass</v>
      </c>
      <c r="N749">
        <f t="shared" si="71"/>
        <v>2048.364990234375</v>
      </c>
      <c r="O749">
        <v>40</v>
      </c>
      <c r="P749">
        <v>10</v>
      </c>
      <c r="Q749">
        <v>1</v>
      </c>
      <c r="R749" t="b">
        <v>0</v>
      </c>
      <c r="S749">
        <v>2048.3649375328</v>
      </c>
      <c r="Y749" t="str">
        <f t="shared" si="72"/>
        <v>Pass</v>
      </c>
      <c r="Z749">
        <f t="shared" si="73"/>
        <v>64869.05078125</v>
      </c>
      <c r="AA749">
        <v>11400</v>
      </c>
      <c r="AB749">
        <v>20</v>
      </c>
      <c r="AC749">
        <v>4</v>
      </c>
      <c r="AD749">
        <v>0.2</v>
      </c>
      <c r="AE749">
        <v>64869.0480269912</v>
      </c>
    </row>
    <row r="750" spans="1:31" x14ac:dyDescent="0.3">
      <c r="A750" t="str">
        <f>IF(ISBLANK(B750),"",IF(ROUND(B750,0)=ROUND(G750,0),"Pass","Fail"))</f>
        <v>Pass</v>
      </c>
      <c r="B750">
        <f t="shared" si="69"/>
        <v>38.3699951171875</v>
      </c>
      <c r="C750">
        <v>0</v>
      </c>
      <c r="D750">
        <v>90</v>
      </c>
      <c r="E750">
        <v>70</v>
      </c>
      <c r="F750">
        <v>16</v>
      </c>
      <c r="G750">
        <v>38.369997247101701</v>
      </c>
      <c r="M750" t="str">
        <f t="shared" si="70"/>
        <v>Pass</v>
      </c>
      <c r="N750">
        <f t="shared" si="71"/>
        <v>110.91034698486328</v>
      </c>
      <c r="O750">
        <v>40</v>
      </c>
      <c r="P750">
        <v>10</v>
      </c>
      <c r="Q750">
        <v>1.5</v>
      </c>
      <c r="R750" t="b">
        <v>1</v>
      </c>
      <c r="S750">
        <v>110.910352657799</v>
      </c>
      <c r="Y750" t="str">
        <f t="shared" si="72"/>
        <v>Pass</v>
      </c>
      <c r="Z750">
        <f t="shared" si="73"/>
        <v>82319.328125</v>
      </c>
      <c r="AA750">
        <v>11400</v>
      </c>
      <c r="AB750">
        <v>20</v>
      </c>
      <c r="AC750">
        <v>6</v>
      </c>
      <c r="AD750">
        <v>0.2</v>
      </c>
      <c r="AE750">
        <v>82319.321836742602</v>
      </c>
    </row>
    <row r="751" spans="1:31" x14ac:dyDescent="0.3">
      <c r="A751" t="str">
        <f>IF(ISBLANK(B751),"",IF(ROUND(B751,0)=ROUND(G751,0),"Pass","Fail"))</f>
        <v>Pass</v>
      </c>
      <c r="B751">
        <f t="shared" si="69"/>
        <v>29.922576904296875</v>
      </c>
      <c r="C751">
        <v>0</v>
      </c>
      <c r="D751">
        <v>90</v>
      </c>
      <c r="E751">
        <v>70</v>
      </c>
      <c r="F751">
        <v>24</v>
      </c>
      <c r="G751">
        <v>29.9225774137362</v>
      </c>
      <c r="M751" t="str">
        <f t="shared" si="70"/>
        <v>Pass</v>
      </c>
      <c r="N751">
        <f t="shared" si="71"/>
        <v>2245.846435546875</v>
      </c>
      <c r="O751">
        <v>40</v>
      </c>
      <c r="P751">
        <v>10</v>
      </c>
      <c r="Q751">
        <v>1.5</v>
      </c>
      <c r="R751" t="b">
        <v>0</v>
      </c>
      <c r="S751">
        <v>2245.84639386046</v>
      </c>
      <c r="Y751" t="str">
        <f t="shared" si="72"/>
        <v>Pass</v>
      </c>
      <c r="Z751">
        <f t="shared" si="73"/>
        <v>94016.5859375</v>
      </c>
      <c r="AA751">
        <v>11400</v>
      </c>
      <c r="AB751">
        <v>20</v>
      </c>
      <c r="AC751">
        <v>8</v>
      </c>
      <c r="AD751">
        <v>0.2</v>
      </c>
      <c r="AE751">
        <v>94016.590180229599</v>
      </c>
    </row>
    <row r="752" spans="1:31" x14ac:dyDescent="0.3">
      <c r="A752" t="str">
        <f>IF(ISBLANK(B752),"",IF(ROUND(B752,0)=ROUND(G752,0),"Pass","Fail"))</f>
        <v>Pass</v>
      </c>
      <c r="B752">
        <f t="shared" si="69"/>
        <v>25.670272827148438</v>
      </c>
      <c r="C752">
        <v>0</v>
      </c>
      <c r="D752">
        <v>90</v>
      </c>
      <c r="E752">
        <v>70</v>
      </c>
      <c r="F752">
        <v>32</v>
      </c>
      <c r="G752">
        <v>25.670273005994598</v>
      </c>
      <c r="M752" t="str">
        <f t="shared" si="70"/>
        <v>Pass</v>
      </c>
      <c r="N752">
        <f t="shared" si="71"/>
        <v>118.39494323730469</v>
      </c>
      <c r="O752">
        <v>40</v>
      </c>
      <c r="P752">
        <v>10</v>
      </c>
      <c r="Q752">
        <v>2</v>
      </c>
      <c r="R752" t="b">
        <v>1</v>
      </c>
      <c r="S752">
        <v>118.394950262872</v>
      </c>
      <c r="Y752" t="str">
        <f t="shared" si="72"/>
        <v>Pass</v>
      </c>
      <c r="Z752">
        <f t="shared" si="73"/>
        <v>101857.5078125</v>
      </c>
      <c r="AA752">
        <v>11400</v>
      </c>
      <c r="AB752">
        <v>20</v>
      </c>
      <c r="AC752">
        <v>10</v>
      </c>
      <c r="AD752">
        <v>0.2</v>
      </c>
      <c r="AE752">
        <v>101857.50363472701</v>
      </c>
    </row>
    <row r="753" spans="1:31" x14ac:dyDescent="0.3">
      <c r="A753" t="str">
        <f>IF(ISBLANK(B753),"",IF(ROUND(B753,0)=ROUND(G753,0),"Pass","Fail"))</f>
        <v>Pass</v>
      </c>
      <c r="B753">
        <f t="shared" si="69"/>
        <v>23.529727935791016</v>
      </c>
      <c r="C753">
        <v>0</v>
      </c>
      <c r="D753">
        <v>90</v>
      </c>
      <c r="E753">
        <v>70</v>
      </c>
      <c r="F753">
        <v>40</v>
      </c>
      <c r="G753">
        <v>23.529726764327101</v>
      </c>
      <c r="M753" t="str">
        <f t="shared" si="70"/>
        <v>Pass</v>
      </c>
      <c r="N753">
        <f t="shared" si="71"/>
        <v>2397.403564453125</v>
      </c>
      <c r="O753">
        <v>40</v>
      </c>
      <c r="P753">
        <v>10</v>
      </c>
      <c r="Q753">
        <v>2</v>
      </c>
      <c r="R753" t="b">
        <v>0</v>
      </c>
      <c r="S753">
        <v>2397.40354013258</v>
      </c>
      <c r="Y753" t="str">
        <f t="shared" si="72"/>
        <v>Pass</v>
      </c>
      <c r="Z753">
        <f t="shared" si="73"/>
        <v>107113.4296875</v>
      </c>
      <c r="AA753">
        <v>11400</v>
      </c>
      <c r="AB753">
        <v>20</v>
      </c>
      <c r="AC753">
        <v>12</v>
      </c>
      <c r="AD753">
        <v>0.2</v>
      </c>
      <c r="AE753">
        <v>107113.425102507</v>
      </c>
    </row>
    <row r="754" spans="1:31" x14ac:dyDescent="0.3">
      <c r="A754" t="str">
        <f>IF(ISBLANK(B754),"",IF(ROUND(B754,0)=ROUND(G754,0),"Pass","Fail"))</f>
        <v>Pass</v>
      </c>
      <c r="B754">
        <f t="shared" si="69"/>
        <v>22.45220947265625</v>
      </c>
      <c r="C754">
        <v>0</v>
      </c>
      <c r="D754">
        <v>90</v>
      </c>
      <c r="E754">
        <v>70</v>
      </c>
      <c r="F754">
        <v>48</v>
      </c>
      <c r="G754">
        <v>22.452207900819701</v>
      </c>
      <c r="M754" t="str">
        <f t="shared" si="70"/>
        <v>Pass</v>
      </c>
      <c r="N754">
        <f t="shared" si="71"/>
        <v>124.54655456542969</v>
      </c>
      <c r="O754">
        <v>40</v>
      </c>
      <c r="P754">
        <v>10</v>
      </c>
      <c r="Q754">
        <v>2.5</v>
      </c>
      <c r="R754" t="b">
        <v>1</v>
      </c>
      <c r="S754">
        <v>124.54656448181601</v>
      </c>
      <c r="Y754" t="str">
        <f t="shared" si="72"/>
        <v>Pass</v>
      </c>
      <c r="Z754">
        <f t="shared" si="73"/>
        <v>110636.5703125</v>
      </c>
      <c r="AA754">
        <v>11400</v>
      </c>
      <c r="AB754">
        <v>20</v>
      </c>
      <c r="AC754">
        <v>14</v>
      </c>
      <c r="AD754">
        <v>0.2</v>
      </c>
      <c r="AE754">
        <v>110636.574622749</v>
      </c>
    </row>
    <row r="755" spans="1:31" x14ac:dyDescent="0.3">
      <c r="A755" t="str">
        <f>IF(ISBLANK(B755),"",IF(ROUND(B755,0)=ROUND(G755,0),"Pass","Fail"))</f>
        <v>Pass</v>
      </c>
      <c r="B755">
        <f t="shared" si="69"/>
        <v>88.487998962402344</v>
      </c>
      <c r="C755">
        <v>0</v>
      </c>
      <c r="D755">
        <v>90</v>
      </c>
      <c r="E755">
        <v>80</v>
      </c>
      <c r="F755">
        <v>0</v>
      </c>
      <c r="G755">
        <v>88.488</v>
      </c>
      <c r="M755" t="str">
        <f t="shared" si="70"/>
        <v>Pass</v>
      </c>
      <c r="N755">
        <f t="shared" si="71"/>
        <v>2521.968994140625</v>
      </c>
      <c r="O755">
        <v>40</v>
      </c>
      <c r="P755">
        <v>10</v>
      </c>
      <c r="Q755">
        <v>2.5</v>
      </c>
      <c r="R755" t="b">
        <v>0</v>
      </c>
      <c r="S755">
        <v>2521.96883344349</v>
      </c>
      <c r="Y755" t="str">
        <f t="shared" si="72"/>
        <v>Pass</v>
      </c>
      <c r="Z755">
        <f t="shared" si="73"/>
        <v>112998.2109375</v>
      </c>
      <c r="AA755">
        <v>11400</v>
      </c>
      <c r="AB755">
        <v>20</v>
      </c>
      <c r="AC755">
        <v>16</v>
      </c>
      <c r="AD755">
        <v>0.2</v>
      </c>
      <c r="AE755">
        <v>112998.212371348</v>
      </c>
    </row>
    <row r="756" spans="1:31" x14ac:dyDescent="0.3">
      <c r="A756" t="str">
        <f>IF(ISBLANK(B756),"",IF(ROUND(B756,0)=ROUND(G756,0),"Pass","Fail"))</f>
        <v>Pass</v>
      </c>
      <c r="B756">
        <f t="shared" si="69"/>
        <v>55.151229858398438</v>
      </c>
      <c r="C756">
        <v>0</v>
      </c>
      <c r="D756">
        <v>90</v>
      </c>
      <c r="E756">
        <v>80</v>
      </c>
      <c r="F756">
        <v>8</v>
      </c>
      <c r="G756">
        <v>55.151228080723001</v>
      </c>
      <c r="M756" t="str">
        <f t="shared" si="70"/>
        <v>Pass</v>
      </c>
      <c r="N756">
        <f t="shared" si="71"/>
        <v>129.80931091308594</v>
      </c>
      <c r="O756">
        <v>40</v>
      </c>
      <c r="P756">
        <v>10</v>
      </c>
      <c r="Q756">
        <v>3</v>
      </c>
      <c r="R756" t="b">
        <v>1</v>
      </c>
      <c r="S756">
        <v>129.809326076156</v>
      </c>
      <c r="Y756" t="str">
        <f t="shared" si="72"/>
        <v>Pass</v>
      </c>
      <c r="Z756">
        <f t="shared" si="73"/>
        <v>114581.265625</v>
      </c>
      <c r="AA756">
        <v>11400</v>
      </c>
      <c r="AB756">
        <v>20</v>
      </c>
      <c r="AC756">
        <v>18</v>
      </c>
      <c r="AD756">
        <v>0.2</v>
      </c>
      <c r="AE756">
        <v>114581.26549570799</v>
      </c>
    </row>
    <row r="757" spans="1:31" x14ac:dyDescent="0.3">
      <c r="A757" t="str">
        <f>IF(ISBLANK(B757),"",IF(ROUND(B757,0)=ROUND(G757,0),"Pass","Fail"))</f>
        <v>Pass</v>
      </c>
      <c r="B757">
        <f t="shared" si="69"/>
        <v>38.3699951171875</v>
      </c>
      <c r="C757">
        <v>0</v>
      </c>
      <c r="D757">
        <v>90</v>
      </c>
      <c r="E757">
        <v>80</v>
      </c>
      <c r="F757">
        <v>16</v>
      </c>
      <c r="G757">
        <v>38.369997247101701</v>
      </c>
      <c r="M757" t="str">
        <f t="shared" si="70"/>
        <v>Pass</v>
      </c>
      <c r="N757">
        <f t="shared" si="71"/>
        <v>2628.535400390625</v>
      </c>
      <c r="O757">
        <v>40</v>
      </c>
      <c r="P757">
        <v>10</v>
      </c>
      <c r="Q757">
        <v>3</v>
      </c>
      <c r="R757" t="b">
        <v>0</v>
      </c>
      <c r="S757">
        <v>2628.5355683348898</v>
      </c>
      <c r="Y757" t="str">
        <f t="shared" si="72"/>
        <v>Pass</v>
      </c>
      <c r="Z757">
        <f t="shared" si="73"/>
        <v>115642.421875</v>
      </c>
      <c r="AA757">
        <v>11400</v>
      </c>
      <c r="AB757">
        <v>20</v>
      </c>
      <c r="AC757">
        <v>20</v>
      </c>
      <c r="AD757">
        <v>0.2</v>
      </c>
      <c r="AE757">
        <v>115642.417738907</v>
      </c>
    </row>
    <row r="758" spans="1:31" x14ac:dyDescent="0.3">
      <c r="A758" t="str">
        <f>IF(ISBLANK(B758),"",IF(ROUND(B758,0)=ROUND(G758,0),"Pass","Fail"))</f>
        <v>Pass</v>
      </c>
      <c r="B758">
        <f t="shared" si="69"/>
        <v>29.922576904296875</v>
      </c>
      <c r="C758">
        <v>0</v>
      </c>
      <c r="D758">
        <v>90</v>
      </c>
      <c r="E758">
        <v>80</v>
      </c>
      <c r="F758">
        <v>24</v>
      </c>
      <c r="G758">
        <v>29.9225774137362</v>
      </c>
      <c r="M758" t="str">
        <f t="shared" si="70"/>
        <v>Pass</v>
      </c>
      <c r="N758">
        <f t="shared" si="71"/>
        <v>134.43203735351563</v>
      </c>
      <c r="O758">
        <v>40</v>
      </c>
      <c r="P758">
        <v>10</v>
      </c>
      <c r="Q758">
        <v>3.5</v>
      </c>
      <c r="R758" t="b">
        <v>1</v>
      </c>
      <c r="S758">
        <v>134.43204847725301</v>
      </c>
      <c r="Y758" t="str">
        <f t="shared" si="72"/>
        <v>Pass</v>
      </c>
      <c r="Z758">
        <f t="shared" si="73"/>
        <v>116353.734375</v>
      </c>
      <c r="AA758">
        <v>11400</v>
      </c>
      <c r="AB758">
        <v>20</v>
      </c>
      <c r="AC758">
        <v>22</v>
      </c>
      <c r="AD758">
        <v>0.2</v>
      </c>
      <c r="AE758">
        <v>116353.72935941799</v>
      </c>
    </row>
    <row r="759" spans="1:31" x14ac:dyDescent="0.3">
      <c r="A759" t="str">
        <f>IF(ISBLANK(B759),"",IF(ROUND(B759,0)=ROUND(G759,0),"Pass","Fail"))</f>
        <v>Pass</v>
      </c>
      <c r="B759">
        <f t="shared" si="69"/>
        <v>25.670272827148438</v>
      </c>
      <c r="C759">
        <v>0</v>
      </c>
      <c r="D759">
        <v>90</v>
      </c>
      <c r="E759">
        <v>80</v>
      </c>
      <c r="F759">
        <v>32</v>
      </c>
      <c r="G759">
        <v>25.670273005994598</v>
      </c>
      <c r="M759" t="str">
        <f t="shared" si="70"/>
        <v>Pass</v>
      </c>
      <c r="N759">
        <f t="shared" si="71"/>
        <v>2722.141845703125</v>
      </c>
      <c r="O759">
        <v>40</v>
      </c>
      <c r="P759">
        <v>10</v>
      </c>
      <c r="Q759">
        <v>3.5</v>
      </c>
      <c r="R759" t="b">
        <v>0</v>
      </c>
      <c r="S759">
        <v>2722.1420188197699</v>
      </c>
      <c r="Y759" t="str">
        <f t="shared" si="72"/>
        <v>Pass</v>
      </c>
      <c r="Z759">
        <f t="shared" si="73"/>
        <v>116830.5390625</v>
      </c>
      <c r="AA759">
        <v>11400</v>
      </c>
      <c r="AB759">
        <v>20</v>
      </c>
      <c r="AC759">
        <v>24</v>
      </c>
      <c r="AD759">
        <v>0.2</v>
      </c>
      <c r="AE759">
        <v>116830.53579762499</v>
      </c>
    </row>
    <row r="760" spans="1:31" x14ac:dyDescent="0.3">
      <c r="A760" t="str">
        <f>IF(ISBLANK(B760),"",IF(ROUND(B760,0)=ROUND(G760,0),"Pass","Fail"))</f>
        <v>Pass</v>
      </c>
      <c r="B760">
        <f t="shared" si="69"/>
        <v>23.529727935791016</v>
      </c>
      <c r="C760">
        <v>0</v>
      </c>
      <c r="D760">
        <v>90</v>
      </c>
      <c r="E760">
        <v>80</v>
      </c>
      <c r="F760">
        <v>40</v>
      </c>
      <c r="G760">
        <v>23.529726764327101</v>
      </c>
      <c r="M760" t="str">
        <f t="shared" si="70"/>
        <v>Pass</v>
      </c>
      <c r="N760">
        <f t="shared" si="71"/>
        <v>138.56927490234375</v>
      </c>
      <c r="O760">
        <v>40</v>
      </c>
      <c r="P760">
        <v>10</v>
      </c>
      <c r="Q760">
        <v>4</v>
      </c>
      <c r="R760" t="b">
        <v>1</v>
      </c>
      <c r="S760">
        <v>138.56928894511699</v>
      </c>
      <c r="Y760" t="str">
        <f t="shared" si="72"/>
        <v>Pass</v>
      </c>
      <c r="Z760">
        <f t="shared" si="73"/>
        <v>0</v>
      </c>
      <c r="AA760">
        <v>11600</v>
      </c>
      <c r="AB760">
        <v>20</v>
      </c>
      <c r="AC760">
        <v>0</v>
      </c>
      <c r="AD760">
        <v>0.2</v>
      </c>
      <c r="AE760">
        <v>0</v>
      </c>
    </row>
    <row r="761" spans="1:31" x14ac:dyDescent="0.3">
      <c r="A761" t="str">
        <f>IF(ISBLANK(B761),"",IF(ROUND(B761,0)=ROUND(G761,0),"Pass","Fail"))</f>
        <v>Pass</v>
      </c>
      <c r="B761">
        <f t="shared" si="69"/>
        <v>22.45220947265625</v>
      </c>
      <c r="C761">
        <v>0</v>
      </c>
      <c r="D761">
        <v>90</v>
      </c>
      <c r="E761">
        <v>80</v>
      </c>
      <c r="F761">
        <v>48</v>
      </c>
      <c r="G761">
        <v>22.452207900819701</v>
      </c>
      <c r="M761" t="str">
        <f t="shared" si="70"/>
        <v>Pass</v>
      </c>
      <c r="N761">
        <f t="shared" si="71"/>
        <v>2805.917724609375</v>
      </c>
      <c r="O761">
        <v>40</v>
      </c>
      <c r="P761">
        <v>10</v>
      </c>
      <c r="Q761">
        <v>4</v>
      </c>
      <c r="R761" t="b">
        <v>0</v>
      </c>
      <c r="S761">
        <v>2805.91784643754</v>
      </c>
      <c r="Y761" t="str">
        <f t="shared" si="72"/>
        <v>Pass</v>
      </c>
      <c r="Z761">
        <f t="shared" si="73"/>
        <v>39517.63671875</v>
      </c>
      <c r="AA761">
        <v>11600</v>
      </c>
      <c r="AB761">
        <v>20</v>
      </c>
      <c r="AC761">
        <v>2</v>
      </c>
      <c r="AD761">
        <v>0.2</v>
      </c>
      <c r="AE761">
        <v>39517.637148528003</v>
      </c>
    </row>
    <row r="762" spans="1:31" x14ac:dyDescent="0.3">
      <c r="A762" t="str">
        <f>IF(ISBLANK(B762),"",IF(ROUND(B762,0)=ROUND(G762,0),"Pass","Fail"))</f>
        <v>Pass</v>
      </c>
      <c r="B762">
        <f t="shared" si="69"/>
        <v>88.487998962402344</v>
      </c>
      <c r="C762">
        <v>0</v>
      </c>
      <c r="D762">
        <v>90</v>
      </c>
      <c r="E762">
        <v>90</v>
      </c>
      <c r="F762">
        <v>0</v>
      </c>
      <c r="G762">
        <v>88.488</v>
      </c>
      <c r="M762" t="str">
        <f t="shared" si="70"/>
        <v>Pass</v>
      </c>
      <c r="N762">
        <f t="shared" si="71"/>
        <v>0</v>
      </c>
      <c r="O762">
        <v>40</v>
      </c>
      <c r="P762">
        <v>20</v>
      </c>
      <c r="Q762">
        <v>0</v>
      </c>
      <c r="R762" t="b">
        <v>1</v>
      </c>
      <c r="S762">
        <v>0</v>
      </c>
      <c r="Y762" t="str">
        <f t="shared" si="72"/>
        <v>Pass</v>
      </c>
      <c r="Z762">
        <f t="shared" si="73"/>
        <v>66007.1015625</v>
      </c>
      <c r="AA762">
        <v>11600</v>
      </c>
      <c r="AB762">
        <v>20</v>
      </c>
      <c r="AC762">
        <v>4</v>
      </c>
      <c r="AD762">
        <v>0.2</v>
      </c>
      <c r="AE762">
        <v>66007.101501148994</v>
      </c>
    </row>
    <row r="763" spans="1:31" x14ac:dyDescent="0.3">
      <c r="A763" t="str">
        <f>IF(ISBLANK(B763),"",IF(ROUND(B763,0)=ROUND(G763,0),"Pass","Fail"))</f>
        <v>Pass</v>
      </c>
      <c r="B763">
        <f t="shared" si="69"/>
        <v>55.151229858398438</v>
      </c>
      <c r="C763">
        <v>0</v>
      </c>
      <c r="D763">
        <v>90</v>
      </c>
      <c r="E763">
        <v>90</v>
      </c>
      <c r="F763">
        <v>8</v>
      </c>
      <c r="G763">
        <v>55.151228080723001</v>
      </c>
      <c r="M763" t="str">
        <f t="shared" si="70"/>
        <v>Pass</v>
      </c>
      <c r="N763">
        <f t="shared" si="71"/>
        <v>0</v>
      </c>
      <c r="O763">
        <v>40</v>
      </c>
      <c r="P763">
        <v>20</v>
      </c>
      <c r="Q763">
        <v>0</v>
      </c>
      <c r="R763" t="b">
        <v>0</v>
      </c>
      <c r="S763">
        <v>0</v>
      </c>
      <c r="Y763" t="str">
        <f t="shared" si="72"/>
        <v>Pass</v>
      </c>
      <c r="Z763">
        <f t="shared" si="73"/>
        <v>83763.5234375</v>
      </c>
      <c r="AA763">
        <v>11600</v>
      </c>
      <c r="AB763">
        <v>20</v>
      </c>
      <c r="AC763">
        <v>6</v>
      </c>
      <c r="AD763">
        <v>0.2</v>
      </c>
      <c r="AE763">
        <v>83763.520465457303</v>
      </c>
    </row>
    <row r="764" spans="1:31" x14ac:dyDescent="0.3">
      <c r="A764" t="str">
        <f>IF(ISBLANK(B764),"",IF(ROUND(B764,0)=ROUND(G764,0),"Pass","Fail"))</f>
        <v>Pass</v>
      </c>
      <c r="B764">
        <f t="shared" si="69"/>
        <v>38.3699951171875</v>
      </c>
      <c r="C764">
        <v>0</v>
      </c>
      <c r="D764">
        <v>90</v>
      </c>
      <c r="E764">
        <v>90</v>
      </c>
      <c r="F764">
        <v>16</v>
      </c>
      <c r="G764">
        <v>38.369997247101701</v>
      </c>
      <c r="M764" t="str">
        <f t="shared" si="70"/>
        <v>Pass</v>
      </c>
      <c r="N764">
        <f t="shared" si="71"/>
        <v>2.2898457050323486</v>
      </c>
      <c r="O764">
        <v>40</v>
      </c>
      <c r="P764">
        <v>20</v>
      </c>
      <c r="Q764">
        <v>0.5</v>
      </c>
      <c r="R764" t="b">
        <v>1</v>
      </c>
      <c r="S764">
        <v>2.2898460415564599</v>
      </c>
      <c r="Y764" t="str">
        <f t="shared" si="72"/>
        <v>Pass</v>
      </c>
      <c r="Z764">
        <f t="shared" si="73"/>
        <v>95666</v>
      </c>
      <c r="AA764">
        <v>11600</v>
      </c>
      <c r="AB764">
        <v>20</v>
      </c>
      <c r="AC764">
        <v>8</v>
      </c>
      <c r="AD764">
        <v>0.2</v>
      </c>
      <c r="AE764">
        <v>95666.004043040593</v>
      </c>
    </row>
    <row r="765" spans="1:31" x14ac:dyDescent="0.3">
      <c r="A765" t="str">
        <f>IF(ISBLANK(B765),"",IF(ROUND(B765,0)=ROUND(G765,0),"Pass","Fail"))</f>
        <v>Pass</v>
      </c>
      <c r="B765">
        <f t="shared" si="69"/>
        <v>29.922576904296875</v>
      </c>
      <c r="C765">
        <v>0</v>
      </c>
      <c r="D765">
        <v>90</v>
      </c>
      <c r="E765">
        <v>90</v>
      </c>
      <c r="F765">
        <v>24</v>
      </c>
      <c r="G765">
        <v>29.9225774137362</v>
      </c>
      <c r="M765" t="str">
        <f t="shared" si="70"/>
        <v>Pass</v>
      </c>
      <c r="N765">
        <f t="shared" si="71"/>
        <v>46.367557525634766</v>
      </c>
      <c r="O765">
        <v>40</v>
      </c>
      <c r="P765">
        <v>20</v>
      </c>
      <c r="Q765">
        <v>0.5</v>
      </c>
      <c r="R765" t="b">
        <v>0</v>
      </c>
      <c r="S765">
        <v>46.367560391699797</v>
      </c>
      <c r="Y765" t="str">
        <f t="shared" si="72"/>
        <v>Pass</v>
      </c>
      <c r="Z765">
        <f t="shared" si="73"/>
        <v>103644.484375</v>
      </c>
      <c r="AA765">
        <v>11600</v>
      </c>
      <c r="AB765">
        <v>20</v>
      </c>
      <c r="AC765">
        <v>10</v>
      </c>
      <c r="AD765">
        <v>0.2</v>
      </c>
      <c r="AE765">
        <v>103644.477382704</v>
      </c>
    </row>
    <row r="766" spans="1:31" x14ac:dyDescent="0.3">
      <c r="A766" t="str">
        <f>IF(ISBLANK(B766),"",IF(ROUND(B766,0)=ROUND(G766,0),"Pass","Fail"))</f>
        <v>Pass</v>
      </c>
      <c r="B766">
        <f t="shared" si="69"/>
        <v>25.670272827148438</v>
      </c>
      <c r="C766">
        <v>0</v>
      </c>
      <c r="D766">
        <v>90</v>
      </c>
      <c r="E766">
        <v>90</v>
      </c>
      <c r="F766">
        <v>32</v>
      </c>
      <c r="G766">
        <v>25.670273005994598</v>
      </c>
      <c r="M766" t="str">
        <f t="shared" si="70"/>
        <v>Pass</v>
      </c>
      <c r="N766">
        <f t="shared" si="71"/>
        <v>2.68003249168396</v>
      </c>
      <c r="O766">
        <v>40</v>
      </c>
      <c r="P766">
        <v>20</v>
      </c>
      <c r="Q766">
        <v>1</v>
      </c>
      <c r="R766" t="b">
        <v>1</v>
      </c>
      <c r="S766">
        <v>2.68003269622365</v>
      </c>
      <c r="Y766" t="str">
        <f t="shared" si="72"/>
        <v>Pass</v>
      </c>
      <c r="Z766">
        <f t="shared" si="73"/>
        <v>108992.609375</v>
      </c>
      <c r="AA766">
        <v>11600</v>
      </c>
      <c r="AB766">
        <v>20</v>
      </c>
      <c r="AC766">
        <v>12</v>
      </c>
      <c r="AD766">
        <v>0.2</v>
      </c>
      <c r="AE766">
        <v>108992.607999042</v>
      </c>
    </row>
    <row r="767" spans="1:31" x14ac:dyDescent="0.3">
      <c r="A767" t="str">
        <f>IF(ISBLANK(B767),"",IF(ROUND(B767,0)=ROUND(G767,0),"Pass","Fail"))</f>
        <v>Pass</v>
      </c>
      <c r="B767">
        <f t="shared" si="69"/>
        <v>23.529727935791016</v>
      </c>
      <c r="C767">
        <v>0</v>
      </c>
      <c r="D767">
        <v>90</v>
      </c>
      <c r="E767">
        <v>90</v>
      </c>
      <c r="F767">
        <v>40</v>
      </c>
      <c r="G767">
        <v>23.529726764327101</v>
      </c>
      <c r="M767" t="str">
        <f t="shared" si="70"/>
        <v>Pass</v>
      </c>
      <c r="N767">
        <f t="shared" si="71"/>
        <v>54.268531799316406</v>
      </c>
      <c r="O767">
        <v>40</v>
      </c>
      <c r="P767">
        <v>20</v>
      </c>
      <c r="Q767">
        <v>1</v>
      </c>
      <c r="R767" t="b">
        <v>0</v>
      </c>
      <c r="S767">
        <v>54.268529690936397</v>
      </c>
      <c r="Y767" t="str">
        <f t="shared" si="72"/>
        <v>Pass</v>
      </c>
      <c r="Z767">
        <f t="shared" si="73"/>
        <v>112577.5625</v>
      </c>
      <c r="AA767">
        <v>11600</v>
      </c>
      <c r="AB767">
        <v>20</v>
      </c>
      <c r="AC767">
        <v>14</v>
      </c>
      <c r="AD767">
        <v>0.2</v>
      </c>
      <c r="AE767">
        <v>112577.56715998999</v>
      </c>
    </row>
    <row r="768" spans="1:31" x14ac:dyDescent="0.3">
      <c r="A768" t="str">
        <f>IF(ISBLANK(B768),"",IF(ROUND(B768,0)=ROUND(G768,0),"Pass","Fail"))</f>
        <v>Pass</v>
      </c>
      <c r="B768">
        <f t="shared" si="69"/>
        <v>22.45220947265625</v>
      </c>
      <c r="C768">
        <v>0</v>
      </c>
      <c r="D768">
        <v>90</v>
      </c>
      <c r="E768">
        <v>90</v>
      </c>
      <c r="F768">
        <v>48</v>
      </c>
      <c r="G768">
        <v>22.452207900819701</v>
      </c>
      <c r="M768" t="str">
        <f t="shared" si="70"/>
        <v>Pass</v>
      </c>
      <c r="N768">
        <f t="shared" si="71"/>
        <v>2.9384126663208008</v>
      </c>
      <c r="O768">
        <v>40</v>
      </c>
      <c r="P768">
        <v>20</v>
      </c>
      <c r="Q768">
        <v>1.5</v>
      </c>
      <c r="R768" t="b">
        <v>1</v>
      </c>
      <c r="S768">
        <v>2.9384128071883699</v>
      </c>
      <c r="Y768" t="str">
        <f t="shared" si="72"/>
        <v>Pass</v>
      </c>
      <c r="Z768">
        <f t="shared" si="73"/>
        <v>114980.6328125</v>
      </c>
      <c r="AA768">
        <v>11600</v>
      </c>
      <c r="AB768">
        <v>20</v>
      </c>
      <c r="AC768">
        <v>16</v>
      </c>
      <c r="AD768">
        <v>0.2</v>
      </c>
      <c r="AE768">
        <v>114980.63714979299</v>
      </c>
    </row>
    <row r="769" spans="1:31" x14ac:dyDescent="0.3">
      <c r="A769" t="str">
        <f>IF(ISBLANK(B769),"",IF(ROUND(B769,0)=ROUND(G769,0),"Pass","Fail"))</f>
        <v>Pass</v>
      </c>
      <c r="B769">
        <f t="shared" si="69"/>
        <v>88.487998962402344</v>
      </c>
      <c r="C769">
        <v>0</v>
      </c>
      <c r="D769">
        <v>90</v>
      </c>
      <c r="E769">
        <v>100</v>
      </c>
      <c r="F769">
        <v>0</v>
      </c>
      <c r="G769">
        <v>88.488</v>
      </c>
      <c r="M769" t="str">
        <f t="shared" si="70"/>
        <v>Pass</v>
      </c>
      <c r="N769">
        <f t="shared" si="71"/>
        <v>59.500526428222656</v>
      </c>
      <c r="O769">
        <v>40</v>
      </c>
      <c r="P769">
        <v>20</v>
      </c>
      <c r="Q769">
        <v>1.5</v>
      </c>
      <c r="R769" t="b">
        <v>0</v>
      </c>
      <c r="S769">
        <v>59.500521354021203</v>
      </c>
      <c r="Y769" t="str">
        <f t="shared" si="72"/>
        <v>Pass</v>
      </c>
      <c r="Z769">
        <f t="shared" si="73"/>
        <v>116591.46875</v>
      </c>
      <c r="AA769">
        <v>11600</v>
      </c>
      <c r="AB769">
        <v>20</v>
      </c>
      <c r="AC769">
        <v>18</v>
      </c>
      <c r="AD769">
        <v>0.2</v>
      </c>
      <c r="AE769">
        <v>116591.463135984</v>
      </c>
    </row>
    <row r="770" spans="1:31" x14ac:dyDescent="0.3">
      <c r="A770" t="str">
        <f>IF(ISBLANK(B770),"",IF(ROUND(B770,0)=ROUND(G770,0),"Pass","Fail"))</f>
        <v>Pass</v>
      </c>
      <c r="B770">
        <f t="shared" si="69"/>
        <v>55.151229858398438</v>
      </c>
      <c r="C770">
        <v>0</v>
      </c>
      <c r="D770">
        <v>90</v>
      </c>
      <c r="E770">
        <v>100</v>
      </c>
      <c r="F770">
        <v>8</v>
      </c>
      <c r="G770">
        <v>55.151228080723001</v>
      </c>
      <c r="M770" t="str">
        <f t="shared" si="70"/>
        <v>Pass</v>
      </c>
      <c r="N770">
        <f t="shared" si="71"/>
        <v>3.1367063522338867</v>
      </c>
      <c r="O770">
        <v>40</v>
      </c>
      <c r="P770">
        <v>20</v>
      </c>
      <c r="Q770">
        <v>2</v>
      </c>
      <c r="R770" t="b">
        <v>1</v>
      </c>
      <c r="S770">
        <v>3.1367066267676398</v>
      </c>
      <c r="Y770" t="str">
        <f t="shared" si="72"/>
        <v>Pass</v>
      </c>
      <c r="Z770">
        <f t="shared" si="73"/>
        <v>117671.234375</v>
      </c>
      <c r="AA770">
        <v>11600</v>
      </c>
      <c r="AB770">
        <v>20</v>
      </c>
      <c r="AC770">
        <v>20</v>
      </c>
      <c r="AD770">
        <v>0.2</v>
      </c>
      <c r="AE770">
        <v>117671.232085203</v>
      </c>
    </row>
    <row r="771" spans="1:31" x14ac:dyDescent="0.3">
      <c r="A771" t="str">
        <f>IF(ISBLANK(B771),"",IF(ROUND(B771,0)=ROUND(G771,0),"Pass","Fail"))</f>
        <v>Pass</v>
      </c>
      <c r="B771">
        <f t="shared" si="69"/>
        <v>38.3699951171875</v>
      </c>
      <c r="C771">
        <v>0</v>
      </c>
      <c r="D771">
        <v>90</v>
      </c>
      <c r="E771">
        <v>100</v>
      </c>
      <c r="F771">
        <v>16</v>
      </c>
      <c r="G771">
        <v>38.369997247101701</v>
      </c>
      <c r="M771" t="str">
        <f t="shared" si="70"/>
        <v>Pass</v>
      </c>
      <c r="N771">
        <f t="shared" si="71"/>
        <v>63.515815734863281</v>
      </c>
      <c r="O771">
        <v>40</v>
      </c>
      <c r="P771">
        <v>20</v>
      </c>
      <c r="Q771">
        <v>2</v>
      </c>
      <c r="R771" t="b">
        <v>0</v>
      </c>
      <c r="S771">
        <v>63.515813425095502</v>
      </c>
      <c r="Y771" t="str">
        <f t="shared" si="72"/>
        <v>Pass</v>
      </c>
      <c r="Z771">
        <f t="shared" si="73"/>
        <v>118395.03125</v>
      </c>
      <c r="AA771">
        <v>11600</v>
      </c>
      <c r="AB771">
        <v>20</v>
      </c>
      <c r="AC771">
        <v>22</v>
      </c>
      <c r="AD771">
        <v>0.2</v>
      </c>
      <c r="AE771">
        <v>118395.022856952</v>
      </c>
    </row>
    <row r="772" spans="1:31" x14ac:dyDescent="0.3">
      <c r="A772" t="str">
        <f>IF(ISBLANK(B772),"",IF(ROUND(B772,0)=ROUND(G772,0),"Pass","Fail"))</f>
        <v>Pass</v>
      </c>
      <c r="B772">
        <f t="shared" si="69"/>
        <v>29.922576904296875</v>
      </c>
      <c r="C772">
        <v>0</v>
      </c>
      <c r="D772">
        <v>90</v>
      </c>
      <c r="E772">
        <v>100</v>
      </c>
      <c r="F772">
        <v>24</v>
      </c>
      <c r="G772">
        <v>29.9225774137362</v>
      </c>
      <c r="M772" t="str">
        <f t="shared" si="70"/>
        <v>Pass</v>
      </c>
      <c r="N772">
        <f t="shared" si="71"/>
        <v>3.2996847629547119</v>
      </c>
      <c r="O772">
        <v>40</v>
      </c>
      <c r="P772">
        <v>20</v>
      </c>
      <c r="Q772">
        <v>2.5</v>
      </c>
      <c r="R772" t="b">
        <v>1</v>
      </c>
      <c r="S772">
        <v>3.2996849382837601</v>
      </c>
      <c r="Y772" t="str">
        <f t="shared" si="72"/>
        <v>Pass</v>
      </c>
      <c r="Z772">
        <f t="shared" si="73"/>
        <v>118880.203125</v>
      </c>
      <c r="AA772">
        <v>11600</v>
      </c>
      <c r="AB772">
        <v>20</v>
      </c>
      <c r="AC772">
        <v>24</v>
      </c>
      <c r="AD772">
        <v>0.2</v>
      </c>
      <c r="AE772">
        <v>118880.19432039</v>
      </c>
    </row>
    <row r="773" spans="1:31" x14ac:dyDescent="0.3">
      <c r="A773" t="str">
        <f>IF(ISBLANK(B773),"",IF(ROUND(B773,0)=ROUND(G773,0),"Pass","Fail"))</f>
        <v>Pass</v>
      </c>
      <c r="B773">
        <f t="shared" si="69"/>
        <v>25.670272827148438</v>
      </c>
      <c r="C773">
        <v>0</v>
      </c>
      <c r="D773">
        <v>90</v>
      </c>
      <c r="E773">
        <v>100</v>
      </c>
      <c r="F773">
        <v>32</v>
      </c>
      <c r="G773">
        <v>25.670273005994598</v>
      </c>
      <c r="M773" t="str">
        <f t="shared" si="70"/>
        <v>Pass</v>
      </c>
      <c r="N773">
        <f t="shared" si="71"/>
        <v>66.815994262695313</v>
      </c>
      <c r="O773">
        <v>40</v>
      </c>
      <c r="P773">
        <v>20</v>
      </c>
      <c r="Q773">
        <v>2.5</v>
      </c>
      <c r="R773" t="b">
        <v>0</v>
      </c>
      <c r="S773">
        <v>66.815994557196603</v>
      </c>
      <c r="Y773" t="str">
        <f t="shared" si="72"/>
        <v>Pass</v>
      </c>
      <c r="Z773">
        <f t="shared" si="73"/>
        <v>0</v>
      </c>
      <c r="AA773">
        <v>11800</v>
      </c>
      <c r="AB773">
        <v>20</v>
      </c>
      <c r="AC773">
        <v>0</v>
      </c>
      <c r="AD773">
        <v>0.2</v>
      </c>
      <c r="AE773">
        <v>0</v>
      </c>
    </row>
    <row r="774" spans="1:31" x14ac:dyDescent="0.3">
      <c r="A774" t="str">
        <f>IF(ISBLANK(B774),"",IF(ROUND(B774,0)=ROUND(G774,0),"Pass","Fail"))</f>
        <v>Pass</v>
      </c>
      <c r="B774">
        <f t="shared" si="69"/>
        <v>23.529727935791016</v>
      </c>
      <c r="C774">
        <v>0</v>
      </c>
      <c r="D774">
        <v>90</v>
      </c>
      <c r="E774">
        <v>100</v>
      </c>
      <c r="F774">
        <v>40</v>
      </c>
      <c r="G774">
        <v>23.529726764327101</v>
      </c>
      <c r="M774" t="str">
        <f t="shared" si="70"/>
        <v>Pass</v>
      </c>
      <c r="N774">
        <f t="shared" si="71"/>
        <v>3.4391138553619385</v>
      </c>
      <c r="O774">
        <v>40</v>
      </c>
      <c r="P774">
        <v>20</v>
      </c>
      <c r="Q774">
        <v>3</v>
      </c>
      <c r="R774" t="b">
        <v>1</v>
      </c>
      <c r="S774">
        <v>3.4391143576248102</v>
      </c>
      <c r="Y774" t="str">
        <f t="shared" si="72"/>
        <v>Pass</v>
      </c>
      <c r="Z774">
        <f t="shared" si="73"/>
        <v>40198.97265625</v>
      </c>
      <c r="AA774">
        <v>11800</v>
      </c>
      <c r="AB774">
        <v>20</v>
      </c>
      <c r="AC774">
        <v>2</v>
      </c>
      <c r="AD774">
        <v>0.2</v>
      </c>
      <c r="AE774">
        <v>40198.975720054303</v>
      </c>
    </row>
    <row r="775" spans="1:31" x14ac:dyDescent="0.3">
      <c r="A775" t="str">
        <f>IF(ISBLANK(B775),"",IF(ROUND(B775,0)=ROUND(G775,0),"Pass","Fail"))</f>
        <v>Pass</v>
      </c>
      <c r="B775">
        <f t="shared" ref="B775:B838" si="74">FMC_heath(C775,D775,E775,F775)</f>
        <v>22.45220947265625</v>
      </c>
      <c r="C775">
        <v>0</v>
      </c>
      <c r="D775">
        <v>90</v>
      </c>
      <c r="E775">
        <v>100</v>
      </c>
      <c r="F775">
        <v>48</v>
      </c>
      <c r="G775">
        <v>22.452207900819701</v>
      </c>
      <c r="M775" t="str">
        <f t="shared" ref="M775:M838" si="75">IF(ISBLANK(N775),"",IF(ROUND(N775,0)=ROUND(S775,0),"Pass","Fail"))</f>
        <v>Pass</v>
      </c>
      <c r="N775">
        <f t="shared" ref="N775:N838" si="76">ROS_heath(O775,Q775,P775,R775)</f>
        <v>69.639335632324219</v>
      </c>
      <c r="O775">
        <v>40</v>
      </c>
      <c r="P775">
        <v>20</v>
      </c>
      <c r="Q775">
        <v>3</v>
      </c>
      <c r="R775" t="b">
        <v>0</v>
      </c>
      <c r="S775">
        <v>69.639329359776298</v>
      </c>
      <c r="Y775" t="str">
        <f t="shared" ref="Y775:Y838" si="77">IF(ISBLANK(Z775),"",IF(ROUND(Z775,0)=ROUND(AE775,0),"Pass","Fail"))</f>
        <v>Pass</v>
      </c>
      <c r="Z775">
        <f t="shared" ref="Z775:Z838" si="78">intensity_heath(AA775,AB775,AC775,AD775)</f>
        <v>67145.15625</v>
      </c>
      <c r="AA775">
        <v>11800</v>
      </c>
      <c r="AB775">
        <v>20</v>
      </c>
      <c r="AC775">
        <v>4</v>
      </c>
      <c r="AD775">
        <v>0.2</v>
      </c>
      <c r="AE775">
        <v>67145.154975306694</v>
      </c>
    </row>
    <row r="776" spans="1:31" x14ac:dyDescent="0.3">
      <c r="A776" t="str">
        <f>IF(ISBLANK(B776),"",IF(ROUND(B776,0)=ROUND(G776,0),"Pass","Fail"))</f>
        <v>Pass</v>
      </c>
      <c r="B776">
        <f t="shared" si="74"/>
        <v>22.969999313354492</v>
      </c>
      <c r="C776">
        <v>0</v>
      </c>
      <c r="D776">
        <v>100</v>
      </c>
      <c r="E776">
        <v>0</v>
      </c>
      <c r="F776">
        <v>0</v>
      </c>
      <c r="G776">
        <v>22.97</v>
      </c>
      <c r="M776" t="str">
        <f t="shared" si="75"/>
        <v>Pass</v>
      </c>
      <c r="N776">
        <f t="shared" si="76"/>
        <v>3.5615866184234619</v>
      </c>
      <c r="O776">
        <v>40</v>
      </c>
      <c r="P776">
        <v>20</v>
      </c>
      <c r="Q776">
        <v>3.5</v>
      </c>
      <c r="R776" t="b">
        <v>1</v>
      </c>
      <c r="S776">
        <v>3.5615868444752601</v>
      </c>
      <c r="Y776" t="str">
        <f t="shared" si="77"/>
        <v>Pass</v>
      </c>
      <c r="Z776">
        <f t="shared" si="78"/>
        <v>85207.71875</v>
      </c>
      <c r="AA776">
        <v>11800</v>
      </c>
      <c r="AB776">
        <v>20</v>
      </c>
      <c r="AC776">
        <v>6</v>
      </c>
      <c r="AD776">
        <v>0.2</v>
      </c>
      <c r="AE776">
        <v>85207.719094172106</v>
      </c>
    </row>
    <row r="777" spans="1:31" x14ac:dyDescent="0.3">
      <c r="A777" t="str">
        <f>IF(ISBLANK(B777),"",IF(ROUND(B777,0)=ROUND(G777,0),"Pass","Fail"))</f>
        <v>Pass</v>
      </c>
      <c r="B777">
        <f t="shared" si="74"/>
        <v>22.969999313354492</v>
      </c>
      <c r="C777">
        <v>0</v>
      </c>
      <c r="D777">
        <v>100</v>
      </c>
      <c r="E777">
        <v>0</v>
      </c>
      <c r="F777">
        <v>8</v>
      </c>
      <c r="G777">
        <v>22.97</v>
      </c>
      <c r="M777" t="str">
        <f t="shared" si="75"/>
        <v>Pass</v>
      </c>
      <c r="N777">
        <f t="shared" si="76"/>
        <v>72.119300842285156</v>
      </c>
      <c r="O777">
        <v>40</v>
      </c>
      <c r="P777">
        <v>20</v>
      </c>
      <c r="Q777">
        <v>3.5</v>
      </c>
      <c r="R777" t="b">
        <v>0</v>
      </c>
      <c r="S777">
        <v>72.119299771455104</v>
      </c>
      <c r="Y777" t="str">
        <f t="shared" si="77"/>
        <v>Pass</v>
      </c>
      <c r="Z777">
        <f t="shared" si="78"/>
        <v>97315.4140625</v>
      </c>
      <c r="AA777">
        <v>11800</v>
      </c>
      <c r="AB777">
        <v>20</v>
      </c>
      <c r="AC777">
        <v>8</v>
      </c>
      <c r="AD777">
        <v>0.2</v>
      </c>
      <c r="AE777">
        <v>97315.417905851602</v>
      </c>
    </row>
    <row r="778" spans="1:31" x14ac:dyDescent="0.3">
      <c r="A778" t="str">
        <f>IF(ISBLANK(B778),"",IF(ROUND(B778,0)=ROUND(G778,0),"Pass","Fail"))</f>
        <v>Pass</v>
      </c>
      <c r="B778">
        <f t="shared" si="74"/>
        <v>22.969999313354492</v>
      </c>
      <c r="C778">
        <v>0</v>
      </c>
      <c r="D778">
        <v>100</v>
      </c>
      <c r="E778">
        <v>0</v>
      </c>
      <c r="F778">
        <v>16</v>
      </c>
      <c r="G778">
        <v>22.97</v>
      </c>
      <c r="M778" t="str">
        <f t="shared" si="75"/>
        <v>Pass</v>
      </c>
      <c r="N778">
        <f t="shared" si="76"/>
        <v>3.6711969375610352</v>
      </c>
      <c r="O778">
        <v>40</v>
      </c>
      <c r="P778">
        <v>20</v>
      </c>
      <c r="Q778">
        <v>4</v>
      </c>
      <c r="R778" t="b">
        <v>1</v>
      </c>
      <c r="S778">
        <v>3.67119717467319</v>
      </c>
      <c r="Y778" t="str">
        <f t="shared" si="77"/>
        <v>Pass</v>
      </c>
      <c r="Z778">
        <f t="shared" si="78"/>
        <v>105431.4609375</v>
      </c>
      <c r="AA778">
        <v>11800</v>
      </c>
      <c r="AB778">
        <v>20</v>
      </c>
      <c r="AC778">
        <v>10</v>
      </c>
      <c r="AD778">
        <v>0.2</v>
      </c>
      <c r="AE778">
        <v>105431.45113068201</v>
      </c>
    </row>
    <row r="779" spans="1:31" x14ac:dyDescent="0.3">
      <c r="A779" t="str">
        <f>IF(ISBLANK(B779),"",IF(ROUND(B779,0)=ROUND(G779,0),"Pass","Fail"))</f>
        <v>Pass</v>
      </c>
      <c r="B779">
        <f t="shared" si="74"/>
        <v>22.969999313354492</v>
      </c>
      <c r="C779">
        <v>0</v>
      </c>
      <c r="D779">
        <v>100</v>
      </c>
      <c r="E779">
        <v>0</v>
      </c>
      <c r="F779">
        <v>24</v>
      </c>
      <c r="G779">
        <v>22.97</v>
      </c>
      <c r="M779" t="str">
        <f t="shared" si="75"/>
        <v>Pass</v>
      </c>
      <c r="N779">
        <f t="shared" si="76"/>
        <v>74.338821411132813</v>
      </c>
      <c r="O779">
        <v>40</v>
      </c>
      <c r="P779">
        <v>20</v>
      </c>
      <c r="Q779">
        <v>4</v>
      </c>
      <c r="R779" t="b">
        <v>0</v>
      </c>
      <c r="S779">
        <v>74.338821744885294</v>
      </c>
      <c r="Y779" t="str">
        <f t="shared" si="77"/>
        <v>Pass</v>
      </c>
      <c r="Z779">
        <f t="shared" si="78"/>
        <v>110871.796875</v>
      </c>
      <c r="AA779">
        <v>11800</v>
      </c>
      <c r="AB779">
        <v>20</v>
      </c>
      <c r="AC779">
        <v>12</v>
      </c>
      <c r="AD779">
        <v>0.2</v>
      </c>
      <c r="AE779">
        <v>110871.790895577</v>
      </c>
    </row>
    <row r="780" spans="1:31" x14ac:dyDescent="0.3">
      <c r="A780" t="str">
        <f>IF(ISBLANK(B780),"",IF(ROUND(B780,0)=ROUND(G780,0),"Pass","Fail"))</f>
        <v>Pass</v>
      </c>
      <c r="B780">
        <f t="shared" si="74"/>
        <v>22.969999313354492</v>
      </c>
      <c r="C780">
        <v>0</v>
      </c>
      <c r="D780">
        <v>100</v>
      </c>
      <c r="E780">
        <v>0</v>
      </c>
      <c r="F780">
        <v>32</v>
      </c>
      <c r="G780">
        <v>22.97</v>
      </c>
      <c r="M780" t="str">
        <f t="shared" si="75"/>
        <v>Pass</v>
      </c>
      <c r="N780">
        <f t="shared" si="76"/>
        <v>0</v>
      </c>
      <c r="O780">
        <v>40</v>
      </c>
      <c r="P780">
        <v>30</v>
      </c>
      <c r="Q780">
        <v>0</v>
      </c>
      <c r="R780" t="b">
        <v>1</v>
      </c>
      <c r="S780">
        <v>0</v>
      </c>
      <c r="Y780" t="str">
        <f t="shared" si="77"/>
        <v>Pass</v>
      </c>
      <c r="Z780">
        <f t="shared" si="78"/>
        <v>114518.5546875</v>
      </c>
      <c r="AA780">
        <v>11800</v>
      </c>
      <c r="AB780">
        <v>20</v>
      </c>
      <c r="AC780">
        <v>14</v>
      </c>
      <c r="AD780">
        <v>0.2</v>
      </c>
      <c r="AE780">
        <v>114518.559697231</v>
      </c>
    </row>
    <row r="781" spans="1:31" x14ac:dyDescent="0.3">
      <c r="A781" t="str">
        <f>IF(ISBLANK(B781),"",IF(ROUND(B781,0)=ROUND(G781,0),"Pass","Fail"))</f>
        <v>Pass</v>
      </c>
      <c r="B781">
        <f t="shared" si="74"/>
        <v>22.969999313354492</v>
      </c>
      <c r="C781">
        <v>0</v>
      </c>
      <c r="D781">
        <v>100</v>
      </c>
      <c r="E781">
        <v>0</v>
      </c>
      <c r="F781">
        <v>40</v>
      </c>
      <c r="G781">
        <v>22.97</v>
      </c>
      <c r="M781" t="str">
        <f t="shared" si="75"/>
        <v>Pass</v>
      </c>
      <c r="N781">
        <f t="shared" si="76"/>
        <v>0</v>
      </c>
      <c r="O781">
        <v>40</v>
      </c>
      <c r="P781">
        <v>30</v>
      </c>
      <c r="Q781">
        <v>0</v>
      </c>
      <c r="R781" t="b">
        <v>0</v>
      </c>
      <c r="S781">
        <v>0</v>
      </c>
      <c r="Y781" t="str">
        <f t="shared" si="77"/>
        <v>Pass</v>
      </c>
      <c r="Z781">
        <f t="shared" si="78"/>
        <v>116963.0546875</v>
      </c>
      <c r="AA781">
        <v>11800</v>
      </c>
      <c r="AB781">
        <v>20</v>
      </c>
      <c r="AC781">
        <v>16</v>
      </c>
      <c r="AD781">
        <v>0.2</v>
      </c>
      <c r="AE781">
        <v>116963.061928237</v>
      </c>
    </row>
    <row r="782" spans="1:31" x14ac:dyDescent="0.3">
      <c r="A782" t="str">
        <f>IF(ISBLANK(B782),"",IF(ROUND(B782,0)=ROUND(G782,0),"Pass","Fail"))</f>
        <v>Pass</v>
      </c>
      <c r="B782">
        <f t="shared" si="74"/>
        <v>22.969999313354492</v>
      </c>
      <c r="C782">
        <v>0</v>
      </c>
      <c r="D782">
        <v>100</v>
      </c>
      <c r="E782">
        <v>0</v>
      </c>
      <c r="F782">
        <v>48</v>
      </c>
      <c r="G782">
        <v>22.97</v>
      </c>
      <c r="M782" t="str">
        <f t="shared" si="75"/>
        <v>Pass</v>
      </c>
      <c r="N782">
        <f t="shared" si="76"/>
        <v>1.0011300444602966E-2</v>
      </c>
      <c r="O782">
        <v>40</v>
      </c>
      <c r="P782">
        <v>30</v>
      </c>
      <c r="Q782">
        <v>0.5</v>
      </c>
      <c r="R782" t="b">
        <v>1</v>
      </c>
      <c r="S782">
        <v>1.0011301610406099E-2</v>
      </c>
      <c r="Y782" t="str">
        <f t="shared" si="77"/>
        <v>Pass</v>
      </c>
      <c r="Z782">
        <f t="shared" si="78"/>
        <v>118601.6640625</v>
      </c>
      <c r="AA782">
        <v>11800</v>
      </c>
      <c r="AB782">
        <v>20</v>
      </c>
      <c r="AC782">
        <v>18</v>
      </c>
      <c r="AD782">
        <v>0.2</v>
      </c>
      <c r="AE782">
        <v>118601.66077626</v>
      </c>
    </row>
    <row r="783" spans="1:31" x14ac:dyDescent="0.3">
      <c r="A783" t="str">
        <f>IF(ISBLANK(B783),"",IF(ROUND(B783,0)=ROUND(G783,0),"Pass","Fail"))</f>
        <v>Pass</v>
      </c>
      <c r="B783">
        <f t="shared" si="74"/>
        <v>90.097999572753906</v>
      </c>
      <c r="C783">
        <v>0</v>
      </c>
      <c r="D783">
        <v>100</v>
      </c>
      <c r="E783">
        <v>10</v>
      </c>
      <c r="F783">
        <v>0</v>
      </c>
      <c r="G783">
        <v>90.097999999998294</v>
      </c>
      <c r="M783" t="str">
        <f t="shared" si="75"/>
        <v>Pass</v>
      </c>
      <c r="N783">
        <f t="shared" si="76"/>
        <v>0.20272088050842285</v>
      </c>
      <c r="O783">
        <v>40</v>
      </c>
      <c r="P783">
        <v>30</v>
      </c>
      <c r="Q783">
        <v>0.5</v>
      </c>
      <c r="R783" t="b">
        <v>0</v>
      </c>
      <c r="S783">
        <v>0.20272089197075499</v>
      </c>
      <c r="Y783" t="str">
        <f t="shared" si="77"/>
        <v>Pass</v>
      </c>
      <c r="Z783">
        <f t="shared" si="78"/>
        <v>119700.0546875</v>
      </c>
      <c r="AA783">
        <v>11800</v>
      </c>
      <c r="AB783">
        <v>20</v>
      </c>
      <c r="AC783">
        <v>20</v>
      </c>
      <c r="AD783">
        <v>0.2</v>
      </c>
      <c r="AE783">
        <v>119700.0464315</v>
      </c>
    </row>
    <row r="784" spans="1:31" x14ac:dyDescent="0.3">
      <c r="A784" t="str">
        <f>IF(ISBLANK(B784),"",IF(ROUND(B784,0)=ROUND(G784,0),"Pass","Fail"))</f>
        <v>Pass</v>
      </c>
      <c r="B784">
        <f t="shared" si="74"/>
        <v>56.76123046875</v>
      </c>
      <c r="C784">
        <v>0</v>
      </c>
      <c r="D784">
        <v>100</v>
      </c>
      <c r="E784">
        <v>10</v>
      </c>
      <c r="F784">
        <v>8</v>
      </c>
      <c r="G784">
        <v>56.761228080722198</v>
      </c>
      <c r="M784" t="str">
        <f t="shared" si="75"/>
        <v>Pass</v>
      </c>
      <c r="N784">
        <f t="shared" si="76"/>
        <v>1.171721238642931E-2</v>
      </c>
      <c r="O784">
        <v>40</v>
      </c>
      <c r="P784">
        <v>30</v>
      </c>
      <c r="Q784">
        <v>1</v>
      </c>
      <c r="R784" t="b">
        <v>1</v>
      </c>
      <c r="S784">
        <v>1.17172138042117E-2</v>
      </c>
      <c r="Y784" t="str">
        <f t="shared" si="77"/>
        <v>Pass</v>
      </c>
      <c r="Z784">
        <f t="shared" si="78"/>
        <v>120436.3203125</v>
      </c>
      <c r="AA784">
        <v>11800</v>
      </c>
      <c r="AB784">
        <v>20</v>
      </c>
      <c r="AC784">
        <v>22</v>
      </c>
      <c r="AD784">
        <v>0.2</v>
      </c>
      <c r="AE784">
        <v>120436.316354485</v>
      </c>
    </row>
    <row r="785" spans="1:31" x14ac:dyDescent="0.3">
      <c r="A785" t="str">
        <f>IF(ISBLANK(B785),"",IF(ROUND(B785,0)=ROUND(G785,0),"Pass","Fail"))</f>
        <v>Pass</v>
      </c>
      <c r="B785">
        <f t="shared" si="74"/>
        <v>39.979995727539063</v>
      </c>
      <c r="C785">
        <v>0</v>
      </c>
      <c r="D785">
        <v>100</v>
      </c>
      <c r="E785">
        <v>10</v>
      </c>
      <c r="F785">
        <v>16</v>
      </c>
      <c r="G785">
        <v>39.979997247101302</v>
      </c>
      <c r="M785" t="str">
        <f t="shared" si="75"/>
        <v>Pass</v>
      </c>
      <c r="N785">
        <f t="shared" si="76"/>
        <v>0.23726426064968109</v>
      </c>
      <c r="O785">
        <v>40</v>
      </c>
      <c r="P785">
        <v>30</v>
      </c>
      <c r="Q785">
        <v>1</v>
      </c>
      <c r="R785" t="b">
        <v>0</v>
      </c>
      <c r="S785">
        <v>0.23726425656108899</v>
      </c>
      <c r="Y785" t="str">
        <f t="shared" si="77"/>
        <v>Pass</v>
      </c>
      <c r="Z785">
        <f t="shared" si="78"/>
        <v>120929.859375</v>
      </c>
      <c r="AA785">
        <v>11800</v>
      </c>
      <c r="AB785">
        <v>20</v>
      </c>
      <c r="AC785">
        <v>24</v>
      </c>
      <c r="AD785">
        <v>0.2</v>
      </c>
      <c r="AE785">
        <v>120929.852843156</v>
      </c>
    </row>
    <row r="786" spans="1:31" x14ac:dyDescent="0.3">
      <c r="A786" t="str">
        <f>IF(ISBLANK(B786),"",IF(ROUND(B786,0)=ROUND(G786,0),"Pass","Fail"))</f>
        <v>Pass</v>
      </c>
      <c r="B786">
        <f t="shared" si="74"/>
        <v>31.532577514648438</v>
      </c>
      <c r="C786">
        <v>0</v>
      </c>
      <c r="D786">
        <v>100</v>
      </c>
      <c r="E786">
        <v>10</v>
      </c>
      <c r="F786">
        <v>24</v>
      </c>
      <c r="G786">
        <v>31.532577413736</v>
      </c>
      <c r="M786" t="str">
        <f t="shared" si="75"/>
        <v>Pass</v>
      </c>
      <c r="N786">
        <f t="shared" si="76"/>
        <v>1.2846861034631729E-2</v>
      </c>
      <c r="O786">
        <v>40</v>
      </c>
      <c r="P786">
        <v>30</v>
      </c>
      <c r="Q786">
        <v>1.5</v>
      </c>
      <c r="R786" t="b">
        <v>1</v>
      </c>
      <c r="S786">
        <v>1.2846862336931299E-2</v>
      </c>
      <c r="Y786" t="str">
        <f t="shared" si="77"/>
        <v>Pass</v>
      </c>
      <c r="Z786">
        <f t="shared" si="78"/>
        <v>0</v>
      </c>
      <c r="AA786">
        <v>12000</v>
      </c>
      <c r="AB786">
        <v>20</v>
      </c>
      <c r="AC786">
        <v>0</v>
      </c>
      <c r="AD786">
        <v>0.2</v>
      </c>
      <c r="AE786">
        <v>0</v>
      </c>
    </row>
    <row r="787" spans="1:31" x14ac:dyDescent="0.3">
      <c r="A787" t="str">
        <f>IF(ISBLANK(B787),"",IF(ROUND(B787,0)=ROUND(G787,0),"Pass","Fail"))</f>
        <v>Pass</v>
      </c>
      <c r="B787">
        <f t="shared" si="74"/>
        <v>27.2802734375</v>
      </c>
      <c r="C787">
        <v>0</v>
      </c>
      <c r="D787">
        <v>100</v>
      </c>
      <c r="E787">
        <v>10</v>
      </c>
      <c r="F787">
        <v>32</v>
      </c>
      <c r="G787">
        <v>27.280273005994498</v>
      </c>
      <c r="M787" t="str">
        <f t="shared" si="75"/>
        <v>Pass</v>
      </c>
      <c r="N787">
        <f t="shared" si="76"/>
        <v>0.26013875007629395</v>
      </c>
      <c r="O787">
        <v>40</v>
      </c>
      <c r="P787">
        <v>30</v>
      </c>
      <c r="Q787">
        <v>1.5</v>
      </c>
      <c r="R787" t="b">
        <v>0</v>
      </c>
      <c r="S787">
        <v>0.26013874052712399</v>
      </c>
      <c r="Y787" t="str">
        <f t="shared" si="77"/>
        <v>Pass</v>
      </c>
      <c r="Z787">
        <f t="shared" si="78"/>
        <v>40880.3125</v>
      </c>
      <c r="AA787">
        <v>12000</v>
      </c>
      <c r="AB787">
        <v>20</v>
      </c>
      <c r="AC787">
        <v>2</v>
      </c>
      <c r="AD787">
        <v>0.2</v>
      </c>
      <c r="AE787">
        <v>40880.314291580697</v>
      </c>
    </row>
    <row r="788" spans="1:31" x14ac:dyDescent="0.3">
      <c r="A788" t="str">
        <f>IF(ISBLANK(B788),"",IF(ROUND(B788,0)=ROUND(G788,0),"Pass","Fail"))</f>
        <v>Pass</v>
      </c>
      <c r="B788">
        <f t="shared" si="74"/>
        <v>25.139726638793945</v>
      </c>
      <c r="C788">
        <v>0</v>
      </c>
      <c r="D788">
        <v>100</v>
      </c>
      <c r="E788">
        <v>10</v>
      </c>
      <c r="F788">
        <v>40</v>
      </c>
      <c r="G788">
        <v>25.139726764327001</v>
      </c>
      <c r="M788" t="str">
        <f t="shared" si="75"/>
        <v>Pass</v>
      </c>
      <c r="N788">
        <f t="shared" si="76"/>
        <v>1.3713810592889786E-2</v>
      </c>
      <c r="O788">
        <v>40</v>
      </c>
      <c r="P788">
        <v>30</v>
      </c>
      <c r="Q788">
        <v>2</v>
      </c>
      <c r="R788" t="b">
        <v>1</v>
      </c>
      <c r="S788">
        <v>1.37138111183167E-2</v>
      </c>
      <c r="Y788" t="str">
        <f t="shared" si="77"/>
        <v>Pass</v>
      </c>
      <c r="Z788">
        <f t="shared" si="78"/>
        <v>68283.2109375</v>
      </c>
      <c r="AA788">
        <v>12000</v>
      </c>
      <c r="AB788">
        <v>20</v>
      </c>
      <c r="AC788">
        <v>4</v>
      </c>
      <c r="AD788">
        <v>0.2</v>
      </c>
      <c r="AE788">
        <v>68283.208449464495</v>
      </c>
    </row>
    <row r="789" spans="1:31" x14ac:dyDescent="0.3">
      <c r="A789" t="str">
        <f>IF(ISBLANK(B789),"",IF(ROUND(B789,0)=ROUND(G789,0),"Pass","Fail"))</f>
        <v>Pass</v>
      </c>
      <c r="B789">
        <f t="shared" si="74"/>
        <v>24.062206268310547</v>
      </c>
      <c r="C789">
        <v>0</v>
      </c>
      <c r="D789">
        <v>100</v>
      </c>
      <c r="E789">
        <v>10</v>
      </c>
      <c r="F789">
        <v>48</v>
      </c>
      <c r="G789">
        <v>24.062207900819701</v>
      </c>
      <c r="M789" t="str">
        <f t="shared" si="75"/>
        <v>Pass</v>
      </c>
      <c r="N789">
        <f t="shared" si="76"/>
        <v>0.27769377827644348</v>
      </c>
      <c r="O789">
        <v>40</v>
      </c>
      <c r="P789">
        <v>30</v>
      </c>
      <c r="Q789">
        <v>2</v>
      </c>
      <c r="R789" t="b">
        <v>0</v>
      </c>
      <c r="S789">
        <v>0.27769376354957698</v>
      </c>
      <c r="Y789" t="str">
        <f t="shared" si="77"/>
        <v>Pass</v>
      </c>
      <c r="Z789">
        <f t="shared" si="78"/>
        <v>86651.921875</v>
      </c>
      <c r="AA789">
        <v>12000</v>
      </c>
      <c r="AB789">
        <v>20</v>
      </c>
      <c r="AC789">
        <v>6</v>
      </c>
      <c r="AD789">
        <v>0.2</v>
      </c>
      <c r="AE789">
        <v>86651.917722886894</v>
      </c>
    </row>
    <row r="790" spans="1:31" x14ac:dyDescent="0.3">
      <c r="A790" t="str">
        <f>IF(ISBLANK(B790),"",IF(ROUND(B790,0)=ROUND(G790,0),"Pass","Fail"))</f>
        <v>Pass</v>
      </c>
      <c r="B790">
        <f t="shared" si="74"/>
        <v>90.097999572753906</v>
      </c>
      <c r="C790">
        <v>0</v>
      </c>
      <c r="D790">
        <v>100</v>
      </c>
      <c r="E790">
        <v>20</v>
      </c>
      <c r="F790">
        <v>0</v>
      </c>
      <c r="G790">
        <v>90.097999999999999</v>
      </c>
      <c r="M790" t="str">
        <f t="shared" si="75"/>
        <v>Pass</v>
      </c>
      <c r="N790">
        <f t="shared" si="76"/>
        <v>1.4426358044147491E-2</v>
      </c>
      <c r="O790">
        <v>40</v>
      </c>
      <c r="P790">
        <v>30</v>
      </c>
      <c r="Q790">
        <v>2.5</v>
      </c>
      <c r="R790" t="b">
        <v>1</v>
      </c>
      <c r="S790">
        <v>1.44263590376666E-2</v>
      </c>
      <c r="Y790" t="str">
        <f t="shared" si="77"/>
        <v>Pass</v>
      </c>
      <c r="Z790">
        <f t="shared" si="78"/>
        <v>98964.828125</v>
      </c>
      <c r="AA790">
        <v>12000</v>
      </c>
      <c r="AB790">
        <v>20</v>
      </c>
      <c r="AC790">
        <v>8</v>
      </c>
      <c r="AD790">
        <v>0.2</v>
      </c>
      <c r="AE790">
        <v>98964.831768662698</v>
      </c>
    </row>
    <row r="791" spans="1:31" x14ac:dyDescent="0.3">
      <c r="A791" t="str">
        <f>IF(ISBLANK(B791),"",IF(ROUND(B791,0)=ROUND(G791,0),"Pass","Fail"))</f>
        <v>Pass</v>
      </c>
      <c r="B791">
        <f t="shared" si="74"/>
        <v>56.76123046875</v>
      </c>
      <c r="C791">
        <v>0</v>
      </c>
      <c r="D791">
        <v>100</v>
      </c>
      <c r="E791">
        <v>20</v>
      </c>
      <c r="F791">
        <v>8</v>
      </c>
      <c r="G791">
        <v>56.7612280807231</v>
      </c>
      <c r="M791" t="str">
        <f t="shared" si="75"/>
        <v>Pass</v>
      </c>
      <c r="N791">
        <f t="shared" si="76"/>
        <v>0.29212227463722229</v>
      </c>
      <c r="O791">
        <v>40</v>
      </c>
      <c r="P791">
        <v>30</v>
      </c>
      <c r="Q791">
        <v>2.5</v>
      </c>
      <c r="R791" t="b">
        <v>0</v>
      </c>
      <c r="S791">
        <v>0.29212229196713801</v>
      </c>
      <c r="Y791" t="str">
        <f t="shared" si="77"/>
        <v>Pass</v>
      </c>
      <c r="Z791">
        <f t="shared" si="78"/>
        <v>107218.4296875</v>
      </c>
      <c r="AA791">
        <v>12000</v>
      </c>
      <c r="AB791">
        <v>20</v>
      </c>
      <c r="AC791">
        <v>10</v>
      </c>
      <c r="AD791">
        <v>0.2</v>
      </c>
      <c r="AE791">
        <v>107218.42487865999</v>
      </c>
    </row>
    <row r="792" spans="1:31" x14ac:dyDescent="0.3">
      <c r="A792" t="str">
        <f>IF(ISBLANK(B792),"",IF(ROUND(B792,0)=ROUND(G792,0),"Pass","Fail"))</f>
        <v>Pass</v>
      </c>
      <c r="B792">
        <f t="shared" si="74"/>
        <v>39.979995727539063</v>
      </c>
      <c r="C792">
        <v>0</v>
      </c>
      <c r="D792">
        <v>100</v>
      </c>
      <c r="E792">
        <v>20</v>
      </c>
      <c r="F792">
        <v>16</v>
      </c>
      <c r="G792">
        <v>39.9799972471017</v>
      </c>
      <c r="M792" t="str">
        <f t="shared" si="75"/>
        <v>Pass</v>
      </c>
      <c r="N792">
        <f t="shared" si="76"/>
        <v>1.5035949647426605E-2</v>
      </c>
      <c r="O792">
        <v>40</v>
      </c>
      <c r="P792">
        <v>30</v>
      </c>
      <c r="Q792">
        <v>3</v>
      </c>
      <c r="R792" t="b">
        <v>1</v>
      </c>
      <c r="S792">
        <v>1.50359502263555E-2</v>
      </c>
      <c r="Y792" t="str">
        <f t="shared" si="77"/>
        <v>Pass</v>
      </c>
      <c r="Z792">
        <f t="shared" si="78"/>
        <v>112750.9765625</v>
      </c>
      <c r="AA792">
        <v>12000</v>
      </c>
      <c r="AB792">
        <v>20</v>
      </c>
      <c r="AC792">
        <v>12</v>
      </c>
      <c r="AD792">
        <v>0.2</v>
      </c>
      <c r="AE792">
        <v>112750.973792112</v>
      </c>
    </row>
    <row r="793" spans="1:31" x14ac:dyDescent="0.3">
      <c r="A793" t="str">
        <f>IF(ISBLANK(B793),"",IF(ROUND(B793,0)=ROUND(G793,0),"Pass","Fail"))</f>
        <v>Pass</v>
      </c>
      <c r="B793">
        <f t="shared" si="74"/>
        <v>31.532577514648438</v>
      </c>
      <c r="C793">
        <v>0</v>
      </c>
      <c r="D793">
        <v>100</v>
      </c>
      <c r="E793">
        <v>20</v>
      </c>
      <c r="F793">
        <v>24</v>
      </c>
      <c r="G793">
        <v>31.532577413736199</v>
      </c>
      <c r="M793" t="str">
        <f t="shared" si="75"/>
        <v>Pass</v>
      </c>
      <c r="N793">
        <f t="shared" si="76"/>
        <v>0.30446603894233704</v>
      </c>
      <c r="O793">
        <v>40</v>
      </c>
      <c r="P793">
        <v>30</v>
      </c>
      <c r="Q793">
        <v>3</v>
      </c>
      <c r="R793" t="b">
        <v>0</v>
      </c>
      <c r="S793">
        <v>0.30446602850785698</v>
      </c>
      <c r="Y793" t="str">
        <f t="shared" si="77"/>
        <v>Pass</v>
      </c>
      <c r="Z793">
        <f t="shared" si="78"/>
        <v>116459.546875</v>
      </c>
      <c r="AA793">
        <v>12000</v>
      </c>
      <c r="AB793">
        <v>20</v>
      </c>
      <c r="AC793">
        <v>14</v>
      </c>
      <c r="AD793">
        <v>0.2</v>
      </c>
      <c r="AE793">
        <v>116459.552234473</v>
      </c>
    </row>
    <row r="794" spans="1:31" x14ac:dyDescent="0.3">
      <c r="A794" t="str">
        <f>IF(ISBLANK(B794),"",IF(ROUND(B794,0)=ROUND(G794,0),"Pass","Fail"))</f>
        <v>Pass</v>
      </c>
      <c r="B794">
        <f t="shared" si="74"/>
        <v>27.2802734375</v>
      </c>
      <c r="C794">
        <v>0</v>
      </c>
      <c r="D794">
        <v>100</v>
      </c>
      <c r="E794">
        <v>20</v>
      </c>
      <c r="F794">
        <v>32</v>
      </c>
      <c r="G794">
        <v>27.280273005994601</v>
      </c>
      <c r="M794" t="str">
        <f t="shared" si="75"/>
        <v>Pass</v>
      </c>
      <c r="N794">
        <f t="shared" si="76"/>
        <v>1.5571404248476028E-2</v>
      </c>
      <c r="O794">
        <v>40</v>
      </c>
      <c r="P794">
        <v>30</v>
      </c>
      <c r="Q794">
        <v>3.5</v>
      </c>
      <c r="R794" t="b">
        <v>1</v>
      </c>
      <c r="S794">
        <v>1.55714050047925E-2</v>
      </c>
      <c r="Y794" t="str">
        <f t="shared" si="77"/>
        <v>Pass</v>
      </c>
      <c r="Z794">
        <f t="shared" si="78"/>
        <v>118945.484375</v>
      </c>
      <c r="AA794">
        <v>12000</v>
      </c>
      <c r="AB794">
        <v>20</v>
      </c>
      <c r="AC794">
        <v>16</v>
      </c>
      <c r="AD794">
        <v>0.2</v>
      </c>
      <c r="AE794">
        <v>118945.486706682</v>
      </c>
    </row>
    <row r="795" spans="1:31" x14ac:dyDescent="0.3">
      <c r="A795" t="str">
        <f>IF(ISBLANK(B795),"",IF(ROUND(B795,0)=ROUND(G795,0),"Pass","Fail"))</f>
        <v>Pass</v>
      </c>
      <c r="B795">
        <f t="shared" si="74"/>
        <v>25.139726638793945</v>
      </c>
      <c r="C795">
        <v>0</v>
      </c>
      <c r="D795">
        <v>100</v>
      </c>
      <c r="E795">
        <v>20</v>
      </c>
      <c r="F795">
        <v>40</v>
      </c>
      <c r="G795">
        <v>25.139726764327101</v>
      </c>
      <c r="M795" t="str">
        <f t="shared" si="75"/>
        <v>Pass</v>
      </c>
      <c r="N795">
        <f t="shared" si="76"/>
        <v>0.31530857086181641</v>
      </c>
      <c r="O795">
        <v>40</v>
      </c>
      <c r="P795">
        <v>30</v>
      </c>
      <c r="Q795">
        <v>3.5</v>
      </c>
      <c r="R795" t="b">
        <v>0</v>
      </c>
      <c r="S795">
        <v>0.31530856172870397</v>
      </c>
      <c r="Y795" t="str">
        <f t="shared" si="77"/>
        <v>Pass</v>
      </c>
      <c r="Z795">
        <f t="shared" si="78"/>
        <v>120611.859375</v>
      </c>
      <c r="AA795">
        <v>12000</v>
      </c>
      <c r="AB795">
        <v>20</v>
      </c>
      <c r="AC795">
        <v>18</v>
      </c>
      <c r="AD795">
        <v>0.2</v>
      </c>
      <c r="AE795">
        <v>120611.858416535</v>
      </c>
    </row>
    <row r="796" spans="1:31" x14ac:dyDescent="0.3">
      <c r="A796" t="str">
        <f>IF(ISBLANK(B796),"",IF(ROUND(B796,0)=ROUND(G796,0),"Pass","Fail"))</f>
        <v>Pass</v>
      </c>
      <c r="B796">
        <f t="shared" si="74"/>
        <v>24.062206268310547</v>
      </c>
      <c r="C796">
        <v>0</v>
      </c>
      <c r="D796">
        <v>100</v>
      </c>
      <c r="E796">
        <v>20</v>
      </c>
      <c r="F796">
        <v>48</v>
      </c>
      <c r="G796">
        <v>24.062207900819701</v>
      </c>
      <c r="M796" t="str">
        <f t="shared" si="75"/>
        <v>Pass</v>
      </c>
      <c r="N796">
        <f t="shared" si="76"/>
        <v>1.605062372982502E-2</v>
      </c>
      <c r="O796">
        <v>40</v>
      </c>
      <c r="P796">
        <v>30</v>
      </c>
      <c r="Q796">
        <v>4</v>
      </c>
      <c r="R796" t="b">
        <v>1</v>
      </c>
      <c r="S796">
        <v>1.6050625902317001E-2</v>
      </c>
      <c r="Y796" t="str">
        <f t="shared" si="77"/>
        <v>Pass</v>
      </c>
      <c r="Z796">
        <f t="shared" si="78"/>
        <v>121728.8671875</v>
      </c>
      <c r="AA796">
        <v>12000</v>
      </c>
      <c r="AB796">
        <v>20</v>
      </c>
      <c r="AC796">
        <v>20</v>
      </c>
      <c r="AD796">
        <v>0.2</v>
      </c>
      <c r="AE796">
        <v>121728.860777796</v>
      </c>
    </row>
    <row r="797" spans="1:31" x14ac:dyDescent="0.3">
      <c r="A797" t="str">
        <f>IF(ISBLANK(B797),"",IF(ROUND(B797,0)=ROUND(G797,0),"Pass","Fail"))</f>
        <v>Pass</v>
      </c>
      <c r="B797">
        <f t="shared" si="74"/>
        <v>90.097999572753906</v>
      </c>
      <c r="C797">
        <v>0</v>
      </c>
      <c r="D797">
        <v>100</v>
      </c>
      <c r="E797">
        <v>30</v>
      </c>
      <c r="F797">
        <v>0</v>
      </c>
      <c r="G797">
        <v>90.097999999999999</v>
      </c>
      <c r="M797" t="str">
        <f t="shared" si="75"/>
        <v>Pass</v>
      </c>
      <c r="N797">
        <f t="shared" si="76"/>
        <v>0.32501238584518433</v>
      </c>
      <c r="O797">
        <v>40</v>
      </c>
      <c r="P797">
        <v>30</v>
      </c>
      <c r="Q797">
        <v>4</v>
      </c>
      <c r="R797" t="b">
        <v>0</v>
      </c>
      <c r="S797">
        <v>0.32501240360439099</v>
      </c>
      <c r="Y797" t="str">
        <f t="shared" si="77"/>
        <v>Pass</v>
      </c>
      <c r="Z797">
        <f t="shared" si="78"/>
        <v>122477.6171875</v>
      </c>
      <c r="AA797">
        <v>12000</v>
      </c>
      <c r="AB797">
        <v>20</v>
      </c>
      <c r="AC797">
        <v>22</v>
      </c>
      <c r="AD797">
        <v>0.2</v>
      </c>
      <c r="AE797">
        <v>122477.609852019</v>
      </c>
    </row>
    <row r="798" spans="1:31" x14ac:dyDescent="0.3">
      <c r="A798" t="str">
        <f>IF(ISBLANK(B798),"",IF(ROUND(B798,0)=ROUND(G798,0),"Pass","Fail"))</f>
        <v>Pass</v>
      </c>
      <c r="B798">
        <f t="shared" si="74"/>
        <v>56.76123046875</v>
      </c>
      <c r="C798">
        <v>0</v>
      </c>
      <c r="D798">
        <v>100</v>
      </c>
      <c r="E798">
        <v>30</v>
      </c>
      <c r="F798">
        <v>8</v>
      </c>
      <c r="G798">
        <v>56.7612280807231</v>
      </c>
      <c r="M798" t="str">
        <f t="shared" si="75"/>
        <v>Pass</v>
      </c>
      <c r="N798">
        <f t="shared" si="76"/>
        <v>0</v>
      </c>
      <c r="O798">
        <v>40</v>
      </c>
      <c r="P798">
        <v>40</v>
      </c>
      <c r="Q798">
        <v>0</v>
      </c>
      <c r="R798" t="b">
        <v>1</v>
      </c>
      <c r="S798">
        <v>0</v>
      </c>
      <c r="Y798" t="str">
        <f t="shared" si="77"/>
        <v>Pass</v>
      </c>
      <c r="Z798">
        <f t="shared" si="78"/>
        <v>122979.515625</v>
      </c>
      <c r="AA798">
        <v>12000</v>
      </c>
      <c r="AB798">
        <v>20</v>
      </c>
      <c r="AC798">
        <v>24</v>
      </c>
      <c r="AD798">
        <v>0.2</v>
      </c>
      <c r="AE798">
        <v>122979.511365921</v>
      </c>
    </row>
    <row r="799" spans="1:31" x14ac:dyDescent="0.3">
      <c r="A799" t="str">
        <f>IF(ISBLANK(B799),"",IF(ROUND(B799,0)=ROUND(G799,0),"Pass","Fail"))</f>
        <v>Pass</v>
      </c>
      <c r="B799">
        <f t="shared" si="74"/>
        <v>39.979995727539063</v>
      </c>
      <c r="C799">
        <v>0</v>
      </c>
      <c r="D799">
        <v>100</v>
      </c>
      <c r="E799">
        <v>30</v>
      </c>
      <c r="F799">
        <v>16</v>
      </c>
      <c r="G799">
        <v>39.9799972471017</v>
      </c>
      <c r="M799" t="str">
        <f t="shared" si="75"/>
        <v>Pass</v>
      </c>
      <c r="N799">
        <f t="shared" si="76"/>
        <v>0</v>
      </c>
      <c r="O799">
        <v>40</v>
      </c>
      <c r="P799">
        <v>40</v>
      </c>
      <c r="Q799">
        <v>0</v>
      </c>
      <c r="R799" t="b">
        <v>0</v>
      </c>
      <c r="S799">
        <v>0</v>
      </c>
      <c r="Y799" t="str">
        <f t="shared" si="77"/>
        <v>Pass</v>
      </c>
      <c r="Z799">
        <f t="shared" si="78"/>
        <v>0</v>
      </c>
      <c r="AA799">
        <v>12200</v>
      </c>
      <c r="AB799">
        <v>20</v>
      </c>
      <c r="AC799">
        <v>0</v>
      </c>
      <c r="AD799">
        <v>0.2</v>
      </c>
      <c r="AE799">
        <v>0</v>
      </c>
    </row>
    <row r="800" spans="1:31" x14ac:dyDescent="0.3">
      <c r="A800" t="str">
        <f>IF(ISBLANK(B800),"",IF(ROUND(B800,0)=ROUND(G800,0),"Pass","Fail"))</f>
        <v>Pass</v>
      </c>
      <c r="B800">
        <f t="shared" si="74"/>
        <v>31.532577514648438</v>
      </c>
      <c r="C800">
        <v>0</v>
      </c>
      <c r="D800">
        <v>100</v>
      </c>
      <c r="E800">
        <v>30</v>
      </c>
      <c r="F800">
        <v>24</v>
      </c>
      <c r="G800">
        <v>31.532577413736199</v>
      </c>
      <c r="M800" t="str">
        <f t="shared" si="75"/>
        <v>Pass</v>
      </c>
      <c r="N800">
        <f t="shared" si="76"/>
        <v>1.8349775928072631E-4</v>
      </c>
      <c r="O800">
        <v>40</v>
      </c>
      <c r="P800">
        <v>40</v>
      </c>
      <c r="Q800">
        <v>0.5</v>
      </c>
      <c r="R800" t="b">
        <v>1</v>
      </c>
      <c r="S800">
        <v>1.83497772418977E-4</v>
      </c>
      <c r="Y800" t="str">
        <f t="shared" si="77"/>
        <v>Pass</v>
      </c>
      <c r="Z800">
        <f t="shared" si="78"/>
        <v>41561.65234375</v>
      </c>
      <c r="AA800">
        <v>12200</v>
      </c>
      <c r="AB800">
        <v>20</v>
      </c>
      <c r="AC800">
        <v>2</v>
      </c>
      <c r="AD800">
        <v>0.2</v>
      </c>
      <c r="AE800">
        <v>41561.652863107003</v>
      </c>
    </row>
    <row r="801" spans="1:31" x14ac:dyDescent="0.3">
      <c r="A801" t="str">
        <f>IF(ISBLANK(B801),"",IF(ROUND(B801,0)=ROUND(G801,0),"Pass","Fail"))</f>
        <v>Pass</v>
      </c>
      <c r="B801">
        <f t="shared" si="74"/>
        <v>27.2802734375</v>
      </c>
      <c r="C801">
        <v>0</v>
      </c>
      <c r="D801">
        <v>100</v>
      </c>
      <c r="E801">
        <v>30</v>
      </c>
      <c r="F801">
        <v>32</v>
      </c>
      <c r="G801">
        <v>27.280273005994601</v>
      </c>
      <c r="M801" t="str">
        <f t="shared" si="75"/>
        <v>Pass</v>
      </c>
      <c r="N801">
        <f t="shared" si="76"/>
        <v>3.7156837061047554E-3</v>
      </c>
      <c r="O801">
        <v>40</v>
      </c>
      <c r="P801">
        <v>40</v>
      </c>
      <c r="Q801">
        <v>0.5</v>
      </c>
      <c r="R801" t="b">
        <v>0</v>
      </c>
      <c r="S801">
        <v>3.71568388877185E-3</v>
      </c>
      <c r="Y801" t="str">
        <f t="shared" si="77"/>
        <v>Pass</v>
      </c>
      <c r="Z801">
        <f t="shared" si="78"/>
        <v>69421.265625</v>
      </c>
      <c r="AA801">
        <v>12200</v>
      </c>
      <c r="AB801">
        <v>20</v>
      </c>
      <c r="AC801">
        <v>4</v>
      </c>
      <c r="AD801">
        <v>0.2</v>
      </c>
      <c r="AE801">
        <v>69421.261923622194</v>
      </c>
    </row>
    <row r="802" spans="1:31" x14ac:dyDescent="0.3">
      <c r="A802" t="str">
        <f>IF(ISBLANK(B802),"",IF(ROUND(B802,0)=ROUND(G802,0),"Pass","Fail"))</f>
        <v>Pass</v>
      </c>
      <c r="B802">
        <f t="shared" si="74"/>
        <v>25.139726638793945</v>
      </c>
      <c r="C802">
        <v>0</v>
      </c>
      <c r="D802">
        <v>100</v>
      </c>
      <c r="E802">
        <v>30</v>
      </c>
      <c r="F802">
        <v>40</v>
      </c>
      <c r="G802">
        <v>25.139726764327101</v>
      </c>
      <c r="M802" t="str">
        <f t="shared" si="75"/>
        <v>Pass</v>
      </c>
      <c r="N802">
        <f t="shared" si="76"/>
        <v>2.1476551773957908E-4</v>
      </c>
      <c r="O802">
        <v>40</v>
      </c>
      <c r="P802">
        <v>40</v>
      </c>
      <c r="Q802">
        <v>1</v>
      </c>
      <c r="R802" t="b">
        <v>1</v>
      </c>
      <c r="S802">
        <v>2.1476554355278501E-4</v>
      </c>
      <c r="Y802" t="str">
        <f t="shared" si="77"/>
        <v>Pass</v>
      </c>
      <c r="Z802">
        <f t="shared" si="78"/>
        <v>88096.1171875</v>
      </c>
      <c r="AA802">
        <v>12200</v>
      </c>
      <c r="AB802">
        <v>20</v>
      </c>
      <c r="AC802">
        <v>6</v>
      </c>
      <c r="AD802">
        <v>0.2</v>
      </c>
      <c r="AE802">
        <v>88096.116351601697</v>
      </c>
    </row>
    <row r="803" spans="1:31" x14ac:dyDescent="0.3">
      <c r="A803" t="str">
        <f>IF(ISBLANK(B803),"",IF(ROUND(B803,0)=ROUND(G803,0),"Pass","Fail"))</f>
        <v>Pass</v>
      </c>
      <c r="B803">
        <f t="shared" si="74"/>
        <v>24.062206268310547</v>
      </c>
      <c r="C803">
        <v>0</v>
      </c>
      <c r="D803">
        <v>100</v>
      </c>
      <c r="E803">
        <v>30</v>
      </c>
      <c r="F803">
        <v>48</v>
      </c>
      <c r="G803">
        <v>24.062207900819701</v>
      </c>
      <c r="M803" t="str">
        <f t="shared" si="75"/>
        <v>Pass</v>
      </c>
      <c r="N803">
        <f t="shared" si="76"/>
        <v>4.3488312512636185E-3</v>
      </c>
      <c r="O803">
        <v>40</v>
      </c>
      <c r="P803">
        <v>40</v>
      </c>
      <c r="Q803">
        <v>1</v>
      </c>
      <c r="R803" t="b">
        <v>0</v>
      </c>
      <c r="S803">
        <v>4.3488313755675901E-3</v>
      </c>
      <c r="Y803" t="str">
        <f t="shared" si="77"/>
        <v>Pass</v>
      </c>
      <c r="Z803">
        <f t="shared" si="78"/>
        <v>100614.2421875</v>
      </c>
      <c r="AA803">
        <v>12200</v>
      </c>
      <c r="AB803">
        <v>20</v>
      </c>
      <c r="AC803">
        <v>8</v>
      </c>
      <c r="AD803">
        <v>0.2</v>
      </c>
      <c r="AE803">
        <v>100614.24563147299</v>
      </c>
    </row>
    <row r="804" spans="1:31" x14ac:dyDescent="0.3">
      <c r="A804" t="str">
        <f>IF(ISBLANK(B804),"",IF(ROUND(B804,0)=ROUND(G804,0),"Pass","Fail"))</f>
        <v>Pass</v>
      </c>
      <c r="B804">
        <f t="shared" si="74"/>
        <v>90.097999572753906</v>
      </c>
      <c r="C804">
        <v>0</v>
      </c>
      <c r="D804">
        <v>100</v>
      </c>
      <c r="E804">
        <v>40</v>
      </c>
      <c r="F804">
        <v>0</v>
      </c>
      <c r="G804">
        <v>90.097999999999999</v>
      </c>
      <c r="M804" t="str">
        <f t="shared" si="75"/>
        <v>Pass</v>
      </c>
      <c r="N804">
        <f t="shared" si="76"/>
        <v>2.3547091404907405E-4</v>
      </c>
      <c r="O804">
        <v>40</v>
      </c>
      <c r="P804">
        <v>40</v>
      </c>
      <c r="Q804">
        <v>1.5</v>
      </c>
      <c r="R804" t="b">
        <v>1</v>
      </c>
      <c r="S804">
        <v>2.3547094205510899E-4</v>
      </c>
      <c r="Y804" t="str">
        <f t="shared" si="77"/>
        <v>Pass</v>
      </c>
      <c r="Z804">
        <f t="shared" si="78"/>
        <v>109005.40625</v>
      </c>
      <c r="AA804">
        <v>12200</v>
      </c>
      <c r="AB804">
        <v>20</v>
      </c>
      <c r="AC804">
        <v>10</v>
      </c>
      <c r="AD804">
        <v>0.2</v>
      </c>
      <c r="AE804">
        <v>109005.398626637</v>
      </c>
    </row>
    <row r="805" spans="1:31" x14ac:dyDescent="0.3">
      <c r="A805" t="str">
        <f>IF(ISBLANK(B805),"",IF(ROUND(B805,0)=ROUND(G805,0),"Pass","Fail"))</f>
        <v>Pass</v>
      </c>
      <c r="B805">
        <f t="shared" si="74"/>
        <v>56.76123046875</v>
      </c>
      <c r="C805">
        <v>0</v>
      </c>
      <c r="D805">
        <v>100</v>
      </c>
      <c r="E805">
        <v>40</v>
      </c>
      <c r="F805">
        <v>8</v>
      </c>
      <c r="G805">
        <v>56.7612280807231</v>
      </c>
      <c r="M805" t="str">
        <f t="shared" si="75"/>
        <v>Pass</v>
      </c>
      <c r="N805">
        <f t="shared" si="76"/>
        <v>4.7680996358394623E-3</v>
      </c>
      <c r="O805">
        <v>40</v>
      </c>
      <c r="P805">
        <v>40</v>
      </c>
      <c r="Q805">
        <v>1.5</v>
      </c>
      <c r="R805" t="b">
        <v>0</v>
      </c>
      <c r="S805">
        <v>4.76809922068357E-3</v>
      </c>
      <c r="Y805" t="str">
        <f t="shared" si="77"/>
        <v>Pass</v>
      </c>
      <c r="Z805">
        <f t="shared" si="78"/>
        <v>114630.15625</v>
      </c>
      <c r="AA805">
        <v>12200</v>
      </c>
      <c r="AB805">
        <v>20</v>
      </c>
      <c r="AC805">
        <v>12</v>
      </c>
      <c r="AD805">
        <v>0.2</v>
      </c>
      <c r="AE805">
        <v>114630.156688648</v>
      </c>
    </row>
    <row r="806" spans="1:31" x14ac:dyDescent="0.3">
      <c r="A806" t="str">
        <f>IF(ISBLANK(B806),"",IF(ROUND(B806,0)=ROUND(G806,0),"Pass","Fail"))</f>
        <v>Pass</v>
      </c>
      <c r="B806">
        <f t="shared" si="74"/>
        <v>39.979995727539063</v>
      </c>
      <c r="C806">
        <v>0</v>
      </c>
      <c r="D806">
        <v>100</v>
      </c>
      <c r="E806">
        <v>40</v>
      </c>
      <c r="F806">
        <v>16</v>
      </c>
      <c r="G806">
        <v>39.9799972471017</v>
      </c>
      <c r="M806" t="str">
        <f t="shared" si="75"/>
        <v>Pass</v>
      </c>
      <c r="N806">
        <f t="shared" si="76"/>
        <v>2.5136128533631563E-4</v>
      </c>
      <c r="O806">
        <v>40</v>
      </c>
      <c r="P806">
        <v>40</v>
      </c>
      <c r="Q806">
        <v>2</v>
      </c>
      <c r="R806" t="b">
        <v>1</v>
      </c>
      <c r="S806">
        <v>2.5136130040973102E-4</v>
      </c>
      <c r="Y806" t="str">
        <f t="shared" si="77"/>
        <v>Pass</v>
      </c>
      <c r="Z806">
        <f t="shared" si="78"/>
        <v>118400.5390625</v>
      </c>
      <c r="AA806">
        <v>12200</v>
      </c>
      <c r="AB806">
        <v>20</v>
      </c>
      <c r="AC806">
        <v>14</v>
      </c>
      <c r="AD806">
        <v>0.2</v>
      </c>
      <c r="AE806">
        <v>118400.54477171401</v>
      </c>
    </row>
    <row r="807" spans="1:31" x14ac:dyDescent="0.3">
      <c r="A807" t="str">
        <f>IF(ISBLANK(B807),"",IF(ROUND(B807,0)=ROUND(G807,0),"Pass","Fail"))</f>
        <v>Pass</v>
      </c>
      <c r="B807">
        <f t="shared" si="74"/>
        <v>31.532577514648438</v>
      </c>
      <c r="C807">
        <v>0</v>
      </c>
      <c r="D807">
        <v>100</v>
      </c>
      <c r="E807">
        <v>40</v>
      </c>
      <c r="F807">
        <v>24</v>
      </c>
      <c r="G807">
        <v>31.532577413736199</v>
      </c>
      <c r="M807" t="str">
        <f t="shared" si="75"/>
        <v>Pass</v>
      </c>
      <c r="N807">
        <f t="shared" si="76"/>
        <v>5.0898664630949497E-3</v>
      </c>
      <c r="O807">
        <v>40</v>
      </c>
      <c r="P807">
        <v>40</v>
      </c>
      <c r="Q807">
        <v>2</v>
      </c>
      <c r="R807" t="b">
        <v>0</v>
      </c>
      <c r="S807">
        <v>5.0898663339663799E-3</v>
      </c>
      <c r="Y807" t="str">
        <f t="shared" si="77"/>
        <v>Pass</v>
      </c>
      <c r="Z807">
        <f t="shared" si="78"/>
        <v>120927.90625</v>
      </c>
      <c r="AA807">
        <v>12200</v>
      </c>
      <c r="AB807">
        <v>20</v>
      </c>
      <c r="AC807">
        <v>16</v>
      </c>
      <c r="AD807">
        <v>0.2</v>
      </c>
      <c r="AE807">
        <v>120927.911485127</v>
      </c>
    </row>
    <row r="808" spans="1:31" x14ac:dyDescent="0.3">
      <c r="A808" t="str">
        <f>IF(ISBLANK(B808),"",IF(ROUND(B808,0)=ROUND(G808,0),"Pass","Fail"))</f>
        <v>Pass</v>
      </c>
      <c r="B808">
        <f t="shared" si="74"/>
        <v>27.2802734375</v>
      </c>
      <c r="C808">
        <v>0</v>
      </c>
      <c r="D808">
        <v>100</v>
      </c>
      <c r="E808">
        <v>40</v>
      </c>
      <c r="F808">
        <v>32</v>
      </c>
      <c r="G808">
        <v>27.280273005994601</v>
      </c>
      <c r="M808" t="str">
        <f t="shared" si="75"/>
        <v>Pass</v>
      </c>
      <c r="N808">
        <f t="shared" si="76"/>
        <v>2.6442162925377488E-4</v>
      </c>
      <c r="O808">
        <v>40</v>
      </c>
      <c r="P808">
        <v>40</v>
      </c>
      <c r="Q808">
        <v>2.5</v>
      </c>
      <c r="R808" t="b">
        <v>1</v>
      </c>
      <c r="S808">
        <v>2.6442163572183198E-4</v>
      </c>
      <c r="Y808" t="str">
        <f t="shared" si="77"/>
        <v>Pass</v>
      </c>
      <c r="Z808">
        <f t="shared" si="78"/>
        <v>122622.0625</v>
      </c>
      <c r="AA808">
        <v>12200</v>
      </c>
      <c r="AB808">
        <v>20</v>
      </c>
      <c r="AC808">
        <v>18</v>
      </c>
      <c r="AD808">
        <v>0.2</v>
      </c>
      <c r="AE808">
        <v>122622.05605681099</v>
      </c>
    </row>
    <row r="809" spans="1:31" x14ac:dyDescent="0.3">
      <c r="A809" t="str">
        <f>IF(ISBLANK(B809),"",IF(ROUND(B809,0)=ROUND(G809,0),"Pass","Fail"))</f>
        <v>Pass</v>
      </c>
      <c r="B809">
        <f t="shared" si="74"/>
        <v>25.139726638793945</v>
      </c>
      <c r="C809">
        <v>0</v>
      </c>
      <c r="D809">
        <v>100</v>
      </c>
      <c r="E809">
        <v>40</v>
      </c>
      <c r="F809">
        <v>40</v>
      </c>
      <c r="G809">
        <v>25.139726764327101</v>
      </c>
      <c r="M809" t="str">
        <f t="shared" si="75"/>
        <v>Pass</v>
      </c>
      <c r="N809">
        <f t="shared" si="76"/>
        <v>5.3543276153504848E-3</v>
      </c>
      <c r="O809">
        <v>40</v>
      </c>
      <c r="P809">
        <v>40</v>
      </c>
      <c r="Q809">
        <v>2.5</v>
      </c>
      <c r="R809" t="b">
        <v>0</v>
      </c>
      <c r="S809">
        <v>5.3543277323877701E-3</v>
      </c>
      <c r="Y809" t="str">
        <f t="shared" si="77"/>
        <v>Pass</v>
      </c>
      <c r="Z809">
        <f t="shared" si="78"/>
        <v>123757.6796875</v>
      </c>
      <c r="AA809">
        <v>12200</v>
      </c>
      <c r="AB809">
        <v>20</v>
      </c>
      <c r="AC809">
        <v>20</v>
      </c>
      <c r="AD809">
        <v>0.2</v>
      </c>
      <c r="AE809">
        <v>123757.675124093</v>
      </c>
    </row>
    <row r="810" spans="1:31" x14ac:dyDescent="0.3">
      <c r="A810" t="str">
        <f>IF(ISBLANK(B810),"",IF(ROUND(B810,0)=ROUND(G810,0),"Pass","Fail"))</f>
        <v>Pass</v>
      </c>
      <c r="B810">
        <f t="shared" si="74"/>
        <v>24.062206268310547</v>
      </c>
      <c r="C810">
        <v>0</v>
      </c>
      <c r="D810">
        <v>100</v>
      </c>
      <c r="E810">
        <v>40</v>
      </c>
      <c r="F810">
        <v>48</v>
      </c>
      <c r="G810">
        <v>24.062207900819701</v>
      </c>
      <c r="M810" t="str">
        <f t="shared" si="75"/>
        <v>Pass</v>
      </c>
      <c r="N810">
        <f t="shared" si="76"/>
        <v>2.7559485170058906E-4</v>
      </c>
      <c r="O810">
        <v>40</v>
      </c>
      <c r="P810">
        <v>40</v>
      </c>
      <c r="Q810">
        <v>3</v>
      </c>
      <c r="R810" t="b">
        <v>1</v>
      </c>
      <c r="S810">
        <v>2.7559487068804103E-4</v>
      </c>
      <c r="Y810" t="str">
        <f t="shared" si="77"/>
        <v>Pass</v>
      </c>
      <c r="Z810">
        <f t="shared" si="78"/>
        <v>124518.9140625</v>
      </c>
      <c r="AA810">
        <v>12200</v>
      </c>
      <c r="AB810">
        <v>20</v>
      </c>
      <c r="AC810">
        <v>22</v>
      </c>
      <c r="AD810">
        <v>0.2</v>
      </c>
      <c r="AE810">
        <v>124518.903349553</v>
      </c>
    </row>
    <row r="811" spans="1:31" x14ac:dyDescent="0.3">
      <c r="A811" t="str">
        <f>IF(ISBLANK(B811),"",IF(ROUND(B811,0)=ROUND(G811,0),"Pass","Fail"))</f>
        <v>Pass</v>
      </c>
      <c r="B811">
        <f t="shared" si="74"/>
        <v>90.097999572753906</v>
      </c>
      <c r="C811">
        <v>0</v>
      </c>
      <c r="D811">
        <v>100</v>
      </c>
      <c r="E811">
        <v>50</v>
      </c>
      <c r="F811">
        <v>0</v>
      </c>
      <c r="G811">
        <v>90.097999999999999</v>
      </c>
      <c r="M811" t="str">
        <f t="shared" si="75"/>
        <v>Pass</v>
      </c>
      <c r="N811">
        <f t="shared" si="76"/>
        <v>5.5805770680308342E-3</v>
      </c>
      <c r="O811">
        <v>40</v>
      </c>
      <c r="P811">
        <v>40</v>
      </c>
      <c r="Q811">
        <v>3</v>
      </c>
      <c r="R811" t="b">
        <v>0</v>
      </c>
      <c r="S811">
        <v>5.5805768503041E-3</v>
      </c>
      <c r="Y811" t="str">
        <f t="shared" si="77"/>
        <v>Pass</v>
      </c>
      <c r="Z811">
        <f t="shared" si="78"/>
        <v>125029.1796875</v>
      </c>
      <c r="AA811">
        <v>12200</v>
      </c>
      <c r="AB811">
        <v>20</v>
      </c>
      <c r="AC811">
        <v>24</v>
      </c>
      <c r="AD811">
        <v>0.2</v>
      </c>
      <c r="AE811">
        <v>125029.169888686</v>
      </c>
    </row>
    <row r="812" spans="1:31" x14ac:dyDescent="0.3">
      <c r="A812" t="str">
        <f>IF(ISBLANK(B812),"",IF(ROUND(B812,0)=ROUND(G812,0),"Pass","Fail"))</f>
        <v>Pass</v>
      </c>
      <c r="B812">
        <f t="shared" si="74"/>
        <v>56.76123046875</v>
      </c>
      <c r="C812">
        <v>0</v>
      </c>
      <c r="D812">
        <v>100</v>
      </c>
      <c r="E812">
        <v>50</v>
      </c>
      <c r="F812">
        <v>8</v>
      </c>
      <c r="G812">
        <v>56.7612280807231</v>
      </c>
      <c r="M812" t="str">
        <f t="shared" si="75"/>
        <v>Pass</v>
      </c>
      <c r="N812">
        <f t="shared" si="76"/>
        <v>2.854092454072088E-4</v>
      </c>
      <c r="O812">
        <v>40</v>
      </c>
      <c r="P812">
        <v>40</v>
      </c>
      <c r="Q812">
        <v>3.5</v>
      </c>
      <c r="R812" t="b">
        <v>1</v>
      </c>
      <c r="S812">
        <v>2.85409254760952E-4</v>
      </c>
      <c r="Y812" t="str">
        <f t="shared" si="77"/>
        <v>Pass</v>
      </c>
      <c r="Z812">
        <f t="shared" si="78"/>
        <v>0</v>
      </c>
      <c r="AA812">
        <v>12400</v>
      </c>
      <c r="AB812">
        <v>20</v>
      </c>
      <c r="AC812">
        <v>0</v>
      </c>
      <c r="AD812">
        <v>0.2</v>
      </c>
      <c r="AE812">
        <v>0</v>
      </c>
    </row>
    <row r="813" spans="1:31" x14ac:dyDescent="0.3">
      <c r="A813" t="str">
        <f>IF(ISBLANK(B813),"",IF(ROUND(B813,0)=ROUND(G813,0),"Pass","Fail"))</f>
        <v>Pass</v>
      </c>
      <c r="B813">
        <f t="shared" si="74"/>
        <v>39.979995727539063</v>
      </c>
      <c r="C813">
        <v>0</v>
      </c>
      <c r="D813">
        <v>100</v>
      </c>
      <c r="E813">
        <v>50</v>
      </c>
      <c r="F813">
        <v>16</v>
      </c>
      <c r="G813">
        <v>39.9799972471017</v>
      </c>
      <c r="M813" t="str">
        <f t="shared" si="75"/>
        <v>Pass</v>
      </c>
      <c r="N813">
        <f t="shared" si="76"/>
        <v>5.7793101295828819E-3</v>
      </c>
      <c r="O813">
        <v>40</v>
      </c>
      <c r="P813">
        <v>40</v>
      </c>
      <c r="Q813">
        <v>3.5</v>
      </c>
      <c r="R813" t="b">
        <v>0</v>
      </c>
      <c r="S813">
        <v>5.7793103188209299E-3</v>
      </c>
      <c r="Y813" t="str">
        <f t="shared" si="77"/>
        <v>Pass</v>
      </c>
      <c r="Z813">
        <f t="shared" si="78"/>
        <v>42242.98828125</v>
      </c>
      <c r="AA813">
        <v>12400</v>
      </c>
      <c r="AB813">
        <v>20</v>
      </c>
      <c r="AC813">
        <v>2</v>
      </c>
      <c r="AD813">
        <v>0.2</v>
      </c>
      <c r="AE813">
        <v>42242.991434633397</v>
      </c>
    </row>
    <row r="814" spans="1:31" x14ac:dyDescent="0.3">
      <c r="A814" t="str">
        <f>IF(ISBLANK(B814),"",IF(ROUND(B814,0)=ROUND(G814,0),"Pass","Fail"))</f>
        <v>Pass</v>
      </c>
      <c r="B814">
        <f t="shared" si="74"/>
        <v>31.532577514648438</v>
      </c>
      <c r="C814">
        <v>0</v>
      </c>
      <c r="D814">
        <v>100</v>
      </c>
      <c r="E814">
        <v>50</v>
      </c>
      <c r="F814">
        <v>24</v>
      </c>
      <c r="G814">
        <v>31.532577413736199</v>
      </c>
      <c r="M814" t="str">
        <f t="shared" si="75"/>
        <v>Pass</v>
      </c>
      <c r="N814">
        <f t="shared" si="76"/>
        <v>2.941928687505424E-4</v>
      </c>
      <c r="O814">
        <v>40</v>
      </c>
      <c r="P814">
        <v>40</v>
      </c>
      <c r="Q814">
        <v>4</v>
      </c>
      <c r="R814" t="b">
        <v>1</v>
      </c>
      <c r="S814">
        <v>2.9419292451883598E-4</v>
      </c>
      <c r="Y814" t="str">
        <f t="shared" si="77"/>
        <v>Pass</v>
      </c>
      <c r="Z814">
        <f t="shared" si="78"/>
        <v>70559.3203125</v>
      </c>
      <c r="AA814">
        <v>12400</v>
      </c>
      <c r="AB814">
        <v>20</v>
      </c>
      <c r="AC814">
        <v>4</v>
      </c>
      <c r="AD814">
        <v>0.2</v>
      </c>
      <c r="AE814">
        <v>70559.315397779996</v>
      </c>
    </row>
    <row r="815" spans="1:31" x14ac:dyDescent="0.3">
      <c r="A815" t="str">
        <f>IF(ISBLANK(B815),"",IF(ROUND(B815,0)=ROUND(G815,0),"Pass","Fail"))</f>
        <v>Pass</v>
      </c>
      <c r="B815">
        <f t="shared" si="74"/>
        <v>27.2802734375</v>
      </c>
      <c r="C815">
        <v>0</v>
      </c>
      <c r="D815">
        <v>100</v>
      </c>
      <c r="E815">
        <v>50</v>
      </c>
      <c r="F815">
        <v>32</v>
      </c>
      <c r="G815">
        <v>27.280273005994601</v>
      </c>
      <c r="M815" t="str">
        <f t="shared" si="75"/>
        <v>Pass</v>
      </c>
      <c r="N815">
        <f t="shared" si="76"/>
        <v>5.9571727178990841E-3</v>
      </c>
      <c r="O815">
        <v>40</v>
      </c>
      <c r="P815">
        <v>40</v>
      </c>
      <c r="Q815">
        <v>4</v>
      </c>
      <c r="R815" t="b">
        <v>0</v>
      </c>
      <c r="S815">
        <v>5.9571726425615102E-3</v>
      </c>
      <c r="Y815" t="str">
        <f t="shared" si="77"/>
        <v>Pass</v>
      </c>
      <c r="Z815">
        <f t="shared" si="78"/>
        <v>89540.3203125</v>
      </c>
      <c r="AA815">
        <v>12400</v>
      </c>
      <c r="AB815">
        <v>20</v>
      </c>
      <c r="AC815">
        <v>6</v>
      </c>
      <c r="AD815">
        <v>0.2</v>
      </c>
      <c r="AE815">
        <v>89540.3149803165</v>
      </c>
    </row>
    <row r="816" spans="1:31" x14ac:dyDescent="0.3">
      <c r="A816" t="str">
        <f>IF(ISBLANK(B816),"",IF(ROUND(B816,0)=ROUND(G816,0),"Pass","Fail"))</f>
        <v>Pass</v>
      </c>
      <c r="B816">
        <f t="shared" si="74"/>
        <v>25.139726638793945</v>
      </c>
      <c r="C816">
        <v>0</v>
      </c>
      <c r="D816">
        <v>100</v>
      </c>
      <c r="E816">
        <v>50</v>
      </c>
      <c r="F816">
        <v>40</v>
      </c>
      <c r="G816">
        <v>25.139726764327101</v>
      </c>
      <c r="M816" t="str">
        <f t="shared" si="75"/>
        <v>Pass</v>
      </c>
      <c r="N816">
        <f t="shared" si="76"/>
        <v>0</v>
      </c>
      <c r="O816">
        <v>40</v>
      </c>
      <c r="P816">
        <v>50</v>
      </c>
      <c r="Q816">
        <v>0</v>
      </c>
      <c r="R816" t="b">
        <v>1</v>
      </c>
      <c r="S816">
        <v>0</v>
      </c>
      <c r="Y816" t="str">
        <f t="shared" si="77"/>
        <v>Pass</v>
      </c>
      <c r="Z816">
        <f t="shared" si="78"/>
        <v>102263.65625</v>
      </c>
      <c r="AA816">
        <v>12400</v>
      </c>
      <c r="AB816">
        <v>20</v>
      </c>
      <c r="AC816">
        <v>8</v>
      </c>
      <c r="AD816">
        <v>0.2</v>
      </c>
      <c r="AE816">
        <v>102263.659494284</v>
      </c>
    </row>
    <row r="817" spans="1:31" x14ac:dyDescent="0.3">
      <c r="A817" t="str">
        <f>IF(ISBLANK(B817),"",IF(ROUND(B817,0)=ROUND(G817,0),"Pass","Fail"))</f>
        <v>Pass</v>
      </c>
      <c r="B817">
        <f t="shared" si="74"/>
        <v>24.062206268310547</v>
      </c>
      <c r="C817">
        <v>0</v>
      </c>
      <c r="D817">
        <v>100</v>
      </c>
      <c r="E817">
        <v>50</v>
      </c>
      <c r="F817">
        <v>48</v>
      </c>
      <c r="G817">
        <v>24.062207900819701</v>
      </c>
      <c r="M817" t="str">
        <f t="shared" si="75"/>
        <v>Pass</v>
      </c>
      <c r="N817">
        <f t="shared" si="76"/>
        <v>0</v>
      </c>
      <c r="O817">
        <v>40</v>
      </c>
      <c r="P817">
        <v>50</v>
      </c>
      <c r="Q817">
        <v>0</v>
      </c>
      <c r="R817" t="b">
        <v>0</v>
      </c>
      <c r="S817">
        <v>0</v>
      </c>
      <c r="Y817" t="str">
        <f t="shared" si="77"/>
        <v>Pass</v>
      </c>
      <c r="Z817">
        <f t="shared" si="78"/>
        <v>110792.375</v>
      </c>
      <c r="AA817">
        <v>12400</v>
      </c>
      <c r="AB817">
        <v>20</v>
      </c>
      <c r="AC817">
        <v>10</v>
      </c>
      <c r="AD817">
        <v>0.2</v>
      </c>
      <c r="AE817">
        <v>110792.37237461501</v>
      </c>
    </row>
    <row r="818" spans="1:31" x14ac:dyDescent="0.3">
      <c r="A818" t="str">
        <f>IF(ISBLANK(B818),"",IF(ROUND(B818,0)=ROUND(G818,0),"Pass","Fail"))</f>
        <v>Pass</v>
      </c>
      <c r="B818">
        <f t="shared" si="74"/>
        <v>90.097999572753906</v>
      </c>
      <c r="C818">
        <v>0</v>
      </c>
      <c r="D818">
        <v>100</v>
      </c>
      <c r="E818">
        <v>60</v>
      </c>
      <c r="F818">
        <v>0</v>
      </c>
      <c r="G818">
        <v>90.097999999999999</v>
      </c>
      <c r="M818" t="str">
        <f t="shared" si="75"/>
        <v>Pass</v>
      </c>
      <c r="N818">
        <f t="shared" si="76"/>
        <v>3.3609237561904592E-6</v>
      </c>
      <c r="O818">
        <v>40</v>
      </c>
      <c r="P818">
        <v>50</v>
      </c>
      <c r="Q818">
        <v>0.5</v>
      </c>
      <c r="R818" t="b">
        <v>1</v>
      </c>
      <c r="S818">
        <v>3.3609240520817199E-6</v>
      </c>
      <c r="Y818" t="str">
        <f t="shared" si="77"/>
        <v>Pass</v>
      </c>
      <c r="Z818">
        <f t="shared" si="78"/>
        <v>116509.34375</v>
      </c>
      <c r="AA818">
        <v>12400</v>
      </c>
      <c r="AB818">
        <v>20</v>
      </c>
      <c r="AC818">
        <v>12</v>
      </c>
      <c r="AD818">
        <v>0.2</v>
      </c>
      <c r="AE818">
        <v>116509.339585183</v>
      </c>
    </row>
    <row r="819" spans="1:31" x14ac:dyDescent="0.3">
      <c r="A819" t="str">
        <f>IF(ISBLANK(B819),"",IF(ROUND(B819,0)=ROUND(G819,0),"Pass","Fail"))</f>
        <v>Pass</v>
      </c>
      <c r="B819">
        <f t="shared" si="74"/>
        <v>56.76123046875</v>
      </c>
      <c r="C819">
        <v>0</v>
      </c>
      <c r="D819">
        <v>100</v>
      </c>
      <c r="E819">
        <v>60</v>
      </c>
      <c r="F819">
        <v>8</v>
      </c>
      <c r="G819">
        <v>56.7612280807231</v>
      </c>
      <c r="M819" t="str">
        <f t="shared" si="75"/>
        <v>Pass</v>
      </c>
      <c r="N819">
        <f t="shared" si="76"/>
        <v>6.8056033342145383E-5</v>
      </c>
      <c r="O819">
        <v>40</v>
      </c>
      <c r="P819">
        <v>50</v>
      </c>
      <c r="Q819">
        <v>0.5</v>
      </c>
      <c r="R819" t="b">
        <v>0</v>
      </c>
      <c r="S819">
        <v>6.8056037885799993E-5</v>
      </c>
      <c r="Y819" t="str">
        <f t="shared" si="77"/>
        <v>Pass</v>
      </c>
      <c r="Z819">
        <f t="shared" si="78"/>
        <v>120341.53125</v>
      </c>
      <c r="AA819">
        <v>12400</v>
      </c>
      <c r="AB819">
        <v>20</v>
      </c>
      <c r="AC819">
        <v>14</v>
      </c>
      <c r="AD819">
        <v>0.2</v>
      </c>
      <c r="AE819">
        <v>120341.537308955</v>
      </c>
    </row>
    <row r="820" spans="1:31" x14ac:dyDescent="0.3">
      <c r="A820" t="str">
        <f>IF(ISBLANK(B820),"",IF(ROUND(B820,0)=ROUND(G820,0),"Pass","Fail"))</f>
        <v>Pass</v>
      </c>
      <c r="B820">
        <f t="shared" si="74"/>
        <v>39.979995727539063</v>
      </c>
      <c r="C820">
        <v>0</v>
      </c>
      <c r="D820">
        <v>100</v>
      </c>
      <c r="E820">
        <v>60</v>
      </c>
      <c r="F820">
        <v>16</v>
      </c>
      <c r="G820">
        <v>39.9799972471017</v>
      </c>
      <c r="M820" t="str">
        <f t="shared" si="75"/>
        <v>Pass</v>
      </c>
      <c r="N820">
        <f t="shared" si="76"/>
        <v>3.9336205190920737E-6</v>
      </c>
      <c r="O820">
        <v>40</v>
      </c>
      <c r="P820">
        <v>50</v>
      </c>
      <c r="Q820">
        <v>1</v>
      </c>
      <c r="R820" t="b">
        <v>1</v>
      </c>
      <c r="S820">
        <v>3.93362094465572E-6</v>
      </c>
      <c r="Y820" t="str">
        <f t="shared" si="77"/>
        <v>Pass</v>
      </c>
      <c r="Z820">
        <f t="shared" si="78"/>
        <v>122910.328125</v>
      </c>
      <c r="AA820">
        <v>12400</v>
      </c>
      <c r="AB820">
        <v>20</v>
      </c>
      <c r="AC820">
        <v>16</v>
      </c>
      <c r="AD820">
        <v>0.2</v>
      </c>
      <c r="AE820">
        <v>122910.336263572</v>
      </c>
    </row>
    <row r="821" spans="1:31" x14ac:dyDescent="0.3">
      <c r="A821" t="str">
        <f>IF(ISBLANK(B821),"",IF(ROUND(B821,0)=ROUND(G821,0),"Pass","Fail"))</f>
        <v>Pass</v>
      </c>
      <c r="B821">
        <f t="shared" si="74"/>
        <v>31.532577514648438</v>
      </c>
      <c r="C821">
        <v>0</v>
      </c>
      <c r="D821">
        <v>100</v>
      </c>
      <c r="E821">
        <v>60</v>
      </c>
      <c r="F821">
        <v>24</v>
      </c>
      <c r="G821">
        <v>31.532577413736199</v>
      </c>
      <c r="M821" t="str">
        <f t="shared" si="75"/>
        <v>Pass</v>
      </c>
      <c r="N821">
        <f t="shared" si="76"/>
        <v>7.9652694694232196E-5</v>
      </c>
      <c r="O821">
        <v>40</v>
      </c>
      <c r="P821">
        <v>50</v>
      </c>
      <c r="Q821">
        <v>1</v>
      </c>
      <c r="R821" t="b">
        <v>0</v>
      </c>
      <c r="S821">
        <v>7.9652694285683594E-5</v>
      </c>
      <c r="Y821" t="str">
        <f t="shared" si="77"/>
        <v>Pass</v>
      </c>
      <c r="Z821">
        <f t="shared" si="78"/>
        <v>124632.2578125</v>
      </c>
      <c r="AA821">
        <v>12400</v>
      </c>
      <c r="AB821">
        <v>20</v>
      </c>
      <c r="AC821">
        <v>18</v>
      </c>
      <c r="AD821">
        <v>0.2</v>
      </c>
      <c r="AE821">
        <v>124632.25369708599</v>
      </c>
    </row>
    <row r="822" spans="1:31" x14ac:dyDescent="0.3">
      <c r="A822" t="str">
        <f>IF(ISBLANK(B822),"",IF(ROUND(B822,0)=ROUND(G822,0),"Pass","Fail"))</f>
        <v>Pass</v>
      </c>
      <c r="B822">
        <f t="shared" si="74"/>
        <v>27.2802734375</v>
      </c>
      <c r="C822">
        <v>0</v>
      </c>
      <c r="D822">
        <v>100</v>
      </c>
      <c r="E822">
        <v>60</v>
      </c>
      <c r="F822">
        <v>32</v>
      </c>
      <c r="G822">
        <v>27.280273005994601</v>
      </c>
      <c r="M822" t="str">
        <f t="shared" si="75"/>
        <v>Pass</v>
      </c>
      <c r="N822">
        <f t="shared" si="76"/>
        <v>4.3128579818585422E-6</v>
      </c>
      <c r="O822">
        <v>40</v>
      </c>
      <c r="P822">
        <v>50</v>
      </c>
      <c r="Q822">
        <v>1.5</v>
      </c>
      <c r="R822" t="b">
        <v>1</v>
      </c>
      <c r="S822">
        <v>4.3128586373918802E-6</v>
      </c>
      <c r="Y822" t="str">
        <f t="shared" si="77"/>
        <v>Fail</v>
      </c>
      <c r="Z822">
        <f t="shared" si="78"/>
        <v>125786.5</v>
      </c>
      <c r="AA822">
        <v>12400</v>
      </c>
      <c r="AB822">
        <v>20</v>
      </c>
      <c r="AC822">
        <v>20</v>
      </c>
      <c r="AD822">
        <v>0.2</v>
      </c>
      <c r="AE822">
        <v>125786.48947039001</v>
      </c>
    </row>
    <row r="823" spans="1:31" x14ac:dyDescent="0.3">
      <c r="A823" t="str">
        <f>IF(ISBLANK(B823),"",IF(ROUND(B823,0)=ROUND(G823,0),"Pass","Fail"))</f>
        <v>Pass</v>
      </c>
      <c r="B823">
        <f t="shared" si="74"/>
        <v>25.139726638793945</v>
      </c>
      <c r="C823">
        <v>0</v>
      </c>
      <c r="D823">
        <v>100</v>
      </c>
      <c r="E823">
        <v>60</v>
      </c>
      <c r="F823">
        <v>40</v>
      </c>
      <c r="G823">
        <v>25.139726764327101</v>
      </c>
      <c r="M823" t="str">
        <f t="shared" si="75"/>
        <v>Pass</v>
      </c>
      <c r="N823">
        <f t="shared" si="76"/>
        <v>8.7331965914927423E-5</v>
      </c>
      <c r="O823">
        <v>40</v>
      </c>
      <c r="P823">
        <v>50</v>
      </c>
      <c r="Q823">
        <v>1.5</v>
      </c>
      <c r="R823" t="b">
        <v>0</v>
      </c>
      <c r="S823">
        <v>8.7331955817520097E-5</v>
      </c>
      <c r="Y823" t="str">
        <f t="shared" si="77"/>
        <v>Pass</v>
      </c>
      <c r="Z823">
        <f t="shared" si="78"/>
        <v>126560.203125</v>
      </c>
      <c r="AA823">
        <v>12400</v>
      </c>
      <c r="AB823">
        <v>20</v>
      </c>
      <c r="AC823">
        <v>22</v>
      </c>
      <c r="AD823">
        <v>0.2</v>
      </c>
      <c r="AE823">
        <v>126560.196847086</v>
      </c>
    </row>
    <row r="824" spans="1:31" x14ac:dyDescent="0.3">
      <c r="A824" t="str">
        <f>IF(ISBLANK(B824),"",IF(ROUND(B824,0)=ROUND(G824,0),"Pass","Fail"))</f>
        <v>Pass</v>
      </c>
      <c r="B824">
        <f t="shared" si="74"/>
        <v>24.062206268310547</v>
      </c>
      <c r="C824">
        <v>0</v>
      </c>
      <c r="D824">
        <v>100</v>
      </c>
      <c r="E824">
        <v>60</v>
      </c>
      <c r="F824">
        <v>48</v>
      </c>
      <c r="G824">
        <v>24.062207900819701</v>
      </c>
      <c r="M824" t="str">
        <f t="shared" si="75"/>
        <v>Pass</v>
      </c>
      <c r="N824">
        <f t="shared" si="76"/>
        <v>4.6039044718781952E-6</v>
      </c>
      <c r="O824">
        <v>40</v>
      </c>
      <c r="P824">
        <v>50</v>
      </c>
      <c r="Q824">
        <v>2</v>
      </c>
      <c r="R824" t="b">
        <v>1</v>
      </c>
      <c r="S824">
        <v>4.6039046097010504E-6</v>
      </c>
      <c r="Y824" t="str">
        <f t="shared" si="77"/>
        <v>Pass</v>
      </c>
      <c r="Z824">
        <f t="shared" si="78"/>
        <v>127078.8359375</v>
      </c>
      <c r="AA824">
        <v>12400</v>
      </c>
      <c r="AB824">
        <v>20</v>
      </c>
      <c r="AC824">
        <v>24</v>
      </c>
      <c r="AD824">
        <v>0.2</v>
      </c>
      <c r="AE824">
        <v>127078.82841145201</v>
      </c>
    </row>
    <row r="825" spans="1:31" x14ac:dyDescent="0.3">
      <c r="A825" t="str">
        <f>IF(ISBLANK(B825),"",IF(ROUND(B825,0)=ROUND(G825,0),"Pass","Fail"))</f>
        <v>Pass</v>
      </c>
      <c r="B825">
        <f t="shared" si="74"/>
        <v>90.097999572753906</v>
      </c>
      <c r="C825">
        <v>0</v>
      </c>
      <c r="D825">
        <v>100</v>
      </c>
      <c r="E825">
        <v>70</v>
      </c>
      <c r="F825">
        <v>0</v>
      </c>
      <c r="G825">
        <v>90.097999999999999</v>
      </c>
      <c r="M825" t="str">
        <f t="shared" si="75"/>
        <v>Pass</v>
      </c>
      <c r="N825">
        <f t="shared" si="76"/>
        <v>9.3225411546882242E-5</v>
      </c>
      <c r="O825">
        <v>40</v>
      </c>
      <c r="P825">
        <v>50</v>
      </c>
      <c r="Q825">
        <v>2</v>
      </c>
      <c r="R825" t="b">
        <v>0</v>
      </c>
      <c r="S825">
        <v>9.3225405181754904E-5</v>
      </c>
      <c r="Y825" t="str">
        <f t="shared" si="77"/>
        <v>Pass</v>
      </c>
      <c r="Z825">
        <f t="shared" si="78"/>
        <v>0</v>
      </c>
      <c r="AA825">
        <v>12600</v>
      </c>
      <c r="AB825">
        <v>20</v>
      </c>
      <c r="AC825">
        <v>0</v>
      </c>
      <c r="AD825">
        <v>0.2</v>
      </c>
      <c r="AE825">
        <v>0</v>
      </c>
    </row>
    <row r="826" spans="1:31" x14ac:dyDescent="0.3">
      <c r="A826" t="str">
        <f>IF(ISBLANK(B826),"",IF(ROUND(B826,0)=ROUND(G826,0),"Pass","Fail"))</f>
        <v>Pass</v>
      </c>
      <c r="B826">
        <f t="shared" si="74"/>
        <v>56.76123046875</v>
      </c>
      <c r="C826">
        <v>0</v>
      </c>
      <c r="D826">
        <v>100</v>
      </c>
      <c r="E826">
        <v>70</v>
      </c>
      <c r="F826">
        <v>8</v>
      </c>
      <c r="G826">
        <v>56.7612280807231</v>
      </c>
      <c r="M826" t="str">
        <f t="shared" si="75"/>
        <v>Pass</v>
      </c>
      <c r="N826">
        <f t="shared" si="76"/>
        <v>4.8431156756123528E-6</v>
      </c>
      <c r="O826">
        <v>40</v>
      </c>
      <c r="P826">
        <v>50</v>
      </c>
      <c r="Q826">
        <v>2.5</v>
      </c>
      <c r="R826" t="b">
        <v>1</v>
      </c>
      <c r="S826">
        <v>4.8431162061147001E-6</v>
      </c>
      <c r="Y826" t="str">
        <f t="shared" si="77"/>
        <v>Pass</v>
      </c>
      <c r="Z826">
        <f t="shared" si="78"/>
        <v>42924.328125</v>
      </c>
      <c r="AA826">
        <v>12600</v>
      </c>
      <c r="AB826">
        <v>20</v>
      </c>
      <c r="AC826">
        <v>2</v>
      </c>
      <c r="AD826">
        <v>0.2</v>
      </c>
      <c r="AE826">
        <v>42924.330006159696</v>
      </c>
    </row>
    <row r="827" spans="1:31" x14ac:dyDescent="0.3">
      <c r="A827" t="str">
        <f>IF(ISBLANK(B827),"",IF(ROUND(B827,0)=ROUND(G827,0),"Pass","Fail"))</f>
        <v>Pass</v>
      </c>
      <c r="B827">
        <f t="shared" si="74"/>
        <v>39.979995727539063</v>
      </c>
      <c r="C827">
        <v>0</v>
      </c>
      <c r="D827">
        <v>100</v>
      </c>
      <c r="E827">
        <v>70</v>
      </c>
      <c r="F827">
        <v>16</v>
      </c>
      <c r="G827">
        <v>39.9799972471017</v>
      </c>
      <c r="M827" t="str">
        <f t="shared" si="75"/>
        <v>Pass</v>
      </c>
      <c r="N827">
        <f t="shared" si="76"/>
        <v>9.8069249361287802E-5</v>
      </c>
      <c r="O827">
        <v>40</v>
      </c>
      <c r="P827">
        <v>50</v>
      </c>
      <c r="Q827">
        <v>2.5</v>
      </c>
      <c r="R827" t="b">
        <v>0</v>
      </c>
      <c r="S827">
        <v>9.8069249676892102E-5</v>
      </c>
      <c r="Y827" t="str">
        <f t="shared" si="77"/>
        <v>Pass</v>
      </c>
      <c r="Z827">
        <f t="shared" si="78"/>
        <v>71697.3671875</v>
      </c>
      <c r="AA827">
        <v>12600</v>
      </c>
      <c r="AB827">
        <v>20</v>
      </c>
      <c r="AC827">
        <v>4</v>
      </c>
      <c r="AD827">
        <v>0.2</v>
      </c>
      <c r="AE827">
        <v>71697.368871937695</v>
      </c>
    </row>
    <row r="828" spans="1:31" x14ac:dyDescent="0.3">
      <c r="A828" t="str">
        <f>IF(ISBLANK(B828),"",IF(ROUND(B828,0)=ROUND(G828,0),"Pass","Fail"))</f>
        <v>Pass</v>
      </c>
      <c r="B828">
        <f t="shared" si="74"/>
        <v>31.532577514648438</v>
      </c>
      <c r="C828">
        <v>0</v>
      </c>
      <c r="D828">
        <v>100</v>
      </c>
      <c r="E828">
        <v>70</v>
      </c>
      <c r="F828">
        <v>24</v>
      </c>
      <c r="G828">
        <v>31.532577413736199</v>
      </c>
      <c r="M828" t="str">
        <f t="shared" si="75"/>
        <v>Pass</v>
      </c>
      <c r="N828">
        <f t="shared" si="76"/>
        <v>5.0477638069423847E-6</v>
      </c>
      <c r="O828">
        <v>40</v>
      </c>
      <c r="P828">
        <v>50</v>
      </c>
      <c r="Q828">
        <v>3</v>
      </c>
      <c r="R828" t="b">
        <v>1</v>
      </c>
      <c r="S828">
        <v>5.0477638900754099E-6</v>
      </c>
      <c r="Y828" t="str">
        <f t="shared" si="77"/>
        <v>Pass</v>
      </c>
      <c r="Z828">
        <f t="shared" si="78"/>
        <v>90984.515625</v>
      </c>
      <c r="AA828">
        <v>12600</v>
      </c>
      <c r="AB828">
        <v>20</v>
      </c>
      <c r="AC828">
        <v>6</v>
      </c>
      <c r="AD828">
        <v>0.2</v>
      </c>
      <c r="AE828">
        <v>90984.513609031303</v>
      </c>
    </row>
    <row r="829" spans="1:31" x14ac:dyDescent="0.3">
      <c r="A829" t="str">
        <f>IF(ISBLANK(B829),"",IF(ROUND(B829,0)=ROUND(G829,0),"Pass","Fail"))</f>
        <v>Pass</v>
      </c>
      <c r="B829">
        <f t="shared" si="74"/>
        <v>27.2802734375</v>
      </c>
      <c r="C829">
        <v>0</v>
      </c>
      <c r="D829">
        <v>100</v>
      </c>
      <c r="E829">
        <v>70</v>
      </c>
      <c r="F829">
        <v>32</v>
      </c>
      <c r="G829">
        <v>27.280273005994601</v>
      </c>
      <c r="M829" t="str">
        <f t="shared" si="75"/>
        <v>Pass</v>
      </c>
      <c r="N829">
        <f t="shared" si="76"/>
        <v>1.0221320553682745E-4</v>
      </c>
      <c r="O829">
        <v>40</v>
      </c>
      <c r="P829">
        <v>50</v>
      </c>
      <c r="Q829">
        <v>3</v>
      </c>
      <c r="R829" t="b">
        <v>0</v>
      </c>
      <c r="S829">
        <v>1.02213202446144E-4</v>
      </c>
      <c r="Y829" t="str">
        <f t="shared" si="77"/>
        <v>Pass</v>
      </c>
      <c r="Z829">
        <f t="shared" si="78"/>
        <v>103913.0703125</v>
      </c>
      <c r="AA829">
        <v>12600</v>
      </c>
      <c r="AB829">
        <v>20</v>
      </c>
      <c r="AC829">
        <v>8</v>
      </c>
      <c r="AD829">
        <v>0.2</v>
      </c>
      <c r="AE829">
        <v>103913.073357095</v>
      </c>
    </row>
    <row r="830" spans="1:31" x14ac:dyDescent="0.3">
      <c r="A830" t="str">
        <f>IF(ISBLANK(B830),"",IF(ROUND(B830,0)=ROUND(G830,0),"Pass","Fail"))</f>
        <v>Pass</v>
      </c>
      <c r="B830">
        <f t="shared" si="74"/>
        <v>25.139726638793945</v>
      </c>
      <c r="C830">
        <v>0</v>
      </c>
      <c r="D830">
        <v>100</v>
      </c>
      <c r="E830">
        <v>70</v>
      </c>
      <c r="F830">
        <v>40</v>
      </c>
      <c r="G830">
        <v>25.139726764327101</v>
      </c>
      <c r="M830" t="str">
        <f t="shared" si="75"/>
        <v>Pass</v>
      </c>
      <c r="N830">
        <f t="shared" si="76"/>
        <v>5.2275227062636986E-6</v>
      </c>
      <c r="O830">
        <v>40</v>
      </c>
      <c r="P830">
        <v>50</v>
      </c>
      <c r="Q830">
        <v>3.5</v>
      </c>
      <c r="R830" t="b">
        <v>1</v>
      </c>
      <c r="S830">
        <v>5.22752301767778E-6</v>
      </c>
      <c r="Y830" t="str">
        <f t="shared" si="77"/>
        <v>Pass</v>
      </c>
      <c r="Z830">
        <f t="shared" si="78"/>
        <v>112579.3515625</v>
      </c>
      <c r="AA830">
        <v>12600</v>
      </c>
      <c r="AB830">
        <v>20</v>
      </c>
      <c r="AC830">
        <v>10</v>
      </c>
      <c r="AD830">
        <v>0.2</v>
      </c>
      <c r="AE830">
        <v>112579.34612259299</v>
      </c>
    </row>
    <row r="831" spans="1:31" x14ac:dyDescent="0.3">
      <c r="A831" t="str">
        <f>IF(ISBLANK(B831),"",IF(ROUND(B831,0)=ROUND(G831,0),"Pass","Fail"))</f>
        <v>Pass</v>
      </c>
      <c r="B831">
        <f t="shared" si="74"/>
        <v>24.062206268310547</v>
      </c>
      <c r="C831">
        <v>0</v>
      </c>
      <c r="D831">
        <v>100</v>
      </c>
      <c r="E831">
        <v>70</v>
      </c>
      <c r="F831">
        <v>48</v>
      </c>
      <c r="G831">
        <v>24.062207900819701</v>
      </c>
      <c r="M831" t="str">
        <f t="shared" si="75"/>
        <v>Pass</v>
      </c>
      <c r="N831">
        <f t="shared" si="76"/>
        <v>1.0585317795630544E-4</v>
      </c>
      <c r="O831">
        <v>40</v>
      </c>
      <c r="P831">
        <v>50</v>
      </c>
      <c r="Q831">
        <v>3.5</v>
      </c>
      <c r="R831" t="b">
        <v>0</v>
      </c>
      <c r="S831">
        <v>1.0585318175208799E-4</v>
      </c>
      <c r="Y831" t="str">
        <f t="shared" si="77"/>
        <v>Pass</v>
      </c>
      <c r="Z831">
        <f t="shared" si="78"/>
        <v>118388.5234375</v>
      </c>
      <c r="AA831">
        <v>12600</v>
      </c>
      <c r="AB831">
        <v>20</v>
      </c>
      <c r="AC831">
        <v>12</v>
      </c>
      <c r="AD831">
        <v>0.2</v>
      </c>
      <c r="AE831">
        <v>118388.522481718</v>
      </c>
    </row>
    <row r="832" spans="1:31" x14ac:dyDescent="0.3">
      <c r="A832" t="str">
        <f>IF(ISBLANK(B832),"",IF(ROUND(B832,0)=ROUND(G832,0),"Pass","Fail"))</f>
        <v>Pass</v>
      </c>
      <c r="B832">
        <f t="shared" si="74"/>
        <v>90.097999572753906</v>
      </c>
      <c r="C832">
        <v>0</v>
      </c>
      <c r="D832">
        <v>100</v>
      </c>
      <c r="E832">
        <v>80</v>
      </c>
      <c r="F832">
        <v>0</v>
      </c>
      <c r="G832">
        <v>90.097999999999999</v>
      </c>
      <c r="M832" t="str">
        <f t="shared" si="75"/>
        <v>Pass</v>
      </c>
      <c r="N832">
        <f t="shared" si="76"/>
        <v>5.388402769312961E-6</v>
      </c>
      <c r="O832">
        <v>40</v>
      </c>
      <c r="P832">
        <v>50</v>
      </c>
      <c r="Q832">
        <v>4</v>
      </c>
      <c r="R832" t="b">
        <v>1</v>
      </c>
      <c r="S832">
        <v>5.3884037006727104E-6</v>
      </c>
      <c r="Y832" t="str">
        <f t="shared" si="77"/>
        <v>Pass</v>
      </c>
      <c r="Z832">
        <f t="shared" si="78"/>
        <v>122282.5234375</v>
      </c>
      <c r="AA832">
        <v>12600</v>
      </c>
      <c r="AB832">
        <v>20</v>
      </c>
      <c r="AC832">
        <v>14</v>
      </c>
      <c r="AD832">
        <v>0.2</v>
      </c>
      <c r="AE832">
        <v>122282.529846196</v>
      </c>
    </row>
    <row r="833" spans="1:31" x14ac:dyDescent="0.3">
      <c r="A833" t="str">
        <f>IF(ISBLANK(B833),"",IF(ROUND(B833,0)=ROUND(G833,0),"Pass","Fail"))</f>
        <v>Pass</v>
      </c>
      <c r="B833">
        <f t="shared" si="74"/>
        <v>56.76123046875</v>
      </c>
      <c r="C833">
        <v>0</v>
      </c>
      <c r="D833">
        <v>100</v>
      </c>
      <c r="E833">
        <v>80</v>
      </c>
      <c r="F833">
        <v>8</v>
      </c>
      <c r="G833">
        <v>56.7612280807231</v>
      </c>
      <c r="M833" t="str">
        <f t="shared" si="75"/>
        <v>Pass</v>
      </c>
      <c r="N833">
        <f t="shared" si="76"/>
        <v>1.0911088611464947E-4</v>
      </c>
      <c r="O833">
        <v>40</v>
      </c>
      <c r="P833">
        <v>50</v>
      </c>
      <c r="Q833">
        <v>4</v>
      </c>
      <c r="R833" t="b">
        <v>0</v>
      </c>
      <c r="S833">
        <v>1.0911088757564399E-4</v>
      </c>
      <c r="Y833" t="str">
        <f t="shared" si="77"/>
        <v>Pass</v>
      </c>
      <c r="Z833">
        <f t="shared" si="78"/>
        <v>124892.7578125</v>
      </c>
      <c r="AA833">
        <v>12600</v>
      </c>
      <c r="AB833">
        <v>20</v>
      </c>
      <c r="AC833">
        <v>16</v>
      </c>
      <c r="AD833">
        <v>0.2</v>
      </c>
      <c r="AE833">
        <v>124892.76104201601</v>
      </c>
    </row>
    <row r="834" spans="1:31" x14ac:dyDescent="0.3">
      <c r="A834" t="str">
        <f>IF(ISBLANK(B834),"",IF(ROUND(B834,0)=ROUND(G834,0),"Pass","Fail"))</f>
        <v>Pass</v>
      </c>
      <c r="B834">
        <f t="shared" si="74"/>
        <v>39.979995727539063</v>
      </c>
      <c r="C834">
        <v>0</v>
      </c>
      <c r="D834">
        <v>100</v>
      </c>
      <c r="E834">
        <v>80</v>
      </c>
      <c r="F834">
        <v>16</v>
      </c>
      <c r="G834">
        <v>39.9799972471017</v>
      </c>
      <c r="M834" t="str">
        <f t="shared" si="75"/>
        <v>Pass</v>
      </c>
      <c r="N834">
        <f t="shared" si="76"/>
        <v>0</v>
      </c>
      <c r="O834">
        <v>40</v>
      </c>
      <c r="P834">
        <v>60</v>
      </c>
      <c r="Q834">
        <v>0</v>
      </c>
      <c r="R834" t="b">
        <v>1</v>
      </c>
      <c r="S834">
        <v>0</v>
      </c>
      <c r="Y834" t="str">
        <f t="shared" si="77"/>
        <v>Pass</v>
      </c>
      <c r="Z834">
        <f t="shared" si="78"/>
        <v>126642.453125</v>
      </c>
      <c r="AA834">
        <v>12600</v>
      </c>
      <c r="AB834">
        <v>20</v>
      </c>
      <c r="AC834">
        <v>18</v>
      </c>
      <c r="AD834">
        <v>0.2</v>
      </c>
      <c r="AE834">
        <v>126642.451337362</v>
      </c>
    </row>
    <row r="835" spans="1:31" x14ac:dyDescent="0.3">
      <c r="A835" t="str">
        <f>IF(ISBLANK(B835),"",IF(ROUND(B835,0)=ROUND(G835,0),"Pass","Fail"))</f>
        <v>Pass</v>
      </c>
      <c r="B835">
        <f t="shared" si="74"/>
        <v>31.532577514648438</v>
      </c>
      <c r="C835">
        <v>0</v>
      </c>
      <c r="D835">
        <v>100</v>
      </c>
      <c r="E835">
        <v>80</v>
      </c>
      <c r="F835">
        <v>24</v>
      </c>
      <c r="G835">
        <v>31.532577413736199</v>
      </c>
      <c r="M835" t="str">
        <f t="shared" si="75"/>
        <v>Pass</v>
      </c>
      <c r="N835">
        <f t="shared" si="76"/>
        <v>0</v>
      </c>
      <c r="O835">
        <v>40</v>
      </c>
      <c r="P835">
        <v>60</v>
      </c>
      <c r="Q835">
        <v>0</v>
      </c>
      <c r="R835" t="b">
        <v>0</v>
      </c>
      <c r="S835">
        <v>0</v>
      </c>
      <c r="Y835" t="str">
        <f t="shared" si="77"/>
        <v>Pass</v>
      </c>
      <c r="Z835">
        <f t="shared" si="78"/>
        <v>127815.3125</v>
      </c>
      <c r="AA835">
        <v>12600</v>
      </c>
      <c r="AB835">
        <v>20</v>
      </c>
      <c r="AC835">
        <v>20</v>
      </c>
      <c r="AD835">
        <v>0.2</v>
      </c>
      <c r="AE835">
        <v>127815.30381668601</v>
      </c>
    </row>
    <row r="836" spans="1:31" x14ac:dyDescent="0.3">
      <c r="A836" t="str">
        <f>IF(ISBLANK(B836),"",IF(ROUND(B836,0)=ROUND(G836,0),"Pass","Fail"))</f>
        <v>Pass</v>
      </c>
      <c r="B836">
        <f t="shared" si="74"/>
        <v>27.2802734375</v>
      </c>
      <c r="C836">
        <v>0</v>
      </c>
      <c r="D836">
        <v>100</v>
      </c>
      <c r="E836">
        <v>80</v>
      </c>
      <c r="F836">
        <v>32</v>
      </c>
      <c r="G836">
        <v>27.280273005994601</v>
      </c>
      <c r="M836" t="str">
        <f t="shared" si="75"/>
        <v>Pass</v>
      </c>
      <c r="N836">
        <f t="shared" si="76"/>
        <v>6.1557479114071612E-8</v>
      </c>
      <c r="O836">
        <v>40</v>
      </c>
      <c r="P836">
        <v>60</v>
      </c>
      <c r="Q836">
        <v>0.5</v>
      </c>
      <c r="R836" t="b">
        <v>1</v>
      </c>
      <c r="S836">
        <v>6.1557486405183997E-8</v>
      </c>
      <c r="Y836" t="str">
        <f t="shared" si="77"/>
        <v>Fail</v>
      </c>
      <c r="Z836">
        <f t="shared" si="78"/>
        <v>128601.5</v>
      </c>
      <c r="AA836">
        <v>12600</v>
      </c>
      <c r="AB836">
        <v>20</v>
      </c>
      <c r="AC836">
        <v>22</v>
      </c>
      <c r="AD836">
        <v>0.2</v>
      </c>
      <c r="AE836">
        <v>128601.49034462</v>
      </c>
    </row>
    <row r="837" spans="1:31" x14ac:dyDescent="0.3">
      <c r="A837" t="str">
        <f>IF(ISBLANK(B837),"",IF(ROUND(B837,0)=ROUND(G837,0),"Pass","Fail"))</f>
        <v>Pass</v>
      </c>
      <c r="B837">
        <f t="shared" si="74"/>
        <v>25.139726638793945</v>
      </c>
      <c r="C837">
        <v>0</v>
      </c>
      <c r="D837">
        <v>100</v>
      </c>
      <c r="E837">
        <v>80</v>
      </c>
      <c r="F837">
        <v>40</v>
      </c>
      <c r="G837">
        <v>25.139726764327101</v>
      </c>
      <c r="M837" t="str">
        <f t="shared" si="75"/>
        <v>Pass</v>
      </c>
      <c r="N837">
        <f t="shared" si="76"/>
        <v>1.2464901146813645E-6</v>
      </c>
      <c r="O837">
        <v>40</v>
      </c>
      <c r="P837">
        <v>60</v>
      </c>
      <c r="Q837">
        <v>0.5</v>
      </c>
      <c r="R837" t="b">
        <v>0</v>
      </c>
      <c r="S837">
        <v>1.24649012058186E-6</v>
      </c>
      <c r="Y837" t="str">
        <f t="shared" si="77"/>
        <v>Pass</v>
      </c>
      <c r="Z837">
        <f t="shared" si="78"/>
        <v>129128.4921875</v>
      </c>
      <c r="AA837">
        <v>12600</v>
      </c>
      <c r="AB837">
        <v>20</v>
      </c>
      <c r="AC837">
        <v>24</v>
      </c>
      <c r="AD837">
        <v>0.2</v>
      </c>
      <c r="AE837">
        <v>129128.486934217</v>
      </c>
    </row>
    <row r="838" spans="1:31" x14ac:dyDescent="0.3">
      <c r="A838" t="str">
        <f>IF(ISBLANK(B838),"",IF(ROUND(B838,0)=ROUND(G838,0),"Pass","Fail"))</f>
        <v>Pass</v>
      </c>
      <c r="B838">
        <f t="shared" si="74"/>
        <v>24.062206268310547</v>
      </c>
      <c r="C838">
        <v>0</v>
      </c>
      <c r="D838">
        <v>100</v>
      </c>
      <c r="E838">
        <v>80</v>
      </c>
      <c r="F838">
        <v>48</v>
      </c>
      <c r="G838">
        <v>24.062207900819701</v>
      </c>
      <c r="M838" t="str">
        <f t="shared" si="75"/>
        <v>Pass</v>
      </c>
      <c r="N838">
        <f t="shared" si="76"/>
        <v>7.2046788091029157E-8</v>
      </c>
      <c r="O838">
        <v>40</v>
      </c>
      <c r="P838">
        <v>60</v>
      </c>
      <c r="Q838">
        <v>1</v>
      </c>
      <c r="R838" t="b">
        <v>1</v>
      </c>
      <c r="S838">
        <v>7.2046798461217902E-8</v>
      </c>
      <c r="Y838" t="str">
        <f t="shared" si="77"/>
        <v>Pass</v>
      </c>
      <c r="Z838">
        <f t="shared" si="78"/>
        <v>0</v>
      </c>
      <c r="AA838">
        <v>12800</v>
      </c>
      <c r="AB838">
        <v>20</v>
      </c>
      <c r="AC838">
        <v>0</v>
      </c>
      <c r="AD838">
        <v>0.2</v>
      </c>
      <c r="AE838">
        <v>0</v>
      </c>
    </row>
    <row r="839" spans="1:31" x14ac:dyDescent="0.3">
      <c r="A839" t="str">
        <f>IF(ISBLANK(B839),"",IF(ROUND(B839,0)=ROUND(G839,0),"Pass","Fail"))</f>
        <v>Pass</v>
      </c>
      <c r="B839">
        <f t="shared" ref="B839:B902" si="79">FMC_heath(C839,D839,E839,F839)</f>
        <v>90.097999572753906</v>
      </c>
      <c r="C839">
        <v>0</v>
      </c>
      <c r="D839">
        <v>100</v>
      </c>
      <c r="E839">
        <v>90</v>
      </c>
      <c r="F839">
        <v>0</v>
      </c>
      <c r="G839">
        <v>90.097999999999999</v>
      </c>
      <c r="M839" t="str">
        <f t="shared" ref="M839:M902" si="80">IF(ISBLANK(N839),"",IF(ROUND(N839,0)=ROUND(S839,0),"Pass","Fail"))</f>
        <v>Pass</v>
      </c>
      <c r="N839">
        <f t="shared" ref="N839:N902" si="81">ROS_heath(O839,Q839,P839,R839)</f>
        <v>1.458890324101958E-6</v>
      </c>
      <c r="O839">
        <v>40</v>
      </c>
      <c r="P839">
        <v>60</v>
      </c>
      <c r="Q839">
        <v>1</v>
      </c>
      <c r="R839" t="b">
        <v>0</v>
      </c>
      <c r="S839">
        <v>1.4588903437405001E-6</v>
      </c>
      <c r="Y839" t="str">
        <f t="shared" ref="Y839:Y902" si="82">IF(ISBLANK(Z839),"",IF(ROUND(Z839,0)=ROUND(AE839,0),"Pass","Fail"))</f>
        <v>Pass</v>
      </c>
      <c r="Z839">
        <f t="shared" ref="Z839:Z902" si="83">intensity_heath(AA839,AB839,AC839,AD839)</f>
        <v>43605.66796875</v>
      </c>
      <c r="AA839">
        <v>12800</v>
      </c>
      <c r="AB839">
        <v>20</v>
      </c>
      <c r="AC839">
        <v>2</v>
      </c>
      <c r="AD839">
        <v>0.2</v>
      </c>
      <c r="AE839">
        <v>43605.668577686098</v>
      </c>
    </row>
    <row r="840" spans="1:31" x14ac:dyDescent="0.3">
      <c r="A840" t="str">
        <f>IF(ISBLANK(B840),"",IF(ROUND(B840,0)=ROUND(G840,0),"Pass","Fail"))</f>
        <v>Pass</v>
      </c>
      <c r="B840">
        <f t="shared" si="79"/>
        <v>56.76123046875</v>
      </c>
      <c r="C840">
        <v>0</v>
      </c>
      <c r="D840">
        <v>100</v>
      </c>
      <c r="E840">
        <v>90</v>
      </c>
      <c r="F840">
        <v>8</v>
      </c>
      <c r="G840">
        <v>56.7612280807231</v>
      </c>
      <c r="M840" t="str">
        <f t="shared" si="80"/>
        <v>Pass</v>
      </c>
      <c r="N840">
        <f t="shared" si="81"/>
        <v>7.8992769658725592E-8</v>
      </c>
      <c r="O840">
        <v>40</v>
      </c>
      <c r="P840">
        <v>60</v>
      </c>
      <c r="Q840">
        <v>1.5</v>
      </c>
      <c r="R840" t="b">
        <v>1</v>
      </c>
      <c r="S840">
        <v>7.8992780802139904E-8</v>
      </c>
      <c r="Y840" t="str">
        <f t="shared" si="82"/>
        <v>Pass</v>
      </c>
      <c r="Z840">
        <f t="shared" si="83"/>
        <v>72835.421875</v>
      </c>
      <c r="AA840">
        <v>12800</v>
      </c>
      <c r="AB840">
        <v>20</v>
      </c>
      <c r="AC840">
        <v>4</v>
      </c>
      <c r="AD840">
        <v>0.2</v>
      </c>
      <c r="AE840">
        <v>72835.422346095394</v>
      </c>
    </row>
    <row r="841" spans="1:31" x14ac:dyDescent="0.3">
      <c r="A841" t="str">
        <f>IF(ISBLANK(B841),"",IF(ROUND(B841,0)=ROUND(G841,0),"Pass","Fail"))</f>
        <v>Pass</v>
      </c>
      <c r="B841">
        <f t="shared" si="79"/>
        <v>39.979995727539063</v>
      </c>
      <c r="C841">
        <v>0</v>
      </c>
      <c r="D841">
        <v>100</v>
      </c>
      <c r="E841">
        <v>90</v>
      </c>
      <c r="F841">
        <v>16</v>
      </c>
      <c r="G841">
        <v>39.9799972471017</v>
      </c>
      <c r="M841" t="str">
        <f t="shared" si="80"/>
        <v>Pass</v>
      </c>
      <c r="N841">
        <f t="shared" si="81"/>
        <v>1.5995410649338737E-6</v>
      </c>
      <c r="O841">
        <v>40</v>
      </c>
      <c r="P841">
        <v>60</v>
      </c>
      <c r="Q841">
        <v>1.5</v>
      </c>
      <c r="R841" t="b">
        <v>0</v>
      </c>
      <c r="S841">
        <v>1.5995409594707499E-6</v>
      </c>
      <c r="Y841" t="str">
        <f t="shared" si="82"/>
        <v>Pass</v>
      </c>
      <c r="Z841">
        <f t="shared" si="83"/>
        <v>92428.71875</v>
      </c>
      <c r="AA841">
        <v>12800</v>
      </c>
      <c r="AB841">
        <v>20</v>
      </c>
      <c r="AC841">
        <v>6</v>
      </c>
      <c r="AD841">
        <v>0.2</v>
      </c>
      <c r="AE841">
        <v>92428.712237746004</v>
      </c>
    </row>
    <row r="842" spans="1:31" x14ac:dyDescent="0.3">
      <c r="A842" t="str">
        <f>IF(ISBLANK(B842),"",IF(ROUND(B842,0)=ROUND(G842,0),"Pass","Fail"))</f>
        <v>Pass</v>
      </c>
      <c r="B842">
        <f t="shared" si="79"/>
        <v>31.532577514648438</v>
      </c>
      <c r="C842">
        <v>0</v>
      </c>
      <c r="D842">
        <v>100</v>
      </c>
      <c r="E842">
        <v>90</v>
      </c>
      <c r="F842">
        <v>24</v>
      </c>
      <c r="G842">
        <v>31.532577413736199</v>
      </c>
      <c r="M842" t="str">
        <f t="shared" si="80"/>
        <v>Pass</v>
      </c>
      <c r="N842">
        <f t="shared" si="81"/>
        <v>8.4323474425218592E-8</v>
      </c>
      <c r="O842">
        <v>40</v>
      </c>
      <c r="P842">
        <v>60</v>
      </c>
      <c r="Q842">
        <v>2</v>
      </c>
      <c r="R842" t="b">
        <v>1</v>
      </c>
      <c r="S842">
        <v>8.4323475041603104E-8</v>
      </c>
      <c r="Y842" t="str">
        <f t="shared" si="82"/>
        <v>Pass</v>
      </c>
      <c r="Z842">
        <f t="shared" si="83"/>
        <v>105562.484375</v>
      </c>
      <c r="AA842">
        <v>12800</v>
      </c>
      <c r="AB842">
        <v>20</v>
      </c>
      <c r="AC842">
        <v>8</v>
      </c>
      <c r="AD842">
        <v>0.2</v>
      </c>
      <c r="AE842">
        <v>105562.487219906</v>
      </c>
    </row>
    <row r="843" spans="1:31" x14ac:dyDescent="0.3">
      <c r="A843" t="str">
        <f>IF(ISBLANK(B843),"",IF(ROUND(B843,0)=ROUND(G843,0),"Pass","Fail"))</f>
        <v>Pass</v>
      </c>
      <c r="B843">
        <f t="shared" si="79"/>
        <v>27.2802734375</v>
      </c>
      <c r="C843">
        <v>0</v>
      </c>
      <c r="D843">
        <v>100</v>
      </c>
      <c r="E843">
        <v>90</v>
      </c>
      <c r="F843">
        <v>32</v>
      </c>
      <c r="G843">
        <v>27.280273005994601</v>
      </c>
      <c r="M843" t="str">
        <f t="shared" si="80"/>
        <v>Pass</v>
      </c>
      <c r="N843">
        <f t="shared" si="81"/>
        <v>1.7074833067454165E-6</v>
      </c>
      <c r="O843">
        <v>40</v>
      </c>
      <c r="P843">
        <v>60</v>
      </c>
      <c r="Q843">
        <v>2</v>
      </c>
      <c r="R843" t="b">
        <v>0</v>
      </c>
      <c r="S843">
        <v>1.70748327637428E-6</v>
      </c>
      <c r="Y843" t="str">
        <f t="shared" si="82"/>
        <v>Pass</v>
      </c>
      <c r="Z843">
        <f t="shared" si="83"/>
        <v>114366.328125</v>
      </c>
      <c r="AA843">
        <v>12800</v>
      </c>
      <c r="AB843">
        <v>20</v>
      </c>
      <c r="AC843">
        <v>10</v>
      </c>
      <c r="AD843">
        <v>0.2</v>
      </c>
      <c r="AE843">
        <v>114366.31987057001</v>
      </c>
    </row>
    <row r="844" spans="1:31" x14ac:dyDescent="0.3">
      <c r="A844" t="str">
        <f>IF(ISBLANK(B844),"",IF(ROUND(B844,0)=ROUND(G844,0),"Pass","Fail"))</f>
        <v>Pass</v>
      </c>
      <c r="B844">
        <f t="shared" si="79"/>
        <v>25.139726638793945</v>
      </c>
      <c r="C844">
        <v>0</v>
      </c>
      <c r="D844">
        <v>100</v>
      </c>
      <c r="E844">
        <v>90</v>
      </c>
      <c r="F844">
        <v>40</v>
      </c>
      <c r="G844">
        <v>25.139726764327101</v>
      </c>
      <c r="M844" t="str">
        <f t="shared" si="80"/>
        <v>Pass</v>
      </c>
      <c r="N844">
        <f t="shared" si="81"/>
        <v>8.8704780409898376E-8</v>
      </c>
      <c r="O844">
        <v>40</v>
      </c>
      <c r="P844">
        <v>60</v>
      </c>
      <c r="Q844">
        <v>2.5</v>
      </c>
      <c r="R844" t="b">
        <v>1</v>
      </c>
      <c r="S844">
        <v>8.8704789336722306E-8</v>
      </c>
      <c r="Y844" t="str">
        <f t="shared" si="82"/>
        <v>Pass</v>
      </c>
      <c r="Z844">
        <f t="shared" si="83"/>
        <v>120267.7109375</v>
      </c>
      <c r="AA844">
        <v>12800</v>
      </c>
      <c r="AB844">
        <v>20</v>
      </c>
      <c r="AC844">
        <v>12</v>
      </c>
      <c r="AD844">
        <v>0.2</v>
      </c>
      <c r="AE844">
        <v>120267.705378253</v>
      </c>
    </row>
    <row r="845" spans="1:31" x14ac:dyDescent="0.3">
      <c r="A845" t="str">
        <f>IF(ISBLANK(B845),"",IF(ROUND(B845,0)=ROUND(G845,0),"Pass","Fail"))</f>
        <v>Pass</v>
      </c>
      <c r="B845">
        <f t="shared" si="79"/>
        <v>24.062206268310547</v>
      </c>
      <c r="C845">
        <v>0</v>
      </c>
      <c r="D845">
        <v>100</v>
      </c>
      <c r="E845">
        <v>90</v>
      </c>
      <c r="F845">
        <v>48</v>
      </c>
      <c r="G845">
        <v>24.062207900819701</v>
      </c>
      <c r="M845" t="str">
        <f t="shared" si="80"/>
        <v>Pass</v>
      </c>
      <c r="N845">
        <f t="shared" si="81"/>
        <v>1.7962013316719094E-6</v>
      </c>
      <c r="O845">
        <v>40</v>
      </c>
      <c r="P845">
        <v>60</v>
      </c>
      <c r="Q845">
        <v>2.5</v>
      </c>
      <c r="R845" t="b">
        <v>0</v>
      </c>
      <c r="S845">
        <v>1.79620140479303E-6</v>
      </c>
      <c r="Y845" t="str">
        <f t="shared" si="82"/>
        <v>Pass</v>
      </c>
      <c r="Z845">
        <f t="shared" si="83"/>
        <v>124223.515625</v>
      </c>
      <c r="AA845">
        <v>12800</v>
      </c>
      <c r="AB845">
        <v>20</v>
      </c>
      <c r="AC845">
        <v>14</v>
      </c>
      <c r="AD845">
        <v>0.2</v>
      </c>
      <c r="AE845">
        <v>124223.522383437</v>
      </c>
    </row>
    <row r="846" spans="1:31" x14ac:dyDescent="0.3">
      <c r="A846" t="str">
        <f>IF(ISBLANK(B846),"",IF(ROUND(B846,0)=ROUND(G846,0),"Pass","Fail"))</f>
        <v>Pass</v>
      </c>
      <c r="B846">
        <f t="shared" si="79"/>
        <v>90.097999572753906</v>
      </c>
      <c r="C846">
        <v>0</v>
      </c>
      <c r="D846">
        <v>100</v>
      </c>
      <c r="E846">
        <v>100</v>
      </c>
      <c r="F846">
        <v>0</v>
      </c>
      <c r="G846">
        <v>90.097999999999999</v>
      </c>
      <c r="M846" t="str">
        <f t="shared" si="80"/>
        <v>Pass</v>
      </c>
      <c r="N846">
        <f t="shared" si="81"/>
        <v>9.2453042555007414E-8</v>
      </c>
      <c r="O846">
        <v>40</v>
      </c>
      <c r="P846">
        <v>60</v>
      </c>
      <c r="Q846">
        <v>3</v>
      </c>
      <c r="R846" t="b">
        <v>1</v>
      </c>
      <c r="S846">
        <v>9.2453043337124603E-8</v>
      </c>
      <c r="Y846" t="str">
        <f t="shared" si="82"/>
        <v>Pass</v>
      </c>
      <c r="Z846">
        <f t="shared" si="83"/>
        <v>126875.1796875</v>
      </c>
      <c r="AA846">
        <v>12800</v>
      </c>
      <c r="AB846">
        <v>20</v>
      </c>
      <c r="AC846">
        <v>16</v>
      </c>
      <c r="AD846">
        <v>0.2</v>
      </c>
      <c r="AE846">
        <v>126875.185820461</v>
      </c>
    </row>
    <row r="847" spans="1:31" x14ac:dyDescent="0.3">
      <c r="A847" t="str">
        <f>IF(ISBLANK(B847),"",IF(ROUND(B847,0)=ROUND(G847,0),"Pass","Fail"))</f>
        <v>Pass</v>
      </c>
      <c r="B847">
        <f t="shared" si="79"/>
        <v>56.76123046875</v>
      </c>
      <c r="C847">
        <v>0</v>
      </c>
      <c r="D847">
        <v>100</v>
      </c>
      <c r="E847">
        <v>100</v>
      </c>
      <c r="F847">
        <v>8</v>
      </c>
      <c r="G847">
        <v>56.7612280807231</v>
      </c>
      <c r="M847" t="str">
        <f t="shared" si="80"/>
        <v>Pass</v>
      </c>
      <c r="N847">
        <f t="shared" si="81"/>
        <v>1.8721005972111016E-6</v>
      </c>
      <c r="O847">
        <v>40</v>
      </c>
      <c r="P847">
        <v>60</v>
      </c>
      <c r="Q847">
        <v>3</v>
      </c>
      <c r="R847" t="b">
        <v>0</v>
      </c>
      <c r="S847">
        <v>1.8721005659475301E-6</v>
      </c>
      <c r="Y847" t="str">
        <f t="shared" si="82"/>
        <v>Pass</v>
      </c>
      <c r="Z847">
        <f t="shared" si="83"/>
        <v>128652.65625</v>
      </c>
      <c r="AA847">
        <v>12800</v>
      </c>
      <c r="AB847">
        <v>20</v>
      </c>
      <c r="AC847">
        <v>18</v>
      </c>
      <c r="AD847">
        <v>0.2</v>
      </c>
      <c r="AE847">
        <v>128652.648977638</v>
      </c>
    </row>
    <row r="848" spans="1:31" x14ac:dyDescent="0.3">
      <c r="A848" t="str">
        <f>IF(ISBLANK(B848),"",IF(ROUND(B848,0)=ROUND(G848,0),"Pass","Fail"))</f>
        <v>Pass</v>
      </c>
      <c r="B848">
        <f t="shared" si="79"/>
        <v>39.979995727539063</v>
      </c>
      <c r="C848">
        <v>0</v>
      </c>
      <c r="D848">
        <v>100</v>
      </c>
      <c r="E848">
        <v>100</v>
      </c>
      <c r="F848">
        <v>16</v>
      </c>
      <c r="G848">
        <v>39.9799972471017</v>
      </c>
      <c r="M848" t="str">
        <f t="shared" si="80"/>
        <v>Pass</v>
      </c>
      <c r="N848">
        <f t="shared" si="81"/>
        <v>9.5745441797134845E-8</v>
      </c>
      <c r="O848">
        <v>40</v>
      </c>
      <c r="P848">
        <v>60</v>
      </c>
      <c r="Q848">
        <v>3.5</v>
      </c>
      <c r="R848" t="b">
        <v>1</v>
      </c>
      <c r="S848">
        <v>9.5745447414728502E-8</v>
      </c>
      <c r="Y848" t="str">
        <f t="shared" si="82"/>
        <v>Pass</v>
      </c>
      <c r="Z848">
        <f t="shared" si="83"/>
        <v>129844.125</v>
      </c>
      <c r="AA848">
        <v>12800</v>
      </c>
      <c r="AB848">
        <v>20</v>
      </c>
      <c r="AC848">
        <v>20</v>
      </c>
      <c r="AD848">
        <v>0.2</v>
      </c>
      <c r="AE848">
        <v>129844.118162983</v>
      </c>
    </row>
    <row r="849" spans="1:31" x14ac:dyDescent="0.3">
      <c r="A849" t="str">
        <f>IF(ISBLANK(B849),"",IF(ROUND(B849,0)=ROUND(G849,0),"Pass","Fail"))</f>
        <v>Pass</v>
      </c>
      <c r="B849">
        <f t="shared" si="79"/>
        <v>31.532577514648438</v>
      </c>
      <c r="C849">
        <v>0</v>
      </c>
      <c r="D849">
        <v>100</v>
      </c>
      <c r="E849">
        <v>100</v>
      </c>
      <c r="F849">
        <v>24</v>
      </c>
      <c r="G849">
        <v>31.532577413736199</v>
      </c>
      <c r="M849" t="str">
        <f t="shared" si="80"/>
        <v>Pass</v>
      </c>
      <c r="N849">
        <f t="shared" si="81"/>
        <v>1.9387691736483248E-6</v>
      </c>
      <c r="O849">
        <v>40</v>
      </c>
      <c r="P849">
        <v>60</v>
      </c>
      <c r="Q849">
        <v>3.5</v>
      </c>
      <c r="R849" t="b">
        <v>0</v>
      </c>
      <c r="S849">
        <v>1.9387691288690802E-6</v>
      </c>
      <c r="Y849" t="str">
        <f t="shared" si="82"/>
        <v>Pass</v>
      </c>
      <c r="Z849">
        <f t="shared" si="83"/>
        <v>130642.7890625</v>
      </c>
      <c r="AA849">
        <v>12800</v>
      </c>
      <c r="AB849">
        <v>20</v>
      </c>
      <c r="AC849">
        <v>22</v>
      </c>
      <c r="AD849">
        <v>0.2</v>
      </c>
      <c r="AE849">
        <v>130642.78384215399</v>
      </c>
    </row>
    <row r="850" spans="1:31" x14ac:dyDescent="0.3">
      <c r="A850" t="str">
        <f>IF(ISBLANK(B850),"",IF(ROUND(B850,0)=ROUND(G850,0),"Pass","Fail"))</f>
        <v>Pass</v>
      </c>
      <c r="B850">
        <f t="shared" si="79"/>
        <v>27.2802734375</v>
      </c>
      <c r="C850">
        <v>0</v>
      </c>
      <c r="D850">
        <v>100</v>
      </c>
      <c r="E850">
        <v>100</v>
      </c>
      <c r="F850">
        <v>32</v>
      </c>
      <c r="G850">
        <v>27.280273005994601</v>
      </c>
      <c r="M850" t="str">
        <f t="shared" si="80"/>
        <v>Pass</v>
      </c>
      <c r="N850">
        <f t="shared" si="81"/>
        <v>9.869206252233198E-8</v>
      </c>
      <c r="O850">
        <v>40</v>
      </c>
      <c r="P850">
        <v>60</v>
      </c>
      <c r="Q850">
        <v>4</v>
      </c>
      <c r="R850" t="b">
        <v>1</v>
      </c>
      <c r="S850">
        <v>9.8692080633108695E-8</v>
      </c>
      <c r="Y850" t="str">
        <f t="shared" si="82"/>
        <v>Pass</v>
      </c>
      <c r="Z850">
        <f t="shared" si="83"/>
        <v>131178.15625</v>
      </c>
      <c r="AA850">
        <v>12800</v>
      </c>
      <c r="AB850">
        <v>20</v>
      </c>
      <c r="AC850">
        <v>24</v>
      </c>
      <c r="AD850">
        <v>0.2</v>
      </c>
      <c r="AE850">
        <v>131178.14545698199</v>
      </c>
    </row>
    <row r="851" spans="1:31" x14ac:dyDescent="0.3">
      <c r="A851" t="str">
        <f>IF(ISBLANK(B851),"",IF(ROUND(B851,0)=ROUND(G851,0),"Pass","Fail"))</f>
        <v>Pass</v>
      </c>
      <c r="B851">
        <f t="shared" si="79"/>
        <v>25.139726638793945</v>
      </c>
      <c r="C851">
        <v>0</v>
      </c>
      <c r="D851">
        <v>100</v>
      </c>
      <c r="E851">
        <v>100</v>
      </c>
      <c r="F851">
        <v>40</v>
      </c>
      <c r="G851">
        <v>25.139726764327101</v>
      </c>
      <c r="M851" t="str">
        <f t="shared" si="80"/>
        <v>Pass</v>
      </c>
      <c r="N851">
        <f t="shared" si="81"/>
        <v>1.9984361188107869E-6</v>
      </c>
      <c r="O851">
        <v>40</v>
      </c>
      <c r="P851">
        <v>60</v>
      </c>
      <c r="Q851">
        <v>4</v>
      </c>
      <c r="R851" t="b">
        <v>0</v>
      </c>
      <c r="S851">
        <v>1.9984361070090501E-6</v>
      </c>
      <c r="Y851" t="str">
        <f t="shared" si="82"/>
        <v>Pass</v>
      </c>
      <c r="Z851">
        <f t="shared" si="83"/>
        <v>0</v>
      </c>
      <c r="AA851">
        <v>13000</v>
      </c>
      <c r="AB851">
        <v>20</v>
      </c>
      <c r="AC851">
        <v>0</v>
      </c>
      <c r="AD851">
        <v>0.2</v>
      </c>
      <c r="AE851">
        <v>0</v>
      </c>
    </row>
    <row r="852" spans="1:31" x14ac:dyDescent="0.3">
      <c r="A852" t="str">
        <f>IF(ISBLANK(B852),"",IF(ROUND(B852,0)=ROUND(G852,0),"Pass","Fail"))</f>
        <v>Pass</v>
      </c>
      <c r="B852">
        <f t="shared" si="79"/>
        <v>24.062206268310547</v>
      </c>
      <c r="C852">
        <v>0</v>
      </c>
      <c r="D852">
        <v>100</v>
      </c>
      <c r="E852">
        <v>100</v>
      </c>
      <c r="F852">
        <v>48</v>
      </c>
      <c r="G852">
        <v>24.062207900819701</v>
      </c>
      <c r="M852" t="str">
        <f t="shared" si="80"/>
        <v>Pass</v>
      </c>
      <c r="N852">
        <f t="shared" si="81"/>
        <v>0</v>
      </c>
      <c r="O852">
        <v>40</v>
      </c>
      <c r="P852">
        <v>70</v>
      </c>
      <c r="Q852">
        <v>0</v>
      </c>
      <c r="R852" t="b">
        <v>1</v>
      </c>
      <c r="S852">
        <v>0</v>
      </c>
      <c r="Y852" t="str">
        <f t="shared" si="82"/>
        <v>Pass</v>
      </c>
      <c r="Z852">
        <f t="shared" si="83"/>
        <v>44287.00390625</v>
      </c>
      <c r="AA852">
        <v>13000</v>
      </c>
      <c r="AB852">
        <v>20</v>
      </c>
      <c r="AC852">
        <v>2</v>
      </c>
      <c r="AD852">
        <v>0.2</v>
      </c>
      <c r="AE852">
        <v>44287.007149212397</v>
      </c>
    </row>
    <row r="853" spans="1:31" x14ac:dyDescent="0.3">
      <c r="A853" t="str">
        <f>IF(ISBLANK(B853),"",IF(ROUND(B853,0)=ROUND(G853,0),"Pass","Fail"))</f>
        <v>Pass</v>
      </c>
      <c r="B853">
        <f t="shared" si="79"/>
        <v>5.869999885559082</v>
      </c>
      <c r="C853">
        <v>10</v>
      </c>
      <c r="D853">
        <v>0</v>
      </c>
      <c r="E853">
        <v>0</v>
      </c>
      <c r="F853">
        <v>0</v>
      </c>
      <c r="G853">
        <v>5.87</v>
      </c>
      <c r="M853" t="str">
        <f t="shared" si="80"/>
        <v>Pass</v>
      </c>
      <c r="N853">
        <f t="shared" si="81"/>
        <v>0</v>
      </c>
      <c r="O853">
        <v>40</v>
      </c>
      <c r="P853">
        <v>70</v>
      </c>
      <c r="Q853">
        <v>0</v>
      </c>
      <c r="R853" t="b">
        <v>0</v>
      </c>
      <c r="S853">
        <v>0</v>
      </c>
      <c r="Y853" t="str">
        <f t="shared" si="82"/>
        <v>Pass</v>
      </c>
      <c r="Z853">
        <f t="shared" si="83"/>
        <v>73973.4765625</v>
      </c>
      <c r="AA853">
        <v>13000</v>
      </c>
      <c r="AB853">
        <v>20</v>
      </c>
      <c r="AC853">
        <v>4</v>
      </c>
      <c r="AD853">
        <v>0.2</v>
      </c>
      <c r="AE853">
        <v>73973.475820253196</v>
      </c>
    </row>
    <row r="854" spans="1:31" x14ac:dyDescent="0.3">
      <c r="A854" t="str">
        <f>IF(ISBLANK(B854),"",IF(ROUND(B854,0)=ROUND(G854,0),"Pass","Fail"))</f>
        <v>Pass</v>
      </c>
      <c r="B854">
        <f t="shared" si="79"/>
        <v>5.869999885559082</v>
      </c>
      <c r="C854">
        <v>10</v>
      </c>
      <c r="D854">
        <v>0</v>
      </c>
      <c r="E854">
        <v>0</v>
      </c>
      <c r="F854">
        <v>8</v>
      </c>
      <c r="G854">
        <v>5.87</v>
      </c>
      <c r="M854" t="str">
        <f t="shared" si="80"/>
        <v>Pass</v>
      </c>
      <c r="N854">
        <f t="shared" si="81"/>
        <v>1.1274645661529803E-9</v>
      </c>
      <c r="O854">
        <v>40</v>
      </c>
      <c r="P854">
        <v>70</v>
      </c>
      <c r="Q854">
        <v>0.5</v>
      </c>
      <c r="R854" t="b">
        <v>1</v>
      </c>
      <c r="S854">
        <v>1.1274646969726699E-9</v>
      </c>
      <c r="Y854" t="str">
        <f t="shared" si="82"/>
        <v>Pass</v>
      </c>
      <c r="Z854">
        <f t="shared" si="83"/>
        <v>93872.9140625</v>
      </c>
      <c r="AA854">
        <v>13000</v>
      </c>
      <c r="AB854">
        <v>20</v>
      </c>
      <c r="AC854">
        <v>6</v>
      </c>
      <c r="AD854">
        <v>0.2</v>
      </c>
      <c r="AE854">
        <v>93872.910866460807</v>
      </c>
    </row>
    <row r="855" spans="1:31" x14ac:dyDescent="0.3">
      <c r="A855" t="str">
        <f>IF(ISBLANK(B855),"",IF(ROUND(B855,0)=ROUND(G855,0),"Pass","Fail"))</f>
        <v>Pass</v>
      </c>
      <c r="B855">
        <f t="shared" si="79"/>
        <v>5.869999885559082</v>
      </c>
      <c r="C855">
        <v>10</v>
      </c>
      <c r="D855">
        <v>0</v>
      </c>
      <c r="E855">
        <v>0</v>
      </c>
      <c r="F855">
        <v>16</v>
      </c>
      <c r="G855">
        <v>5.87</v>
      </c>
      <c r="M855" t="str">
        <f t="shared" si="80"/>
        <v>Pass</v>
      </c>
      <c r="N855">
        <f t="shared" si="81"/>
        <v>2.2830262125239642E-8</v>
      </c>
      <c r="O855">
        <v>40</v>
      </c>
      <c r="P855">
        <v>70</v>
      </c>
      <c r="Q855">
        <v>0.5</v>
      </c>
      <c r="R855" t="b">
        <v>0</v>
      </c>
      <c r="S855">
        <v>2.28302630297605E-8</v>
      </c>
      <c r="Y855" t="str">
        <f t="shared" si="82"/>
        <v>Pass</v>
      </c>
      <c r="Z855">
        <f t="shared" si="83"/>
        <v>107211.8984375</v>
      </c>
      <c r="AA855">
        <v>13000</v>
      </c>
      <c r="AB855">
        <v>20</v>
      </c>
      <c r="AC855">
        <v>8</v>
      </c>
      <c r="AD855">
        <v>0.2</v>
      </c>
      <c r="AE855">
        <v>107211.901082717</v>
      </c>
    </row>
    <row r="856" spans="1:31" x14ac:dyDescent="0.3">
      <c r="A856" t="str">
        <f>IF(ISBLANK(B856),"",IF(ROUND(B856,0)=ROUND(G856,0),"Pass","Fail"))</f>
        <v>Pass</v>
      </c>
      <c r="B856">
        <f t="shared" si="79"/>
        <v>5.869999885559082</v>
      </c>
      <c r="C856">
        <v>10</v>
      </c>
      <c r="D856">
        <v>0</v>
      </c>
      <c r="E856">
        <v>0</v>
      </c>
      <c r="F856">
        <v>24</v>
      </c>
      <c r="G856">
        <v>5.87</v>
      </c>
      <c r="M856" t="str">
        <f t="shared" si="80"/>
        <v>Pass</v>
      </c>
      <c r="N856">
        <f t="shared" si="81"/>
        <v>1.319582998426938E-9</v>
      </c>
      <c r="O856">
        <v>40</v>
      </c>
      <c r="P856">
        <v>70</v>
      </c>
      <c r="Q856">
        <v>1</v>
      </c>
      <c r="R856" t="b">
        <v>1</v>
      </c>
      <c r="S856">
        <v>1.3195831496473701E-9</v>
      </c>
      <c r="Y856" t="str">
        <f t="shared" si="82"/>
        <v>Pass</v>
      </c>
      <c r="Z856">
        <f t="shared" si="83"/>
        <v>116153.296875</v>
      </c>
      <c r="AA856">
        <v>13000</v>
      </c>
      <c r="AB856">
        <v>20</v>
      </c>
      <c r="AC856">
        <v>10</v>
      </c>
      <c r="AD856">
        <v>0.2</v>
      </c>
      <c r="AE856">
        <v>116153.29361854801</v>
      </c>
    </row>
    <row r="857" spans="1:31" x14ac:dyDescent="0.3">
      <c r="A857" t="str">
        <f>IF(ISBLANK(B857),"",IF(ROUND(B857,0)=ROUND(G857,0),"Pass","Fail"))</f>
        <v>Pass</v>
      </c>
      <c r="B857">
        <f t="shared" si="79"/>
        <v>5.869999885559082</v>
      </c>
      <c r="C857">
        <v>10</v>
      </c>
      <c r="D857">
        <v>0</v>
      </c>
      <c r="E857">
        <v>0</v>
      </c>
      <c r="F857">
        <v>32</v>
      </c>
      <c r="G857">
        <v>5.87</v>
      </c>
      <c r="M857" t="str">
        <f t="shared" si="80"/>
        <v>Pass</v>
      </c>
      <c r="N857">
        <f t="shared" si="81"/>
        <v>2.6720510248878782E-8</v>
      </c>
      <c r="O857">
        <v>40</v>
      </c>
      <c r="P857">
        <v>70</v>
      </c>
      <c r="Q857">
        <v>1</v>
      </c>
      <c r="R857" t="b">
        <v>0</v>
      </c>
      <c r="S857">
        <v>2.6720508834539301E-8</v>
      </c>
      <c r="Y857" t="str">
        <f t="shared" si="82"/>
        <v>Pass</v>
      </c>
      <c r="Z857">
        <f t="shared" si="83"/>
        <v>122146.890625</v>
      </c>
      <c r="AA857">
        <v>13000</v>
      </c>
      <c r="AB857">
        <v>20</v>
      </c>
      <c r="AC857">
        <v>12</v>
      </c>
      <c r="AD857">
        <v>0.2</v>
      </c>
      <c r="AE857">
        <v>122146.888274788</v>
      </c>
    </row>
    <row r="858" spans="1:31" x14ac:dyDescent="0.3">
      <c r="A858" t="str">
        <f>IF(ISBLANK(B858),"",IF(ROUND(B858,0)=ROUND(G858,0),"Pass","Fail"))</f>
        <v>Pass</v>
      </c>
      <c r="B858">
        <f t="shared" si="79"/>
        <v>5.869999885559082</v>
      </c>
      <c r="C858">
        <v>10</v>
      </c>
      <c r="D858">
        <v>0</v>
      </c>
      <c r="E858">
        <v>0</v>
      </c>
      <c r="F858">
        <v>40</v>
      </c>
      <c r="G858">
        <v>5.87</v>
      </c>
      <c r="M858" t="str">
        <f t="shared" si="80"/>
        <v>Pass</v>
      </c>
      <c r="N858">
        <f t="shared" si="81"/>
        <v>1.4468031217518273E-9</v>
      </c>
      <c r="O858">
        <v>40</v>
      </c>
      <c r="P858">
        <v>70</v>
      </c>
      <c r="Q858">
        <v>1.5</v>
      </c>
      <c r="R858" t="b">
        <v>1</v>
      </c>
      <c r="S858">
        <v>1.44680325450412E-9</v>
      </c>
      <c r="Y858" t="str">
        <f t="shared" si="82"/>
        <v>Pass</v>
      </c>
      <c r="Z858">
        <f t="shared" si="83"/>
        <v>126164.5078125</v>
      </c>
      <c r="AA858">
        <v>13000</v>
      </c>
      <c r="AB858">
        <v>20</v>
      </c>
      <c r="AC858">
        <v>14</v>
      </c>
      <c r="AD858">
        <v>0.2</v>
      </c>
      <c r="AE858">
        <v>126164.51492067899</v>
      </c>
    </row>
    <row r="859" spans="1:31" x14ac:dyDescent="0.3">
      <c r="A859" t="str">
        <f>IF(ISBLANK(B859),"",IF(ROUND(B859,0)=ROUND(G859,0),"Pass","Fail"))</f>
        <v>Pass</v>
      </c>
      <c r="B859">
        <f t="shared" si="79"/>
        <v>5.869999885559082</v>
      </c>
      <c r="C859">
        <v>10</v>
      </c>
      <c r="D859">
        <v>0</v>
      </c>
      <c r="E859">
        <v>0</v>
      </c>
      <c r="F859">
        <v>48</v>
      </c>
      <c r="G859">
        <v>5.87</v>
      </c>
      <c r="M859" t="str">
        <f t="shared" si="80"/>
        <v>Pass</v>
      </c>
      <c r="N859">
        <f t="shared" si="81"/>
        <v>2.9296616688156973E-8</v>
      </c>
      <c r="O859">
        <v>40</v>
      </c>
      <c r="P859">
        <v>70</v>
      </c>
      <c r="Q859">
        <v>1.5</v>
      </c>
      <c r="R859" t="b">
        <v>0</v>
      </c>
      <c r="S859">
        <v>2.9296614733333101E-8</v>
      </c>
      <c r="Y859" t="str">
        <f t="shared" si="82"/>
        <v>Pass</v>
      </c>
      <c r="Z859">
        <f t="shared" si="83"/>
        <v>128857.6015625</v>
      </c>
      <c r="AA859">
        <v>13000</v>
      </c>
      <c r="AB859">
        <v>20</v>
      </c>
      <c r="AC859">
        <v>16</v>
      </c>
      <c r="AD859">
        <v>0.2</v>
      </c>
      <c r="AE859">
        <v>128857.610598906</v>
      </c>
    </row>
    <row r="860" spans="1:31" x14ac:dyDescent="0.3">
      <c r="A860" t="str">
        <f>IF(ISBLANK(B860),"",IF(ROUND(B860,0)=ROUND(G860,0),"Pass","Fail"))</f>
        <v>Pass</v>
      </c>
      <c r="B860">
        <f t="shared" si="79"/>
        <v>72.998001098632813</v>
      </c>
      <c r="C860">
        <v>10</v>
      </c>
      <c r="D860">
        <v>0</v>
      </c>
      <c r="E860">
        <v>10</v>
      </c>
      <c r="F860">
        <v>0</v>
      </c>
      <c r="G860">
        <v>72.997999999998299</v>
      </c>
      <c r="M860" t="str">
        <f t="shared" si="80"/>
        <v>Pass</v>
      </c>
      <c r="N860">
        <f t="shared" si="81"/>
        <v>1.5444382439611104E-9</v>
      </c>
      <c r="O860">
        <v>40</v>
      </c>
      <c r="P860">
        <v>70</v>
      </c>
      <c r="Q860">
        <v>2</v>
      </c>
      <c r="R860" t="b">
        <v>1</v>
      </c>
      <c r="S860">
        <v>1.54443832566005E-9</v>
      </c>
      <c r="Y860" t="str">
        <f t="shared" si="82"/>
        <v>Pass</v>
      </c>
      <c r="Z860">
        <f t="shared" si="83"/>
        <v>130662.8515625</v>
      </c>
      <c r="AA860">
        <v>13000</v>
      </c>
      <c r="AB860">
        <v>20</v>
      </c>
      <c r="AC860">
        <v>18</v>
      </c>
      <c r="AD860">
        <v>0.2</v>
      </c>
      <c r="AE860">
        <v>130662.846617913</v>
      </c>
    </row>
    <row r="861" spans="1:31" x14ac:dyDescent="0.3">
      <c r="A861" t="str">
        <f>IF(ISBLANK(B861),"",IF(ROUND(B861,0)=ROUND(G861,0),"Pass","Fail"))</f>
        <v>Pass</v>
      </c>
      <c r="B861">
        <f t="shared" si="79"/>
        <v>39.661228179931641</v>
      </c>
      <c r="C861">
        <v>10</v>
      </c>
      <c r="D861">
        <v>0</v>
      </c>
      <c r="E861">
        <v>10</v>
      </c>
      <c r="F861">
        <v>8</v>
      </c>
      <c r="G861">
        <v>39.661228080722204</v>
      </c>
      <c r="M861" t="str">
        <f t="shared" si="80"/>
        <v>Pass</v>
      </c>
      <c r="N861">
        <f t="shared" si="81"/>
        <v>3.1273646783347431E-8</v>
      </c>
      <c r="O861">
        <v>40</v>
      </c>
      <c r="P861">
        <v>70</v>
      </c>
      <c r="Q861">
        <v>2</v>
      </c>
      <c r="R861" t="b">
        <v>0</v>
      </c>
      <c r="S861">
        <v>3.1273647239454503E-8</v>
      </c>
      <c r="Y861" t="str">
        <f t="shared" si="82"/>
        <v>Pass</v>
      </c>
      <c r="Z861">
        <f t="shared" si="83"/>
        <v>131872.9375</v>
      </c>
      <c r="AA861">
        <v>13000</v>
      </c>
      <c r="AB861">
        <v>20</v>
      </c>
      <c r="AC861">
        <v>20</v>
      </c>
      <c r="AD861">
        <v>0.2</v>
      </c>
      <c r="AE861">
        <v>131872.93250928001</v>
      </c>
    </row>
    <row r="862" spans="1:31" x14ac:dyDescent="0.3">
      <c r="A862" t="str">
        <f>IF(ISBLANK(B862),"",IF(ROUND(B862,0)=ROUND(G862,0),"Pass","Fail"))</f>
        <v>Pass</v>
      </c>
      <c r="B862">
        <f t="shared" si="79"/>
        <v>22.879997253417969</v>
      </c>
      <c r="C862">
        <v>10</v>
      </c>
      <c r="D862">
        <v>0</v>
      </c>
      <c r="E862">
        <v>10</v>
      </c>
      <c r="F862">
        <v>16</v>
      </c>
      <c r="G862">
        <v>22.879997247101301</v>
      </c>
      <c r="M862" t="str">
        <f t="shared" si="80"/>
        <v>Pass</v>
      </c>
      <c r="N862">
        <f t="shared" si="81"/>
        <v>1.6246847200918069E-9</v>
      </c>
      <c r="O862">
        <v>40</v>
      </c>
      <c r="P862">
        <v>70</v>
      </c>
      <c r="Q862">
        <v>2.5</v>
      </c>
      <c r="R862" t="b">
        <v>1</v>
      </c>
      <c r="S862">
        <v>1.62468489650886E-9</v>
      </c>
      <c r="Y862" t="str">
        <f t="shared" si="82"/>
        <v>Pass</v>
      </c>
      <c r="Z862">
        <f t="shared" si="83"/>
        <v>132684.078125</v>
      </c>
      <c r="AA862">
        <v>13000</v>
      </c>
      <c r="AB862">
        <v>20</v>
      </c>
      <c r="AC862">
        <v>22</v>
      </c>
      <c r="AD862">
        <v>0.2</v>
      </c>
      <c r="AE862">
        <v>132684.07733968701</v>
      </c>
    </row>
    <row r="863" spans="1:31" x14ac:dyDescent="0.3">
      <c r="A863" t="str">
        <f>IF(ISBLANK(B863),"",IF(ROUND(B863,0)=ROUND(G863,0),"Pass","Fail"))</f>
        <v>Pass</v>
      </c>
      <c r="B863">
        <f t="shared" si="79"/>
        <v>14.432577133178711</v>
      </c>
      <c r="C863">
        <v>10</v>
      </c>
      <c r="D863">
        <v>0</v>
      </c>
      <c r="E863">
        <v>10</v>
      </c>
      <c r="F863">
        <v>24</v>
      </c>
      <c r="G863">
        <v>14.432577413736</v>
      </c>
      <c r="M863" t="str">
        <f t="shared" si="80"/>
        <v>Pass</v>
      </c>
      <c r="N863">
        <f t="shared" si="81"/>
        <v>3.2898576307616167E-8</v>
      </c>
      <c r="O863">
        <v>40</v>
      </c>
      <c r="P863">
        <v>70</v>
      </c>
      <c r="Q863">
        <v>2.5</v>
      </c>
      <c r="R863" t="b">
        <v>0</v>
      </c>
      <c r="S863">
        <v>3.2898576449773899E-8</v>
      </c>
      <c r="Y863" t="str">
        <f t="shared" si="82"/>
        <v>Pass</v>
      </c>
      <c r="Z863">
        <f t="shared" si="83"/>
        <v>133227.8125</v>
      </c>
      <c r="AA863">
        <v>13000</v>
      </c>
      <c r="AB863">
        <v>20</v>
      </c>
      <c r="AC863">
        <v>24</v>
      </c>
      <c r="AD863">
        <v>0.2</v>
      </c>
      <c r="AE863">
        <v>133227.80397974799</v>
      </c>
    </row>
    <row r="864" spans="1:31" x14ac:dyDescent="0.3">
      <c r="A864" t="str">
        <f>IF(ISBLANK(B864),"",IF(ROUND(B864,0)=ROUND(G864,0),"Pass","Fail"))</f>
        <v>Pass</v>
      </c>
      <c r="B864">
        <f t="shared" si="79"/>
        <v>10.180273056030273</v>
      </c>
      <c r="C864">
        <v>10</v>
      </c>
      <c r="D864">
        <v>0</v>
      </c>
      <c r="E864">
        <v>10</v>
      </c>
      <c r="F864">
        <v>32</v>
      </c>
      <c r="G864">
        <v>10.180273005994501</v>
      </c>
      <c r="M864" t="str">
        <f t="shared" si="80"/>
        <v>Pass</v>
      </c>
      <c r="N864">
        <f t="shared" si="81"/>
        <v>1.693336471042528E-9</v>
      </c>
      <c r="O864">
        <v>40</v>
      </c>
      <c r="P864">
        <v>70</v>
      </c>
      <c r="Q864">
        <v>3</v>
      </c>
      <c r="R864" t="b">
        <v>1</v>
      </c>
      <c r="S864">
        <v>1.6933365635526299E-9</v>
      </c>
      <c r="Y864" t="str">
        <f t="shared" si="82"/>
        <v>Pass</v>
      </c>
      <c r="Z864">
        <f t="shared" si="83"/>
        <v>0</v>
      </c>
      <c r="AA864">
        <v>13200</v>
      </c>
      <c r="AB864">
        <v>20</v>
      </c>
      <c r="AC864">
        <v>0</v>
      </c>
      <c r="AD864">
        <v>0.2</v>
      </c>
      <c r="AE864">
        <v>0</v>
      </c>
    </row>
    <row r="865" spans="1:31" x14ac:dyDescent="0.3">
      <c r="A865" t="str">
        <f>IF(ISBLANK(B865),"",IF(ROUND(B865,0)=ROUND(G865,0),"Pass","Fail"))</f>
        <v>Pass</v>
      </c>
      <c r="B865">
        <f t="shared" si="79"/>
        <v>8.0397262573242188</v>
      </c>
      <c r="C865">
        <v>10</v>
      </c>
      <c r="D865">
        <v>0</v>
      </c>
      <c r="E865">
        <v>10</v>
      </c>
      <c r="F865">
        <v>40</v>
      </c>
      <c r="G865">
        <v>8.0397267643270496</v>
      </c>
      <c r="M865" t="str">
        <f t="shared" si="80"/>
        <v>Pass</v>
      </c>
      <c r="N865">
        <f t="shared" si="81"/>
        <v>3.4288717642994015E-8</v>
      </c>
      <c r="O865">
        <v>40</v>
      </c>
      <c r="P865">
        <v>70</v>
      </c>
      <c r="Q865">
        <v>3</v>
      </c>
      <c r="R865" t="b">
        <v>0</v>
      </c>
      <c r="S865">
        <v>3.4288718083697602E-8</v>
      </c>
      <c r="Y865" t="str">
        <f t="shared" si="82"/>
        <v>Pass</v>
      </c>
      <c r="Z865">
        <f t="shared" si="83"/>
        <v>44968.34375</v>
      </c>
      <c r="AA865">
        <v>13200</v>
      </c>
      <c r="AB865">
        <v>20</v>
      </c>
      <c r="AC865">
        <v>2</v>
      </c>
      <c r="AD865">
        <v>0.2</v>
      </c>
      <c r="AE865">
        <v>44968.345720738798</v>
      </c>
    </row>
    <row r="866" spans="1:31" x14ac:dyDescent="0.3">
      <c r="A866" t="str">
        <f>IF(ISBLANK(B866),"",IF(ROUND(B866,0)=ROUND(G866,0),"Pass","Fail"))</f>
        <v>Pass</v>
      </c>
      <c r="B866">
        <f t="shared" si="79"/>
        <v>6.9622077941894531</v>
      </c>
      <c r="C866">
        <v>10</v>
      </c>
      <c r="D866">
        <v>0</v>
      </c>
      <c r="E866">
        <v>10</v>
      </c>
      <c r="F866">
        <v>48</v>
      </c>
      <c r="G866">
        <v>6.9622079008196902</v>
      </c>
      <c r="M866" t="str">
        <f t="shared" si="80"/>
        <v>Pass</v>
      </c>
      <c r="N866">
        <f t="shared" si="81"/>
        <v>1.7536389007588582E-9</v>
      </c>
      <c r="O866">
        <v>40</v>
      </c>
      <c r="P866">
        <v>70</v>
      </c>
      <c r="Q866">
        <v>3.5</v>
      </c>
      <c r="R866" t="b">
        <v>1</v>
      </c>
      <c r="S866">
        <v>1.75363904798538E-9</v>
      </c>
      <c r="Y866" t="str">
        <f t="shared" si="82"/>
        <v>Pass</v>
      </c>
      <c r="Z866">
        <f t="shared" si="83"/>
        <v>75111.53125</v>
      </c>
      <c r="AA866">
        <v>13200</v>
      </c>
      <c r="AB866">
        <v>20</v>
      </c>
      <c r="AC866">
        <v>4</v>
      </c>
      <c r="AD866">
        <v>0.2</v>
      </c>
      <c r="AE866">
        <v>75111.529294410895</v>
      </c>
    </row>
    <row r="867" spans="1:31" x14ac:dyDescent="0.3">
      <c r="A867" t="str">
        <f>IF(ISBLANK(B867),"",IF(ROUND(B867,0)=ROUND(G867,0),"Pass","Fail"))</f>
        <v>Pass</v>
      </c>
      <c r="B867">
        <f t="shared" si="79"/>
        <v>72.998001098632813</v>
      </c>
      <c r="C867">
        <v>10</v>
      </c>
      <c r="D867">
        <v>0</v>
      </c>
      <c r="E867">
        <v>20</v>
      </c>
      <c r="F867">
        <v>0</v>
      </c>
      <c r="G867">
        <v>72.998000000000005</v>
      </c>
      <c r="M867" t="str">
        <f t="shared" si="80"/>
        <v>Pass</v>
      </c>
      <c r="N867">
        <f t="shared" si="81"/>
        <v>3.5509795992538784E-8</v>
      </c>
      <c r="O867">
        <v>40</v>
      </c>
      <c r="P867">
        <v>70</v>
      </c>
      <c r="Q867">
        <v>3.5</v>
      </c>
      <c r="R867" t="b">
        <v>0</v>
      </c>
      <c r="S867">
        <v>3.5509795412898303E-8</v>
      </c>
      <c r="Y867" t="str">
        <f t="shared" si="82"/>
        <v>Pass</v>
      </c>
      <c r="Z867">
        <f t="shared" si="83"/>
        <v>95317.109375</v>
      </c>
      <c r="AA867">
        <v>13200</v>
      </c>
      <c r="AB867">
        <v>20</v>
      </c>
      <c r="AC867">
        <v>6</v>
      </c>
      <c r="AD867">
        <v>0.2</v>
      </c>
      <c r="AE867">
        <v>95317.109495175595</v>
      </c>
    </row>
    <row r="868" spans="1:31" x14ac:dyDescent="0.3">
      <c r="A868" t="str">
        <f>IF(ISBLANK(B868),"",IF(ROUND(B868,0)=ROUND(G868,0),"Pass","Fail"))</f>
        <v>Pass</v>
      </c>
      <c r="B868">
        <f t="shared" si="79"/>
        <v>39.661228179931641</v>
      </c>
      <c r="C868">
        <v>10</v>
      </c>
      <c r="D868">
        <v>0</v>
      </c>
      <c r="E868">
        <v>20</v>
      </c>
      <c r="F868">
        <v>8</v>
      </c>
      <c r="G868">
        <v>39.661228080722999</v>
      </c>
      <c r="M868" t="str">
        <f t="shared" si="80"/>
        <v>Pass</v>
      </c>
      <c r="N868">
        <f t="shared" si="81"/>
        <v>1.8076082852758191E-9</v>
      </c>
      <c r="O868">
        <v>40</v>
      </c>
      <c r="P868">
        <v>70</v>
      </c>
      <c r="Q868">
        <v>4</v>
      </c>
      <c r="R868" t="b">
        <v>1</v>
      </c>
      <c r="S868">
        <v>1.8076085181938099E-9</v>
      </c>
      <c r="Y868" t="str">
        <f t="shared" si="82"/>
        <v>Pass</v>
      </c>
      <c r="Z868">
        <f t="shared" si="83"/>
        <v>108861.3125</v>
      </c>
      <c r="AA868">
        <v>13200</v>
      </c>
      <c r="AB868">
        <v>20</v>
      </c>
      <c r="AC868">
        <v>8</v>
      </c>
      <c r="AD868">
        <v>0.2</v>
      </c>
      <c r="AE868">
        <v>108861.314945529</v>
      </c>
    </row>
    <row r="869" spans="1:31" x14ac:dyDescent="0.3">
      <c r="A869" t="str">
        <f>IF(ISBLANK(B869),"",IF(ROUND(B869,0)=ROUND(G869,0),"Pass","Fail"))</f>
        <v>Pass</v>
      </c>
      <c r="B869">
        <f t="shared" si="79"/>
        <v>22.879997253417969</v>
      </c>
      <c r="C869">
        <v>10</v>
      </c>
      <c r="D869">
        <v>0</v>
      </c>
      <c r="E869">
        <v>20</v>
      </c>
      <c r="F869">
        <v>16</v>
      </c>
      <c r="G869">
        <v>22.879997247101699</v>
      </c>
      <c r="M869" t="str">
        <f t="shared" si="80"/>
        <v>Pass</v>
      </c>
      <c r="N869">
        <f t="shared" si="81"/>
        <v>3.6602632036419891E-8</v>
      </c>
      <c r="O869">
        <v>40</v>
      </c>
      <c r="P869">
        <v>70</v>
      </c>
      <c r="Q869">
        <v>4</v>
      </c>
      <c r="R869" t="b">
        <v>0</v>
      </c>
      <c r="S869">
        <v>3.66026342430131E-8</v>
      </c>
      <c r="Y869" t="str">
        <f t="shared" si="82"/>
        <v>Pass</v>
      </c>
      <c r="Z869">
        <f t="shared" si="83"/>
        <v>117940.2734375</v>
      </c>
      <c r="AA869">
        <v>13200</v>
      </c>
      <c r="AB869">
        <v>20</v>
      </c>
      <c r="AC869">
        <v>10</v>
      </c>
      <c r="AD869">
        <v>0.2</v>
      </c>
      <c r="AE869">
        <v>117940.26736652599</v>
      </c>
    </row>
    <row r="870" spans="1:31" x14ac:dyDescent="0.3">
      <c r="A870" t="str">
        <f>IF(ISBLANK(B870),"",IF(ROUND(B870,0)=ROUND(G870,0),"Pass","Fail"))</f>
        <v>Pass</v>
      </c>
      <c r="B870">
        <f t="shared" si="79"/>
        <v>14.432577133178711</v>
      </c>
      <c r="C870">
        <v>10</v>
      </c>
      <c r="D870">
        <v>0</v>
      </c>
      <c r="E870">
        <v>20</v>
      </c>
      <c r="F870">
        <v>24</v>
      </c>
      <c r="G870">
        <v>14.432577413736199</v>
      </c>
      <c r="M870" t="str">
        <f t="shared" si="80"/>
        <v>Pass</v>
      </c>
      <c r="N870">
        <f t="shared" si="81"/>
        <v>0</v>
      </c>
      <c r="O870">
        <v>40</v>
      </c>
      <c r="P870">
        <v>80</v>
      </c>
      <c r="Q870">
        <v>0</v>
      </c>
      <c r="R870" t="b">
        <v>1</v>
      </c>
      <c r="S870">
        <v>0</v>
      </c>
      <c r="Y870" t="str">
        <f t="shared" si="82"/>
        <v>Pass</v>
      </c>
      <c r="Z870">
        <f t="shared" si="83"/>
        <v>124026.078125</v>
      </c>
      <c r="AA870">
        <v>13200</v>
      </c>
      <c r="AB870">
        <v>20</v>
      </c>
      <c r="AC870">
        <v>12</v>
      </c>
      <c r="AD870">
        <v>0.2</v>
      </c>
      <c r="AE870">
        <v>124026.071171324</v>
      </c>
    </row>
    <row r="871" spans="1:31" x14ac:dyDescent="0.3">
      <c r="A871" t="str">
        <f>IF(ISBLANK(B871),"",IF(ROUND(B871,0)=ROUND(G871,0),"Pass","Fail"))</f>
        <v>Pass</v>
      </c>
      <c r="B871">
        <f t="shared" si="79"/>
        <v>10.180273056030273</v>
      </c>
      <c r="C871">
        <v>10</v>
      </c>
      <c r="D871">
        <v>0</v>
      </c>
      <c r="E871">
        <v>20</v>
      </c>
      <c r="F871">
        <v>32</v>
      </c>
      <c r="G871">
        <v>10.1802730059946</v>
      </c>
      <c r="M871" t="str">
        <f t="shared" si="80"/>
        <v>Pass</v>
      </c>
      <c r="N871">
        <f t="shared" si="81"/>
        <v>0</v>
      </c>
      <c r="O871">
        <v>40</v>
      </c>
      <c r="P871">
        <v>80</v>
      </c>
      <c r="Q871">
        <v>0</v>
      </c>
      <c r="R871" t="b">
        <v>0</v>
      </c>
      <c r="S871">
        <v>0</v>
      </c>
      <c r="Y871" t="str">
        <f t="shared" si="82"/>
        <v>Pass</v>
      </c>
      <c r="Z871">
        <f t="shared" si="83"/>
        <v>128105.5</v>
      </c>
      <c r="AA871">
        <v>13200</v>
      </c>
      <c r="AB871">
        <v>20</v>
      </c>
      <c r="AC871">
        <v>14</v>
      </c>
      <c r="AD871">
        <v>0.2</v>
      </c>
      <c r="AE871">
        <v>128105.50745792</v>
      </c>
    </row>
    <row r="872" spans="1:31" x14ac:dyDescent="0.3">
      <c r="A872" t="str">
        <f>IF(ISBLANK(B872),"",IF(ROUND(B872,0)=ROUND(G872,0),"Pass","Fail"))</f>
        <v>Pass</v>
      </c>
      <c r="B872">
        <f t="shared" si="79"/>
        <v>8.0397262573242188</v>
      </c>
      <c r="C872">
        <v>10</v>
      </c>
      <c r="D872">
        <v>0</v>
      </c>
      <c r="E872">
        <v>20</v>
      </c>
      <c r="F872">
        <v>40</v>
      </c>
      <c r="G872">
        <v>8.0397267643270993</v>
      </c>
      <c r="M872" t="str">
        <f t="shared" si="80"/>
        <v>Pass</v>
      </c>
      <c r="N872">
        <f t="shared" si="81"/>
        <v>2.065023499420171E-11</v>
      </c>
      <c r="O872">
        <v>40</v>
      </c>
      <c r="P872">
        <v>80</v>
      </c>
      <c r="Q872">
        <v>0.5</v>
      </c>
      <c r="R872" t="b">
        <v>1</v>
      </c>
      <c r="S872">
        <v>2.0650236251250801E-11</v>
      </c>
      <c r="Y872" t="str">
        <f t="shared" si="82"/>
        <v>Pass</v>
      </c>
      <c r="Z872">
        <f t="shared" si="83"/>
        <v>130840.03125</v>
      </c>
      <c r="AA872">
        <v>13200</v>
      </c>
      <c r="AB872">
        <v>20</v>
      </c>
      <c r="AC872">
        <v>16</v>
      </c>
      <c r="AD872">
        <v>0.2</v>
      </c>
      <c r="AE872">
        <v>130840.03537735</v>
      </c>
    </row>
    <row r="873" spans="1:31" x14ac:dyDescent="0.3">
      <c r="A873" t="str">
        <f>IF(ISBLANK(B873),"",IF(ROUND(B873,0)=ROUND(G873,0),"Pass","Fail"))</f>
        <v>Pass</v>
      </c>
      <c r="B873">
        <f t="shared" si="79"/>
        <v>6.9622077941894531</v>
      </c>
      <c r="C873">
        <v>10</v>
      </c>
      <c r="D873">
        <v>0</v>
      </c>
      <c r="E873">
        <v>20</v>
      </c>
      <c r="F873">
        <v>48</v>
      </c>
      <c r="G873">
        <v>6.9622079008197204</v>
      </c>
      <c r="M873" t="str">
        <f t="shared" si="80"/>
        <v>Pass</v>
      </c>
      <c r="N873">
        <f t="shared" si="81"/>
        <v>4.1815081952556454E-10</v>
      </c>
      <c r="O873">
        <v>40</v>
      </c>
      <c r="P873">
        <v>80</v>
      </c>
      <c r="Q873">
        <v>0.5</v>
      </c>
      <c r="R873" t="b">
        <v>0</v>
      </c>
      <c r="S873">
        <v>4.1815085342239998E-10</v>
      </c>
      <c r="Y873" t="str">
        <f t="shared" si="82"/>
        <v>Pass</v>
      </c>
      <c r="Z873">
        <f t="shared" si="83"/>
        <v>132673.046875</v>
      </c>
      <c r="AA873">
        <v>13200</v>
      </c>
      <c r="AB873">
        <v>20</v>
      </c>
      <c r="AC873">
        <v>18</v>
      </c>
      <c r="AD873">
        <v>0.2</v>
      </c>
      <c r="AE873">
        <v>132673.04425818901</v>
      </c>
    </row>
    <row r="874" spans="1:31" x14ac:dyDescent="0.3">
      <c r="A874" t="str">
        <f>IF(ISBLANK(B874),"",IF(ROUND(B874,0)=ROUND(G874,0),"Pass","Fail"))</f>
        <v>Pass</v>
      </c>
      <c r="B874">
        <f t="shared" si="79"/>
        <v>72.998001098632813</v>
      </c>
      <c r="C874">
        <v>10</v>
      </c>
      <c r="D874">
        <v>0</v>
      </c>
      <c r="E874">
        <v>30</v>
      </c>
      <c r="F874">
        <v>0</v>
      </c>
      <c r="G874">
        <v>72.998000000000005</v>
      </c>
      <c r="M874" t="str">
        <f t="shared" si="80"/>
        <v>Pass</v>
      </c>
      <c r="N874">
        <f t="shared" si="81"/>
        <v>2.4169005338747773E-11</v>
      </c>
      <c r="O874">
        <v>40</v>
      </c>
      <c r="P874">
        <v>80</v>
      </c>
      <c r="Q874">
        <v>1</v>
      </c>
      <c r="R874" t="b">
        <v>1</v>
      </c>
      <c r="S874">
        <v>2.4169008454593202E-11</v>
      </c>
      <c r="Y874" t="str">
        <f t="shared" si="82"/>
        <v>Pass</v>
      </c>
      <c r="Z874">
        <f t="shared" si="83"/>
        <v>133901.75</v>
      </c>
      <c r="AA874">
        <v>13200</v>
      </c>
      <c r="AB874">
        <v>20</v>
      </c>
      <c r="AC874">
        <v>20</v>
      </c>
      <c r="AD874">
        <v>0.2</v>
      </c>
      <c r="AE874">
        <v>133901.746855576</v>
      </c>
    </row>
    <row r="875" spans="1:31" x14ac:dyDescent="0.3">
      <c r="A875" t="str">
        <f>IF(ISBLANK(B875),"",IF(ROUND(B875,0)=ROUND(G875,0),"Pass","Fail"))</f>
        <v>Pass</v>
      </c>
      <c r="B875">
        <f t="shared" si="79"/>
        <v>39.661228179931641</v>
      </c>
      <c r="C875">
        <v>10</v>
      </c>
      <c r="D875">
        <v>0</v>
      </c>
      <c r="E875">
        <v>30</v>
      </c>
      <c r="F875">
        <v>8</v>
      </c>
      <c r="G875">
        <v>39.661228080722999</v>
      </c>
      <c r="M875" t="str">
        <f t="shared" si="80"/>
        <v>Pass</v>
      </c>
      <c r="N875">
        <f t="shared" si="81"/>
        <v>4.8940318464474331E-10</v>
      </c>
      <c r="O875">
        <v>40</v>
      </c>
      <c r="P875">
        <v>80</v>
      </c>
      <c r="Q875">
        <v>1</v>
      </c>
      <c r="R875" t="b">
        <v>0</v>
      </c>
      <c r="S875">
        <v>4.8940319077701803E-10</v>
      </c>
      <c r="Y875" t="str">
        <f t="shared" si="82"/>
        <v>Pass</v>
      </c>
      <c r="Z875">
        <f t="shared" si="83"/>
        <v>134725.375</v>
      </c>
      <c r="AA875">
        <v>13200</v>
      </c>
      <c r="AB875">
        <v>20</v>
      </c>
      <c r="AC875">
        <v>22</v>
      </c>
      <c r="AD875">
        <v>0.2</v>
      </c>
      <c r="AE875">
        <v>134725.37083722101</v>
      </c>
    </row>
    <row r="876" spans="1:31" x14ac:dyDescent="0.3">
      <c r="A876" t="str">
        <f>IF(ISBLANK(B876),"",IF(ROUND(B876,0)=ROUND(G876,0),"Pass","Fail"))</f>
        <v>Pass</v>
      </c>
      <c r="B876">
        <f t="shared" si="79"/>
        <v>22.879997253417969</v>
      </c>
      <c r="C876">
        <v>10</v>
      </c>
      <c r="D876">
        <v>0</v>
      </c>
      <c r="E876">
        <v>30</v>
      </c>
      <c r="F876">
        <v>16</v>
      </c>
      <c r="G876">
        <v>22.879997247101699</v>
      </c>
      <c r="M876" t="str">
        <f t="shared" si="80"/>
        <v>Pass</v>
      </c>
      <c r="N876">
        <f t="shared" si="81"/>
        <v>2.6499122340872816E-11</v>
      </c>
      <c r="O876">
        <v>40</v>
      </c>
      <c r="P876">
        <v>80</v>
      </c>
      <c r="Q876">
        <v>1.5</v>
      </c>
      <c r="R876" t="b">
        <v>1</v>
      </c>
      <c r="S876">
        <v>2.64991259547284E-11</v>
      </c>
      <c r="Y876" t="str">
        <f t="shared" si="82"/>
        <v>Pass</v>
      </c>
      <c r="Z876">
        <f t="shared" si="83"/>
        <v>135277.46875</v>
      </c>
      <c r="AA876">
        <v>13200</v>
      </c>
      <c r="AB876">
        <v>20</v>
      </c>
      <c r="AC876">
        <v>24</v>
      </c>
      <c r="AD876">
        <v>0.2</v>
      </c>
      <c r="AE876">
        <v>135277.46250251299</v>
      </c>
    </row>
    <row r="877" spans="1:31" x14ac:dyDescent="0.3">
      <c r="A877" t="str">
        <f>IF(ISBLANK(B877),"",IF(ROUND(B877,0)=ROUND(G877,0),"Pass","Fail"))</f>
        <v>Pass</v>
      </c>
      <c r="B877">
        <f t="shared" si="79"/>
        <v>14.432577133178711</v>
      </c>
      <c r="C877">
        <v>10</v>
      </c>
      <c r="D877">
        <v>0</v>
      </c>
      <c r="E877">
        <v>30</v>
      </c>
      <c r="F877">
        <v>24</v>
      </c>
      <c r="G877">
        <v>14.432577413736199</v>
      </c>
      <c r="M877" t="str">
        <f t="shared" si="80"/>
        <v>Pass</v>
      </c>
      <c r="N877">
        <f t="shared" si="81"/>
        <v>5.3658627541253168E-10</v>
      </c>
      <c r="O877">
        <v>40</v>
      </c>
      <c r="P877">
        <v>80</v>
      </c>
      <c r="Q877">
        <v>1.5</v>
      </c>
      <c r="R877" t="b">
        <v>0</v>
      </c>
      <c r="S877">
        <v>5.3658621616235595E-10</v>
      </c>
      <c r="Y877" t="str">
        <f t="shared" si="82"/>
        <v>Pass</v>
      </c>
      <c r="Z877">
        <f t="shared" si="83"/>
        <v>0</v>
      </c>
      <c r="AA877">
        <v>13400</v>
      </c>
      <c r="AB877">
        <v>20</v>
      </c>
      <c r="AC877">
        <v>0</v>
      </c>
      <c r="AD877">
        <v>0.2</v>
      </c>
      <c r="AE877">
        <v>0</v>
      </c>
    </row>
    <row r="878" spans="1:31" x14ac:dyDescent="0.3">
      <c r="A878" t="str">
        <f>IF(ISBLANK(B878),"",IF(ROUND(B878,0)=ROUND(G878,0),"Pass","Fail"))</f>
        <v>Pass</v>
      </c>
      <c r="B878">
        <f t="shared" si="79"/>
        <v>10.180273056030273</v>
      </c>
      <c r="C878">
        <v>10</v>
      </c>
      <c r="D878">
        <v>0</v>
      </c>
      <c r="E878">
        <v>30</v>
      </c>
      <c r="F878">
        <v>32</v>
      </c>
      <c r="G878">
        <v>10.1802730059946</v>
      </c>
      <c r="M878" t="str">
        <f t="shared" si="80"/>
        <v>Pass</v>
      </c>
      <c r="N878">
        <f t="shared" si="81"/>
        <v>2.8287374179147839E-11</v>
      </c>
      <c r="O878">
        <v>40</v>
      </c>
      <c r="P878">
        <v>80</v>
      </c>
      <c r="Q878">
        <v>2</v>
      </c>
      <c r="R878" t="b">
        <v>1</v>
      </c>
      <c r="S878">
        <v>2.82873746610438E-11</v>
      </c>
      <c r="Y878" t="str">
        <f t="shared" si="82"/>
        <v>Pass</v>
      </c>
      <c r="Z878">
        <f t="shared" si="83"/>
        <v>45649.68359375</v>
      </c>
      <c r="AA878">
        <v>13400</v>
      </c>
      <c r="AB878">
        <v>20</v>
      </c>
      <c r="AC878">
        <v>2</v>
      </c>
      <c r="AD878">
        <v>0.2</v>
      </c>
      <c r="AE878">
        <v>45649.684292265098</v>
      </c>
    </row>
    <row r="879" spans="1:31" x14ac:dyDescent="0.3">
      <c r="A879" t="str">
        <f>IF(ISBLANK(B879),"",IF(ROUND(B879,0)=ROUND(G879,0),"Pass","Fail"))</f>
        <v>Pass</v>
      </c>
      <c r="B879">
        <f t="shared" si="79"/>
        <v>8.0397262573242188</v>
      </c>
      <c r="C879">
        <v>10</v>
      </c>
      <c r="D879">
        <v>0</v>
      </c>
      <c r="E879">
        <v>30</v>
      </c>
      <c r="F879">
        <v>40</v>
      </c>
      <c r="G879">
        <v>8.0397267643270993</v>
      </c>
      <c r="M879" t="str">
        <f t="shared" si="80"/>
        <v>Pass</v>
      </c>
      <c r="N879">
        <f t="shared" si="81"/>
        <v>5.7279686549449593E-10</v>
      </c>
      <c r="O879">
        <v>40</v>
      </c>
      <c r="P879">
        <v>80</v>
      </c>
      <c r="Q879">
        <v>2</v>
      </c>
      <c r="R879" t="b">
        <v>0</v>
      </c>
      <c r="S879">
        <v>5.7279682961875098E-10</v>
      </c>
      <c r="Y879" t="str">
        <f t="shared" si="82"/>
        <v>Pass</v>
      </c>
      <c r="Z879">
        <f t="shared" si="83"/>
        <v>76249.5859375</v>
      </c>
      <c r="AA879">
        <v>13400</v>
      </c>
      <c r="AB879">
        <v>20</v>
      </c>
      <c r="AC879">
        <v>4</v>
      </c>
      <c r="AD879">
        <v>0.2</v>
      </c>
      <c r="AE879">
        <v>76249.582768568696</v>
      </c>
    </row>
    <row r="880" spans="1:31" x14ac:dyDescent="0.3">
      <c r="A880" t="str">
        <f>IF(ISBLANK(B880),"",IF(ROUND(B880,0)=ROUND(G880,0),"Pass","Fail"))</f>
        <v>Pass</v>
      </c>
      <c r="B880">
        <f t="shared" si="79"/>
        <v>6.9622077941894531</v>
      </c>
      <c r="C880">
        <v>10</v>
      </c>
      <c r="D880">
        <v>0</v>
      </c>
      <c r="E880">
        <v>30</v>
      </c>
      <c r="F880">
        <v>48</v>
      </c>
      <c r="G880">
        <v>6.9622079008197204</v>
      </c>
      <c r="M880" t="str">
        <f t="shared" si="80"/>
        <v>Pass</v>
      </c>
      <c r="N880">
        <f t="shared" si="81"/>
        <v>2.9757141195574377E-11</v>
      </c>
      <c r="O880">
        <v>40</v>
      </c>
      <c r="P880">
        <v>80</v>
      </c>
      <c r="Q880">
        <v>2.5</v>
      </c>
      <c r="R880" t="b">
        <v>1</v>
      </c>
      <c r="S880">
        <v>2.9757141874891201E-11</v>
      </c>
      <c r="Y880" t="str">
        <f t="shared" si="82"/>
        <v>Pass</v>
      </c>
      <c r="Z880">
        <f t="shared" si="83"/>
        <v>96761.3125</v>
      </c>
      <c r="AA880">
        <v>13400</v>
      </c>
      <c r="AB880">
        <v>20</v>
      </c>
      <c r="AC880">
        <v>6</v>
      </c>
      <c r="AD880">
        <v>0.2</v>
      </c>
      <c r="AE880">
        <v>96761.308123890398</v>
      </c>
    </row>
    <row r="881" spans="1:31" x14ac:dyDescent="0.3">
      <c r="A881" t="str">
        <f>IF(ISBLANK(B881),"",IF(ROUND(B881,0)=ROUND(G881,0),"Pass","Fail"))</f>
        <v>Pass</v>
      </c>
      <c r="B881">
        <f t="shared" si="79"/>
        <v>72.998001098632813</v>
      </c>
      <c r="C881">
        <v>10</v>
      </c>
      <c r="D881">
        <v>0</v>
      </c>
      <c r="E881">
        <v>40</v>
      </c>
      <c r="F881">
        <v>0</v>
      </c>
      <c r="G881">
        <v>72.998000000000005</v>
      </c>
      <c r="M881" t="str">
        <f t="shared" si="80"/>
        <v>Pass</v>
      </c>
      <c r="N881">
        <f t="shared" si="81"/>
        <v>6.0255844758216881E-10</v>
      </c>
      <c r="O881">
        <v>40</v>
      </c>
      <c r="P881">
        <v>80</v>
      </c>
      <c r="Q881">
        <v>2.5</v>
      </c>
      <c r="R881" t="b">
        <v>0</v>
      </c>
      <c r="S881">
        <v>6.0255844625717198E-10</v>
      </c>
      <c r="Y881" t="str">
        <f t="shared" si="82"/>
        <v>Pass</v>
      </c>
      <c r="Z881">
        <f t="shared" si="83"/>
        <v>110510.7265625</v>
      </c>
      <c r="AA881">
        <v>13400</v>
      </c>
      <c r="AB881">
        <v>20</v>
      </c>
      <c r="AC881">
        <v>8</v>
      </c>
      <c r="AD881">
        <v>0.2</v>
      </c>
      <c r="AE881">
        <v>110510.72880834001</v>
      </c>
    </row>
    <row r="882" spans="1:31" x14ac:dyDescent="0.3">
      <c r="A882" t="str">
        <f>IF(ISBLANK(B882),"",IF(ROUND(B882,0)=ROUND(G882,0),"Pass","Fail"))</f>
        <v>Pass</v>
      </c>
      <c r="B882">
        <f t="shared" si="79"/>
        <v>39.661228179931641</v>
      </c>
      <c r="C882">
        <v>10</v>
      </c>
      <c r="D882">
        <v>0</v>
      </c>
      <c r="E882">
        <v>40</v>
      </c>
      <c r="F882">
        <v>8</v>
      </c>
      <c r="G882">
        <v>39.661228080722999</v>
      </c>
      <c r="M882" t="str">
        <f t="shared" si="80"/>
        <v>Pass</v>
      </c>
      <c r="N882">
        <f t="shared" si="81"/>
        <v>3.1014541629348358E-11</v>
      </c>
      <c r="O882">
        <v>40</v>
      </c>
      <c r="P882">
        <v>80</v>
      </c>
      <c r="Q882">
        <v>3</v>
      </c>
      <c r="R882" t="b">
        <v>1</v>
      </c>
      <c r="S882">
        <v>3.1014541017678203E-11</v>
      </c>
      <c r="Y882" t="str">
        <f t="shared" si="82"/>
        <v>Pass</v>
      </c>
      <c r="Z882">
        <f t="shared" si="83"/>
        <v>119727.25</v>
      </c>
      <c r="AA882">
        <v>13400</v>
      </c>
      <c r="AB882">
        <v>20</v>
      </c>
      <c r="AC882">
        <v>10</v>
      </c>
      <c r="AD882">
        <v>0.2</v>
      </c>
      <c r="AE882">
        <v>119727.24111450301</v>
      </c>
    </row>
    <row r="883" spans="1:31" x14ac:dyDescent="0.3">
      <c r="A883" t="str">
        <f>IF(ISBLANK(B883),"",IF(ROUND(B883,0)=ROUND(G883,0),"Pass","Fail"))</f>
        <v>Pass</v>
      </c>
      <c r="B883">
        <f t="shared" si="79"/>
        <v>22.879997253417969</v>
      </c>
      <c r="C883">
        <v>10</v>
      </c>
      <c r="D883">
        <v>0</v>
      </c>
      <c r="E883">
        <v>40</v>
      </c>
      <c r="F883">
        <v>16</v>
      </c>
      <c r="G883">
        <v>22.879997247101699</v>
      </c>
      <c r="M883" t="str">
        <f t="shared" si="80"/>
        <v>Pass</v>
      </c>
      <c r="N883">
        <f t="shared" si="81"/>
        <v>6.2801980282856107E-10</v>
      </c>
      <c r="O883">
        <v>40</v>
      </c>
      <c r="P883">
        <v>80</v>
      </c>
      <c r="Q883">
        <v>3</v>
      </c>
      <c r="R883" t="b">
        <v>0</v>
      </c>
      <c r="S883">
        <v>6.2801977843041302E-10</v>
      </c>
      <c r="Y883" t="str">
        <f t="shared" si="82"/>
        <v>Pass</v>
      </c>
      <c r="Z883">
        <f t="shared" si="83"/>
        <v>125905.2578125</v>
      </c>
      <c r="AA883">
        <v>13400</v>
      </c>
      <c r="AB883">
        <v>20</v>
      </c>
      <c r="AC883">
        <v>12</v>
      </c>
      <c r="AD883">
        <v>0.2</v>
      </c>
      <c r="AE883">
        <v>125905.254067859</v>
      </c>
    </row>
    <row r="884" spans="1:31" x14ac:dyDescent="0.3">
      <c r="A884" t="str">
        <f>IF(ISBLANK(B884),"",IF(ROUND(B884,0)=ROUND(G884,0),"Pass","Fail"))</f>
        <v>Pass</v>
      </c>
      <c r="B884">
        <f t="shared" si="79"/>
        <v>14.432577133178711</v>
      </c>
      <c r="C884">
        <v>10</v>
      </c>
      <c r="D884">
        <v>0</v>
      </c>
      <c r="E884">
        <v>40</v>
      </c>
      <c r="F884">
        <v>24</v>
      </c>
      <c r="G884">
        <v>14.432577413736199</v>
      </c>
      <c r="M884" t="str">
        <f t="shared" si="80"/>
        <v>Pass</v>
      </c>
      <c r="N884">
        <f t="shared" si="81"/>
        <v>3.2119015780374127E-11</v>
      </c>
      <c r="O884">
        <v>40</v>
      </c>
      <c r="P884">
        <v>80</v>
      </c>
      <c r="Q884">
        <v>3.5</v>
      </c>
      <c r="R884" t="b">
        <v>1</v>
      </c>
      <c r="S884">
        <v>3.2119019546732901E-11</v>
      </c>
      <c r="Y884" t="str">
        <f t="shared" si="82"/>
        <v>Pass</v>
      </c>
      <c r="Z884">
        <f t="shared" si="83"/>
        <v>130046.4921875</v>
      </c>
      <c r="AA884">
        <v>13400</v>
      </c>
      <c r="AB884">
        <v>20</v>
      </c>
      <c r="AC884">
        <v>14</v>
      </c>
      <c r="AD884">
        <v>0.2</v>
      </c>
      <c r="AE884">
        <v>130046.49999516099</v>
      </c>
    </row>
    <row r="885" spans="1:31" x14ac:dyDescent="0.3">
      <c r="A885" t="str">
        <f>IF(ISBLANK(B885),"",IF(ROUND(B885,0)=ROUND(G885,0),"Pass","Fail"))</f>
        <v>Pass</v>
      </c>
      <c r="B885">
        <f t="shared" si="79"/>
        <v>10.180273056030273</v>
      </c>
      <c r="C885">
        <v>10</v>
      </c>
      <c r="D885">
        <v>0</v>
      </c>
      <c r="E885">
        <v>40</v>
      </c>
      <c r="F885">
        <v>32</v>
      </c>
      <c r="G885">
        <v>10.1802730059946</v>
      </c>
      <c r="M885" t="str">
        <f t="shared" si="80"/>
        <v>Pass</v>
      </c>
      <c r="N885">
        <f t="shared" si="81"/>
        <v>6.5038457952582007E-10</v>
      </c>
      <c r="O885">
        <v>40</v>
      </c>
      <c r="P885">
        <v>80</v>
      </c>
      <c r="Q885">
        <v>3.5</v>
      </c>
      <c r="R885" t="b">
        <v>0</v>
      </c>
      <c r="S885">
        <v>6.5038458984911797E-10</v>
      </c>
      <c r="Y885" t="str">
        <f t="shared" si="82"/>
        <v>Pass</v>
      </c>
      <c r="Z885">
        <f t="shared" si="83"/>
        <v>132822.453125</v>
      </c>
      <c r="AA885">
        <v>13400</v>
      </c>
      <c r="AB885">
        <v>20</v>
      </c>
      <c r="AC885">
        <v>16</v>
      </c>
      <c r="AD885">
        <v>0.2</v>
      </c>
      <c r="AE885">
        <v>132822.46015579501</v>
      </c>
    </row>
    <row r="886" spans="1:31" x14ac:dyDescent="0.3">
      <c r="A886" t="str">
        <f>IF(ISBLANK(B886),"",IF(ROUND(B886,0)=ROUND(G886,0),"Pass","Fail"))</f>
        <v>Pass</v>
      </c>
      <c r="B886">
        <f t="shared" si="79"/>
        <v>8.0397262573242188</v>
      </c>
      <c r="C886">
        <v>10</v>
      </c>
      <c r="D886">
        <v>0</v>
      </c>
      <c r="E886">
        <v>40</v>
      </c>
      <c r="F886">
        <v>40</v>
      </c>
      <c r="G886">
        <v>8.0397267643270993</v>
      </c>
      <c r="M886" t="str">
        <f t="shared" si="80"/>
        <v>Pass</v>
      </c>
      <c r="N886">
        <f t="shared" si="81"/>
        <v>3.3107499380902183E-11</v>
      </c>
      <c r="O886">
        <v>40</v>
      </c>
      <c r="P886">
        <v>80</v>
      </c>
      <c r="Q886">
        <v>4</v>
      </c>
      <c r="R886" t="b">
        <v>1</v>
      </c>
      <c r="S886">
        <v>3.3107504874168403E-11</v>
      </c>
      <c r="Y886" t="str">
        <f t="shared" si="82"/>
        <v>Pass</v>
      </c>
      <c r="Z886">
        <f t="shared" si="83"/>
        <v>134683.25</v>
      </c>
      <c r="AA886">
        <v>13400</v>
      </c>
      <c r="AB886">
        <v>20</v>
      </c>
      <c r="AC886">
        <v>18</v>
      </c>
      <c r="AD886">
        <v>0.2</v>
      </c>
      <c r="AE886">
        <v>134683.24189846401</v>
      </c>
    </row>
    <row r="887" spans="1:31" x14ac:dyDescent="0.3">
      <c r="A887" t="str">
        <f>IF(ISBLANK(B887),"",IF(ROUND(B887,0)=ROUND(G887,0),"Pass","Fail"))</f>
        <v>Pass</v>
      </c>
      <c r="B887">
        <f t="shared" si="79"/>
        <v>6.9622077941894531</v>
      </c>
      <c r="C887">
        <v>10</v>
      </c>
      <c r="D887">
        <v>0</v>
      </c>
      <c r="E887">
        <v>40</v>
      </c>
      <c r="F887">
        <v>48</v>
      </c>
      <c r="G887">
        <v>6.9622079008197204</v>
      </c>
      <c r="M887" t="str">
        <f t="shared" si="80"/>
        <v>Pass</v>
      </c>
      <c r="N887">
        <f t="shared" si="81"/>
        <v>6.7040062390333333E-10</v>
      </c>
      <c r="O887">
        <v>40</v>
      </c>
      <c r="P887">
        <v>80</v>
      </c>
      <c r="Q887">
        <v>4</v>
      </c>
      <c r="R887" t="b">
        <v>0</v>
      </c>
      <c r="S887">
        <v>6.7040063122673904E-10</v>
      </c>
      <c r="Y887" t="str">
        <f t="shared" si="82"/>
        <v>Pass</v>
      </c>
      <c r="Z887">
        <f t="shared" si="83"/>
        <v>135930.5625</v>
      </c>
      <c r="AA887">
        <v>13400</v>
      </c>
      <c r="AB887">
        <v>20</v>
      </c>
      <c r="AC887">
        <v>20</v>
      </c>
      <c r="AD887">
        <v>0.2</v>
      </c>
      <c r="AE887">
        <v>135930.561201873</v>
      </c>
    </row>
    <row r="888" spans="1:31" x14ac:dyDescent="0.3">
      <c r="A888" t="str">
        <f>IF(ISBLANK(B888),"",IF(ROUND(B888,0)=ROUND(G888,0),"Pass","Fail"))</f>
        <v>Pass</v>
      </c>
      <c r="B888">
        <f t="shared" si="79"/>
        <v>72.998001098632813</v>
      </c>
      <c r="C888">
        <v>10</v>
      </c>
      <c r="D888">
        <v>0</v>
      </c>
      <c r="E888">
        <v>50</v>
      </c>
      <c r="F888">
        <v>0</v>
      </c>
      <c r="G888">
        <v>72.998000000000005</v>
      </c>
      <c r="M888" t="str">
        <f t="shared" si="80"/>
        <v>Pass</v>
      </c>
      <c r="N888">
        <f t="shared" si="81"/>
        <v>0</v>
      </c>
      <c r="O888">
        <v>40</v>
      </c>
      <c r="P888">
        <v>90</v>
      </c>
      <c r="Q888">
        <v>0</v>
      </c>
      <c r="R888" t="b">
        <v>1</v>
      </c>
      <c r="S888">
        <v>0</v>
      </c>
      <c r="Y888" t="str">
        <f t="shared" si="82"/>
        <v>Pass</v>
      </c>
      <c r="Z888">
        <f t="shared" si="83"/>
        <v>136766.671875</v>
      </c>
      <c r="AA888">
        <v>13400</v>
      </c>
      <c r="AB888">
        <v>20</v>
      </c>
      <c r="AC888">
        <v>22</v>
      </c>
      <c r="AD888">
        <v>0.2</v>
      </c>
      <c r="AE888">
        <v>136766.66433475501</v>
      </c>
    </row>
    <row r="889" spans="1:31" x14ac:dyDescent="0.3">
      <c r="A889" t="str">
        <f>IF(ISBLANK(B889),"",IF(ROUND(B889,0)=ROUND(G889,0),"Pass","Fail"))</f>
        <v>Pass</v>
      </c>
      <c r="B889">
        <f t="shared" si="79"/>
        <v>39.661228179931641</v>
      </c>
      <c r="C889">
        <v>10</v>
      </c>
      <c r="D889">
        <v>0</v>
      </c>
      <c r="E889">
        <v>50</v>
      </c>
      <c r="F889">
        <v>8</v>
      </c>
      <c r="G889">
        <v>39.661228080722999</v>
      </c>
      <c r="M889" t="str">
        <f t="shared" si="80"/>
        <v>Pass</v>
      </c>
      <c r="N889">
        <f t="shared" si="81"/>
        <v>0</v>
      </c>
      <c r="O889">
        <v>40</v>
      </c>
      <c r="P889">
        <v>90</v>
      </c>
      <c r="Q889">
        <v>0</v>
      </c>
      <c r="R889" t="b">
        <v>0</v>
      </c>
      <c r="S889">
        <v>0</v>
      </c>
      <c r="Y889" t="str">
        <f t="shared" si="82"/>
        <v>Pass</v>
      </c>
      <c r="Z889">
        <f t="shared" si="83"/>
        <v>137327.125</v>
      </c>
      <c r="AA889">
        <v>13400</v>
      </c>
      <c r="AB889">
        <v>20</v>
      </c>
      <c r="AC889">
        <v>24</v>
      </c>
      <c r="AD889">
        <v>0.2</v>
      </c>
      <c r="AE889">
        <v>137327.12102527899</v>
      </c>
    </row>
    <row r="890" spans="1:31" x14ac:dyDescent="0.3">
      <c r="A890" t="str">
        <f>IF(ISBLANK(B890),"",IF(ROUND(B890,0)=ROUND(G890,0),"Pass","Fail"))</f>
        <v>Pass</v>
      </c>
      <c r="B890">
        <f t="shared" si="79"/>
        <v>22.879997253417969</v>
      </c>
      <c r="C890">
        <v>10</v>
      </c>
      <c r="D890">
        <v>0</v>
      </c>
      <c r="E890">
        <v>50</v>
      </c>
      <c r="F890">
        <v>16</v>
      </c>
      <c r="G890">
        <v>22.879997247101699</v>
      </c>
      <c r="M890" t="str">
        <f t="shared" si="80"/>
        <v>Pass</v>
      </c>
      <c r="N890">
        <f t="shared" si="81"/>
        <v>3.7822224735820087E-13</v>
      </c>
      <c r="O890">
        <v>40</v>
      </c>
      <c r="P890">
        <v>90</v>
      </c>
      <c r="Q890">
        <v>0.5</v>
      </c>
      <c r="R890" t="b">
        <v>1</v>
      </c>
      <c r="S890">
        <v>3.7822227014552899E-13</v>
      </c>
      <c r="Y890" t="str">
        <f t="shared" si="82"/>
        <v>Pass</v>
      </c>
      <c r="Z890">
        <f t="shared" si="83"/>
        <v>0</v>
      </c>
      <c r="AA890">
        <v>13600</v>
      </c>
      <c r="AB890">
        <v>20</v>
      </c>
      <c r="AC890">
        <v>0</v>
      </c>
      <c r="AD890">
        <v>0.2</v>
      </c>
      <c r="AE890">
        <v>0</v>
      </c>
    </row>
    <row r="891" spans="1:31" x14ac:dyDescent="0.3">
      <c r="A891" t="str">
        <f>IF(ISBLANK(B891),"",IF(ROUND(B891,0)=ROUND(G891,0),"Pass","Fail"))</f>
        <v>Pass</v>
      </c>
      <c r="B891">
        <f t="shared" si="79"/>
        <v>14.432577133178711</v>
      </c>
      <c r="C891">
        <v>10</v>
      </c>
      <c r="D891">
        <v>0</v>
      </c>
      <c r="E891">
        <v>50</v>
      </c>
      <c r="F891">
        <v>24</v>
      </c>
      <c r="G891">
        <v>14.432577413736199</v>
      </c>
      <c r="M891" t="str">
        <f t="shared" si="80"/>
        <v>Pass</v>
      </c>
      <c r="N891">
        <f t="shared" si="81"/>
        <v>7.6587000630290447E-12</v>
      </c>
      <c r="O891">
        <v>40</v>
      </c>
      <c r="P891">
        <v>90</v>
      </c>
      <c r="Q891">
        <v>0.5</v>
      </c>
      <c r="R891" t="b">
        <v>0</v>
      </c>
      <c r="S891">
        <v>7.6587000323122807E-12</v>
      </c>
      <c r="Y891" t="str">
        <f t="shared" si="82"/>
        <v>Pass</v>
      </c>
      <c r="Z891">
        <f t="shared" si="83"/>
        <v>46331.01953125</v>
      </c>
      <c r="AA891">
        <v>13600</v>
      </c>
      <c r="AB891">
        <v>20</v>
      </c>
      <c r="AC891">
        <v>2</v>
      </c>
      <c r="AD891">
        <v>0.2</v>
      </c>
      <c r="AE891">
        <v>46331.022863791397</v>
      </c>
    </row>
    <row r="892" spans="1:31" x14ac:dyDescent="0.3">
      <c r="A892" t="str">
        <f>IF(ISBLANK(B892),"",IF(ROUND(B892,0)=ROUND(G892,0),"Pass","Fail"))</f>
        <v>Pass</v>
      </c>
      <c r="B892">
        <f t="shared" si="79"/>
        <v>10.180273056030273</v>
      </c>
      <c r="C892">
        <v>10</v>
      </c>
      <c r="D892">
        <v>0</v>
      </c>
      <c r="E892">
        <v>50</v>
      </c>
      <c r="F892">
        <v>32</v>
      </c>
      <c r="G892">
        <v>10.1802730059946</v>
      </c>
      <c r="M892" t="str">
        <f t="shared" si="80"/>
        <v>Pass</v>
      </c>
      <c r="N892">
        <f t="shared" si="81"/>
        <v>4.4267077525285414E-13</v>
      </c>
      <c r="O892">
        <v>40</v>
      </c>
      <c r="P892">
        <v>90</v>
      </c>
      <c r="Q892">
        <v>1</v>
      </c>
      <c r="R892" t="b">
        <v>1</v>
      </c>
      <c r="S892">
        <v>4.4267083115376199E-13</v>
      </c>
      <c r="Y892" t="str">
        <f t="shared" si="82"/>
        <v>Pass</v>
      </c>
      <c r="Z892">
        <f t="shared" si="83"/>
        <v>77387.640625</v>
      </c>
      <c r="AA892">
        <v>13600</v>
      </c>
      <c r="AB892">
        <v>20</v>
      </c>
      <c r="AC892">
        <v>4</v>
      </c>
      <c r="AD892">
        <v>0.2</v>
      </c>
      <c r="AE892">
        <v>77387.636242726396</v>
      </c>
    </row>
    <row r="893" spans="1:31" x14ac:dyDescent="0.3">
      <c r="A893" t="str">
        <f>IF(ISBLANK(B893),"",IF(ROUND(B893,0)=ROUND(G893,0),"Pass","Fail"))</f>
        <v>Pass</v>
      </c>
      <c r="B893">
        <f t="shared" si="79"/>
        <v>8.0397262573242188</v>
      </c>
      <c r="C893">
        <v>10</v>
      </c>
      <c r="D893">
        <v>0</v>
      </c>
      <c r="E893">
        <v>50</v>
      </c>
      <c r="F893">
        <v>40</v>
      </c>
      <c r="G893">
        <v>8.0397267643270993</v>
      </c>
      <c r="M893" t="str">
        <f t="shared" si="80"/>
        <v>Pass</v>
      </c>
      <c r="N893">
        <f t="shared" si="81"/>
        <v>8.9637325340063967E-12</v>
      </c>
      <c r="O893">
        <v>40</v>
      </c>
      <c r="P893">
        <v>90</v>
      </c>
      <c r="Q893">
        <v>1</v>
      </c>
      <c r="R893" t="b">
        <v>0</v>
      </c>
      <c r="S893">
        <v>8.9637321132796898E-12</v>
      </c>
      <c r="Y893" t="str">
        <f t="shared" si="82"/>
        <v>Pass</v>
      </c>
      <c r="Z893">
        <f t="shared" si="83"/>
        <v>98205.5078125</v>
      </c>
      <c r="AA893">
        <v>13600</v>
      </c>
      <c r="AB893">
        <v>20</v>
      </c>
      <c r="AC893">
        <v>6</v>
      </c>
      <c r="AD893">
        <v>0.2</v>
      </c>
      <c r="AE893">
        <v>98205.506752605201</v>
      </c>
    </row>
    <row r="894" spans="1:31" x14ac:dyDescent="0.3">
      <c r="A894" t="str">
        <f>IF(ISBLANK(B894),"",IF(ROUND(B894,0)=ROUND(G894,0),"Pass","Fail"))</f>
        <v>Pass</v>
      </c>
      <c r="B894">
        <f t="shared" si="79"/>
        <v>6.9622077941894531</v>
      </c>
      <c r="C894">
        <v>10</v>
      </c>
      <c r="D894">
        <v>0</v>
      </c>
      <c r="E894">
        <v>50</v>
      </c>
      <c r="F894">
        <v>48</v>
      </c>
      <c r="G894">
        <v>6.9622079008197204</v>
      </c>
      <c r="M894" t="str">
        <f t="shared" si="80"/>
        <v>Pass</v>
      </c>
      <c r="N894">
        <f t="shared" si="81"/>
        <v>4.8534836089367261E-13</v>
      </c>
      <c r="O894">
        <v>40</v>
      </c>
      <c r="P894">
        <v>90</v>
      </c>
      <c r="Q894">
        <v>1.5</v>
      </c>
      <c r="R894" t="b">
        <v>1</v>
      </c>
      <c r="S894">
        <v>4.8534842185462305E-13</v>
      </c>
      <c r="Y894" t="str">
        <f t="shared" si="82"/>
        <v>Pass</v>
      </c>
      <c r="Z894">
        <f t="shared" si="83"/>
        <v>112160.140625</v>
      </c>
      <c r="AA894">
        <v>13600</v>
      </c>
      <c r="AB894">
        <v>20</v>
      </c>
      <c r="AC894">
        <v>8</v>
      </c>
      <c r="AD894">
        <v>0.2</v>
      </c>
      <c r="AE894">
        <v>112160.142671151</v>
      </c>
    </row>
    <row r="895" spans="1:31" x14ac:dyDescent="0.3">
      <c r="A895" t="str">
        <f>IF(ISBLANK(B895),"",IF(ROUND(B895,0)=ROUND(G895,0),"Pass","Fail"))</f>
        <v>Pass</v>
      </c>
      <c r="B895">
        <f t="shared" si="79"/>
        <v>72.998001098632813</v>
      </c>
      <c r="C895">
        <v>10</v>
      </c>
      <c r="D895">
        <v>0</v>
      </c>
      <c r="E895">
        <v>60</v>
      </c>
      <c r="F895">
        <v>0</v>
      </c>
      <c r="G895">
        <v>72.998000000000005</v>
      </c>
      <c r="M895" t="str">
        <f t="shared" si="80"/>
        <v>Pass</v>
      </c>
      <c r="N895">
        <f t="shared" si="81"/>
        <v>9.8279197280337627E-12</v>
      </c>
      <c r="O895">
        <v>40</v>
      </c>
      <c r="P895">
        <v>90</v>
      </c>
      <c r="Q895">
        <v>1.5</v>
      </c>
      <c r="R895" t="b">
        <v>0</v>
      </c>
      <c r="S895">
        <v>9.8279193679168298E-12</v>
      </c>
      <c r="Y895" t="str">
        <f t="shared" si="82"/>
        <v>Pass</v>
      </c>
      <c r="Z895">
        <f t="shared" si="83"/>
        <v>121514.21875</v>
      </c>
      <c r="AA895">
        <v>13600</v>
      </c>
      <c r="AB895">
        <v>20</v>
      </c>
      <c r="AC895">
        <v>10</v>
      </c>
      <c r="AD895">
        <v>0.2</v>
      </c>
      <c r="AE895">
        <v>121514.21486248101</v>
      </c>
    </row>
    <row r="896" spans="1:31" x14ac:dyDescent="0.3">
      <c r="A896" t="str">
        <f>IF(ISBLANK(B896),"",IF(ROUND(B896,0)=ROUND(G896,0),"Pass","Fail"))</f>
        <v>Pass</v>
      </c>
      <c r="B896">
        <f t="shared" si="79"/>
        <v>39.661228179931641</v>
      </c>
      <c r="C896">
        <v>10</v>
      </c>
      <c r="D896">
        <v>0</v>
      </c>
      <c r="E896">
        <v>60</v>
      </c>
      <c r="F896">
        <v>8</v>
      </c>
      <c r="G896">
        <v>39.661228080722999</v>
      </c>
      <c r="M896" t="str">
        <f t="shared" si="80"/>
        <v>Pass</v>
      </c>
      <c r="N896">
        <f t="shared" si="81"/>
        <v>5.1810134958293896E-13</v>
      </c>
      <c r="O896">
        <v>40</v>
      </c>
      <c r="P896">
        <v>90</v>
      </c>
      <c r="Q896">
        <v>2</v>
      </c>
      <c r="R896" t="b">
        <v>1</v>
      </c>
      <c r="S896">
        <v>5.1810133940279102E-13</v>
      </c>
      <c r="Y896" t="str">
        <f t="shared" si="82"/>
        <v>Pass</v>
      </c>
      <c r="Z896">
        <f t="shared" si="83"/>
        <v>127784.4375</v>
      </c>
      <c r="AA896">
        <v>13600</v>
      </c>
      <c r="AB896">
        <v>20</v>
      </c>
      <c r="AC896">
        <v>12</v>
      </c>
      <c r="AD896">
        <v>0.2</v>
      </c>
      <c r="AE896">
        <v>127784.436964394</v>
      </c>
    </row>
    <row r="897" spans="1:31" x14ac:dyDescent="0.3">
      <c r="A897" t="str">
        <f>IF(ISBLANK(B897),"",IF(ROUND(B897,0)=ROUND(G897,0),"Pass","Fail"))</f>
        <v>Pass</v>
      </c>
      <c r="B897">
        <f t="shared" si="79"/>
        <v>22.879997253417969</v>
      </c>
      <c r="C897">
        <v>10</v>
      </c>
      <c r="D897">
        <v>0</v>
      </c>
      <c r="E897">
        <v>60</v>
      </c>
      <c r="F897">
        <v>16</v>
      </c>
      <c r="G897">
        <v>22.879997247101699</v>
      </c>
      <c r="M897" t="str">
        <f t="shared" si="80"/>
        <v>Pass</v>
      </c>
      <c r="N897">
        <f t="shared" si="81"/>
        <v>1.0491140074730954E-11</v>
      </c>
      <c r="O897">
        <v>40</v>
      </c>
      <c r="P897">
        <v>90</v>
      </c>
      <c r="Q897">
        <v>2</v>
      </c>
      <c r="R897" t="b">
        <v>0</v>
      </c>
      <c r="S897">
        <v>1.0491139887924701E-11</v>
      </c>
      <c r="Y897" t="str">
        <f t="shared" si="82"/>
        <v>Pass</v>
      </c>
      <c r="Z897">
        <f t="shared" si="83"/>
        <v>131987.484375</v>
      </c>
      <c r="AA897">
        <v>13600</v>
      </c>
      <c r="AB897">
        <v>20</v>
      </c>
      <c r="AC897">
        <v>14</v>
      </c>
      <c r="AD897">
        <v>0.2</v>
      </c>
      <c r="AE897">
        <v>131987.49253240199</v>
      </c>
    </row>
    <row r="898" spans="1:31" x14ac:dyDescent="0.3">
      <c r="A898" t="str">
        <f>IF(ISBLANK(B898),"",IF(ROUND(B898,0)=ROUND(G898,0),"Pass","Fail"))</f>
        <v>Pass</v>
      </c>
      <c r="B898">
        <f t="shared" si="79"/>
        <v>14.432577133178711</v>
      </c>
      <c r="C898">
        <v>10</v>
      </c>
      <c r="D898">
        <v>0</v>
      </c>
      <c r="E898">
        <v>60</v>
      </c>
      <c r="F898">
        <v>24</v>
      </c>
      <c r="G898">
        <v>14.432577413736199</v>
      </c>
      <c r="M898" t="str">
        <f t="shared" si="80"/>
        <v>Pass</v>
      </c>
      <c r="N898">
        <f t="shared" si="81"/>
        <v>5.4502100532358155E-13</v>
      </c>
      <c r="O898">
        <v>40</v>
      </c>
      <c r="P898">
        <v>90</v>
      </c>
      <c r="Q898">
        <v>2.5</v>
      </c>
      <c r="R898" t="b">
        <v>1</v>
      </c>
      <c r="S898">
        <v>5.4502106494216103E-13</v>
      </c>
      <c r="Y898" t="str">
        <f t="shared" si="82"/>
        <v>Pass</v>
      </c>
      <c r="Z898">
        <f t="shared" si="83"/>
        <v>134804.875</v>
      </c>
      <c r="AA898">
        <v>13600</v>
      </c>
      <c r="AB898">
        <v>20</v>
      </c>
      <c r="AC898">
        <v>16</v>
      </c>
      <c r="AD898">
        <v>0.2</v>
      </c>
      <c r="AE898">
        <v>134804.88493423999</v>
      </c>
    </row>
    <row r="899" spans="1:31" x14ac:dyDescent="0.3">
      <c r="A899" t="str">
        <f>IF(ISBLANK(B899),"",IF(ROUND(B899,0)=ROUND(G899,0),"Pass","Fail"))</f>
        <v>Pass</v>
      </c>
      <c r="B899">
        <f t="shared" si="79"/>
        <v>10.180273056030273</v>
      </c>
      <c r="C899">
        <v>10</v>
      </c>
      <c r="D899">
        <v>0</v>
      </c>
      <c r="E899">
        <v>60</v>
      </c>
      <c r="F899">
        <v>32</v>
      </c>
      <c r="G899">
        <v>10.1802730059946</v>
      </c>
      <c r="M899" t="str">
        <f t="shared" si="80"/>
        <v>Pass</v>
      </c>
      <c r="N899">
        <f t="shared" si="81"/>
        <v>1.1036243099948884E-11</v>
      </c>
      <c r="O899">
        <v>40</v>
      </c>
      <c r="P899">
        <v>90</v>
      </c>
      <c r="Q899">
        <v>2.5</v>
      </c>
      <c r="R899" t="b">
        <v>0</v>
      </c>
      <c r="S899">
        <v>1.1036242911019699E-11</v>
      </c>
      <c r="Y899" t="str">
        <f t="shared" si="82"/>
        <v>Pass</v>
      </c>
      <c r="Z899">
        <f t="shared" si="83"/>
        <v>136693.4375</v>
      </c>
      <c r="AA899">
        <v>13600</v>
      </c>
      <c r="AB899">
        <v>20</v>
      </c>
      <c r="AC899">
        <v>18</v>
      </c>
      <c r="AD899">
        <v>0.2</v>
      </c>
      <c r="AE899">
        <v>136693.43953874</v>
      </c>
    </row>
    <row r="900" spans="1:31" x14ac:dyDescent="0.3">
      <c r="A900" t="str">
        <f>IF(ISBLANK(B900),"",IF(ROUND(B900,0)=ROUND(G900,0),"Pass","Fail"))</f>
        <v>Pass</v>
      </c>
      <c r="B900">
        <f t="shared" si="79"/>
        <v>8.0397262573242188</v>
      </c>
      <c r="C900">
        <v>10</v>
      </c>
      <c r="D900">
        <v>0</v>
      </c>
      <c r="E900">
        <v>60</v>
      </c>
      <c r="F900">
        <v>40</v>
      </c>
      <c r="G900">
        <v>8.0397267643270993</v>
      </c>
      <c r="M900" t="str">
        <f t="shared" si="80"/>
        <v>Pass</v>
      </c>
      <c r="N900">
        <f t="shared" si="81"/>
        <v>5.6805113998054102E-13</v>
      </c>
      <c r="O900">
        <v>40</v>
      </c>
      <c r="P900">
        <v>90</v>
      </c>
      <c r="Q900">
        <v>3</v>
      </c>
      <c r="R900" t="b">
        <v>1</v>
      </c>
      <c r="S900">
        <v>5.68051133580487E-13</v>
      </c>
      <c r="Y900" t="str">
        <f t="shared" si="82"/>
        <v>Pass</v>
      </c>
      <c r="Z900">
        <f t="shared" si="83"/>
        <v>137959.375</v>
      </c>
      <c r="AA900">
        <v>13600</v>
      </c>
      <c r="AB900">
        <v>20</v>
      </c>
      <c r="AC900">
        <v>20</v>
      </c>
      <c r="AD900">
        <v>0.2</v>
      </c>
      <c r="AE900">
        <v>137959.37554816899</v>
      </c>
    </row>
    <row r="901" spans="1:31" x14ac:dyDescent="0.3">
      <c r="A901" t="str">
        <f>IF(ISBLANK(B901),"",IF(ROUND(B901,0)=ROUND(G901,0),"Pass","Fail"))</f>
        <v>Pass</v>
      </c>
      <c r="B901">
        <f t="shared" si="79"/>
        <v>6.9622077941894531</v>
      </c>
      <c r="C901">
        <v>10</v>
      </c>
      <c r="D901">
        <v>0</v>
      </c>
      <c r="E901">
        <v>60</v>
      </c>
      <c r="F901">
        <v>48</v>
      </c>
      <c r="G901">
        <v>6.9622079008197204</v>
      </c>
      <c r="M901" t="str">
        <f t="shared" si="80"/>
        <v>Pass</v>
      </c>
      <c r="N901">
        <f t="shared" si="81"/>
        <v>1.1502583607825301E-11</v>
      </c>
      <c r="O901">
        <v>40</v>
      </c>
      <c r="P901">
        <v>90</v>
      </c>
      <c r="Q901">
        <v>3</v>
      </c>
      <c r="R901" t="b">
        <v>0</v>
      </c>
      <c r="S901">
        <v>1.1502583476731599E-11</v>
      </c>
      <c r="Y901" t="str">
        <f t="shared" si="82"/>
        <v>Pass</v>
      </c>
      <c r="Z901">
        <f t="shared" si="83"/>
        <v>138807.96875</v>
      </c>
      <c r="AA901">
        <v>13600</v>
      </c>
      <c r="AB901">
        <v>20</v>
      </c>
      <c r="AC901">
        <v>22</v>
      </c>
      <c r="AD901">
        <v>0.2</v>
      </c>
      <c r="AE901">
        <v>138807.957832288</v>
      </c>
    </row>
    <row r="902" spans="1:31" x14ac:dyDescent="0.3">
      <c r="A902" t="str">
        <f>IF(ISBLANK(B902),"",IF(ROUND(B902,0)=ROUND(G902,0),"Pass","Fail"))</f>
        <v>Pass</v>
      </c>
      <c r="B902">
        <f t="shared" si="79"/>
        <v>72.998001098632813</v>
      </c>
      <c r="C902">
        <v>10</v>
      </c>
      <c r="D902">
        <v>0</v>
      </c>
      <c r="E902">
        <v>70</v>
      </c>
      <c r="F902">
        <v>0</v>
      </c>
      <c r="G902">
        <v>72.998000000000005</v>
      </c>
      <c r="M902" t="str">
        <f t="shared" si="80"/>
        <v>Pass</v>
      </c>
      <c r="N902">
        <f t="shared" si="81"/>
        <v>5.8828034674510143E-13</v>
      </c>
      <c r="O902">
        <v>40</v>
      </c>
      <c r="P902">
        <v>90</v>
      </c>
      <c r="Q902">
        <v>3.5</v>
      </c>
      <c r="R902" t="b">
        <v>1</v>
      </c>
      <c r="S902">
        <v>5.8828036347904298E-13</v>
      </c>
      <c r="Y902" t="str">
        <f t="shared" si="82"/>
        <v>Pass</v>
      </c>
      <c r="Z902">
        <f t="shared" si="83"/>
        <v>139376.78125</v>
      </c>
      <c r="AA902">
        <v>13600</v>
      </c>
      <c r="AB902">
        <v>20</v>
      </c>
      <c r="AC902">
        <v>24</v>
      </c>
      <c r="AD902">
        <v>0.2</v>
      </c>
      <c r="AE902">
        <v>139376.779548044</v>
      </c>
    </row>
    <row r="903" spans="1:31" x14ac:dyDescent="0.3">
      <c r="A903" t="str">
        <f>IF(ISBLANK(B903),"",IF(ROUND(B903,0)=ROUND(G903,0),"Pass","Fail"))</f>
        <v>Pass</v>
      </c>
      <c r="B903">
        <f t="shared" ref="B903:B966" si="84">FMC_heath(C903,D903,E903,F903)</f>
        <v>39.661228179931641</v>
      </c>
      <c r="C903">
        <v>10</v>
      </c>
      <c r="D903">
        <v>0</v>
      </c>
      <c r="E903">
        <v>70</v>
      </c>
      <c r="F903">
        <v>8</v>
      </c>
      <c r="G903">
        <v>39.661228080722999</v>
      </c>
      <c r="M903" t="str">
        <f t="shared" ref="M903:M966" si="85">IF(ISBLANK(N903),"",IF(ROUND(N903,0)=ROUND(S903,0),"Pass","Fail"))</f>
        <v>Pass</v>
      </c>
      <c r="N903">
        <f t="shared" ref="N903:N966" si="86">ROS_heath(O903,Q903,P903,R903)</f>
        <v>1.1912209066378132E-11</v>
      </c>
      <c r="O903">
        <v>40</v>
      </c>
      <c r="P903">
        <v>90</v>
      </c>
      <c r="Q903">
        <v>3.5</v>
      </c>
      <c r="R903" t="b">
        <v>0</v>
      </c>
      <c r="S903">
        <v>1.19122092864919E-11</v>
      </c>
      <c r="Y903" t="str">
        <f t="shared" ref="Y903:Y966" si="87">IF(ISBLANK(Z903),"",IF(ROUND(Z903,0)=ROUND(AE903,0),"Pass","Fail"))</f>
        <v>Pass</v>
      </c>
      <c r="Z903">
        <f t="shared" ref="Z903:Z966" si="88">intensity_heath(AA903,AB903,AC903,AD903)</f>
        <v>0</v>
      </c>
      <c r="AA903">
        <v>13800</v>
      </c>
      <c r="AB903">
        <v>20</v>
      </c>
      <c r="AC903">
        <v>0</v>
      </c>
      <c r="AD903">
        <v>0.2</v>
      </c>
      <c r="AE903">
        <v>0</v>
      </c>
    </row>
    <row r="904" spans="1:31" x14ac:dyDescent="0.3">
      <c r="A904" t="str">
        <f>IF(ISBLANK(B904),"",IF(ROUND(B904,0)=ROUND(G904,0),"Pass","Fail"))</f>
        <v>Pass</v>
      </c>
      <c r="B904">
        <f t="shared" si="84"/>
        <v>22.879997253417969</v>
      </c>
      <c r="C904">
        <v>10</v>
      </c>
      <c r="D904">
        <v>0</v>
      </c>
      <c r="E904">
        <v>70</v>
      </c>
      <c r="F904">
        <v>16</v>
      </c>
      <c r="G904">
        <v>22.879997247101699</v>
      </c>
      <c r="M904" t="str">
        <f t="shared" si="85"/>
        <v>Pass</v>
      </c>
      <c r="N904">
        <f t="shared" si="86"/>
        <v>6.0638500514256788E-13</v>
      </c>
      <c r="O904">
        <v>40</v>
      </c>
      <c r="P904">
        <v>90</v>
      </c>
      <c r="Q904">
        <v>4</v>
      </c>
      <c r="R904" t="b">
        <v>1</v>
      </c>
      <c r="S904">
        <v>6.0638510378319202E-13</v>
      </c>
      <c r="Y904" t="str">
        <f t="shared" si="87"/>
        <v>Pass</v>
      </c>
      <c r="Z904">
        <f t="shared" si="88"/>
        <v>47012.359375</v>
      </c>
      <c r="AA904">
        <v>13800</v>
      </c>
      <c r="AB904">
        <v>20</v>
      </c>
      <c r="AC904">
        <v>2</v>
      </c>
      <c r="AD904">
        <v>0.2</v>
      </c>
      <c r="AE904">
        <v>47012.361435317798</v>
      </c>
    </row>
    <row r="905" spans="1:31" x14ac:dyDescent="0.3">
      <c r="A905" t="str">
        <f>IF(ISBLANK(B905),"",IF(ROUND(B905,0)=ROUND(G905,0),"Pass","Fail"))</f>
        <v>Pass</v>
      </c>
      <c r="B905">
        <f t="shared" si="84"/>
        <v>14.432577133178711</v>
      </c>
      <c r="C905">
        <v>10</v>
      </c>
      <c r="D905">
        <v>0</v>
      </c>
      <c r="E905">
        <v>70</v>
      </c>
      <c r="F905">
        <v>24</v>
      </c>
      <c r="G905">
        <v>14.432577413736199</v>
      </c>
      <c r="M905" t="str">
        <f t="shared" si="85"/>
        <v>Pass</v>
      </c>
      <c r="N905">
        <f t="shared" si="86"/>
        <v>1.2278815984811953E-11</v>
      </c>
      <c r="O905">
        <v>40</v>
      </c>
      <c r="P905">
        <v>90</v>
      </c>
      <c r="Q905">
        <v>4</v>
      </c>
      <c r="R905" t="b">
        <v>0</v>
      </c>
      <c r="S905">
        <v>1.22788158723469E-11</v>
      </c>
      <c r="Y905" t="str">
        <f t="shared" si="87"/>
        <v>Pass</v>
      </c>
      <c r="Z905">
        <f t="shared" si="88"/>
        <v>78525.6875</v>
      </c>
      <c r="AA905">
        <v>13800</v>
      </c>
      <c r="AB905">
        <v>20</v>
      </c>
      <c r="AC905">
        <v>4</v>
      </c>
      <c r="AD905">
        <v>0.2</v>
      </c>
      <c r="AE905">
        <v>78525.689716884197</v>
      </c>
    </row>
    <row r="906" spans="1:31" x14ac:dyDescent="0.3">
      <c r="A906" t="str">
        <f>IF(ISBLANK(B906),"",IF(ROUND(B906,0)=ROUND(G906,0),"Pass","Fail"))</f>
        <v>Pass</v>
      </c>
      <c r="B906">
        <f t="shared" si="84"/>
        <v>10.180273056030273</v>
      </c>
      <c r="C906">
        <v>10</v>
      </c>
      <c r="D906">
        <v>0</v>
      </c>
      <c r="E906">
        <v>70</v>
      </c>
      <c r="F906">
        <v>32</v>
      </c>
      <c r="G906">
        <v>10.1802730059946</v>
      </c>
      <c r="M906" t="str">
        <f t="shared" si="85"/>
        <v>Pass</v>
      </c>
      <c r="N906">
        <f t="shared" si="86"/>
        <v>0</v>
      </c>
      <c r="O906">
        <v>50</v>
      </c>
      <c r="P906">
        <v>0</v>
      </c>
      <c r="Q906">
        <v>0</v>
      </c>
      <c r="R906" t="b">
        <v>1</v>
      </c>
      <c r="S906">
        <v>0</v>
      </c>
      <c r="Y906" t="str">
        <f t="shared" si="87"/>
        <v>Pass</v>
      </c>
      <c r="Z906">
        <f t="shared" si="88"/>
        <v>99649.7109375</v>
      </c>
      <c r="AA906">
        <v>13800</v>
      </c>
      <c r="AB906">
        <v>20</v>
      </c>
      <c r="AC906">
        <v>6</v>
      </c>
      <c r="AD906">
        <v>0.2</v>
      </c>
      <c r="AE906">
        <v>99649.705381319902</v>
      </c>
    </row>
    <row r="907" spans="1:31" x14ac:dyDescent="0.3">
      <c r="A907" t="str">
        <f>IF(ISBLANK(B907),"",IF(ROUND(B907,0)=ROUND(G907,0),"Pass","Fail"))</f>
        <v>Pass</v>
      </c>
      <c r="B907">
        <f t="shared" si="84"/>
        <v>8.0397262573242188</v>
      </c>
      <c r="C907">
        <v>10</v>
      </c>
      <c r="D907">
        <v>0</v>
      </c>
      <c r="E907">
        <v>70</v>
      </c>
      <c r="F907">
        <v>40</v>
      </c>
      <c r="G907">
        <v>8.0397267643270993</v>
      </c>
      <c r="M907" t="str">
        <f t="shared" si="85"/>
        <v>Pass</v>
      </c>
      <c r="N907">
        <f t="shared" si="86"/>
        <v>0</v>
      </c>
      <c r="O907">
        <v>50</v>
      </c>
      <c r="P907">
        <v>0</v>
      </c>
      <c r="Q907">
        <v>0</v>
      </c>
      <c r="R907" t="b">
        <v>0</v>
      </c>
      <c r="S907">
        <v>0</v>
      </c>
      <c r="Y907" t="str">
        <f t="shared" si="87"/>
        <v>Pass</v>
      </c>
      <c r="Z907">
        <f t="shared" si="88"/>
        <v>113809.5546875</v>
      </c>
      <c r="AA907">
        <v>13800</v>
      </c>
      <c r="AB907">
        <v>20</v>
      </c>
      <c r="AC907">
        <v>8</v>
      </c>
      <c r="AD907">
        <v>0.2</v>
      </c>
      <c r="AE907">
        <v>113809.55653396199</v>
      </c>
    </row>
    <row r="908" spans="1:31" x14ac:dyDescent="0.3">
      <c r="A908" t="str">
        <f>IF(ISBLANK(B908),"",IF(ROUND(B908,0)=ROUND(G908,0),"Pass","Fail"))</f>
        <v>Pass</v>
      </c>
      <c r="B908">
        <f t="shared" si="84"/>
        <v>6.9622077941894531</v>
      </c>
      <c r="C908">
        <v>10</v>
      </c>
      <c r="D908">
        <v>0</v>
      </c>
      <c r="E908">
        <v>70</v>
      </c>
      <c r="F908">
        <v>48</v>
      </c>
      <c r="G908">
        <v>6.9622079008197204</v>
      </c>
      <c r="M908" t="str">
        <f t="shared" si="85"/>
        <v>Pass</v>
      </c>
      <c r="N908">
        <f t="shared" si="86"/>
        <v>777.841796875</v>
      </c>
      <c r="O908">
        <v>50</v>
      </c>
      <c r="P908">
        <v>0</v>
      </c>
      <c r="Q908">
        <v>0.5</v>
      </c>
      <c r="R908" t="b">
        <v>1</v>
      </c>
      <c r="S908">
        <v>777.84185616315699</v>
      </c>
      <c r="Y908" t="str">
        <f t="shared" si="87"/>
        <v>Pass</v>
      </c>
      <c r="Z908">
        <f t="shared" si="88"/>
        <v>123301.1953125</v>
      </c>
      <c r="AA908">
        <v>13800</v>
      </c>
      <c r="AB908">
        <v>20</v>
      </c>
      <c r="AC908">
        <v>10</v>
      </c>
      <c r="AD908">
        <v>0.2</v>
      </c>
      <c r="AE908">
        <v>123301.18861045899</v>
      </c>
    </row>
    <row r="909" spans="1:31" x14ac:dyDescent="0.3">
      <c r="A909" t="str">
        <f>IF(ISBLANK(B909),"",IF(ROUND(B909,0)=ROUND(G909,0),"Pass","Fail"))</f>
        <v>Pass</v>
      </c>
      <c r="B909">
        <f t="shared" si="84"/>
        <v>72.998001098632813</v>
      </c>
      <c r="C909">
        <v>10</v>
      </c>
      <c r="D909">
        <v>0</v>
      </c>
      <c r="E909">
        <v>80</v>
      </c>
      <c r="F909">
        <v>0</v>
      </c>
      <c r="G909">
        <v>72.998000000000005</v>
      </c>
      <c r="M909" t="str">
        <f t="shared" si="85"/>
        <v>Pass</v>
      </c>
      <c r="N909">
        <f t="shared" si="86"/>
        <v>5182.84814453125</v>
      </c>
      <c r="O909">
        <v>50</v>
      </c>
      <c r="P909">
        <v>0</v>
      </c>
      <c r="Q909">
        <v>0.5</v>
      </c>
      <c r="R909" t="b">
        <v>0</v>
      </c>
      <c r="S909">
        <v>5182.8480416341599</v>
      </c>
      <c r="Y909" t="str">
        <f t="shared" si="87"/>
        <v>Pass</v>
      </c>
      <c r="Z909">
        <f t="shared" si="88"/>
        <v>129663.625</v>
      </c>
      <c r="AA909">
        <v>13800</v>
      </c>
      <c r="AB909">
        <v>20</v>
      </c>
      <c r="AC909">
        <v>12</v>
      </c>
      <c r="AD909">
        <v>0.2</v>
      </c>
      <c r="AE909">
        <v>129663.619860929</v>
      </c>
    </row>
    <row r="910" spans="1:31" x14ac:dyDescent="0.3">
      <c r="A910" t="str">
        <f>IF(ISBLANK(B910),"",IF(ROUND(B910,0)=ROUND(G910,0),"Pass","Fail"))</f>
        <v>Pass</v>
      </c>
      <c r="B910">
        <f t="shared" si="84"/>
        <v>39.661228179931641</v>
      </c>
      <c r="C910">
        <v>10</v>
      </c>
      <c r="D910">
        <v>0</v>
      </c>
      <c r="E910">
        <v>80</v>
      </c>
      <c r="F910">
        <v>8</v>
      </c>
      <c r="G910">
        <v>39.661228080722999</v>
      </c>
      <c r="M910" t="str">
        <f t="shared" si="85"/>
        <v>Pass</v>
      </c>
      <c r="N910">
        <f t="shared" si="86"/>
        <v>910.38494873046875</v>
      </c>
      <c r="O910">
        <v>50</v>
      </c>
      <c r="P910">
        <v>0</v>
      </c>
      <c r="Q910">
        <v>1</v>
      </c>
      <c r="R910" t="b">
        <v>1</v>
      </c>
      <c r="S910">
        <v>910.38505173543194</v>
      </c>
      <c r="Y910" t="str">
        <f t="shared" si="87"/>
        <v>Pass</v>
      </c>
      <c r="Z910">
        <f t="shared" si="88"/>
        <v>133928.46875</v>
      </c>
      <c r="AA910">
        <v>13800</v>
      </c>
      <c r="AB910">
        <v>20</v>
      </c>
      <c r="AC910">
        <v>14</v>
      </c>
      <c r="AD910">
        <v>0.2</v>
      </c>
      <c r="AE910">
        <v>133928.48506964301</v>
      </c>
    </row>
    <row r="911" spans="1:31" x14ac:dyDescent="0.3">
      <c r="A911" t="str">
        <f>IF(ISBLANK(B911),"",IF(ROUND(B911,0)=ROUND(G911,0),"Pass","Fail"))</f>
        <v>Pass</v>
      </c>
      <c r="B911">
        <f t="shared" si="84"/>
        <v>22.879997253417969</v>
      </c>
      <c r="C911">
        <v>10</v>
      </c>
      <c r="D911">
        <v>0</v>
      </c>
      <c r="E911">
        <v>80</v>
      </c>
      <c r="F911">
        <v>16</v>
      </c>
      <c r="G911">
        <v>22.879997247101699</v>
      </c>
      <c r="M911" t="str">
        <f t="shared" si="85"/>
        <v>Pass</v>
      </c>
      <c r="N911">
        <f t="shared" si="86"/>
        <v>6065.998046875</v>
      </c>
      <c r="O911">
        <v>50</v>
      </c>
      <c r="P911">
        <v>0</v>
      </c>
      <c r="Q911">
        <v>1</v>
      </c>
      <c r="R911" t="b">
        <v>0</v>
      </c>
      <c r="S911">
        <v>6065.9983068978599</v>
      </c>
      <c r="Y911" t="str">
        <f t="shared" si="87"/>
        <v>Pass</v>
      </c>
      <c r="Z911">
        <f t="shared" si="88"/>
        <v>136787.296875</v>
      </c>
      <c r="AA911">
        <v>13800</v>
      </c>
      <c r="AB911">
        <v>20</v>
      </c>
      <c r="AC911">
        <v>16</v>
      </c>
      <c r="AD911">
        <v>0.2</v>
      </c>
      <c r="AE911">
        <v>136787.309712685</v>
      </c>
    </row>
    <row r="912" spans="1:31" x14ac:dyDescent="0.3">
      <c r="A912" t="str">
        <f>IF(ISBLANK(B912),"",IF(ROUND(B912,0)=ROUND(G912,0),"Pass","Fail"))</f>
        <v>Pass</v>
      </c>
      <c r="B912">
        <f t="shared" si="84"/>
        <v>14.432577133178711</v>
      </c>
      <c r="C912">
        <v>10</v>
      </c>
      <c r="D912">
        <v>0</v>
      </c>
      <c r="E912">
        <v>80</v>
      </c>
      <c r="F912">
        <v>24</v>
      </c>
      <c r="G912">
        <v>14.432577413736199</v>
      </c>
      <c r="M912" t="str">
        <f t="shared" si="85"/>
        <v>Pass</v>
      </c>
      <c r="N912">
        <f t="shared" si="86"/>
        <v>998.15460205078125</v>
      </c>
      <c r="O912">
        <v>50</v>
      </c>
      <c r="P912">
        <v>0</v>
      </c>
      <c r="Q912">
        <v>1.5</v>
      </c>
      <c r="R912" t="b">
        <v>1</v>
      </c>
      <c r="S912">
        <v>998.15464910619505</v>
      </c>
      <c r="Y912" t="str">
        <f t="shared" si="87"/>
        <v>Pass</v>
      </c>
      <c r="Z912">
        <f t="shared" si="88"/>
        <v>138703.640625</v>
      </c>
      <c r="AA912">
        <v>13800</v>
      </c>
      <c r="AB912">
        <v>20</v>
      </c>
      <c r="AC912">
        <v>18</v>
      </c>
      <c r="AD912">
        <v>0.2</v>
      </c>
      <c r="AE912">
        <v>138703.63717901599</v>
      </c>
    </row>
    <row r="913" spans="1:31" x14ac:dyDescent="0.3">
      <c r="A913" t="str">
        <f>IF(ISBLANK(B913),"",IF(ROUND(B913,0)=ROUND(G913,0),"Pass","Fail"))</f>
        <v>Pass</v>
      </c>
      <c r="B913">
        <f t="shared" si="84"/>
        <v>10.180273056030273</v>
      </c>
      <c r="C913">
        <v>10</v>
      </c>
      <c r="D913">
        <v>0</v>
      </c>
      <c r="E913">
        <v>80</v>
      </c>
      <c r="F913">
        <v>32</v>
      </c>
      <c r="G913">
        <v>10.1802730059946</v>
      </c>
      <c r="M913" t="str">
        <f t="shared" si="85"/>
        <v>Pass</v>
      </c>
      <c r="N913">
        <f t="shared" si="86"/>
        <v>6650.81689453125</v>
      </c>
      <c r="O913">
        <v>50</v>
      </c>
      <c r="P913">
        <v>0</v>
      </c>
      <c r="Q913">
        <v>1.5</v>
      </c>
      <c r="R913" t="b">
        <v>0</v>
      </c>
      <c r="S913">
        <v>6650.8170361083703</v>
      </c>
      <c r="Y913" t="str">
        <f t="shared" si="87"/>
        <v>Pass</v>
      </c>
      <c r="Z913">
        <f t="shared" si="88"/>
        <v>139988.203125</v>
      </c>
      <c r="AA913">
        <v>13800</v>
      </c>
      <c r="AB913">
        <v>20</v>
      </c>
      <c r="AC913">
        <v>20</v>
      </c>
      <c r="AD913">
        <v>0.2</v>
      </c>
      <c r="AE913">
        <v>139988.18989446599</v>
      </c>
    </row>
    <row r="914" spans="1:31" x14ac:dyDescent="0.3">
      <c r="A914" t="str">
        <f>IF(ISBLANK(B914),"",IF(ROUND(B914,0)=ROUND(G914,0),"Pass","Fail"))</f>
        <v>Pass</v>
      </c>
      <c r="B914">
        <f t="shared" si="84"/>
        <v>8.0397262573242188</v>
      </c>
      <c r="C914">
        <v>10</v>
      </c>
      <c r="D914">
        <v>0</v>
      </c>
      <c r="E914">
        <v>80</v>
      </c>
      <c r="F914">
        <v>40</v>
      </c>
      <c r="G914">
        <v>8.0397267643270993</v>
      </c>
      <c r="M914" t="str">
        <f t="shared" si="85"/>
        <v>Pass</v>
      </c>
      <c r="N914">
        <f t="shared" si="86"/>
        <v>1065.5133056640625</v>
      </c>
      <c r="O914">
        <v>50</v>
      </c>
      <c r="P914">
        <v>0</v>
      </c>
      <c r="Q914">
        <v>2</v>
      </c>
      <c r="R914" t="b">
        <v>1</v>
      </c>
      <c r="S914">
        <v>1065.5134277699201</v>
      </c>
      <c r="Y914" t="str">
        <f t="shared" si="87"/>
        <v>Pass</v>
      </c>
      <c r="Z914">
        <f t="shared" si="88"/>
        <v>140849.265625</v>
      </c>
      <c r="AA914">
        <v>13800</v>
      </c>
      <c r="AB914">
        <v>20</v>
      </c>
      <c r="AC914">
        <v>22</v>
      </c>
      <c r="AD914">
        <v>0.2</v>
      </c>
      <c r="AE914">
        <v>140849.251329822</v>
      </c>
    </row>
    <row r="915" spans="1:31" x14ac:dyDescent="0.3">
      <c r="A915" t="str">
        <f>IF(ISBLANK(B915),"",IF(ROUND(B915,0)=ROUND(G915,0),"Pass","Fail"))</f>
        <v>Pass</v>
      </c>
      <c r="B915">
        <f t="shared" si="84"/>
        <v>6.9622077941894531</v>
      </c>
      <c r="C915">
        <v>10</v>
      </c>
      <c r="D915">
        <v>0</v>
      </c>
      <c r="E915">
        <v>80</v>
      </c>
      <c r="F915">
        <v>48</v>
      </c>
      <c r="G915">
        <v>6.9622079008197204</v>
      </c>
      <c r="M915" t="str">
        <f t="shared" si="85"/>
        <v>Pass</v>
      </c>
      <c r="N915">
        <f t="shared" si="86"/>
        <v>7099.63623046875</v>
      </c>
      <c r="O915">
        <v>50</v>
      </c>
      <c r="P915">
        <v>0</v>
      </c>
      <c r="Q915">
        <v>2</v>
      </c>
      <c r="R915" t="b">
        <v>0</v>
      </c>
      <c r="S915">
        <v>7099.6361775804198</v>
      </c>
      <c r="Y915" t="str">
        <f t="shared" si="87"/>
        <v>Pass</v>
      </c>
      <c r="Z915">
        <f t="shared" si="88"/>
        <v>141426.453125</v>
      </c>
      <c r="AA915">
        <v>13800</v>
      </c>
      <c r="AB915">
        <v>20</v>
      </c>
      <c r="AC915">
        <v>24</v>
      </c>
      <c r="AD915">
        <v>0.2</v>
      </c>
      <c r="AE915">
        <v>141426.438070809</v>
      </c>
    </row>
    <row r="916" spans="1:31" x14ac:dyDescent="0.3">
      <c r="A916" t="str">
        <f>IF(ISBLANK(B916),"",IF(ROUND(B916,0)=ROUND(G916,0),"Pass","Fail"))</f>
        <v>Pass</v>
      </c>
      <c r="B916">
        <f t="shared" si="84"/>
        <v>72.998001098632813</v>
      </c>
      <c r="C916">
        <v>10</v>
      </c>
      <c r="D916">
        <v>0</v>
      </c>
      <c r="E916">
        <v>90</v>
      </c>
      <c r="F916">
        <v>0</v>
      </c>
      <c r="G916">
        <v>72.998000000000005</v>
      </c>
      <c r="M916" t="str">
        <f t="shared" si="85"/>
        <v>Pass</v>
      </c>
      <c r="N916">
        <f t="shared" si="86"/>
        <v>1120.8758544921875</v>
      </c>
      <c r="O916">
        <v>50</v>
      </c>
      <c r="P916">
        <v>0</v>
      </c>
      <c r="Q916">
        <v>2.5</v>
      </c>
      <c r="R916" t="b">
        <v>1</v>
      </c>
      <c r="S916">
        <v>1120.8758189714999</v>
      </c>
      <c r="Y916" t="str">
        <f t="shared" si="87"/>
        <v>Pass</v>
      </c>
      <c r="Z916">
        <f t="shared" si="88"/>
        <v>0</v>
      </c>
      <c r="AA916">
        <v>14000</v>
      </c>
      <c r="AB916">
        <v>20</v>
      </c>
      <c r="AC916">
        <v>0</v>
      </c>
      <c r="AD916">
        <v>0.2</v>
      </c>
      <c r="AE916">
        <v>0</v>
      </c>
    </row>
    <row r="917" spans="1:31" x14ac:dyDescent="0.3">
      <c r="A917" t="str">
        <f>IF(ISBLANK(B917),"",IF(ROUND(B917,0)=ROUND(G917,0),"Pass","Fail"))</f>
        <v>Pass</v>
      </c>
      <c r="B917">
        <f t="shared" si="84"/>
        <v>39.661228179931641</v>
      </c>
      <c r="C917">
        <v>10</v>
      </c>
      <c r="D917">
        <v>0</v>
      </c>
      <c r="E917">
        <v>90</v>
      </c>
      <c r="F917">
        <v>8</v>
      </c>
      <c r="G917">
        <v>39.661228080722999</v>
      </c>
      <c r="M917" t="str">
        <f t="shared" si="85"/>
        <v>Pass</v>
      </c>
      <c r="N917">
        <f t="shared" si="86"/>
        <v>7468.5224609375</v>
      </c>
      <c r="O917">
        <v>50</v>
      </c>
      <c r="P917">
        <v>0</v>
      </c>
      <c r="Q917">
        <v>2.5</v>
      </c>
      <c r="R917" t="b">
        <v>0</v>
      </c>
      <c r="S917">
        <v>7468.5220359921204</v>
      </c>
      <c r="Y917" t="str">
        <f t="shared" si="87"/>
        <v>Pass</v>
      </c>
      <c r="Z917">
        <f t="shared" si="88"/>
        <v>47693.69921875</v>
      </c>
      <c r="AA917">
        <v>14000</v>
      </c>
      <c r="AB917">
        <v>20</v>
      </c>
      <c r="AC917">
        <v>2</v>
      </c>
      <c r="AD917">
        <v>0.2</v>
      </c>
      <c r="AE917">
        <v>47693.700006844098</v>
      </c>
    </row>
    <row r="918" spans="1:31" x14ac:dyDescent="0.3">
      <c r="A918" t="str">
        <f>IF(ISBLANK(B918),"",IF(ROUND(B918,0)=ROUND(G918,0),"Pass","Fail"))</f>
        <v>Pass</v>
      </c>
      <c r="B918">
        <f t="shared" si="84"/>
        <v>22.879997253417969</v>
      </c>
      <c r="C918">
        <v>10</v>
      </c>
      <c r="D918">
        <v>0</v>
      </c>
      <c r="E918">
        <v>90</v>
      </c>
      <c r="F918">
        <v>16</v>
      </c>
      <c r="G918">
        <v>22.879997247101699</v>
      </c>
      <c r="M918" t="str">
        <f t="shared" si="85"/>
        <v>Pass</v>
      </c>
      <c r="N918">
        <f t="shared" si="86"/>
        <v>1168.23876953125</v>
      </c>
      <c r="O918">
        <v>50</v>
      </c>
      <c r="P918">
        <v>0</v>
      </c>
      <c r="Q918">
        <v>3</v>
      </c>
      <c r="R918" t="b">
        <v>1</v>
      </c>
      <c r="S918">
        <v>1168.2388452954301</v>
      </c>
      <c r="Y918" t="str">
        <f t="shared" si="87"/>
        <v>Pass</v>
      </c>
      <c r="Z918">
        <f t="shared" si="88"/>
        <v>79663.7421875</v>
      </c>
      <c r="AA918">
        <v>14000</v>
      </c>
      <c r="AB918">
        <v>20</v>
      </c>
      <c r="AC918">
        <v>4</v>
      </c>
      <c r="AD918">
        <v>0.2</v>
      </c>
      <c r="AE918">
        <v>79663.743191041896</v>
      </c>
    </row>
    <row r="919" spans="1:31" x14ac:dyDescent="0.3">
      <c r="A919" t="str">
        <f>IF(ISBLANK(B919),"",IF(ROUND(B919,0)=ROUND(G919,0),"Pass","Fail"))</f>
        <v>Pass</v>
      </c>
      <c r="B919">
        <f t="shared" si="84"/>
        <v>14.432577133178711</v>
      </c>
      <c r="C919">
        <v>10</v>
      </c>
      <c r="D919">
        <v>0</v>
      </c>
      <c r="E919">
        <v>90</v>
      </c>
      <c r="F919">
        <v>24</v>
      </c>
      <c r="G919">
        <v>14.432577413736199</v>
      </c>
      <c r="M919" t="str">
        <f t="shared" si="85"/>
        <v>Pass</v>
      </c>
      <c r="N919">
        <f t="shared" si="86"/>
        <v>7784.10791015625</v>
      </c>
      <c r="O919">
        <v>50</v>
      </c>
      <c r="P919">
        <v>0</v>
      </c>
      <c r="Q919">
        <v>3</v>
      </c>
      <c r="R919" t="b">
        <v>0</v>
      </c>
      <c r="S919">
        <v>7784.1072237572998</v>
      </c>
      <c r="Y919" t="str">
        <f t="shared" si="87"/>
        <v>Pass</v>
      </c>
      <c r="Z919">
        <f t="shared" si="88"/>
        <v>101093.90625</v>
      </c>
      <c r="AA919">
        <v>14000</v>
      </c>
      <c r="AB919">
        <v>20</v>
      </c>
      <c r="AC919">
        <v>6</v>
      </c>
      <c r="AD919">
        <v>0.2</v>
      </c>
      <c r="AE919">
        <v>101093.90401003401</v>
      </c>
    </row>
    <row r="920" spans="1:31" x14ac:dyDescent="0.3">
      <c r="A920" t="str">
        <f>IF(ISBLANK(B920),"",IF(ROUND(B920,0)=ROUND(G920,0),"Pass","Fail"))</f>
        <v>Pass</v>
      </c>
      <c r="B920">
        <f t="shared" si="84"/>
        <v>10.180273056030273</v>
      </c>
      <c r="C920">
        <v>10</v>
      </c>
      <c r="D920">
        <v>0</v>
      </c>
      <c r="E920">
        <v>90</v>
      </c>
      <c r="F920">
        <v>32</v>
      </c>
      <c r="G920">
        <v>10.1802730059946</v>
      </c>
      <c r="M920" t="str">
        <f t="shared" si="85"/>
        <v>Pass</v>
      </c>
      <c r="N920">
        <f t="shared" si="86"/>
        <v>1209.8416748046875</v>
      </c>
      <c r="O920">
        <v>50</v>
      </c>
      <c r="P920">
        <v>0</v>
      </c>
      <c r="Q920">
        <v>3.5</v>
      </c>
      <c r="R920" t="b">
        <v>1</v>
      </c>
      <c r="S920">
        <v>1209.8417411983901</v>
      </c>
      <c r="Y920" t="str">
        <f t="shared" si="87"/>
        <v>Pass</v>
      </c>
      <c r="Z920">
        <f t="shared" si="88"/>
        <v>115458.96875</v>
      </c>
      <c r="AA920">
        <v>14000</v>
      </c>
      <c r="AB920">
        <v>20</v>
      </c>
      <c r="AC920">
        <v>8</v>
      </c>
      <c r="AD920">
        <v>0.2</v>
      </c>
      <c r="AE920">
        <v>115458.970396773</v>
      </c>
    </row>
    <row r="921" spans="1:31" x14ac:dyDescent="0.3">
      <c r="A921" t="str">
        <f>IF(ISBLANK(B921),"",IF(ROUND(B921,0)=ROUND(G921,0),"Pass","Fail"))</f>
        <v>Pass</v>
      </c>
      <c r="B921">
        <f t="shared" si="84"/>
        <v>8.0397262573242188</v>
      </c>
      <c r="C921">
        <v>10</v>
      </c>
      <c r="D921">
        <v>0</v>
      </c>
      <c r="E921">
        <v>90</v>
      </c>
      <c r="F921">
        <v>40</v>
      </c>
      <c r="G921">
        <v>8.0397267643270993</v>
      </c>
      <c r="M921" t="str">
        <f t="shared" si="85"/>
        <v>Pass</v>
      </c>
      <c r="N921">
        <f t="shared" si="86"/>
        <v>8061.31201171875</v>
      </c>
      <c r="O921">
        <v>50</v>
      </c>
      <c r="P921">
        <v>0</v>
      </c>
      <c r="Q921">
        <v>3.5</v>
      </c>
      <c r="R921" t="b">
        <v>0</v>
      </c>
      <c r="S921">
        <v>8061.31201268514</v>
      </c>
      <c r="Y921" t="str">
        <f t="shared" si="87"/>
        <v>Pass</v>
      </c>
      <c r="Z921">
        <f t="shared" si="88"/>
        <v>125088.171875</v>
      </c>
      <c r="AA921">
        <v>14000</v>
      </c>
      <c r="AB921">
        <v>20</v>
      </c>
      <c r="AC921">
        <v>10</v>
      </c>
      <c r="AD921">
        <v>0.2</v>
      </c>
      <c r="AE921">
        <v>125088.16235843601</v>
      </c>
    </row>
    <row r="922" spans="1:31" x14ac:dyDescent="0.3">
      <c r="A922" t="str">
        <f>IF(ISBLANK(B922),"",IF(ROUND(B922,0)=ROUND(G922,0),"Pass","Fail"))</f>
        <v>Pass</v>
      </c>
      <c r="B922">
        <f t="shared" si="84"/>
        <v>6.9622077941894531</v>
      </c>
      <c r="C922">
        <v>10</v>
      </c>
      <c r="D922">
        <v>0</v>
      </c>
      <c r="E922">
        <v>90</v>
      </c>
      <c r="F922">
        <v>48</v>
      </c>
      <c r="G922">
        <v>6.9622079008197204</v>
      </c>
      <c r="M922" t="str">
        <f t="shared" si="85"/>
        <v>Pass</v>
      </c>
      <c r="N922">
        <f t="shared" si="86"/>
        <v>1247.075439453125</v>
      </c>
      <c r="O922">
        <v>50</v>
      </c>
      <c r="P922">
        <v>0</v>
      </c>
      <c r="Q922">
        <v>4</v>
      </c>
      <c r="R922" t="b">
        <v>1</v>
      </c>
      <c r="S922">
        <v>1247.07546833485</v>
      </c>
      <c r="Y922" t="str">
        <f t="shared" si="87"/>
        <v>Pass</v>
      </c>
      <c r="Z922">
        <f t="shared" si="88"/>
        <v>131542.8125</v>
      </c>
      <c r="AA922">
        <v>14000</v>
      </c>
      <c r="AB922">
        <v>20</v>
      </c>
      <c r="AC922">
        <v>12</v>
      </c>
      <c r="AD922">
        <v>0.2</v>
      </c>
      <c r="AE922">
        <v>131542.80275746499</v>
      </c>
    </row>
    <row r="923" spans="1:31" x14ac:dyDescent="0.3">
      <c r="A923" t="str">
        <f>IF(ISBLANK(B923),"",IF(ROUND(B923,0)=ROUND(G923,0),"Pass","Fail"))</f>
        <v>Pass</v>
      </c>
      <c r="B923">
        <f t="shared" si="84"/>
        <v>72.998001098632813</v>
      </c>
      <c r="C923">
        <v>10</v>
      </c>
      <c r="D923">
        <v>0</v>
      </c>
      <c r="E923">
        <v>100</v>
      </c>
      <c r="F923">
        <v>0</v>
      </c>
      <c r="G923">
        <v>72.998000000000005</v>
      </c>
      <c r="M923" t="str">
        <f t="shared" si="85"/>
        <v>Pass</v>
      </c>
      <c r="N923">
        <f t="shared" si="86"/>
        <v>8309.404296875</v>
      </c>
      <c r="O923">
        <v>50</v>
      </c>
      <c r="P923">
        <v>0</v>
      </c>
      <c r="Q923">
        <v>4</v>
      </c>
      <c r="R923" t="b">
        <v>0</v>
      </c>
      <c r="S923">
        <v>8309.40453720398</v>
      </c>
      <c r="Y923" t="str">
        <f t="shared" si="87"/>
        <v>Pass</v>
      </c>
      <c r="Z923">
        <f t="shared" si="88"/>
        <v>135869.46875</v>
      </c>
      <c r="AA923">
        <v>14000</v>
      </c>
      <c r="AB923">
        <v>20</v>
      </c>
      <c r="AC923">
        <v>14</v>
      </c>
      <c r="AD923">
        <v>0.2</v>
      </c>
      <c r="AE923">
        <v>135869.47760688499</v>
      </c>
    </row>
    <row r="924" spans="1:31" x14ac:dyDescent="0.3">
      <c r="A924" t="str">
        <f>IF(ISBLANK(B924),"",IF(ROUND(B924,0)=ROUND(G924,0),"Pass","Fail"))</f>
        <v>Pass</v>
      </c>
      <c r="B924">
        <f t="shared" si="84"/>
        <v>39.661228179931641</v>
      </c>
      <c r="C924">
        <v>10</v>
      </c>
      <c r="D924">
        <v>0</v>
      </c>
      <c r="E924">
        <v>100</v>
      </c>
      <c r="F924">
        <v>8</v>
      </c>
      <c r="G924">
        <v>39.661228080722999</v>
      </c>
      <c r="M924" t="str">
        <f t="shared" si="85"/>
        <v>Pass</v>
      </c>
      <c r="N924">
        <f t="shared" si="86"/>
        <v>0</v>
      </c>
      <c r="O924">
        <v>50</v>
      </c>
      <c r="P924">
        <v>10</v>
      </c>
      <c r="Q924">
        <v>0</v>
      </c>
      <c r="R924" t="b">
        <v>1</v>
      </c>
      <c r="S924">
        <v>0</v>
      </c>
      <c r="Y924" t="str">
        <f t="shared" si="87"/>
        <v>Pass</v>
      </c>
      <c r="Z924">
        <f t="shared" si="88"/>
        <v>138769.734375</v>
      </c>
      <c r="AA924">
        <v>14000</v>
      </c>
      <c r="AB924">
        <v>20</v>
      </c>
      <c r="AC924">
        <v>16</v>
      </c>
      <c r="AD924">
        <v>0.2</v>
      </c>
      <c r="AE924">
        <v>138769.734491129</v>
      </c>
    </row>
    <row r="925" spans="1:31" x14ac:dyDescent="0.3">
      <c r="A925" t="str">
        <f>IF(ISBLANK(B925),"",IF(ROUND(B925,0)=ROUND(G925,0),"Pass","Fail"))</f>
        <v>Pass</v>
      </c>
      <c r="B925">
        <f t="shared" si="84"/>
        <v>22.879997253417969</v>
      </c>
      <c r="C925">
        <v>10</v>
      </c>
      <c r="D925">
        <v>0</v>
      </c>
      <c r="E925">
        <v>100</v>
      </c>
      <c r="F925">
        <v>16</v>
      </c>
      <c r="G925">
        <v>22.879997247101699</v>
      </c>
      <c r="M925" t="str">
        <f t="shared" si="85"/>
        <v>Pass</v>
      </c>
      <c r="N925">
        <f t="shared" si="86"/>
        <v>0</v>
      </c>
      <c r="O925">
        <v>50</v>
      </c>
      <c r="P925">
        <v>10</v>
      </c>
      <c r="Q925">
        <v>0</v>
      </c>
      <c r="R925" t="b">
        <v>0</v>
      </c>
      <c r="S925">
        <v>0</v>
      </c>
      <c r="Y925" t="str">
        <f t="shared" si="87"/>
        <v>Pass</v>
      </c>
      <c r="Z925">
        <f t="shared" si="88"/>
        <v>140713.84375</v>
      </c>
      <c r="AA925">
        <v>14000</v>
      </c>
      <c r="AB925">
        <v>20</v>
      </c>
      <c r="AC925">
        <v>18</v>
      </c>
      <c r="AD925">
        <v>0.2</v>
      </c>
      <c r="AE925">
        <v>140713.83481929099</v>
      </c>
    </row>
    <row r="926" spans="1:31" x14ac:dyDescent="0.3">
      <c r="A926" t="str">
        <f>IF(ISBLANK(B926),"",IF(ROUND(B926,0)=ROUND(G926,0),"Pass","Fail"))</f>
        <v>Pass</v>
      </c>
      <c r="B926">
        <f t="shared" si="84"/>
        <v>14.432577133178711</v>
      </c>
      <c r="C926">
        <v>10</v>
      </c>
      <c r="D926">
        <v>0</v>
      </c>
      <c r="E926">
        <v>100</v>
      </c>
      <c r="F926">
        <v>24</v>
      </c>
      <c r="G926">
        <v>14.432577413736199</v>
      </c>
      <c r="M926" t="str">
        <f t="shared" si="85"/>
        <v>Pass</v>
      </c>
      <c r="N926">
        <f t="shared" si="86"/>
        <v>342.55029296875</v>
      </c>
      <c r="O926">
        <v>50</v>
      </c>
      <c r="P926">
        <v>10</v>
      </c>
      <c r="Q926">
        <v>0.5</v>
      </c>
      <c r="R926" t="b">
        <v>1</v>
      </c>
      <c r="S926">
        <v>342.55034349037498</v>
      </c>
      <c r="Y926" t="str">
        <f t="shared" si="87"/>
        <v>Pass</v>
      </c>
      <c r="Z926">
        <f t="shared" si="88"/>
        <v>142017.015625</v>
      </c>
      <c r="AA926">
        <v>14000</v>
      </c>
      <c r="AB926">
        <v>20</v>
      </c>
      <c r="AC926">
        <v>20</v>
      </c>
      <c r="AD926">
        <v>0.2</v>
      </c>
      <c r="AE926">
        <v>142017.004240763</v>
      </c>
    </row>
    <row r="927" spans="1:31" x14ac:dyDescent="0.3">
      <c r="A927" t="str">
        <f>IF(ISBLANK(B927),"",IF(ROUND(B927,0)=ROUND(G927,0),"Pass","Fail"))</f>
        <v>Pass</v>
      </c>
      <c r="B927">
        <f t="shared" si="84"/>
        <v>10.180273056030273</v>
      </c>
      <c r="C927">
        <v>10</v>
      </c>
      <c r="D927">
        <v>0</v>
      </c>
      <c r="E927">
        <v>100</v>
      </c>
      <c r="F927">
        <v>32</v>
      </c>
      <c r="G927">
        <v>10.1802730059946</v>
      </c>
      <c r="M927" t="str">
        <f t="shared" si="85"/>
        <v>Pass</v>
      </c>
      <c r="N927">
        <f t="shared" si="86"/>
        <v>2282.45166015625</v>
      </c>
      <c r="O927">
        <v>50</v>
      </c>
      <c r="P927">
        <v>10</v>
      </c>
      <c r="Q927">
        <v>0.5</v>
      </c>
      <c r="R927" t="b">
        <v>0</v>
      </c>
      <c r="S927">
        <v>2282.45158428168</v>
      </c>
      <c r="Y927" t="str">
        <f t="shared" si="87"/>
        <v>Pass</v>
      </c>
      <c r="Z927">
        <f t="shared" si="88"/>
        <v>142890.546875</v>
      </c>
      <c r="AA927">
        <v>14000</v>
      </c>
      <c r="AB927">
        <v>20</v>
      </c>
      <c r="AC927">
        <v>22</v>
      </c>
      <c r="AD927">
        <v>0.2</v>
      </c>
      <c r="AE927">
        <v>142890.544827356</v>
      </c>
    </row>
    <row r="928" spans="1:31" x14ac:dyDescent="0.3">
      <c r="A928" t="str">
        <f>IF(ISBLANK(B928),"",IF(ROUND(B928,0)=ROUND(G928,0),"Pass","Fail"))</f>
        <v>Pass</v>
      </c>
      <c r="B928">
        <f t="shared" si="84"/>
        <v>8.0397262573242188</v>
      </c>
      <c r="C928">
        <v>10</v>
      </c>
      <c r="D928">
        <v>0</v>
      </c>
      <c r="E928">
        <v>100</v>
      </c>
      <c r="F928">
        <v>40</v>
      </c>
      <c r="G928">
        <v>8.0397267643270993</v>
      </c>
      <c r="M928" t="str">
        <f t="shared" si="85"/>
        <v>Pass</v>
      </c>
      <c r="N928">
        <f t="shared" si="86"/>
        <v>400.92041015625</v>
      </c>
      <c r="O928">
        <v>50</v>
      </c>
      <c r="P928">
        <v>10</v>
      </c>
      <c r="Q928">
        <v>1</v>
      </c>
      <c r="R928" t="b">
        <v>1</v>
      </c>
      <c r="S928">
        <v>400.92045665779</v>
      </c>
      <c r="Y928" t="str">
        <f t="shared" si="87"/>
        <v>Pass</v>
      </c>
      <c r="Z928">
        <f t="shared" si="88"/>
        <v>143476.109375</v>
      </c>
      <c r="AA928">
        <v>14000</v>
      </c>
      <c r="AB928">
        <v>20</v>
      </c>
      <c r="AC928">
        <v>24</v>
      </c>
      <c r="AD928">
        <v>0.2</v>
      </c>
      <c r="AE928">
        <v>143476.096593575</v>
      </c>
    </row>
    <row r="929" spans="1:31" x14ac:dyDescent="0.3">
      <c r="A929" t="str">
        <f>IF(ISBLANK(B929),"",IF(ROUND(B929,0)=ROUND(G929,0),"Pass","Fail"))</f>
        <v>Pass</v>
      </c>
      <c r="B929">
        <f t="shared" si="84"/>
        <v>6.9622077941894531</v>
      </c>
      <c r="C929">
        <v>10</v>
      </c>
      <c r="D929">
        <v>0</v>
      </c>
      <c r="E929">
        <v>100</v>
      </c>
      <c r="F929">
        <v>48</v>
      </c>
      <c r="G929">
        <v>6.9622079008197204</v>
      </c>
      <c r="M929" t="str">
        <f t="shared" si="85"/>
        <v>Pass</v>
      </c>
      <c r="N929">
        <f t="shared" si="86"/>
        <v>2671.378173828125</v>
      </c>
      <c r="O929">
        <v>50</v>
      </c>
      <c r="P929">
        <v>10</v>
      </c>
      <c r="Q929">
        <v>1</v>
      </c>
      <c r="R929" t="b">
        <v>0</v>
      </c>
      <c r="S929">
        <v>2671.3782334748098</v>
      </c>
      <c r="Y929" t="str">
        <f t="shared" si="87"/>
        <v>Pass</v>
      </c>
      <c r="Z929">
        <f t="shared" si="88"/>
        <v>0</v>
      </c>
      <c r="AA929">
        <v>14200</v>
      </c>
      <c r="AB929">
        <v>20</v>
      </c>
      <c r="AC929">
        <v>0</v>
      </c>
      <c r="AD929">
        <v>0.2</v>
      </c>
      <c r="AE929">
        <v>0</v>
      </c>
    </row>
    <row r="930" spans="1:31" x14ac:dyDescent="0.3">
      <c r="A930" t="str">
        <f>IF(ISBLANK(B930),"",IF(ROUND(B930,0)=ROUND(G930,0),"Pass","Fail"))</f>
        <v>Pass</v>
      </c>
      <c r="B930">
        <f t="shared" si="84"/>
        <v>7.2100000381469727</v>
      </c>
      <c r="C930">
        <v>10</v>
      </c>
      <c r="D930">
        <v>10</v>
      </c>
      <c r="E930">
        <v>0</v>
      </c>
      <c r="F930">
        <v>0</v>
      </c>
      <c r="G930">
        <v>7.21</v>
      </c>
      <c r="M930" t="str">
        <f t="shared" si="85"/>
        <v>Pass</v>
      </c>
      <c r="N930">
        <f t="shared" si="86"/>
        <v>439.57290649414063</v>
      </c>
      <c r="O930">
        <v>50</v>
      </c>
      <c r="P930">
        <v>10</v>
      </c>
      <c r="Q930">
        <v>1.5</v>
      </c>
      <c r="R930" t="b">
        <v>1</v>
      </c>
      <c r="S930">
        <v>439.57292243749299</v>
      </c>
      <c r="Y930" t="str">
        <f t="shared" si="87"/>
        <v>Pass</v>
      </c>
      <c r="Z930">
        <f t="shared" si="88"/>
        <v>48375.03515625</v>
      </c>
      <c r="AA930">
        <v>14200</v>
      </c>
      <c r="AB930">
        <v>20</v>
      </c>
      <c r="AC930">
        <v>2</v>
      </c>
      <c r="AD930">
        <v>0.2</v>
      </c>
      <c r="AE930">
        <v>48375.038578370499</v>
      </c>
    </row>
    <row r="931" spans="1:31" x14ac:dyDescent="0.3">
      <c r="A931" t="str">
        <f>IF(ISBLANK(B931),"",IF(ROUND(B931,0)=ROUND(G931,0),"Pass","Fail"))</f>
        <v>Pass</v>
      </c>
      <c r="B931">
        <f t="shared" si="84"/>
        <v>7.2100000381469727</v>
      </c>
      <c r="C931">
        <v>10</v>
      </c>
      <c r="D931">
        <v>10</v>
      </c>
      <c r="E931">
        <v>0</v>
      </c>
      <c r="F931">
        <v>8</v>
      </c>
      <c r="G931">
        <v>7.21</v>
      </c>
      <c r="M931" t="str">
        <f t="shared" si="85"/>
        <v>Pass</v>
      </c>
      <c r="N931">
        <f t="shared" si="86"/>
        <v>2928.923828125</v>
      </c>
      <c r="O931">
        <v>50</v>
      </c>
      <c r="P931">
        <v>10</v>
      </c>
      <c r="Q931">
        <v>1.5</v>
      </c>
      <c r="R931" t="b">
        <v>0</v>
      </c>
      <c r="S931">
        <v>2928.92397363185</v>
      </c>
      <c r="Y931" t="str">
        <f t="shared" si="87"/>
        <v>Pass</v>
      </c>
      <c r="Z931">
        <f t="shared" si="88"/>
        <v>80801.796875</v>
      </c>
      <c r="AA931">
        <v>14200</v>
      </c>
      <c r="AB931">
        <v>20</v>
      </c>
      <c r="AC931">
        <v>4</v>
      </c>
      <c r="AD931">
        <v>0.2</v>
      </c>
      <c r="AE931">
        <v>80801.796665199596</v>
      </c>
    </row>
    <row r="932" spans="1:31" x14ac:dyDescent="0.3">
      <c r="A932" t="str">
        <f>IF(ISBLANK(B932),"",IF(ROUND(B932,0)=ROUND(G932,0),"Pass","Fail"))</f>
        <v>Pass</v>
      </c>
      <c r="B932">
        <f t="shared" si="84"/>
        <v>7.2100000381469727</v>
      </c>
      <c r="C932">
        <v>10</v>
      </c>
      <c r="D932">
        <v>10</v>
      </c>
      <c r="E932">
        <v>0</v>
      </c>
      <c r="F932">
        <v>16</v>
      </c>
      <c r="G932">
        <v>7.21</v>
      </c>
      <c r="M932" t="str">
        <f t="shared" si="85"/>
        <v>Pass</v>
      </c>
      <c r="N932">
        <f t="shared" si="86"/>
        <v>469.23666381835938</v>
      </c>
      <c r="O932">
        <v>50</v>
      </c>
      <c r="P932">
        <v>10</v>
      </c>
      <c r="Q932">
        <v>2</v>
      </c>
      <c r="R932" t="b">
        <v>1</v>
      </c>
      <c r="S932">
        <v>469.236757811649</v>
      </c>
      <c r="Y932" t="str">
        <f t="shared" si="87"/>
        <v>Pass</v>
      </c>
      <c r="Z932">
        <f t="shared" si="88"/>
        <v>102538.109375</v>
      </c>
      <c r="AA932">
        <v>14200</v>
      </c>
      <c r="AB932">
        <v>20</v>
      </c>
      <c r="AC932">
        <v>6</v>
      </c>
      <c r="AD932">
        <v>0.2</v>
      </c>
      <c r="AE932">
        <v>102538.102638749</v>
      </c>
    </row>
    <row r="933" spans="1:31" x14ac:dyDescent="0.3">
      <c r="A933" t="str">
        <f>IF(ISBLANK(B933),"",IF(ROUND(B933,0)=ROUND(G933,0),"Pass","Fail"))</f>
        <v>Pass</v>
      </c>
      <c r="B933">
        <f t="shared" si="84"/>
        <v>7.2100000381469727</v>
      </c>
      <c r="C933">
        <v>10</v>
      </c>
      <c r="D933">
        <v>10</v>
      </c>
      <c r="E933">
        <v>0</v>
      </c>
      <c r="F933">
        <v>24</v>
      </c>
      <c r="G933">
        <v>7.21</v>
      </c>
      <c r="M933" t="str">
        <f t="shared" si="85"/>
        <v>Pass</v>
      </c>
      <c r="N933">
        <f t="shared" si="86"/>
        <v>3126.5771484375</v>
      </c>
      <c r="O933">
        <v>50</v>
      </c>
      <c r="P933">
        <v>10</v>
      </c>
      <c r="Q933">
        <v>2</v>
      </c>
      <c r="R933" t="b">
        <v>0</v>
      </c>
      <c r="S933">
        <v>3126.5774553237102</v>
      </c>
      <c r="Y933" t="str">
        <f t="shared" si="87"/>
        <v>Pass</v>
      </c>
      <c r="Z933">
        <f t="shared" si="88"/>
        <v>117108.3828125</v>
      </c>
      <c r="AA933">
        <v>14200</v>
      </c>
      <c r="AB933">
        <v>20</v>
      </c>
      <c r="AC933">
        <v>8</v>
      </c>
      <c r="AD933">
        <v>0.2</v>
      </c>
      <c r="AE933">
        <v>117108.384259584</v>
      </c>
    </row>
    <row r="934" spans="1:31" x14ac:dyDescent="0.3">
      <c r="A934" t="str">
        <f>IF(ISBLANK(B934),"",IF(ROUND(B934,0)=ROUND(G934,0),"Pass","Fail"))</f>
        <v>Pass</v>
      </c>
      <c r="B934">
        <f t="shared" si="84"/>
        <v>7.2100000381469727</v>
      </c>
      <c r="C934">
        <v>10</v>
      </c>
      <c r="D934">
        <v>10</v>
      </c>
      <c r="E934">
        <v>0</v>
      </c>
      <c r="F934">
        <v>32</v>
      </c>
      <c r="G934">
        <v>7.21</v>
      </c>
      <c r="M934" t="str">
        <f t="shared" si="85"/>
        <v>Pass</v>
      </c>
      <c r="N934">
        <f t="shared" si="86"/>
        <v>493.61749267578125</v>
      </c>
      <c r="O934">
        <v>50</v>
      </c>
      <c r="P934">
        <v>10</v>
      </c>
      <c r="Q934">
        <v>2.5</v>
      </c>
      <c r="R934" t="b">
        <v>1</v>
      </c>
      <c r="S934">
        <v>493.61755703489399</v>
      </c>
      <c r="Y934" t="str">
        <f t="shared" si="87"/>
        <v>Pass</v>
      </c>
      <c r="Z934">
        <f t="shared" si="88"/>
        <v>126875.140625</v>
      </c>
      <c r="AA934">
        <v>14200</v>
      </c>
      <c r="AB934">
        <v>20</v>
      </c>
      <c r="AC934">
        <v>10</v>
      </c>
      <c r="AD934">
        <v>0.2</v>
      </c>
      <c r="AE934">
        <v>126875.13610641399</v>
      </c>
    </row>
    <row r="935" spans="1:31" x14ac:dyDescent="0.3">
      <c r="A935" t="str">
        <f>IF(ISBLANK(B935),"",IF(ROUND(B935,0)=ROUND(G935,0),"Pass","Fail"))</f>
        <v>Pass</v>
      </c>
      <c r="B935">
        <f t="shared" si="84"/>
        <v>7.2100000381469727</v>
      </c>
      <c r="C935">
        <v>10</v>
      </c>
      <c r="D935">
        <v>10</v>
      </c>
      <c r="E935">
        <v>0</v>
      </c>
      <c r="F935">
        <v>40</v>
      </c>
      <c r="G935">
        <v>7.21</v>
      </c>
      <c r="M935" t="str">
        <f t="shared" si="85"/>
        <v>Pass</v>
      </c>
      <c r="N935">
        <f t="shared" si="86"/>
        <v>3289.029541015625</v>
      </c>
      <c r="O935">
        <v>50</v>
      </c>
      <c r="P935">
        <v>10</v>
      </c>
      <c r="Q935">
        <v>2.5</v>
      </c>
      <c r="R935" t="b">
        <v>0</v>
      </c>
      <c r="S935">
        <v>3289.02947112416</v>
      </c>
      <c r="Y935" t="str">
        <f t="shared" si="87"/>
        <v>Pass</v>
      </c>
      <c r="Z935">
        <f t="shared" si="88"/>
        <v>133421.984375</v>
      </c>
      <c r="AA935">
        <v>14200</v>
      </c>
      <c r="AB935">
        <v>20</v>
      </c>
      <c r="AC935">
        <v>12</v>
      </c>
      <c r="AD935">
        <v>0.2</v>
      </c>
      <c r="AE935">
        <v>133421.98565399999</v>
      </c>
    </row>
    <row r="936" spans="1:31" x14ac:dyDescent="0.3">
      <c r="A936" t="str">
        <f>IF(ISBLANK(B936),"",IF(ROUND(B936,0)=ROUND(G936,0),"Pass","Fail"))</f>
        <v>Pass</v>
      </c>
      <c r="B936">
        <f t="shared" si="84"/>
        <v>7.2100000381469727</v>
      </c>
      <c r="C936">
        <v>10</v>
      </c>
      <c r="D936">
        <v>10</v>
      </c>
      <c r="E936">
        <v>0</v>
      </c>
      <c r="F936">
        <v>48</v>
      </c>
      <c r="G936">
        <v>7.21</v>
      </c>
      <c r="M936" t="str">
        <f t="shared" si="85"/>
        <v>Pass</v>
      </c>
      <c r="N936">
        <f t="shared" si="86"/>
        <v>514.4754638671875</v>
      </c>
      <c r="O936">
        <v>50</v>
      </c>
      <c r="P936">
        <v>10</v>
      </c>
      <c r="Q936">
        <v>3</v>
      </c>
      <c r="R936" t="b">
        <v>1</v>
      </c>
      <c r="S936">
        <v>514.47555124985695</v>
      </c>
      <c r="Y936" t="str">
        <f t="shared" si="87"/>
        <v>Pass</v>
      </c>
      <c r="Z936">
        <f t="shared" si="88"/>
        <v>137810.453125</v>
      </c>
      <c r="AA936">
        <v>14200</v>
      </c>
      <c r="AB936">
        <v>20</v>
      </c>
      <c r="AC936">
        <v>14</v>
      </c>
      <c r="AD936">
        <v>0.2</v>
      </c>
      <c r="AE936">
        <v>137810.47014412601</v>
      </c>
    </row>
    <row r="937" spans="1:31" x14ac:dyDescent="0.3">
      <c r="A937" t="str">
        <f>IF(ISBLANK(B937),"",IF(ROUND(B937,0)=ROUND(G937,0),"Pass","Fail"))</f>
        <v>Pass</v>
      </c>
      <c r="B937">
        <f t="shared" si="84"/>
        <v>74.337997436523438</v>
      </c>
      <c r="C937">
        <v>10</v>
      </c>
      <c r="D937">
        <v>10</v>
      </c>
      <c r="E937">
        <v>10</v>
      </c>
      <c r="F937">
        <v>0</v>
      </c>
      <c r="G937">
        <v>74.337999999998303</v>
      </c>
      <c r="M937" t="str">
        <f t="shared" si="85"/>
        <v>Pass</v>
      </c>
      <c r="N937">
        <f t="shared" si="86"/>
        <v>3428.0087890625</v>
      </c>
      <c r="O937">
        <v>50</v>
      </c>
      <c r="P937">
        <v>10</v>
      </c>
      <c r="Q937">
        <v>3</v>
      </c>
      <c r="R937" t="b">
        <v>0</v>
      </c>
      <c r="S937">
        <v>3428.0086397210698</v>
      </c>
      <c r="Y937" t="str">
        <f t="shared" si="87"/>
        <v>Pass</v>
      </c>
      <c r="Z937">
        <f t="shared" si="88"/>
        <v>140752.15625</v>
      </c>
      <c r="AA937">
        <v>14200</v>
      </c>
      <c r="AB937">
        <v>20</v>
      </c>
      <c r="AC937">
        <v>16</v>
      </c>
      <c r="AD937">
        <v>0.2</v>
      </c>
      <c r="AE937">
        <v>140752.15926957401</v>
      </c>
    </row>
    <row r="938" spans="1:31" x14ac:dyDescent="0.3">
      <c r="A938" t="str">
        <f>IF(ISBLANK(B938),"",IF(ROUND(B938,0)=ROUND(G938,0),"Pass","Fail"))</f>
        <v>Pass</v>
      </c>
      <c r="B938">
        <f t="shared" si="84"/>
        <v>41.001228332519531</v>
      </c>
      <c r="C938">
        <v>10</v>
      </c>
      <c r="D938">
        <v>10</v>
      </c>
      <c r="E938">
        <v>10</v>
      </c>
      <c r="F938">
        <v>8</v>
      </c>
      <c r="G938">
        <v>41.0012280807222</v>
      </c>
      <c r="M938" t="str">
        <f t="shared" si="85"/>
        <v>Pass</v>
      </c>
      <c r="N938">
        <f t="shared" si="86"/>
        <v>532.79681396484375</v>
      </c>
      <c r="O938">
        <v>50</v>
      </c>
      <c r="P938">
        <v>10</v>
      </c>
      <c r="Q938">
        <v>3.5</v>
      </c>
      <c r="R938" t="b">
        <v>1</v>
      </c>
      <c r="S938">
        <v>532.79686704025198</v>
      </c>
      <c r="Y938" t="str">
        <f t="shared" si="87"/>
        <v>Pass</v>
      </c>
      <c r="Z938">
        <f t="shared" si="88"/>
        <v>142724.03125</v>
      </c>
      <c r="AA938">
        <v>14200</v>
      </c>
      <c r="AB938">
        <v>20</v>
      </c>
      <c r="AC938">
        <v>18</v>
      </c>
      <c r="AD938">
        <v>0.2</v>
      </c>
      <c r="AE938">
        <v>142724.03245956701</v>
      </c>
    </row>
    <row r="939" spans="1:31" x14ac:dyDescent="0.3">
      <c r="A939" t="str">
        <f>IF(ISBLANK(B939),"",IF(ROUND(B939,0)=ROUND(G939,0),"Pass","Fail"))</f>
        <v>Pass</v>
      </c>
      <c r="B939">
        <f t="shared" si="84"/>
        <v>24.219997406005859</v>
      </c>
      <c r="C939">
        <v>10</v>
      </c>
      <c r="D939">
        <v>10</v>
      </c>
      <c r="E939">
        <v>10</v>
      </c>
      <c r="F939">
        <v>16</v>
      </c>
      <c r="G939">
        <v>24.219997247101301</v>
      </c>
      <c r="M939" t="str">
        <f t="shared" si="85"/>
        <v>Pass</v>
      </c>
      <c r="N939">
        <f t="shared" si="86"/>
        <v>3550.085693359375</v>
      </c>
      <c r="O939">
        <v>50</v>
      </c>
      <c r="P939">
        <v>10</v>
      </c>
      <c r="Q939">
        <v>3.5</v>
      </c>
      <c r="R939" t="b">
        <v>0</v>
      </c>
      <c r="S939">
        <v>3550.0856337938799</v>
      </c>
      <c r="Y939" t="str">
        <f t="shared" si="87"/>
        <v>Pass</v>
      </c>
      <c r="Z939">
        <f t="shared" si="88"/>
        <v>144045.828125</v>
      </c>
      <c r="AA939">
        <v>14200</v>
      </c>
      <c r="AB939">
        <v>20</v>
      </c>
      <c r="AC939">
        <v>20</v>
      </c>
      <c r="AD939">
        <v>0.2</v>
      </c>
      <c r="AE939">
        <v>144045.81858705901</v>
      </c>
    </row>
    <row r="940" spans="1:31" x14ac:dyDescent="0.3">
      <c r="A940" t="str">
        <f>IF(ISBLANK(B940),"",IF(ROUND(B940,0)=ROUND(G940,0),"Pass","Fail"))</f>
        <v>Pass</v>
      </c>
      <c r="B940">
        <f t="shared" si="84"/>
        <v>15.772577285766602</v>
      </c>
      <c r="C940">
        <v>10</v>
      </c>
      <c r="D940">
        <v>10</v>
      </c>
      <c r="E940">
        <v>10</v>
      </c>
      <c r="F940">
        <v>24</v>
      </c>
      <c r="G940">
        <v>15.772577413736</v>
      </c>
      <c r="M940" t="str">
        <f t="shared" si="85"/>
        <v>Pass</v>
      </c>
      <c r="N940">
        <f t="shared" si="86"/>
        <v>549.1939697265625</v>
      </c>
      <c r="O940">
        <v>50</v>
      </c>
      <c r="P940">
        <v>10</v>
      </c>
      <c r="Q940">
        <v>4</v>
      </c>
      <c r="R940" t="b">
        <v>1</v>
      </c>
      <c r="S940">
        <v>549.19406387269601</v>
      </c>
      <c r="Y940" t="str">
        <f t="shared" si="87"/>
        <v>Pass</v>
      </c>
      <c r="Z940">
        <f t="shared" si="88"/>
        <v>144931.84375</v>
      </c>
      <c r="AA940">
        <v>14200</v>
      </c>
      <c r="AB940">
        <v>20</v>
      </c>
      <c r="AC940">
        <v>22</v>
      </c>
      <c r="AD940">
        <v>0.2</v>
      </c>
      <c r="AE940">
        <v>144931.83832488899</v>
      </c>
    </row>
    <row r="941" spans="1:31" x14ac:dyDescent="0.3">
      <c r="A941" t="str">
        <f>IF(ISBLANK(B941),"",IF(ROUND(B941,0)=ROUND(G941,0),"Pass","Fail"))</f>
        <v>Pass</v>
      </c>
      <c r="B941">
        <f t="shared" si="84"/>
        <v>11.520273208618164</v>
      </c>
      <c r="C941">
        <v>10</v>
      </c>
      <c r="D941">
        <v>10</v>
      </c>
      <c r="E941">
        <v>10</v>
      </c>
      <c r="F941">
        <v>32</v>
      </c>
      <c r="G941">
        <v>11.5202730059945</v>
      </c>
      <c r="M941" t="str">
        <f t="shared" si="85"/>
        <v>Pass</v>
      </c>
      <c r="N941">
        <f t="shared" si="86"/>
        <v>3659.341552734375</v>
      </c>
      <c r="O941">
        <v>50</v>
      </c>
      <c r="P941">
        <v>10</v>
      </c>
      <c r="Q941">
        <v>4</v>
      </c>
      <c r="R941" t="b">
        <v>0</v>
      </c>
      <c r="S941">
        <v>3659.3420061759498</v>
      </c>
      <c r="Y941" t="str">
        <f t="shared" si="87"/>
        <v>Pass</v>
      </c>
      <c r="Z941">
        <f t="shared" si="88"/>
        <v>145525.765625</v>
      </c>
      <c r="AA941">
        <v>14200</v>
      </c>
      <c r="AB941">
        <v>20</v>
      </c>
      <c r="AC941">
        <v>24</v>
      </c>
      <c r="AD941">
        <v>0.2</v>
      </c>
      <c r="AE941">
        <v>145525.75511634001</v>
      </c>
    </row>
    <row r="942" spans="1:31" x14ac:dyDescent="0.3">
      <c r="A942" t="str">
        <f>IF(ISBLANK(B942),"",IF(ROUND(B942,0)=ROUND(G942,0),"Pass","Fail"))</f>
        <v>Pass</v>
      </c>
      <c r="B942">
        <f t="shared" si="84"/>
        <v>9.3797264099121094</v>
      </c>
      <c r="C942">
        <v>10</v>
      </c>
      <c r="D942">
        <v>10</v>
      </c>
      <c r="E942">
        <v>10</v>
      </c>
      <c r="F942">
        <v>40</v>
      </c>
      <c r="G942">
        <v>9.3797267643270494</v>
      </c>
      <c r="M942" t="str">
        <f t="shared" si="85"/>
        <v>Pass</v>
      </c>
      <c r="N942">
        <f t="shared" si="86"/>
        <v>0</v>
      </c>
      <c r="O942">
        <v>50</v>
      </c>
      <c r="P942">
        <v>20</v>
      </c>
      <c r="Q942">
        <v>0</v>
      </c>
      <c r="R942" t="b">
        <v>1</v>
      </c>
      <c r="S942">
        <v>0</v>
      </c>
      <c r="Y942" t="str">
        <f t="shared" si="87"/>
        <v>Pass</v>
      </c>
      <c r="Z942">
        <f t="shared" si="88"/>
        <v>0</v>
      </c>
      <c r="AA942">
        <v>14400</v>
      </c>
      <c r="AB942">
        <v>20</v>
      </c>
      <c r="AC942">
        <v>0</v>
      </c>
      <c r="AD942">
        <v>0.2</v>
      </c>
      <c r="AE942">
        <v>0</v>
      </c>
    </row>
    <row r="943" spans="1:31" x14ac:dyDescent="0.3">
      <c r="A943" t="str">
        <f>IF(ISBLANK(B943),"",IF(ROUND(B943,0)=ROUND(G943,0),"Pass","Fail"))</f>
        <v>Pass</v>
      </c>
      <c r="B943">
        <f t="shared" si="84"/>
        <v>8.3022079467773438</v>
      </c>
      <c r="C943">
        <v>10</v>
      </c>
      <c r="D943">
        <v>10</v>
      </c>
      <c r="E943">
        <v>10</v>
      </c>
      <c r="F943">
        <v>48</v>
      </c>
      <c r="G943">
        <v>8.3022079008196901</v>
      </c>
      <c r="M943" t="str">
        <f t="shared" si="85"/>
        <v>Pass</v>
      </c>
      <c r="N943">
        <f t="shared" si="86"/>
        <v>0</v>
      </c>
      <c r="O943">
        <v>50</v>
      </c>
      <c r="P943">
        <v>20</v>
      </c>
      <c r="Q943">
        <v>0</v>
      </c>
      <c r="R943" t="b">
        <v>0</v>
      </c>
      <c r="S943">
        <v>0</v>
      </c>
      <c r="Y943" t="str">
        <f t="shared" si="87"/>
        <v>Pass</v>
      </c>
      <c r="Z943">
        <f t="shared" si="88"/>
        <v>49056.375</v>
      </c>
      <c r="AA943">
        <v>14400</v>
      </c>
      <c r="AB943">
        <v>20</v>
      </c>
      <c r="AC943">
        <v>2</v>
      </c>
      <c r="AD943">
        <v>0.2</v>
      </c>
      <c r="AE943">
        <v>49056.377149896798</v>
      </c>
    </row>
    <row r="944" spans="1:31" x14ac:dyDescent="0.3">
      <c r="A944" t="str">
        <f>IF(ISBLANK(B944),"",IF(ROUND(B944,0)=ROUND(G944,0),"Pass","Fail"))</f>
        <v>Pass</v>
      </c>
      <c r="B944">
        <f t="shared" si="84"/>
        <v>74.337997436523438</v>
      </c>
      <c r="C944">
        <v>10</v>
      </c>
      <c r="D944">
        <v>10</v>
      </c>
      <c r="E944">
        <v>20</v>
      </c>
      <c r="F944">
        <v>0</v>
      </c>
      <c r="G944">
        <v>74.337999999999994</v>
      </c>
      <c r="M944" t="str">
        <f t="shared" si="85"/>
        <v>Pass</v>
      </c>
      <c r="N944">
        <f t="shared" si="86"/>
        <v>9.0753860473632813</v>
      </c>
      <c r="O944">
        <v>50</v>
      </c>
      <c r="P944">
        <v>20</v>
      </c>
      <c r="Q944">
        <v>0.5</v>
      </c>
      <c r="R944" t="b">
        <v>1</v>
      </c>
      <c r="S944">
        <v>9.07538649276953</v>
      </c>
      <c r="Y944" t="str">
        <f t="shared" si="87"/>
        <v>Pass</v>
      </c>
      <c r="Z944">
        <f t="shared" si="88"/>
        <v>81939.8515625</v>
      </c>
      <c r="AA944">
        <v>14400</v>
      </c>
      <c r="AB944">
        <v>20</v>
      </c>
      <c r="AC944">
        <v>4</v>
      </c>
      <c r="AD944">
        <v>0.2</v>
      </c>
      <c r="AE944">
        <v>81939.850139357397</v>
      </c>
    </row>
    <row r="945" spans="1:31" x14ac:dyDescent="0.3">
      <c r="A945" t="str">
        <f>IF(ISBLANK(B945),"",IF(ROUND(B945,0)=ROUND(G945,0),"Pass","Fail"))</f>
        <v>Pass</v>
      </c>
      <c r="B945">
        <f t="shared" si="84"/>
        <v>41.001228332519531</v>
      </c>
      <c r="C945">
        <v>10</v>
      </c>
      <c r="D945">
        <v>10</v>
      </c>
      <c r="E945">
        <v>20</v>
      </c>
      <c r="F945">
        <v>8</v>
      </c>
      <c r="G945">
        <v>41.001228080723003</v>
      </c>
      <c r="M945" t="str">
        <f t="shared" si="85"/>
        <v>Pass</v>
      </c>
      <c r="N945">
        <f t="shared" si="86"/>
        <v>60.470325469970703</v>
      </c>
      <c r="O945">
        <v>50</v>
      </c>
      <c r="P945">
        <v>20</v>
      </c>
      <c r="Q945">
        <v>0.5</v>
      </c>
      <c r="R945" t="b">
        <v>0</v>
      </c>
      <c r="S945">
        <v>60.470324061935699</v>
      </c>
      <c r="Y945" t="str">
        <f t="shared" si="87"/>
        <v>Pass</v>
      </c>
      <c r="Z945">
        <f t="shared" si="88"/>
        <v>103982.3046875</v>
      </c>
      <c r="AA945">
        <v>14400</v>
      </c>
      <c r="AB945">
        <v>20</v>
      </c>
      <c r="AC945">
        <v>6</v>
      </c>
      <c r="AD945">
        <v>0.2</v>
      </c>
      <c r="AE945">
        <v>103982.301267464</v>
      </c>
    </row>
    <row r="946" spans="1:31" x14ac:dyDescent="0.3">
      <c r="A946" t="str">
        <f>IF(ISBLANK(B946),"",IF(ROUND(B946,0)=ROUND(G946,0),"Pass","Fail"))</f>
        <v>Pass</v>
      </c>
      <c r="B946">
        <f t="shared" si="84"/>
        <v>24.219997406005859</v>
      </c>
      <c r="C946">
        <v>10</v>
      </c>
      <c r="D946">
        <v>10</v>
      </c>
      <c r="E946">
        <v>20</v>
      </c>
      <c r="F946">
        <v>16</v>
      </c>
      <c r="G946">
        <v>24.219997247101698</v>
      </c>
      <c r="M946" t="str">
        <f t="shared" si="85"/>
        <v>Pass</v>
      </c>
      <c r="N946">
        <f t="shared" si="86"/>
        <v>10.621819496154785</v>
      </c>
      <c r="O946">
        <v>50</v>
      </c>
      <c r="P946">
        <v>20</v>
      </c>
      <c r="Q946">
        <v>1</v>
      </c>
      <c r="R946" t="b">
        <v>1</v>
      </c>
      <c r="S946">
        <v>10.621820021994299</v>
      </c>
      <c r="Y946" t="str">
        <f t="shared" si="87"/>
        <v>Pass</v>
      </c>
      <c r="Z946">
        <f t="shared" si="88"/>
        <v>118757.796875</v>
      </c>
      <c r="AA946">
        <v>14400</v>
      </c>
      <c r="AB946">
        <v>20</v>
      </c>
      <c r="AC946">
        <v>8</v>
      </c>
      <c r="AD946">
        <v>0.2</v>
      </c>
      <c r="AE946">
        <v>118757.798122395</v>
      </c>
    </row>
    <row r="947" spans="1:31" x14ac:dyDescent="0.3">
      <c r="A947" t="str">
        <f>IF(ISBLANK(B947),"",IF(ROUND(B947,0)=ROUND(G947,0),"Pass","Fail"))</f>
        <v>Pass</v>
      </c>
      <c r="B947">
        <f t="shared" si="84"/>
        <v>15.772577285766602</v>
      </c>
      <c r="C947">
        <v>10</v>
      </c>
      <c r="D947">
        <v>10</v>
      </c>
      <c r="E947">
        <v>20</v>
      </c>
      <c r="F947">
        <v>24</v>
      </c>
      <c r="G947">
        <v>15.772577413736199</v>
      </c>
      <c r="M947" t="str">
        <f t="shared" si="85"/>
        <v>Pass</v>
      </c>
      <c r="N947">
        <f t="shared" si="86"/>
        <v>70.774391174316406</v>
      </c>
      <c r="O947">
        <v>50</v>
      </c>
      <c r="P947">
        <v>20</v>
      </c>
      <c r="Q947">
        <v>1</v>
      </c>
      <c r="R947" t="b">
        <v>0</v>
      </c>
      <c r="S947">
        <v>70.774385131617805</v>
      </c>
      <c r="Y947" t="str">
        <f t="shared" si="87"/>
        <v>Pass</v>
      </c>
      <c r="Z947">
        <f t="shared" si="88"/>
        <v>128662.1171875</v>
      </c>
      <c r="AA947">
        <v>14400</v>
      </c>
      <c r="AB947">
        <v>20</v>
      </c>
      <c r="AC947">
        <v>10</v>
      </c>
      <c r="AD947">
        <v>0.2</v>
      </c>
      <c r="AE947">
        <v>128662.10985439199</v>
      </c>
    </row>
    <row r="948" spans="1:31" x14ac:dyDescent="0.3">
      <c r="A948" t="str">
        <f>IF(ISBLANK(B948),"",IF(ROUND(B948,0)=ROUND(G948,0),"Pass","Fail"))</f>
        <v>Pass</v>
      </c>
      <c r="B948">
        <f t="shared" si="84"/>
        <v>11.520273208618164</v>
      </c>
      <c r="C948">
        <v>10</v>
      </c>
      <c r="D948">
        <v>10</v>
      </c>
      <c r="E948">
        <v>20</v>
      </c>
      <c r="F948">
        <v>32</v>
      </c>
      <c r="G948">
        <v>11.5202730059946</v>
      </c>
      <c r="M948" t="str">
        <f t="shared" si="85"/>
        <v>Pass</v>
      </c>
      <c r="N948">
        <f t="shared" si="86"/>
        <v>11.64586067199707</v>
      </c>
      <c r="O948">
        <v>50</v>
      </c>
      <c r="P948">
        <v>20</v>
      </c>
      <c r="Q948">
        <v>1.5</v>
      </c>
      <c r="R948" t="b">
        <v>1</v>
      </c>
      <c r="S948">
        <v>11.645862392745</v>
      </c>
      <c r="Y948" t="str">
        <f t="shared" si="87"/>
        <v>Pass</v>
      </c>
      <c r="Z948">
        <f t="shared" si="88"/>
        <v>135301.171875</v>
      </c>
      <c r="AA948">
        <v>14400</v>
      </c>
      <c r="AB948">
        <v>20</v>
      </c>
      <c r="AC948">
        <v>12</v>
      </c>
      <c r="AD948">
        <v>0.2</v>
      </c>
      <c r="AE948">
        <v>135301.16855053499</v>
      </c>
    </row>
    <row r="949" spans="1:31" x14ac:dyDescent="0.3">
      <c r="A949" t="str">
        <f>IF(ISBLANK(B949),"",IF(ROUND(B949,0)=ROUND(G949,0),"Pass","Fail"))</f>
        <v>Pass</v>
      </c>
      <c r="B949">
        <f t="shared" si="84"/>
        <v>9.3797264099121094</v>
      </c>
      <c r="C949">
        <v>10</v>
      </c>
      <c r="D949">
        <v>10</v>
      </c>
      <c r="E949">
        <v>20</v>
      </c>
      <c r="F949">
        <v>40</v>
      </c>
      <c r="G949">
        <v>9.3797267643270992</v>
      </c>
      <c r="M949" t="str">
        <f t="shared" si="85"/>
        <v>Pass</v>
      </c>
      <c r="N949">
        <f t="shared" si="86"/>
        <v>77.597694396972656</v>
      </c>
      <c r="O949">
        <v>50</v>
      </c>
      <c r="P949">
        <v>20</v>
      </c>
      <c r="Q949">
        <v>1.5</v>
      </c>
      <c r="R949" t="b">
        <v>0</v>
      </c>
      <c r="S949">
        <v>77.597694977626404</v>
      </c>
      <c r="Y949" t="str">
        <f t="shared" si="87"/>
        <v>Pass</v>
      </c>
      <c r="Z949">
        <f t="shared" si="88"/>
        <v>139751.453125</v>
      </c>
      <c r="AA949">
        <v>14400</v>
      </c>
      <c r="AB949">
        <v>20</v>
      </c>
      <c r="AC949">
        <v>14</v>
      </c>
      <c r="AD949">
        <v>0.2</v>
      </c>
      <c r="AE949">
        <v>139751.462681367</v>
      </c>
    </row>
    <row r="950" spans="1:31" x14ac:dyDescent="0.3">
      <c r="A950" t="str">
        <f>IF(ISBLANK(B950),"",IF(ROUND(B950,0)=ROUND(G950,0),"Pass","Fail"))</f>
        <v>Pass</v>
      </c>
      <c r="B950">
        <f t="shared" si="84"/>
        <v>8.3022079467773438</v>
      </c>
      <c r="C950">
        <v>10</v>
      </c>
      <c r="D950">
        <v>10</v>
      </c>
      <c r="E950">
        <v>20</v>
      </c>
      <c r="F950">
        <v>48</v>
      </c>
      <c r="G950">
        <v>8.3022079008197203</v>
      </c>
      <c r="M950" t="str">
        <f t="shared" si="85"/>
        <v>Pass</v>
      </c>
      <c r="N950">
        <f t="shared" si="86"/>
        <v>12.4317626953125</v>
      </c>
      <c r="O950">
        <v>50</v>
      </c>
      <c r="P950">
        <v>20</v>
      </c>
      <c r="Q950">
        <v>2</v>
      </c>
      <c r="R950" t="b">
        <v>1</v>
      </c>
      <c r="S950">
        <v>12.4317637237297</v>
      </c>
      <c r="Y950" t="str">
        <f t="shared" si="87"/>
        <v>Pass</v>
      </c>
      <c r="Z950">
        <f t="shared" si="88"/>
        <v>142734.578125</v>
      </c>
      <c r="AA950">
        <v>14400</v>
      </c>
      <c r="AB950">
        <v>20</v>
      </c>
      <c r="AC950">
        <v>16</v>
      </c>
      <c r="AD950">
        <v>0.2</v>
      </c>
      <c r="AE950">
        <v>142734.58404801899</v>
      </c>
    </row>
    <row r="951" spans="1:31" x14ac:dyDescent="0.3">
      <c r="A951" t="str">
        <f>IF(ISBLANK(B951),"",IF(ROUND(B951,0)=ROUND(G951,0),"Pass","Fail"))</f>
        <v>Pass</v>
      </c>
      <c r="B951">
        <f t="shared" si="84"/>
        <v>74.337997436523438</v>
      </c>
      <c r="C951">
        <v>10</v>
      </c>
      <c r="D951">
        <v>10</v>
      </c>
      <c r="E951">
        <v>30</v>
      </c>
      <c r="F951">
        <v>0</v>
      </c>
      <c r="G951">
        <v>74.337999999999994</v>
      </c>
      <c r="M951" t="str">
        <f t="shared" si="85"/>
        <v>Pass</v>
      </c>
      <c r="N951">
        <f t="shared" si="86"/>
        <v>82.834251403808594</v>
      </c>
      <c r="O951">
        <v>50</v>
      </c>
      <c r="P951">
        <v>20</v>
      </c>
      <c r="Q951">
        <v>2</v>
      </c>
      <c r="R951" t="b">
        <v>0</v>
      </c>
      <c r="S951">
        <v>82.834244209244901</v>
      </c>
      <c r="Y951" t="str">
        <f t="shared" si="87"/>
        <v>Pass</v>
      </c>
      <c r="Z951">
        <f t="shared" si="88"/>
        <v>144734.234375</v>
      </c>
      <c r="AA951">
        <v>14400</v>
      </c>
      <c r="AB951">
        <v>20</v>
      </c>
      <c r="AC951">
        <v>18</v>
      </c>
      <c r="AD951">
        <v>0.2</v>
      </c>
      <c r="AE951">
        <v>144734.23009984201</v>
      </c>
    </row>
    <row r="952" spans="1:31" x14ac:dyDescent="0.3">
      <c r="A952" t="str">
        <f>IF(ISBLANK(B952),"",IF(ROUND(B952,0)=ROUND(G952,0),"Pass","Fail"))</f>
        <v>Pass</v>
      </c>
      <c r="B952">
        <f t="shared" si="84"/>
        <v>41.001228332519531</v>
      </c>
      <c r="C952">
        <v>10</v>
      </c>
      <c r="D952">
        <v>10</v>
      </c>
      <c r="E952">
        <v>30</v>
      </c>
      <c r="F952">
        <v>8</v>
      </c>
      <c r="G952">
        <v>41.001228080723003</v>
      </c>
      <c r="M952" t="str">
        <f t="shared" si="85"/>
        <v>Pass</v>
      </c>
      <c r="N952">
        <f t="shared" si="86"/>
        <v>13.07769775390625</v>
      </c>
      <c r="O952">
        <v>50</v>
      </c>
      <c r="P952">
        <v>20</v>
      </c>
      <c r="Q952">
        <v>2.5</v>
      </c>
      <c r="R952" t="b">
        <v>1</v>
      </c>
      <c r="S952">
        <v>13.077698489694299</v>
      </c>
      <c r="Y952" t="str">
        <f t="shared" si="87"/>
        <v>Pass</v>
      </c>
      <c r="Z952">
        <f t="shared" si="88"/>
        <v>146074.640625</v>
      </c>
      <c r="AA952">
        <v>14400</v>
      </c>
      <c r="AB952">
        <v>20</v>
      </c>
      <c r="AC952">
        <v>20</v>
      </c>
      <c r="AD952">
        <v>0.2</v>
      </c>
      <c r="AE952">
        <v>146074.63293335601</v>
      </c>
    </row>
    <row r="953" spans="1:31" x14ac:dyDescent="0.3">
      <c r="A953" t="str">
        <f>IF(ISBLANK(B953),"",IF(ROUND(B953,0)=ROUND(G953,0),"Pass","Fail"))</f>
        <v>Pass</v>
      </c>
      <c r="B953">
        <f t="shared" si="84"/>
        <v>24.219997406005859</v>
      </c>
      <c r="C953">
        <v>10</v>
      </c>
      <c r="D953">
        <v>10</v>
      </c>
      <c r="E953">
        <v>30</v>
      </c>
      <c r="F953">
        <v>16</v>
      </c>
      <c r="G953">
        <v>24.219997247101698</v>
      </c>
      <c r="M953" t="str">
        <f t="shared" si="85"/>
        <v>Pass</v>
      </c>
      <c r="N953">
        <f t="shared" si="86"/>
        <v>87.138175964355469</v>
      </c>
      <c r="O953">
        <v>50</v>
      </c>
      <c r="P953">
        <v>20</v>
      </c>
      <c r="Q953">
        <v>2.5</v>
      </c>
      <c r="R953" t="b">
        <v>0</v>
      </c>
      <c r="S953">
        <v>87.138180427484301</v>
      </c>
      <c r="Y953" t="str">
        <f t="shared" si="87"/>
        <v>Pass</v>
      </c>
      <c r="Z953">
        <f t="shared" si="88"/>
        <v>146973.140625</v>
      </c>
      <c r="AA953">
        <v>14400</v>
      </c>
      <c r="AB953">
        <v>20</v>
      </c>
      <c r="AC953">
        <v>22</v>
      </c>
      <c r="AD953">
        <v>0.2</v>
      </c>
      <c r="AE953">
        <v>146973.13182242299</v>
      </c>
    </row>
    <row r="954" spans="1:31" x14ac:dyDescent="0.3">
      <c r="A954" t="str">
        <f>IF(ISBLANK(B954),"",IF(ROUND(B954,0)=ROUND(G954,0),"Pass","Fail"))</f>
        <v>Pass</v>
      </c>
      <c r="B954">
        <f t="shared" si="84"/>
        <v>15.772577285766602</v>
      </c>
      <c r="C954">
        <v>10</v>
      </c>
      <c r="D954">
        <v>10</v>
      </c>
      <c r="E954">
        <v>30</v>
      </c>
      <c r="F954">
        <v>24</v>
      </c>
      <c r="G954">
        <v>15.772577413736199</v>
      </c>
      <c r="M954" t="str">
        <f t="shared" si="85"/>
        <v>Pass</v>
      </c>
      <c r="N954">
        <f t="shared" si="86"/>
        <v>13.630300521850586</v>
      </c>
      <c r="O954">
        <v>50</v>
      </c>
      <c r="P954">
        <v>20</v>
      </c>
      <c r="Q954">
        <v>3</v>
      </c>
      <c r="R954" t="b">
        <v>1</v>
      </c>
      <c r="S954">
        <v>13.630301523268701</v>
      </c>
      <c r="Y954" t="str">
        <f t="shared" si="87"/>
        <v>Pass</v>
      </c>
      <c r="Z954">
        <f t="shared" si="88"/>
        <v>147575.421875</v>
      </c>
      <c r="AA954">
        <v>14400</v>
      </c>
      <c r="AB954">
        <v>20</v>
      </c>
      <c r="AC954">
        <v>24</v>
      </c>
      <c r="AD954">
        <v>0.2</v>
      </c>
      <c r="AE954">
        <v>147575.41363910501</v>
      </c>
    </row>
    <row r="955" spans="1:31" x14ac:dyDescent="0.3">
      <c r="A955" t="str">
        <f>IF(ISBLANK(B955),"",IF(ROUND(B955,0)=ROUND(G955,0),"Pass","Fail"))</f>
        <v>Pass</v>
      </c>
      <c r="B955">
        <f t="shared" si="84"/>
        <v>11.520273208618164</v>
      </c>
      <c r="C955">
        <v>10</v>
      </c>
      <c r="D955">
        <v>10</v>
      </c>
      <c r="E955">
        <v>30</v>
      </c>
      <c r="F955">
        <v>32</v>
      </c>
      <c r="G955">
        <v>11.5202730059946</v>
      </c>
      <c r="M955" t="str">
        <f t="shared" si="85"/>
        <v>Pass</v>
      </c>
      <c r="N955">
        <f t="shared" si="86"/>
        <v>90.820236206054688</v>
      </c>
      <c r="O955">
        <v>50</v>
      </c>
      <c r="P955">
        <v>20</v>
      </c>
      <c r="Q955">
        <v>3</v>
      </c>
      <c r="R955" t="b">
        <v>0</v>
      </c>
      <c r="S955">
        <v>90.820236783373602</v>
      </c>
      <c r="Y955" t="str">
        <f t="shared" si="87"/>
        <v>Pass</v>
      </c>
      <c r="Z955">
        <f t="shared" si="88"/>
        <v>0</v>
      </c>
      <c r="AA955">
        <v>14600</v>
      </c>
      <c r="AB955">
        <v>20</v>
      </c>
      <c r="AC955">
        <v>0</v>
      </c>
      <c r="AD955">
        <v>0.2</v>
      </c>
      <c r="AE955">
        <v>0</v>
      </c>
    </row>
    <row r="956" spans="1:31" x14ac:dyDescent="0.3">
      <c r="A956" t="str">
        <f>IF(ISBLANK(B956),"",IF(ROUND(B956,0)=ROUND(G956,0),"Pass","Fail"))</f>
        <v>Pass</v>
      </c>
      <c r="B956">
        <f t="shared" si="84"/>
        <v>9.3797264099121094</v>
      </c>
      <c r="C956">
        <v>10</v>
      </c>
      <c r="D956">
        <v>10</v>
      </c>
      <c r="E956">
        <v>30</v>
      </c>
      <c r="F956">
        <v>40</v>
      </c>
      <c r="G956">
        <v>9.3797267643270992</v>
      </c>
      <c r="M956" t="str">
        <f t="shared" si="85"/>
        <v>Pass</v>
      </c>
      <c r="N956">
        <f t="shared" si="86"/>
        <v>14.115697860717773</v>
      </c>
      <c r="O956">
        <v>50</v>
      </c>
      <c r="P956">
        <v>20</v>
      </c>
      <c r="Q956">
        <v>3.5</v>
      </c>
      <c r="R956" t="b">
        <v>1</v>
      </c>
      <c r="S956">
        <v>14.115698852489601</v>
      </c>
      <c r="Y956" t="str">
        <f t="shared" si="87"/>
        <v>Pass</v>
      </c>
      <c r="Z956">
        <f t="shared" si="88"/>
        <v>49737.71484375</v>
      </c>
      <c r="AA956">
        <v>14600</v>
      </c>
      <c r="AB956">
        <v>20</v>
      </c>
      <c r="AC956">
        <v>2</v>
      </c>
      <c r="AD956">
        <v>0.2</v>
      </c>
      <c r="AE956">
        <v>49737.715721423199</v>
      </c>
    </row>
    <row r="957" spans="1:31" x14ac:dyDescent="0.3">
      <c r="A957" t="str">
        <f>IF(ISBLANK(B957),"",IF(ROUND(B957,0)=ROUND(G957,0),"Pass","Fail"))</f>
        <v>Pass</v>
      </c>
      <c r="B957">
        <f t="shared" si="84"/>
        <v>8.3022079467773438</v>
      </c>
      <c r="C957">
        <v>10</v>
      </c>
      <c r="D957">
        <v>10</v>
      </c>
      <c r="E957">
        <v>30</v>
      </c>
      <c r="F957">
        <v>48</v>
      </c>
      <c r="G957">
        <v>8.3022079008197203</v>
      </c>
      <c r="M957" t="str">
        <f t="shared" si="85"/>
        <v>Pass</v>
      </c>
      <c r="N957">
        <f t="shared" si="86"/>
        <v>94.054496765136719</v>
      </c>
      <c r="O957">
        <v>50</v>
      </c>
      <c r="P957">
        <v>20</v>
      </c>
      <c r="Q957">
        <v>3.5</v>
      </c>
      <c r="R957" t="b">
        <v>0</v>
      </c>
      <c r="S957">
        <v>94.054493949188895</v>
      </c>
      <c r="Y957" t="str">
        <f t="shared" si="87"/>
        <v>Pass</v>
      </c>
      <c r="Z957">
        <f t="shared" si="88"/>
        <v>83077.90625</v>
      </c>
      <c r="AA957">
        <v>14600</v>
      </c>
      <c r="AB957">
        <v>20</v>
      </c>
      <c r="AC957">
        <v>4</v>
      </c>
      <c r="AD957">
        <v>0.2</v>
      </c>
      <c r="AE957">
        <v>83077.903613515096</v>
      </c>
    </row>
    <row r="958" spans="1:31" x14ac:dyDescent="0.3">
      <c r="A958" t="str">
        <f>IF(ISBLANK(B958),"",IF(ROUND(B958,0)=ROUND(G958,0),"Pass","Fail"))</f>
        <v>Pass</v>
      </c>
      <c r="B958">
        <f t="shared" si="84"/>
        <v>74.337997436523438</v>
      </c>
      <c r="C958">
        <v>10</v>
      </c>
      <c r="D958">
        <v>10</v>
      </c>
      <c r="E958">
        <v>40</v>
      </c>
      <c r="F958">
        <v>0</v>
      </c>
      <c r="G958">
        <v>74.337999999999994</v>
      </c>
      <c r="M958" t="str">
        <f t="shared" si="85"/>
        <v>Pass</v>
      </c>
      <c r="N958">
        <f t="shared" si="86"/>
        <v>14.550118446350098</v>
      </c>
      <c r="O958">
        <v>50</v>
      </c>
      <c r="P958">
        <v>20</v>
      </c>
      <c r="Q958">
        <v>4</v>
      </c>
      <c r="R958" t="b">
        <v>1</v>
      </c>
      <c r="S958">
        <v>14.5501193733863</v>
      </c>
      <c r="Y958" t="str">
        <f t="shared" si="87"/>
        <v>Fail</v>
      </c>
      <c r="Z958">
        <f t="shared" si="88"/>
        <v>105426.5</v>
      </c>
      <c r="AA958">
        <v>14600</v>
      </c>
      <c r="AB958">
        <v>20</v>
      </c>
      <c r="AC958">
        <v>6</v>
      </c>
      <c r="AD958">
        <v>0.2</v>
      </c>
      <c r="AE958">
        <v>105426.499896179</v>
      </c>
    </row>
    <row r="959" spans="1:31" x14ac:dyDescent="0.3">
      <c r="A959" t="str">
        <f>IF(ISBLANK(B959),"",IF(ROUND(B959,0)=ROUND(G959,0),"Pass","Fail"))</f>
        <v>Pass</v>
      </c>
      <c r="B959">
        <f t="shared" si="84"/>
        <v>41.001228332519531</v>
      </c>
      <c r="C959">
        <v>10</v>
      </c>
      <c r="D959">
        <v>10</v>
      </c>
      <c r="E959">
        <v>40</v>
      </c>
      <c r="F959">
        <v>8</v>
      </c>
      <c r="G959">
        <v>41.001228080723003</v>
      </c>
      <c r="M959" t="str">
        <f t="shared" si="85"/>
        <v>Pass</v>
      </c>
      <c r="N959">
        <f t="shared" si="86"/>
        <v>96.949089050292969</v>
      </c>
      <c r="O959">
        <v>50</v>
      </c>
      <c r="P959">
        <v>20</v>
      </c>
      <c r="Q959">
        <v>4</v>
      </c>
      <c r="R959" t="b">
        <v>0</v>
      </c>
      <c r="S959">
        <v>96.949086890074696</v>
      </c>
      <c r="Y959" t="str">
        <f t="shared" si="87"/>
        <v>Pass</v>
      </c>
      <c r="Z959">
        <f t="shared" si="88"/>
        <v>120407.2109375</v>
      </c>
      <c r="AA959">
        <v>14600</v>
      </c>
      <c r="AB959">
        <v>20</v>
      </c>
      <c r="AC959">
        <v>8</v>
      </c>
      <c r="AD959">
        <v>0.2</v>
      </c>
      <c r="AE959">
        <v>120407.211985206</v>
      </c>
    </row>
    <row r="960" spans="1:31" x14ac:dyDescent="0.3">
      <c r="A960" t="str">
        <f>IF(ISBLANK(B960),"",IF(ROUND(B960,0)=ROUND(G960,0),"Pass","Fail"))</f>
        <v>Pass</v>
      </c>
      <c r="B960">
        <f t="shared" si="84"/>
        <v>24.219997406005859</v>
      </c>
      <c r="C960">
        <v>10</v>
      </c>
      <c r="D960">
        <v>10</v>
      </c>
      <c r="E960">
        <v>40</v>
      </c>
      <c r="F960">
        <v>16</v>
      </c>
      <c r="G960">
        <v>24.219997247101698</v>
      </c>
      <c r="M960" t="str">
        <f t="shared" si="85"/>
        <v>Pass</v>
      </c>
      <c r="N960">
        <f t="shared" si="86"/>
        <v>0</v>
      </c>
      <c r="O960">
        <v>50</v>
      </c>
      <c r="P960">
        <v>30</v>
      </c>
      <c r="Q960">
        <v>0</v>
      </c>
      <c r="R960" t="b">
        <v>1</v>
      </c>
      <c r="S960">
        <v>0</v>
      </c>
      <c r="Y960" t="str">
        <f t="shared" si="87"/>
        <v>Pass</v>
      </c>
      <c r="Z960">
        <f t="shared" si="88"/>
        <v>130449.09375</v>
      </c>
      <c r="AA960">
        <v>14600</v>
      </c>
      <c r="AB960">
        <v>20</v>
      </c>
      <c r="AC960">
        <v>10</v>
      </c>
      <c r="AD960">
        <v>0.2</v>
      </c>
      <c r="AE960">
        <v>130449.08360236901</v>
      </c>
    </row>
    <row r="961" spans="1:31" x14ac:dyDescent="0.3">
      <c r="A961" t="str">
        <f>IF(ISBLANK(B961),"",IF(ROUND(B961,0)=ROUND(G961,0),"Pass","Fail"))</f>
        <v>Pass</v>
      </c>
      <c r="B961">
        <f t="shared" si="84"/>
        <v>15.772577285766602</v>
      </c>
      <c r="C961">
        <v>10</v>
      </c>
      <c r="D961">
        <v>10</v>
      </c>
      <c r="E961">
        <v>40</v>
      </c>
      <c r="F961">
        <v>24</v>
      </c>
      <c r="G961">
        <v>15.772577413736199</v>
      </c>
      <c r="M961" t="str">
        <f t="shared" si="85"/>
        <v>Pass</v>
      </c>
      <c r="N961">
        <f t="shared" si="86"/>
        <v>0</v>
      </c>
      <c r="O961">
        <v>50</v>
      </c>
      <c r="P961">
        <v>30</v>
      </c>
      <c r="Q961">
        <v>0</v>
      </c>
      <c r="R961" t="b">
        <v>0</v>
      </c>
      <c r="S961">
        <v>0</v>
      </c>
      <c r="Y961" t="str">
        <f t="shared" si="87"/>
        <v>Pass</v>
      </c>
      <c r="Z961">
        <f t="shared" si="88"/>
        <v>137180.359375</v>
      </c>
      <c r="AA961">
        <v>14600</v>
      </c>
      <c r="AB961">
        <v>20</v>
      </c>
      <c r="AC961">
        <v>12</v>
      </c>
      <c r="AD961">
        <v>0.2</v>
      </c>
      <c r="AE961">
        <v>137180.35144706999</v>
      </c>
    </row>
    <row r="962" spans="1:31" x14ac:dyDescent="0.3">
      <c r="A962" t="str">
        <f>IF(ISBLANK(B962),"",IF(ROUND(B962,0)=ROUND(G962,0),"Pass","Fail"))</f>
        <v>Pass</v>
      </c>
      <c r="B962">
        <f t="shared" si="84"/>
        <v>11.520273208618164</v>
      </c>
      <c r="C962">
        <v>10</v>
      </c>
      <c r="D962">
        <v>10</v>
      </c>
      <c r="E962">
        <v>40</v>
      </c>
      <c r="F962">
        <v>32</v>
      </c>
      <c r="G962">
        <v>11.5202730059946</v>
      </c>
      <c r="M962" t="str">
        <f t="shared" si="85"/>
        <v>Pass</v>
      </c>
      <c r="N962">
        <f t="shared" si="86"/>
        <v>3.967796266078949E-2</v>
      </c>
      <c r="O962">
        <v>50</v>
      </c>
      <c r="P962">
        <v>30</v>
      </c>
      <c r="Q962">
        <v>0.5</v>
      </c>
      <c r="R962" t="b">
        <v>1</v>
      </c>
      <c r="S962">
        <v>3.9677965138811097E-2</v>
      </c>
      <c r="Y962" t="str">
        <f t="shared" si="87"/>
        <v>Pass</v>
      </c>
      <c r="Z962">
        <f t="shared" si="88"/>
        <v>141692.453125</v>
      </c>
      <c r="AA962">
        <v>14600</v>
      </c>
      <c r="AB962">
        <v>20</v>
      </c>
      <c r="AC962">
        <v>14</v>
      </c>
      <c r="AD962">
        <v>0.2</v>
      </c>
      <c r="AE962">
        <v>141692.455218608</v>
      </c>
    </row>
    <row r="963" spans="1:31" x14ac:dyDescent="0.3">
      <c r="A963" t="str">
        <f>IF(ISBLANK(B963),"",IF(ROUND(B963,0)=ROUND(G963,0),"Pass","Fail"))</f>
        <v>Pass</v>
      </c>
      <c r="B963">
        <f t="shared" si="84"/>
        <v>9.3797264099121094</v>
      </c>
      <c r="C963">
        <v>10</v>
      </c>
      <c r="D963">
        <v>10</v>
      </c>
      <c r="E963">
        <v>40</v>
      </c>
      <c r="F963">
        <v>40</v>
      </c>
      <c r="G963">
        <v>9.3797267643270992</v>
      </c>
      <c r="M963" t="str">
        <f t="shared" si="85"/>
        <v>Pass</v>
      </c>
      <c r="N963">
        <f t="shared" si="86"/>
        <v>0.26437878608703613</v>
      </c>
      <c r="O963">
        <v>50</v>
      </c>
      <c r="P963">
        <v>30</v>
      </c>
      <c r="Q963">
        <v>0.5</v>
      </c>
      <c r="R963" t="b">
        <v>0</v>
      </c>
      <c r="S963">
        <v>0.26437875808084599</v>
      </c>
      <c r="Y963" t="str">
        <f t="shared" si="87"/>
        <v>Pass</v>
      </c>
      <c r="Z963">
        <f t="shared" si="88"/>
        <v>144717</v>
      </c>
      <c r="AA963">
        <v>14600</v>
      </c>
      <c r="AB963">
        <v>20</v>
      </c>
      <c r="AC963">
        <v>16</v>
      </c>
      <c r="AD963">
        <v>0.2</v>
      </c>
      <c r="AE963">
        <v>144717.00882646299</v>
      </c>
    </row>
    <row r="964" spans="1:31" x14ac:dyDescent="0.3">
      <c r="A964" t="str">
        <f>IF(ISBLANK(B964),"",IF(ROUND(B964,0)=ROUND(G964,0),"Pass","Fail"))</f>
        <v>Pass</v>
      </c>
      <c r="B964">
        <f t="shared" si="84"/>
        <v>8.3022079467773438</v>
      </c>
      <c r="C964">
        <v>10</v>
      </c>
      <c r="D964">
        <v>10</v>
      </c>
      <c r="E964">
        <v>40</v>
      </c>
      <c r="F964">
        <v>48</v>
      </c>
      <c r="G964">
        <v>8.3022079008197203</v>
      </c>
      <c r="M964" t="str">
        <f t="shared" si="85"/>
        <v>Pass</v>
      </c>
      <c r="N964">
        <f t="shared" si="86"/>
        <v>4.6439033001661301E-2</v>
      </c>
      <c r="O964">
        <v>50</v>
      </c>
      <c r="P964">
        <v>30</v>
      </c>
      <c r="Q964">
        <v>1</v>
      </c>
      <c r="R964" t="b">
        <v>1</v>
      </c>
      <c r="S964">
        <v>4.6439036494940703E-2</v>
      </c>
      <c r="Y964" t="str">
        <f t="shared" si="87"/>
        <v>Pass</v>
      </c>
      <c r="Z964">
        <f t="shared" si="88"/>
        <v>146744.4375</v>
      </c>
      <c r="AA964">
        <v>14600</v>
      </c>
      <c r="AB964">
        <v>20</v>
      </c>
      <c r="AC964">
        <v>18</v>
      </c>
      <c r="AD964">
        <v>0.2</v>
      </c>
      <c r="AE964">
        <v>146744.427740118</v>
      </c>
    </row>
    <row r="965" spans="1:31" x14ac:dyDescent="0.3">
      <c r="A965" t="str">
        <f>IF(ISBLANK(B965),"",IF(ROUND(B965,0)=ROUND(G965,0),"Pass","Fail"))</f>
        <v>Pass</v>
      </c>
      <c r="B965">
        <f t="shared" si="84"/>
        <v>74.337997436523438</v>
      </c>
      <c r="C965">
        <v>10</v>
      </c>
      <c r="D965">
        <v>10</v>
      </c>
      <c r="E965">
        <v>50</v>
      </c>
      <c r="F965">
        <v>0</v>
      </c>
      <c r="G965">
        <v>74.337999999999994</v>
      </c>
      <c r="M965" t="str">
        <f t="shared" si="85"/>
        <v>Pass</v>
      </c>
      <c r="N965">
        <f t="shared" si="86"/>
        <v>0.30942854285240173</v>
      </c>
      <c r="O965">
        <v>50</v>
      </c>
      <c r="P965">
        <v>30</v>
      </c>
      <c r="Q965">
        <v>1</v>
      </c>
      <c r="R965" t="b">
        <v>0</v>
      </c>
      <c r="S965">
        <v>0.30942853929256198</v>
      </c>
      <c r="Y965" t="str">
        <f t="shared" si="87"/>
        <v>Pass</v>
      </c>
      <c r="Z965">
        <f t="shared" si="88"/>
        <v>148103.453125</v>
      </c>
      <c r="AA965">
        <v>14600</v>
      </c>
      <c r="AB965">
        <v>20</v>
      </c>
      <c r="AC965">
        <v>20</v>
      </c>
      <c r="AD965">
        <v>0.2</v>
      </c>
      <c r="AE965">
        <v>148103.447279652</v>
      </c>
    </row>
    <row r="966" spans="1:31" x14ac:dyDescent="0.3">
      <c r="A966" t="str">
        <f>IF(ISBLANK(B966),"",IF(ROUND(B966,0)=ROUND(G966,0),"Pass","Fail"))</f>
        <v>Pass</v>
      </c>
      <c r="B966">
        <f t="shared" si="84"/>
        <v>41.001228332519531</v>
      </c>
      <c r="C966">
        <v>10</v>
      </c>
      <c r="D966">
        <v>10</v>
      </c>
      <c r="E966">
        <v>50</v>
      </c>
      <c r="F966">
        <v>8</v>
      </c>
      <c r="G966">
        <v>41.001228080723003</v>
      </c>
      <c r="M966" t="str">
        <f t="shared" si="85"/>
        <v>Pass</v>
      </c>
      <c r="N966">
        <f t="shared" si="86"/>
        <v>5.0916187465190887E-2</v>
      </c>
      <c r="O966">
        <v>50</v>
      </c>
      <c r="P966">
        <v>30</v>
      </c>
      <c r="Q966">
        <v>1.5</v>
      </c>
      <c r="R966" t="b">
        <v>1</v>
      </c>
      <c r="S966">
        <v>5.0916192098141001E-2</v>
      </c>
      <c r="Y966" t="str">
        <f t="shared" si="87"/>
        <v>Pass</v>
      </c>
      <c r="Z966">
        <f t="shared" si="88"/>
        <v>149014.4375</v>
      </c>
      <c r="AA966">
        <v>14600</v>
      </c>
      <c r="AB966">
        <v>20</v>
      </c>
      <c r="AC966">
        <v>22</v>
      </c>
      <c r="AD966">
        <v>0.2</v>
      </c>
      <c r="AE966">
        <v>149014.42531995699</v>
      </c>
    </row>
    <row r="967" spans="1:31" x14ac:dyDescent="0.3">
      <c r="A967" t="str">
        <f>IF(ISBLANK(B967),"",IF(ROUND(B967,0)=ROUND(G967,0),"Pass","Fail"))</f>
        <v>Pass</v>
      </c>
      <c r="B967">
        <f t="shared" ref="B967:B1030" si="89">FMC_heath(C967,D967,E967,F967)</f>
        <v>24.219997406005859</v>
      </c>
      <c r="C967">
        <v>10</v>
      </c>
      <c r="D967">
        <v>10</v>
      </c>
      <c r="E967">
        <v>50</v>
      </c>
      <c r="F967">
        <v>16</v>
      </c>
      <c r="G967">
        <v>24.219997247101698</v>
      </c>
      <c r="M967" t="str">
        <f t="shared" ref="M967:M1030" si="90">IF(ISBLANK(N967),"",IF(ROUND(N967,0)=ROUND(S967,0),"Pass","Fail"))</f>
        <v>Pass</v>
      </c>
      <c r="N967">
        <f t="shared" ref="N967:N1030" si="91">ROS_heath(O967,Q967,P967,R967)</f>
        <v>0.33926033973693848</v>
      </c>
      <c r="O967">
        <v>50</v>
      </c>
      <c r="P967">
        <v>30</v>
      </c>
      <c r="Q967">
        <v>1.5</v>
      </c>
      <c r="R967" t="b">
        <v>0</v>
      </c>
      <c r="S967">
        <v>0.33926033217729901</v>
      </c>
      <c r="Y967" t="str">
        <f t="shared" ref="Y967:Y1030" si="92">IF(ISBLANK(Z967),"",IF(ROUND(Z967,0)=ROUND(AE967,0),"Pass","Fail"))</f>
        <v>Pass</v>
      </c>
      <c r="Z967">
        <f t="shared" ref="Z967:Z1030" si="93">intensity_heath(AA967,AB967,AC967,AD967)</f>
        <v>149625.078125</v>
      </c>
      <c r="AA967">
        <v>14600</v>
      </c>
      <c r="AB967">
        <v>20</v>
      </c>
      <c r="AC967">
        <v>24</v>
      </c>
      <c r="AD967">
        <v>0.2</v>
      </c>
      <c r="AE967">
        <v>149625.07216187101</v>
      </c>
    </row>
    <row r="968" spans="1:31" x14ac:dyDescent="0.3">
      <c r="A968" t="str">
        <f>IF(ISBLANK(B968),"",IF(ROUND(B968,0)=ROUND(G968,0),"Pass","Fail"))</f>
        <v>Pass</v>
      </c>
      <c r="B968">
        <f t="shared" si="89"/>
        <v>15.772577285766602</v>
      </c>
      <c r="C968">
        <v>10</v>
      </c>
      <c r="D968">
        <v>10</v>
      </c>
      <c r="E968">
        <v>50</v>
      </c>
      <c r="F968">
        <v>24</v>
      </c>
      <c r="G968">
        <v>15.772577413736199</v>
      </c>
      <c r="M968" t="str">
        <f t="shared" si="90"/>
        <v>Pass</v>
      </c>
      <c r="N968">
        <f t="shared" si="91"/>
        <v>5.4352182894945145E-2</v>
      </c>
      <c r="O968">
        <v>50</v>
      </c>
      <c r="P968">
        <v>30</v>
      </c>
      <c r="Q968">
        <v>2</v>
      </c>
      <c r="R968" t="b">
        <v>1</v>
      </c>
      <c r="S968">
        <v>5.4352185225067497E-2</v>
      </c>
      <c r="Y968" t="str">
        <f t="shared" si="92"/>
        <v>Pass</v>
      </c>
      <c r="Z968">
        <f t="shared" si="93"/>
        <v>0</v>
      </c>
      <c r="AA968">
        <v>14800</v>
      </c>
      <c r="AB968">
        <v>20</v>
      </c>
      <c r="AC968">
        <v>0</v>
      </c>
      <c r="AD968">
        <v>0.2</v>
      </c>
      <c r="AE968">
        <v>0</v>
      </c>
    </row>
    <row r="969" spans="1:31" x14ac:dyDescent="0.3">
      <c r="A969" t="str">
        <f>IF(ISBLANK(B969),"",IF(ROUND(B969,0)=ROUND(G969,0),"Pass","Fail"))</f>
        <v>Pass</v>
      </c>
      <c r="B969">
        <f t="shared" si="89"/>
        <v>11.520273208618164</v>
      </c>
      <c r="C969">
        <v>10</v>
      </c>
      <c r="D969">
        <v>10</v>
      </c>
      <c r="E969">
        <v>50</v>
      </c>
      <c r="F969">
        <v>32</v>
      </c>
      <c r="G969">
        <v>11.5202730059946</v>
      </c>
      <c r="M969" t="str">
        <f t="shared" si="90"/>
        <v>Pass</v>
      </c>
      <c r="N969">
        <f t="shared" si="91"/>
        <v>0.3621547520160675</v>
      </c>
      <c r="O969">
        <v>50</v>
      </c>
      <c r="P969">
        <v>30</v>
      </c>
      <c r="Q969">
        <v>2</v>
      </c>
      <c r="R969" t="b">
        <v>0</v>
      </c>
      <c r="S969">
        <v>0.36215474202148101</v>
      </c>
      <c r="Y969" t="str">
        <f t="shared" si="92"/>
        <v>Pass</v>
      </c>
      <c r="Z969">
        <f t="shared" si="93"/>
        <v>50419.05078125</v>
      </c>
      <c r="AA969">
        <v>14800</v>
      </c>
      <c r="AB969">
        <v>20</v>
      </c>
      <c r="AC969">
        <v>2</v>
      </c>
      <c r="AD969">
        <v>0.2</v>
      </c>
      <c r="AE969">
        <v>50419.054292949499</v>
      </c>
    </row>
    <row r="970" spans="1:31" x14ac:dyDescent="0.3">
      <c r="A970" t="str">
        <f>IF(ISBLANK(B970),"",IF(ROUND(B970,0)=ROUND(G970,0),"Pass","Fail"))</f>
        <v>Pass</v>
      </c>
      <c r="B970">
        <f t="shared" si="89"/>
        <v>9.3797264099121094</v>
      </c>
      <c r="C970">
        <v>10</v>
      </c>
      <c r="D970">
        <v>10</v>
      </c>
      <c r="E970">
        <v>50</v>
      </c>
      <c r="F970">
        <v>40</v>
      </c>
      <c r="G970">
        <v>9.3797267643270992</v>
      </c>
      <c r="M970" t="str">
        <f t="shared" si="90"/>
        <v>Pass</v>
      </c>
      <c r="N970">
        <f t="shared" si="91"/>
        <v>5.7176228612661362E-2</v>
      </c>
      <c r="O970">
        <v>50</v>
      </c>
      <c r="P970">
        <v>30</v>
      </c>
      <c r="Q970">
        <v>2.5</v>
      </c>
      <c r="R970" t="b">
        <v>1</v>
      </c>
      <c r="S970">
        <v>5.7176238740177798E-2</v>
      </c>
      <c r="Y970" t="str">
        <f t="shared" si="92"/>
        <v>Pass</v>
      </c>
      <c r="Z970">
        <f t="shared" si="93"/>
        <v>84215.9609375</v>
      </c>
      <c r="AA970">
        <v>14800</v>
      </c>
      <c r="AB970">
        <v>20</v>
      </c>
      <c r="AC970">
        <v>4</v>
      </c>
      <c r="AD970">
        <v>0.2</v>
      </c>
      <c r="AE970">
        <v>84215.957087672898</v>
      </c>
    </row>
    <row r="971" spans="1:31" x14ac:dyDescent="0.3">
      <c r="A971" t="str">
        <f>IF(ISBLANK(B971),"",IF(ROUND(B971,0)=ROUND(G971,0),"Pass","Fail"))</f>
        <v>Pass</v>
      </c>
      <c r="B971">
        <f t="shared" si="89"/>
        <v>8.3022079467773438</v>
      </c>
      <c r="C971">
        <v>10</v>
      </c>
      <c r="D971">
        <v>10</v>
      </c>
      <c r="E971">
        <v>50</v>
      </c>
      <c r="F971">
        <v>48</v>
      </c>
      <c r="G971">
        <v>8.3022079008197203</v>
      </c>
      <c r="M971" t="str">
        <f t="shared" si="90"/>
        <v>Pass</v>
      </c>
      <c r="N971">
        <f t="shared" si="91"/>
        <v>0.38097169995307922</v>
      </c>
      <c r="O971">
        <v>50</v>
      </c>
      <c r="P971">
        <v>30</v>
      </c>
      <c r="Q971">
        <v>2.5</v>
      </c>
      <c r="R971" t="b">
        <v>0</v>
      </c>
      <c r="S971">
        <v>0.38097172919475802</v>
      </c>
      <c r="Y971" t="str">
        <f t="shared" si="92"/>
        <v>Pass</v>
      </c>
      <c r="Z971">
        <f t="shared" si="93"/>
        <v>106870.703125</v>
      </c>
      <c r="AA971">
        <v>14800</v>
      </c>
      <c r="AB971">
        <v>20</v>
      </c>
      <c r="AC971">
        <v>6</v>
      </c>
      <c r="AD971">
        <v>0.2</v>
      </c>
      <c r="AE971">
        <v>106870.698524893</v>
      </c>
    </row>
    <row r="972" spans="1:31" x14ac:dyDescent="0.3">
      <c r="A972" t="str">
        <f>IF(ISBLANK(B972),"",IF(ROUND(B972,0)=ROUND(G972,0),"Pass","Fail"))</f>
        <v>Pass</v>
      </c>
      <c r="B972">
        <f t="shared" si="89"/>
        <v>74.337997436523438</v>
      </c>
      <c r="C972">
        <v>10</v>
      </c>
      <c r="D972">
        <v>10</v>
      </c>
      <c r="E972">
        <v>60</v>
      </c>
      <c r="F972">
        <v>0</v>
      </c>
      <c r="G972">
        <v>74.337999999999994</v>
      </c>
      <c r="M972" t="str">
        <f t="shared" si="90"/>
        <v>Pass</v>
      </c>
      <c r="N972">
        <f t="shared" si="91"/>
        <v>5.9592235833406448E-2</v>
      </c>
      <c r="O972">
        <v>50</v>
      </c>
      <c r="P972">
        <v>30</v>
      </c>
      <c r="Q972">
        <v>3</v>
      </c>
      <c r="R972" t="b">
        <v>1</v>
      </c>
      <c r="S972">
        <v>5.9592242060723499E-2</v>
      </c>
      <c r="Y972" t="str">
        <f t="shared" si="92"/>
        <v>Pass</v>
      </c>
      <c r="Z972">
        <f t="shared" si="93"/>
        <v>122056.625</v>
      </c>
      <c r="AA972">
        <v>14800</v>
      </c>
      <c r="AB972">
        <v>20</v>
      </c>
      <c r="AC972">
        <v>8</v>
      </c>
      <c r="AD972">
        <v>0.2</v>
      </c>
      <c r="AE972">
        <v>122056.62584801701</v>
      </c>
    </row>
    <row r="973" spans="1:31" x14ac:dyDescent="0.3">
      <c r="A973" t="str">
        <f>IF(ISBLANK(B973),"",IF(ROUND(B973,0)=ROUND(G973,0),"Pass","Fail"))</f>
        <v>Pass</v>
      </c>
      <c r="B973">
        <f t="shared" si="89"/>
        <v>41.001228332519531</v>
      </c>
      <c r="C973">
        <v>10</v>
      </c>
      <c r="D973">
        <v>10</v>
      </c>
      <c r="E973">
        <v>60</v>
      </c>
      <c r="F973">
        <v>8</v>
      </c>
      <c r="G973">
        <v>41.001228080723003</v>
      </c>
      <c r="M973" t="str">
        <f t="shared" si="90"/>
        <v>Pass</v>
      </c>
      <c r="N973">
        <f t="shared" si="91"/>
        <v>0.39706984162330627</v>
      </c>
      <c r="O973">
        <v>50</v>
      </c>
      <c r="P973">
        <v>30</v>
      </c>
      <c r="Q973">
        <v>3</v>
      </c>
      <c r="R973" t="b">
        <v>0</v>
      </c>
      <c r="S973">
        <v>0.397069831886528</v>
      </c>
      <c r="Y973" t="str">
        <f t="shared" si="92"/>
        <v>Pass</v>
      </c>
      <c r="Z973">
        <f t="shared" si="93"/>
        <v>132236.0625</v>
      </c>
      <c r="AA973">
        <v>14800</v>
      </c>
      <c r="AB973">
        <v>20</v>
      </c>
      <c r="AC973">
        <v>10</v>
      </c>
      <c r="AD973">
        <v>0.2</v>
      </c>
      <c r="AE973">
        <v>132236.05735034699</v>
      </c>
    </row>
    <row r="974" spans="1:31" x14ac:dyDescent="0.3">
      <c r="A974" t="str">
        <f>IF(ISBLANK(B974),"",IF(ROUND(B974,0)=ROUND(G974,0),"Pass","Fail"))</f>
        <v>Pass</v>
      </c>
      <c r="B974">
        <f t="shared" si="89"/>
        <v>24.219997406005859</v>
      </c>
      <c r="C974">
        <v>10</v>
      </c>
      <c r="D974">
        <v>10</v>
      </c>
      <c r="E974">
        <v>60</v>
      </c>
      <c r="F974">
        <v>16</v>
      </c>
      <c r="G974">
        <v>24.219997247101698</v>
      </c>
      <c r="M974" t="str">
        <f t="shared" si="90"/>
        <v>Pass</v>
      </c>
      <c r="N974">
        <f t="shared" si="91"/>
        <v>6.171441450715065E-2</v>
      </c>
      <c r="O974">
        <v>50</v>
      </c>
      <c r="P974">
        <v>30</v>
      </c>
      <c r="Q974">
        <v>3.5</v>
      </c>
      <c r="R974" t="b">
        <v>1</v>
      </c>
      <c r="S974">
        <v>6.1714419261952501E-2</v>
      </c>
      <c r="Y974" t="str">
        <f t="shared" si="92"/>
        <v>Pass</v>
      </c>
      <c r="Z974">
        <f t="shared" si="93"/>
        <v>139059.53125</v>
      </c>
      <c r="AA974">
        <v>14800</v>
      </c>
      <c r="AB974">
        <v>20</v>
      </c>
      <c r="AC974">
        <v>12</v>
      </c>
      <c r="AD974">
        <v>0.2</v>
      </c>
      <c r="AE974">
        <v>139059.53434360499</v>
      </c>
    </row>
    <row r="975" spans="1:31" x14ac:dyDescent="0.3">
      <c r="A975" t="str">
        <f>IF(ISBLANK(B975),"",IF(ROUND(B975,0)=ROUND(G975,0),"Pass","Fail"))</f>
        <v>Pass</v>
      </c>
      <c r="B975">
        <f t="shared" si="89"/>
        <v>15.772577285766602</v>
      </c>
      <c r="C975">
        <v>10</v>
      </c>
      <c r="D975">
        <v>10</v>
      </c>
      <c r="E975">
        <v>60</v>
      </c>
      <c r="F975">
        <v>24</v>
      </c>
      <c r="G975">
        <v>15.772577413736199</v>
      </c>
      <c r="M975" t="str">
        <f t="shared" si="90"/>
        <v>Pass</v>
      </c>
      <c r="N975">
        <f t="shared" si="91"/>
        <v>0.41121014952659607</v>
      </c>
      <c r="O975">
        <v>50</v>
      </c>
      <c r="P975">
        <v>30</v>
      </c>
      <c r="Q975">
        <v>3.5</v>
      </c>
      <c r="R975" t="b">
        <v>0</v>
      </c>
      <c r="S975">
        <v>0.41121013799662198</v>
      </c>
      <c r="Y975" t="str">
        <f t="shared" si="92"/>
        <v>Pass</v>
      </c>
      <c r="Z975">
        <f t="shared" si="93"/>
        <v>143633.4375</v>
      </c>
      <c r="AA975">
        <v>14800</v>
      </c>
      <c r="AB975">
        <v>20</v>
      </c>
      <c r="AC975">
        <v>14</v>
      </c>
      <c r="AD975">
        <v>0.2</v>
      </c>
      <c r="AE975">
        <v>143633.44775585001</v>
      </c>
    </row>
    <row r="976" spans="1:31" x14ac:dyDescent="0.3">
      <c r="A976" t="str">
        <f>IF(ISBLANK(B976),"",IF(ROUND(B976,0)=ROUND(G976,0),"Pass","Fail"))</f>
        <v>Pass</v>
      </c>
      <c r="B976">
        <f t="shared" si="89"/>
        <v>11.520273208618164</v>
      </c>
      <c r="C976">
        <v>10</v>
      </c>
      <c r="D976">
        <v>10</v>
      </c>
      <c r="E976">
        <v>60</v>
      </c>
      <c r="F976">
        <v>32</v>
      </c>
      <c r="G976">
        <v>11.5202730059946</v>
      </c>
      <c r="M976" t="str">
        <f t="shared" si="90"/>
        <v>Pass</v>
      </c>
      <c r="N976">
        <f t="shared" si="91"/>
        <v>6.3613720238208771E-2</v>
      </c>
      <c r="O976">
        <v>50</v>
      </c>
      <c r="P976">
        <v>30</v>
      </c>
      <c r="Q976">
        <v>4</v>
      </c>
      <c r="R976" t="b">
        <v>1</v>
      </c>
      <c r="S976">
        <v>6.3613723748594295E-2</v>
      </c>
      <c r="Y976" t="str">
        <f t="shared" si="92"/>
        <v>Pass</v>
      </c>
      <c r="Z976">
        <f t="shared" si="93"/>
        <v>146699.421875</v>
      </c>
      <c r="AA976">
        <v>14800</v>
      </c>
      <c r="AB976">
        <v>20</v>
      </c>
      <c r="AC976">
        <v>16</v>
      </c>
      <c r="AD976">
        <v>0.2</v>
      </c>
      <c r="AE976">
        <v>146699.433604908</v>
      </c>
    </row>
    <row r="977" spans="1:31" x14ac:dyDescent="0.3">
      <c r="A977" t="str">
        <f>IF(ISBLANK(B977),"",IF(ROUND(B977,0)=ROUND(G977,0),"Pass","Fail"))</f>
        <v>Pass</v>
      </c>
      <c r="B977">
        <f t="shared" si="89"/>
        <v>9.3797264099121094</v>
      </c>
      <c r="C977">
        <v>10</v>
      </c>
      <c r="D977">
        <v>10</v>
      </c>
      <c r="E977">
        <v>60</v>
      </c>
      <c r="F977">
        <v>40</v>
      </c>
      <c r="G977">
        <v>9.3797267643270992</v>
      </c>
      <c r="M977" t="str">
        <f t="shared" si="90"/>
        <v>Pass</v>
      </c>
      <c r="N977">
        <f t="shared" si="91"/>
        <v>0.42386540770530701</v>
      </c>
      <c r="O977">
        <v>50</v>
      </c>
      <c r="P977">
        <v>30</v>
      </c>
      <c r="Q977">
        <v>4</v>
      </c>
      <c r="R977" t="b">
        <v>0</v>
      </c>
      <c r="S977">
        <v>0.42386541806552303</v>
      </c>
      <c r="Y977" t="str">
        <f t="shared" si="92"/>
        <v>Pass</v>
      </c>
      <c r="Z977">
        <f t="shared" si="93"/>
        <v>148754.625</v>
      </c>
      <c r="AA977">
        <v>14800</v>
      </c>
      <c r="AB977">
        <v>20</v>
      </c>
      <c r="AC977">
        <v>18</v>
      </c>
      <c r="AD977">
        <v>0.2</v>
      </c>
      <c r="AE977">
        <v>148754.62538039399</v>
      </c>
    </row>
    <row r="978" spans="1:31" x14ac:dyDescent="0.3">
      <c r="A978" t="str">
        <f>IF(ISBLANK(B978),"",IF(ROUND(B978,0)=ROUND(G978,0),"Pass","Fail"))</f>
        <v>Pass</v>
      </c>
      <c r="B978">
        <f t="shared" si="89"/>
        <v>8.3022079467773438</v>
      </c>
      <c r="C978">
        <v>10</v>
      </c>
      <c r="D978">
        <v>10</v>
      </c>
      <c r="E978">
        <v>60</v>
      </c>
      <c r="F978">
        <v>48</v>
      </c>
      <c r="G978">
        <v>8.3022079008197203</v>
      </c>
      <c r="M978" t="str">
        <f t="shared" si="90"/>
        <v>Pass</v>
      </c>
      <c r="N978">
        <f t="shared" si="91"/>
        <v>0</v>
      </c>
      <c r="O978">
        <v>50</v>
      </c>
      <c r="P978">
        <v>40</v>
      </c>
      <c r="Q978">
        <v>0</v>
      </c>
      <c r="R978" t="b">
        <v>1</v>
      </c>
      <c r="S978">
        <v>0</v>
      </c>
      <c r="Y978" t="str">
        <f t="shared" si="92"/>
        <v>Pass</v>
      </c>
      <c r="Z978">
        <f t="shared" si="93"/>
        <v>150132.265625</v>
      </c>
      <c r="AA978">
        <v>14800</v>
      </c>
      <c r="AB978">
        <v>20</v>
      </c>
      <c r="AC978">
        <v>20</v>
      </c>
      <c r="AD978">
        <v>0.2</v>
      </c>
      <c r="AE978">
        <v>150132.261625949</v>
      </c>
    </row>
    <row r="979" spans="1:31" x14ac:dyDescent="0.3">
      <c r="A979" t="str">
        <f>IF(ISBLANK(B979),"",IF(ROUND(B979,0)=ROUND(G979,0),"Pass","Fail"))</f>
        <v>Pass</v>
      </c>
      <c r="B979">
        <f t="shared" si="89"/>
        <v>74.337997436523438</v>
      </c>
      <c r="C979">
        <v>10</v>
      </c>
      <c r="D979">
        <v>10</v>
      </c>
      <c r="E979">
        <v>70</v>
      </c>
      <c r="F979">
        <v>0</v>
      </c>
      <c r="G979">
        <v>74.337999999999994</v>
      </c>
      <c r="M979" t="str">
        <f t="shared" si="90"/>
        <v>Pass</v>
      </c>
      <c r="N979">
        <f t="shared" si="91"/>
        <v>0</v>
      </c>
      <c r="O979">
        <v>50</v>
      </c>
      <c r="P979">
        <v>40</v>
      </c>
      <c r="Q979">
        <v>0</v>
      </c>
      <c r="R979" t="b">
        <v>0</v>
      </c>
      <c r="S979">
        <v>0</v>
      </c>
      <c r="Y979" t="str">
        <f t="shared" si="92"/>
        <v>Pass</v>
      </c>
      <c r="Z979">
        <f t="shared" si="93"/>
        <v>151055.734375</v>
      </c>
      <c r="AA979">
        <v>14800</v>
      </c>
      <c r="AB979">
        <v>20</v>
      </c>
      <c r="AC979">
        <v>22</v>
      </c>
      <c r="AD979">
        <v>0.2</v>
      </c>
      <c r="AE979">
        <v>151055.71881749001</v>
      </c>
    </row>
    <row r="980" spans="1:31" x14ac:dyDescent="0.3">
      <c r="A980" t="str">
        <f>IF(ISBLANK(B980),"",IF(ROUND(B980,0)=ROUND(G980,0),"Pass","Fail"))</f>
        <v>Pass</v>
      </c>
      <c r="B980">
        <f t="shared" si="89"/>
        <v>41.001228332519531</v>
      </c>
      <c r="C980">
        <v>10</v>
      </c>
      <c r="D980">
        <v>10</v>
      </c>
      <c r="E980">
        <v>70</v>
      </c>
      <c r="F980">
        <v>8</v>
      </c>
      <c r="G980">
        <v>41.001228080723003</v>
      </c>
      <c r="M980" t="str">
        <f t="shared" si="90"/>
        <v>Pass</v>
      </c>
      <c r="N980">
        <f t="shared" si="91"/>
        <v>7.2725984500721097E-4</v>
      </c>
      <c r="O980">
        <v>50</v>
      </c>
      <c r="P980">
        <v>40</v>
      </c>
      <c r="Q980">
        <v>0.5</v>
      </c>
      <c r="R980" t="b">
        <v>1</v>
      </c>
      <c r="S980">
        <v>7.27259900902568E-4</v>
      </c>
      <c r="Y980" t="str">
        <f t="shared" si="92"/>
        <v>Pass</v>
      </c>
      <c r="Z980">
        <f t="shared" si="93"/>
        <v>151674.734375</v>
      </c>
      <c r="AA980">
        <v>14800</v>
      </c>
      <c r="AB980">
        <v>20</v>
      </c>
      <c r="AC980">
        <v>24</v>
      </c>
      <c r="AD980">
        <v>0.2</v>
      </c>
      <c r="AE980">
        <v>151674.73068463599</v>
      </c>
    </row>
    <row r="981" spans="1:31" x14ac:dyDescent="0.3">
      <c r="A981" t="str">
        <f>IF(ISBLANK(B981),"",IF(ROUND(B981,0)=ROUND(G981,0),"Pass","Fail"))</f>
        <v>Pass</v>
      </c>
      <c r="B981">
        <f t="shared" si="89"/>
        <v>24.219997406005859</v>
      </c>
      <c r="C981">
        <v>10</v>
      </c>
      <c r="D981">
        <v>10</v>
      </c>
      <c r="E981">
        <v>70</v>
      </c>
      <c r="F981">
        <v>16</v>
      </c>
      <c r="G981">
        <v>24.219997247101698</v>
      </c>
      <c r="M981" t="str">
        <f t="shared" si="90"/>
        <v>Pass</v>
      </c>
      <c r="N981">
        <f t="shared" si="91"/>
        <v>4.8458152450621128E-3</v>
      </c>
      <c r="O981">
        <v>50</v>
      </c>
      <c r="P981">
        <v>40</v>
      </c>
      <c r="Q981">
        <v>0.5</v>
      </c>
      <c r="R981" t="b">
        <v>0</v>
      </c>
      <c r="S981">
        <v>4.8458147672131701E-3</v>
      </c>
      <c r="Y981" t="str">
        <f t="shared" si="92"/>
        <v>Pass</v>
      </c>
      <c r="Z981">
        <f t="shared" si="93"/>
        <v>0</v>
      </c>
      <c r="AA981">
        <v>15000</v>
      </c>
      <c r="AB981">
        <v>20</v>
      </c>
      <c r="AC981">
        <v>0</v>
      </c>
      <c r="AD981">
        <v>0.2</v>
      </c>
      <c r="AE981">
        <v>0</v>
      </c>
    </row>
    <row r="982" spans="1:31" x14ac:dyDescent="0.3">
      <c r="A982" t="str">
        <f>IF(ISBLANK(B982),"",IF(ROUND(B982,0)=ROUND(G982,0),"Pass","Fail"))</f>
        <v>Pass</v>
      </c>
      <c r="B982">
        <f t="shared" si="89"/>
        <v>15.772577285766602</v>
      </c>
      <c r="C982">
        <v>10</v>
      </c>
      <c r="D982">
        <v>10</v>
      </c>
      <c r="E982">
        <v>70</v>
      </c>
      <c r="F982">
        <v>24</v>
      </c>
      <c r="G982">
        <v>15.772577413736199</v>
      </c>
      <c r="M982" t="str">
        <f t="shared" si="90"/>
        <v>Pass</v>
      </c>
      <c r="N982">
        <f t="shared" si="91"/>
        <v>8.5118389688432217E-4</v>
      </c>
      <c r="O982">
        <v>50</v>
      </c>
      <c r="P982">
        <v>40</v>
      </c>
      <c r="Q982">
        <v>1</v>
      </c>
      <c r="R982" t="b">
        <v>1</v>
      </c>
      <c r="S982">
        <v>8.5118400001530997E-4</v>
      </c>
      <c r="Y982" t="str">
        <f t="shared" si="92"/>
        <v>Pass</v>
      </c>
      <c r="Z982">
        <f t="shared" si="93"/>
        <v>51100.390625</v>
      </c>
      <c r="AA982">
        <v>15000</v>
      </c>
      <c r="AB982">
        <v>20</v>
      </c>
      <c r="AC982">
        <v>2</v>
      </c>
      <c r="AD982">
        <v>0.2</v>
      </c>
      <c r="AE982">
        <v>51100.3928644759</v>
      </c>
    </row>
    <row r="983" spans="1:31" x14ac:dyDescent="0.3">
      <c r="A983" t="str">
        <f>IF(ISBLANK(B983),"",IF(ROUND(B983,0)=ROUND(G983,0),"Pass","Fail"))</f>
        <v>Pass</v>
      </c>
      <c r="B983">
        <f t="shared" si="89"/>
        <v>11.520273208618164</v>
      </c>
      <c r="C983">
        <v>10</v>
      </c>
      <c r="D983">
        <v>10</v>
      </c>
      <c r="E983">
        <v>70</v>
      </c>
      <c r="F983">
        <v>32</v>
      </c>
      <c r="G983">
        <v>11.5202730059946</v>
      </c>
      <c r="M983" t="str">
        <f t="shared" si="90"/>
        <v>Pass</v>
      </c>
      <c r="N983">
        <f t="shared" si="91"/>
        <v>5.6715351529419422E-3</v>
      </c>
      <c r="O983">
        <v>50</v>
      </c>
      <c r="P983">
        <v>40</v>
      </c>
      <c r="Q983">
        <v>1</v>
      </c>
      <c r="R983" t="b">
        <v>0</v>
      </c>
      <c r="S983">
        <v>5.6715350203837998E-3</v>
      </c>
      <c r="Y983" t="str">
        <f t="shared" si="92"/>
        <v>Pass</v>
      </c>
      <c r="Z983">
        <f t="shared" si="93"/>
        <v>85354.015625</v>
      </c>
      <c r="AA983">
        <v>15000</v>
      </c>
      <c r="AB983">
        <v>20</v>
      </c>
      <c r="AC983">
        <v>4</v>
      </c>
      <c r="AD983">
        <v>0.2</v>
      </c>
      <c r="AE983">
        <v>85354.010561830597</v>
      </c>
    </row>
    <row r="984" spans="1:31" x14ac:dyDescent="0.3">
      <c r="A984" t="str">
        <f>IF(ISBLANK(B984),"",IF(ROUND(B984,0)=ROUND(G984,0),"Pass","Fail"))</f>
        <v>Pass</v>
      </c>
      <c r="B984">
        <f t="shared" si="89"/>
        <v>9.3797264099121094</v>
      </c>
      <c r="C984">
        <v>10</v>
      </c>
      <c r="D984">
        <v>10</v>
      </c>
      <c r="E984">
        <v>70</v>
      </c>
      <c r="F984">
        <v>40</v>
      </c>
      <c r="G984">
        <v>9.3797267643270992</v>
      </c>
      <c r="M984" t="str">
        <f t="shared" si="90"/>
        <v>Pass</v>
      </c>
      <c r="N984">
        <f t="shared" si="91"/>
        <v>9.3324598856270313E-4</v>
      </c>
      <c r="O984">
        <v>50</v>
      </c>
      <c r="P984">
        <v>40</v>
      </c>
      <c r="Q984">
        <v>1.5</v>
      </c>
      <c r="R984" t="b">
        <v>1</v>
      </c>
      <c r="S984">
        <v>9.3324606466297397E-4</v>
      </c>
      <c r="Y984" t="str">
        <f t="shared" si="92"/>
        <v>Pass</v>
      </c>
      <c r="Z984">
        <f t="shared" si="93"/>
        <v>108314.8984375</v>
      </c>
      <c r="AA984">
        <v>15000</v>
      </c>
      <c r="AB984">
        <v>20</v>
      </c>
      <c r="AC984">
        <v>6</v>
      </c>
      <c r="AD984">
        <v>0.2</v>
      </c>
      <c r="AE984">
        <v>108314.89715360801</v>
      </c>
    </row>
    <row r="985" spans="1:31" x14ac:dyDescent="0.3">
      <c r="A985" t="str">
        <f>IF(ISBLANK(B985),"",IF(ROUND(B985,0)=ROUND(G985,0),"Pass","Fail"))</f>
        <v>Pass</v>
      </c>
      <c r="B985">
        <f t="shared" si="89"/>
        <v>8.3022079467773438</v>
      </c>
      <c r="C985">
        <v>10</v>
      </c>
      <c r="D985">
        <v>10</v>
      </c>
      <c r="E985">
        <v>70</v>
      </c>
      <c r="F985">
        <v>48</v>
      </c>
      <c r="G985">
        <v>8.3022079008197203</v>
      </c>
      <c r="M985" t="str">
        <f t="shared" si="90"/>
        <v>Pass</v>
      </c>
      <c r="N985">
        <f t="shared" si="91"/>
        <v>6.2183239497244358E-3</v>
      </c>
      <c r="O985">
        <v>50</v>
      </c>
      <c r="P985">
        <v>40</v>
      </c>
      <c r="Q985">
        <v>1.5</v>
      </c>
      <c r="R985" t="b">
        <v>0</v>
      </c>
      <c r="S985">
        <v>6.2183238151518596E-3</v>
      </c>
      <c r="Y985" t="str">
        <f t="shared" si="92"/>
        <v>Pass</v>
      </c>
      <c r="Z985">
        <f t="shared" si="93"/>
        <v>123706.0390625</v>
      </c>
      <c r="AA985">
        <v>15000</v>
      </c>
      <c r="AB985">
        <v>20</v>
      </c>
      <c r="AC985">
        <v>8</v>
      </c>
      <c r="AD985">
        <v>0.2</v>
      </c>
      <c r="AE985">
        <v>123706.039710828</v>
      </c>
    </row>
    <row r="986" spans="1:31" x14ac:dyDescent="0.3">
      <c r="A986" t="str">
        <f>IF(ISBLANK(B986),"",IF(ROUND(B986,0)=ROUND(G986,0),"Pass","Fail"))</f>
        <v>Pass</v>
      </c>
      <c r="B986">
        <f t="shared" si="89"/>
        <v>74.337997436523438</v>
      </c>
      <c r="C986">
        <v>10</v>
      </c>
      <c r="D986">
        <v>10</v>
      </c>
      <c r="E986">
        <v>80</v>
      </c>
      <c r="F986">
        <v>0</v>
      </c>
      <c r="G986">
        <v>74.337999999999994</v>
      </c>
      <c r="M986" t="str">
        <f t="shared" si="90"/>
        <v>Pass</v>
      </c>
      <c r="N986">
        <f t="shared" si="91"/>
        <v>9.9622458219528198E-4</v>
      </c>
      <c r="O986">
        <v>50</v>
      </c>
      <c r="P986">
        <v>40</v>
      </c>
      <c r="Q986">
        <v>2</v>
      </c>
      <c r="R986" t="b">
        <v>1</v>
      </c>
      <c r="S986">
        <v>9.9622459726282598E-4</v>
      </c>
      <c r="Y986" t="str">
        <f t="shared" si="92"/>
        <v>Pass</v>
      </c>
      <c r="Z986">
        <f t="shared" si="93"/>
        <v>134023.03125</v>
      </c>
      <c r="AA986">
        <v>15000</v>
      </c>
      <c r="AB986">
        <v>20</v>
      </c>
      <c r="AC986">
        <v>10</v>
      </c>
      <c r="AD986">
        <v>0.2</v>
      </c>
      <c r="AE986">
        <v>134023.03109832501</v>
      </c>
    </row>
    <row r="987" spans="1:31" x14ac:dyDescent="0.3">
      <c r="A987" t="str">
        <f>IF(ISBLANK(B987),"",IF(ROUND(B987,0)=ROUND(G987,0),"Pass","Fail"))</f>
        <v>Pass</v>
      </c>
      <c r="B987">
        <f t="shared" si="89"/>
        <v>41.001228332519531</v>
      </c>
      <c r="C987">
        <v>10</v>
      </c>
      <c r="D987">
        <v>10</v>
      </c>
      <c r="E987">
        <v>80</v>
      </c>
      <c r="F987">
        <v>8</v>
      </c>
      <c r="G987">
        <v>41.001228080723003</v>
      </c>
      <c r="M987" t="str">
        <f t="shared" si="90"/>
        <v>Pass</v>
      </c>
      <c r="N987">
        <f t="shared" si="91"/>
        <v>6.6379569470882416E-3</v>
      </c>
      <c r="O987">
        <v>50</v>
      </c>
      <c r="P987">
        <v>40</v>
      </c>
      <c r="Q987">
        <v>2</v>
      </c>
      <c r="R987" t="b">
        <v>0</v>
      </c>
      <c r="S987">
        <v>6.6379568829327603E-3</v>
      </c>
      <c r="Y987" t="str">
        <f t="shared" si="92"/>
        <v>Pass</v>
      </c>
      <c r="Z987">
        <f t="shared" si="93"/>
        <v>140938.71875</v>
      </c>
      <c r="AA987">
        <v>15000</v>
      </c>
      <c r="AB987">
        <v>20</v>
      </c>
      <c r="AC987">
        <v>12</v>
      </c>
      <c r="AD987">
        <v>0.2</v>
      </c>
      <c r="AE987">
        <v>140938.71724014101</v>
      </c>
    </row>
    <row r="988" spans="1:31" x14ac:dyDescent="0.3">
      <c r="A988" t="str">
        <f>IF(ISBLANK(B988),"",IF(ROUND(B988,0)=ROUND(G988,0),"Pass","Fail"))</f>
        <v>Pass</v>
      </c>
      <c r="B988">
        <f t="shared" si="89"/>
        <v>24.219997406005859</v>
      </c>
      <c r="C988">
        <v>10</v>
      </c>
      <c r="D988">
        <v>10</v>
      </c>
      <c r="E988">
        <v>80</v>
      </c>
      <c r="F988">
        <v>16</v>
      </c>
      <c r="G988">
        <v>24.219997247101698</v>
      </c>
      <c r="M988" t="str">
        <f t="shared" si="90"/>
        <v>Pass</v>
      </c>
      <c r="N988">
        <f t="shared" si="91"/>
        <v>1.0479866759851575E-3</v>
      </c>
      <c r="O988">
        <v>50</v>
      </c>
      <c r="P988">
        <v>40</v>
      </c>
      <c r="Q988">
        <v>2.5</v>
      </c>
      <c r="R988" t="b">
        <v>1</v>
      </c>
      <c r="S988">
        <v>1.04798685050231E-3</v>
      </c>
      <c r="Y988" t="str">
        <f t="shared" si="92"/>
        <v>Pass</v>
      </c>
      <c r="Z988">
        <f t="shared" si="93"/>
        <v>145574.4375</v>
      </c>
      <c r="AA988">
        <v>15000</v>
      </c>
      <c r="AB988">
        <v>20</v>
      </c>
      <c r="AC988">
        <v>14</v>
      </c>
      <c r="AD988">
        <v>0.2</v>
      </c>
      <c r="AE988">
        <v>145574.440293091</v>
      </c>
    </row>
    <row r="989" spans="1:31" x14ac:dyDescent="0.3">
      <c r="A989" t="str">
        <f>IF(ISBLANK(B989),"",IF(ROUND(B989,0)=ROUND(G989,0),"Pass","Fail"))</f>
        <v>Pass</v>
      </c>
      <c r="B989">
        <f t="shared" si="89"/>
        <v>15.772577285766602</v>
      </c>
      <c r="C989">
        <v>10</v>
      </c>
      <c r="D989">
        <v>10</v>
      </c>
      <c r="E989">
        <v>80</v>
      </c>
      <c r="F989">
        <v>24</v>
      </c>
      <c r="G989">
        <v>15.772577413736199</v>
      </c>
      <c r="M989" t="str">
        <f t="shared" si="90"/>
        <v>Pass</v>
      </c>
      <c r="N989">
        <f t="shared" si="91"/>
        <v>6.982854101806879E-3</v>
      </c>
      <c r="O989">
        <v>50</v>
      </c>
      <c r="P989">
        <v>40</v>
      </c>
      <c r="Q989">
        <v>2.5</v>
      </c>
      <c r="R989" t="b">
        <v>0</v>
      </c>
      <c r="S989">
        <v>6.98285461594519E-3</v>
      </c>
      <c r="Y989" t="str">
        <f t="shared" si="92"/>
        <v>Pass</v>
      </c>
      <c r="Z989">
        <f t="shared" si="93"/>
        <v>148681.859375</v>
      </c>
      <c r="AA989">
        <v>15000</v>
      </c>
      <c r="AB989">
        <v>20</v>
      </c>
      <c r="AC989">
        <v>16</v>
      </c>
      <c r="AD989">
        <v>0.2</v>
      </c>
      <c r="AE989">
        <v>148681.85838335301</v>
      </c>
    </row>
    <row r="990" spans="1:31" x14ac:dyDescent="0.3">
      <c r="A990" t="str">
        <f>IF(ISBLANK(B990),"",IF(ROUND(B990,0)=ROUND(G990,0),"Pass","Fail"))</f>
        <v>Pass</v>
      </c>
      <c r="B990">
        <f t="shared" si="89"/>
        <v>11.520273208618164</v>
      </c>
      <c r="C990">
        <v>10</v>
      </c>
      <c r="D990">
        <v>10</v>
      </c>
      <c r="E990">
        <v>80</v>
      </c>
      <c r="F990">
        <v>32</v>
      </c>
      <c r="G990">
        <v>11.5202730059946</v>
      </c>
      <c r="M990" t="str">
        <f t="shared" si="90"/>
        <v>Pass</v>
      </c>
      <c r="N990">
        <f t="shared" si="91"/>
        <v>1.0922697838395834E-3</v>
      </c>
      <c r="O990">
        <v>50</v>
      </c>
      <c r="P990">
        <v>40</v>
      </c>
      <c r="Q990">
        <v>3</v>
      </c>
      <c r="R990" t="b">
        <v>1</v>
      </c>
      <c r="S990">
        <v>1.09226992624305E-3</v>
      </c>
      <c r="Y990" t="str">
        <f t="shared" si="92"/>
        <v>Pass</v>
      </c>
      <c r="Z990">
        <f t="shared" si="93"/>
        <v>150764.828125</v>
      </c>
      <c r="AA990">
        <v>15000</v>
      </c>
      <c r="AB990">
        <v>20</v>
      </c>
      <c r="AC990">
        <v>18</v>
      </c>
      <c r="AD990">
        <v>0.2</v>
      </c>
      <c r="AE990">
        <v>150764.82302066899</v>
      </c>
    </row>
    <row r="991" spans="1:31" x14ac:dyDescent="0.3">
      <c r="A991" t="str">
        <f>IF(ISBLANK(B991),"",IF(ROUND(B991,0)=ROUND(G991,0),"Pass","Fail"))</f>
        <v>Pass</v>
      </c>
      <c r="B991">
        <f t="shared" si="89"/>
        <v>9.3797264099121094</v>
      </c>
      <c r="C991">
        <v>10</v>
      </c>
      <c r="D991">
        <v>10</v>
      </c>
      <c r="E991">
        <v>80</v>
      </c>
      <c r="F991">
        <v>40</v>
      </c>
      <c r="G991">
        <v>9.3797267643270992</v>
      </c>
      <c r="M991" t="str">
        <f t="shared" si="90"/>
        <v>Pass</v>
      </c>
      <c r="N991">
        <f t="shared" si="91"/>
        <v>7.2779180482029915E-3</v>
      </c>
      <c r="O991">
        <v>50</v>
      </c>
      <c r="P991">
        <v>40</v>
      </c>
      <c r="Q991">
        <v>3</v>
      </c>
      <c r="R991" t="b">
        <v>0</v>
      </c>
      <c r="S991">
        <v>7.2779177455028201E-3</v>
      </c>
      <c r="Y991" t="str">
        <f t="shared" si="92"/>
        <v>Pass</v>
      </c>
      <c r="Z991">
        <f t="shared" si="93"/>
        <v>152161.078125</v>
      </c>
      <c r="AA991">
        <v>15000</v>
      </c>
      <c r="AB991">
        <v>20</v>
      </c>
      <c r="AC991">
        <v>20</v>
      </c>
      <c r="AD991">
        <v>0.2</v>
      </c>
      <c r="AE991">
        <v>152161.07597224601</v>
      </c>
    </row>
    <row r="992" spans="1:31" x14ac:dyDescent="0.3">
      <c r="A992" t="str">
        <f>IF(ISBLANK(B992),"",IF(ROUND(B992,0)=ROUND(G992,0),"Pass","Fail"))</f>
        <v>Pass</v>
      </c>
      <c r="B992">
        <f t="shared" si="89"/>
        <v>8.3022079467773438</v>
      </c>
      <c r="C992">
        <v>10</v>
      </c>
      <c r="D992">
        <v>10</v>
      </c>
      <c r="E992">
        <v>80</v>
      </c>
      <c r="F992">
        <v>48</v>
      </c>
      <c r="G992">
        <v>8.3022079008197203</v>
      </c>
      <c r="M992" t="str">
        <f t="shared" si="90"/>
        <v>Pass</v>
      </c>
      <c r="N992">
        <f t="shared" si="91"/>
        <v>1.1311674024909735E-3</v>
      </c>
      <c r="O992">
        <v>50</v>
      </c>
      <c r="P992">
        <v>40</v>
      </c>
      <c r="Q992">
        <v>3.5</v>
      </c>
      <c r="R992" t="b">
        <v>1</v>
      </c>
      <c r="S992">
        <v>1.1311674446935001E-3</v>
      </c>
      <c r="Y992" t="str">
        <f t="shared" si="92"/>
        <v>Pass</v>
      </c>
      <c r="Z992">
        <f t="shared" si="93"/>
        <v>153097.015625</v>
      </c>
      <c r="AA992">
        <v>15000</v>
      </c>
      <c r="AB992">
        <v>20</v>
      </c>
      <c r="AC992">
        <v>22</v>
      </c>
      <c r="AD992">
        <v>0.2</v>
      </c>
      <c r="AE992">
        <v>153097.01231502401</v>
      </c>
    </row>
    <row r="993" spans="1:31" x14ac:dyDescent="0.3">
      <c r="A993" t="str">
        <f>IF(ISBLANK(B993),"",IF(ROUND(B993,0)=ROUND(G993,0),"Pass","Fail"))</f>
        <v>Pass</v>
      </c>
      <c r="B993">
        <f t="shared" si="89"/>
        <v>74.337997436523438</v>
      </c>
      <c r="C993">
        <v>10</v>
      </c>
      <c r="D993">
        <v>10</v>
      </c>
      <c r="E993">
        <v>90</v>
      </c>
      <c r="F993">
        <v>0</v>
      </c>
      <c r="G993">
        <v>74.337999999999994</v>
      </c>
      <c r="M993" t="str">
        <f t="shared" si="90"/>
        <v>Pass</v>
      </c>
      <c r="N993">
        <f t="shared" si="91"/>
        <v>7.5370962731540203E-3</v>
      </c>
      <c r="O993">
        <v>50</v>
      </c>
      <c r="P993">
        <v>40</v>
      </c>
      <c r="Q993">
        <v>3.5</v>
      </c>
      <c r="R993" t="b">
        <v>0</v>
      </c>
      <c r="S993">
        <v>7.5370962992512801E-3</v>
      </c>
      <c r="Y993" t="str">
        <f t="shared" si="92"/>
        <v>Pass</v>
      </c>
      <c r="Z993">
        <f t="shared" si="93"/>
        <v>153724.390625</v>
      </c>
      <c r="AA993">
        <v>15000</v>
      </c>
      <c r="AB993">
        <v>20</v>
      </c>
      <c r="AC993">
        <v>24</v>
      </c>
      <c r="AD993">
        <v>0.2</v>
      </c>
      <c r="AE993">
        <v>153724.38920740099</v>
      </c>
    </row>
    <row r="994" spans="1:31" x14ac:dyDescent="0.3">
      <c r="A994" t="str">
        <f>IF(ISBLANK(B994),"",IF(ROUND(B994,0)=ROUND(G994,0),"Pass","Fail"))</f>
        <v>Pass</v>
      </c>
      <c r="B994">
        <f t="shared" si="89"/>
        <v>41.001228332519531</v>
      </c>
      <c r="C994">
        <v>10</v>
      </c>
      <c r="D994">
        <v>10</v>
      </c>
      <c r="E994">
        <v>90</v>
      </c>
      <c r="F994">
        <v>8</v>
      </c>
      <c r="G994">
        <v>41.001228080723003</v>
      </c>
      <c r="M994" t="str">
        <f t="shared" si="90"/>
        <v>Pass</v>
      </c>
      <c r="N994">
        <f t="shared" si="91"/>
        <v>1.1659798910841346E-3</v>
      </c>
      <c r="O994">
        <v>50</v>
      </c>
      <c r="P994">
        <v>40</v>
      </c>
      <c r="Q994">
        <v>4</v>
      </c>
      <c r="R994" t="b">
        <v>1</v>
      </c>
      <c r="S994">
        <v>1.1659799152399801E-3</v>
      </c>
      <c r="Y994" t="str">
        <f t="shared" si="92"/>
        <v>Pass</v>
      </c>
      <c r="Z994">
        <f t="shared" si="93"/>
        <v>0</v>
      </c>
      <c r="AA994">
        <v>15200</v>
      </c>
      <c r="AB994">
        <v>20</v>
      </c>
      <c r="AC994">
        <v>0</v>
      </c>
      <c r="AD994">
        <v>0.2</v>
      </c>
      <c r="AE994">
        <v>0</v>
      </c>
    </row>
    <row r="995" spans="1:31" x14ac:dyDescent="0.3">
      <c r="A995" t="str">
        <f>IF(ISBLANK(B995),"",IF(ROUND(B995,0)=ROUND(G995,0),"Pass","Fail"))</f>
        <v>Pass</v>
      </c>
      <c r="B995">
        <f t="shared" si="89"/>
        <v>24.219997406005859</v>
      </c>
      <c r="C995">
        <v>10</v>
      </c>
      <c r="D995">
        <v>10</v>
      </c>
      <c r="E995">
        <v>90</v>
      </c>
      <c r="F995">
        <v>16</v>
      </c>
      <c r="G995">
        <v>24.219997247101698</v>
      </c>
      <c r="M995" t="str">
        <f t="shared" si="90"/>
        <v>Pass</v>
      </c>
      <c r="N995">
        <f t="shared" si="91"/>
        <v>7.7690556645393372E-3</v>
      </c>
      <c r="O995">
        <v>50</v>
      </c>
      <c r="P995">
        <v>40</v>
      </c>
      <c r="Q995">
        <v>4</v>
      </c>
      <c r="R995" t="b">
        <v>0</v>
      </c>
      <c r="S995">
        <v>7.7690557179514097E-3</v>
      </c>
      <c r="Y995" t="str">
        <f t="shared" si="92"/>
        <v>Pass</v>
      </c>
      <c r="Z995">
        <f t="shared" si="93"/>
        <v>51781.73046875</v>
      </c>
      <c r="AA995">
        <v>15200</v>
      </c>
      <c r="AB995">
        <v>20</v>
      </c>
      <c r="AC995">
        <v>2</v>
      </c>
      <c r="AD995">
        <v>0.2</v>
      </c>
      <c r="AE995">
        <v>51781.731436002199</v>
      </c>
    </row>
    <row r="996" spans="1:31" x14ac:dyDescent="0.3">
      <c r="A996" t="str">
        <f>IF(ISBLANK(B996),"",IF(ROUND(B996,0)=ROUND(G996,0),"Pass","Fail"))</f>
        <v>Pass</v>
      </c>
      <c r="B996">
        <f t="shared" si="89"/>
        <v>15.772577285766602</v>
      </c>
      <c r="C996">
        <v>10</v>
      </c>
      <c r="D996">
        <v>10</v>
      </c>
      <c r="E996">
        <v>90</v>
      </c>
      <c r="F996">
        <v>24</v>
      </c>
      <c r="G996">
        <v>15.772577413736199</v>
      </c>
      <c r="M996" t="str">
        <f t="shared" si="90"/>
        <v>Pass</v>
      </c>
      <c r="N996">
        <f t="shared" si="91"/>
        <v>0</v>
      </c>
      <c r="O996">
        <v>50</v>
      </c>
      <c r="P996">
        <v>50</v>
      </c>
      <c r="Q996">
        <v>0</v>
      </c>
      <c r="R996" t="b">
        <v>1</v>
      </c>
      <c r="S996">
        <v>0</v>
      </c>
      <c r="Y996" t="str">
        <f t="shared" si="92"/>
        <v>Pass</v>
      </c>
      <c r="Z996">
        <f t="shared" si="93"/>
        <v>86492.0625</v>
      </c>
      <c r="AA996">
        <v>15200</v>
      </c>
      <c r="AB996">
        <v>20</v>
      </c>
      <c r="AC996">
        <v>4</v>
      </c>
      <c r="AD996">
        <v>0.2</v>
      </c>
      <c r="AE996">
        <v>86492.064035988398</v>
      </c>
    </row>
    <row r="997" spans="1:31" x14ac:dyDescent="0.3">
      <c r="A997" t="str">
        <f>IF(ISBLANK(B997),"",IF(ROUND(B997,0)=ROUND(G997,0),"Pass","Fail"))</f>
        <v>Pass</v>
      </c>
      <c r="B997">
        <f t="shared" si="89"/>
        <v>11.520273208618164</v>
      </c>
      <c r="C997">
        <v>10</v>
      </c>
      <c r="D997">
        <v>10</v>
      </c>
      <c r="E997">
        <v>90</v>
      </c>
      <c r="F997">
        <v>32</v>
      </c>
      <c r="G997">
        <v>11.5202730059946</v>
      </c>
      <c r="M997" t="str">
        <f t="shared" si="90"/>
        <v>Pass</v>
      </c>
      <c r="N997">
        <f t="shared" si="91"/>
        <v>0</v>
      </c>
      <c r="O997">
        <v>50</v>
      </c>
      <c r="P997">
        <v>50</v>
      </c>
      <c r="Q997">
        <v>0</v>
      </c>
      <c r="R997" t="b">
        <v>0</v>
      </c>
      <c r="S997">
        <v>0</v>
      </c>
      <c r="Y997" t="str">
        <f t="shared" si="92"/>
        <v>Pass</v>
      </c>
      <c r="Z997">
        <f t="shared" si="93"/>
        <v>109759.1015625</v>
      </c>
      <c r="AA997">
        <v>15200</v>
      </c>
      <c r="AB997">
        <v>20</v>
      </c>
      <c r="AC997">
        <v>6</v>
      </c>
      <c r="AD997">
        <v>0.2</v>
      </c>
      <c r="AE997">
        <v>109759.095782323</v>
      </c>
    </row>
    <row r="998" spans="1:31" x14ac:dyDescent="0.3">
      <c r="A998" t="str">
        <f>IF(ISBLANK(B998),"",IF(ROUND(B998,0)=ROUND(G998,0),"Pass","Fail"))</f>
        <v>Pass</v>
      </c>
      <c r="B998">
        <f t="shared" si="89"/>
        <v>9.3797264099121094</v>
      </c>
      <c r="C998">
        <v>10</v>
      </c>
      <c r="D998">
        <v>10</v>
      </c>
      <c r="E998">
        <v>90</v>
      </c>
      <c r="F998">
        <v>40</v>
      </c>
      <c r="G998">
        <v>9.3797267643270992</v>
      </c>
      <c r="M998" t="str">
        <f t="shared" si="90"/>
        <v>Pass</v>
      </c>
      <c r="N998">
        <f t="shared" si="91"/>
        <v>1.3320407560968306E-5</v>
      </c>
      <c r="O998">
        <v>50</v>
      </c>
      <c r="P998">
        <v>50</v>
      </c>
      <c r="Q998">
        <v>0.5</v>
      </c>
      <c r="R998" t="b">
        <v>1</v>
      </c>
      <c r="S998">
        <v>1.33204085305027E-5</v>
      </c>
      <c r="Y998" t="str">
        <f t="shared" si="92"/>
        <v>Pass</v>
      </c>
      <c r="Z998">
        <f t="shared" si="93"/>
        <v>125355.453125</v>
      </c>
      <c r="AA998">
        <v>15200</v>
      </c>
      <c r="AB998">
        <v>20</v>
      </c>
      <c r="AC998">
        <v>8</v>
      </c>
      <c r="AD998">
        <v>0.2</v>
      </c>
      <c r="AE998">
        <v>125355.453573639</v>
      </c>
    </row>
    <row r="999" spans="1:31" x14ac:dyDescent="0.3">
      <c r="A999" t="str">
        <f>IF(ISBLANK(B999),"",IF(ROUND(B999,0)=ROUND(G999,0),"Pass","Fail"))</f>
        <v>Pass</v>
      </c>
      <c r="B999">
        <f t="shared" si="89"/>
        <v>8.3022079467773438</v>
      </c>
      <c r="C999">
        <v>10</v>
      </c>
      <c r="D999">
        <v>10</v>
      </c>
      <c r="E999">
        <v>90</v>
      </c>
      <c r="F999">
        <v>48</v>
      </c>
      <c r="G999">
        <v>8.3022079008197203</v>
      </c>
      <c r="M999" t="str">
        <f t="shared" si="90"/>
        <v>Pass</v>
      </c>
      <c r="N999">
        <f t="shared" si="91"/>
        <v>8.8755390606820583E-5</v>
      </c>
      <c r="O999">
        <v>50</v>
      </c>
      <c r="P999">
        <v>50</v>
      </c>
      <c r="Q999">
        <v>0.5</v>
      </c>
      <c r="R999" t="b">
        <v>0</v>
      </c>
      <c r="S999">
        <v>8.8755384811282706E-5</v>
      </c>
      <c r="Y999" t="str">
        <f t="shared" si="92"/>
        <v>Pass</v>
      </c>
      <c r="Z999">
        <f t="shared" si="93"/>
        <v>135810.015625</v>
      </c>
      <c r="AA999">
        <v>15200</v>
      </c>
      <c r="AB999">
        <v>20</v>
      </c>
      <c r="AC999">
        <v>10</v>
      </c>
      <c r="AD999">
        <v>0.2</v>
      </c>
      <c r="AE999">
        <v>135810.00484630201</v>
      </c>
    </row>
    <row r="1000" spans="1:31" x14ac:dyDescent="0.3">
      <c r="A1000" t="str">
        <f>IF(ISBLANK(B1000),"",IF(ROUND(B1000,0)=ROUND(G1000,0),"Pass","Fail"))</f>
        <v>Pass</v>
      </c>
      <c r="B1000">
        <f t="shared" si="89"/>
        <v>74.337997436523438</v>
      </c>
      <c r="C1000">
        <v>10</v>
      </c>
      <c r="D1000">
        <v>10</v>
      </c>
      <c r="E1000">
        <v>100</v>
      </c>
      <c r="F1000">
        <v>0</v>
      </c>
      <c r="G1000">
        <v>74.337999999999994</v>
      </c>
      <c r="M1000" t="str">
        <f t="shared" si="90"/>
        <v>Pass</v>
      </c>
      <c r="N1000">
        <f t="shared" si="91"/>
        <v>1.5590187103953212E-5</v>
      </c>
      <c r="O1000">
        <v>50</v>
      </c>
      <c r="P1000">
        <v>50</v>
      </c>
      <c r="Q1000">
        <v>1</v>
      </c>
      <c r="R1000" t="b">
        <v>1</v>
      </c>
      <c r="S1000">
        <v>1.5590188047987001E-5</v>
      </c>
      <c r="Y1000" t="str">
        <f t="shared" si="92"/>
        <v>Pass</v>
      </c>
      <c r="Z1000">
        <f t="shared" si="93"/>
        <v>142817.90625</v>
      </c>
      <c r="AA1000">
        <v>15200</v>
      </c>
      <c r="AB1000">
        <v>20</v>
      </c>
      <c r="AC1000">
        <v>12</v>
      </c>
      <c r="AD1000">
        <v>0.2</v>
      </c>
      <c r="AE1000">
        <v>142817.90013667601</v>
      </c>
    </row>
    <row r="1001" spans="1:31" x14ac:dyDescent="0.3">
      <c r="A1001" t="str">
        <f>IF(ISBLANK(B1001),"",IF(ROUND(B1001,0)=ROUND(G1001,0),"Pass","Fail"))</f>
        <v>Pass</v>
      </c>
      <c r="B1001">
        <f t="shared" si="89"/>
        <v>41.001228332519531</v>
      </c>
      <c r="C1001">
        <v>10</v>
      </c>
      <c r="D1001">
        <v>10</v>
      </c>
      <c r="E1001">
        <v>100</v>
      </c>
      <c r="F1001">
        <v>8</v>
      </c>
      <c r="G1001">
        <v>41.001228080723003</v>
      </c>
      <c r="M1001" t="str">
        <f t="shared" si="90"/>
        <v>Pass</v>
      </c>
      <c r="N1001">
        <f t="shared" si="91"/>
        <v>1.0387918882770464E-4</v>
      </c>
      <c r="O1001">
        <v>50</v>
      </c>
      <c r="P1001">
        <v>50</v>
      </c>
      <c r="Q1001">
        <v>1</v>
      </c>
      <c r="R1001" t="b">
        <v>0</v>
      </c>
      <c r="S1001">
        <v>1.03879181806679E-4</v>
      </c>
      <c r="Y1001" t="str">
        <f t="shared" si="92"/>
        <v>Pass</v>
      </c>
      <c r="Z1001">
        <f t="shared" si="93"/>
        <v>147515.421875</v>
      </c>
      <c r="AA1001">
        <v>15200</v>
      </c>
      <c r="AB1001">
        <v>20</v>
      </c>
      <c r="AC1001">
        <v>14</v>
      </c>
      <c r="AD1001">
        <v>0.2</v>
      </c>
      <c r="AE1001">
        <v>147515.43283033199</v>
      </c>
    </row>
    <row r="1002" spans="1:31" x14ac:dyDescent="0.3">
      <c r="A1002" t="str">
        <f>IF(ISBLANK(B1002),"",IF(ROUND(B1002,0)=ROUND(G1002,0),"Pass","Fail"))</f>
        <v>Pass</v>
      </c>
      <c r="B1002">
        <f t="shared" si="89"/>
        <v>24.219997406005859</v>
      </c>
      <c r="C1002">
        <v>10</v>
      </c>
      <c r="D1002">
        <v>10</v>
      </c>
      <c r="E1002">
        <v>100</v>
      </c>
      <c r="F1002">
        <v>16</v>
      </c>
      <c r="G1002">
        <v>24.219997247101698</v>
      </c>
      <c r="M1002" t="str">
        <f t="shared" si="90"/>
        <v>Pass</v>
      </c>
      <c r="N1002">
        <f t="shared" si="91"/>
        <v>1.7093227143050171E-5</v>
      </c>
      <c r="O1002">
        <v>50</v>
      </c>
      <c r="P1002">
        <v>50</v>
      </c>
      <c r="Q1002">
        <v>1.5</v>
      </c>
      <c r="R1002" t="b">
        <v>1</v>
      </c>
      <c r="S1002">
        <v>1.7093227366677302E-5</v>
      </c>
      <c r="Y1002" t="str">
        <f t="shared" si="92"/>
        <v>Pass</v>
      </c>
      <c r="Z1002">
        <f t="shared" si="93"/>
        <v>150664.28125</v>
      </c>
      <c r="AA1002">
        <v>15200</v>
      </c>
      <c r="AB1002">
        <v>20</v>
      </c>
      <c r="AC1002">
        <v>16</v>
      </c>
      <c r="AD1002">
        <v>0.2</v>
      </c>
      <c r="AE1002">
        <v>150664.283161798</v>
      </c>
    </row>
    <row r="1003" spans="1:31" x14ac:dyDescent="0.3">
      <c r="A1003" t="str">
        <f>IF(ISBLANK(B1003),"",IF(ROUND(B1003,0)=ROUND(G1003,0),"Pass","Fail"))</f>
        <v>Pass</v>
      </c>
      <c r="B1003">
        <f t="shared" si="89"/>
        <v>15.772577285766602</v>
      </c>
      <c r="C1003">
        <v>10</v>
      </c>
      <c r="D1003">
        <v>10</v>
      </c>
      <c r="E1003">
        <v>100</v>
      </c>
      <c r="F1003">
        <v>24</v>
      </c>
      <c r="G1003">
        <v>15.772577413736199</v>
      </c>
      <c r="M1003" t="str">
        <f t="shared" si="90"/>
        <v>Pass</v>
      </c>
      <c r="N1003">
        <f t="shared" si="91"/>
        <v>1.1389410792617127E-4</v>
      </c>
      <c r="O1003">
        <v>50</v>
      </c>
      <c r="P1003">
        <v>50</v>
      </c>
      <c r="Q1003">
        <v>1.5</v>
      </c>
      <c r="R1003" t="b">
        <v>0</v>
      </c>
      <c r="S1003">
        <v>1.13894102355953E-4</v>
      </c>
      <c r="Y1003" t="str">
        <f t="shared" si="92"/>
        <v>Pass</v>
      </c>
      <c r="Z1003">
        <f t="shared" si="93"/>
        <v>152775.03125</v>
      </c>
      <c r="AA1003">
        <v>15200</v>
      </c>
      <c r="AB1003">
        <v>20</v>
      </c>
      <c r="AC1003">
        <v>18</v>
      </c>
      <c r="AD1003">
        <v>0.2</v>
      </c>
      <c r="AE1003">
        <v>152775.02066094501</v>
      </c>
    </row>
    <row r="1004" spans="1:31" x14ac:dyDescent="0.3">
      <c r="A1004" t="str">
        <f>IF(ISBLANK(B1004),"",IF(ROUND(B1004,0)=ROUND(G1004,0),"Pass","Fail"))</f>
        <v>Pass</v>
      </c>
      <c r="B1004">
        <f t="shared" si="89"/>
        <v>11.520273208618164</v>
      </c>
      <c r="C1004">
        <v>10</v>
      </c>
      <c r="D1004">
        <v>10</v>
      </c>
      <c r="E1004">
        <v>100</v>
      </c>
      <c r="F1004">
        <v>32</v>
      </c>
      <c r="G1004">
        <v>11.5202730059946</v>
      </c>
      <c r="M1004" t="str">
        <f t="shared" si="90"/>
        <v>Pass</v>
      </c>
      <c r="N1004">
        <f t="shared" si="91"/>
        <v>1.8246733816340566E-5</v>
      </c>
      <c r="O1004">
        <v>50</v>
      </c>
      <c r="P1004">
        <v>50</v>
      </c>
      <c r="Q1004">
        <v>2</v>
      </c>
      <c r="R1004" t="b">
        <v>1</v>
      </c>
      <c r="S1004">
        <v>1.8246734911697301E-5</v>
      </c>
      <c r="Y1004" t="str">
        <f t="shared" si="92"/>
        <v>Pass</v>
      </c>
      <c r="Z1004">
        <f t="shared" si="93"/>
        <v>154189.90625</v>
      </c>
      <c r="AA1004">
        <v>15200</v>
      </c>
      <c r="AB1004">
        <v>20</v>
      </c>
      <c r="AC1004">
        <v>20</v>
      </c>
      <c r="AD1004">
        <v>0.2</v>
      </c>
      <c r="AE1004">
        <v>154189.89031854199</v>
      </c>
    </row>
    <row r="1005" spans="1:31" x14ac:dyDescent="0.3">
      <c r="A1005" t="str">
        <f>IF(ISBLANK(B1005),"",IF(ROUND(B1005,0)=ROUND(G1005,0),"Pass","Fail"))</f>
        <v>Pass</v>
      </c>
      <c r="B1005">
        <f t="shared" si="89"/>
        <v>9.3797264099121094</v>
      </c>
      <c r="C1005">
        <v>10</v>
      </c>
      <c r="D1005">
        <v>10</v>
      </c>
      <c r="E1005">
        <v>100</v>
      </c>
      <c r="F1005">
        <v>40</v>
      </c>
      <c r="G1005">
        <v>9.3797267643270992</v>
      </c>
      <c r="M1005" t="str">
        <f t="shared" si="90"/>
        <v>Pass</v>
      </c>
      <c r="N1005">
        <f t="shared" si="91"/>
        <v>1.2158005119999871E-4</v>
      </c>
      <c r="O1005">
        <v>50</v>
      </c>
      <c r="P1005">
        <v>50</v>
      </c>
      <c r="Q1005">
        <v>2</v>
      </c>
      <c r="R1005" t="b">
        <v>0</v>
      </c>
      <c r="S1005">
        <v>1.21580053264029E-4</v>
      </c>
      <c r="Y1005" t="str">
        <f t="shared" si="92"/>
        <v>Pass</v>
      </c>
      <c r="Z1005">
        <f t="shared" si="93"/>
        <v>155138.3125</v>
      </c>
      <c r="AA1005">
        <v>15200</v>
      </c>
      <c r="AB1005">
        <v>20</v>
      </c>
      <c r="AC1005">
        <v>22</v>
      </c>
      <c r="AD1005">
        <v>0.2</v>
      </c>
      <c r="AE1005">
        <v>155138.30581255801</v>
      </c>
    </row>
    <row r="1006" spans="1:31" x14ac:dyDescent="0.3">
      <c r="A1006" t="str">
        <f>IF(ISBLANK(B1006),"",IF(ROUND(B1006,0)=ROUND(G1006,0),"Pass","Fail"))</f>
        <v>Pass</v>
      </c>
      <c r="B1006">
        <f t="shared" si="89"/>
        <v>8.3022079467773438</v>
      </c>
      <c r="C1006">
        <v>10</v>
      </c>
      <c r="D1006">
        <v>10</v>
      </c>
      <c r="E1006">
        <v>100</v>
      </c>
      <c r="F1006">
        <v>48</v>
      </c>
      <c r="G1006">
        <v>8.3022079008197203</v>
      </c>
      <c r="M1006" t="str">
        <f t="shared" si="90"/>
        <v>Pass</v>
      </c>
      <c r="N1006">
        <f t="shared" si="91"/>
        <v>1.9194803826394491E-5</v>
      </c>
      <c r="O1006">
        <v>50</v>
      </c>
      <c r="P1006">
        <v>50</v>
      </c>
      <c r="Q1006">
        <v>2.5</v>
      </c>
      <c r="R1006" t="b">
        <v>1</v>
      </c>
      <c r="S1006">
        <v>1.9194806376594E-5</v>
      </c>
      <c r="Y1006" t="str">
        <f t="shared" si="92"/>
        <v>Pass</v>
      </c>
      <c r="Z1006">
        <f t="shared" si="93"/>
        <v>155774.0625</v>
      </c>
      <c r="AA1006">
        <v>15200</v>
      </c>
      <c r="AB1006">
        <v>20</v>
      </c>
      <c r="AC1006">
        <v>24</v>
      </c>
      <c r="AD1006">
        <v>0.2</v>
      </c>
      <c r="AE1006">
        <v>155774.04773016699</v>
      </c>
    </row>
    <row r="1007" spans="1:31" x14ac:dyDescent="0.3">
      <c r="A1007" t="str">
        <f>IF(ISBLANK(B1007),"",IF(ROUND(B1007,0)=ROUND(G1007,0),"Pass","Fail"))</f>
        <v>Pass</v>
      </c>
      <c r="B1007">
        <f t="shared" si="89"/>
        <v>8.5500001907348633</v>
      </c>
      <c r="C1007">
        <v>10</v>
      </c>
      <c r="D1007">
        <v>20</v>
      </c>
      <c r="E1007">
        <v>0</v>
      </c>
      <c r="F1007">
        <v>0</v>
      </c>
      <c r="G1007">
        <v>8.5500000000000007</v>
      </c>
      <c r="M1007" t="str">
        <f t="shared" si="90"/>
        <v>Pass</v>
      </c>
      <c r="N1007">
        <f t="shared" si="91"/>
        <v>1.2789714673999697E-4</v>
      </c>
      <c r="O1007">
        <v>50</v>
      </c>
      <c r="P1007">
        <v>50</v>
      </c>
      <c r="Q1007">
        <v>2.5</v>
      </c>
      <c r="R1007" t="b">
        <v>0</v>
      </c>
      <c r="S1007">
        <v>1.2789716039349999E-4</v>
      </c>
      <c r="Y1007" t="str">
        <f t="shared" si="92"/>
        <v>Pass</v>
      </c>
      <c r="Z1007">
        <f t="shared" si="93"/>
        <v>0</v>
      </c>
      <c r="AA1007">
        <v>15400</v>
      </c>
      <c r="AB1007">
        <v>20</v>
      </c>
      <c r="AC1007">
        <v>0</v>
      </c>
      <c r="AD1007">
        <v>0.2</v>
      </c>
      <c r="AE1007">
        <v>0</v>
      </c>
    </row>
    <row r="1008" spans="1:31" x14ac:dyDescent="0.3">
      <c r="A1008" t="str">
        <f>IF(ISBLANK(B1008),"",IF(ROUND(B1008,0)=ROUND(G1008,0),"Pass","Fail"))</f>
        <v>Pass</v>
      </c>
      <c r="B1008">
        <f t="shared" si="89"/>
        <v>8.5500001907348633</v>
      </c>
      <c r="C1008">
        <v>10</v>
      </c>
      <c r="D1008">
        <v>20</v>
      </c>
      <c r="E1008">
        <v>0</v>
      </c>
      <c r="F1008">
        <v>8</v>
      </c>
      <c r="G1008">
        <v>8.5500000000000007</v>
      </c>
      <c r="M1008" t="str">
        <f t="shared" si="90"/>
        <v>Pass</v>
      </c>
      <c r="N1008">
        <f t="shared" si="91"/>
        <v>2.0005887563456781E-5</v>
      </c>
      <c r="O1008">
        <v>50</v>
      </c>
      <c r="P1008">
        <v>50</v>
      </c>
      <c r="Q1008">
        <v>3</v>
      </c>
      <c r="R1008" t="b">
        <v>1</v>
      </c>
      <c r="S1008">
        <v>2.00058900883754E-5</v>
      </c>
      <c r="Y1008" t="str">
        <f t="shared" si="92"/>
        <v>Pass</v>
      </c>
      <c r="Z1008">
        <f t="shared" si="93"/>
        <v>52463.06640625</v>
      </c>
      <c r="AA1008">
        <v>15400</v>
      </c>
      <c r="AB1008">
        <v>20</v>
      </c>
      <c r="AC1008">
        <v>2</v>
      </c>
      <c r="AD1008">
        <v>0.2</v>
      </c>
      <c r="AE1008">
        <v>52463.0700075286</v>
      </c>
    </row>
    <row r="1009" spans="1:31" x14ac:dyDescent="0.3">
      <c r="A1009" t="str">
        <f>IF(ISBLANK(B1009),"",IF(ROUND(B1009,0)=ROUND(G1009,0),"Pass","Fail"))</f>
        <v>Pass</v>
      </c>
      <c r="B1009">
        <f t="shared" si="89"/>
        <v>8.5500001907348633</v>
      </c>
      <c r="C1009">
        <v>10</v>
      </c>
      <c r="D1009">
        <v>20</v>
      </c>
      <c r="E1009">
        <v>0</v>
      </c>
      <c r="F1009">
        <v>16</v>
      </c>
      <c r="G1009">
        <v>8.5500000000000007</v>
      </c>
      <c r="M1009" t="str">
        <f t="shared" si="90"/>
        <v>Pass</v>
      </c>
      <c r="N1009">
        <f t="shared" si="91"/>
        <v>1.3330150977708399E-4</v>
      </c>
      <c r="O1009">
        <v>50</v>
      </c>
      <c r="P1009">
        <v>50</v>
      </c>
      <c r="Q1009">
        <v>3</v>
      </c>
      <c r="R1009" t="b">
        <v>0</v>
      </c>
      <c r="S1009">
        <v>1.3330150266937501E-4</v>
      </c>
      <c r="Y1009" t="str">
        <f t="shared" si="92"/>
        <v>Pass</v>
      </c>
      <c r="Z1009">
        <f t="shared" si="93"/>
        <v>87630.1171875</v>
      </c>
      <c r="AA1009">
        <v>15400</v>
      </c>
      <c r="AB1009">
        <v>20</v>
      </c>
      <c r="AC1009">
        <v>4</v>
      </c>
      <c r="AD1009">
        <v>0.2</v>
      </c>
      <c r="AE1009">
        <v>87630.117510146098</v>
      </c>
    </row>
    <row r="1010" spans="1:31" x14ac:dyDescent="0.3">
      <c r="A1010" t="str">
        <f>IF(ISBLANK(B1010),"",IF(ROUND(B1010,0)=ROUND(G1010,0),"Pass","Fail"))</f>
        <v>Pass</v>
      </c>
      <c r="B1010">
        <f t="shared" si="89"/>
        <v>8.5500001907348633</v>
      </c>
      <c r="C1010">
        <v>10</v>
      </c>
      <c r="D1010">
        <v>20</v>
      </c>
      <c r="E1010">
        <v>0</v>
      </c>
      <c r="F1010">
        <v>24</v>
      </c>
      <c r="G1010">
        <v>8.5500000000000007</v>
      </c>
      <c r="M1010" t="str">
        <f t="shared" si="90"/>
        <v>Pass</v>
      </c>
      <c r="N1010">
        <f t="shared" si="91"/>
        <v>2.0718331143143587E-5</v>
      </c>
      <c r="O1010">
        <v>50</v>
      </c>
      <c r="P1010">
        <v>50</v>
      </c>
      <c r="Q1010">
        <v>3.5</v>
      </c>
      <c r="R1010" t="b">
        <v>1</v>
      </c>
      <c r="S1010">
        <v>2.07183325534967E-5</v>
      </c>
      <c r="Y1010" t="str">
        <f t="shared" si="92"/>
        <v>Pass</v>
      </c>
      <c r="Z1010">
        <f t="shared" si="93"/>
        <v>111203.296875</v>
      </c>
      <c r="AA1010">
        <v>15400</v>
      </c>
      <c r="AB1010">
        <v>20</v>
      </c>
      <c r="AC1010">
        <v>6</v>
      </c>
      <c r="AD1010">
        <v>0.2</v>
      </c>
      <c r="AE1010">
        <v>111203.294411038</v>
      </c>
    </row>
    <row r="1011" spans="1:31" x14ac:dyDescent="0.3">
      <c r="A1011" t="str">
        <f>IF(ISBLANK(B1011),"",IF(ROUND(B1011,0)=ROUND(G1011,0),"Pass","Fail"))</f>
        <v>Pass</v>
      </c>
      <c r="B1011">
        <f t="shared" si="89"/>
        <v>8.5500001907348633</v>
      </c>
      <c r="C1011">
        <v>10</v>
      </c>
      <c r="D1011">
        <v>20</v>
      </c>
      <c r="E1011">
        <v>0</v>
      </c>
      <c r="F1011">
        <v>32</v>
      </c>
      <c r="G1011">
        <v>8.5500000000000007</v>
      </c>
      <c r="M1011" t="str">
        <f t="shared" si="90"/>
        <v>Pass</v>
      </c>
      <c r="N1011">
        <f t="shared" si="91"/>
        <v>1.3804859190713614E-4</v>
      </c>
      <c r="O1011">
        <v>50</v>
      </c>
      <c r="P1011">
        <v>50</v>
      </c>
      <c r="Q1011">
        <v>3.5</v>
      </c>
      <c r="R1011" t="b">
        <v>0</v>
      </c>
      <c r="S1011">
        <v>1.3804858719031399E-4</v>
      </c>
      <c r="Y1011" t="str">
        <f t="shared" si="92"/>
        <v>Pass</v>
      </c>
      <c r="Z1011">
        <f t="shared" si="93"/>
        <v>127004.8671875</v>
      </c>
      <c r="AA1011">
        <v>15400</v>
      </c>
      <c r="AB1011">
        <v>20</v>
      </c>
      <c r="AC1011">
        <v>8</v>
      </c>
      <c r="AD1011">
        <v>0.2</v>
      </c>
      <c r="AE1011">
        <v>127004.86743645</v>
      </c>
    </row>
    <row r="1012" spans="1:31" x14ac:dyDescent="0.3">
      <c r="A1012" t="str">
        <f>IF(ISBLANK(B1012),"",IF(ROUND(B1012,0)=ROUND(G1012,0),"Pass","Fail"))</f>
        <v>Pass</v>
      </c>
      <c r="B1012">
        <f t="shared" si="89"/>
        <v>8.5500001907348633</v>
      </c>
      <c r="C1012">
        <v>10</v>
      </c>
      <c r="D1012">
        <v>20</v>
      </c>
      <c r="E1012">
        <v>0</v>
      </c>
      <c r="F1012">
        <v>40</v>
      </c>
      <c r="G1012">
        <v>8.5500000000000007</v>
      </c>
      <c r="M1012" t="str">
        <f t="shared" si="90"/>
        <v>Pass</v>
      </c>
      <c r="N1012">
        <f t="shared" si="91"/>
        <v>2.1355954231694341E-5</v>
      </c>
      <c r="O1012">
        <v>50</v>
      </c>
      <c r="P1012">
        <v>50</v>
      </c>
      <c r="Q1012">
        <v>4</v>
      </c>
      <c r="R1012" t="b">
        <v>1</v>
      </c>
      <c r="S1012">
        <v>2.1355953751997499E-5</v>
      </c>
      <c r="Y1012" t="str">
        <f t="shared" si="92"/>
        <v>Pass</v>
      </c>
      <c r="Z1012">
        <f t="shared" si="93"/>
        <v>137596.984375</v>
      </c>
      <c r="AA1012">
        <v>15400</v>
      </c>
      <c r="AB1012">
        <v>20</v>
      </c>
      <c r="AC1012">
        <v>10</v>
      </c>
      <c r="AD1012">
        <v>0.2</v>
      </c>
      <c r="AE1012">
        <v>137596.97859427999</v>
      </c>
    </row>
    <row r="1013" spans="1:31" x14ac:dyDescent="0.3">
      <c r="A1013" t="str">
        <f>IF(ISBLANK(B1013),"",IF(ROUND(B1013,0)=ROUND(G1013,0),"Pass","Fail"))</f>
        <v>Pass</v>
      </c>
      <c r="B1013">
        <f t="shared" si="89"/>
        <v>8.5500001907348633</v>
      </c>
      <c r="C1013">
        <v>10</v>
      </c>
      <c r="D1013">
        <v>20</v>
      </c>
      <c r="E1013">
        <v>0</v>
      </c>
      <c r="F1013">
        <v>48</v>
      </c>
      <c r="G1013">
        <v>8.5500000000000007</v>
      </c>
      <c r="M1013" t="str">
        <f t="shared" si="90"/>
        <v>Pass</v>
      </c>
      <c r="N1013">
        <f t="shared" si="91"/>
        <v>1.4229712542146444E-4</v>
      </c>
      <c r="O1013">
        <v>50</v>
      </c>
      <c r="P1013">
        <v>50</v>
      </c>
      <c r="Q1013">
        <v>4</v>
      </c>
      <c r="R1013" t="b">
        <v>0</v>
      </c>
      <c r="S1013">
        <v>1.4229712917062799E-4</v>
      </c>
      <c r="Y1013" t="str">
        <f t="shared" si="92"/>
        <v>Pass</v>
      </c>
      <c r="Z1013">
        <f t="shared" si="93"/>
        <v>144697.09375</v>
      </c>
      <c r="AA1013">
        <v>15400</v>
      </c>
      <c r="AB1013">
        <v>20</v>
      </c>
      <c r="AC1013">
        <v>12</v>
      </c>
      <c r="AD1013">
        <v>0.2</v>
      </c>
      <c r="AE1013">
        <v>144697.08303321101</v>
      </c>
    </row>
    <row r="1014" spans="1:31" x14ac:dyDescent="0.3">
      <c r="A1014" t="str">
        <f>IF(ISBLANK(B1014),"",IF(ROUND(B1014,0)=ROUND(G1014,0),"Pass","Fail"))</f>
        <v>Pass</v>
      </c>
      <c r="B1014">
        <f t="shared" si="89"/>
        <v>75.678001403808594</v>
      </c>
      <c r="C1014">
        <v>10</v>
      </c>
      <c r="D1014">
        <v>20</v>
      </c>
      <c r="E1014">
        <v>10</v>
      </c>
      <c r="F1014">
        <v>0</v>
      </c>
      <c r="G1014">
        <v>75.677999999998306</v>
      </c>
      <c r="M1014" t="str">
        <f t="shared" si="90"/>
        <v>Pass</v>
      </c>
      <c r="N1014">
        <f t="shared" si="91"/>
        <v>0</v>
      </c>
      <c r="O1014">
        <v>50</v>
      </c>
      <c r="P1014">
        <v>60</v>
      </c>
      <c r="Q1014">
        <v>0</v>
      </c>
      <c r="R1014" t="b">
        <v>1</v>
      </c>
      <c r="S1014">
        <v>0</v>
      </c>
      <c r="Y1014" t="str">
        <f t="shared" si="92"/>
        <v>Pass</v>
      </c>
      <c r="Z1014">
        <f t="shared" si="93"/>
        <v>149456.421875</v>
      </c>
      <c r="AA1014">
        <v>15400</v>
      </c>
      <c r="AB1014">
        <v>20</v>
      </c>
      <c r="AC1014">
        <v>14</v>
      </c>
      <c r="AD1014">
        <v>0.2</v>
      </c>
      <c r="AE1014">
        <v>149456.42536757301</v>
      </c>
    </row>
    <row r="1015" spans="1:31" x14ac:dyDescent="0.3">
      <c r="A1015" t="str">
        <f>IF(ISBLANK(B1015),"",IF(ROUND(B1015,0)=ROUND(G1015,0),"Pass","Fail"))</f>
        <v>Pass</v>
      </c>
      <c r="B1015">
        <f t="shared" si="89"/>
        <v>42.341228485107422</v>
      </c>
      <c r="C1015">
        <v>10</v>
      </c>
      <c r="D1015">
        <v>20</v>
      </c>
      <c r="E1015">
        <v>10</v>
      </c>
      <c r="F1015">
        <v>8</v>
      </c>
      <c r="G1015">
        <v>42.341228080722203</v>
      </c>
      <c r="M1015" t="str">
        <f t="shared" si="90"/>
        <v>Pass</v>
      </c>
      <c r="N1015">
        <f t="shared" si="91"/>
        <v>0</v>
      </c>
      <c r="O1015">
        <v>50</v>
      </c>
      <c r="P1015">
        <v>60</v>
      </c>
      <c r="Q1015">
        <v>0</v>
      </c>
      <c r="R1015" t="b">
        <v>0</v>
      </c>
      <c r="S1015">
        <v>0</v>
      </c>
      <c r="Y1015" t="str">
        <f t="shared" si="92"/>
        <v>Pass</v>
      </c>
      <c r="Z1015">
        <f t="shared" si="93"/>
        <v>152646.703125</v>
      </c>
      <c r="AA1015">
        <v>15400</v>
      </c>
      <c r="AB1015">
        <v>20</v>
      </c>
      <c r="AC1015">
        <v>16</v>
      </c>
      <c r="AD1015">
        <v>0.2</v>
      </c>
      <c r="AE1015">
        <v>152646.70794024199</v>
      </c>
    </row>
    <row r="1016" spans="1:31" x14ac:dyDescent="0.3">
      <c r="A1016" t="str">
        <f>IF(ISBLANK(B1016),"",IF(ROUND(B1016,0)=ROUND(G1016,0),"Pass","Fail"))</f>
        <v>Pass</v>
      </c>
      <c r="B1016">
        <f t="shared" si="89"/>
        <v>25.55999755859375</v>
      </c>
      <c r="C1016">
        <v>10</v>
      </c>
      <c r="D1016">
        <v>20</v>
      </c>
      <c r="E1016">
        <v>10</v>
      </c>
      <c r="F1016">
        <v>16</v>
      </c>
      <c r="G1016">
        <v>25.5599972471013</v>
      </c>
      <c r="M1016" t="str">
        <f t="shared" si="90"/>
        <v>Pass</v>
      </c>
      <c r="N1016">
        <f t="shared" si="91"/>
        <v>2.4397184006375028E-7</v>
      </c>
      <c r="O1016">
        <v>50</v>
      </c>
      <c r="P1016">
        <v>60</v>
      </c>
      <c r="Q1016">
        <v>0.5</v>
      </c>
      <c r="R1016" t="b">
        <v>1</v>
      </c>
      <c r="S1016">
        <v>2.4397185247909399E-7</v>
      </c>
      <c r="Y1016" t="str">
        <f t="shared" si="92"/>
        <v>Pass</v>
      </c>
      <c r="Z1016">
        <f t="shared" si="93"/>
        <v>154785.21875</v>
      </c>
      <c r="AA1016">
        <v>15400</v>
      </c>
      <c r="AB1016">
        <v>20</v>
      </c>
      <c r="AC1016">
        <v>18</v>
      </c>
      <c r="AD1016">
        <v>0.2</v>
      </c>
      <c r="AE1016">
        <v>154785.21830122001</v>
      </c>
    </row>
    <row r="1017" spans="1:31" x14ac:dyDescent="0.3">
      <c r="A1017" t="str">
        <f>IF(ISBLANK(B1017),"",IF(ROUND(B1017,0)=ROUND(G1017,0),"Pass","Fail"))</f>
        <v>Pass</v>
      </c>
      <c r="B1017">
        <f t="shared" si="89"/>
        <v>17.112577438354492</v>
      </c>
      <c r="C1017">
        <v>10</v>
      </c>
      <c r="D1017">
        <v>20</v>
      </c>
      <c r="E1017">
        <v>10</v>
      </c>
      <c r="F1017">
        <v>24</v>
      </c>
      <c r="G1017">
        <v>17.112577413735998</v>
      </c>
      <c r="M1017" t="str">
        <f t="shared" si="90"/>
        <v>Pass</v>
      </c>
      <c r="N1017">
        <f t="shared" si="91"/>
        <v>1.6256120716207079E-6</v>
      </c>
      <c r="O1017">
        <v>50</v>
      </c>
      <c r="P1017">
        <v>60</v>
      </c>
      <c r="Q1017">
        <v>0.5</v>
      </c>
      <c r="R1017" t="b">
        <v>0</v>
      </c>
      <c r="S1017">
        <v>1.62561197731419E-6</v>
      </c>
      <c r="Y1017" t="str">
        <f t="shared" si="92"/>
        <v>Pass</v>
      </c>
      <c r="Z1017">
        <f t="shared" si="93"/>
        <v>156218.71875</v>
      </c>
      <c r="AA1017">
        <v>15400</v>
      </c>
      <c r="AB1017">
        <v>20</v>
      </c>
      <c r="AC1017">
        <v>20</v>
      </c>
      <c r="AD1017">
        <v>0.2</v>
      </c>
      <c r="AE1017">
        <v>156218.704664839</v>
      </c>
    </row>
    <row r="1018" spans="1:31" x14ac:dyDescent="0.3">
      <c r="A1018" t="str">
        <f>IF(ISBLANK(B1018),"",IF(ROUND(B1018,0)=ROUND(G1018,0),"Pass","Fail"))</f>
        <v>Pass</v>
      </c>
      <c r="B1018">
        <f t="shared" si="89"/>
        <v>12.860273361206055</v>
      </c>
      <c r="C1018">
        <v>10</v>
      </c>
      <c r="D1018">
        <v>20</v>
      </c>
      <c r="E1018">
        <v>10</v>
      </c>
      <c r="F1018">
        <v>32</v>
      </c>
      <c r="G1018">
        <v>12.8602730059945</v>
      </c>
      <c r="M1018" t="str">
        <f t="shared" si="90"/>
        <v>Pass</v>
      </c>
      <c r="N1018">
        <f t="shared" si="91"/>
        <v>2.8554430286931165E-7</v>
      </c>
      <c r="O1018">
        <v>50</v>
      </c>
      <c r="P1018">
        <v>60</v>
      </c>
      <c r="Q1018">
        <v>1</v>
      </c>
      <c r="R1018" t="b">
        <v>1</v>
      </c>
      <c r="S1018">
        <v>2.8554432469957099E-7</v>
      </c>
      <c r="Y1018" t="str">
        <f t="shared" si="92"/>
        <v>Pass</v>
      </c>
      <c r="Z1018">
        <f t="shared" si="93"/>
        <v>157179.609375</v>
      </c>
      <c r="AA1018">
        <v>15400</v>
      </c>
      <c r="AB1018">
        <v>20</v>
      </c>
      <c r="AC1018">
        <v>22</v>
      </c>
      <c r="AD1018">
        <v>0.2</v>
      </c>
      <c r="AE1018">
        <v>157179.599310091</v>
      </c>
    </row>
    <row r="1019" spans="1:31" x14ac:dyDescent="0.3">
      <c r="A1019" t="str">
        <f>IF(ISBLANK(B1019),"",IF(ROUND(B1019,0)=ROUND(G1019,0),"Pass","Fail"))</f>
        <v>Pass</v>
      </c>
      <c r="B1019">
        <f t="shared" si="89"/>
        <v>10.7197265625</v>
      </c>
      <c r="C1019">
        <v>10</v>
      </c>
      <c r="D1019">
        <v>20</v>
      </c>
      <c r="E1019">
        <v>10</v>
      </c>
      <c r="F1019">
        <v>40</v>
      </c>
      <c r="G1019">
        <v>10.719726764327</v>
      </c>
      <c r="M1019" t="str">
        <f t="shared" si="90"/>
        <v>Pass</v>
      </c>
      <c r="N1019">
        <f t="shared" si="91"/>
        <v>1.9026141444555833E-6</v>
      </c>
      <c r="O1019">
        <v>50</v>
      </c>
      <c r="P1019">
        <v>60</v>
      </c>
      <c r="Q1019">
        <v>1</v>
      </c>
      <c r="R1019" t="b">
        <v>0</v>
      </c>
      <c r="S1019">
        <v>1.9026140498133501E-6</v>
      </c>
      <c r="Y1019" t="str">
        <f t="shared" si="92"/>
        <v>Pass</v>
      </c>
      <c r="Z1019">
        <f t="shared" si="93"/>
        <v>157823.71875</v>
      </c>
      <c r="AA1019">
        <v>15400</v>
      </c>
      <c r="AB1019">
        <v>20</v>
      </c>
      <c r="AC1019">
        <v>24</v>
      </c>
      <c r="AD1019">
        <v>0.2</v>
      </c>
      <c r="AE1019">
        <v>157823.706252932</v>
      </c>
    </row>
    <row r="1020" spans="1:31" x14ac:dyDescent="0.3">
      <c r="A1020" t="str">
        <f>IF(ISBLANK(B1020),"",IF(ROUND(B1020,0)=ROUND(G1020,0),"Pass","Fail"))</f>
        <v>Pass</v>
      </c>
      <c r="B1020">
        <f t="shared" si="89"/>
        <v>9.6422080993652344</v>
      </c>
      <c r="C1020">
        <v>10</v>
      </c>
      <c r="D1020">
        <v>20</v>
      </c>
      <c r="E1020">
        <v>10</v>
      </c>
      <c r="F1020">
        <v>48</v>
      </c>
      <c r="G1020">
        <v>9.6422079008196899</v>
      </c>
      <c r="M1020" t="str">
        <f t="shared" si="90"/>
        <v>Pass</v>
      </c>
      <c r="N1020">
        <f t="shared" si="91"/>
        <v>3.1307342851505382E-7</v>
      </c>
      <c r="O1020">
        <v>50</v>
      </c>
      <c r="P1020">
        <v>60</v>
      </c>
      <c r="Q1020">
        <v>1.5</v>
      </c>
      <c r="R1020" t="b">
        <v>1</v>
      </c>
      <c r="S1020">
        <v>3.13073456864706E-7</v>
      </c>
      <c r="Y1020" t="str">
        <f t="shared" si="92"/>
        <v>Pass</v>
      </c>
      <c r="Z1020">
        <f t="shared" si="93"/>
        <v>0</v>
      </c>
      <c r="AA1020">
        <v>15600</v>
      </c>
      <c r="AB1020">
        <v>20</v>
      </c>
      <c r="AC1020">
        <v>0</v>
      </c>
      <c r="AD1020">
        <v>0.2</v>
      </c>
      <c r="AE1020">
        <v>0</v>
      </c>
    </row>
    <row r="1021" spans="1:31" x14ac:dyDescent="0.3">
      <c r="A1021" t="str">
        <f>IF(ISBLANK(B1021),"",IF(ROUND(B1021,0)=ROUND(G1021,0),"Pass","Fail"))</f>
        <v>Pass</v>
      </c>
      <c r="B1021">
        <f t="shared" si="89"/>
        <v>75.678001403808594</v>
      </c>
      <c r="C1021">
        <v>10</v>
      </c>
      <c r="D1021">
        <v>20</v>
      </c>
      <c r="E1021">
        <v>20</v>
      </c>
      <c r="F1021">
        <v>0</v>
      </c>
      <c r="G1021">
        <v>75.677999999999997</v>
      </c>
      <c r="M1021" t="str">
        <f t="shared" si="90"/>
        <v>Pass</v>
      </c>
      <c r="N1021">
        <f t="shared" si="91"/>
        <v>2.0860438780800905E-6</v>
      </c>
      <c r="O1021">
        <v>50</v>
      </c>
      <c r="P1021">
        <v>60</v>
      </c>
      <c r="Q1021">
        <v>1.5</v>
      </c>
      <c r="R1021" t="b">
        <v>0</v>
      </c>
      <c r="S1021">
        <v>2.08604376319205E-6</v>
      </c>
      <c r="Y1021" t="str">
        <f t="shared" si="92"/>
        <v>Pass</v>
      </c>
      <c r="Z1021">
        <f t="shared" si="93"/>
        <v>53144.40625</v>
      </c>
      <c r="AA1021">
        <v>15600</v>
      </c>
      <c r="AB1021">
        <v>20</v>
      </c>
      <c r="AC1021">
        <v>2</v>
      </c>
      <c r="AD1021">
        <v>0.2</v>
      </c>
      <c r="AE1021">
        <v>53144.4085790549</v>
      </c>
    </row>
    <row r="1022" spans="1:31" x14ac:dyDescent="0.3">
      <c r="A1022" t="str">
        <f>IF(ISBLANK(B1022),"",IF(ROUND(B1022,0)=ROUND(G1022,0),"Pass","Fail"))</f>
        <v>Pass</v>
      </c>
      <c r="B1022">
        <f t="shared" si="89"/>
        <v>42.341228485107422</v>
      </c>
      <c r="C1022">
        <v>10</v>
      </c>
      <c r="D1022">
        <v>20</v>
      </c>
      <c r="E1022">
        <v>20</v>
      </c>
      <c r="F1022">
        <v>8</v>
      </c>
      <c r="G1022">
        <v>42.341228080723099</v>
      </c>
      <c r="M1022" t="str">
        <f t="shared" si="90"/>
        <v>Pass</v>
      </c>
      <c r="N1022">
        <f t="shared" si="91"/>
        <v>3.3420067779843521E-7</v>
      </c>
      <c r="O1022">
        <v>50</v>
      </c>
      <c r="P1022">
        <v>60</v>
      </c>
      <c r="Q1022">
        <v>2</v>
      </c>
      <c r="R1022" t="b">
        <v>1</v>
      </c>
      <c r="S1022">
        <v>3.3420068970915703E-7</v>
      </c>
      <c r="Y1022" t="str">
        <f t="shared" si="92"/>
        <v>Pass</v>
      </c>
      <c r="Z1022">
        <f t="shared" si="93"/>
        <v>88768.171875</v>
      </c>
      <c r="AA1022">
        <v>15600</v>
      </c>
      <c r="AB1022">
        <v>20</v>
      </c>
      <c r="AC1022">
        <v>4</v>
      </c>
      <c r="AD1022">
        <v>0.2</v>
      </c>
      <c r="AE1022">
        <v>88768.170984303797</v>
      </c>
    </row>
    <row r="1023" spans="1:31" x14ac:dyDescent="0.3">
      <c r="A1023" t="str">
        <f>IF(ISBLANK(B1023),"",IF(ROUND(B1023,0)=ROUND(G1023,0),"Pass","Fail"))</f>
        <v>Pass</v>
      </c>
      <c r="B1023">
        <f t="shared" si="89"/>
        <v>25.55999755859375</v>
      </c>
      <c r="C1023">
        <v>10</v>
      </c>
      <c r="D1023">
        <v>20</v>
      </c>
      <c r="E1023">
        <v>20</v>
      </c>
      <c r="F1023">
        <v>16</v>
      </c>
      <c r="G1023">
        <v>25.559997247101698</v>
      </c>
      <c r="M1023" t="str">
        <f t="shared" si="90"/>
        <v>Pass</v>
      </c>
      <c r="N1023">
        <f t="shared" si="91"/>
        <v>2.226816832262557E-6</v>
      </c>
      <c r="O1023">
        <v>50</v>
      </c>
      <c r="P1023">
        <v>60</v>
      </c>
      <c r="Q1023">
        <v>2</v>
      </c>
      <c r="R1023" t="b">
        <v>0</v>
      </c>
      <c r="S1023">
        <v>2.22681689915202E-6</v>
      </c>
      <c r="Y1023" t="str">
        <f t="shared" si="92"/>
        <v>Fail</v>
      </c>
      <c r="Z1023">
        <f t="shared" si="93"/>
        <v>112647.5</v>
      </c>
      <c r="AA1023">
        <v>15600</v>
      </c>
      <c r="AB1023">
        <v>20</v>
      </c>
      <c r="AC1023">
        <v>6</v>
      </c>
      <c r="AD1023">
        <v>0.2</v>
      </c>
      <c r="AE1023">
        <v>112647.493039753</v>
      </c>
    </row>
    <row r="1024" spans="1:31" x14ac:dyDescent="0.3">
      <c r="A1024" t="str">
        <f>IF(ISBLANK(B1024),"",IF(ROUND(B1024,0)=ROUND(G1024,0),"Pass","Fail"))</f>
        <v>Pass</v>
      </c>
      <c r="B1024">
        <f t="shared" si="89"/>
        <v>17.112577438354492</v>
      </c>
      <c r="C1024">
        <v>10</v>
      </c>
      <c r="D1024">
        <v>20</v>
      </c>
      <c r="E1024">
        <v>20</v>
      </c>
      <c r="F1024">
        <v>24</v>
      </c>
      <c r="G1024">
        <v>17.112577413736201</v>
      </c>
      <c r="M1024" t="str">
        <f t="shared" si="90"/>
        <v>Pass</v>
      </c>
      <c r="N1024">
        <f t="shared" si="91"/>
        <v>3.5156517697032541E-7</v>
      </c>
      <c r="O1024">
        <v>50</v>
      </c>
      <c r="P1024">
        <v>60</v>
      </c>
      <c r="Q1024">
        <v>2.5</v>
      </c>
      <c r="R1024" t="b">
        <v>1</v>
      </c>
      <c r="S1024">
        <v>3.5156522857024002E-7</v>
      </c>
      <c r="Y1024" t="str">
        <f t="shared" si="92"/>
        <v>Pass</v>
      </c>
      <c r="Z1024">
        <f t="shared" si="93"/>
        <v>128654.28125</v>
      </c>
      <c r="AA1024">
        <v>15600</v>
      </c>
      <c r="AB1024">
        <v>20</v>
      </c>
      <c r="AC1024">
        <v>8</v>
      </c>
      <c r="AD1024">
        <v>0.2</v>
      </c>
      <c r="AE1024">
        <v>128654.281299261</v>
      </c>
    </row>
    <row r="1025" spans="1:31" x14ac:dyDescent="0.3">
      <c r="A1025" t="str">
        <f>IF(ISBLANK(B1025),"",IF(ROUND(B1025,0)=ROUND(G1025,0),"Pass","Fail"))</f>
        <v>Pass</v>
      </c>
      <c r="B1025">
        <f t="shared" si="89"/>
        <v>12.860273361206055</v>
      </c>
      <c r="C1025">
        <v>10</v>
      </c>
      <c r="D1025">
        <v>20</v>
      </c>
      <c r="E1025">
        <v>20</v>
      </c>
      <c r="F1025">
        <v>32</v>
      </c>
      <c r="G1025">
        <v>12.8602730059946</v>
      </c>
      <c r="M1025" t="str">
        <f t="shared" si="90"/>
        <v>Pass</v>
      </c>
      <c r="N1025">
        <f t="shared" si="91"/>
        <v>2.342518655495951E-6</v>
      </c>
      <c r="O1025">
        <v>50</v>
      </c>
      <c r="P1025">
        <v>60</v>
      </c>
      <c r="Q1025">
        <v>2.5</v>
      </c>
      <c r="R1025" t="b">
        <v>0</v>
      </c>
      <c r="S1025">
        <v>2.3425187806038201E-6</v>
      </c>
      <c r="Y1025" t="str">
        <f t="shared" si="92"/>
        <v>Pass</v>
      </c>
      <c r="Z1025">
        <f t="shared" si="93"/>
        <v>139383.953125</v>
      </c>
      <c r="AA1025">
        <v>15600</v>
      </c>
      <c r="AB1025">
        <v>20</v>
      </c>
      <c r="AC1025">
        <v>10</v>
      </c>
      <c r="AD1025">
        <v>0.2</v>
      </c>
      <c r="AE1025">
        <v>139383.95234225801</v>
      </c>
    </row>
    <row r="1026" spans="1:31" x14ac:dyDescent="0.3">
      <c r="A1026" t="str">
        <f>IF(ISBLANK(B1026),"",IF(ROUND(B1026,0)=ROUND(G1026,0),"Pass","Fail"))</f>
        <v>Pass</v>
      </c>
      <c r="B1026">
        <f t="shared" si="89"/>
        <v>10.7197265625</v>
      </c>
      <c r="C1026">
        <v>10</v>
      </c>
      <c r="D1026">
        <v>20</v>
      </c>
      <c r="E1026">
        <v>20</v>
      </c>
      <c r="F1026">
        <v>40</v>
      </c>
      <c r="G1026">
        <v>10.719726764327101</v>
      </c>
      <c r="M1026" t="str">
        <f t="shared" si="90"/>
        <v>Pass</v>
      </c>
      <c r="N1026">
        <f t="shared" si="91"/>
        <v>3.6642069289882784E-7</v>
      </c>
      <c r="O1026">
        <v>50</v>
      </c>
      <c r="P1026">
        <v>60</v>
      </c>
      <c r="Q1026">
        <v>3</v>
      </c>
      <c r="R1026" t="b">
        <v>1</v>
      </c>
      <c r="S1026">
        <v>3.6642074859620498E-7</v>
      </c>
      <c r="Y1026" t="str">
        <f t="shared" si="92"/>
        <v>Pass</v>
      </c>
      <c r="Z1026">
        <f t="shared" si="93"/>
        <v>146576.265625</v>
      </c>
      <c r="AA1026">
        <v>15600</v>
      </c>
      <c r="AB1026">
        <v>20</v>
      </c>
      <c r="AC1026">
        <v>12</v>
      </c>
      <c r="AD1026">
        <v>0.2</v>
      </c>
      <c r="AE1026">
        <v>146576.265929746</v>
      </c>
    </row>
    <row r="1027" spans="1:31" x14ac:dyDescent="0.3">
      <c r="A1027" t="str">
        <f>IF(ISBLANK(B1027),"",IF(ROUND(B1027,0)=ROUND(G1027,0),"Pass","Fail"))</f>
        <v>Pass</v>
      </c>
      <c r="B1027">
        <f t="shared" si="89"/>
        <v>9.6422080993652344</v>
      </c>
      <c r="C1027">
        <v>10</v>
      </c>
      <c r="D1027">
        <v>20</v>
      </c>
      <c r="E1027">
        <v>20</v>
      </c>
      <c r="F1027">
        <v>48</v>
      </c>
      <c r="G1027">
        <v>9.6422079008197201</v>
      </c>
      <c r="M1027" t="str">
        <f t="shared" si="90"/>
        <v>Pass</v>
      </c>
      <c r="N1027">
        <f t="shared" si="91"/>
        <v>2.4415028292423813E-6</v>
      </c>
      <c r="O1027">
        <v>50</v>
      </c>
      <c r="P1027">
        <v>60</v>
      </c>
      <c r="Q1027">
        <v>3</v>
      </c>
      <c r="R1027" t="b">
        <v>0</v>
      </c>
      <c r="S1027">
        <v>2.4415027864965099E-6</v>
      </c>
      <c r="Y1027" t="str">
        <f t="shared" si="92"/>
        <v>Pass</v>
      </c>
      <c r="Z1027">
        <f t="shared" si="93"/>
        <v>151397.40625</v>
      </c>
      <c r="AA1027">
        <v>15600</v>
      </c>
      <c r="AB1027">
        <v>20</v>
      </c>
      <c r="AC1027">
        <v>14</v>
      </c>
      <c r="AD1027">
        <v>0.2</v>
      </c>
      <c r="AE1027">
        <v>151397.41790481401</v>
      </c>
    </row>
    <row r="1028" spans="1:31" x14ac:dyDescent="0.3">
      <c r="A1028" t="str">
        <f>IF(ISBLANK(B1028),"",IF(ROUND(B1028,0)=ROUND(G1028,0),"Pass","Fail"))</f>
        <v>Pass</v>
      </c>
      <c r="B1028">
        <f t="shared" si="89"/>
        <v>75.678001403808594</v>
      </c>
      <c r="C1028">
        <v>10</v>
      </c>
      <c r="D1028">
        <v>20</v>
      </c>
      <c r="E1028">
        <v>30</v>
      </c>
      <c r="F1028">
        <v>0</v>
      </c>
      <c r="G1028">
        <v>75.677999999999997</v>
      </c>
      <c r="M1028" t="str">
        <f t="shared" si="90"/>
        <v>Pass</v>
      </c>
      <c r="N1028">
        <f t="shared" si="91"/>
        <v>3.794695544456772E-7</v>
      </c>
      <c r="O1028">
        <v>50</v>
      </c>
      <c r="P1028">
        <v>60</v>
      </c>
      <c r="Q1028">
        <v>3.5</v>
      </c>
      <c r="R1028" t="b">
        <v>1</v>
      </c>
      <c r="S1028">
        <v>3.79469590724611E-7</v>
      </c>
      <c r="Y1028" t="str">
        <f t="shared" si="92"/>
        <v>Pass</v>
      </c>
      <c r="Z1028">
        <f t="shared" si="93"/>
        <v>154629.125</v>
      </c>
      <c r="AA1028">
        <v>15600</v>
      </c>
      <c r="AB1028">
        <v>20</v>
      </c>
      <c r="AC1028">
        <v>16</v>
      </c>
      <c r="AD1028">
        <v>0.2</v>
      </c>
      <c r="AE1028">
        <v>154629.132718687</v>
      </c>
    </row>
    <row r="1029" spans="1:31" x14ac:dyDescent="0.3">
      <c r="A1029" t="str">
        <f>IF(ISBLANK(B1029),"",IF(ROUND(B1029,0)=ROUND(G1029,0),"Pass","Fail"))</f>
        <v>Pass</v>
      </c>
      <c r="B1029">
        <f t="shared" si="89"/>
        <v>42.341228485107422</v>
      </c>
      <c r="C1029">
        <v>10</v>
      </c>
      <c r="D1029">
        <v>20</v>
      </c>
      <c r="E1029">
        <v>30</v>
      </c>
      <c r="F1029">
        <v>8</v>
      </c>
      <c r="G1029">
        <v>42.341228080723099</v>
      </c>
      <c r="M1029" t="str">
        <f t="shared" si="90"/>
        <v>Pass</v>
      </c>
      <c r="N1029">
        <f t="shared" si="91"/>
        <v>2.5284487037424697E-6</v>
      </c>
      <c r="O1029">
        <v>50</v>
      </c>
      <c r="P1029">
        <v>60</v>
      </c>
      <c r="Q1029">
        <v>3.5</v>
      </c>
      <c r="R1029" t="b">
        <v>0</v>
      </c>
      <c r="S1029">
        <v>2.5284486937332401E-6</v>
      </c>
      <c r="Y1029" t="str">
        <f t="shared" si="92"/>
        <v>Pass</v>
      </c>
      <c r="Z1029">
        <f t="shared" si="93"/>
        <v>156795.421875</v>
      </c>
      <c r="AA1029">
        <v>15600</v>
      </c>
      <c r="AB1029">
        <v>20</v>
      </c>
      <c r="AC1029">
        <v>18</v>
      </c>
      <c r="AD1029">
        <v>0.2</v>
      </c>
      <c r="AE1029">
        <v>156795.415941496</v>
      </c>
    </row>
    <row r="1030" spans="1:31" x14ac:dyDescent="0.3">
      <c r="A1030" t="str">
        <f>IF(ISBLANK(B1030),"",IF(ROUND(B1030,0)=ROUND(G1030,0),"Pass","Fail"))</f>
        <v>Pass</v>
      </c>
      <c r="B1030">
        <f t="shared" si="89"/>
        <v>25.55999755859375</v>
      </c>
      <c r="C1030">
        <v>10</v>
      </c>
      <c r="D1030">
        <v>20</v>
      </c>
      <c r="E1030">
        <v>30</v>
      </c>
      <c r="F1030">
        <v>16</v>
      </c>
      <c r="G1030">
        <v>25.559997247101698</v>
      </c>
      <c r="M1030" t="str">
        <f t="shared" si="90"/>
        <v>Pass</v>
      </c>
      <c r="N1030">
        <f t="shared" si="91"/>
        <v>3.9114803485063021E-7</v>
      </c>
      <c r="O1030">
        <v>50</v>
      </c>
      <c r="P1030">
        <v>60</v>
      </c>
      <c r="Q1030">
        <v>4</v>
      </c>
      <c r="R1030" t="b">
        <v>1</v>
      </c>
      <c r="S1030">
        <v>3.91148033215469E-7</v>
      </c>
      <c r="Y1030" t="str">
        <f t="shared" si="92"/>
        <v>Pass</v>
      </c>
      <c r="Z1030">
        <f t="shared" si="93"/>
        <v>158247.53125</v>
      </c>
      <c r="AA1030">
        <v>15600</v>
      </c>
      <c r="AB1030">
        <v>20</v>
      </c>
      <c r="AC1030">
        <v>20</v>
      </c>
      <c r="AD1030">
        <v>0.2</v>
      </c>
      <c r="AE1030">
        <v>158247.519011136</v>
      </c>
    </row>
    <row r="1031" spans="1:31" x14ac:dyDescent="0.3">
      <c r="A1031" t="str">
        <f>IF(ISBLANK(B1031),"",IF(ROUND(B1031,0)=ROUND(G1031,0),"Pass","Fail"))</f>
        <v>Pass</v>
      </c>
      <c r="B1031">
        <f t="shared" ref="B1031:B1094" si="94">FMC_heath(C1031,D1031,E1031,F1031)</f>
        <v>17.112577438354492</v>
      </c>
      <c r="C1031">
        <v>10</v>
      </c>
      <c r="D1031">
        <v>20</v>
      </c>
      <c r="E1031">
        <v>30</v>
      </c>
      <c r="F1031">
        <v>24</v>
      </c>
      <c r="G1031">
        <v>17.112577413736201</v>
      </c>
      <c r="M1031" t="str">
        <f t="shared" ref="M1031:M1094" si="95">IF(ISBLANK(N1031),"",IF(ROUND(N1031,0)=ROUND(S1031,0),"Pass","Fail"))</f>
        <v>Pass</v>
      </c>
      <c r="N1031">
        <f t="shared" ref="N1031:N1094" si="96">ROS_heath(O1031,Q1031,P1031,R1031)</f>
        <v>2.6062634788104333E-6</v>
      </c>
      <c r="O1031">
        <v>50</v>
      </c>
      <c r="P1031">
        <v>60</v>
      </c>
      <c r="Q1031">
        <v>4</v>
      </c>
      <c r="R1031" t="b">
        <v>0</v>
      </c>
      <c r="S1031">
        <v>2.6062634735801802E-6</v>
      </c>
      <c r="Y1031" t="str">
        <f t="shared" ref="Y1031:Y1094" si="97">IF(ISBLANK(Z1031),"",IF(ROUND(Z1031,0)=ROUND(AE1031,0),"Pass","Fail"))</f>
        <v>Pass</v>
      </c>
      <c r="Z1031">
        <f t="shared" ref="Z1031:Z1094" si="98">intensity_heath(AA1031,AB1031,AC1031,AD1031)</f>
        <v>159220.90625</v>
      </c>
      <c r="AA1031">
        <v>15600</v>
      </c>
      <c r="AB1031">
        <v>20</v>
      </c>
      <c r="AC1031">
        <v>22</v>
      </c>
      <c r="AD1031">
        <v>0.2</v>
      </c>
      <c r="AE1031">
        <v>159220.892807625</v>
      </c>
    </row>
    <row r="1032" spans="1:31" x14ac:dyDescent="0.3">
      <c r="A1032" t="str">
        <f>IF(ISBLANK(B1032),"",IF(ROUND(B1032,0)=ROUND(G1032,0),"Pass","Fail"))</f>
        <v>Pass</v>
      </c>
      <c r="B1032">
        <f t="shared" si="94"/>
        <v>12.860273361206055</v>
      </c>
      <c r="C1032">
        <v>10</v>
      </c>
      <c r="D1032">
        <v>20</v>
      </c>
      <c r="E1032">
        <v>30</v>
      </c>
      <c r="F1032">
        <v>32</v>
      </c>
      <c r="G1032">
        <v>12.8602730059946</v>
      </c>
      <c r="M1032" t="str">
        <f t="shared" si="95"/>
        <v>Pass</v>
      </c>
      <c r="N1032">
        <f t="shared" si="96"/>
        <v>0</v>
      </c>
      <c r="O1032">
        <v>50</v>
      </c>
      <c r="P1032">
        <v>70</v>
      </c>
      <c r="Q1032">
        <v>0</v>
      </c>
      <c r="R1032" t="b">
        <v>1</v>
      </c>
      <c r="S1032">
        <v>0</v>
      </c>
      <c r="Y1032" t="str">
        <f t="shared" si="97"/>
        <v>Pass</v>
      </c>
      <c r="Z1032">
        <f t="shared" si="98"/>
        <v>159873.375</v>
      </c>
      <c r="AA1032">
        <v>15600</v>
      </c>
      <c r="AB1032">
        <v>20</v>
      </c>
      <c r="AC1032">
        <v>24</v>
      </c>
      <c r="AD1032">
        <v>0.2</v>
      </c>
      <c r="AE1032">
        <v>159873.364775697</v>
      </c>
    </row>
    <row r="1033" spans="1:31" x14ac:dyDescent="0.3">
      <c r="A1033" t="str">
        <f>IF(ISBLANK(B1033),"",IF(ROUND(B1033,0)=ROUND(G1033,0),"Pass","Fail"))</f>
        <v>Pass</v>
      </c>
      <c r="B1033">
        <f t="shared" si="94"/>
        <v>10.7197265625</v>
      </c>
      <c r="C1033">
        <v>10</v>
      </c>
      <c r="D1033">
        <v>20</v>
      </c>
      <c r="E1033">
        <v>30</v>
      </c>
      <c r="F1033">
        <v>40</v>
      </c>
      <c r="G1033">
        <v>10.719726764327101</v>
      </c>
      <c r="M1033" t="str">
        <f t="shared" si="95"/>
        <v>Pass</v>
      </c>
      <c r="N1033">
        <f t="shared" si="96"/>
        <v>0</v>
      </c>
      <c r="O1033">
        <v>50</v>
      </c>
      <c r="P1033">
        <v>70</v>
      </c>
      <c r="Q1033">
        <v>0</v>
      </c>
      <c r="R1033" t="b">
        <v>0</v>
      </c>
      <c r="S1033">
        <v>0</v>
      </c>
      <c r="Y1033" t="str">
        <f t="shared" si="97"/>
        <v>Pass</v>
      </c>
      <c r="Z1033">
        <f t="shared" si="98"/>
        <v>0</v>
      </c>
      <c r="AA1033">
        <v>15800</v>
      </c>
      <c r="AB1033">
        <v>20</v>
      </c>
      <c r="AC1033">
        <v>0</v>
      </c>
      <c r="AD1033">
        <v>0.2</v>
      </c>
      <c r="AE1033">
        <v>0</v>
      </c>
    </row>
    <row r="1034" spans="1:31" x14ac:dyDescent="0.3">
      <c r="A1034" t="str">
        <f>IF(ISBLANK(B1034),"",IF(ROUND(B1034,0)=ROUND(G1034,0),"Pass","Fail"))</f>
        <v>Pass</v>
      </c>
      <c r="B1034">
        <f t="shared" si="94"/>
        <v>9.6422080993652344</v>
      </c>
      <c r="C1034">
        <v>10</v>
      </c>
      <c r="D1034">
        <v>20</v>
      </c>
      <c r="E1034">
        <v>30</v>
      </c>
      <c r="F1034">
        <v>48</v>
      </c>
      <c r="G1034">
        <v>9.6422079008197201</v>
      </c>
      <c r="M1034" t="str">
        <f t="shared" si="95"/>
        <v>Pass</v>
      </c>
      <c r="N1034">
        <f t="shared" si="96"/>
        <v>4.4685002364985849E-9</v>
      </c>
      <c r="O1034">
        <v>50</v>
      </c>
      <c r="P1034">
        <v>70</v>
      </c>
      <c r="Q1034">
        <v>0.5</v>
      </c>
      <c r="R1034" t="b">
        <v>1</v>
      </c>
      <c r="S1034">
        <v>4.4685003691450098E-9</v>
      </c>
      <c r="Y1034" t="str">
        <f t="shared" si="97"/>
        <v>Pass</v>
      </c>
      <c r="Z1034">
        <f t="shared" si="98"/>
        <v>53825.74609375</v>
      </c>
      <c r="AA1034">
        <v>15800</v>
      </c>
      <c r="AB1034">
        <v>20</v>
      </c>
      <c r="AC1034">
        <v>2</v>
      </c>
      <c r="AD1034">
        <v>0.2</v>
      </c>
      <c r="AE1034">
        <v>53825.747150581199</v>
      </c>
    </row>
    <row r="1035" spans="1:31" x14ac:dyDescent="0.3">
      <c r="A1035" t="str">
        <f>IF(ISBLANK(B1035),"",IF(ROUND(B1035,0)=ROUND(G1035,0),"Pass","Fail"))</f>
        <v>Pass</v>
      </c>
      <c r="B1035">
        <f t="shared" si="94"/>
        <v>75.678001403808594</v>
      </c>
      <c r="C1035">
        <v>10</v>
      </c>
      <c r="D1035">
        <v>20</v>
      </c>
      <c r="E1035">
        <v>40</v>
      </c>
      <c r="F1035">
        <v>0</v>
      </c>
      <c r="G1035">
        <v>75.677999999999997</v>
      </c>
      <c r="M1035" t="str">
        <f t="shared" si="95"/>
        <v>Pass</v>
      </c>
      <c r="N1035">
        <f t="shared" si="96"/>
        <v>2.9774124499226673E-8</v>
      </c>
      <c r="O1035">
        <v>50</v>
      </c>
      <c r="P1035">
        <v>70</v>
      </c>
      <c r="Q1035">
        <v>0.5</v>
      </c>
      <c r="R1035" t="b">
        <v>0</v>
      </c>
      <c r="S1035">
        <v>2.97741220837657E-8</v>
      </c>
      <c r="Y1035" t="str">
        <f t="shared" si="97"/>
        <v>Pass</v>
      </c>
      <c r="Z1035">
        <f t="shared" si="98"/>
        <v>89906.2265625</v>
      </c>
      <c r="AA1035">
        <v>15800</v>
      </c>
      <c r="AB1035">
        <v>20</v>
      </c>
      <c r="AC1035">
        <v>4</v>
      </c>
      <c r="AD1035">
        <v>0.2</v>
      </c>
      <c r="AE1035">
        <v>89906.224458461598</v>
      </c>
    </row>
    <row r="1036" spans="1:31" x14ac:dyDescent="0.3">
      <c r="A1036" t="str">
        <f>IF(ISBLANK(B1036),"",IF(ROUND(B1036,0)=ROUND(G1036,0),"Pass","Fail"))</f>
        <v>Pass</v>
      </c>
      <c r="B1036">
        <f t="shared" si="94"/>
        <v>42.341228485107422</v>
      </c>
      <c r="C1036">
        <v>10</v>
      </c>
      <c r="D1036">
        <v>20</v>
      </c>
      <c r="E1036">
        <v>40</v>
      </c>
      <c r="F1036">
        <v>8</v>
      </c>
      <c r="G1036">
        <v>42.341228080723099</v>
      </c>
      <c r="M1036" t="str">
        <f t="shared" si="95"/>
        <v>Pass</v>
      </c>
      <c r="N1036">
        <f t="shared" si="96"/>
        <v>5.2299262698340954E-9</v>
      </c>
      <c r="O1036">
        <v>50</v>
      </c>
      <c r="P1036">
        <v>70</v>
      </c>
      <c r="Q1036">
        <v>1</v>
      </c>
      <c r="R1036" t="b">
        <v>1</v>
      </c>
      <c r="S1036">
        <v>5.2299267614760302E-9</v>
      </c>
      <c r="Y1036" t="str">
        <f t="shared" si="97"/>
        <v>Pass</v>
      </c>
      <c r="Z1036">
        <f t="shared" si="98"/>
        <v>114091.6953125</v>
      </c>
      <c r="AA1036">
        <v>15800</v>
      </c>
      <c r="AB1036">
        <v>20</v>
      </c>
      <c r="AC1036">
        <v>6</v>
      </c>
      <c r="AD1036">
        <v>0.2</v>
      </c>
      <c r="AE1036">
        <v>114091.691668467</v>
      </c>
    </row>
    <row r="1037" spans="1:31" x14ac:dyDescent="0.3">
      <c r="A1037" t="str">
        <f>IF(ISBLANK(B1037),"",IF(ROUND(B1037,0)=ROUND(G1037,0),"Pass","Fail"))</f>
        <v>Pass</v>
      </c>
      <c r="B1037">
        <f t="shared" si="94"/>
        <v>25.55999755859375</v>
      </c>
      <c r="C1037">
        <v>10</v>
      </c>
      <c r="D1037">
        <v>20</v>
      </c>
      <c r="E1037">
        <v>40</v>
      </c>
      <c r="F1037">
        <v>16</v>
      </c>
      <c r="G1037">
        <v>25.559997247101698</v>
      </c>
      <c r="M1037" t="str">
        <f t="shared" si="95"/>
        <v>Pass</v>
      </c>
      <c r="N1037">
        <f t="shared" si="96"/>
        <v>3.4847591479092443E-8</v>
      </c>
      <c r="O1037">
        <v>50</v>
      </c>
      <c r="P1037">
        <v>70</v>
      </c>
      <c r="Q1037">
        <v>1</v>
      </c>
      <c r="R1037" t="b">
        <v>0</v>
      </c>
      <c r="S1037">
        <v>3.4847592037938001E-8</v>
      </c>
      <c r="Y1037" t="str">
        <f t="shared" si="97"/>
        <v>Pass</v>
      </c>
      <c r="Z1037">
        <f t="shared" si="98"/>
        <v>130303.6953125</v>
      </c>
      <c r="AA1037">
        <v>15800</v>
      </c>
      <c r="AB1037">
        <v>20</v>
      </c>
      <c r="AC1037">
        <v>8</v>
      </c>
      <c r="AD1037">
        <v>0.2</v>
      </c>
      <c r="AE1037">
        <v>130303.69516207201</v>
      </c>
    </row>
    <row r="1038" spans="1:31" x14ac:dyDescent="0.3">
      <c r="A1038" t="str">
        <f>IF(ISBLANK(B1038),"",IF(ROUND(B1038,0)=ROUND(G1038,0),"Pass","Fail"))</f>
        <v>Pass</v>
      </c>
      <c r="B1038">
        <f t="shared" si="94"/>
        <v>17.112577438354492</v>
      </c>
      <c r="C1038">
        <v>10</v>
      </c>
      <c r="D1038">
        <v>20</v>
      </c>
      <c r="E1038">
        <v>40</v>
      </c>
      <c r="F1038">
        <v>24</v>
      </c>
      <c r="G1038">
        <v>17.112577413736201</v>
      </c>
      <c r="M1038" t="str">
        <f t="shared" si="95"/>
        <v>Pass</v>
      </c>
      <c r="N1038">
        <f t="shared" si="96"/>
        <v>5.7341402737165481E-9</v>
      </c>
      <c r="O1038">
        <v>50</v>
      </c>
      <c r="P1038">
        <v>70</v>
      </c>
      <c r="Q1038">
        <v>1.5</v>
      </c>
      <c r="R1038" t="b">
        <v>1</v>
      </c>
      <c r="S1038">
        <v>5.7341404074034298E-9</v>
      </c>
      <c r="Y1038" t="str">
        <f t="shared" si="97"/>
        <v>Pass</v>
      </c>
      <c r="Z1038">
        <f t="shared" si="98"/>
        <v>141170.9375</v>
      </c>
      <c r="AA1038">
        <v>15800</v>
      </c>
      <c r="AB1038">
        <v>20</v>
      </c>
      <c r="AC1038">
        <v>10</v>
      </c>
      <c r="AD1038">
        <v>0.2</v>
      </c>
      <c r="AE1038">
        <v>141170.92609023501</v>
      </c>
    </row>
    <row r="1039" spans="1:31" x14ac:dyDescent="0.3">
      <c r="A1039" t="str">
        <f>IF(ISBLANK(B1039),"",IF(ROUND(B1039,0)=ROUND(G1039,0),"Pass","Fail"))</f>
        <v>Pass</v>
      </c>
      <c r="B1039">
        <f t="shared" si="94"/>
        <v>12.860273361206055</v>
      </c>
      <c r="C1039">
        <v>10</v>
      </c>
      <c r="D1039">
        <v>20</v>
      </c>
      <c r="E1039">
        <v>40</v>
      </c>
      <c r="F1039">
        <v>32</v>
      </c>
      <c r="G1039">
        <v>12.8602730059946</v>
      </c>
      <c r="M1039" t="str">
        <f t="shared" si="95"/>
        <v>Pass</v>
      </c>
      <c r="N1039">
        <f t="shared" si="96"/>
        <v>3.8207225827591174E-8</v>
      </c>
      <c r="O1039">
        <v>50</v>
      </c>
      <c r="P1039">
        <v>70</v>
      </c>
      <c r="Q1039">
        <v>1.5</v>
      </c>
      <c r="R1039" t="b">
        <v>0</v>
      </c>
      <c r="S1039">
        <v>3.8207224444775099E-8</v>
      </c>
      <c r="Y1039" t="str">
        <f t="shared" si="97"/>
        <v>Pass</v>
      </c>
      <c r="Z1039">
        <f t="shared" si="98"/>
        <v>148455.453125</v>
      </c>
      <c r="AA1039">
        <v>15800</v>
      </c>
      <c r="AB1039">
        <v>20</v>
      </c>
      <c r="AC1039">
        <v>12</v>
      </c>
      <c r="AD1039">
        <v>0.2</v>
      </c>
      <c r="AE1039">
        <v>148455.448826281</v>
      </c>
    </row>
    <row r="1040" spans="1:31" x14ac:dyDescent="0.3">
      <c r="A1040" t="str">
        <f>IF(ISBLANK(B1040),"",IF(ROUND(B1040,0)=ROUND(G1040,0),"Pass","Fail"))</f>
        <v>Pass</v>
      </c>
      <c r="B1040">
        <f t="shared" si="94"/>
        <v>10.7197265625</v>
      </c>
      <c r="C1040">
        <v>10</v>
      </c>
      <c r="D1040">
        <v>20</v>
      </c>
      <c r="E1040">
        <v>40</v>
      </c>
      <c r="F1040">
        <v>40</v>
      </c>
      <c r="G1040">
        <v>10.719726764327101</v>
      </c>
      <c r="M1040" t="str">
        <f t="shared" si="95"/>
        <v>Pass</v>
      </c>
      <c r="N1040">
        <f t="shared" si="96"/>
        <v>6.1210991830762396E-9</v>
      </c>
      <c r="O1040">
        <v>50</v>
      </c>
      <c r="P1040">
        <v>70</v>
      </c>
      <c r="Q1040">
        <v>2</v>
      </c>
      <c r="R1040" t="b">
        <v>1</v>
      </c>
      <c r="S1040">
        <v>6.1210991766431401E-9</v>
      </c>
      <c r="Y1040" t="str">
        <f t="shared" si="97"/>
        <v>Pass</v>
      </c>
      <c r="Z1040">
        <f t="shared" si="98"/>
        <v>153338.40625</v>
      </c>
      <c r="AA1040">
        <v>15800</v>
      </c>
      <c r="AB1040">
        <v>20</v>
      </c>
      <c r="AC1040">
        <v>14</v>
      </c>
      <c r="AD1040">
        <v>0.2</v>
      </c>
      <c r="AE1040">
        <v>153338.41044205599</v>
      </c>
    </row>
    <row r="1041" spans="1:31" x14ac:dyDescent="0.3">
      <c r="A1041" t="str">
        <f>IF(ISBLANK(B1041),"",IF(ROUND(B1041,0)=ROUND(G1041,0),"Pass","Fail"))</f>
        <v>Pass</v>
      </c>
      <c r="B1041">
        <f t="shared" si="94"/>
        <v>9.6422080993652344</v>
      </c>
      <c r="C1041">
        <v>10</v>
      </c>
      <c r="D1041">
        <v>20</v>
      </c>
      <c r="E1041">
        <v>40</v>
      </c>
      <c r="F1041">
        <v>48</v>
      </c>
      <c r="G1041">
        <v>9.6422079008197201</v>
      </c>
      <c r="M1041" t="str">
        <f t="shared" si="95"/>
        <v>Pass</v>
      </c>
      <c r="N1041">
        <f t="shared" si="96"/>
        <v>4.0785575805557528E-8</v>
      </c>
      <c r="O1041">
        <v>50</v>
      </c>
      <c r="P1041">
        <v>70</v>
      </c>
      <c r="Q1041">
        <v>2</v>
      </c>
      <c r="R1041" t="b">
        <v>0</v>
      </c>
      <c r="S1041">
        <v>4.0785574379863402E-8</v>
      </c>
      <c r="Y1041" t="str">
        <f t="shared" si="97"/>
        <v>Pass</v>
      </c>
      <c r="Z1041">
        <f t="shared" si="98"/>
        <v>156611.546875</v>
      </c>
      <c r="AA1041">
        <v>15800</v>
      </c>
      <c r="AB1041">
        <v>20</v>
      </c>
      <c r="AC1041">
        <v>16</v>
      </c>
      <c r="AD1041">
        <v>0.2</v>
      </c>
      <c r="AE1041">
        <v>156611.55749713199</v>
      </c>
    </row>
    <row r="1042" spans="1:31" x14ac:dyDescent="0.3">
      <c r="A1042" t="str">
        <f>IF(ISBLANK(B1042),"",IF(ROUND(B1042,0)=ROUND(G1042,0),"Pass","Fail"))</f>
        <v>Pass</v>
      </c>
      <c r="B1042">
        <f t="shared" si="94"/>
        <v>75.678001403808594</v>
      </c>
      <c r="C1042">
        <v>10</v>
      </c>
      <c r="D1042">
        <v>20</v>
      </c>
      <c r="E1042">
        <v>50</v>
      </c>
      <c r="F1042">
        <v>0</v>
      </c>
      <c r="G1042">
        <v>75.677999999999997</v>
      </c>
      <c r="M1042" t="str">
        <f t="shared" si="95"/>
        <v>Pass</v>
      </c>
      <c r="N1042">
        <f t="shared" si="96"/>
        <v>6.4391407761377195E-9</v>
      </c>
      <c r="O1042">
        <v>50</v>
      </c>
      <c r="P1042">
        <v>70</v>
      </c>
      <c r="Q1042">
        <v>2.5</v>
      </c>
      <c r="R1042" t="b">
        <v>1</v>
      </c>
      <c r="S1042">
        <v>6.4391418013243198E-9</v>
      </c>
      <c r="Y1042" t="str">
        <f t="shared" si="97"/>
        <v>Pass</v>
      </c>
      <c r="Z1042">
        <f t="shared" si="98"/>
        <v>158805.625</v>
      </c>
      <c r="AA1042">
        <v>15800</v>
      </c>
      <c r="AB1042">
        <v>20</v>
      </c>
      <c r="AC1042">
        <v>18</v>
      </c>
      <c r="AD1042">
        <v>0.2</v>
      </c>
      <c r="AE1042">
        <v>158805.61358177199</v>
      </c>
    </row>
    <row r="1043" spans="1:31" x14ac:dyDescent="0.3">
      <c r="A1043" t="str">
        <f>IF(ISBLANK(B1043),"",IF(ROUND(B1043,0)=ROUND(G1043,0),"Pass","Fail"))</f>
        <v>Pass</v>
      </c>
      <c r="B1043">
        <f t="shared" si="94"/>
        <v>42.341228485107422</v>
      </c>
      <c r="C1043">
        <v>10</v>
      </c>
      <c r="D1043">
        <v>20</v>
      </c>
      <c r="E1043">
        <v>50</v>
      </c>
      <c r="F1043">
        <v>8</v>
      </c>
      <c r="G1043">
        <v>42.341228080723099</v>
      </c>
      <c r="M1043" t="str">
        <f t="shared" si="95"/>
        <v>Pass</v>
      </c>
      <c r="N1043">
        <f t="shared" si="96"/>
        <v>4.2904726882397881E-8</v>
      </c>
      <c r="O1043">
        <v>50</v>
      </c>
      <c r="P1043">
        <v>70</v>
      </c>
      <c r="Q1043">
        <v>2.5</v>
      </c>
      <c r="R1043" t="b">
        <v>0</v>
      </c>
      <c r="S1043">
        <v>4.2904728268824698E-8</v>
      </c>
      <c r="Y1043" t="str">
        <f t="shared" si="97"/>
        <v>Pass</v>
      </c>
      <c r="Z1043">
        <f t="shared" si="98"/>
        <v>160276.34375</v>
      </c>
      <c r="AA1043">
        <v>15800</v>
      </c>
      <c r="AB1043">
        <v>20</v>
      </c>
      <c r="AC1043">
        <v>20</v>
      </c>
      <c r="AD1043">
        <v>0.2</v>
      </c>
      <c r="AE1043">
        <v>160276.33335743201</v>
      </c>
    </row>
    <row r="1044" spans="1:31" x14ac:dyDescent="0.3">
      <c r="A1044" t="str">
        <f>IF(ISBLANK(B1044),"",IF(ROUND(B1044,0)=ROUND(G1044,0),"Pass","Fail"))</f>
        <v>Pass</v>
      </c>
      <c r="B1044">
        <f t="shared" si="94"/>
        <v>25.55999755859375</v>
      </c>
      <c r="C1044">
        <v>10</v>
      </c>
      <c r="D1044">
        <v>20</v>
      </c>
      <c r="E1044">
        <v>50</v>
      </c>
      <c r="F1044">
        <v>16</v>
      </c>
      <c r="G1044">
        <v>25.559997247101698</v>
      </c>
      <c r="M1044" t="str">
        <f t="shared" si="95"/>
        <v>Pass</v>
      </c>
      <c r="N1044">
        <f t="shared" si="96"/>
        <v>6.7112293500315445E-9</v>
      </c>
      <c r="O1044">
        <v>50</v>
      </c>
      <c r="P1044">
        <v>70</v>
      </c>
      <c r="Q1044">
        <v>3</v>
      </c>
      <c r="R1044" t="b">
        <v>1</v>
      </c>
      <c r="S1044">
        <v>6.7112301428495301E-9</v>
      </c>
      <c r="Y1044" t="str">
        <f t="shared" si="97"/>
        <v>Pass</v>
      </c>
      <c r="Z1044">
        <f t="shared" si="98"/>
        <v>161262.203125</v>
      </c>
      <c r="AA1044">
        <v>15800</v>
      </c>
      <c r="AB1044">
        <v>20</v>
      </c>
      <c r="AC1044">
        <v>22</v>
      </c>
      <c r="AD1044">
        <v>0.2</v>
      </c>
      <c r="AE1044">
        <v>161262.186305159</v>
      </c>
    </row>
    <row r="1045" spans="1:31" x14ac:dyDescent="0.3">
      <c r="A1045" t="str">
        <f>IF(ISBLANK(B1045),"",IF(ROUND(B1045,0)=ROUND(G1045,0),"Pass","Fail"))</f>
        <v>Pass</v>
      </c>
      <c r="B1045">
        <f t="shared" si="94"/>
        <v>17.112577438354492</v>
      </c>
      <c r="C1045">
        <v>10</v>
      </c>
      <c r="D1045">
        <v>20</v>
      </c>
      <c r="E1045">
        <v>50</v>
      </c>
      <c r="F1045">
        <v>24</v>
      </c>
      <c r="G1045">
        <v>17.112577413736201</v>
      </c>
      <c r="M1045" t="str">
        <f t="shared" si="95"/>
        <v>Pass</v>
      </c>
      <c r="N1045">
        <f t="shared" si="96"/>
        <v>4.4717683778117134E-8</v>
      </c>
      <c r="O1045">
        <v>50</v>
      </c>
      <c r="P1045">
        <v>70</v>
      </c>
      <c r="Q1045">
        <v>3</v>
      </c>
      <c r="R1045" t="b">
        <v>0</v>
      </c>
      <c r="S1045">
        <v>4.4717683584679499E-8</v>
      </c>
      <c r="Y1045" t="str">
        <f t="shared" si="97"/>
        <v>Pass</v>
      </c>
      <c r="Z1045">
        <f t="shared" si="98"/>
        <v>161923.03125</v>
      </c>
      <c r="AA1045">
        <v>15800</v>
      </c>
      <c r="AB1045">
        <v>20</v>
      </c>
      <c r="AC1045">
        <v>24</v>
      </c>
      <c r="AD1045">
        <v>0.2</v>
      </c>
      <c r="AE1045">
        <v>161923.023298463</v>
      </c>
    </row>
    <row r="1046" spans="1:31" x14ac:dyDescent="0.3">
      <c r="A1046" t="str">
        <f>IF(ISBLANK(B1046),"",IF(ROUND(B1046,0)=ROUND(G1046,0),"Pass","Fail"))</f>
        <v>Pass</v>
      </c>
      <c r="B1046">
        <f t="shared" si="94"/>
        <v>12.860273361206055</v>
      </c>
      <c r="C1046">
        <v>10</v>
      </c>
      <c r="D1046">
        <v>20</v>
      </c>
      <c r="E1046">
        <v>50</v>
      </c>
      <c r="F1046">
        <v>32</v>
      </c>
      <c r="G1046">
        <v>12.8602730059946</v>
      </c>
      <c r="M1046" t="str">
        <f t="shared" si="95"/>
        <v>Pass</v>
      </c>
      <c r="N1046">
        <f t="shared" si="96"/>
        <v>6.9502275046318118E-9</v>
      </c>
      <c r="O1046">
        <v>50</v>
      </c>
      <c r="P1046">
        <v>70</v>
      </c>
      <c r="Q1046">
        <v>3.5</v>
      </c>
      <c r="R1046" t="b">
        <v>1</v>
      </c>
      <c r="S1046">
        <v>6.9502280242657603E-9</v>
      </c>
      <c r="Y1046" t="str">
        <f t="shared" si="97"/>
        <v>Pass</v>
      </c>
      <c r="Z1046">
        <f t="shared" si="98"/>
        <v>0</v>
      </c>
      <c r="AA1046">
        <v>16000</v>
      </c>
      <c r="AB1046">
        <v>20</v>
      </c>
      <c r="AC1046">
        <v>0</v>
      </c>
      <c r="AD1046">
        <v>0.2</v>
      </c>
      <c r="AE1046">
        <v>0</v>
      </c>
    </row>
    <row r="1047" spans="1:31" x14ac:dyDescent="0.3">
      <c r="A1047" t="str">
        <f>IF(ISBLANK(B1047),"",IF(ROUND(B1047,0)=ROUND(G1047,0),"Pass","Fail"))</f>
        <v>Pass</v>
      </c>
      <c r="B1047">
        <f t="shared" si="94"/>
        <v>10.7197265625</v>
      </c>
      <c r="C1047">
        <v>10</v>
      </c>
      <c r="D1047">
        <v>20</v>
      </c>
      <c r="E1047">
        <v>50</v>
      </c>
      <c r="F1047">
        <v>40</v>
      </c>
      <c r="G1047">
        <v>10.719726764327101</v>
      </c>
      <c r="M1047" t="str">
        <f t="shared" si="95"/>
        <v>Pass</v>
      </c>
      <c r="N1047">
        <f t="shared" si="96"/>
        <v>4.631015571021635E-8</v>
      </c>
      <c r="O1047">
        <v>50</v>
      </c>
      <c r="P1047">
        <v>70</v>
      </c>
      <c r="Q1047">
        <v>3.5</v>
      </c>
      <c r="R1047" t="b">
        <v>0</v>
      </c>
      <c r="S1047">
        <v>4.6310153431651902E-8</v>
      </c>
      <c r="Y1047" t="str">
        <f t="shared" si="97"/>
        <v>Pass</v>
      </c>
      <c r="Z1047">
        <f t="shared" si="98"/>
        <v>54507.08203125</v>
      </c>
      <c r="AA1047">
        <v>16000</v>
      </c>
      <c r="AB1047">
        <v>20</v>
      </c>
      <c r="AC1047">
        <v>2</v>
      </c>
      <c r="AD1047">
        <v>0.2</v>
      </c>
      <c r="AE1047">
        <v>54507.0857221076</v>
      </c>
    </row>
    <row r="1048" spans="1:31" x14ac:dyDescent="0.3">
      <c r="A1048" t="str">
        <f>IF(ISBLANK(B1048),"",IF(ROUND(B1048,0)=ROUND(G1048,0),"Pass","Fail"))</f>
        <v>Pass</v>
      </c>
      <c r="B1048">
        <f t="shared" si="94"/>
        <v>9.6422080993652344</v>
      </c>
      <c r="C1048">
        <v>10</v>
      </c>
      <c r="D1048">
        <v>20</v>
      </c>
      <c r="E1048">
        <v>50</v>
      </c>
      <c r="F1048">
        <v>48</v>
      </c>
      <c r="G1048">
        <v>9.6422079008197201</v>
      </c>
      <c r="M1048" t="str">
        <f t="shared" si="95"/>
        <v>Pass</v>
      </c>
      <c r="N1048">
        <f t="shared" si="96"/>
        <v>7.1641261811805634E-9</v>
      </c>
      <c r="O1048">
        <v>50</v>
      </c>
      <c r="P1048">
        <v>70</v>
      </c>
      <c r="Q1048">
        <v>4</v>
      </c>
      <c r="R1048" t="b">
        <v>1</v>
      </c>
      <c r="S1048">
        <v>7.1641261606743698E-9</v>
      </c>
      <c r="Y1048" t="str">
        <f t="shared" si="97"/>
        <v>Pass</v>
      </c>
      <c r="Z1048">
        <f t="shared" si="98"/>
        <v>91044.28125</v>
      </c>
      <c r="AA1048">
        <v>16000</v>
      </c>
      <c r="AB1048">
        <v>20</v>
      </c>
      <c r="AC1048">
        <v>4</v>
      </c>
      <c r="AD1048">
        <v>0.2</v>
      </c>
      <c r="AE1048">
        <v>91044.277932619298</v>
      </c>
    </row>
    <row r="1049" spans="1:31" x14ac:dyDescent="0.3">
      <c r="A1049" t="str">
        <f>IF(ISBLANK(B1049),"",IF(ROUND(B1049,0)=ROUND(G1049,0),"Pass","Fail"))</f>
        <v>Pass</v>
      </c>
      <c r="B1049">
        <f t="shared" si="94"/>
        <v>75.678001403808594</v>
      </c>
      <c r="C1049">
        <v>10</v>
      </c>
      <c r="D1049">
        <v>20</v>
      </c>
      <c r="E1049">
        <v>60</v>
      </c>
      <c r="F1049">
        <v>0</v>
      </c>
      <c r="G1049">
        <v>75.677999999999997</v>
      </c>
      <c r="M1049" t="str">
        <f t="shared" si="95"/>
        <v>Pass</v>
      </c>
      <c r="N1049">
        <f t="shared" si="96"/>
        <v>4.7735380093172353E-8</v>
      </c>
      <c r="O1049">
        <v>50</v>
      </c>
      <c r="P1049">
        <v>70</v>
      </c>
      <c r="Q1049">
        <v>4</v>
      </c>
      <c r="R1049" t="b">
        <v>0</v>
      </c>
      <c r="S1049">
        <v>4.77353808459529E-8</v>
      </c>
      <c r="Y1049" t="str">
        <f t="shared" si="97"/>
        <v>Pass</v>
      </c>
      <c r="Z1049">
        <f t="shared" si="98"/>
        <v>115535.890625</v>
      </c>
      <c r="AA1049">
        <v>16000</v>
      </c>
      <c r="AB1049">
        <v>20</v>
      </c>
      <c r="AC1049">
        <v>6</v>
      </c>
      <c r="AD1049">
        <v>0.2</v>
      </c>
      <c r="AE1049">
        <v>115535.89029718201</v>
      </c>
    </row>
    <row r="1050" spans="1:31" x14ac:dyDescent="0.3">
      <c r="A1050" t="str">
        <f>IF(ISBLANK(B1050),"",IF(ROUND(B1050,0)=ROUND(G1050,0),"Pass","Fail"))</f>
        <v>Pass</v>
      </c>
      <c r="B1050">
        <f t="shared" si="94"/>
        <v>42.341228485107422</v>
      </c>
      <c r="C1050">
        <v>10</v>
      </c>
      <c r="D1050">
        <v>20</v>
      </c>
      <c r="E1050">
        <v>60</v>
      </c>
      <c r="F1050">
        <v>8</v>
      </c>
      <c r="G1050">
        <v>42.341228080723099</v>
      </c>
      <c r="M1050" t="str">
        <f t="shared" si="95"/>
        <v>Pass</v>
      </c>
      <c r="N1050">
        <f t="shared" si="96"/>
        <v>0</v>
      </c>
      <c r="O1050">
        <v>50</v>
      </c>
      <c r="P1050">
        <v>80</v>
      </c>
      <c r="Q1050">
        <v>0</v>
      </c>
      <c r="R1050" t="b">
        <v>1</v>
      </c>
      <c r="S1050">
        <v>0</v>
      </c>
      <c r="Y1050" t="str">
        <f t="shared" si="97"/>
        <v>Pass</v>
      </c>
      <c r="Z1050">
        <f t="shared" si="98"/>
        <v>131953.109375</v>
      </c>
      <c r="AA1050">
        <v>16000</v>
      </c>
      <c r="AB1050">
        <v>20</v>
      </c>
      <c r="AC1050">
        <v>8</v>
      </c>
      <c r="AD1050">
        <v>0.2</v>
      </c>
      <c r="AE1050">
        <v>131953.10902488299</v>
      </c>
    </row>
    <row r="1051" spans="1:31" x14ac:dyDescent="0.3">
      <c r="A1051" t="str">
        <f>IF(ISBLANK(B1051),"",IF(ROUND(B1051,0)=ROUND(G1051,0),"Pass","Fail"))</f>
        <v>Pass</v>
      </c>
      <c r="B1051">
        <f t="shared" si="94"/>
        <v>25.55999755859375</v>
      </c>
      <c r="C1051">
        <v>10</v>
      </c>
      <c r="D1051">
        <v>20</v>
      </c>
      <c r="E1051">
        <v>60</v>
      </c>
      <c r="F1051">
        <v>16</v>
      </c>
      <c r="G1051">
        <v>25.559997247101698</v>
      </c>
      <c r="M1051" t="str">
        <f t="shared" si="95"/>
        <v>Pass</v>
      </c>
      <c r="N1051">
        <f t="shared" si="96"/>
        <v>0</v>
      </c>
      <c r="O1051">
        <v>50</v>
      </c>
      <c r="P1051">
        <v>80</v>
      </c>
      <c r="Q1051">
        <v>0</v>
      </c>
      <c r="R1051" t="b">
        <v>0</v>
      </c>
      <c r="S1051">
        <v>0</v>
      </c>
      <c r="Y1051" t="str">
        <f t="shared" si="97"/>
        <v>Pass</v>
      </c>
      <c r="Z1051">
        <f t="shared" si="98"/>
        <v>142957.90625</v>
      </c>
      <c r="AA1051">
        <v>16000</v>
      </c>
      <c r="AB1051">
        <v>20</v>
      </c>
      <c r="AC1051">
        <v>10</v>
      </c>
      <c r="AD1051">
        <v>0.2</v>
      </c>
      <c r="AE1051">
        <v>142957.89983821299</v>
      </c>
    </row>
    <row r="1052" spans="1:31" x14ac:dyDescent="0.3">
      <c r="A1052" t="str">
        <f>IF(ISBLANK(B1052),"",IF(ROUND(B1052,0)=ROUND(G1052,0),"Pass","Fail"))</f>
        <v>Pass</v>
      </c>
      <c r="B1052">
        <f t="shared" si="94"/>
        <v>17.112577438354492</v>
      </c>
      <c r="C1052">
        <v>10</v>
      </c>
      <c r="D1052">
        <v>20</v>
      </c>
      <c r="E1052">
        <v>60</v>
      </c>
      <c r="F1052">
        <v>24</v>
      </c>
      <c r="G1052">
        <v>17.112577413736201</v>
      </c>
      <c r="M1052" t="str">
        <f t="shared" si="95"/>
        <v>Pass</v>
      </c>
      <c r="N1052">
        <f t="shared" si="96"/>
        <v>8.1843434807105098E-11</v>
      </c>
      <c r="O1052">
        <v>50</v>
      </c>
      <c r="P1052">
        <v>80</v>
      </c>
      <c r="Q1052">
        <v>0.5</v>
      </c>
      <c r="R1052" t="b">
        <v>1</v>
      </c>
      <c r="S1052">
        <v>8.1843439142185794E-11</v>
      </c>
      <c r="Y1052" t="str">
        <f t="shared" si="97"/>
        <v>Pass</v>
      </c>
      <c r="Z1052">
        <f t="shared" si="98"/>
        <v>150334.640625</v>
      </c>
      <c r="AA1052">
        <v>16000</v>
      </c>
      <c r="AB1052">
        <v>20</v>
      </c>
      <c r="AC1052">
        <v>12</v>
      </c>
      <c r="AD1052">
        <v>0.2</v>
      </c>
      <c r="AE1052">
        <v>150334.63172281699</v>
      </c>
    </row>
    <row r="1053" spans="1:31" x14ac:dyDescent="0.3">
      <c r="A1053" t="str">
        <f>IF(ISBLANK(B1053),"",IF(ROUND(B1053,0)=ROUND(G1053,0),"Pass","Fail"))</f>
        <v>Pass</v>
      </c>
      <c r="B1053">
        <f t="shared" si="94"/>
        <v>12.860273361206055</v>
      </c>
      <c r="C1053">
        <v>10</v>
      </c>
      <c r="D1053">
        <v>20</v>
      </c>
      <c r="E1053">
        <v>60</v>
      </c>
      <c r="F1053">
        <v>32</v>
      </c>
      <c r="G1053">
        <v>12.8602730059946</v>
      </c>
      <c r="M1053" t="str">
        <f t="shared" si="95"/>
        <v>Pass</v>
      </c>
      <c r="N1053">
        <f t="shared" si="96"/>
        <v>5.4533211280016758E-10</v>
      </c>
      <c r="O1053">
        <v>50</v>
      </c>
      <c r="P1053">
        <v>80</v>
      </c>
      <c r="Q1053">
        <v>0.5</v>
      </c>
      <c r="R1053" t="b">
        <v>0</v>
      </c>
      <c r="S1053">
        <v>5.4533206836031703E-10</v>
      </c>
      <c r="Y1053" t="str">
        <f t="shared" si="97"/>
        <v>Pass</v>
      </c>
      <c r="Z1053">
        <f t="shared" si="98"/>
        <v>155279.390625</v>
      </c>
      <c r="AA1053">
        <v>16000</v>
      </c>
      <c r="AB1053">
        <v>20</v>
      </c>
      <c r="AC1053">
        <v>14</v>
      </c>
      <c r="AD1053">
        <v>0.2</v>
      </c>
      <c r="AE1053">
        <v>155279.40297929701</v>
      </c>
    </row>
    <row r="1054" spans="1:31" x14ac:dyDescent="0.3">
      <c r="A1054" t="str">
        <f>IF(ISBLANK(B1054),"",IF(ROUND(B1054,0)=ROUND(G1054,0),"Pass","Fail"))</f>
        <v>Pass</v>
      </c>
      <c r="B1054">
        <f t="shared" si="94"/>
        <v>10.7197265625</v>
      </c>
      <c r="C1054">
        <v>10</v>
      </c>
      <c r="D1054">
        <v>20</v>
      </c>
      <c r="E1054">
        <v>60</v>
      </c>
      <c r="F1054">
        <v>40</v>
      </c>
      <c r="G1054">
        <v>10.719726764327101</v>
      </c>
      <c r="M1054" t="str">
        <f t="shared" si="95"/>
        <v>Pass</v>
      </c>
      <c r="N1054">
        <f t="shared" si="96"/>
        <v>9.5789438880888866E-11</v>
      </c>
      <c r="O1054">
        <v>50</v>
      </c>
      <c r="P1054">
        <v>80</v>
      </c>
      <c r="Q1054">
        <v>1</v>
      </c>
      <c r="R1054" t="b">
        <v>1</v>
      </c>
      <c r="S1054">
        <v>9.5789449985622495E-11</v>
      </c>
      <c r="Y1054" t="str">
        <f t="shared" si="97"/>
        <v>Pass</v>
      </c>
      <c r="Z1054">
        <f t="shared" si="98"/>
        <v>158593.96875</v>
      </c>
      <c r="AA1054">
        <v>16000</v>
      </c>
      <c r="AB1054">
        <v>20</v>
      </c>
      <c r="AC1054">
        <v>16</v>
      </c>
      <c r="AD1054">
        <v>0.2</v>
      </c>
      <c r="AE1054">
        <v>158593.98227557601</v>
      </c>
    </row>
    <row r="1055" spans="1:31" x14ac:dyDescent="0.3">
      <c r="A1055" t="str">
        <f>IF(ISBLANK(B1055),"",IF(ROUND(B1055,0)=ROUND(G1055,0),"Pass","Fail"))</f>
        <v>Pass</v>
      </c>
      <c r="B1055">
        <f t="shared" si="94"/>
        <v>9.6422080993652344</v>
      </c>
      <c r="C1055">
        <v>10</v>
      </c>
      <c r="D1055">
        <v>20</v>
      </c>
      <c r="E1055">
        <v>60</v>
      </c>
      <c r="F1055">
        <v>48</v>
      </c>
      <c r="G1055">
        <v>9.6422079008197201</v>
      </c>
      <c r="M1055" t="str">
        <f t="shared" si="95"/>
        <v>Pass</v>
      </c>
      <c r="N1055">
        <f t="shared" si="96"/>
        <v>6.3825594809330255E-10</v>
      </c>
      <c r="O1055">
        <v>50</v>
      </c>
      <c r="P1055">
        <v>80</v>
      </c>
      <c r="Q1055">
        <v>1</v>
      </c>
      <c r="R1055" t="b">
        <v>0</v>
      </c>
      <c r="S1055">
        <v>6.3825591196144304E-10</v>
      </c>
      <c r="Y1055" t="str">
        <f t="shared" si="97"/>
        <v>Pass</v>
      </c>
      <c r="Z1055">
        <f t="shared" si="98"/>
        <v>160815.8125</v>
      </c>
      <c r="AA1055">
        <v>16000</v>
      </c>
      <c r="AB1055">
        <v>20</v>
      </c>
      <c r="AC1055">
        <v>18</v>
      </c>
      <c r="AD1055">
        <v>0.2</v>
      </c>
      <c r="AE1055">
        <v>160815.81122204699</v>
      </c>
    </row>
    <row r="1056" spans="1:31" x14ac:dyDescent="0.3">
      <c r="A1056" t="str">
        <f>IF(ISBLANK(B1056),"",IF(ROUND(B1056,0)=ROUND(G1056,0),"Pass","Fail"))</f>
        <v>Pass</v>
      </c>
      <c r="B1056">
        <f t="shared" si="94"/>
        <v>75.678001403808594</v>
      </c>
      <c r="C1056">
        <v>10</v>
      </c>
      <c r="D1056">
        <v>20</v>
      </c>
      <c r="E1056">
        <v>70</v>
      </c>
      <c r="F1056">
        <v>0</v>
      </c>
      <c r="G1056">
        <v>75.677999999999997</v>
      </c>
      <c r="M1056" t="str">
        <f t="shared" si="95"/>
        <v>Pass</v>
      </c>
      <c r="N1056">
        <f t="shared" si="96"/>
        <v>1.0502444053317461E-10</v>
      </c>
      <c r="O1056">
        <v>50</v>
      </c>
      <c r="P1056">
        <v>80</v>
      </c>
      <c r="Q1056">
        <v>1.5</v>
      </c>
      <c r="R1056" t="b">
        <v>1</v>
      </c>
      <c r="S1056">
        <v>1.05024445047962E-10</v>
      </c>
      <c r="Y1056" t="str">
        <f t="shared" si="97"/>
        <v>Pass</v>
      </c>
      <c r="Z1056">
        <f t="shared" si="98"/>
        <v>162305.15625</v>
      </c>
      <c r="AA1056">
        <v>16000</v>
      </c>
      <c r="AB1056">
        <v>20</v>
      </c>
      <c r="AC1056">
        <v>20</v>
      </c>
      <c r="AD1056">
        <v>0.2</v>
      </c>
      <c r="AE1056">
        <v>162305.14770372899</v>
      </c>
    </row>
    <row r="1057" spans="1:31" x14ac:dyDescent="0.3">
      <c r="A1057" t="str">
        <f>IF(ISBLANK(B1057),"",IF(ROUND(B1057,0)=ROUND(G1057,0),"Pass","Fail"))</f>
        <v>Pass</v>
      </c>
      <c r="B1057">
        <f t="shared" si="94"/>
        <v>42.341228485107422</v>
      </c>
      <c r="C1057">
        <v>10</v>
      </c>
      <c r="D1057">
        <v>20</v>
      </c>
      <c r="E1057">
        <v>70</v>
      </c>
      <c r="F1057">
        <v>8</v>
      </c>
      <c r="G1057">
        <v>42.341228080723099</v>
      </c>
      <c r="M1057" t="str">
        <f t="shared" si="95"/>
        <v>Pass</v>
      </c>
      <c r="N1057">
        <f t="shared" si="96"/>
        <v>6.9978978167739569E-10</v>
      </c>
      <c r="O1057">
        <v>50</v>
      </c>
      <c r="P1057">
        <v>80</v>
      </c>
      <c r="Q1057">
        <v>1.5</v>
      </c>
      <c r="R1057" t="b">
        <v>0</v>
      </c>
      <c r="S1057">
        <v>6.9978972592903605E-10</v>
      </c>
      <c r="Y1057" t="str">
        <f t="shared" si="97"/>
        <v>Pass</v>
      </c>
      <c r="Z1057">
        <f t="shared" si="98"/>
        <v>163303.484375</v>
      </c>
      <c r="AA1057">
        <v>16000</v>
      </c>
      <c r="AB1057">
        <v>20</v>
      </c>
      <c r="AC1057">
        <v>22</v>
      </c>
      <c r="AD1057">
        <v>0.2</v>
      </c>
      <c r="AE1057">
        <v>163303.47980269199</v>
      </c>
    </row>
    <row r="1058" spans="1:31" x14ac:dyDescent="0.3">
      <c r="A1058" t="str">
        <f>IF(ISBLANK(B1058),"",IF(ROUND(B1058,0)=ROUND(G1058,0),"Pass","Fail"))</f>
        <v>Pass</v>
      </c>
      <c r="B1058">
        <f t="shared" si="94"/>
        <v>25.55999755859375</v>
      </c>
      <c r="C1058">
        <v>10</v>
      </c>
      <c r="D1058">
        <v>20</v>
      </c>
      <c r="E1058">
        <v>70</v>
      </c>
      <c r="F1058">
        <v>16</v>
      </c>
      <c r="G1058">
        <v>25.559997247101698</v>
      </c>
      <c r="M1058" t="str">
        <f t="shared" si="95"/>
        <v>Pass</v>
      </c>
      <c r="N1058">
        <f t="shared" si="96"/>
        <v>1.1211184064441326E-10</v>
      </c>
      <c r="O1058">
        <v>50</v>
      </c>
      <c r="P1058">
        <v>80</v>
      </c>
      <c r="Q1058">
        <v>2</v>
      </c>
      <c r="R1058" t="b">
        <v>1</v>
      </c>
      <c r="S1058">
        <v>1.1211184213077E-10</v>
      </c>
      <c r="Y1058" t="str">
        <f t="shared" si="97"/>
        <v>Pass</v>
      </c>
      <c r="Z1058">
        <f t="shared" si="98"/>
        <v>163972.6875</v>
      </c>
      <c r="AA1058">
        <v>16000</v>
      </c>
      <c r="AB1058">
        <v>20</v>
      </c>
      <c r="AC1058">
        <v>24</v>
      </c>
      <c r="AD1058">
        <v>0.2</v>
      </c>
      <c r="AE1058">
        <v>163972.681821228</v>
      </c>
    </row>
    <row r="1059" spans="1:31" x14ac:dyDescent="0.3">
      <c r="A1059" t="str">
        <f>IF(ISBLANK(B1059),"",IF(ROUND(B1059,0)=ROUND(G1059,0),"Pass","Fail"))</f>
        <v>Pass</v>
      </c>
      <c r="B1059">
        <f t="shared" si="94"/>
        <v>17.112577438354492</v>
      </c>
      <c r="C1059">
        <v>10</v>
      </c>
      <c r="D1059">
        <v>20</v>
      </c>
      <c r="E1059">
        <v>70</v>
      </c>
      <c r="F1059">
        <v>24</v>
      </c>
      <c r="G1059">
        <v>17.112577413736201</v>
      </c>
      <c r="M1059" t="str">
        <f t="shared" si="95"/>
        <v>Pass</v>
      </c>
      <c r="N1059">
        <f t="shared" si="96"/>
        <v>7.4701383967479273E-10</v>
      </c>
      <c r="O1059">
        <v>50</v>
      </c>
      <c r="P1059">
        <v>80</v>
      </c>
      <c r="Q1059">
        <v>2</v>
      </c>
      <c r="R1059" t="b">
        <v>0</v>
      </c>
      <c r="S1059">
        <v>7.4701385227279896E-10</v>
      </c>
      <c r="Y1059" t="str">
        <f t="shared" si="97"/>
        <v>Pass</v>
      </c>
      <c r="Z1059">
        <f t="shared" si="98"/>
        <v>0</v>
      </c>
      <c r="AA1059">
        <v>16200</v>
      </c>
      <c r="AB1059">
        <v>20</v>
      </c>
      <c r="AC1059">
        <v>0</v>
      </c>
      <c r="AD1059">
        <v>0.2</v>
      </c>
      <c r="AE1059">
        <v>0</v>
      </c>
    </row>
    <row r="1060" spans="1:31" x14ac:dyDescent="0.3">
      <c r="A1060" t="str">
        <f>IF(ISBLANK(B1060),"",IF(ROUND(B1060,0)=ROUND(G1060,0),"Pass","Fail"))</f>
        <v>Pass</v>
      </c>
      <c r="B1060">
        <f t="shared" si="94"/>
        <v>12.860273361206055</v>
      </c>
      <c r="C1060">
        <v>10</v>
      </c>
      <c r="D1060">
        <v>20</v>
      </c>
      <c r="E1060">
        <v>70</v>
      </c>
      <c r="F1060">
        <v>32</v>
      </c>
      <c r="G1060">
        <v>12.8602730059946</v>
      </c>
      <c r="M1060" t="str">
        <f t="shared" si="95"/>
        <v>Pass</v>
      </c>
      <c r="N1060">
        <f t="shared" si="96"/>
        <v>1.1793697962669825E-10</v>
      </c>
      <c r="O1060">
        <v>50</v>
      </c>
      <c r="P1060">
        <v>80</v>
      </c>
      <c r="Q1060">
        <v>2.5</v>
      </c>
      <c r="R1060" t="b">
        <v>1</v>
      </c>
      <c r="S1060">
        <v>1.1793699599613601E-10</v>
      </c>
      <c r="Y1060" t="str">
        <f t="shared" si="97"/>
        <v>Pass</v>
      </c>
      <c r="Z1060">
        <f t="shared" si="98"/>
        <v>55188.421875</v>
      </c>
      <c r="AA1060">
        <v>16200</v>
      </c>
      <c r="AB1060">
        <v>20</v>
      </c>
      <c r="AC1060">
        <v>2</v>
      </c>
      <c r="AD1060">
        <v>0.2</v>
      </c>
      <c r="AE1060">
        <v>55188.4242936339</v>
      </c>
    </row>
    <row r="1061" spans="1:31" x14ac:dyDescent="0.3">
      <c r="A1061" t="str">
        <f>IF(ISBLANK(B1061),"",IF(ROUND(B1061,0)=ROUND(G1061,0),"Pass","Fail"))</f>
        <v>Pass</v>
      </c>
      <c r="B1061">
        <f t="shared" si="94"/>
        <v>10.7197265625</v>
      </c>
      <c r="C1061">
        <v>10</v>
      </c>
      <c r="D1061">
        <v>20</v>
      </c>
      <c r="E1061">
        <v>70</v>
      </c>
      <c r="F1061">
        <v>40</v>
      </c>
      <c r="G1061">
        <v>10.719726764327101</v>
      </c>
      <c r="M1061" t="str">
        <f t="shared" si="95"/>
        <v>Pass</v>
      </c>
      <c r="N1061">
        <f t="shared" si="96"/>
        <v>7.8582745866029313E-10</v>
      </c>
      <c r="O1061">
        <v>50</v>
      </c>
      <c r="P1061">
        <v>80</v>
      </c>
      <c r="Q1061">
        <v>2.5</v>
      </c>
      <c r="R1061" t="b">
        <v>0</v>
      </c>
      <c r="S1061">
        <v>7.8582750965587202E-10</v>
      </c>
      <c r="Y1061" t="str">
        <f t="shared" si="97"/>
        <v>Pass</v>
      </c>
      <c r="Z1061">
        <f t="shared" si="98"/>
        <v>92182.3359375</v>
      </c>
      <c r="AA1061">
        <v>16200</v>
      </c>
      <c r="AB1061">
        <v>20</v>
      </c>
      <c r="AC1061">
        <v>4</v>
      </c>
      <c r="AD1061">
        <v>0.2</v>
      </c>
      <c r="AE1061">
        <v>92182.331406777099</v>
      </c>
    </row>
    <row r="1062" spans="1:31" x14ac:dyDescent="0.3">
      <c r="A1062" t="str">
        <f>IF(ISBLANK(B1062),"",IF(ROUND(B1062,0)=ROUND(G1062,0),"Pass","Fail"))</f>
        <v>Pass</v>
      </c>
      <c r="B1062">
        <f t="shared" si="94"/>
        <v>9.6422080993652344</v>
      </c>
      <c r="C1062">
        <v>10</v>
      </c>
      <c r="D1062">
        <v>20</v>
      </c>
      <c r="E1062">
        <v>70</v>
      </c>
      <c r="F1062">
        <v>48</v>
      </c>
      <c r="G1062">
        <v>9.6422079008197201</v>
      </c>
      <c r="M1062" t="str">
        <f t="shared" si="95"/>
        <v>Pass</v>
      </c>
      <c r="N1062">
        <f t="shared" si="96"/>
        <v>1.2292045159512099E-10</v>
      </c>
      <c r="O1062">
        <v>50</v>
      </c>
      <c r="P1062">
        <v>80</v>
      </c>
      <c r="Q1062">
        <v>3</v>
      </c>
      <c r="R1062" t="b">
        <v>1</v>
      </c>
      <c r="S1062">
        <v>1.22920467805758E-10</v>
      </c>
      <c r="Y1062" t="str">
        <f t="shared" si="97"/>
        <v>Pass</v>
      </c>
      <c r="Z1062">
        <f t="shared" si="98"/>
        <v>116980.09375</v>
      </c>
      <c r="AA1062">
        <v>16200</v>
      </c>
      <c r="AB1062">
        <v>20</v>
      </c>
      <c r="AC1062">
        <v>6</v>
      </c>
      <c r="AD1062">
        <v>0.2</v>
      </c>
      <c r="AE1062">
        <v>116980.088925897</v>
      </c>
    </row>
    <row r="1063" spans="1:31" x14ac:dyDescent="0.3">
      <c r="A1063" t="str">
        <f>IF(ISBLANK(B1063),"",IF(ROUND(B1063,0)=ROUND(G1063,0),"Pass","Fail"))</f>
        <v>Pass</v>
      </c>
      <c r="B1063">
        <f t="shared" si="94"/>
        <v>75.678001403808594</v>
      </c>
      <c r="C1063">
        <v>10</v>
      </c>
      <c r="D1063">
        <v>20</v>
      </c>
      <c r="E1063">
        <v>80</v>
      </c>
      <c r="F1063">
        <v>0</v>
      </c>
      <c r="G1063">
        <v>75.677999999999997</v>
      </c>
      <c r="M1063" t="str">
        <f t="shared" si="95"/>
        <v>Pass</v>
      </c>
      <c r="N1063">
        <f t="shared" si="96"/>
        <v>8.1903295257035325E-10</v>
      </c>
      <c r="O1063">
        <v>50</v>
      </c>
      <c r="P1063">
        <v>80</v>
      </c>
      <c r="Q1063">
        <v>3</v>
      </c>
      <c r="R1063" t="b">
        <v>0</v>
      </c>
      <c r="S1063">
        <v>8.19032944545219E-10</v>
      </c>
      <c r="Y1063" t="str">
        <f t="shared" si="97"/>
        <v>Pass</v>
      </c>
      <c r="Z1063">
        <f t="shared" si="98"/>
        <v>133602.515625</v>
      </c>
      <c r="AA1063">
        <v>16200</v>
      </c>
      <c r="AB1063">
        <v>20</v>
      </c>
      <c r="AC1063">
        <v>8</v>
      </c>
      <c r="AD1063">
        <v>0.2</v>
      </c>
      <c r="AE1063">
        <v>133602.52288769401</v>
      </c>
    </row>
    <row r="1064" spans="1:31" x14ac:dyDescent="0.3">
      <c r="A1064" t="str">
        <f>IF(ISBLANK(B1064),"",IF(ROUND(B1064,0)=ROUND(G1064,0),"Pass","Fail"))</f>
        <v>Pass</v>
      </c>
      <c r="B1064">
        <f t="shared" si="94"/>
        <v>42.341228485107422</v>
      </c>
      <c r="C1064">
        <v>10</v>
      </c>
      <c r="D1064">
        <v>20</v>
      </c>
      <c r="E1064">
        <v>80</v>
      </c>
      <c r="F1064">
        <v>8</v>
      </c>
      <c r="G1064">
        <v>42.341228080723099</v>
      </c>
      <c r="M1064" t="str">
        <f t="shared" si="95"/>
        <v>Pass</v>
      </c>
      <c r="N1064">
        <f t="shared" si="96"/>
        <v>1.2729785281440087E-10</v>
      </c>
      <c r="O1064">
        <v>50</v>
      </c>
      <c r="P1064">
        <v>80</v>
      </c>
      <c r="Q1064">
        <v>3.5</v>
      </c>
      <c r="R1064" t="b">
        <v>1</v>
      </c>
      <c r="S1064">
        <v>1.2729786669731099E-10</v>
      </c>
      <c r="Y1064" t="str">
        <f t="shared" si="97"/>
        <v>Pass</v>
      </c>
      <c r="Z1064">
        <f t="shared" si="98"/>
        <v>144744.875</v>
      </c>
      <c r="AA1064">
        <v>16200</v>
      </c>
      <c r="AB1064">
        <v>20</v>
      </c>
      <c r="AC1064">
        <v>10</v>
      </c>
      <c r="AD1064">
        <v>0.2</v>
      </c>
      <c r="AE1064">
        <v>144744.87358619101</v>
      </c>
    </row>
    <row r="1065" spans="1:31" x14ac:dyDescent="0.3">
      <c r="A1065" t="str">
        <f>IF(ISBLANK(B1065),"",IF(ROUND(B1065,0)=ROUND(G1065,0),"Pass","Fail"))</f>
        <v>Pass</v>
      </c>
      <c r="B1065">
        <f t="shared" si="94"/>
        <v>25.55999755859375</v>
      </c>
      <c r="C1065">
        <v>10</v>
      </c>
      <c r="D1065">
        <v>20</v>
      </c>
      <c r="E1065">
        <v>80</v>
      </c>
      <c r="F1065">
        <v>16</v>
      </c>
      <c r="G1065">
        <v>25.559997247101698</v>
      </c>
      <c r="M1065" t="str">
        <f t="shared" si="95"/>
        <v>Pass</v>
      </c>
      <c r="N1065">
        <f t="shared" si="96"/>
        <v>8.4820006573949058E-10</v>
      </c>
      <c r="O1065">
        <v>50</v>
      </c>
      <c r="P1065">
        <v>80</v>
      </c>
      <c r="Q1065">
        <v>3.5</v>
      </c>
      <c r="R1065" t="b">
        <v>0</v>
      </c>
      <c r="S1065">
        <v>8.4820004720596798E-10</v>
      </c>
      <c r="Y1065" t="str">
        <f t="shared" si="97"/>
        <v>Pass</v>
      </c>
      <c r="Z1065">
        <f t="shared" si="98"/>
        <v>152213.8125</v>
      </c>
      <c r="AA1065">
        <v>16200</v>
      </c>
      <c r="AB1065">
        <v>20</v>
      </c>
      <c r="AC1065">
        <v>12</v>
      </c>
      <c r="AD1065">
        <v>0.2</v>
      </c>
      <c r="AE1065">
        <v>152213.81461935199</v>
      </c>
    </row>
    <row r="1066" spans="1:31" x14ac:dyDescent="0.3">
      <c r="A1066" t="str">
        <f>IF(ISBLANK(B1066),"",IF(ROUND(B1066,0)=ROUND(G1066,0),"Pass","Fail"))</f>
        <v>Pass</v>
      </c>
      <c r="B1066">
        <f t="shared" si="94"/>
        <v>17.112577438354492</v>
      </c>
      <c r="C1066">
        <v>10</v>
      </c>
      <c r="D1066">
        <v>20</v>
      </c>
      <c r="E1066">
        <v>80</v>
      </c>
      <c r="F1066">
        <v>24</v>
      </c>
      <c r="G1066">
        <v>17.112577413736201</v>
      </c>
      <c r="M1066" t="str">
        <f t="shared" si="95"/>
        <v>Pass</v>
      </c>
      <c r="N1066">
        <f t="shared" si="96"/>
        <v>1.3121553843475908E-10</v>
      </c>
      <c r="O1066">
        <v>50</v>
      </c>
      <c r="P1066">
        <v>80</v>
      </c>
      <c r="Q1066">
        <v>4</v>
      </c>
      <c r="R1066" t="b">
        <v>1</v>
      </c>
      <c r="S1066">
        <v>1.3121554772306699E-10</v>
      </c>
      <c r="Y1066" t="str">
        <f t="shared" si="97"/>
        <v>Pass</v>
      </c>
      <c r="Z1066">
        <f t="shared" si="98"/>
        <v>157220.390625</v>
      </c>
      <c r="AA1066">
        <v>16200</v>
      </c>
      <c r="AB1066">
        <v>20</v>
      </c>
      <c r="AC1066">
        <v>14</v>
      </c>
      <c r="AD1066">
        <v>0.2</v>
      </c>
      <c r="AE1066">
        <v>157220.395516538</v>
      </c>
    </row>
    <row r="1067" spans="1:31" x14ac:dyDescent="0.3">
      <c r="A1067" t="str">
        <f>IF(ISBLANK(B1067),"",IF(ROUND(B1067,0)=ROUND(G1067,0),"Pass","Fail"))</f>
        <v>Pass</v>
      </c>
      <c r="B1067">
        <f t="shared" si="94"/>
        <v>12.860273361206055</v>
      </c>
      <c r="C1067">
        <v>10</v>
      </c>
      <c r="D1067">
        <v>20</v>
      </c>
      <c r="E1067">
        <v>80</v>
      </c>
      <c r="F1067">
        <v>32</v>
      </c>
      <c r="G1067">
        <v>12.8602730059946</v>
      </c>
      <c r="M1067" t="str">
        <f t="shared" si="95"/>
        <v>Pass</v>
      </c>
      <c r="N1067">
        <f t="shared" si="96"/>
        <v>8.7430396256138465E-10</v>
      </c>
      <c r="O1067">
        <v>50</v>
      </c>
      <c r="P1067">
        <v>80</v>
      </c>
      <c r="Q1067">
        <v>4</v>
      </c>
      <c r="R1067" t="b">
        <v>0</v>
      </c>
      <c r="S1067">
        <v>8.7430399786278399E-10</v>
      </c>
      <c r="Y1067" t="str">
        <f t="shared" si="97"/>
        <v>Pass</v>
      </c>
      <c r="Z1067">
        <f t="shared" si="98"/>
        <v>160576.40625</v>
      </c>
      <c r="AA1067">
        <v>16200</v>
      </c>
      <c r="AB1067">
        <v>20</v>
      </c>
      <c r="AC1067">
        <v>16</v>
      </c>
      <c r="AD1067">
        <v>0.2</v>
      </c>
      <c r="AE1067">
        <v>160576.40705402099</v>
      </c>
    </row>
    <row r="1068" spans="1:31" x14ac:dyDescent="0.3">
      <c r="A1068" t="str">
        <f>IF(ISBLANK(B1068),"",IF(ROUND(B1068,0)=ROUND(G1068,0),"Pass","Fail"))</f>
        <v>Pass</v>
      </c>
      <c r="B1068">
        <f t="shared" si="94"/>
        <v>10.7197265625</v>
      </c>
      <c r="C1068">
        <v>10</v>
      </c>
      <c r="D1068">
        <v>20</v>
      </c>
      <c r="E1068">
        <v>80</v>
      </c>
      <c r="F1068">
        <v>40</v>
      </c>
      <c r="G1068">
        <v>10.719726764327101</v>
      </c>
      <c r="M1068" t="str">
        <f t="shared" si="95"/>
        <v>Pass</v>
      </c>
      <c r="N1068">
        <f t="shared" si="96"/>
        <v>0</v>
      </c>
      <c r="O1068">
        <v>50</v>
      </c>
      <c r="P1068">
        <v>90</v>
      </c>
      <c r="Q1068">
        <v>0</v>
      </c>
      <c r="R1068" t="b">
        <v>1</v>
      </c>
      <c r="S1068">
        <v>0</v>
      </c>
      <c r="Y1068" t="str">
        <f t="shared" si="97"/>
        <v>Pass</v>
      </c>
      <c r="Z1068">
        <f t="shared" si="98"/>
        <v>162826.015625</v>
      </c>
      <c r="AA1068">
        <v>16200</v>
      </c>
      <c r="AB1068">
        <v>20</v>
      </c>
      <c r="AC1068">
        <v>18</v>
      </c>
      <c r="AD1068">
        <v>0.2</v>
      </c>
      <c r="AE1068">
        <v>162826.00886232301</v>
      </c>
    </row>
    <row r="1069" spans="1:31" x14ac:dyDescent="0.3">
      <c r="A1069" t="str">
        <f>IF(ISBLANK(B1069),"",IF(ROUND(B1069,0)=ROUND(G1069,0),"Pass","Fail"))</f>
        <v>Pass</v>
      </c>
      <c r="B1069">
        <f t="shared" si="94"/>
        <v>9.6422080993652344</v>
      </c>
      <c r="C1069">
        <v>10</v>
      </c>
      <c r="D1069">
        <v>20</v>
      </c>
      <c r="E1069">
        <v>80</v>
      </c>
      <c r="F1069">
        <v>48</v>
      </c>
      <c r="G1069">
        <v>9.6422079008197201</v>
      </c>
      <c r="M1069" t="str">
        <f t="shared" si="95"/>
        <v>Pass</v>
      </c>
      <c r="N1069">
        <f t="shared" si="96"/>
        <v>0</v>
      </c>
      <c r="O1069">
        <v>50</v>
      </c>
      <c r="P1069">
        <v>90</v>
      </c>
      <c r="Q1069">
        <v>0</v>
      </c>
      <c r="R1069" t="b">
        <v>0</v>
      </c>
      <c r="S1069">
        <v>0</v>
      </c>
      <c r="Y1069" t="str">
        <f t="shared" si="97"/>
        <v>Pass</v>
      </c>
      <c r="Z1069">
        <f t="shared" si="98"/>
        <v>164333.96875</v>
      </c>
      <c r="AA1069">
        <v>16200</v>
      </c>
      <c r="AB1069">
        <v>20</v>
      </c>
      <c r="AC1069">
        <v>20</v>
      </c>
      <c r="AD1069">
        <v>0.2</v>
      </c>
      <c r="AE1069">
        <v>164333.962050025</v>
      </c>
    </row>
    <row r="1070" spans="1:31" x14ac:dyDescent="0.3">
      <c r="A1070" t="str">
        <f>IF(ISBLANK(B1070),"",IF(ROUND(B1070,0)=ROUND(G1070,0),"Pass","Fail"))</f>
        <v>Pass</v>
      </c>
      <c r="B1070">
        <f t="shared" si="94"/>
        <v>75.678001403808594</v>
      </c>
      <c r="C1070">
        <v>10</v>
      </c>
      <c r="D1070">
        <v>20</v>
      </c>
      <c r="E1070">
        <v>90</v>
      </c>
      <c r="F1070">
        <v>0</v>
      </c>
      <c r="G1070">
        <v>75.677999999999997</v>
      </c>
      <c r="M1070" t="str">
        <f t="shared" si="95"/>
        <v>Pass</v>
      </c>
      <c r="N1070">
        <f t="shared" si="96"/>
        <v>1.4990147794921582E-12</v>
      </c>
      <c r="O1070">
        <v>50</v>
      </c>
      <c r="P1070">
        <v>90</v>
      </c>
      <c r="Q1070">
        <v>0.5</v>
      </c>
      <c r="R1070" t="b">
        <v>1</v>
      </c>
      <c r="S1070">
        <v>1.4990148767426299E-12</v>
      </c>
      <c r="Y1070" t="str">
        <f t="shared" si="97"/>
        <v>Pass</v>
      </c>
      <c r="Z1070">
        <f t="shared" si="98"/>
        <v>165344.78125</v>
      </c>
      <c r="AA1070">
        <v>16200</v>
      </c>
      <c r="AB1070">
        <v>20</v>
      </c>
      <c r="AC1070">
        <v>22</v>
      </c>
      <c r="AD1070">
        <v>0.2</v>
      </c>
      <c r="AE1070">
        <v>165344.77330022599</v>
      </c>
    </row>
    <row r="1071" spans="1:31" x14ac:dyDescent="0.3">
      <c r="A1071" t="str">
        <f>IF(ISBLANK(B1071),"",IF(ROUND(B1071,0)=ROUND(G1071,0),"Pass","Fail"))</f>
        <v>Pass</v>
      </c>
      <c r="B1071">
        <f t="shared" si="94"/>
        <v>42.341228485107422</v>
      </c>
      <c r="C1071">
        <v>10</v>
      </c>
      <c r="D1071">
        <v>20</v>
      </c>
      <c r="E1071">
        <v>90</v>
      </c>
      <c r="F1071">
        <v>8</v>
      </c>
      <c r="G1071">
        <v>42.341228080723099</v>
      </c>
      <c r="M1071" t="str">
        <f t="shared" si="95"/>
        <v>Pass</v>
      </c>
      <c r="N1071">
        <f t="shared" si="96"/>
        <v>9.988105828528937E-12</v>
      </c>
      <c r="O1071">
        <v>50</v>
      </c>
      <c r="P1071">
        <v>90</v>
      </c>
      <c r="Q1071">
        <v>0.5</v>
      </c>
      <c r="R1071" t="b">
        <v>0</v>
      </c>
      <c r="S1071">
        <v>9.9881052385491603E-12</v>
      </c>
      <c r="Y1071" t="str">
        <f t="shared" si="97"/>
        <v>Pass</v>
      </c>
      <c r="Z1071">
        <f t="shared" si="98"/>
        <v>166022.34375</v>
      </c>
      <c r="AA1071">
        <v>16200</v>
      </c>
      <c r="AB1071">
        <v>20</v>
      </c>
      <c r="AC1071">
        <v>24</v>
      </c>
      <c r="AD1071">
        <v>0.2</v>
      </c>
      <c r="AE1071">
        <v>166022.340343994</v>
      </c>
    </row>
    <row r="1072" spans="1:31" x14ac:dyDescent="0.3">
      <c r="A1072" t="str">
        <f>IF(ISBLANK(B1072),"",IF(ROUND(B1072,0)=ROUND(G1072,0),"Pass","Fail"))</f>
        <v>Pass</v>
      </c>
      <c r="B1072">
        <f t="shared" si="94"/>
        <v>25.55999755859375</v>
      </c>
      <c r="C1072">
        <v>10</v>
      </c>
      <c r="D1072">
        <v>20</v>
      </c>
      <c r="E1072">
        <v>90</v>
      </c>
      <c r="F1072">
        <v>16</v>
      </c>
      <c r="G1072">
        <v>25.559997247101698</v>
      </c>
      <c r="M1072" t="str">
        <f t="shared" si="95"/>
        <v>Pass</v>
      </c>
      <c r="N1072">
        <f t="shared" si="96"/>
        <v>1.7544447882336667E-12</v>
      </c>
      <c r="O1072">
        <v>50</v>
      </c>
      <c r="P1072">
        <v>90</v>
      </c>
      <c r="Q1072">
        <v>1</v>
      </c>
      <c r="R1072" t="b">
        <v>1</v>
      </c>
      <c r="S1072">
        <v>1.7544449752897701E-12</v>
      </c>
      <c r="Y1072" t="str">
        <f t="shared" si="97"/>
        <v>Pass</v>
      </c>
      <c r="Z1072">
        <f t="shared" si="98"/>
        <v>0</v>
      </c>
      <c r="AA1072">
        <v>16400</v>
      </c>
      <c r="AB1072">
        <v>20</v>
      </c>
      <c r="AC1072">
        <v>0</v>
      </c>
      <c r="AD1072">
        <v>0.2</v>
      </c>
      <c r="AE1072">
        <v>0</v>
      </c>
    </row>
    <row r="1073" spans="1:31" x14ac:dyDescent="0.3">
      <c r="A1073" t="str">
        <f>IF(ISBLANK(B1073),"",IF(ROUND(B1073,0)=ROUND(G1073,0),"Pass","Fail"))</f>
        <v>Pass</v>
      </c>
      <c r="B1073">
        <f t="shared" si="94"/>
        <v>17.112577438354492</v>
      </c>
      <c r="C1073">
        <v>10</v>
      </c>
      <c r="D1073">
        <v>20</v>
      </c>
      <c r="E1073">
        <v>90</v>
      </c>
      <c r="F1073">
        <v>24</v>
      </c>
      <c r="G1073">
        <v>17.112577413736201</v>
      </c>
      <c r="M1073" t="str">
        <f t="shared" si="95"/>
        <v>Pass</v>
      </c>
      <c r="N1073">
        <f t="shared" si="96"/>
        <v>1.169006558221497E-11</v>
      </c>
      <c r="O1073">
        <v>50</v>
      </c>
      <c r="P1073">
        <v>90</v>
      </c>
      <c r="Q1073">
        <v>1</v>
      </c>
      <c r="R1073" t="b">
        <v>0</v>
      </c>
      <c r="S1073">
        <v>1.1690064802103099E-11</v>
      </c>
      <c r="Y1073" t="str">
        <f t="shared" si="97"/>
        <v>Pass</v>
      </c>
      <c r="Z1073">
        <f t="shared" si="98"/>
        <v>55869.76171875</v>
      </c>
      <c r="AA1073">
        <v>16400</v>
      </c>
      <c r="AB1073">
        <v>20</v>
      </c>
      <c r="AC1073">
        <v>2</v>
      </c>
      <c r="AD1073">
        <v>0.2</v>
      </c>
      <c r="AE1073">
        <v>55869.762865160301</v>
      </c>
    </row>
    <row r="1074" spans="1:31" x14ac:dyDescent="0.3">
      <c r="A1074" t="str">
        <f>IF(ISBLANK(B1074),"",IF(ROUND(B1074,0)=ROUND(G1074,0),"Pass","Fail"))</f>
        <v>Pass</v>
      </c>
      <c r="B1074">
        <f t="shared" si="94"/>
        <v>12.860273361206055</v>
      </c>
      <c r="C1074">
        <v>10</v>
      </c>
      <c r="D1074">
        <v>20</v>
      </c>
      <c r="E1074">
        <v>90</v>
      </c>
      <c r="F1074">
        <v>32</v>
      </c>
      <c r="G1074">
        <v>12.8602730059946</v>
      </c>
      <c r="M1074" t="str">
        <f t="shared" si="95"/>
        <v>Pass</v>
      </c>
      <c r="N1074">
        <f t="shared" si="96"/>
        <v>1.923589759700306E-12</v>
      </c>
      <c r="O1074">
        <v>50</v>
      </c>
      <c r="P1074">
        <v>90</v>
      </c>
      <c r="Q1074">
        <v>1.5</v>
      </c>
      <c r="R1074" t="b">
        <v>1</v>
      </c>
      <c r="S1074">
        <v>1.9235898099910899E-12</v>
      </c>
      <c r="Y1074" t="str">
        <f t="shared" si="97"/>
        <v>Pass</v>
      </c>
      <c r="Z1074">
        <f t="shared" si="98"/>
        <v>93320.3828125</v>
      </c>
      <c r="AA1074">
        <v>16400</v>
      </c>
      <c r="AB1074">
        <v>20</v>
      </c>
      <c r="AC1074">
        <v>4</v>
      </c>
      <c r="AD1074">
        <v>0.2</v>
      </c>
      <c r="AE1074">
        <v>93320.384880934798</v>
      </c>
    </row>
    <row r="1075" spans="1:31" x14ac:dyDescent="0.3">
      <c r="A1075" t="str">
        <f>IF(ISBLANK(B1075),"",IF(ROUND(B1075,0)=ROUND(G1075,0),"Pass","Fail"))</f>
        <v>Pass</v>
      </c>
      <c r="B1075">
        <f t="shared" si="94"/>
        <v>10.7197265625</v>
      </c>
      <c r="C1075">
        <v>10</v>
      </c>
      <c r="D1075">
        <v>20</v>
      </c>
      <c r="E1075">
        <v>90</v>
      </c>
      <c r="F1075">
        <v>40</v>
      </c>
      <c r="G1075">
        <v>10.719726764327101</v>
      </c>
      <c r="M1075" t="str">
        <f t="shared" si="95"/>
        <v>Pass</v>
      </c>
      <c r="N1075">
        <f t="shared" si="96"/>
        <v>1.2817096342598866E-11</v>
      </c>
      <c r="O1075">
        <v>50</v>
      </c>
      <c r="P1075">
        <v>90</v>
      </c>
      <c r="Q1075">
        <v>1.5</v>
      </c>
      <c r="R1075" t="b">
        <v>0</v>
      </c>
      <c r="S1075">
        <v>1.2817095918181799E-11</v>
      </c>
      <c r="Y1075" t="str">
        <f t="shared" si="97"/>
        <v>Pass</v>
      </c>
      <c r="Z1075">
        <f t="shared" si="98"/>
        <v>118424.2890625</v>
      </c>
      <c r="AA1075">
        <v>16400</v>
      </c>
      <c r="AB1075">
        <v>20</v>
      </c>
      <c r="AC1075">
        <v>6</v>
      </c>
      <c r="AD1075">
        <v>0.2</v>
      </c>
      <c r="AE1075">
        <v>118424.287554612</v>
      </c>
    </row>
    <row r="1076" spans="1:31" x14ac:dyDescent="0.3">
      <c r="A1076" t="str">
        <f>IF(ISBLANK(B1076),"",IF(ROUND(B1076,0)=ROUND(G1076,0),"Pass","Fail"))</f>
        <v>Pass</v>
      </c>
      <c r="B1076">
        <f t="shared" si="94"/>
        <v>9.6422080993652344</v>
      </c>
      <c r="C1076">
        <v>10</v>
      </c>
      <c r="D1076">
        <v>20</v>
      </c>
      <c r="E1076">
        <v>90</v>
      </c>
      <c r="F1076">
        <v>48</v>
      </c>
      <c r="G1076">
        <v>9.6422079008197201</v>
      </c>
      <c r="M1076" t="str">
        <f t="shared" si="95"/>
        <v>Pass</v>
      </c>
      <c r="N1076">
        <f t="shared" si="96"/>
        <v>2.0533999847693885E-12</v>
      </c>
      <c r="O1076">
        <v>50</v>
      </c>
      <c r="P1076">
        <v>90</v>
      </c>
      <c r="Q1076">
        <v>2</v>
      </c>
      <c r="R1076" t="b">
        <v>1</v>
      </c>
      <c r="S1076">
        <v>2.0534000156210701E-12</v>
      </c>
      <c r="Y1076" t="str">
        <f t="shared" si="97"/>
        <v>Pass</v>
      </c>
      <c r="Z1076">
        <f t="shared" si="98"/>
        <v>135251.9375</v>
      </c>
      <c r="AA1076">
        <v>16400</v>
      </c>
      <c r="AB1076">
        <v>20</v>
      </c>
      <c r="AC1076">
        <v>8</v>
      </c>
      <c r="AD1076">
        <v>0.2</v>
      </c>
      <c r="AE1076">
        <v>135251.936750505</v>
      </c>
    </row>
    <row r="1077" spans="1:31" x14ac:dyDescent="0.3">
      <c r="A1077" t="str">
        <f>IF(ISBLANK(B1077),"",IF(ROUND(B1077,0)=ROUND(G1077,0),"Pass","Fail"))</f>
        <v>Pass</v>
      </c>
      <c r="B1077">
        <f t="shared" si="94"/>
        <v>75.678001403808594</v>
      </c>
      <c r="C1077">
        <v>10</v>
      </c>
      <c r="D1077">
        <v>20</v>
      </c>
      <c r="E1077">
        <v>100</v>
      </c>
      <c r="F1077">
        <v>0</v>
      </c>
      <c r="G1077">
        <v>75.677999999999997</v>
      </c>
      <c r="M1077" t="str">
        <f t="shared" si="95"/>
        <v>Pass</v>
      </c>
      <c r="N1077">
        <f t="shared" si="96"/>
        <v>1.3682036406614806E-11</v>
      </c>
      <c r="O1077">
        <v>50</v>
      </c>
      <c r="P1077">
        <v>90</v>
      </c>
      <c r="Q1077">
        <v>2</v>
      </c>
      <c r="R1077" t="b">
        <v>0</v>
      </c>
      <c r="S1077">
        <v>1.3682035963131401E-11</v>
      </c>
      <c r="Y1077" t="str">
        <f t="shared" si="97"/>
        <v>Pass</v>
      </c>
      <c r="Z1077">
        <f t="shared" si="98"/>
        <v>146531.859375</v>
      </c>
      <c r="AA1077">
        <v>16400</v>
      </c>
      <c r="AB1077">
        <v>20</v>
      </c>
      <c r="AC1077">
        <v>10</v>
      </c>
      <c r="AD1077">
        <v>0.2</v>
      </c>
      <c r="AE1077">
        <v>146531.84733416801</v>
      </c>
    </row>
    <row r="1078" spans="1:31" x14ac:dyDescent="0.3">
      <c r="A1078" t="str">
        <f>IF(ISBLANK(B1078),"",IF(ROUND(B1078,0)=ROUND(G1078,0),"Pass","Fail"))</f>
        <v>Pass</v>
      </c>
      <c r="B1078">
        <f t="shared" si="94"/>
        <v>42.341228485107422</v>
      </c>
      <c r="C1078">
        <v>10</v>
      </c>
      <c r="D1078">
        <v>20</v>
      </c>
      <c r="E1078">
        <v>100</v>
      </c>
      <c r="F1078">
        <v>8</v>
      </c>
      <c r="G1078">
        <v>42.341228080723099</v>
      </c>
      <c r="M1078" t="str">
        <f t="shared" si="95"/>
        <v>Pass</v>
      </c>
      <c r="N1078">
        <f t="shared" si="96"/>
        <v>2.160091116393259E-12</v>
      </c>
      <c r="O1078">
        <v>50</v>
      </c>
      <c r="P1078">
        <v>90</v>
      </c>
      <c r="Q1078">
        <v>2.5</v>
      </c>
      <c r="R1078" t="b">
        <v>1</v>
      </c>
      <c r="S1078">
        <v>2.1600914302905902E-12</v>
      </c>
      <c r="Y1078" t="str">
        <f t="shared" si="97"/>
        <v>Pass</v>
      </c>
      <c r="Z1078">
        <f t="shared" si="98"/>
        <v>154093</v>
      </c>
      <c r="AA1078">
        <v>16400</v>
      </c>
      <c r="AB1078">
        <v>20</v>
      </c>
      <c r="AC1078">
        <v>12</v>
      </c>
      <c r="AD1078">
        <v>0.2</v>
      </c>
      <c r="AE1078">
        <v>154092.99751588699</v>
      </c>
    </row>
    <row r="1079" spans="1:31" x14ac:dyDescent="0.3">
      <c r="A1079" t="str">
        <f>IF(ISBLANK(B1079),"",IF(ROUND(B1079,0)=ROUND(G1079,0),"Pass","Fail"))</f>
        <v>Pass</v>
      </c>
      <c r="B1079">
        <f t="shared" si="94"/>
        <v>25.55999755859375</v>
      </c>
      <c r="C1079">
        <v>10</v>
      </c>
      <c r="D1079">
        <v>20</v>
      </c>
      <c r="E1079">
        <v>100</v>
      </c>
      <c r="F1079">
        <v>16</v>
      </c>
      <c r="G1079">
        <v>25.559997247101698</v>
      </c>
      <c r="M1079" t="str">
        <f t="shared" si="95"/>
        <v>Pass</v>
      </c>
      <c r="N1079">
        <f t="shared" si="96"/>
        <v>1.4392932158602267E-11</v>
      </c>
      <c r="O1079">
        <v>50</v>
      </c>
      <c r="P1079">
        <v>90</v>
      </c>
      <c r="Q1079">
        <v>2.5</v>
      </c>
      <c r="R1079" t="b">
        <v>0</v>
      </c>
      <c r="S1079">
        <v>1.43929328957119E-11</v>
      </c>
      <c r="Y1079" t="str">
        <f t="shared" si="97"/>
        <v>Pass</v>
      </c>
      <c r="Z1079">
        <f t="shared" si="98"/>
        <v>159161.375</v>
      </c>
      <c r="AA1079">
        <v>16400</v>
      </c>
      <c r="AB1079">
        <v>20</v>
      </c>
      <c r="AC1079">
        <v>14</v>
      </c>
      <c r="AD1079">
        <v>0.2</v>
      </c>
      <c r="AE1079">
        <v>159161.388053779</v>
      </c>
    </row>
    <row r="1080" spans="1:31" x14ac:dyDescent="0.3">
      <c r="A1080" t="str">
        <f>IF(ISBLANK(B1080),"",IF(ROUND(B1080,0)=ROUND(G1080,0),"Pass","Fail"))</f>
        <v>Pass</v>
      </c>
      <c r="B1080">
        <f t="shared" si="94"/>
        <v>17.112577438354492</v>
      </c>
      <c r="C1080">
        <v>10</v>
      </c>
      <c r="D1080">
        <v>20</v>
      </c>
      <c r="E1080">
        <v>100</v>
      </c>
      <c r="F1080">
        <v>24</v>
      </c>
      <c r="G1080">
        <v>17.112577413736201</v>
      </c>
      <c r="M1080" t="str">
        <f t="shared" si="95"/>
        <v>Pass</v>
      </c>
      <c r="N1080">
        <f t="shared" si="96"/>
        <v>2.2513666278478617E-12</v>
      </c>
      <c r="O1080">
        <v>50</v>
      </c>
      <c r="P1080">
        <v>90</v>
      </c>
      <c r="Q1080">
        <v>3</v>
      </c>
      <c r="R1080" t="b">
        <v>1</v>
      </c>
      <c r="S1080">
        <v>2.25136690036794E-12</v>
      </c>
      <c r="Y1080" t="str">
        <f t="shared" si="97"/>
        <v>Pass</v>
      </c>
      <c r="Z1080">
        <f t="shared" si="98"/>
        <v>162558.828125</v>
      </c>
      <c r="AA1080">
        <v>16400</v>
      </c>
      <c r="AB1080">
        <v>20</v>
      </c>
      <c r="AC1080">
        <v>16</v>
      </c>
      <c r="AD1080">
        <v>0.2</v>
      </c>
      <c r="AE1080">
        <v>162558.83183246601</v>
      </c>
    </row>
    <row r="1081" spans="1:31" x14ac:dyDescent="0.3">
      <c r="A1081" t="str">
        <f>IF(ISBLANK(B1081),"",IF(ROUND(B1081,0)=ROUND(G1081,0),"Pass","Fail"))</f>
        <v>Pass</v>
      </c>
      <c r="B1081">
        <f t="shared" si="94"/>
        <v>12.860273361206055</v>
      </c>
      <c r="C1081">
        <v>10</v>
      </c>
      <c r="D1081">
        <v>20</v>
      </c>
      <c r="E1081">
        <v>100</v>
      </c>
      <c r="F1081">
        <v>32</v>
      </c>
      <c r="G1081">
        <v>12.8602730059946</v>
      </c>
      <c r="M1081" t="str">
        <f t="shared" si="95"/>
        <v>Pass</v>
      </c>
      <c r="N1081">
        <f t="shared" si="96"/>
        <v>1.500111146413019E-11</v>
      </c>
      <c r="O1081">
        <v>50</v>
      </c>
      <c r="P1081">
        <v>90</v>
      </c>
      <c r="Q1081">
        <v>3</v>
      </c>
      <c r="R1081" t="b">
        <v>0</v>
      </c>
      <c r="S1081">
        <v>1.5001111650289501E-11</v>
      </c>
      <c r="Y1081" t="str">
        <f t="shared" si="97"/>
        <v>Pass</v>
      </c>
      <c r="Z1081">
        <f t="shared" si="98"/>
        <v>164836.21875</v>
      </c>
      <c r="AA1081">
        <v>16400</v>
      </c>
      <c r="AB1081">
        <v>20</v>
      </c>
      <c r="AC1081">
        <v>18</v>
      </c>
      <c r="AD1081">
        <v>0.2</v>
      </c>
      <c r="AE1081">
        <v>164836.20650259801</v>
      </c>
    </row>
    <row r="1082" spans="1:31" x14ac:dyDescent="0.3">
      <c r="A1082" t="str">
        <f>IF(ISBLANK(B1082),"",IF(ROUND(B1082,0)=ROUND(G1082,0),"Pass","Fail"))</f>
        <v>Pass</v>
      </c>
      <c r="B1082">
        <f t="shared" si="94"/>
        <v>10.7197265625</v>
      </c>
      <c r="C1082">
        <v>10</v>
      </c>
      <c r="D1082">
        <v>20</v>
      </c>
      <c r="E1082">
        <v>100</v>
      </c>
      <c r="F1082">
        <v>40</v>
      </c>
      <c r="G1082">
        <v>10.719726764327101</v>
      </c>
      <c r="M1082" t="str">
        <f t="shared" si="95"/>
        <v>Pass</v>
      </c>
      <c r="N1082">
        <f t="shared" si="96"/>
        <v>2.3315416437796888E-12</v>
      </c>
      <c r="O1082">
        <v>50</v>
      </c>
      <c r="P1082">
        <v>90</v>
      </c>
      <c r="Q1082">
        <v>3.5</v>
      </c>
      <c r="R1082" t="b">
        <v>1</v>
      </c>
      <c r="S1082">
        <v>2.3315417577377001E-12</v>
      </c>
      <c r="Y1082" t="str">
        <f t="shared" si="97"/>
        <v>Pass</v>
      </c>
      <c r="Z1082">
        <f t="shared" si="98"/>
        <v>166362.78125</v>
      </c>
      <c r="AA1082">
        <v>16400</v>
      </c>
      <c r="AB1082">
        <v>20</v>
      </c>
      <c r="AC1082">
        <v>20</v>
      </c>
      <c r="AD1082">
        <v>0.2</v>
      </c>
      <c r="AE1082">
        <v>166362.77639632201</v>
      </c>
    </row>
    <row r="1083" spans="1:31" x14ac:dyDescent="0.3">
      <c r="A1083" t="str">
        <f>IF(ISBLANK(B1083),"",IF(ROUND(B1083,0)=ROUND(G1083,0),"Pass","Fail"))</f>
        <v>Pass</v>
      </c>
      <c r="B1083">
        <f t="shared" si="94"/>
        <v>9.6422080993652344</v>
      </c>
      <c r="C1083">
        <v>10</v>
      </c>
      <c r="D1083">
        <v>20</v>
      </c>
      <c r="E1083">
        <v>100</v>
      </c>
      <c r="F1083">
        <v>48</v>
      </c>
      <c r="G1083">
        <v>9.6422079008197201</v>
      </c>
      <c r="M1083" t="str">
        <f t="shared" si="95"/>
        <v>Pass</v>
      </c>
      <c r="N1083">
        <f t="shared" si="96"/>
        <v>1.5535326497451152E-11</v>
      </c>
      <c r="O1083">
        <v>50</v>
      </c>
      <c r="P1083">
        <v>90</v>
      </c>
      <c r="Q1083">
        <v>3.5</v>
      </c>
      <c r="R1083" t="b">
        <v>0</v>
      </c>
      <c r="S1083">
        <v>1.5535325770055201E-11</v>
      </c>
      <c r="Y1083" t="str">
        <f t="shared" si="97"/>
        <v>Pass</v>
      </c>
      <c r="Z1083">
        <f t="shared" si="98"/>
        <v>167386.078125</v>
      </c>
      <c r="AA1083">
        <v>16400</v>
      </c>
      <c r="AB1083">
        <v>20</v>
      </c>
      <c r="AC1083">
        <v>22</v>
      </c>
      <c r="AD1083">
        <v>0.2</v>
      </c>
      <c r="AE1083">
        <v>167386.06679776</v>
      </c>
    </row>
    <row r="1084" spans="1:31" x14ac:dyDescent="0.3">
      <c r="A1084" t="str">
        <f>IF(ISBLANK(B1084),"",IF(ROUND(B1084,0)=ROUND(G1084,0),"Pass","Fail"))</f>
        <v>Pass</v>
      </c>
      <c r="B1084">
        <f t="shared" si="94"/>
        <v>9.8899993896484375</v>
      </c>
      <c r="C1084">
        <v>10</v>
      </c>
      <c r="D1084">
        <v>30</v>
      </c>
      <c r="E1084">
        <v>0</v>
      </c>
      <c r="F1084">
        <v>0</v>
      </c>
      <c r="G1084">
        <v>9.8899999999999899</v>
      </c>
      <c r="M1084" t="str">
        <f t="shared" si="95"/>
        <v>Pass</v>
      </c>
      <c r="N1084">
        <f t="shared" si="96"/>
        <v>2.4032965287995589E-12</v>
      </c>
      <c r="O1084">
        <v>50</v>
      </c>
      <c r="P1084">
        <v>90</v>
      </c>
      <c r="Q1084">
        <v>4</v>
      </c>
      <c r="R1084" t="b">
        <v>1</v>
      </c>
      <c r="S1084">
        <v>2.4032965886867999E-12</v>
      </c>
      <c r="Y1084" t="str">
        <f t="shared" si="97"/>
        <v>Pass</v>
      </c>
      <c r="Z1084">
        <f t="shared" si="98"/>
        <v>168072.015625</v>
      </c>
      <c r="AA1084">
        <v>16400</v>
      </c>
      <c r="AB1084">
        <v>20</v>
      </c>
      <c r="AC1084">
        <v>24</v>
      </c>
      <c r="AD1084">
        <v>0.2</v>
      </c>
      <c r="AE1084">
        <v>168071.99886675901</v>
      </c>
    </row>
    <row r="1085" spans="1:31" x14ac:dyDescent="0.3">
      <c r="A1085" t="str">
        <f>IF(ISBLANK(B1085),"",IF(ROUND(B1085,0)=ROUND(G1085,0),"Pass","Fail"))</f>
        <v>Pass</v>
      </c>
      <c r="B1085">
        <f t="shared" si="94"/>
        <v>9.8899993896484375</v>
      </c>
      <c r="C1085">
        <v>10</v>
      </c>
      <c r="D1085">
        <v>30</v>
      </c>
      <c r="E1085">
        <v>0</v>
      </c>
      <c r="F1085">
        <v>8</v>
      </c>
      <c r="G1085">
        <v>9.8899999999999899</v>
      </c>
      <c r="M1085" t="str">
        <f t="shared" si="95"/>
        <v>Pass</v>
      </c>
      <c r="N1085">
        <f t="shared" si="96"/>
        <v>1.6013435369388596E-11</v>
      </c>
      <c r="O1085">
        <v>50</v>
      </c>
      <c r="P1085">
        <v>90</v>
      </c>
      <c r="Q1085">
        <v>4</v>
      </c>
      <c r="R1085" t="b">
        <v>0</v>
      </c>
      <c r="S1085">
        <v>1.60134363038555E-11</v>
      </c>
      <c r="Y1085" t="str">
        <f t="shared" si="97"/>
        <v>Pass</v>
      </c>
      <c r="Z1085">
        <f t="shared" si="98"/>
        <v>0</v>
      </c>
      <c r="AA1085">
        <v>16600</v>
      </c>
      <c r="AB1085">
        <v>20</v>
      </c>
      <c r="AC1085">
        <v>0</v>
      </c>
      <c r="AD1085">
        <v>0.2</v>
      </c>
      <c r="AE1085">
        <v>0</v>
      </c>
    </row>
    <row r="1086" spans="1:31" x14ac:dyDescent="0.3">
      <c r="A1086" t="str">
        <f>IF(ISBLANK(B1086),"",IF(ROUND(B1086,0)=ROUND(G1086,0),"Pass","Fail"))</f>
        <v>Pass</v>
      </c>
      <c r="B1086">
        <f t="shared" si="94"/>
        <v>9.8899993896484375</v>
      </c>
      <c r="C1086">
        <v>10</v>
      </c>
      <c r="D1086">
        <v>30</v>
      </c>
      <c r="E1086">
        <v>0</v>
      </c>
      <c r="F1086">
        <v>16</v>
      </c>
      <c r="G1086">
        <v>9.8899999999999899</v>
      </c>
      <c r="M1086" t="str">
        <f t="shared" si="95"/>
        <v>Pass</v>
      </c>
      <c r="N1086">
        <f t="shared" si="96"/>
        <v>0</v>
      </c>
      <c r="O1086">
        <v>60</v>
      </c>
      <c r="P1086">
        <v>0</v>
      </c>
      <c r="Q1086">
        <v>0</v>
      </c>
      <c r="R1086" t="b">
        <v>1</v>
      </c>
      <c r="S1086">
        <v>0</v>
      </c>
      <c r="Y1086" t="str">
        <f t="shared" si="97"/>
        <v>Pass</v>
      </c>
      <c r="Z1086">
        <f t="shared" si="98"/>
        <v>56551.09765625</v>
      </c>
      <c r="AA1086">
        <v>16600</v>
      </c>
      <c r="AB1086">
        <v>20</v>
      </c>
      <c r="AC1086">
        <v>2</v>
      </c>
      <c r="AD1086">
        <v>0.2</v>
      </c>
      <c r="AE1086">
        <v>56551.1014366866</v>
      </c>
    </row>
    <row r="1087" spans="1:31" x14ac:dyDescent="0.3">
      <c r="A1087" t="str">
        <f>IF(ISBLANK(B1087),"",IF(ROUND(B1087,0)=ROUND(G1087,0),"Pass","Fail"))</f>
        <v>Pass</v>
      </c>
      <c r="B1087">
        <f t="shared" si="94"/>
        <v>9.8899993896484375</v>
      </c>
      <c r="C1087">
        <v>10</v>
      </c>
      <c r="D1087">
        <v>30</v>
      </c>
      <c r="E1087">
        <v>0</v>
      </c>
      <c r="F1087">
        <v>24</v>
      </c>
      <c r="G1087">
        <v>9.8899999999999899</v>
      </c>
      <c r="M1087" t="str">
        <f t="shared" si="95"/>
        <v>Pass</v>
      </c>
      <c r="N1087">
        <f t="shared" si="96"/>
        <v>0</v>
      </c>
      <c r="O1087">
        <v>60</v>
      </c>
      <c r="P1087">
        <v>0</v>
      </c>
      <c r="Q1087">
        <v>0</v>
      </c>
      <c r="R1087" t="b">
        <v>0</v>
      </c>
      <c r="S1087">
        <v>0</v>
      </c>
      <c r="Y1087" t="str">
        <f t="shared" si="97"/>
        <v>Pass</v>
      </c>
      <c r="Z1087">
        <f t="shared" si="98"/>
        <v>94458.4375</v>
      </c>
      <c r="AA1087">
        <v>16600</v>
      </c>
      <c r="AB1087">
        <v>20</v>
      </c>
      <c r="AC1087">
        <v>4</v>
      </c>
      <c r="AD1087">
        <v>0.2</v>
      </c>
      <c r="AE1087">
        <v>94458.438355092498</v>
      </c>
    </row>
    <row r="1088" spans="1:31" x14ac:dyDescent="0.3">
      <c r="A1088" t="str">
        <f>IF(ISBLANK(B1088),"",IF(ROUND(B1088,0)=ROUND(G1088,0),"Pass","Fail"))</f>
        <v>Pass</v>
      </c>
      <c r="B1088">
        <f t="shared" si="94"/>
        <v>9.8899993896484375</v>
      </c>
      <c r="C1088">
        <v>10</v>
      </c>
      <c r="D1088">
        <v>30</v>
      </c>
      <c r="E1088">
        <v>0</v>
      </c>
      <c r="F1088">
        <v>32</v>
      </c>
      <c r="G1088">
        <v>9.8899999999999899</v>
      </c>
      <c r="M1088" t="str">
        <f t="shared" si="95"/>
        <v>Pass</v>
      </c>
      <c r="N1088">
        <f t="shared" si="96"/>
        <v>2044.7828369140625</v>
      </c>
      <c r="O1088">
        <v>60</v>
      </c>
      <c r="P1088">
        <v>0</v>
      </c>
      <c r="Q1088">
        <v>0.5</v>
      </c>
      <c r="R1088" t="b">
        <v>1</v>
      </c>
      <c r="S1088">
        <v>2044.78295571073</v>
      </c>
      <c r="Y1088" t="str">
        <f t="shared" si="97"/>
        <v>Pass</v>
      </c>
      <c r="Z1088">
        <f t="shared" si="98"/>
        <v>119868.4921875</v>
      </c>
      <c r="AA1088">
        <v>16600</v>
      </c>
      <c r="AB1088">
        <v>20</v>
      </c>
      <c r="AC1088">
        <v>6</v>
      </c>
      <c r="AD1088">
        <v>0.2</v>
      </c>
      <c r="AE1088">
        <v>119868.48618332599</v>
      </c>
    </row>
    <row r="1089" spans="1:31" x14ac:dyDescent="0.3">
      <c r="A1089" t="str">
        <f>IF(ISBLANK(B1089),"",IF(ROUND(B1089,0)=ROUND(G1089,0),"Pass","Fail"))</f>
        <v>Pass</v>
      </c>
      <c r="B1089">
        <f t="shared" si="94"/>
        <v>9.8899993896484375</v>
      </c>
      <c r="C1089">
        <v>10</v>
      </c>
      <c r="D1089">
        <v>30</v>
      </c>
      <c r="E1089">
        <v>0</v>
      </c>
      <c r="F1089">
        <v>40</v>
      </c>
      <c r="G1089">
        <v>9.8899999999999899</v>
      </c>
      <c r="M1089" t="str">
        <f t="shared" si="95"/>
        <v>Pass</v>
      </c>
      <c r="N1089">
        <f t="shared" si="96"/>
        <v>6147.73486328125</v>
      </c>
      <c r="O1089">
        <v>60</v>
      </c>
      <c r="P1089">
        <v>0</v>
      </c>
      <c r="Q1089">
        <v>0.5</v>
      </c>
      <c r="R1089" t="b">
        <v>0</v>
      </c>
      <c r="S1089">
        <v>6147.7345791962998</v>
      </c>
      <c r="Y1089" t="str">
        <f t="shared" si="97"/>
        <v>Pass</v>
      </c>
      <c r="Z1089">
        <f t="shared" si="98"/>
        <v>136901.34375</v>
      </c>
      <c r="AA1089">
        <v>16600</v>
      </c>
      <c r="AB1089">
        <v>20</v>
      </c>
      <c r="AC1089">
        <v>8</v>
      </c>
      <c r="AD1089">
        <v>0.2</v>
      </c>
      <c r="AE1089">
        <v>136901.350613316</v>
      </c>
    </row>
    <row r="1090" spans="1:31" x14ac:dyDescent="0.3">
      <c r="A1090" t="str">
        <f>IF(ISBLANK(B1090),"",IF(ROUND(B1090,0)=ROUND(G1090,0),"Pass","Fail"))</f>
        <v>Pass</v>
      </c>
      <c r="B1090">
        <f t="shared" si="94"/>
        <v>9.8899993896484375</v>
      </c>
      <c r="C1090">
        <v>10</v>
      </c>
      <c r="D1090">
        <v>30</v>
      </c>
      <c r="E1090">
        <v>0</v>
      </c>
      <c r="F1090">
        <v>48</v>
      </c>
      <c r="G1090">
        <v>9.8899999999999899</v>
      </c>
      <c r="M1090" t="str">
        <f t="shared" si="95"/>
        <v>Pass</v>
      </c>
      <c r="N1090">
        <f t="shared" si="96"/>
        <v>2393.2109375</v>
      </c>
      <c r="O1090">
        <v>60</v>
      </c>
      <c r="P1090">
        <v>0</v>
      </c>
      <c r="Q1090">
        <v>1</v>
      </c>
      <c r="R1090" t="b">
        <v>1</v>
      </c>
      <c r="S1090">
        <v>2393.2111934742302</v>
      </c>
      <c r="Y1090" t="str">
        <f t="shared" si="97"/>
        <v>Pass</v>
      </c>
      <c r="Z1090">
        <f t="shared" si="98"/>
        <v>148318.828125</v>
      </c>
      <c r="AA1090">
        <v>16600</v>
      </c>
      <c r="AB1090">
        <v>20</v>
      </c>
      <c r="AC1090">
        <v>10</v>
      </c>
      <c r="AD1090">
        <v>0.2</v>
      </c>
      <c r="AE1090">
        <v>148318.82108214599</v>
      </c>
    </row>
    <row r="1091" spans="1:31" x14ac:dyDescent="0.3">
      <c r="A1091" t="str">
        <f>IF(ISBLANK(B1091),"",IF(ROUND(B1091,0)=ROUND(G1091,0),"Pass","Fail"))</f>
        <v>Pass</v>
      </c>
      <c r="B1091">
        <f t="shared" si="94"/>
        <v>77.017997741699219</v>
      </c>
      <c r="C1091">
        <v>10</v>
      </c>
      <c r="D1091">
        <v>30</v>
      </c>
      <c r="E1091">
        <v>10</v>
      </c>
      <c r="F1091">
        <v>0</v>
      </c>
      <c r="G1091">
        <v>77.017999999998295</v>
      </c>
      <c r="M1091" t="str">
        <f t="shared" si="95"/>
        <v>Pass</v>
      </c>
      <c r="N1091">
        <f t="shared" si="96"/>
        <v>7195.30078125</v>
      </c>
      <c r="O1091">
        <v>60</v>
      </c>
      <c r="P1091">
        <v>0</v>
      </c>
      <c r="Q1091">
        <v>1</v>
      </c>
      <c r="R1091" t="b">
        <v>0</v>
      </c>
      <c r="S1091">
        <v>7195.3001996377197</v>
      </c>
      <c r="Y1091" t="str">
        <f t="shared" si="97"/>
        <v>Pass</v>
      </c>
      <c r="Z1091">
        <f t="shared" si="98"/>
        <v>155972.1875</v>
      </c>
      <c r="AA1091">
        <v>16600</v>
      </c>
      <c r="AB1091">
        <v>20</v>
      </c>
      <c r="AC1091">
        <v>12</v>
      </c>
      <c r="AD1091">
        <v>0.2</v>
      </c>
      <c r="AE1091">
        <v>155972.18041242199</v>
      </c>
    </row>
    <row r="1092" spans="1:31" x14ac:dyDescent="0.3">
      <c r="A1092" t="str">
        <f>IF(ISBLANK(B1092),"",IF(ROUND(B1092,0)=ROUND(G1092,0),"Pass","Fail"))</f>
        <v>Pass</v>
      </c>
      <c r="B1092">
        <f t="shared" si="94"/>
        <v>43.681228637695313</v>
      </c>
      <c r="C1092">
        <v>10</v>
      </c>
      <c r="D1092">
        <v>30</v>
      </c>
      <c r="E1092">
        <v>10</v>
      </c>
      <c r="F1092">
        <v>8</v>
      </c>
      <c r="G1092">
        <v>43.6812280807222</v>
      </c>
      <c r="M1092" t="str">
        <f t="shared" si="95"/>
        <v>Pass</v>
      </c>
      <c r="N1092">
        <f t="shared" si="96"/>
        <v>2623.939208984375</v>
      </c>
      <c r="O1092">
        <v>60</v>
      </c>
      <c r="P1092">
        <v>0</v>
      </c>
      <c r="Q1092">
        <v>1.5</v>
      </c>
      <c r="R1092" t="b">
        <v>1</v>
      </c>
      <c r="S1092">
        <v>2623.9390404155001</v>
      </c>
      <c r="Y1092" t="str">
        <f t="shared" si="97"/>
        <v>Pass</v>
      </c>
      <c r="Z1092">
        <f t="shared" si="98"/>
        <v>161102.375</v>
      </c>
      <c r="AA1092">
        <v>16600</v>
      </c>
      <c r="AB1092">
        <v>20</v>
      </c>
      <c r="AC1092">
        <v>14</v>
      </c>
      <c r="AD1092">
        <v>0.2</v>
      </c>
      <c r="AE1092">
        <v>161102.38059101999</v>
      </c>
    </row>
    <row r="1093" spans="1:31" x14ac:dyDescent="0.3">
      <c r="A1093" t="str">
        <f>IF(ISBLANK(B1093),"",IF(ROUND(B1093,0)=ROUND(G1093,0),"Pass","Fail"))</f>
        <v>Pass</v>
      </c>
      <c r="B1093">
        <f t="shared" si="94"/>
        <v>26.899995803833008</v>
      </c>
      <c r="C1093">
        <v>10</v>
      </c>
      <c r="D1093">
        <v>30</v>
      </c>
      <c r="E1093">
        <v>10</v>
      </c>
      <c r="F1093">
        <v>16</v>
      </c>
      <c r="G1093">
        <v>26.8999972471013</v>
      </c>
      <c r="M1093" t="str">
        <f t="shared" si="95"/>
        <v>Pass</v>
      </c>
      <c r="N1093">
        <f t="shared" si="96"/>
        <v>7888.99462890625</v>
      </c>
      <c r="O1093">
        <v>60</v>
      </c>
      <c r="P1093">
        <v>0</v>
      </c>
      <c r="Q1093">
        <v>1.5</v>
      </c>
      <c r="R1093" t="b">
        <v>0</v>
      </c>
      <c r="S1093">
        <v>7888.9941484565297</v>
      </c>
      <c r="Y1093" t="str">
        <f t="shared" si="97"/>
        <v>Pass</v>
      </c>
      <c r="Z1093">
        <f t="shared" si="98"/>
        <v>164541.25</v>
      </c>
      <c r="AA1093">
        <v>16600</v>
      </c>
      <c r="AB1093">
        <v>20</v>
      </c>
      <c r="AC1093">
        <v>16</v>
      </c>
      <c r="AD1093">
        <v>0.2</v>
      </c>
      <c r="AE1093">
        <v>164541.25661091</v>
      </c>
    </row>
    <row r="1094" spans="1:31" x14ac:dyDescent="0.3">
      <c r="A1094" t="str">
        <f>IF(ISBLANK(B1094),"",IF(ROUND(B1094,0)=ROUND(G1094,0),"Pass","Fail"))</f>
        <v>Pass</v>
      </c>
      <c r="B1094">
        <f t="shared" si="94"/>
        <v>18.45257568359375</v>
      </c>
      <c r="C1094">
        <v>10</v>
      </c>
      <c r="D1094">
        <v>30</v>
      </c>
      <c r="E1094">
        <v>10</v>
      </c>
      <c r="F1094">
        <v>24</v>
      </c>
      <c r="G1094">
        <v>18.452577413736002</v>
      </c>
      <c r="M1094" t="str">
        <f t="shared" si="95"/>
        <v>Pass</v>
      </c>
      <c r="N1094">
        <f t="shared" si="96"/>
        <v>2801.01123046875</v>
      </c>
      <c r="O1094">
        <v>60</v>
      </c>
      <c r="P1094">
        <v>0</v>
      </c>
      <c r="Q1094">
        <v>2</v>
      </c>
      <c r="R1094" t="b">
        <v>1</v>
      </c>
      <c r="S1094">
        <v>2801.01112960402</v>
      </c>
      <c r="Y1094" t="str">
        <f t="shared" si="97"/>
        <v>Pass</v>
      </c>
      <c r="Z1094">
        <f t="shared" si="98"/>
        <v>166846.40625</v>
      </c>
      <c r="AA1094">
        <v>16600</v>
      </c>
      <c r="AB1094">
        <v>20</v>
      </c>
      <c r="AC1094">
        <v>18</v>
      </c>
      <c r="AD1094">
        <v>0.2</v>
      </c>
      <c r="AE1094">
        <v>166846.404142874</v>
      </c>
    </row>
    <row r="1095" spans="1:31" x14ac:dyDescent="0.3">
      <c r="A1095" t="str">
        <f>IF(ISBLANK(B1095),"",IF(ROUND(B1095,0)=ROUND(G1095,0),"Pass","Fail"))</f>
        <v>Pass</v>
      </c>
      <c r="B1095">
        <f t="shared" ref="B1095:B1158" si="99">FMC_heath(C1095,D1095,E1095,F1095)</f>
        <v>14.200272560119629</v>
      </c>
      <c r="C1095">
        <v>10</v>
      </c>
      <c r="D1095">
        <v>30</v>
      </c>
      <c r="E1095">
        <v>10</v>
      </c>
      <c r="F1095">
        <v>32</v>
      </c>
      <c r="G1095">
        <v>14.2002730059945</v>
      </c>
      <c r="M1095" t="str">
        <f t="shared" ref="M1095:M1158" si="100">IF(ISBLANK(N1095),"",IF(ROUND(N1095,0)=ROUND(S1095,0),"Pass","Fail"))</f>
        <v>Pass</v>
      </c>
      <c r="N1095">
        <f t="shared" ref="N1095:N1158" si="101">ROS_heath(O1095,Q1095,P1095,R1095)</f>
        <v>8421.3701171875</v>
      </c>
      <c r="O1095">
        <v>60</v>
      </c>
      <c r="P1095">
        <v>0</v>
      </c>
      <c r="Q1095">
        <v>2</v>
      </c>
      <c r="R1095" t="b">
        <v>0</v>
      </c>
      <c r="S1095">
        <v>8421.3695786578301</v>
      </c>
      <c r="Y1095" t="str">
        <f t="shared" ref="Y1095:Y1158" si="102">IF(ISBLANK(Z1095),"",IF(ROUND(Z1095,0)=ROUND(AE1095,0),"Pass","Fail"))</f>
        <v>Pass</v>
      </c>
      <c r="Z1095">
        <f t="shared" ref="Z1095:Z1158" si="103">intensity_heath(AA1095,AB1095,AC1095,AD1095)</f>
        <v>168391.59375</v>
      </c>
      <c r="AA1095">
        <v>16600</v>
      </c>
      <c r="AB1095">
        <v>20</v>
      </c>
      <c r="AC1095">
        <v>20</v>
      </c>
      <c r="AD1095">
        <v>0.2</v>
      </c>
      <c r="AE1095">
        <v>168391.59074261901</v>
      </c>
    </row>
    <row r="1096" spans="1:31" x14ac:dyDescent="0.3">
      <c r="A1096" t="str">
        <f>IF(ISBLANK(B1096),"",IF(ROUND(B1096,0)=ROUND(G1096,0),"Pass","Fail"))</f>
        <v>Pass</v>
      </c>
      <c r="B1096">
        <f t="shared" si="99"/>
        <v>12.059726715087891</v>
      </c>
      <c r="C1096">
        <v>10</v>
      </c>
      <c r="D1096">
        <v>30</v>
      </c>
      <c r="E1096">
        <v>10</v>
      </c>
      <c r="F1096">
        <v>40</v>
      </c>
      <c r="G1096">
        <v>12.059726764326999</v>
      </c>
      <c r="M1096" t="str">
        <f t="shared" si="100"/>
        <v>Pass</v>
      </c>
      <c r="N1096">
        <f t="shared" si="101"/>
        <v>2946.547119140625</v>
      </c>
      <c r="O1096">
        <v>60</v>
      </c>
      <c r="P1096">
        <v>0</v>
      </c>
      <c r="Q1096">
        <v>2.5</v>
      </c>
      <c r="R1096" t="b">
        <v>1</v>
      </c>
      <c r="S1096">
        <v>2946.54723442972</v>
      </c>
      <c r="Y1096" t="str">
        <f t="shared" si="102"/>
        <v>Pass</v>
      </c>
      <c r="Z1096">
        <f t="shared" si="103"/>
        <v>169427.375</v>
      </c>
      <c r="AA1096">
        <v>16600</v>
      </c>
      <c r="AB1096">
        <v>20</v>
      </c>
      <c r="AC1096">
        <v>22</v>
      </c>
      <c r="AD1096">
        <v>0.2</v>
      </c>
      <c r="AE1096">
        <v>169427.36029529301</v>
      </c>
    </row>
    <row r="1097" spans="1:31" x14ac:dyDescent="0.3">
      <c r="A1097" t="str">
        <f>IF(ISBLANK(B1097),"",IF(ROUND(B1097,0)=ROUND(G1097,0),"Pass","Fail"))</f>
        <v>Pass</v>
      </c>
      <c r="B1097">
        <f t="shared" si="99"/>
        <v>10.982207298278809</v>
      </c>
      <c r="C1097">
        <v>10</v>
      </c>
      <c r="D1097">
        <v>30</v>
      </c>
      <c r="E1097">
        <v>10</v>
      </c>
      <c r="F1097">
        <v>48</v>
      </c>
      <c r="G1097">
        <v>10.982207900819599</v>
      </c>
      <c r="M1097" t="str">
        <f t="shared" si="100"/>
        <v>Pass</v>
      </c>
      <c r="N1097">
        <f t="shared" si="101"/>
        <v>8858.9296875</v>
      </c>
      <c r="O1097">
        <v>60</v>
      </c>
      <c r="P1097">
        <v>0</v>
      </c>
      <c r="Q1097">
        <v>2.5</v>
      </c>
      <c r="R1097" t="b">
        <v>0</v>
      </c>
      <c r="S1097">
        <v>8858.9306125366093</v>
      </c>
      <c r="Y1097" t="str">
        <f t="shared" si="102"/>
        <v>Pass</v>
      </c>
      <c r="Z1097">
        <f t="shared" si="103"/>
        <v>170121.671875</v>
      </c>
      <c r="AA1097">
        <v>16600</v>
      </c>
      <c r="AB1097">
        <v>20</v>
      </c>
      <c r="AC1097">
        <v>24</v>
      </c>
      <c r="AD1097">
        <v>0.2</v>
      </c>
      <c r="AE1097">
        <v>170121.65738952401</v>
      </c>
    </row>
    <row r="1098" spans="1:31" x14ac:dyDescent="0.3">
      <c r="A1098" t="str">
        <f>IF(ISBLANK(B1098),"",IF(ROUND(B1098,0)=ROUND(G1098,0),"Pass","Fail"))</f>
        <v>Pass</v>
      </c>
      <c r="B1098">
        <f t="shared" si="99"/>
        <v>77.017997741699219</v>
      </c>
      <c r="C1098">
        <v>10</v>
      </c>
      <c r="D1098">
        <v>30</v>
      </c>
      <c r="E1098">
        <v>20</v>
      </c>
      <c r="F1098">
        <v>0</v>
      </c>
      <c r="G1098">
        <v>77.018000000000001</v>
      </c>
      <c r="M1098" t="str">
        <f t="shared" si="100"/>
        <v>Pass</v>
      </c>
      <c r="N1098">
        <f t="shared" si="101"/>
        <v>3071.0546875</v>
      </c>
      <c r="O1098">
        <v>60</v>
      </c>
      <c r="P1098">
        <v>0</v>
      </c>
      <c r="Q1098">
        <v>3</v>
      </c>
      <c r="R1098" t="b">
        <v>1</v>
      </c>
      <c r="S1098">
        <v>3071.0546882144499</v>
      </c>
      <c r="Y1098" t="str">
        <f t="shared" si="102"/>
        <v>Pass</v>
      </c>
      <c r="Z1098">
        <f t="shared" si="103"/>
        <v>0</v>
      </c>
      <c r="AA1098">
        <v>16800</v>
      </c>
      <c r="AB1098">
        <v>20</v>
      </c>
      <c r="AC1098">
        <v>0</v>
      </c>
      <c r="AD1098">
        <v>0.2</v>
      </c>
      <c r="AE1098">
        <v>0</v>
      </c>
    </row>
    <row r="1099" spans="1:31" x14ac:dyDescent="0.3">
      <c r="A1099" t="str">
        <f>IF(ISBLANK(B1099),"",IF(ROUND(B1099,0)=ROUND(G1099,0),"Pass","Fail"))</f>
        <v>Pass</v>
      </c>
      <c r="B1099">
        <f t="shared" si="99"/>
        <v>43.681228637695313</v>
      </c>
      <c r="C1099">
        <v>10</v>
      </c>
      <c r="D1099">
        <v>30</v>
      </c>
      <c r="E1099">
        <v>20</v>
      </c>
      <c r="F1099">
        <v>8</v>
      </c>
      <c r="G1099">
        <v>43.681228080723002</v>
      </c>
      <c r="M1099" t="str">
        <f t="shared" si="100"/>
        <v>Pass</v>
      </c>
      <c r="N1099">
        <f t="shared" si="101"/>
        <v>9233.2685546875</v>
      </c>
      <c r="O1099">
        <v>60</v>
      </c>
      <c r="P1099">
        <v>0</v>
      </c>
      <c r="Q1099">
        <v>3</v>
      </c>
      <c r="R1099" t="b">
        <v>0</v>
      </c>
      <c r="S1099">
        <v>9233.2680339545204</v>
      </c>
      <c r="Y1099" t="str">
        <f t="shared" si="102"/>
        <v>Pass</v>
      </c>
      <c r="Z1099">
        <f t="shared" si="103"/>
        <v>57232.4375</v>
      </c>
      <c r="AA1099">
        <v>16800</v>
      </c>
      <c r="AB1099">
        <v>20</v>
      </c>
      <c r="AC1099">
        <v>2</v>
      </c>
      <c r="AD1099">
        <v>0.2</v>
      </c>
      <c r="AE1099">
        <v>57232.440008213001</v>
      </c>
    </row>
    <row r="1100" spans="1:31" x14ac:dyDescent="0.3">
      <c r="A1100" t="str">
        <f>IF(ISBLANK(B1100),"",IF(ROUND(B1100,0)=ROUND(G1100,0),"Pass","Fail"))</f>
        <v>Pass</v>
      </c>
      <c r="B1100">
        <f t="shared" si="99"/>
        <v>26.899995803833008</v>
      </c>
      <c r="C1100">
        <v>10</v>
      </c>
      <c r="D1100">
        <v>30</v>
      </c>
      <c r="E1100">
        <v>20</v>
      </c>
      <c r="F1100">
        <v>16</v>
      </c>
      <c r="G1100">
        <v>26.899997247101702</v>
      </c>
      <c r="M1100" t="str">
        <f t="shared" si="100"/>
        <v>Pass</v>
      </c>
      <c r="N1100">
        <f t="shared" si="101"/>
        <v>3180.419677734375</v>
      </c>
      <c r="O1100">
        <v>60</v>
      </c>
      <c r="P1100">
        <v>0</v>
      </c>
      <c r="Q1100">
        <v>3.5</v>
      </c>
      <c r="R1100" t="b">
        <v>1</v>
      </c>
      <c r="S1100">
        <v>3180.4199682858898</v>
      </c>
      <c r="Y1100" t="str">
        <f t="shared" si="102"/>
        <v>Pass</v>
      </c>
      <c r="Z1100">
        <f t="shared" si="103"/>
        <v>95596.4921875</v>
      </c>
      <c r="AA1100">
        <v>16800</v>
      </c>
      <c r="AB1100">
        <v>20</v>
      </c>
      <c r="AC1100">
        <v>4</v>
      </c>
      <c r="AD1100">
        <v>0.2</v>
      </c>
      <c r="AE1100">
        <v>95596.491829250299</v>
      </c>
    </row>
    <row r="1101" spans="1:31" x14ac:dyDescent="0.3">
      <c r="A1101" t="str">
        <f>IF(ISBLANK(B1101),"",IF(ROUND(B1101,0)=ROUND(G1101,0),"Pass","Fail"))</f>
        <v>Pass</v>
      </c>
      <c r="B1101">
        <f t="shared" si="99"/>
        <v>18.45257568359375</v>
      </c>
      <c r="C1101">
        <v>10</v>
      </c>
      <c r="D1101">
        <v>30</v>
      </c>
      <c r="E1101">
        <v>20</v>
      </c>
      <c r="F1101">
        <v>24</v>
      </c>
      <c r="G1101">
        <v>18.452577413736201</v>
      </c>
      <c r="M1101" t="str">
        <f t="shared" si="100"/>
        <v>Pass</v>
      </c>
      <c r="N1101">
        <f t="shared" si="101"/>
        <v>9562.080078125</v>
      </c>
      <c r="O1101">
        <v>60</v>
      </c>
      <c r="P1101">
        <v>0</v>
      </c>
      <c r="Q1101">
        <v>3.5</v>
      </c>
      <c r="R1101" t="b">
        <v>0</v>
      </c>
      <c r="S1101">
        <v>9562.0798093954909</v>
      </c>
      <c r="Y1101" t="str">
        <f t="shared" si="102"/>
        <v>Pass</v>
      </c>
      <c r="Z1101">
        <f t="shared" si="103"/>
        <v>121312.6875</v>
      </c>
      <c r="AA1101">
        <v>16800</v>
      </c>
      <c r="AB1101">
        <v>20</v>
      </c>
      <c r="AC1101">
        <v>6</v>
      </c>
      <c r="AD1101">
        <v>0.2</v>
      </c>
      <c r="AE1101">
        <v>121312.684812041</v>
      </c>
    </row>
    <row r="1102" spans="1:31" x14ac:dyDescent="0.3">
      <c r="A1102" t="str">
        <f>IF(ISBLANK(B1102),"",IF(ROUND(B1102,0)=ROUND(G1102,0),"Pass","Fail"))</f>
        <v>Pass</v>
      </c>
      <c r="B1102">
        <f t="shared" si="99"/>
        <v>14.200272560119629</v>
      </c>
      <c r="C1102">
        <v>10</v>
      </c>
      <c r="D1102">
        <v>30</v>
      </c>
      <c r="E1102">
        <v>20</v>
      </c>
      <c r="F1102">
        <v>32</v>
      </c>
      <c r="G1102">
        <v>14.2002730059946</v>
      </c>
      <c r="M1102" t="str">
        <f t="shared" si="100"/>
        <v>Pass</v>
      </c>
      <c r="N1102">
        <f t="shared" si="101"/>
        <v>3278.299560546875</v>
      </c>
      <c r="O1102">
        <v>60</v>
      </c>
      <c r="P1102">
        <v>0</v>
      </c>
      <c r="Q1102">
        <v>4</v>
      </c>
      <c r="R1102" t="b">
        <v>1</v>
      </c>
      <c r="S1102">
        <v>3278.2996208437598</v>
      </c>
      <c r="Y1102" t="str">
        <f t="shared" si="102"/>
        <v>Pass</v>
      </c>
      <c r="Z1102">
        <f t="shared" si="103"/>
        <v>138550.765625</v>
      </c>
      <c r="AA1102">
        <v>16800</v>
      </c>
      <c r="AB1102">
        <v>20</v>
      </c>
      <c r="AC1102">
        <v>8</v>
      </c>
      <c r="AD1102">
        <v>0.2</v>
      </c>
      <c r="AE1102">
        <v>138550.76447612699</v>
      </c>
    </row>
    <row r="1103" spans="1:31" x14ac:dyDescent="0.3">
      <c r="A1103" t="str">
        <f>IF(ISBLANK(B1103),"",IF(ROUND(B1103,0)=ROUND(G1103,0),"Pass","Fail"))</f>
        <v>Pass</v>
      </c>
      <c r="B1103">
        <f t="shared" si="99"/>
        <v>12.059726715087891</v>
      </c>
      <c r="C1103">
        <v>10</v>
      </c>
      <c r="D1103">
        <v>30</v>
      </c>
      <c r="E1103">
        <v>20</v>
      </c>
      <c r="F1103">
        <v>40</v>
      </c>
      <c r="G1103">
        <v>12.059726764327101</v>
      </c>
      <c r="M1103" t="str">
        <f t="shared" si="100"/>
        <v>Pass</v>
      </c>
      <c r="N1103">
        <f t="shared" si="101"/>
        <v>9856.3603515625</v>
      </c>
      <c r="O1103">
        <v>60</v>
      </c>
      <c r="P1103">
        <v>0</v>
      </c>
      <c r="Q1103">
        <v>4</v>
      </c>
      <c r="R1103" t="b">
        <v>0</v>
      </c>
      <c r="S1103">
        <v>9856.3595142165595</v>
      </c>
      <c r="Y1103" t="str">
        <f t="shared" si="102"/>
        <v>Pass</v>
      </c>
      <c r="Z1103">
        <f t="shared" si="103"/>
        <v>150105.796875</v>
      </c>
      <c r="AA1103">
        <v>16800</v>
      </c>
      <c r="AB1103">
        <v>20</v>
      </c>
      <c r="AC1103">
        <v>10</v>
      </c>
      <c r="AD1103">
        <v>0.2</v>
      </c>
      <c r="AE1103">
        <v>150105.79483012401</v>
      </c>
    </row>
    <row r="1104" spans="1:31" x14ac:dyDescent="0.3">
      <c r="A1104" t="str">
        <f>IF(ISBLANK(B1104),"",IF(ROUND(B1104,0)=ROUND(G1104,0),"Pass","Fail"))</f>
        <v>Pass</v>
      </c>
      <c r="B1104">
        <f t="shared" si="99"/>
        <v>10.982207298278809</v>
      </c>
      <c r="C1104">
        <v>10</v>
      </c>
      <c r="D1104">
        <v>30</v>
      </c>
      <c r="E1104">
        <v>20</v>
      </c>
      <c r="F1104">
        <v>48</v>
      </c>
      <c r="G1104">
        <v>10.9822079008197</v>
      </c>
      <c r="M1104" t="str">
        <f t="shared" si="100"/>
        <v>Pass</v>
      </c>
      <c r="N1104">
        <f t="shared" si="101"/>
        <v>0</v>
      </c>
      <c r="O1104">
        <v>60</v>
      </c>
      <c r="P1104">
        <v>10</v>
      </c>
      <c r="Q1104">
        <v>0</v>
      </c>
      <c r="R1104" t="b">
        <v>1</v>
      </c>
      <c r="S1104">
        <v>0</v>
      </c>
      <c r="Y1104" t="str">
        <f t="shared" si="102"/>
        <v>Pass</v>
      </c>
      <c r="Z1104">
        <f t="shared" si="103"/>
        <v>157851.375</v>
      </c>
      <c r="AA1104">
        <v>16800</v>
      </c>
      <c r="AB1104">
        <v>20</v>
      </c>
      <c r="AC1104">
        <v>12</v>
      </c>
      <c r="AD1104">
        <v>0.2</v>
      </c>
      <c r="AE1104">
        <v>157851.36330895801</v>
      </c>
    </row>
    <row r="1105" spans="1:31" x14ac:dyDescent="0.3">
      <c r="A1105" t="str">
        <f>IF(ISBLANK(B1105),"",IF(ROUND(B1105,0)=ROUND(G1105,0),"Pass","Fail"))</f>
        <v>Pass</v>
      </c>
      <c r="B1105">
        <f t="shared" si="99"/>
        <v>77.017997741699219</v>
      </c>
      <c r="C1105">
        <v>10</v>
      </c>
      <c r="D1105">
        <v>30</v>
      </c>
      <c r="E1105">
        <v>30</v>
      </c>
      <c r="F1105">
        <v>0</v>
      </c>
      <c r="G1105">
        <v>77.018000000000001</v>
      </c>
      <c r="M1105" t="str">
        <f t="shared" si="100"/>
        <v>Pass</v>
      </c>
      <c r="N1105">
        <f t="shared" si="101"/>
        <v>0</v>
      </c>
      <c r="O1105">
        <v>60</v>
      </c>
      <c r="P1105">
        <v>10</v>
      </c>
      <c r="Q1105">
        <v>0</v>
      </c>
      <c r="R1105" t="b">
        <v>0</v>
      </c>
      <c r="S1105">
        <v>0</v>
      </c>
      <c r="Y1105" t="str">
        <f t="shared" si="102"/>
        <v>Pass</v>
      </c>
      <c r="Z1105">
        <f t="shared" si="103"/>
        <v>163043.359375</v>
      </c>
      <c r="AA1105">
        <v>16800</v>
      </c>
      <c r="AB1105">
        <v>20</v>
      </c>
      <c r="AC1105">
        <v>14</v>
      </c>
      <c r="AD1105">
        <v>0.2</v>
      </c>
      <c r="AE1105">
        <v>163043.373128262</v>
      </c>
    </row>
    <row r="1106" spans="1:31" x14ac:dyDescent="0.3">
      <c r="A1106" t="str">
        <f>IF(ISBLANK(B1106),"",IF(ROUND(B1106,0)=ROUND(G1106,0),"Pass","Fail"))</f>
        <v>Pass</v>
      </c>
      <c r="B1106">
        <f t="shared" si="99"/>
        <v>43.681228637695313</v>
      </c>
      <c r="C1106">
        <v>10</v>
      </c>
      <c r="D1106">
        <v>30</v>
      </c>
      <c r="E1106">
        <v>30</v>
      </c>
      <c r="F1106">
        <v>8</v>
      </c>
      <c r="G1106">
        <v>43.681228080723002</v>
      </c>
      <c r="M1106" t="str">
        <f t="shared" si="100"/>
        <v>Pass</v>
      </c>
      <c r="N1106">
        <f t="shared" si="101"/>
        <v>900.49285888671875</v>
      </c>
      <c r="O1106">
        <v>60</v>
      </c>
      <c r="P1106">
        <v>10</v>
      </c>
      <c r="Q1106">
        <v>0.5</v>
      </c>
      <c r="R1106" t="b">
        <v>1</v>
      </c>
      <c r="S1106">
        <v>900.49294505315902</v>
      </c>
      <c r="Y1106" t="str">
        <f t="shared" si="102"/>
        <v>Pass</v>
      </c>
      <c r="Z1106">
        <f t="shared" si="103"/>
        <v>166523.671875</v>
      </c>
      <c r="AA1106">
        <v>16800</v>
      </c>
      <c r="AB1106">
        <v>20</v>
      </c>
      <c r="AC1106">
        <v>16</v>
      </c>
      <c r="AD1106">
        <v>0.2</v>
      </c>
      <c r="AE1106">
        <v>166523.68138935501</v>
      </c>
    </row>
    <row r="1107" spans="1:31" x14ac:dyDescent="0.3">
      <c r="A1107" t="str">
        <f>IF(ISBLANK(B1107),"",IF(ROUND(B1107,0)=ROUND(G1107,0),"Pass","Fail"))</f>
        <v>Pass</v>
      </c>
      <c r="B1107">
        <f t="shared" si="99"/>
        <v>26.899995803833008</v>
      </c>
      <c r="C1107">
        <v>10</v>
      </c>
      <c r="D1107">
        <v>30</v>
      </c>
      <c r="E1107">
        <v>30</v>
      </c>
      <c r="F1107">
        <v>16</v>
      </c>
      <c r="G1107">
        <v>26.899997247101702</v>
      </c>
      <c r="M1107" t="str">
        <f t="shared" si="100"/>
        <v>Pass</v>
      </c>
      <c r="N1107">
        <f t="shared" si="101"/>
        <v>2707.37353515625</v>
      </c>
      <c r="O1107">
        <v>60</v>
      </c>
      <c r="P1107">
        <v>10</v>
      </c>
      <c r="Q1107">
        <v>0.5</v>
      </c>
      <c r="R1107" t="b">
        <v>0</v>
      </c>
      <c r="S1107">
        <v>2707.37370984267</v>
      </c>
      <c r="Y1107" t="str">
        <f t="shared" si="102"/>
        <v>Pass</v>
      </c>
      <c r="Z1107">
        <f t="shared" si="103"/>
        <v>168856.609375</v>
      </c>
      <c r="AA1107">
        <v>16800</v>
      </c>
      <c r="AB1107">
        <v>20</v>
      </c>
      <c r="AC1107">
        <v>18</v>
      </c>
      <c r="AD1107">
        <v>0.2</v>
      </c>
      <c r="AE1107">
        <v>168856.60178314999</v>
      </c>
    </row>
    <row r="1108" spans="1:31" x14ac:dyDescent="0.3">
      <c r="A1108" t="str">
        <f>IF(ISBLANK(B1108),"",IF(ROUND(B1108,0)=ROUND(G1108,0),"Pass","Fail"))</f>
        <v>Pass</v>
      </c>
      <c r="B1108">
        <f t="shared" si="99"/>
        <v>18.45257568359375</v>
      </c>
      <c r="C1108">
        <v>10</v>
      </c>
      <c r="D1108">
        <v>30</v>
      </c>
      <c r="E1108">
        <v>30</v>
      </c>
      <c r="F1108">
        <v>24</v>
      </c>
      <c r="G1108">
        <v>18.452577413736201</v>
      </c>
      <c r="M1108" t="str">
        <f t="shared" si="100"/>
        <v>Pass</v>
      </c>
      <c r="N1108">
        <f t="shared" si="101"/>
        <v>1053.935546875</v>
      </c>
      <c r="O1108">
        <v>60</v>
      </c>
      <c r="P1108">
        <v>10</v>
      </c>
      <c r="Q1108">
        <v>1</v>
      </c>
      <c r="R1108" t="b">
        <v>1</v>
      </c>
      <c r="S1108">
        <v>1053.93571954766</v>
      </c>
      <c r="Y1108" t="str">
        <f t="shared" si="102"/>
        <v>Pass</v>
      </c>
      <c r="Z1108">
        <f t="shared" si="103"/>
        <v>170420.40625</v>
      </c>
      <c r="AA1108">
        <v>16800</v>
      </c>
      <c r="AB1108">
        <v>20</v>
      </c>
      <c r="AC1108">
        <v>20</v>
      </c>
      <c r="AD1108">
        <v>0.2</v>
      </c>
      <c r="AE1108">
        <v>170420.40508891499</v>
      </c>
    </row>
    <row r="1109" spans="1:31" x14ac:dyDescent="0.3">
      <c r="A1109" t="str">
        <f>IF(ISBLANK(B1109),"",IF(ROUND(B1109,0)=ROUND(G1109,0),"Pass","Fail"))</f>
        <v>Pass</v>
      </c>
      <c r="B1109">
        <f t="shared" si="99"/>
        <v>14.200272560119629</v>
      </c>
      <c r="C1109">
        <v>10</v>
      </c>
      <c r="D1109">
        <v>30</v>
      </c>
      <c r="E1109">
        <v>30</v>
      </c>
      <c r="F1109">
        <v>32</v>
      </c>
      <c r="G1109">
        <v>14.2002730059946</v>
      </c>
      <c r="M1109" t="str">
        <f t="shared" si="100"/>
        <v>Pass</v>
      </c>
      <c r="N1109">
        <f t="shared" si="101"/>
        <v>3168.70654296875</v>
      </c>
      <c r="O1109">
        <v>60</v>
      </c>
      <c r="P1109">
        <v>10</v>
      </c>
      <c r="Q1109">
        <v>1</v>
      </c>
      <c r="R1109" t="b">
        <v>0</v>
      </c>
      <c r="S1109">
        <v>3168.7065119638801</v>
      </c>
      <c r="Y1109" t="str">
        <f t="shared" si="102"/>
        <v>Pass</v>
      </c>
      <c r="Z1109">
        <f t="shared" si="103"/>
        <v>171468.65625</v>
      </c>
      <c r="AA1109">
        <v>16800</v>
      </c>
      <c r="AB1109">
        <v>20</v>
      </c>
      <c r="AC1109">
        <v>22</v>
      </c>
      <c r="AD1109">
        <v>0.2</v>
      </c>
      <c r="AE1109">
        <v>171468.65379282701</v>
      </c>
    </row>
    <row r="1110" spans="1:31" x14ac:dyDescent="0.3">
      <c r="A1110" t="str">
        <f>IF(ISBLANK(B1110),"",IF(ROUND(B1110,0)=ROUND(G1110,0),"Pass","Fail"))</f>
        <v>Pass</v>
      </c>
      <c r="B1110">
        <f t="shared" si="99"/>
        <v>12.059726715087891</v>
      </c>
      <c r="C1110">
        <v>10</v>
      </c>
      <c r="D1110">
        <v>30</v>
      </c>
      <c r="E1110">
        <v>30</v>
      </c>
      <c r="F1110">
        <v>40</v>
      </c>
      <c r="G1110">
        <v>12.059726764327101</v>
      </c>
      <c r="M1110" t="str">
        <f t="shared" si="100"/>
        <v>Pass</v>
      </c>
      <c r="N1110">
        <f t="shared" si="101"/>
        <v>1155.544921875</v>
      </c>
      <c r="O1110">
        <v>60</v>
      </c>
      <c r="P1110">
        <v>10</v>
      </c>
      <c r="Q1110">
        <v>1.5</v>
      </c>
      <c r="R1110" t="b">
        <v>1</v>
      </c>
      <c r="S1110">
        <v>1155.5449381777701</v>
      </c>
      <c r="Y1110" t="str">
        <f t="shared" si="102"/>
        <v>Pass</v>
      </c>
      <c r="Z1110">
        <f t="shared" si="103"/>
        <v>172171.328125</v>
      </c>
      <c r="AA1110">
        <v>16800</v>
      </c>
      <c r="AB1110">
        <v>20</v>
      </c>
      <c r="AC1110">
        <v>24</v>
      </c>
      <c r="AD1110">
        <v>0.2</v>
      </c>
      <c r="AE1110">
        <v>172171.31591229001</v>
      </c>
    </row>
    <row r="1111" spans="1:31" x14ac:dyDescent="0.3">
      <c r="A1111" t="str">
        <f>IF(ISBLANK(B1111),"",IF(ROUND(B1111,0)=ROUND(G1111,0),"Pass","Fail"))</f>
        <v>Pass</v>
      </c>
      <c r="B1111">
        <f t="shared" si="99"/>
        <v>10.982207298278809</v>
      </c>
      <c r="C1111">
        <v>10</v>
      </c>
      <c r="D1111">
        <v>30</v>
      </c>
      <c r="E1111">
        <v>30</v>
      </c>
      <c r="F1111">
        <v>48</v>
      </c>
      <c r="G1111">
        <v>10.9822079008197</v>
      </c>
      <c r="M1111" t="str">
        <f t="shared" si="100"/>
        <v>Pass</v>
      </c>
      <c r="N1111">
        <f t="shared" si="101"/>
        <v>3474.198974609375</v>
      </c>
      <c r="O1111">
        <v>60</v>
      </c>
      <c r="P1111">
        <v>10</v>
      </c>
      <c r="Q1111">
        <v>1.5</v>
      </c>
      <c r="R1111" t="b">
        <v>0</v>
      </c>
      <c r="S1111">
        <v>3474.19932976776</v>
      </c>
      <c r="Y1111" t="str">
        <f t="shared" si="102"/>
        <v>Pass</v>
      </c>
      <c r="Z1111">
        <f t="shared" si="103"/>
        <v>0</v>
      </c>
      <c r="AA1111">
        <v>17000</v>
      </c>
      <c r="AB1111">
        <v>20</v>
      </c>
      <c r="AC1111">
        <v>0</v>
      </c>
      <c r="AD1111">
        <v>0.2</v>
      </c>
      <c r="AE1111">
        <v>0</v>
      </c>
    </row>
    <row r="1112" spans="1:31" x14ac:dyDescent="0.3">
      <c r="A1112" t="str">
        <f>IF(ISBLANK(B1112),"",IF(ROUND(B1112,0)=ROUND(G1112,0),"Pass","Fail"))</f>
        <v>Pass</v>
      </c>
      <c r="B1112">
        <f t="shared" si="99"/>
        <v>77.017997741699219</v>
      </c>
      <c r="C1112">
        <v>10</v>
      </c>
      <c r="D1112">
        <v>30</v>
      </c>
      <c r="E1112">
        <v>40</v>
      </c>
      <c r="F1112">
        <v>0</v>
      </c>
      <c r="G1112">
        <v>77.018000000000001</v>
      </c>
      <c r="M1112" t="str">
        <f t="shared" si="100"/>
        <v>Pass</v>
      </c>
      <c r="N1112">
        <f t="shared" si="101"/>
        <v>1233.52490234375</v>
      </c>
      <c r="O1112">
        <v>60</v>
      </c>
      <c r="P1112">
        <v>10</v>
      </c>
      <c r="Q1112">
        <v>2</v>
      </c>
      <c r="R1112" t="b">
        <v>1</v>
      </c>
      <c r="S1112">
        <v>1233.5249343601299</v>
      </c>
      <c r="Y1112" t="str">
        <f t="shared" si="102"/>
        <v>Pass</v>
      </c>
      <c r="Z1112">
        <f t="shared" si="103"/>
        <v>57913.77734375</v>
      </c>
      <c r="AA1112">
        <v>17000</v>
      </c>
      <c r="AB1112">
        <v>20</v>
      </c>
      <c r="AC1112">
        <v>2</v>
      </c>
      <c r="AD1112">
        <v>0.2</v>
      </c>
      <c r="AE1112">
        <v>57913.778579739301</v>
      </c>
    </row>
    <row r="1113" spans="1:31" x14ac:dyDescent="0.3">
      <c r="A1113" t="str">
        <f>IF(ISBLANK(B1113),"",IF(ROUND(B1113,0)=ROUND(G1113,0),"Pass","Fail"))</f>
        <v>Pass</v>
      </c>
      <c r="B1113">
        <f t="shared" si="99"/>
        <v>43.681228637695313</v>
      </c>
      <c r="C1113">
        <v>10</v>
      </c>
      <c r="D1113">
        <v>30</v>
      </c>
      <c r="E1113">
        <v>40</v>
      </c>
      <c r="F1113">
        <v>8</v>
      </c>
      <c r="G1113">
        <v>43.681228080723002</v>
      </c>
      <c r="M1113" t="str">
        <f t="shared" si="100"/>
        <v>Pass</v>
      </c>
      <c r="N1113">
        <f t="shared" si="101"/>
        <v>3708.64990234375</v>
      </c>
      <c r="O1113">
        <v>60</v>
      </c>
      <c r="P1113">
        <v>10</v>
      </c>
      <c r="Q1113">
        <v>2</v>
      </c>
      <c r="R1113" t="b">
        <v>0</v>
      </c>
      <c r="S1113">
        <v>3708.6497968342101</v>
      </c>
      <c r="Y1113" t="str">
        <f t="shared" si="102"/>
        <v>Pass</v>
      </c>
      <c r="Z1113">
        <f t="shared" si="103"/>
        <v>96734.546875</v>
      </c>
      <c r="AA1113">
        <v>17000</v>
      </c>
      <c r="AB1113">
        <v>20</v>
      </c>
      <c r="AC1113">
        <v>4</v>
      </c>
      <c r="AD1113">
        <v>0.2</v>
      </c>
      <c r="AE1113">
        <v>96734.545303407998</v>
      </c>
    </row>
    <row r="1114" spans="1:31" x14ac:dyDescent="0.3">
      <c r="A1114" t="str">
        <f>IF(ISBLANK(B1114),"",IF(ROUND(B1114,0)=ROUND(G1114,0),"Pass","Fail"))</f>
        <v>Pass</v>
      </c>
      <c r="B1114">
        <f t="shared" si="99"/>
        <v>26.899995803833008</v>
      </c>
      <c r="C1114">
        <v>10</v>
      </c>
      <c r="D1114">
        <v>30</v>
      </c>
      <c r="E1114">
        <v>40</v>
      </c>
      <c r="F1114">
        <v>16</v>
      </c>
      <c r="G1114">
        <v>26.899997247101702</v>
      </c>
      <c r="M1114" t="str">
        <f t="shared" si="100"/>
        <v>Pass</v>
      </c>
      <c r="N1114">
        <f t="shared" si="101"/>
        <v>1297.6168212890625</v>
      </c>
      <c r="O1114">
        <v>60</v>
      </c>
      <c r="P1114">
        <v>10</v>
      </c>
      <c r="Q1114">
        <v>2.5</v>
      </c>
      <c r="R1114" t="b">
        <v>1</v>
      </c>
      <c r="S1114">
        <v>1297.61693751384</v>
      </c>
      <c r="Y1114" t="str">
        <f t="shared" si="102"/>
        <v>Pass</v>
      </c>
      <c r="Z1114">
        <f t="shared" si="103"/>
        <v>122756.890625</v>
      </c>
      <c r="AA1114">
        <v>17000</v>
      </c>
      <c r="AB1114">
        <v>20</v>
      </c>
      <c r="AC1114">
        <v>6</v>
      </c>
      <c r="AD1114">
        <v>0.2</v>
      </c>
      <c r="AE1114">
        <v>122756.88344075601</v>
      </c>
    </row>
    <row r="1115" spans="1:31" x14ac:dyDescent="0.3">
      <c r="A1115" t="str">
        <f>IF(ISBLANK(B1115),"",IF(ROUND(B1115,0)=ROUND(G1115,0),"Pass","Fail"))</f>
        <v>Pass</v>
      </c>
      <c r="B1115">
        <f t="shared" si="99"/>
        <v>18.45257568359375</v>
      </c>
      <c r="C1115">
        <v>10</v>
      </c>
      <c r="D1115">
        <v>30</v>
      </c>
      <c r="E1115">
        <v>40</v>
      </c>
      <c r="F1115">
        <v>24</v>
      </c>
      <c r="G1115">
        <v>18.452577413736201</v>
      </c>
      <c r="M1115" t="str">
        <f t="shared" si="100"/>
        <v>Pass</v>
      </c>
      <c r="N1115">
        <f t="shared" si="101"/>
        <v>3901.34521484375</v>
      </c>
      <c r="O1115">
        <v>60</v>
      </c>
      <c r="P1115">
        <v>10</v>
      </c>
      <c r="Q1115">
        <v>2.5</v>
      </c>
      <c r="R1115" t="b">
        <v>0</v>
      </c>
      <c r="S1115">
        <v>3901.3453701896001</v>
      </c>
      <c r="Y1115" t="str">
        <f t="shared" si="102"/>
        <v>Pass</v>
      </c>
      <c r="Z1115">
        <f t="shared" si="103"/>
        <v>140200.171875</v>
      </c>
      <c r="AA1115">
        <v>17000</v>
      </c>
      <c r="AB1115">
        <v>20</v>
      </c>
      <c r="AC1115">
        <v>8</v>
      </c>
      <c r="AD1115">
        <v>0.2</v>
      </c>
      <c r="AE1115">
        <v>140200.17833893801</v>
      </c>
    </row>
    <row r="1116" spans="1:31" x14ac:dyDescent="0.3">
      <c r="A1116" t="str">
        <f>IF(ISBLANK(B1116),"",IF(ROUND(B1116,0)=ROUND(G1116,0),"Pass","Fail"))</f>
        <v>Pass</v>
      </c>
      <c r="B1116">
        <f t="shared" si="99"/>
        <v>14.200272560119629</v>
      </c>
      <c r="C1116">
        <v>10</v>
      </c>
      <c r="D1116">
        <v>30</v>
      </c>
      <c r="E1116">
        <v>40</v>
      </c>
      <c r="F1116">
        <v>32</v>
      </c>
      <c r="G1116">
        <v>14.2002730059946</v>
      </c>
      <c r="M1116" t="str">
        <f t="shared" si="100"/>
        <v>Pass</v>
      </c>
      <c r="N1116">
        <f t="shared" si="101"/>
        <v>1352.4481201171875</v>
      </c>
      <c r="O1116">
        <v>60</v>
      </c>
      <c r="P1116">
        <v>10</v>
      </c>
      <c r="Q1116">
        <v>3</v>
      </c>
      <c r="R1116" t="b">
        <v>1</v>
      </c>
      <c r="S1116">
        <v>1352.4482258061</v>
      </c>
      <c r="Y1116" t="str">
        <f t="shared" si="102"/>
        <v>Pass</v>
      </c>
      <c r="Z1116">
        <f t="shared" si="103"/>
        <v>151892.78125</v>
      </c>
      <c r="AA1116">
        <v>17000</v>
      </c>
      <c r="AB1116">
        <v>20</v>
      </c>
      <c r="AC1116">
        <v>10</v>
      </c>
      <c r="AD1116">
        <v>0.2</v>
      </c>
      <c r="AE1116">
        <v>151892.76857810101</v>
      </c>
    </row>
    <row r="1117" spans="1:31" x14ac:dyDescent="0.3">
      <c r="A1117" t="str">
        <f>IF(ISBLANK(B1117),"",IF(ROUND(B1117,0)=ROUND(G1117,0),"Pass","Fail"))</f>
        <v>Pass</v>
      </c>
      <c r="B1117">
        <f t="shared" si="99"/>
        <v>12.059726715087891</v>
      </c>
      <c r="C1117">
        <v>10</v>
      </c>
      <c r="D1117">
        <v>30</v>
      </c>
      <c r="E1117">
        <v>40</v>
      </c>
      <c r="F1117">
        <v>40</v>
      </c>
      <c r="G1117">
        <v>12.059726764327101</v>
      </c>
      <c r="M1117" t="str">
        <f t="shared" si="100"/>
        <v>Pass</v>
      </c>
      <c r="N1117">
        <f t="shared" si="101"/>
        <v>4066.19775390625</v>
      </c>
      <c r="O1117">
        <v>60</v>
      </c>
      <c r="P1117">
        <v>10</v>
      </c>
      <c r="Q1117">
        <v>3</v>
      </c>
      <c r="R1117" t="b">
        <v>0</v>
      </c>
      <c r="S1117">
        <v>4066.1981757721201</v>
      </c>
      <c r="Y1117" t="str">
        <f t="shared" si="102"/>
        <v>Pass</v>
      </c>
      <c r="Z1117">
        <f t="shared" si="103"/>
        <v>159730.546875</v>
      </c>
      <c r="AA1117">
        <v>17000</v>
      </c>
      <c r="AB1117">
        <v>20</v>
      </c>
      <c r="AC1117">
        <v>12</v>
      </c>
      <c r="AD1117">
        <v>0.2</v>
      </c>
      <c r="AE1117">
        <v>159730.54620549301</v>
      </c>
    </row>
    <row r="1118" spans="1:31" x14ac:dyDescent="0.3">
      <c r="A1118" t="str">
        <f>IF(ISBLANK(B1118),"",IF(ROUND(B1118,0)=ROUND(G1118,0),"Pass","Fail"))</f>
        <v>Pass</v>
      </c>
      <c r="B1118">
        <f t="shared" si="99"/>
        <v>10.982207298278809</v>
      </c>
      <c r="C1118">
        <v>10</v>
      </c>
      <c r="D1118">
        <v>30</v>
      </c>
      <c r="E1118">
        <v>40</v>
      </c>
      <c r="F1118">
        <v>48</v>
      </c>
      <c r="G1118">
        <v>10.9822079008197</v>
      </c>
      <c r="M1118" t="str">
        <f t="shared" si="100"/>
        <v>Pass</v>
      </c>
      <c r="N1118">
        <f t="shared" si="101"/>
        <v>1400.611083984375</v>
      </c>
      <c r="O1118">
        <v>60</v>
      </c>
      <c r="P1118">
        <v>10</v>
      </c>
      <c r="Q1118">
        <v>3.5</v>
      </c>
      <c r="R1118" t="b">
        <v>1</v>
      </c>
      <c r="S1118">
        <v>1400.6111190183401</v>
      </c>
      <c r="Y1118" t="str">
        <f t="shared" si="102"/>
        <v>Pass</v>
      </c>
      <c r="Z1118">
        <f t="shared" si="103"/>
        <v>164984.359375</v>
      </c>
      <c r="AA1118">
        <v>17000</v>
      </c>
      <c r="AB1118">
        <v>20</v>
      </c>
      <c r="AC1118">
        <v>14</v>
      </c>
      <c r="AD1118">
        <v>0.2</v>
      </c>
      <c r="AE1118">
        <v>164984.36566550299</v>
      </c>
    </row>
    <row r="1119" spans="1:31" x14ac:dyDescent="0.3">
      <c r="A1119" t="str">
        <f>IF(ISBLANK(B1119),"",IF(ROUND(B1119,0)=ROUND(G1119,0),"Pass","Fail"))</f>
        <v>Pass</v>
      </c>
      <c r="B1119">
        <f t="shared" si="99"/>
        <v>77.017997741699219</v>
      </c>
      <c r="C1119">
        <v>10</v>
      </c>
      <c r="D1119">
        <v>30</v>
      </c>
      <c r="E1119">
        <v>50</v>
      </c>
      <c r="F1119">
        <v>0</v>
      </c>
      <c r="G1119">
        <v>77.018000000000001</v>
      </c>
      <c r="M1119" t="str">
        <f t="shared" si="100"/>
        <v>Pass</v>
      </c>
      <c r="N1119">
        <f t="shared" si="101"/>
        <v>4211.001953125</v>
      </c>
      <c r="O1119">
        <v>60</v>
      </c>
      <c r="P1119">
        <v>10</v>
      </c>
      <c r="Q1119">
        <v>3.5</v>
      </c>
      <c r="R1119" t="b">
        <v>0</v>
      </c>
      <c r="S1119">
        <v>4211.0021429648496</v>
      </c>
      <c r="Y1119" t="str">
        <f t="shared" si="102"/>
        <v>Pass</v>
      </c>
      <c r="Z1119">
        <f t="shared" si="103"/>
        <v>168506.09375</v>
      </c>
      <c r="AA1119">
        <v>17000</v>
      </c>
      <c r="AB1119">
        <v>20</v>
      </c>
      <c r="AC1119">
        <v>16</v>
      </c>
      <c r="AD1119">
        <v>0.2</v>
      </c>
      <c r="AE1119">
        <v>168506.1061678</v>
      </c>
    </row>
    <row r="1120" spans="1:31" x14ac:dyDescent="0.3">
      <c r="A1120" t="str">
        <f>IF(ISBLANK(B1120),"",IF(ROUND(B1120,0)=ROUND(G1120,0),"Pass","Fail"))</f>
        <v>Pass</v>
      </c>
      <c r="B1120">
        <f t="shared" si="99"/>
        <v>43.681228637695313</v>
      </c>
      <c r="C1120">
        <v>10</v>
      </c>
      <c r="D1120">
        <v>30</v>
      </c>
      <c r="E1120">
        <v>50</v>
      </c>
      <c r="F1120">
        <v>8</v>
      </c>
      <c r="G1120">
        <v>43.681228080723002</v>
      </c>
      <c r="M1120" t="str">
        <f t="shared" si="100"/>
        <v>Pass</v>
      </c>
      <c r="N1120">
        <f t="shared" si="101"/>
        <v>1443.7158203125</v>
      </c>
      <c r="O1120">
        <v>60</v>
      </c>
      <c r="P1120">
        <v>10</v>
      </c>
      <c r="Q1120">
        <v>4</v>
      </c>
      <c r="R1120" t="b">
        <v>1</v>
      </c>
      <c r="S1120">
        <v>1443.7159074001299</v>
      </c>
      <c r="Y1120" t="str">
        <f t="shared" si="102"/>
        <v>Pass</v>
      </c>
      <c r="Z1120">
        <f t="shared" si="103"/>
        <v>170866.796875</v>
      </c>
      <c r="AA1120">
        <v>17000</v>
      </c>
      <c r="AB1120">
        <v>20</v>
      </c>
      <c r="AC1120">
        <v>18</v>
      </c>
      <c r="AD1120">
        <v>0.2</v>
      </c>
      <c r="AE1120">
        <v>170866.79942342499</v>
      </c>
    </row>
    <row r="1121" spans="1:31" x14ac:dyDescent="0.3">
      <c r="A1121" t="str">
        <f>IF(ISBLANK(B1121),"",IF(ROUND(B1121,0)=ROUND(G1121,0),"Pass","Fail"))</f>
        <v>Pass</v>
      </c>
      <c r="B1121">
        <f t="shared" si="99"/>
        <v>26.899995803833008</v>
      </c>
      <c r="C1121">
        <v>10</v>
      </c>
      <c r="D1121">
        <v>30</v>
      </c>
      <c r="E1121">
        <v>50</v>
      </c>
      <c r="F1121">
        <v>16</v>
      </c>
      <c r="G1121">
        <v>26.899997247101702</v>
      </c>
      <c r="M1121" t="str">
        <f t="shared" si="100"/>
        <v>Pass</v>
      </c>
      <c r="N1121">
        <f t="shared" si="101"/>
        <v>4340.5986328125</v>
      </c>
      <c r="O1121">
        <v>60</v>
      </c>
      <c r="P1121">
        <v>10</v>
      </c>
      <c r="Q1121">
        <v>4</v>
      </c>
      <c r="R1121" t="b">
        <v>0</v>
      </c>
      <c r="S1121">
        <v>4340.5986839197803</v>
      </c>
      <c r="Y1121" t="str">
        <f t="shared" si="102"/>
        <v>Pass</v>
      </c>
      <c r="Z1121">
        <f t="shared" si="103"/>
        <v>172449.234375</v>
      </c>
      <c r="AA1121">
        <v>17000</v>
      </c>
      <c r="AB1121">
        <v>20</v>
      </c>
      <c r="AC1121">
        <v>20</v>
      </c>
      <c r="AD1121">
        <v>0.2</v>
      </c>
      <c r="AE1121">
        <v>172449.219435212</v>
      </c>
    </row>
    <row r="1122" spans="1:31" x14ac:dyDescent="0.3">
      <c r="A1122" t="str">
        <f>IF(ISBLANK(B1122),"",IF(ROUND(B1122,0)=ROUND(G1122,0),"Pass","Fail"))</f>
        <v>Pass</v>
      </c>
      <c r="B1122">
        <f t="shared" si="99"/>
        <v>18.45257568359375</v>
      </c>
      <c r="C1122">
        <v>10</v>
      </c>
      <c r="D1122">
        <v>30</v>
      </c>
      <c r="E1122">
        <v>50</v>
      </c>
      <c r="F1122">
        <v>24</v>
      </c>
      <c r="G1122">
        <v>18.452577413736201</v>
      </c>
      <c r="M1122" t="str">
        <f t="shared" si="100"/>
        <v>Pass</v>
      </c>
      <c r="N1122">
        <f t="shared" si="101"/>
        <v>0</v>
      </c>
      <c r="O1122">
        <v>60</v>
      </c>
      <c r="P1122">
        <v>20</v>
      </c>
      <c r="Q1122">
        <v>0</v>
      </c>
      <c r="R1122" t="b">
        <v>1</v>
      </c>
      <c r="S1122">
        <v>0</v>
      </c>
      <c r="Y1122" t="str">
        <f t="shared" si="102"/>
        <v>Pass</v>
      </c>
      <c r="Z1122">
        <f t="shared" si="103"/>
        <v>173509.953125</v>
      </c>
      <c r="AA1122">
        <v>17000</v>
      </c>
      <c r="AB1122">
        <v>20</v>
      </c>
      <c r="AC1122">
        <v>22</v>
      </c>
      <c r="AD1122">
        <v>0.2</v>
      </c>
      <c r="AE1122">
        <v>173509.94729036099</v>
      </c>
    </row>
    <row r="1123" spans="1:31" x14ac:dyDescent="0.3">
      <c r="A1123" t="str">
        <f>IF(ISBLANK(B1123),"",IF(ROUND(B1123,0)=ROUND(G1123,0),"Pass","Fail"))</f>
        <v>Pass</v>
      </c>
      <c r="B1123">
        <f t="shared" si="99"/>
        <v>14.200272560119629</v>
      </c>
      <c r="C1123">
        <v>10</v>
      </c>
      <c r="D1123">
        <v>30</v>
      </c>
      <c r="E1123">
        <v>50</v>
      </c>
      <c r="F1123">
        <v>32</v>
      </c>
      <c r="G1123">
        <v>14.2002730059946</v>
      </c>
      <c r="M1123" t="str">
        <f t="shared" si="100"/>
        <v>Pass</v>
      </c>
      <c r="N1123">
        <f t="shared" si="101"/>
        <v>0</v>
      </c>
      <c r="O1123">
        <v>60</v>
      </c>
      <c r="P1123">
        <v>20</v>
      </c>
      <c r="Q1123">
        <v>0</v>
      </c>
      <c r="R1123" t="b">
        <v>0</v>
      </c>
      <c r="S1123">
        <v>0</v>
      </c>
      <c r="Y1123" t="str">
        <f t="shared" si="102"/>
        <v>Pass</v>
      </c>
      <c r="Z1123">
        <f t="shared" si="103"/>
        <v>174220.984375</v>
      </c>
      <c r="AA1123">
        <v>17000</v>
      </c>
      <c r="AB1123">
        <v>20</v>
      </c>
      <c r="AC1123">
        <v>24</v>
      </c>
      <c r="AD1123">
        <v>0.2</v>
      </c>
      <c r="AE1123">
        <v>174220.97443505499</v>
      </c>
    </row>
    <row r="1124" spans="1:31" x14ac:dyDescent="0.3">
      <c r="A1124" t="str">
        <f>IF(ISBLANK(B1124),"",IF(ROUND(B1124,0)=ROUND(G1124,0),"Pass","Fail"))</f>
        <v>Pass</v>
      </c>
      <c r="B1124">
        <f t="shared" si="99"/>
        <v>12.059726715087891</v>
      </c>
      <c r="C1124">
        <v>10</v>
      </c>
      <c r="D1124">
        <v>30</v>
      </c>
      <c r="E1124">
        <v>50</v>
      </c>
      <c r="F1124">
        <v>40</v>
      </c>
      <c r="G1124">
        <v>12.059726764327101</v>
      </c>
      <c r="M1124" t="str">
        <f t="shared" si="100"/>
        <v>Pass</v>
      </c>
      <c r="N1124">
        <f t="shared" si="101"/>
        <v>23.857284545898438</v>
      </c>
      <c r="O1124">
        <v>60</v>
      </c>
      <c r="P1124">
        <v>20</v>
      </c>
      <c r="Q1124">
        <v>0.5</v>
      </c>
      <c r="R1124" t="b">
        <v>1</v>
      </c>
      <c r="S1124">
        <v>23.857285989261602</v>
      </c>
      <c r="Y1124" t="str">
        <f t="shared" si="102"/>
        <v>Pass</v>
      </c>
      <c r="Z1124">
        <f t="shared" si="103"/>
        <v>0</v>
      </c>
      <c r="AA1124">
        <v>17200</v>
      </c>
      <c r="AB1124">
        <v>20</v>
      </c>
      <c r="AC1124">
        <v>0</v>
      </c>
      <c r="AD1124">
        <v>0.2</v>
      </c>
      <c r="AE1124">
        <v>0</v>
      </c>
    </row>
    <row r="1125" spans="1:31" x14ac:dyDescent="0.3">
      <c r="A1125" t="str">
        <f>IF(ISBLANK(B1125),"",IF(ROUND(B1125,0)=ROUND(G1125,0),"Pass","Fail"))</f>
        <v>Pass</v>
      </c>
      <c r="B1125">
        <f t="shared" si="99"/>
        <v>10.982207298278809</v>
      </c>
      <c r="C1125">
        <v>10</v>
      </c>
      <c r="D1125">
        <v>30</v>
      </c>
      <c r="E1125">
        <v>50</v>
      </c>
      <c r="F1125">
        <v>48</v>
      </c>
      <c r="G1125">
        <v>10.9822079008197</v>
      </c>
      <c r="M1125" t="str">
        <f t="shared" si="100"/>
        <v>Pass</v>
      </c>
      <c r="N1125">
        <f t="shared" si="101"/>
        <v>71.728034973144531</v>
      </c>
      <c r="O1125">
        <v>60</v>
      </c>
      <c r="P1125">
        <v>20</v>
      </c>
      <c r="Q1125">
        <v>0.5</v>
      </c>
      <c r="R1125" t="b">
        <v>0</v>
      </c>
      <c r="S1125">
        <v>71.728034328699593</v>
      </c>
      <c r="Y1125" t="str">
        <f t="shared" si="102"/>
        <v>Pass</v>
      </c>
      <c r="Z1125">
        <f t="shared" si="103"/>
        <v>58595.11328125</v>
      </c>
      <c r="AA1125">
        <v>17200</v>
      </c>
      <c r="AB1125">
        <v>20</v>
      </c>
      <c r="AC1125">
        <v>2</v>
      </c>
      <c r="AD1125">
        <v>0.2</v>
      </c>
      <c r="AE1125">
        <v>58595.117151265702</v>
      </c>
    </row>
    <row r="1126" spans="1:31" x14ac:dyDescent="0.3">
      <c r="A1126" t="str">
        <f>IF(ISBLANK(B1126),"",IF(ROUND(B1126,0)=ROUND(G1126,0),"Pass","Fail"))</f>
        <v>Pass</v>
      </c>
      <c r="B1126">
        <f t="shared" si="99"/>
        <v>77.017997741699219</v>
      </c>
      <c r="C1126">
        <v>10</v>
      </c>
      <c r="D1126">
        <v>30</v>
      </c>
      <c r="E1126">
        <v>60</v>
      </c>
      <c r="F1126">
        <v>0</v>
      </c>
      <c r="G1126">
        <v>77.018000000000001</v>
      </c>
      <c r="M1126" t="str">
        <f t="shared" si="100"/>
        <v>Pass</v>
      </c>
      <c r="N1126">
        <f t="shared" si="101"/>
        <v>27.922534942626953</v>
      </c>
      <c r="O1126">
        <v>60</v>
      </c>
      <c r="P1126">
        <v>20</v>
      </c>
      <c r="Q1126">
        <v>1</v>
      </c>
      <c r="R1126" t="b">
        <v>1</v>
      </c>
      <c r="S1126">
        <v>27.922535111102501</v>
      </c>
      <c r="Y1126" t="str">
        <f t="shared" si="102"/>
        <v>Pass</v>
      </c>
      <c r="Z1126">
        <f t="shared" si="103"/>
        <v>97872.6015625</v>
      </c>
      <c r="AA1126">
        <v>17200</v>
      </c>
      <c r="AB1126">
        <v>20</v>
      </c>
      <c r="AC1126">
        <v>4</v>
      </c>
      <c r="AD1126">
        <v>0.2</v>
      </c>
      <c r="AE1126">
        <v>97872.5987775658</v>
      </c>
    </row>
    <row r="1127" spans="1:31" x14ac:dyDescent="0.3">
      <c r="A1127" t="str">
        <f>IF(ISBLANK(B1127),"",IF(ROUND(B1127,0)=ROUND(G1127,0),"Pass","Fail"))</f>
        <v>Pass</v>
      </c>
      <c r="B1127">
        <f t="shared" si="99"/>
        <v>43.681228637695313</v>
      </c>
      <c r="C1127">
        <v>10</v>
      </c>
      <c r="D1127">
        <v>30</v>
      </c>
      <c r="E1127">
        <v>60</v>
      </c>
      <c r="F1127">
        <v>8</v>
      </c>
      <c r="G1127">
        <v>43.681228080723002</v>
      </c>
      <c r="M1127" t="str">
        <f t="shared" si="100"/>
        <v>Pass</v>
      </c>
      <c r="N1127">
        <f t="shared" si="101"/>
        <v>83.950401306152344</v>
      </c>
      <c r="O1127">
        <v>60</v>
      </c>
      <c r="P1127">
        <v>20</v>
      </c>
      <c r="Q1127">
        <v>1</v>
      </c>
      <c r="R1127" t="b">
        <v>0</v>
      </c>
      <c r="S1127">
        <v>83.950393933952796</v>
      </c>
      <c r="Y1127" t="str">
        <f t="shared" si="102"/>
        <v>Pass</v>
      </c>
      <c r="Z1127">
        <f t="shared" si="103"/>
        <v>124201.0859375</v>
      </c>
      <c r="AA1127">
        <v>17200</v>
      </c>
      <c r="AB1127">
        <v>20</v>
      </c>
      <c r="AC1127">
        <v>6</v>
      </c>
      <c r="AD1127">
        <v>0.2</v>
      </c>
      <c r="AE1127">
        <v>124201.082069471</v>
      </c>
    </row>
    <row r="1128" spans="1:31" x14ac:dyDescent="0.3">
      <c r="A1128" t="str">
        <f>IF(ISBLANK(B1128),"",IF(ROUND(B1128,0)=ROUND(G1128,0),"Pass","Fail"))</f>
        <v>Pass</v>
      </c>
      <c r="B1128">
        <f t="shared" si="99"/>
        <v>26.899995803833008</v>
      </c>
      <c r="C1128">
        <v>10</v>
      </c>
      <c r="D1128">
        <v>30</v>
      </c>
      <c r="E1128">
        <v>60</v>
      </c>
      <c r="F1128">
        <v>16</v>
      </c>
      <c r="G1128">
        <v>26.899997247101702</v>
      </c>
      <c r="M1128" t="str">
        <f t="shared" si="100"/>
        <v>Pass</v>
      </c>
      <c r="N1128">
        <f t="shared" si="101"/>
        <v>30.614524841308594</v>
      </c>
      <c r="O1128">
        <v>60</v>
      </c>
      <c r="P1128">
        <v>20</v>
      </c>
      <c r="Q1128">
        <v>1.5</v>
      </c>
      <c r="R1128" t="b">
        <v>1</v>
      </c>
      <c r="S1128">
        <v>30.614527537384902</v>
      </c>
      <c r="Y1128" t="str">
        <f t="shared" si="102"/>
        <v>Pass</v>
      </c>
      <c r="Z1128">
        <f t="shared" si="103"/>
        <v>141849.59375</v>
      </c>
      <c r="AA1128">
        <v>17200</v>
      </c>
      <c r="AB1128">
        <v>20</v>
      </c>
      <c r="AC1128">
        <v>8</v>
      </c>
      <c r="AD1128">
        <v>0.2</v>
      </c>
      <c r="AE1128">
        <v>141849.59220174901</v>
      </c>
    </row>
    <row r="1129" spans="1:31" x14ac:dyDescent="0.3">
      <c r="A1129" t="str">
        <f>IF(ISBLANK(B1129),"",IF(ROUND(B1129,0)=ROUND(G1129,0),"Pass","Fail"))</f>
        <v>Pass</v>
      </c>
      <c r="B1129">
        <f t="shared" si="99"/>
        <v>18.45257568359375</v>
      </c>
      <c r="C1129">
        <v>10</v>
      </c>
      <c r="D1129">
        <v>30</v>
      </c>
      <c r="E1129">
        <v>60</v>
      </c>
      <c r="F1129">
        <v>24</v>
      </c>
      <c r="G1129">
        <v>18.452577413736201</v>
      </c>
      <c r="M1129" t="str">
        <f t="shared" si="100"/>
        <v>Pass</v>
      </c>
      <c r="N1129">
        <f t="shared" si="101"/>
        <v>92.043998718261719</v>
      </c>
      <c r="O1129">
        <v>60</v>
      </c>
      <c r="P1129">
        <v>20</v>
      </c>
      <c r="Q1129">
        <v>1.5</v>
      </c>
      <c r="R1129" t="b">
        <v>0</v>
      </c>
      <c r="S1129">
        <v>92.043993736205806</v>
      </c>
      <c r="Y1129" t="str">
        <f t="shared" si="102"/>
        <v>Pass</v>
      </c>
      <c r="Z1129">
        <f t="shared" si="103"/>
        <v>153679.75</v>
      </c>
      <c r="AA1129">
        <v>17200</v>
      </c>
      <c r="AB1129">
        <v>20</v>
      </c>
      <c r="AC1129">
        <v>10</v>
      </c>
      <c r="AD1129">
        <v>0.2</v>
      </c>
      <c r="AE1129">
        <v>153679.74232607899</v>
      </c>
    </row>
    <row r="1130" spans="1:31" x14ac:dyDescent="0.3">
      <c r="A1130" t="str">
        <f>IF(ISBLANK(B1130),"",IF(ROUND(B1130,0)=ROUND(G1130,0),"Pass","Fail"))</f>
        <v>Pass</v>
      </c>
      <c r="B1130">
        <f t="shared" si="99"/>
        <v>14.200272560119629</v>
      </c>
      <c r="C1130">
        <v>10</v>
      </c>
      <c r="D1130">
        <v>30</v>
      </c>
      <c r="E1130">
        <v>60</v>
      </c>
      <c r="F1130">
        <v>32</v>
      </c>
      <c r="G1130">
        <v>14.2002730059946</v>
      </c>
      <c r="M1130" t="str">
        <f t="shared" si="100"/>
        <v>Pass</v>
      </c>
      <c r="N1130">
        <f t="shared" si="101"/>
        <v>32.680496215820313</v>
      </c>
      <c r="O1130">
        <v>60</v>
      </c>
      <c r="P1130">
        <v>20</v>
      </c>
      <c r="Q1130">
        <v>2</v>
      </c>
      <c r="R1130" t="b">
        <v>1</v>
      </c>
      <c r="S1130">
        <v>32.680497160560897</v>
      </c>
      <c r="Y1130" t="str">
        <f t="shared" si="102"/>
        <v>Pass</v>
      </c>
      <c r="Z1130">
        <f t="shared" si="103"/>
        <v>161609.734375</v>
      </c>
      <c r="AA1130">
        <v>17200</v>
      </c>
      <c r="AB1130">
        <v>20</v>
      </c>
      <c r="AC1130">
        <v>12</v>
      </c>
      <c r="AD1130">
        <v>0.2</v>
      </c>
      <c r="AE1130">
        <v>161609.72910202801</v>
      </c>
    </row>
    <row r="1131" spans="1:31" x14ac:dyDescent="0.3">
      <c r="A1131" t="str">
        <f>IF(ISBLANK(B1131),"",IF(ROUND(B1131,0)=ROUND(G1131,0),"Pass","Fail"))</f>
        <v>Pass</v>
      </c>
      <c r="B1131">
        <f t="shared" si="99"/>
        <v>12.059726715087891</v>
      </c>
      <c r="C1131">
        <v>10</v>
      </c>
      <c r="D1131">
        <v>30</v>
      </c>
      <c r="E1131">
        <v>60</v>
      </c>
      <c r="F1131">
        <v>40</v>
      </c>
      <c r="G1131">
        <v>12.059726764327101</v>
      </c>
      <c r="M1131" t="str">
        <f t="shared" si="100"/>
        <v>Pass</v>
      </c>
      <c r="N1131">
        <f t="shared" si="101"/>
        <v>98.25543212890625</v>
      </c>
      <c r="O1131">
        <v>60</v>
      </c>
      <c r="P1131">
        <v>20</v>
      </c>
      <c r="Q1131">
        <v>2</v>
      </c>
      <c r="R1131" t="b">
        <v>0</v>
      </c>
      <c r="S1131">
        <v>98.255427011555</v>
      </c>
      <c r="Y1131" t="str">
        <f t="shared" si="102"/>
        <v>Pass</v>
      </c>
      <c r="Z1131">
        <f t="shared" si="103"/>
        <v>166925.34375</v>
      </c>
      <c r="AA1131">
        <v>17200</v>
      </c>
      <c r="AB1131">
        <v>20</v>
      </c>
      <c r="AC1131">
        <v>14</v>
      </c>
      <c r="AD1131">
        <v>0.2</v>
      </c>
      <c r="AE1131">
        <v>166925.35820274401</v>
      </c>
    </row>
    <row r="1132" spans="1:31" x14ac:dyDescent="0.3">
      <c r="A1132" t="str">
        <f>IF(ISBLANK(B1132),"",IF(ROUND(B1132,0)=ROUND(G1132,0),"Pass","Fail"))</f>
        <v>Pass</v>
      </c>
      <c r="B1132">
        <f t="shared" si="99"/>
        <v>10.982207298278809</v>
      </c>
      <c r="C1132">
        <v>10</v>
      </c>
      <c r="D1132">
        <v>30</v>
      </c>
      <c r="E1132">
        <v>60</v>
      </c>
      <c r="F1132">
        <v>48</v>
      </c>
      <c r="G1132">
        <v>10.9822079008197</v>
      </c>
      <c r="M1132" t="str">
        <f t="shared" si="100"/>
        <v>Pass</v>
      </c>
      <c r="N1132">
        <f t="shared" si="101"/>
        <v>34.378524780273438</v>
      </c>
      <c r="O1132">
        <v>60</v>
      </c>
      <c r="P1132">
        <v>20</v>
      </c>
      <c r="Q1132">
        <v>2.5</v>
      </c>
      <c r="R1132" t="b">
        <v>1</v>
      </c>
      <c r="S1132">
        <v>34.3785240660048</v>
      </c>
      <c r="Y1132" t="str">
        <f t="shared" si="102"/>
        <v>Pass</v>
      </c>
      <c r="Z1132">
        <f t="shared" si="103"/>
        <v>170488.53125</v>
      </c>
      <c r="AA1132">
        <v>17200</v>
      </c>
      <c r="AB1132">
        <v>20</v>
      </c>
      <c r="AC1132">
        <v>16</v>
      </c>
      <c r="AD1132">
        <v>0.2</v>
      </c>
      <c r="AE1132">
        <v>170488.53094624501</v>
      </c>
    </row>
    <row r="1133" spans="1:31" x14ac:dyDescent="0.3">
      <c r="A1133" t="str">
        <f>IF(ISBLANK(B1133),"",IF(ROUND(B1133,0)=ROUND(G1133,0),"Pass","Fail"))</f>
        <v>Pass</v>
      </c>
      <c r="B1133">
        <f t="shared" si="99"/>
        <v>77.017997741699219</v>
      </c>
      <c r="C1133">
        <v>10</v>
      </c>
      <c r="D1133">
        <v>30</v>
      </c>
      <c r="E1133">
        <v>70</v>
      </c>
      <c r="F1133">
        <v>0</v>
      </c>
      <c r="G1133">
        <v>77.018000000000001</v>
      </c>
      <c r="M1133" t="str">
        <f t="shared" si="100"/>
        <v>Pass</v>
      </c>
      <c r="N1133">
        <f t="shared" si="101"/>
        <v>103.36062622070313</v>
      </c>
      <c r="O1133">
        <v>60</v>
      </c>
      <c r="P1133">
        <v>20</v>
      </c>
      <c r="Q1133">
        <v>2.5</v>
      </c>
      <c r="R1133" t="b">
        <v>0</v>
      </c>
      <c r="S1133">
        <v>103.360623479399</v>
      </c>
      <c r="Y1133" t="str">
        <f t="shared" si="102"/>
        <v>Pass</v>
      </c>
      <c r="Z1133">
        <f t="shared" si="103"/>
        <v>172877</v>
      </c>
      <c r="AA1133">
        <v>17200</v>
      </c>
      <c r="AB1133">
        <v>20</v>
      </c>
      <c r="AC1133">
        <v>18</v>
      </c>
      <c r="AD1133">
        <v>0.2</v>
      </c>
      <c r="AE1133">
        <v>172876.99706370101</v>
      </c>
    </row>
    <row r="1134" spans="1:31" x14ac:dyDescent="0.3">
      <c r="A1134" t="str">
        <f>IF(ISBLANK(B1134),"",IF(ROUND(B1134,0)=ROUND(G1134,0),"Pass","Fail"))</f>
        <v>Pass</v>
      </c>
      <c r="B1134">
        <f t="shared" si="99"/>
        <v>43.681228637695313</v>
      </c>
      <c r="C1134">
        <v>10</v>
      </c>
      <c r="D1134">
        <v>30</v>
      </c>
      <c r="E1134">
        <v>70</v>
      </c>
      <c r="F1134">
        <v>8</v>
      </c>
      <c r="G1134">
        <v>43.681228080723002</v>
      </c>
      <c r="M1134" t="str">
        <f t="shared" si="100"/>
        <v>Pass</v>
      </c>
      <c r="N1134">
        <f t="shared" si="101"/>
        <v>35.831199645996094</v>
      </c>
      <c r="O1134">
        <v>60</v>
      </c>
      <c r="P1134">
        <v>20</v>
      </c>
      <c r="Q1134">
        <v>3</v>
      </c>
      <c r="R1134" t="b">
        <v>1</v>
      </c>
      <c r="S1134">
        <v>35.831201439141701</v>
      </c>
      <c r="Y1134" t="str">
        <f t="shared" si="102"/>
        <v>Pass</v>
      </c>
      <c r="Z1134">
        <f t="shared" si="103"/>
        <v>174478.046875</v>
      </c>
      <c r="AA1134">
        <v>17200</v>
      </c>
      <c r="AB1134">
        <v>20</v>
      </c>
      <c r="AC1134">
        <v>20</v>
      </c>
      <c r="AD1134">
        <v>0.2</v>
      </c>
      <c r="AE1134">
        <v>174478.03378150801</v>
      </c>
    </row>
    <row r="1135" spans="1:31" x14ac:dyDescent="0.3">
      <c r="A1135" t="str">
        <f>IF(ISBLANK(B1135),"",IF(ROUND(B1135,0)=ROUND(G1135,0),"Pass","Fail"))</f>
        <v>Pass</v>
      </c>
      <c r="B1135">
        <f t="shared" si="99"/>
        <v>26.899995803833008</v>
      </c>
      <c r="C1135">
        <v>10</v>
      </c>
      <c r="D1135">
        <v>30</v>
      </c>
      <c r="E1135">
        <v>70</v>
      </c>
      <c r="F1135">
        <v>16</v>
      </c>
      <c r="G1135">
        <v>26.899997247101702</v>
      </c>
      <c r="M1135" t="str">
        <f t="shared" si="100"/>
        <v>Pass</v>
      </c>
      <c r="N1135">
        <f t="shared" si="101"/>
        <v>107.72817230224609</v>
      </c>
      <c r="O1135">
        <v>60</v>
      </c>
      <c r="P1135">
        <v>20</v>
      </c>
      <c r="Q1135">
        <v>3</v>
      </c>
      <c r="R1135" t="b">
        <v>0</v>
      </c>
      <c r="S1135">
        <v>107.728165224751</v>
      </c>
      <c r="Y1135" t="str">
        <f t="shared" si="102"/>
        <v>Pass</v>
      </c>
      <c r="Z1135">
        <f t="shared" si="103"/>
        <v>175551.25</v>
      </c>
      <c r="AA1135">
        <v>17200</v>
      </c>
      <c r="AB1135">
        <v>20</v>
      </c>
      <c r="AC1135">
        <v>22</v>
      </c>
      <c r="AD1135">
        <v>0.2</v>
      </c>
      <c r="AE1135">
        <v>175551.240787894</v>
      </c>
    </row>
    <row r="1136" spans="1:31" x14ac:dyDescent="0.3">
      <c r="A1136" t="str">
        <f>IF(ISBLANK(B1136),"",IF(ROUND(B1136,0)=ROUND(G1136,0),"Pass","Fail"))</f>
        <v>Pass</v>
      </c>
      <c r="B1136">
        <f t="shared" si="99"/>
        <v>18.45257568359375</v>
      </c>
      <c r="C1136">
        <v>10</v>
      </c>
      <c r="D1136">
        <v>30</v>
      </c>
      <c r="E1136">
        <v>70</v>
      </c>
      <c r="F1136">
        <v>24</v>
      </c>
      <c r="G1136">
        <v>18.452577413736201</v>
      </c>
      <c r="M1136" t="str">
        <f t="shared" si="100"/>
        <v>Pass</v>
      </c>
      <c r="N1136">
        <f t="shared" si="101"/>
        <v>37.107208251953125</v>
      </c>
      <c r="O1136">
        <v>60</v>
      </c>
      <c r="P1136">
        <v>20</v>
      </c>
      <c r="Q1136">
        <v>3.5</v>
      </c>
      <c r="R1136" t="b">
        <v>1</v>
      </c>
      <c r="S1136">
        <v>37.107209123318199</v>
      </c>
      <c r="Y1136" t="str">
        <f t="shared" si="102"/>
        <v>Pass</v>
      </c>
      <c r="Z1136">
        <f t="shared" si="103"/>
        <v>176270.640625</v>
      </c>
      <c r="AA1136">
        <v>17200</v>
      </c>
      <c r="AB1136">
        <v>20</v>
      </c>
      <c r="AC1136">
        <v>24</v>
      </c>
      <c r="AD1136">
        <v>0.2</v>
      </c>
      <c r="AE1136">
        <v>176270.63295781999</v>
      </c>
    </row>
    <row r="1137" spans="1:31" x14ac:dyDescent="0.3">
      <c r="A1137" t="str">
        <f>IF(ISBLANK(B1137),"",IF(ROUND(B1137,0)=ROUND(G1137,0),"Pass","Fail"))</f>
        <v>Pass</v>
      </c>
      <c r="B1137">
        <f t="shared" si="99"/>
        <v>14.200272560119629</v>
      </c>
      <c r="C1137">
        <v>10</v>
      </c>
      <c r="D1137">
        <v>30</v>
      </c>
      <c r="E1137">
        <v>70</v>
      </c>
      <c r="F1137">
        <v>32</v>
      </c>
      <c r="G1137">
        <v>14.2002730059946</v>
      </c>
      <c r="M1137" t="str">
        <f t="shared" si="100"/>
        <v>Pass</v>
      </c>
      <c r="N1137">
        <f t="shared" si="101"/>
        <v>111.56454467773438</v>
      </c>
      <c r="O1137">
        <v>60</v>
      </c>
      <c r="P1137">
        <v>20</v>
      </c>
      <c r="Q1137">
        <v>3.5</v>
      </c>
      <c r="R1137" t="b">
        <v>0</v>
      </c>
      <c r="S1137">
        <v>111.564541374808</v>
      </c>
      <c r="Y1137" t="str">
        <f t="shared" si="102"/>
        <v>Pass</v>
      </c>
      <c r="Z1137">
        <f t="shared" si="103"/>
        <v>0</v>
      </c>
      <c r="AA1137">
        <v>17400</v>
      </c>
      <c r="AB1137">
        <v>20</v>
      </c>
      <c r="AC1137">
        <v>0</v>
      </c>
      <c r="AD1137">
        <v>0.2</v>
      </c>
      <c r="AE1137">
        <v>0</v>
      </c>
    </row>
    <row r="1138" spans="1:31" x14ac:dyDescent="0.3">
      <c r="A1138" t="str">
        <f>IF(ISBLANK(B1138),"",IF(ROUND(B1138,0)=ROUND(G1138,0),"Pass","Fail"))</f>
        <v>Pass</v>
      </c>
      <c r="B1138">
        <f t="shared" si="99"/>
        <v>12.059726715087891</v>
      </c>
      <c r="C1138">
        <v>10</v>
      </c>
      <c r="D1138">
        <v>30</v>
      </c>
      <c r="E1138">
        <v>70</v>
      </c>
      <c r="F1138">
        <v>40</v>
      </c>
      <c r="G1138">
        <v>12.059726764327101</v>
      </c>
      <c r="M1138" t="str">
        <f t="shared" si="100"/>
        <v>Pass</v>
      </c>
      <c r="N1138">
        <f t="shared" si="101"/>
        <v>38.24920654296875</v>
      </c>
      <c r="O1138">
        <v>60</v>
      </c>
      <c r="P1138">
        <v>20</v>
      </c>
      <c r="Q1138">
        <v>4</v>
      </c>
      <c r="R1138" t="b">
        <v>1</v>
      </c>
      <c r="S1138">
        <v>38.249209479434697</v>
      </c>
      <c r="Y1138" t="str">
        <f t="shared" si="102"/>
        <v>Pass</v>
      </c>
      <c r="Z1138">
        <f t="shared" si="103"/>
        <v>59276.453125</v>
      </c>
      <c r="AA1138">
        <v>17400</v>
      </c>
      <c r="AB1138">
        <v>20</v>
      </c>
      <c r="AC1138">
        <v>2</v>
      </c>
      <c r="AD1138">
        <v>0.2</v>
      </c>
      <c r="AE1138">
        <v>59276.455722792001</v>
      </c>
    </row>
    <row r="1139" spans="1:31" x14ac:dyDescent="0.3">
      <c r="A1139" t="str">
        <f>IF(ISBLANK(B1139),"",IF(ROUND(B1139,0)=ROUND(G1139,0),"Pass","Fail"))</f>
        <v>Pass</v>
      </c>
      <c r="B1139">
        <f t="shared" si="99"/>
        <v>10.982207298278809</v>
      </c>
      <c r="C1139">
        <v>10</v>
      </c>
      <c r="D1139">
        <v>30</v>
      </c>
      <c r="E1139">
        <v>70</v>
      </c>
      <c r="F1139">
        <v>48</v>
      </c>
      <c r="G1139">
        <v>10.9822079008197</v>
      </c>
      <c r="M1139" t="str">
        <f t="shared" si="100"/>
        <v>Pass</v>
      </c>
      <c r="N1139">
        <f t="shared" si="101"/>
        <v>114.99802398681641</v>
      </c>
      <c r="O1139">
        <v>60</v>
      </c>
      <c r="P1139">
        <v>20</v>
      </c>
      <c r="Q1139">
        <v>4</v>
      </c>
      <c r="R1139" t="b">
        <v>0</v>
      </c>
      <c r="S1139">
        <v>114.998018291829</v>
      </c>
      <c r="Y1139" t="str">
        <f t="shared" si="102"/>
        <v>Pass</v>
      </c>
      <c r="Z1139">
        <f t="shared" si="103"/>
        <v>99010.65625</v>
      </c>
      <c r="AA1139">
        <v>17400</v>
      </c>
      <c r="AB1139">
        <v>20</v>
      </c>
      <c r="AC1139">
        <v>4</v>
      </c>
      <c r="AD1139">
        <v>0.2</v>
      </c>
      <c r="AE1139">
        <v>99010.652251723499</v>
      </c>
    </row>
    <row r="1140" spans="1:31" x14ac:dyDescent="0.3">
      <c r="A1140" t="str">
        <f>IF(ISBLANK(B1140),"",IF(ROUND(B1140,0)=ROUND(G1140,0),"Pass","Fail"))</f>
        <v>Pass</v>
      </c>
      <c r="B1140">
        <f t="shared" si="99"/>
        <v>77.017997741699219</v>
      </c>
      <c r="C1140">
        <v>10</v>
      </c>
      <c r="D1140">
        <v>30</v>
      </c>
      <c r="E1140">
        <v>80</v>
      </c>
      <c r="F1140">
        <v>0</v>
      </c>
      <c r="G1140">
        <v>77.018000000000001</v>
      </c>
      <c r="M1140" t="str">
        <f t="shared" si="100"/>
        <v>Pass</v>
      </c>
      <c r="N1140">
        <f t="shared" si="101"/>
        <v>0</v>
      </c>
      <c r="O1140">
        <v>60</v>
      </c>
      <c r="P1140">
        <v>30</v>
      </c>
      <c r="Q1140">
        <v>0</v>
      </c>
      <c r="R1140" t="b">
        <v>1</v>
      </c>
      <c r="S1140">
        <v>0</v>
      </c>
      <c r="Y1140" t="str">
        <f t="shared" si="102"/>
        <v>Pass</v>
      </c>
      <c r="Z1140">
        <f t="shared" si="103"/>
        <v>125645.28125</v>
      </c>
      <c r="AA1140">
        <v>17400</v>
      </c>
      <c r="AB1140">
        <v>20</v>
      </c>
      <c r="AC1140">
        <v>6</v>
      </c>
      <c r="AD1140">
        <v>0.2</v>
      </c>
      <c r="AE1140">
        <v>125645.280698186</v>
      </c>
    </row>
    <row r="1141" spans="1:31" x14ac:dyDescent="0.3">
      <c r="A1141" t="str">
        <f>IF(ISBLANK(B1141),"",IF(ROUND(B1141,0)=ROUND(G1141,0),"Pass","Fail"))</f>
        <v>Pass</v>
      </c>
      <c r="B1141">
        <f t="shared" si="99"/>
        <v>43.681228637695313</v>
      </c>
      <c r="C1141">
        <v>10</v>
      </c>
      <c r="D1141">
        <v>30</v>
      </c>
      <c r="E1141">
        <v>80</v>
      </c>
      <c r="F1141">
        <v>8</v>
      </c>
      <c r="G1141">
        <v>43.681228080723002</v>
      </c>
      <c r="M1141" t="str">
        <f t="shared" si="100"/>
        <v>Pass</v>
      </c>
      <c r="N1141">
        <f t="shared" si="101"/>
        <v>0</v>
      </c>
      <c r="O1141">
        <v>60</v>
      </c>
      <c r="P1141">
        <v>30</v>
      </c>
      <c r="Q1141">
        <v>0</v>
      </c>
      <c r="R1141" t="b">
        <v>0</v>
      </c>
      <c r="S1141">
        <v>0</v>
      </c>
      <c r="Y1141" t="str">
        <f t="shared" si="102"/>
        <v>Pass</v>
      </c>
      <c r="Z1141">
        <f t="shared" si="103"/>
        <v>143499</v>
      </c>
      <c r="AA1141">
        <v>17400</v>
      </c>
      <c r="AB1141">
        <v>20</v>
      </c>
      <c r="AC1141">
        <v>8</v>
      </c>
      <c r="AD1141">
        <v>0.2</v>
      </c>
      <c r="AE1141">
        <v>143499.00606456</v>
      </c>
    </row>
    <row r="1142" spans="1:31" x14ac:dyDescent="0.3">
      <c r="A1142" t="str">
        <f>IF(ISBLANK(B1142),"",IF(ROUND(B1142,0)=ROUND(G1142,0),"Pass","Fail"))</f>
        <v>Pass</v>
      </c>
      <c r="B1142">
        <f t="shared" si="99"/>
        <v>26.899995803833008</v>
      </c>
      <c r="C1142">
        <v>10</v>
      </c>
      <c r="D1142">
        <v>30</v>
      </c>
      <c r="E1142">
        <v>80</v>
      </c>
      <c r="F1142">
        <v>16</v>
      </c>
      <c r="G1142">
        <v>26.899997247101702</v>
      </c>
      <c r="M1142" t="str">
        <f t="shared" si="100"/>
        <v>Pass</v>
      </c>
      <c r="N1142">
        <f t="shared" si="101"/>
        <v>0.10430503636598587</v>
      </c>
      <c r="O1142">
        <v>60</v>
      </c>
      <c r="P1142">
        <v>30</v>
      </c>
      <c r="Q1142">
        <v>0.5</v>
      </c>
      <c r="R1142" t="b">
        <v>1</v>
      </c>
      <c r="S1142">
        <v>0.10430504117292901</v>
      </c>
      <c r="Y1142" t="str">
        <f t="shared" si="102"/>
        <v>Pass</v>
      </c>
      <c r="Z1142">
        <f t="shared" si="103"/>
        <v>155466.71875</v>
      </c>
      <c r="AA1142">
        <v>17400</v>
      </c>
      <c r="AB1142">
        <v>20</v>
      </c>
      <c r="AC1142">
        <v>10</v>
      </c>
      <c r="AD1142">
        <v>0.2</v>
      </c>
      <c r="AE1142">
        <v>155466.71607405701</v>
      </c>
    </row>
    <row r="1143" spans="1:31" x14ac:dyDescent="0.3">
      <c r="A1143" t="str">
        <f>IF(ISBLANK(B1143),"",IF(ROUND(B1143,0)=ROUND(G1143,0),"Pass","Fail"))</f>
        <v>Pass</v>
      </c>
      <c r="B1143">
        <f t="shared" si="99"/>
        <v>18.45257568359375</v>
      </c>
      <c r="C1143">
        <v>10</v>
      </c>
      <c r="D1143">
        <v>30</v>
      </c>
      <c r="E1143">
        <v>80</v>
      </c>
      <c r="F1143">
        <v>24</v>
      </c>
      <c r="G1143">
        <v>18.452577413736201</v>
      </c>
      <c r="M1143" t="str">
        <f t="shared" si="100"/>
        <v>Pass</v>
      </c>
      <c r="N1143">
        <f t="shared" si="101"/>
        <v>0.31359794735908508</v>
      </c>
      <c r="O1143">
        <v>60</v>
      </c>
      <c r="P1143">
        <v>30</v>
      </c>
      <c r="Q1143">
        <v>0.5</v>
      </c>
      <c r="R1143" t="b">
        <v>0</v>
      </c>
      <c r="S1143">
        <v>0.313597933028753</v>
      </c>
      <c r="Y1143" t="str">
        <f t="shared" si="102"/>
        <v>Pass</v>
      </c>
      <c r="Z1143">
        <f t="shared" si="103"/>
        <v>163488.921875</v>
      </c>
      <c r="AA1143">
        <v>17400</v>
      </c>
      <c r="AB1143">
        <v>20</v>
      </c>
      <c r="AC1143">
        <v>12</v>
      </c>
      <c r="AD1143">
        <v>0.2</v>
      </c>
      <c r="AE1143">
        <v>163488.91199856301</v>
      </c>
    </row>
    <row r="1144" spans="1:31" x14ac:dyDescent="0.3">
      <c r="A1144" t="str">
        <f>IF(ISBLANK(B1144),"",IF(ROUND(B1144,0)=ROUND(G1144,0),"Pass","Fail"))</f>
        <v>Pass</v>
      </c>
      <c r="B1144">
        <f t="shared" si="99"/>
        <v>14.200272560119629</v>
      </c>
      <c r="C1144">
        <v>10</v>
      </c>
      <c r="D1144">
        <v>30</v>
      </c>
      <c r="E1144">
        <v>80</v>
      </c>
      <c r="F1144">
        <v>32</v>
      </c>
      <c r="G1144">
        <v>14.2002730059946</v>
      </c>
      <c r="M1144" t="str">
        <f t="shared" si="100"/>
        <v>Pass</v>
      </c>
      <c r="N1144">
        <f t="shared" si="101"/>
        <v>0.12207847088575363</v>
      </c>
      <c r="O1144">
        <v>60</v>
      </c>
      <c r="P1144">
        <v>30</v>
      </c>
      <c r="Q1144">
        <v>1</v>
      </c>
      <c r="R1144" t="b">
        <v>1</v>
      </c>
      <c r="S1144">
        <v>0.122078478487747</v>
      </c>
      <c r="Y1144" t="str">
        <f t="shared" si="102"/>
        <v>Pass</v>
      </c>
      <c r="Z1144">
        <f t="shared" si="103"/>
        <v>168866.34375</v>
      </c>
      <c r="AA1144">
        <v>17400</v>
      </c>
      <c r="AB1144">
        <v>20</v>
      </c>
      <c r="AC1144">
        <v>14</v>
      </c>
      <c r="AD1144">
        <v>0.2</v>
      </c>
      <c r="AE1144">
        <v>168866.35073998501</v>
      </c>
    </row>
    <row r="1145" spans="1:31" x14ac:dyDescent="0.3">
      <c r="A1145" t="str">
        <f>IF(ISBLANK(B1145),"",IF(ROUND(B1145,0)=ROUND(G1145,0),"Pass","Fail"))</f>
        <v>Pass</v>
      </c>
      <c r="B1145">
        <f t="shared" si="99"/>
        <v>12.059726715087891</v>
      </c>
      <c r="C1145">
        <v>10</v>
      </c>
      <c r="D1145">
        <v>30</v>
      </c>
      <c r="E1145">
        <v>80</v>
      </c>
      <c r="F1145">
        <v>40</v>
      </c>
      <c r="G1145">
        <v>12.059726764327101</v>
      </c>
      <c r="M1145" t="str">
        <f t="shared" si="100"/>
        <v>Pass</v>
      </c>
      <c r="N1145">
        <f t="shared" si="101"/>
        <v>0.36703458428382874</v>
      </c>
      <c r="O1145">
        <v>60</v>
      </c>
      <c r="P1145">
        <v>30</v>
      </c>
      <c r="Q1145">
        <v>1</v>
      </c>
      <c r="R1145" t="b">
        <v>0</v>
      </c>
      <c r="S1145">
        <v>0.36703459478609202</v>
      </c>
      <c r="Y1145" t="str">
        <f t="shared" si="102"/>
        <v>Pass</v>
      </c>
      <c r="Z1145">
        <f t="shared" si="103"/>
        <v>172470.953125</v>
      </c>
      <c r="AA1145">
        <v>17400</v>
      </c>
      <c r="AB1145">
        <v>20</v>
      </c>
      <c r="AC1145">
        <v>16</v>
      </c>
      <c r="AD1145">
        <v>0.2</v>
      </c>
      <c r="AE1145">
        <v>172470.955724689</v>
      </c>
    </row>
    <row r="1146" spans="1:31" x14ac:dyDescent="0.3">
      <c r="A1146" t="str">
        <f>IF(ISBLANK(B1146),"",IF(ROUND(B1146,0)=ROUND(G1146,0),"Pass","Fail"))</f>
        <v>Pass</v>
      </c>
      <c r="B1146">
        <f t="shared" si="99"/>
        <v>10.982207298278809</v>
      </c>
      <c r="C1146">
        <v>10</v>
      </c>
      <c r="D1146">
        <v>30</v>
      </c>
      <c r="E1146">
        <v>80</v>
      </c>
      <c r="F1146">
        <v>48</v>
      </c>
      <c r="G1146">
        <v>10.9822079008197</v>
      </c>
      <c r="M1146" t="str">
        <f t="shared" si="100"/>
        <v>Pass</v>
      </c>
      <c r="N1146">
        <f t="shared" si="101"/>
        <v>0.13384796679019928</v>
      </c>
      <c r="O1146">
        <v>60</v>
      </c>
      <c r="P1146">
        <v>30</v>
      </c>
      <c r="Q1146">
        <v>1.5</v>
      </c>
      <c r="R1146" t="b">
        <v>1</v>
      </c>
      <c r="S1146">
        <v>0.133847980726475</v>
      </c>
      <c r="Y1146" t="str">
        <f t="shared" si="102"/>
        <v>Pass</v>
      </c>
      <c r="Z1146">
        <f t="shared" si="103"/>
        <v>174887.203125</v>
      </c>
      <c r="AA1146">
        <v>17400</v>
      </c>
      <c r="AB1146">
        <v>20</v>
      </c>
      <c r="AC1146">
        <v>18</v>
      </c>
      <c r="AD1146">
        <v>0.2</v>
      </c>
      <c r="AE1146">
        <v>174887.19470397601</v>
      </c>
    </row>
    <row r="1147" spans="1:31" x14ac:dyDescent="0.3">
      <c r="A1147" t="str">
        <f>IF(ISBLANK(B1147),"",IF(ROUND(B1147,0)=ROUND(G1147,0),"Pass","Fail"))</f>
        <v>Pass</v>
      </c>
      <c r="B1147">
        <f t="shared" si="99"/>
        <v>77.017997741699219</v>
      </c>
      <c r="C1147">
        <v>10</v>
      </c>
      <c r="D1147">
        <v>30</v>
      </c>
      <c r="E1147">
        <v>90</v>
      </c>
      <c r="F1147">
        <v>0</v>
      </c>
      <c r="G1147">
        <v>77.018000000000001</v>
      </c>
      <c r="M1147" t="str">
        <f t="shared" si="100"/>
        <v>Pass</v>
      </c>
      <c r="N1147">
        <f t="shared" si="101"/>
        <v>0.40242016315460205</v>
      </c>
      <c r="O1147">
        <v>60</v>
      </c>
      <c r="P1147">
        <v>30</v>
      </c>
      <c r="Q1147">
        <v>1.5</v>
      </c>
      <c r="R1147" t="b">
        <v>0</v>
      </c>
      <c r="S1147">
        <v>0.40242014790354202</v>
      </c>
      <c r="Y1147" t="str">
        <f t="shared" si="102"/>
        <v>Pass</v>
      </c>
      <c r="Z1147">
        <f t="shared" si="103"/>
        <v>176506.859375</v>
      </c>
      <c r="AA1147">
        <v>17400</v>
      </c>
      <c r="AB1147">
        <v>20</v>
      </c>
      <c r="AC1147">
        <v>20</v>
      </c>
      <c r="AD1147">
        <v>0.2</v>
      </c>
      <c r="AE1147">
        <v>176506.84812780499</v>
      </c>
    </row>
    <row r="1148" spans="1:31" x14ac:dyDescent="0.3">
      <c r="A1148" t="str">
        <f>IF(ISBLANK(B1148),"",IF(ROUND(B1148,0)=ROUND(G1148,0),"Pass","Fail"))</f>
        <v>Pass</v>
      </c>
      <c r="B1148">
        <f t="shared" si="99"/>
        <v>43.681228637695313</v>
      </c>
      <c r="C1148">
        <v>10</v>
      </c>
      <c r="D1148">
        <v>30</v>
      </c>
      <c r="E1148">
        <v>90</v>
      </c>
      <c r="F1148">
        <v>8</v>
      </c>
      <c r="G1148">
        <v>43.681228080723002</v>
      </c>
      <c r="M1148" t="str">
        <f t="shared" si="100"/>
        <v>Pass</v>
      </c>
      <c r="N1148">
        <f t="shared" si="101"/>
        <v>0.14288048446178436</v>
      </c>
      <c r="O1148">
        <v>60</v>
      </c>
      <c r="P1148">
        <v>30</v>
      </c>
      <c r="Q1148">
        <v>2</v>
      </c>
      <c r="R1148" t="b">
        <v>1</v>
      </c>
      <c r="S1148">
        <v>0.14288048537534401</v>
      </c>
      <c r="Y1148" t="str">
        <f t="shared" si="102"/>
        <v>Pass</v>
      </c>
      <c r="Z1148">
        <f t="shared" si="103"/>
        <v>177592.546875</v>
      </c>
      <c r="AA1148">
        <v>17400</v>
      </c>
      <c r="AB1148">
        <v>20</v>
      </c>
      <c r="AC1148">
        <v>22</v>
      </c>
      <c r="AD1148">
        <v>0.2</v>
      </c>
      <c r="AE1148">
        <v>177592.534285428</v>
      </c>
    </row>
    <row r="1149" spans="1:31" x14ac:dyDescent="0.3">
      <c r="A1149" t="str">
        <f>IF(ISBLANK(B1149),"",IF(ROUND(B1149,0)=ROUND(G1149,0),"Pass","Fail"))</f>
        <v>Pass</v>
      </c>
      <c r="B1149">
        <f t="shared" si="99"/>
        <v>26.899995803833008</v>
      </c>
      <c r="C1149">
        <v>10</v>
      </c>
      <c r="D1149">
        <v>30</v>
      </c>
      <c r="E1149">
        <v>90</v>
      </c>
      <c r="F1149">
        <v>16</v>
      </c>
      <c r="G1149">
        <v>26.899997247101702</v>
      </c>
      <c r="M1149" t="str">
        <f t="shared" si="100"/>
        <v>Pass</v>
      </c>
      <c r="N1149">
        <f t="shared" si="101"/>
        <v>0.42957678437232971</v>
      </c>
      <c r="O1149">
        <v>60</v>
      </c>
      <c r="P1149">
        <v>30</v>
      </c>
      <c r="Q1149">
        <v>2</v>
      </c>
      <c r="R1149" t="b">
        <v>0</v>
      </c>
      <c r="S1149">
        <v>0.42957679111181901</v>
      </c>
      <c r="Y1149" t="str">
        <f t="shared" si="102"/>
        <v>Pass</v>
      </c>
      <c r="Z1149">
        <f t="shared" si="103"/>
        <v>178320.296875</v>
      </c>
      <c r="AA1149">
        <v>17400</v>
      </c>
      <c r="AB1149">
        <v>20</v>
      </c>
      <c r="AC1149">
        <v>24</v>
      </c>
      <c r="AD1149">
        <v>0.2</v>
      </c>
      <c r="AE1149">
        <v>178320.29148058599</v>
      </c>
    </row>
    <row r="1150" spans="1:31" x14ac:dyDescent="0.3">
      <c r="A1150" t="str">
        <f>IF(ISBLANK(B1150),"",IF(ROUND(B1150,0)=ROUND(G1150,0),"Pass","Fail"))</f>
        <v>Pass</v>
      </c>
      <c r="B1150">
        <f t="shared" si="99"/>
        <v>18.45257568359375</v>
      </c>
      <c r="C1150">
        <v>10</v>
      </c>
      <c r="D1150">
        <v>30</v>
      </c>
      <c r="E1150">
        <v>90</v>
      </c>
      <c r="F1150">
        <v>24</v>
      </c>
      <c r="G1150">
        <v>18.452577413736201</v>
      </c>
      <c r="M1150" t="str">
        <f t="shared" si="100"/>
        <v>Pass</v>
      </c>
      <c r="N1150">
        <f t="shared" si="101"/>
        <v>0.15030431747436523</v>
      </c>
      <c r="O1150">
        <v>60</v>
      </c>
      <c r="P1150">
        <v>30</v>
      </c>
      <c r="Q1150">
        <v>2.5</v>
      </c>
      <c r="R1150" t="b">
        <v>1</v>
      </c>
      <c r="S1150">
        <v>0.150304329242781</v>
      </c>
      <c r="Y1150" t="str">
        <f t="shared" si="102"/>
        <v>Pass</v>
      </c>
      <c r="Z1150">
        <f t="shared" si="103"/>
        <v>0</v>
      </c>
      <c r="AA1150">
        <v>17600</v>
      </c>
      <c r="AB1150">
        <v>20</v>
      </c>
      <c r="AC1150">
        <v>0</v>
      </c>
      <c r="AD1150">
        <v>0.2</v>
      </c>
      <c r="AE1150">
        <v>0</v>
      </c>
    </row>
    <row r="1151" spans="1:31" x14ac:dyDescent="0.3">
      <c r="A1151" t="str">
        <f>IF(ISBLANK(B1151),"",IF(ROUND(B1151,0)=ROUND(G1151,0),"Pass","Fail"))</f>
        <v>Pass</v>
      </c>
      <c r="B1151">
        <f t="shared" si="99"/>
        <v>14.200272560119629</v>
      </c>
      <c r="C1151">
        <v>10</v>
      </c>
      <c r="D1151">
        <v>30</v>
      </c>
      <c r="E1151">
        <v>90</v>
      </c>
      <c r="F1151">
        <v>32</v>
      </c>
      <c r="G1151">
        <v>14.2002730059946</v>
      </c>
      <c r="M1151" t="str">
        <f t="shared" si="100"/>
        <v>Pass</v>
      </c>
      <c r="N1151">
        <f t="shared" si="101"/>
        <v>0.45189690589904785</v>
      </c>
      <c r="O1151">
        <v>60</v>
      </c>
      <c r="P1151">
        <v>30</v>
      </c>
      <c r="Q1151">
        <v>2.5</v>
      </c>
      <c r="R1151" t="b">
        <v>0</v>
      </c>
      <c r="S1151">
        <v>0.45189692123953301</v>
      </c>
      <c r="Y1151" t="str">
        <f t="shared" si="102"/>
        <v>Pass</v>
      </c>
      <c r="Z1151">
        <f t="shared" si="103"/>
        <v>59957.79296875</v>
      </c>
      <c r="AA1151">
        <v>17600</v>
      </c>
      <c r="AB1151">
        <v>20</v>
      </c>
      <c r="AC1151">
        <v>2</v>
      </c>
      <c r="AD1151">
        <v>0.2</v>
      </c>
      <c r="AE1151">
        <v>59957.794294318403</v>
      </c>
    </row>
    <row r="1152" spans="1:31" x14ac:dyDescent="0.3">
      <c r="A1152" t="str">
        <f>IF(ISBLANK(B1152),"",IF(ROUND(B1152,0)=ROUND(G1152,0),"Pass","Fail"))</f>
        <v>Pass</v>
      </c>
      <c r="B1152">
        <f t="shared" si="99"/>
        <v>12.059726715087891</v>
      </c>
      <c r="C1152">
        <v>10</v>
      </c>
      <c r="D1152">
        <v>30</v>
      </c>
      <c r="E1152">
        <v>90</v>
      </c>
      <c r="F1152">
        <v>40</v>
      </c>
      <c r="G1152">
        <v>12.059726764327101</v>
      </c>
      <c r="M1152" t="str">
        <f t="shared" si="100"/>
        <v>Pass</v>
      </c>
      <c r="N1152">
        <f t="shared" si="101"/>
        <v>0.15665547549724579</v>
      </c>
      <c r="O1152">
        <v>60</v>
      </c>
      <c r="P1152">
        <v>30</v>
      </c>
      <c r="Q1152">
        <v>3</v>
      </c>
      <c r="R1152" t="b">
        <v>1</v>
      </c>
      <c r="S1152">
        <v>0.15665549480638399</v>
      </c>
      <c r="Y1152" t="str">
        <f t="shared" si="102"/>
        <v>Pass</v>
      </c>
      <c r="Z1152">
        <f t="shared" si="103"/>
        <v>100148.7109375</v>
      </c>
      <c r="AA1152">
        <v>17600</v>
      </c>
      <c r="AB1152">
        <v>20</v>
      </c>
      <c r="AC1152">
        <v>4</v>
      </c>
      <c r="AD1152">
        <v>0.2</v>
      </c>
      <c r="AE1152">
        <v>100148.70572588099</v>
      </c>
    </row>
    <row r="1153" spans="1:31" x14ac:dyDescent="0.3">
      <c r="A1153" t="str">
        <f>IF(ISBLANK(B1153),"",IF(ROUND(B1153,0)=ROUND(G1153,0),"Pass","Fail"))</f>
        <v>Pass</v>
      </c>
      <c r="B1153">
        <f t="shared" si="99"/>
        <v>10.982207298278809</v>
      </c>
      <c r="C1153">
        <v>10</v>
      </c>
      <c r="D1153">
        <v>30</v>
      </c>
      <c r="E1153">
        <v>90</v>
      </c>
      <c r="F1153">
        <v>48</v>
      </c>
      <c r="G1153">
        <v>10.9822079008197</v>
      </c>
      <c r="M1153" t="str">
        <f t="shared" si="100"/>
        <v>Pass</v>
      </c>
      <c r="N1153">
        <f t="shared" si="101"/>
        <v>0.47099199891090393</v>
      </c>
      <c r="O1153">
        <v>60</v>
      </c>
      <c r="P1153">
        <v>30</v>
      </c>
      <c r="Q1153">
        <v>3</v>
      </c>
      <c r="R1153" t="b">
        <v>0</v>
      </c>
      <c r="S1153">
        <v>0.47099199440830902</v>
      </c>
      <c r="Y1153" t="str">
        <f t="shared" si="102"/>
        <v>Pass</v>
      </c>
      <c r="Z1153">
        <f t="shared" si="103"/>
        <v>127089.484375</v>
      </c>
      <c r="AA1153">
        <v>17600</v>
      </c>
      <c r="AB1153">
        <v>20</v>
      </c>
      <c r="AC1153">
        <v>6</v>
      </c>
      <c r="AD1153">
        <v>0.2</v>
      </c>
      <c r="AE1153">
        <v>127089.47932689999</v>
      </c>
    </row>
    <row r="1154" spans="1:31" x14ac:dyDescent="0.3">
      <c r="A1154" t="str">
        <f>IF(ISBLANK(B1154),"",IF(ROUND(B1154,0)=ROUND(G1154,0),"Pass","Fail"))</f>
        <v>Pass</v>
      </c>
      <c r="B1154">
        <f t="shared" si="99"/>
        <v>77.017997741699219</v>
      </c>
      <c r="C1154">
        <v>10</v>
      </c>
      <c r="D1154">
        <v>30</v>
      </c>
      <c r="E1154">
        <v>100</v>
      </c>
      <c r="F1154">
        <v>0</v>
      </c>
      <c r="G1154">
        <v>77.018000000000001</v>
      </c>
      <c r="M1154" t="str">
        <f t="shared" si="100"/>
        <v>Pass</v>
      </c>
      <c r="N1154">
        <f t="shared" si="101"/>
        <v>0.16223424673080444</v>
      </c>
      <c r="O1154">
        <v>60</v>
      </c>
      <c r="P1154">
        <v>30</v>
      </c>
      <c r="Q1154">
        <v>3.5</v>
      </c>
      <c r="R1154" t="b">
        <v>1</v>
      </c>
      <c r="S1154">
        <v>0.16223425318212301</v>
      </c>
      <c r="Y1154" t="str">
        <f t="shared" si="102"/>
        <v>Pass</v>
      </c>
      <c r="Z1154">
        <f t="shared" si="103"/>
        <v>145148.421875</v>
      </c>
      <c r="AA1154">
        <v>17600</v>
      </c>
      <c r="AB1154">
        <v>20</v>
      </c>
      <c r="AC1154">
        <v>8</v>
      </c>
      <c r="AD1154">
        <v>0.2</v>
      </c>
      <c r="AE1154">
        <v>145148.41992737199</v>
      </c>
    </row>
    <row r="1155" spans="1:31" x14ac:dyDescent="0.3">
      <c r="A1155" t="str">
        <f>IF(ISBLANK(B1155),"",IF(ROUND(B1155,0)=ROUND(G1155,0),"Pass","Fail"))</f>
        <v>Pass</v>
      </c>
      <c r="B1155">
        <f t="shared" si="99"/>
        <v>43.681228637695313</v>
      </c>
      <c r="C1155">
        <v>10</v>
      </c>
      <c r="D1155">
        <v>30</v>
      </c>
      <c r="E1155">
        <v>100</v>
      </c>
      <c r="F1155">
        <v>8</v>
      </c>
      <c r="G1155">
        <v>43.681228080723002</v>
      </c>
      <c r="M1155" t="str">
        <f t="shared" si="100"/>
        <v>Pass</v>
      </c>
      <c r="N1155">
        <f t="shared" si="101"/>
        <v>0.48776480555534363</v>
      </c>
      <c r="O1155">
        <v>60</v>
      </c>
      <c r="P1155">
        <v>30</v>
      </c>
      <c r="Q1155">
        <v>3.5</v>
      </c>
      <c r="R1155" t="b">
        <v>0</v>
      </c>
      <c r="S1155">
        <v>0.487764789623435</v>
      </c>
      <c r="Y1155" t="str">
        <f t="shared" si="102"/>
        <v>Pass</v>
      </c>
      <c r="Z1155">
        <f t="shared" si="103"/>
        <v>157253.703125</v>
      </c>
      <c r="AA1155">
        <v>17600</v>
      </c>
      <c r="AB1155">
        <v>20</v>
      </c>
      <c r="AC1155">
        <v>10</v>
      </c>
      <c r="AD1155">
        <v>0.2</v>
      </c>
      <c r="AE1155">
        <v>157253.68982203401</v>
      </c>
    </row>
    <row r="1156" spans="1:31" x14ac:dyDescent="0.3">
      <c r="A1156" t="str">
        <f>IF(ISBLANK(B1156),"",IF(ROUND(B1156,0)=ROUND(G1156,0),"Pass","Fail"))</f>
        <v>Pass</v>
      </c>
      <c r="B1156">
        <f t="shared" si="99"/>
        <v>26.899995803833008</v>
      </c>
      <c r="C1156">
        <v>10</v>
      </c>
      <c r="D1156">
        <v>30</v>
      </c>
      <c r="E1156">
        <v>100</v>
      </c>
      <c r="F1156">
        <v>16</v>
      </c>
      <c r="G1156">
        <v>26.899997247101702</v>
      </c>
      <c r="M1156" t="str">
        <f t="shared" si="100"/>
        <v>Pass</v>
      </c>
      <c r="N1156">
        <f t="shared" si="101"/>
        <v>0.1672271192073822</v>
      </c>
      <c r="O1156">
        <v>60</v>
      </c>
      <c r="P1156">
        <v>30</v>
      </c>
      <c r="Q1156">
        <v>4</v>
      </c>
      <c r="R1156" t="b">
        <v>1</v>
      </c>
      <c r="S1156">
        <v>0.167227125976533</v>
      </c>
      <c r="Y1156" t="str">
        <f t="shared" si="102"/>
        <v>Pass</v>
      </c>
      <c r="Z1156">
        <f t="shared" si="103"/>
        <v>165368.09375</v>
      </c>
      <c r="AA1156">
        <v>17600</v>
      </c>
      <c r="AB1156">
        <v>20</v>
      </c>
      <c r="AC1156">
        <v>12</v>
      </c>
      <c r="AD1156">
        <v>0.2</v>
      </c>
      <c r="AE1156">
        <v>165368.09489509801</v>
      </c>
    </row>
    <row r="1157" spans="1:31" x14ac:dyDescent="0.3">
      <c r="A1157" t="str">
        <f>IF(ISBLANK(B1157),"",IF(ROUND(B1157,0)=ROUND(G1157,0),"Pass","Fail"))</f>
        <v>Pass</v>
      </c>
      <c r="B1157">
        <f t="shared" si="99"/>
        <v>18.45257568359375</v>
      </c>
      <c r="C1157">
        <v>10</v>
      </c>
      <c r="D1157">
        <v>30</v>
      </c>
      <c r="E1157">
        <v>100</v>
      </c>
      <c r="F1157">
        <v>24</v>
      </c>
      <c r="G1157">
        <v>18.452577413736201</v>
      </c>
      <c r="M1157" t="str">
        <f t="shared" si="100"/>
        <v>Pass</v>
      </c>
      <c r="N1157">
        <f t="shared" si="101"/>
        <v>0.50277608633041382</v>
      </c>
      <c r="O1157">
        <v>60</v>
      </c>
      <c r="P1157">
        <v>30</v>
      </c>
      <c r="Q1157">
        <v>4</v>
      </c>
      <c r="R1157" t="b">
        <v>0</v>
      </c>
      <c r="S1157">
        <v>0.50277609272628698</v>
      </c>
      <c r="Y1157" t="str">
        <f t="shared" si="102"/>
        <v>Pass</v>
      </c>
      <c r="Z1157">
        <f t="shared" si="103"/>
        <v>170807.328125</v>
      </c>
      <c r="AA1157">
        <v>17600</v>
      </c>
      <c r="AB1157">
        <v>20</v>
      </c>
      <c r="AC1157">
        <v>14</v>
      </c>
      <c r="AD1157">
        <v>0.2</v>
      </c>
      <c r="AE1157">
        <v>170807.34327722699</v>
      </c>
    </row>
    <row r="1158" spans="1:31" x14ac:dyDescent="0.3">
      <c r="A1158" t="str">
        <f>IF(ISBLANK(B1158),"",IF(ROUND(B1158,0)=ROUND(G1158,0),"Pass","Fail"))</f>
        <v>Pass</v>
      </c>
      <c r="B1158">
        <f t="shared" si="99"/>
        <v>14.200272560119629</v>
      </c>
      <c r="C1158">
        <v>10</v>
      </c>
      <c r="D1158">
        <v>30</v>
      </c>
      <c r="E1158">
        <v>100</v>
      </c>
      <c r="F1158">
        <v>32</v>
      </c>
      <c r="G1158">
        <v>14.2002730059946</v>
      </c>
      <c r="M1158" t="str">
        <f t="shared" si="100"/>
        <v>Pass</v>
      </c>
      <c r="N1158">
        <f t="shared" si="101"/>
        <v>0</v>
      </c>
      <c r="O1158">
        <v>60</v>
      </c>
      <c r="P1158">
        <v>40</v>
      </c>
      <c r="Q1158">
        <v>0</v>
      </c>
      <c r="R1158" t="b">
        <v>1</v>
      </c>
      <c r="S1158">
        <v>0</v>
      </c>
      <c r="Y1158" t="str">
        <f t="shared" si="102"/>
        <v>Pass</v>
      </c>
      <c r="Z1158">
        <f t="shared" si="103"/>
        <v>174453.375</v>
      </c>
      <c r="AA1158">
        <v>17600</v>
      </c>
      <c r="AB1158">
        <v>20</v>
      </c>
      <c r="AC1158">
        <v>16</v>
      </c>
      <c r="AD1158">
        <v>0.2</v>
      </c>
      <c r="AE1158">
        <v>174453.38050313399</v>
      </c>
    </row>
    <row r="1159" spans="1:31" x14ac:dyDescent="0.3">
      <c r="A1159" t="str">
        <f>IF(ISBLANK(B1159),"",IF(ROUND(B1159,0)=ROUND(G1159,0),"Pass","Fail"))</f>
        <v>Pass</v>
      </c>
      <c r="B1159">
        <f t="shared" ref="B1159:B1222" si="104">FMC_heath(C1159,D1159,E1159,F1159)</f>
        <v>12.059726715087891</v>
      </c>
      <c r="C1159">
        <v>10</v>
      </c>
      <c r="D1159">
        <v>30</v>
      </c>
      <c r="E1159">
        <v>100</v>
      </c>
      <c r="F1159">
        <v>40</v>
      </c>
      <c r="G1159">
        <v>12.059726764327101</v>
      </c>
      <c r="M1159" t="str">
        <f t="shared" ref="M1159:M1222" si="105">IF(ISBLANK(N1159),"",IF(ROUND(N1159,0)=ROUND(S1159,0),"Pass","Fail"))</f>
        <v>Pass</v>
      </c>
      <c r="N1159">
        <f t="shared" ref="N1159:N1222" si="106">ROS_heath(O1159,Q1159,P1159,R1159)</f>
        <v>0</v>
      </c>
      <c r="O1159">
        <v>60</v>
      </c>
      <c r="P1159">
        <v>40</v>
      </c>
      <c r="Q1159">
        <v>0</v>
      </c>
      <c r="R1159" t="b">
        <v>0</v>
      </c>
      <c r="S1159">
        <v>0</v>
      </c>
      <c r="Y1159" t="str">
        <f t="shared" ref="Y1159:Y1222" si="107">IF(ISBLANK(Z1159),"",IF(ROUND(Z1159,0)=ROUND(AE1159,0),"Pass","Fail"))</f>
        <v>Pass</v>
      </c>
      <c r="Z1159">
        <f t="shared" ref="Z1159:Z1222" si="108">intensity_heath(AA1159,AB1159,AC1159,AD1159)</f>
        <v>176897.390625</v>
      </c>
      <c r="AA1159">
        <v>17600</v>
      </c>
      <c r="AB1159">
        <v>20</v>
      </c>
      <c r="AC1159">
        <v>18</v>
      </c>
      <c r="AD1159">
        <v>0.2</v>
      </c>
      <c r="AE1159">
        <v>176897.392344252</v>
      </c>
    </row>
    <row r="1160" spans="1:31" x14ac:dyDescent="0.3">
      <c r="A1160" t="str">
        <f>IF(ISBLANK(B1160),"",IF(ROUND(B1160,0)=ROUND(G1160,0),"Pass","Fail"))</f>
        <v>Pass</v>
      </c>
      <c r="B1160">
        <f t="shared" si="104"/>
        <v>10.982207298278809</v>
      </c>
      <c r="C1160">
        <v>10</v>
      </c>
      <c r="D1160">
        <v>30</v>
      </c>
      <c r="E1160">
        <v>100</v>
      </c>
      <c r="F1160">
        <v>48</v>
      </c>
      <c r="G1160">
        <v>10.9822079008197</v>
      </c>
      <c r="M1160" t="str">
        <f t="shared" si="105"/>
        <v>Pass</v>
      </c>
      <c r="N1160">
        <f t="shared" si="106"/>
        <v>1.9118135096505284E-3</v>
      </c>
      <c r="O1160">
        <v>60</v>
      </c>
      <c r="P1160">
        <v>40</v>
      </c>
      <c r="Q1160">
        <v>0.5</v>
      </c>
      <c r="R1160" t="b">
        <v>1</v>
      </c>
      <c r="S1160">
        <v>1.9118136134673601E-3</v>
      </c>
      <c r="Y1160" t="str">
        <f t="shared" si="107"/>
        <v>Pass</v>
      </c>
      <c r="Z1160">
        <f t="shared" si="108"/>
        <v>178535.671875</v>
      </c>
      <c r="AA1160">
        <v>17600</v>
      </c>
      <c r="AB1160">
        <v>20</v>
      </c>
      <c r="AC1160">
        <v>20</v>
      </c>
      <c r="AD1160">
        <v>0.2</v>
      </c>
      <c r="AE1160">
        <v>178535.66247410199</v>
      </c>
    </row>
    <row r="1161" spans="1:31" x14ac:dyDescent="0.3">
      <c r="A1161" t="str">
        <f>IF(ISBLANK(B1161),"",IF(ROUND(B1161,0)=ROUND(G1161,0),"Pass","Fail"))</f>
        <v>Pass</v>
      </c>
      <c r="B1161">
        <f t="shared" si="104"/>
        <v>11.230000495910645</v>
      </c>
      <c r="C1161">
        <v>10</v>
      </c>
      <c r="D1161">
        <v>40</v>
      </c>
      <c r="E1161">
        <v>0</v>
      </c>
      <c r="F1161">
        <v>0</v>
      </c>
      <c r="G1161">
        <v>11.23</v>
      </c>
      <c r="M1161" t="str">
        <f t="shared" si="105"/>
        <v>Pass</v>
      </c>
      <c r="N1161">
        <f t="shared" si="106"/>
        <v>5.7479562237858772E-3</v>
      </c>
      <c r="O1161">
        <v>60</v>
      </c>
      <c r="P1161">
        <v>40</v>
      </c>
      <c r="Q1161">
        <v>0.5</v>
      </c>
      <c r="R1161" t="b">
        <v>0</v>
      </c>
      <c r="S1161">
        <v>5.7479560985514502E-3</v>
      </c>
      <c r="Y1161" t="str">
        <f t="shared" si="107"/>
        <v>Pass</v>
      </c>
      <c r="Z1161">
        <f t="shared" si="108"/>
        <v>179633.84375</v>
      </c>
      <c r="AA1161">
        <v>17600</v>
      </c>
      <c r="AB1161">
        <v>20</v>
      </c>
      <c r="AC1161">
        <v>22</v>
      </c>
      <c r="AD1161">
        <v>0.2</v>
      </c>
      <c r="AE1161">
        <v>179633.82778296099</v>
      </c>
    </row>
    <row r="1162" spans="1:31" x14ac:dyDescent="0.3">
      <c r="A1162" t="str">
        <f>IF(ISBLANK(B1162),"",IF(ROUND(B1162,0)=ROUND(G1162,0),"Pass","Fail"))</f>
        <v>Pass</v>
      </c>
      <c r="B1162">
        <f t="shared" si="104"/>
        <v>11.230000495910645</v>
      </c>
      <c r="C1162">
        <v>10</v>
      </c>
      <c r="D1162">
        <v>40</v>
      </c>
      <c r="E1162">
        <v>0</v>
      </c>
      <c r="F1162">
        <v>8</v>
      </c>
      <c r="G1162">
        <v>11.23</v>
      </c>
      <c r="M1162" t="str">
        <f t="shared" si="105"/>
        <v>Pass</v>
      </c>
      <c r="N1162">
        <f t="shared" si="106"/>
        <v>2.237583976238966E-3</v>
      </c>
      <c r="O1162">
        <v>60</v>
      </c>
      <c r="P1162">
        <v>40</v>
      </c>
      <c r="Q1162">
        <v>1</v>
      </c>
      <c r="R1162" t="b">
        <v>1</v>
      </c>
      <c r="S1162">
        <v>2.2375840559548201E-3</v>
      </c>
      <c r="Y1162" t="str">
        <f t="shared" si="107"/>
        <v>Pass</v>
      </c>
      <c r="Z1162">
        <f t="shared" si="108"/>
        <v>180369.953125</v>
      </c>
      <c r="AA1162">
        <v>17600</v>
      </c>
      <c r="AB1162">
        <v>20</v>
      </c>
      <c r="AC1162">
        <v>24</v>
      </c>
      <c r="AD1162">
        <v>0.2</v>
      </c>
      <c r="AE1162">
        <v>180369.950003351</v>
      </c>
    </row>
    <row r="1163" spans="1:31" x14ac:dyDescent="0.3">
      <c r="A1163" t="str">
        <f>IF(ISBLANK(B1163),"",IF(ROUND(B1163,0)=ROUND(G1163,0),"Pass","Fail"))</f>
        <v>Pass</v>
      </c>
      <c r="B1163">
        <f t="shared" si="104"/>
        <v>11.230000495910645</v>
      </c>
      <c r="C1163">
        <v>10</v>
      </c>
      <c r="D1163">
        <v>40</v>
      </c>
      <c r="E1163">
        <v>0</v>
      </c>
      <c r="F1163">
        <v>16</v>
      </c>
      <c r="G1163">
        <v>11.23</v>
      </c>
      <c r="M1163" t="str">
        <f t="shared" si="105"/>
        <v>Pass</v>
      </c>
      <c r="N1163">
        <f t="shared" si="106"/>
        <v>6.7274002358317375E-3</v>
      </c>
      <c r="O1163">
        <v>60</v>
      </c>
      <c r="P1163">
        <v>40</v>
      </c>
      <c r="Q1163">
        <v>1</v>
      </c>
      <c r="R1163" t="b">
        <v>0</v>
      </c>
      <c r="S1163">
        <v>6.7274000090001996E-3</v>
      </c>
      <c r="Y1163" t="str">
        <f t="shared" si="107"/>
        <v>Pass</v>
      </c>
      <c r="Z1163">
        <f t="shared" si="108"/>
        <v>0</v>
      </c>
      <c r="AA1163">
        <v>17800</v>
      </c>
      <c r="AB1163">
        <v>20</v>
      </c>
      <c r="AC1163">
        <v>0</v>
      </c>
      <c r="AD1163">
        <v>0.2</v>
      </c>
      <c r="AE1163">
        <v>0</v>
      </c>
    </row>
    <row r="1164" spans="1:31" x14ac:dyDescent="0.3">
      <c r="A1164" t="str">
        <f>IF(ISBLANK(B1164),"",IF(ROUND(B1164,0)=ROUND(G1164,0),"Pass","Fail"))</f>
        <v>Pass</v>
      </c>
      <c r="B1164">
        <f t="shared" si="104"/>
        <v>11.230000495910645</v>
      </c>
      <c r="C1164">
        <v>10</v>
      </c>
      <c r="D1164">
        <v>40</v>
      </c>
      <c r="E1164">
        <v>0</v>
      </c>
      <c r="F1164">
        <v>24</v>
      </c>
      <c r="G1164">
        <v>11.23</v>
      </c>
      <c r="M1164" t="str">
        <f t="shared" si="105"/>
        <v>Pass</v>
      </c>
      <c r="N1164">
        <f t="shared" si="106"/>
        <v>2.4533078540116549E-3</v>
      </c>
      <c r="O1164">
        <v>60</v>
      </c>
      <c r="P1164">
        <v>40</v>
      </c>
      <c r="Q1164">
        <v>1.5</v>
      </c>
      <c r="R1164" t="b">
        <v>1</v>
      </c>
      <c r="S1164">
        <v>2.4533079974892501E-3</v>
      </c>
      <c r="Y1164" t="str">
        <f t="shared" si="107"/>
        <v>Pass</v>
      </c>
      <c r="Z1164">
        <f t="shared" si="108"/>
        <v>60639.12890625</v>
      </c>
      <c r="AA1164">
        <v>17800</v>
      </c>
      <c r="AB1164">
        <v>20</v>
      </c>
      <c r="AC1164">
        <v>2</v>
      </c>
      <c r="AD1164">
        <v>0.2</v>
      </c>
      <c r="AE1164">
        <v>60639.132865844702</v>
      </c>
    </row>
    <row r="1165" spans="1:31" x14ac:dyDescent="0.3">
      <c r="A1165" t="str">
        <f>IF(ISBLANK(B1165),"",IF(ROUND(B1165,0)=ROUND(G1165,0),"Pass","Fail"))</f>
        <v>Pass</v>
      </c>
      <c r="B1165">
        <f t="shared" si="104"/>
        <v>11.230000495910645</v>
      </c>
      <c r="C1165">
        <v>10</v>
      </c>
      <c r="D1165">
        <v>40</v>
      </c>
      <c r="E1165">
        <v>0</v>
      </c>
      <c r="F1165">
        <v>32</v>
      </c>
      <c r="G1165">
        <v>11.23</v>
      </c>
      <c r="M1165" t="str">
        <f t="shared" si="105"/>
        <v>Pass</v>
      </c>
      <c r="N1165">
        <f t="shared" si="106"/>
        <v>7.3759844526648521E-3</v>
      </c>
      <c r="O1165">
        <v>60</v>
      </c>
      <c r="P1165">
        <v>40</v>
      </c>
      <c r="Q1165">
        <v>1.5</v>
      </c>
      <c r="R1165" t="b">
        <v>0</v>
      </c>
      <c r="S1165">
        <v>7.3759840219038003E-3</v>
      </c>
      <c r="Y1165" t="str">
        <f t="shared" si="107"/>
        <v>Pass</v>
      </c>
      <c r="Z1165">
        <f t="shared" si="108"/>
        <v>101286.7578125</v>
      </c>
      <c r="AA1165">
        <v>17800</v>
      </c>
      <c r="AB1165">
        <v>20</v>
      </c>
      <c r="AC1165">
        <v>4</v>
      </c>
      <c r="AD1165">
        <v>0.2</v>
      </c>
      <c r="AE1165">
        <v>101286.759200039</v>
      </c>
    </row>
    <row r="1166" spans="1:31" x14ac:dyDescent="0.3">
      <c r="A1166" t="str">
        <f>IF(ISBLANK(B1166),"",IF(ROUND(B1166,0)=ROUND(G1166,0),"Pass","Fail"))</f>
        <v>Pass</v>
      </c>
      <c r="B1166">
        <f t="shared" si="104"/>
        <v>11.230000495910645</v>
      </c>
      <c r="C1166">
        <v>10</v>
      </c>
      <c r="D1166">
        <v>40</v>
      </c>
      <c r="E1166">
        <v>0</v>
      </c>
      <c r="F1166">
        <v>40</v>
      </c>
      <c r="G1166">
        <v>11.23</v>
      </c>
      <c r="M1166" t="str">
        <f t="shared" si="105"/>
        <v>Pass</v>
      </c>
      <c r="N1166">
        <f t="shared" si="106"/>
        <v>2.61886534281075E-3</v>
      </c>
      <c r="O1166">
        <v>60</v>
      </c>
      <c r="P1166">
        <v>40</v>
      </c>
      <c r="Q1166">
        <v>2</v>
      </c>
      <c r="R1166" t="b">
        <v>1</v>
      </c>
      <c r="S1166">
        <v>2.61886533927473E-3</v>
      </c>
      <c r="Y1166" t="str">
        <f t="shared" si="107"/>
        <v>Pass</v>
      </c>
      <c r="Z1166">
        <f t="shared" si="108"/>
        <v>128533.6796875</v>
      </c>
      <c r="AA1166">
        <v>17800</v>
      </c>
      <c r="AB1166">
        <v>20</v>
      </c>
      <c r="AC1166">
        <v>6</v>
      </c>
      <c r="AD1166">
        <v>0.2</v>
      </c>
      <c r="AE1166">
        <v>128533.677955615</v>
      </c>
    </row>
    <row r="1167" spans="1:31" x14ac:dyDescent="0.3">
      <c r="A1167" t="str">
        <f>IF(ISBLANK(B1167),"",IF(ROUND(B1167,0)=ROUND(G1167,0),"Pass","Fail"))</f>
        <v>Pass</v>
      </c>
      <c r="B1167">
        <f t="shared" si="104"/>
        <v>11.230000495910645</v>
      </c>
      <c r="C1167">
        <v>10</v>
      </c>
      <c r="D1167">
        <v>40</v>
      </c>
      <c r="E1167">
        <v>0</v>
      </c>
      <c r="F1167">
        <v>48</v>
      </c>
      <c r="G1167">
        <v>11.23</v>
      </c>
      <c r="M1167" t="str">
        <f t="shared" si="105"/>
        <v>Pass</v>
      </c>
      <c r="N1167">
        <f t="shared" si="106"/>
        <v>7.8737400472164154E-3</v>
      </c>
      <c r="O1167">
        <v>60</v>
      </c>
      <c r="P1167">
        <v>40</v>
      </c>
      <c r="Q1167">
        <v>2</v>
      </c>
      <c r="R1167" t="b">
        <v>0</v>
      </c>
      <c r="S1167">
        <v>7.8737398311899808E-3</v>
      </c>
      <c r="Y1167" t="str">
        <f t="shared" si="107"/>
        <v>Pass</v>
      </c>
      <c r="Z1167">
        <f t="shared" si="108"/>
        <v>146797.828125</v>
      </c>
      <c r="AA1167">
        <v>17800</v>
      </c>
      <c r="AB1167">
        <v>20</v>
      </c>
      <c r="AC1167">
        <v>8</v>
      </c>
      <c r="AD1167">
        <v>0.2</v>
      </c>
      <c r="AE1167">
        <v>146797.83379018301</v>
      </c>
    </row>
    <row r="1168" spans="1:31" x14ac:dyDescent="0.3">
      <c r="A1168" t="str">
        <f>IF(ISBLANK(B1168),"",IF(ROUND(B1168,0)=ROUND(G1168,0),"Pass","Fail"))</f>
        <v>Pass</v>
      </c>
      <c r="B1168">
        <f t="shared" si="104"/>
        <v>78.358001708984375</v>
      </c>
      <c r="C1168">
        <v>10</v>
      </c>
      <c r="D1168">
        <v>40</v>
      </c>
      <c r="E1168">
        <v>10</v>
      </c>
      <c r="F1168">
        <v>0</v>
      </c>
      <c r="G1168">
        <v>78.357999999998299</v>
      </c>
      <c r="M1168" t="str">
        <f t="shared" si="105"/>
        <v>Pass</v>
      </c>
      <c r="N1168">
        <f t="shared" si="106"/>
        <v>2.7549371588975191E-3</v>
      </c>
      <c r="O1168">
        <v>60</v>
      </c>
      <c r="P1168">
        <v>40</v>
      </c>
      <c r="Q1168">
        <v>2.5</v>
      </c>
      <c r="R1168" t="b">
        <v>1</v>
      </c>
      <c r="S1168">
        <v>2.7549374371370998E-3</v>
      </c>
      <c r="Y1168" t="str">
        <f t="shared" si="107"/>
        <v>Pass</v>
      </c>
      <c r="Z1168">
        <f t="shared" si="108"/>
        <v>159040.671875</v>
      </c>
      <c r="AA1168">
        <v>17800</v>
      </c>
      <c r="AB1168">
        <v>20</v>
      </c>
      <c r="AC1168">
        <v>10</v>
      </c>
      <c r="AD1168">
        <v>0.2</v>
      </c>
      <c r="AE1168">
        <v>159040.663570012</v>
      </c>
    </row>
    <row r="1169" spans="1:31" x14ac:dyDescent="0.3">
      <c r="A1169" t="str">
        <f>IF(ISBLANK(B1169),"",IF(ROUND(B1169,0)=ROUND(G1169,0),"Pass","Fail"))</f>
        <v>Pass</v>
      </c>
      <c r="B1169">
        <f t="shared" si="104"/>
        <v>45.021228790283203</v>
      </c>
      <c r="C1169">
        <v>10</v>
      </c>
      <c r="D1169">
        <v>40</v>
      </c>
      <c r="E1169">
        <v>10</v>
      </c>
      <c r="F1169">
        <v>8</v>
      </c>
      <c r="G1169">
        <v>45.021228080722203</v>
      </c>
      <c r="M1169" t="str">
        <f t="shared" si="105"/>
        <v>Pass</v>
      </c>
      <c r="N1169">
        <f t="shared" si="106"/>
        <v>8.2828467711806297E-3</v>
      </c>
      <c r="O1169">
        <v>60</v>
      </c>
      <c r="P1169">
        <v>40</v>
      </c>
      <c r="Q1169">
        <v>2.5</v>
      </c>
      <c r="R1169" t="b">
        <v>0</v>
      </c>
      <c r="S1169">
        <v>8.2828468901841902E-3</v>
      </c>
      <c r="Y1169" t="str">
        <f t="shared" si="107"/>
        <v>Pass</v>
      </c>
      <c r="Z1169">
        <f t="shared" si="108"/>
        <v>167247.28125</v>
      </c>
      <c r="AA1169">
        <v>17800</v>
      </c>
      <c r="AB1169">
        <v>20</v>
      </c>
      <c r="AC1169">
        <v>12</v>
      </c>
      <c r="AD1169">
        <v>0.2</v>
      </c>
      <c r="AE1169">
        <v>167247.277791634</v>
      </c>
    </row>
    <row r="1170" spans="1:31" x14ac:dyDescent="0.3">
      <c r="A1170" t="str">
        <f>IF(ISBLANK(B1170),"",IF(ROUND(B1170,0)=ROUND(G1170,0),"Pass","Fail"))</f>
        <v>Pass</v>
      </c>
      <c r="B1170">
        <f t="shared" si="104"/>
        <v>28.239997863769531</v>
      </c>
      <c r="C1170">
        <v>10</v>
      </c>
      <c r="D1170">
        <v>40</v>
      </c>
      <c r="E1170">
        <v>10</v>
      </c>
      <c r="F1170">
        <v>16</v>
      </c>
      <c r="G1170">
        <v>28.2399972471013</v>
      </c>
      <c r="M1170" t="str">
        <f t="shared" si="105"/>
        <v>Pass</v>
      </c>
      <c r="N1170">
        <f t="shared" si="106"/>
        <v>2.8713480569422245E-3</v>
      </c>
      <c r="O1170">
        <v>60</v>
      </c>
      <c r="P1170">
        <v>40</v>
      </c>
      <c r="Q1170">
        <v>3</v>
      </c>
      <c r="R1170" t="b">
        <v>1</v>
      </c>
      <c r="S1170">
        <v>2.8713483473801699E-3</v>
      </c>
      <c r="Y1170" t="str">
        <f t="shared" si="107"/>
        <v>Pass</v>
      </c>
      <c r="Z1170">
        <f t="shared" si="108"/>
        <v>172748.328125</v>
      </c>
      <c r="AA1170">
        <v>17800</v>
      </c>
      <c r="AB1170">
        <v>20</v>
      </c>
      <c r="AC1170">
        <v>14</v>
      </c>
      <c r="AD1170">
        <v>0.2</v>
      </c>
      <c r="AE1170">
        <v>172748.33581446801</v>
      </c>
    </row>
    <row r="1171" spans="1:31" x14ac:dyDescent="0.3">
      <c r="A1171" t="str">
        <f>IF(ISBLANK(B1171),"",IF(ROUND(B1171,0)=ROUND(G1171,0),"Pass","Fail"))</f>
        <v>Pass</v>
      </c>
      <c r="B1171">
        <f t="shared" si="104"/>
        <v>19.792577743530273</v>
      </c>
      <c r="C1171">
        <v>10</v>
      </c>
      <c r="D1171">
        <v>40</v>
      </c>
      <c r="E1171">
        <v>10</v>
      </c>
      <c r="F1171">
        <v>24</v>
      </c>
      <c r="G1171">
        <v>19.792577413736002</v>
      </c>
      <c r="M1171" t="str">
        <f t="shared" si="105"/>
        <v>Pass</v>
      </c>
      <c r="N1171">
        <f t="shared" si="106"/>
        <v>8.632841520011425E-3</v>
      </c>
      <c r="O1171">
        <v>60</v>
      </c>
      <c r="P1171">
        <v>40</v>
      </c>
      <c r="Q1171">
        <v>3</v>
      </c>
      <c r="R1171" t="b">
        <v>0</v>
      </c>
      <c r="S1171">
        <v>8.6328416787744902E-3</v>
      </c>
      <c r="Y1171" t="str">
        <f t="shared" si="107"/>
        <v>Pass</v>
      </c>
      <c r="Z1171">
        <f t="shared" si="108"/>
        <v>176435.796875</v>
      </c>
      <c r="AA1171">
        <v>17800</v>
      </c>
      <c r="AB1171">
        <v>20</v>
      </c>
      <c r="AC1171">
        <v>16</v>
      </c>
      <c r="AD1171">
        <v>0.2</v>
      </c>
      <c r="AE1171">
        <v>176435.805281579</v>
      </c>
    </row>
    <row r="1172" spans="1:31" x14ac:dyDescent="0.3">
      <c r="A1172" t="str">
        <f>IF(ISBLANK(B1172),"",IF(ROUND(B1172,0)=ROUND(G1172,0),"Pass","Fail"))</f>
        <v>Pass</v>
      </c>
      <c r="B1172">
        <f t="shared" si="104"/>
        <v>15.540273666381836</v>
      </c>
      <c r="C1172">
        <v>10</v>
      </c>
      <c r="D1172">
        <v>40</v>
      </c>
      <c r="E1172">
        <v>10</v>
      </c>
      <c r="F1172">
        <v>32</v>
      </c>
      <c r="G1172">
        <v>15.5402730059945</v>
      </c>
      <c r="M1172" t="str">
        <f t="shared" si="105"/>
        <v>Pass</v>
      </c>
      <c r="N1172">
        <f t="shared" si="106"/>
        <v>2.9736016876995564E-3</v>
      </c>
      <c r="O1172">
        <v>60</v>
      </c>
      <c r="P1172">
        <v>40</v>
      </c>
      <c r="Q1172">
        <v>3.5</v>
      </c>
      <c r="R1172" t="b">
        <v>1</v>
      </c>
      <c r="S1172">
        <v>2.9736017580403598E-3</v>
      </c>
      <c r="Y1172" t="str">
        <f t="shared" si="107"/>
        <v>Pass</v>
      </c>
      <c r="Z1172">
        <f t="shared" si="108"/>
        <v>178907.59375</v>
      </c>
      <c r="AA1172">
        <v>17800</v>
      </c>
      <c r="AB1172">
        <v>20</v>
      </c>
      <c r="AC1172">
        <v>18</v>
      </c>
      <c r="AD1172">
        <v>0.2</v>
      </c>
      <c r="AE1172">
        <v>178907.58998452799</v>
      </c>
    </row>
    <row r="1173" spans="1:31" x14ac:dyDescent="0.3">
      <c r="A1173" t="str">
        <f>IF(ISBLANK(B1173),"",IF(ROUND(B1173,0)=ROUND(G1173,0),"Pass","Fail"))</f>
        <v>Pass</v>
      </c>
      <c r="B1173">
        <f t="shared" si="104"/>
        <v>13.399726867675781</v>
      </c>
      <c r="C1173">
        <v>10</v>
      </c>
      <c r="D1173">
        <v>40</v>
      </c>
      <c r="E1173">
        <v>10</v>
      </c>
      <c r="F1173">
        <v>40</v>
      </c>
      <c r="G1173">
        <v>13.399726764326999</v>
      </c>
      <c r="M1173" t="str">
        <f t="shared" si="105"/>
        <v>Pass</v>
      </c>
      <c r="N1173">
        <f t="shared" si="106"/>
        <v>8.9402711018919945E-3</v>
      </c>
      <c r="O1173">
        <v>60</v>
      </c>
      <c r="P1173">
        <v>40</v>
      </c>
      <c r="Q1173">
        <v>3.5</v>
      </c>
      <c r="R1173" t="b">
        <v>0</v>
      </c>
      <c r="S1173">
        <v>8.9402712897269799E-3</v>
      </c>
      <c r="Y1173" t="str">
        <f t="shared" si="107"/>
        <v>Pass</v>
      </c>
      <c r="Z1173">
        <f t="shared" si="108"/>
        <v>180564.484375</v>
      </c>
      <c r="AA1173">
        <v>17800</v>
      </c>
      <c r="AB1173">
        <v>20</v>
      </c>
      <c r="AC1173">
        <v>20</v>
      </c>
      <c r="AD1173">
        <v>0.2</v>
      </c>
      <c r="AE1173">
        <v>180564.47682039801</v>
      </c>
    </row>
    <row r="1174" spans="1:31" x14ac:dyDescent="0.3">
      <c r="A1174" t="str">
        <f>IF(ISBLANK(B1174),"",IF(ROUND(B1174,0)=ROUND(G1174,0),"Pass","Fail"))</f>
        <v>Pass</v>
      </c>
      <c r="B1174">
        <f t="shared" si="104"/>
        <v>12.322208404541016</v>
      </c>
      <c r="C1174">
        <v>10</v>
      </c>
      <c r="D1174">
        <v>40</v>
      </c>
      <c r="E1174">
        <v>10</v>
      </c>
      <c r="F1174">
        <v>48</v>
      </c>
      <c r="G1174">
        <v>12.322207900819601</v>
      </c>
      <c r="M1174" t="str">
        <f t="shared" si="105"/>
        <v>Pass</v>
      </c>
      <c r="N1174">
        <f t="shared" si="106"/>
        <v>3.0651162378489971E-3</v>
      </c>
      <c r="O1174">
        <v>60</v>
      </c>
      <c r="P1174">
        <v>40</v>
      </c>
      <c r="Q1174">
        <v>4</v>
      </c>
      <c r="R1174" t="b">
        <v>1</v>
      </c>
      <c r="S1174">
        <v>3.06511643529203E-3</v>
      </c>
      <c r="Y1174" t="str">
        <f t="shared" si="107"/>
        <v>Pass</v>
      </c>
      <c r="Z1174">
        <f t="shared" si="108"/>
        <v>181675.125</v>
      </c>
      <c r="AA1174">
        <v>17800</v>
      </c>
      <c r="AB1174">
        <v>20</v>
      </c>
      <c r="AC1174">
        <v>22</v>
      </c>
      <c r="AD1174">
        <v>0.2</v>
      </c>
      <c r="AE1174">
        <v>181675.12128049499</v>
      </c>
    </row>
    <row r="1175" spans="1:31" x14ac:dyDescent="0.3">
      <c r="A1175" t="str">
        <f>IF(ISBLANK(B1175),"",IF(ROUND(B1175,0)=ROUND(G1175,0),"Pass","Fail"))</f>
        <v>Pass</v>
      </c>
      <c r="B1175">
        <f t="shared" si="104"/>
        <v>78.358001708984375</v>
      </c>
      <c r="C1175">
        <v>10</v>
      </c>
      <c r="D1175">
        <v>40</v>
      </c>
      <c r="E1175">
        <v>20</v>
      </c>
      <c r="F1175">
        <v>0</v>
      </c>
      <c r="G1175">
        <v>78.358000000000004</v>
      </c>
      <c r="M1175" t="str">
        <f t="shared" si="105"/>
        <v>Pass</v>
      </c>
      <c r="N1175">
        <f t="shared" si="106"/>
        <v>9.2154145240783691E-3</v>
      </c>
      <c r="O1175">
        <v>60</v>
      </c>
      <c r="P1175">
        <v>40</v>
      </c>
      <c r="Q1175">
        <v>4</v>
      </c>
      <c r="R1175" t="b">
        <v>0</v>
      </c>
      <c r="S1175">
        <v>9.21541440174912E-3</v>
      </c>
      <c r="Y1175" t="str">
        <f t="shared" si="107"/>
        <v>Pass</v>
      </c>
      <c r="Z1175">
        <f t="shared" si="108"/>
        <v>182419.625</v>
      </c>
      <c r="AA1175">
        <v>17800</v>
      </c>
      <c r="AB1175">
        <v>20</v>
      </c>
      <c r="AC1175">
        <v>24</v>
      </c>
      <c r="AD1175">
        <v>0.2</v>
      </c>
      <c r="AE1175">
        <v>182419.608526116</v>
      </c>
    </row>
    <row r="1176" spans="1:31" x14ac:dyDescent="0.3">
      <c r="A1176" t="str">
        <f>IF(ISBLANK(B1176),"",IF(ROUND(B1176,0)=ROUND(G1176,0),"Pass","Fail"))</f>
        <v>Pass</v>
      </c>
      <c r="B1176">
        <f t="shared" si="104"/>
        <v>45.021228790283203</v>
      </c>
      <c r="C1176">
        <v>10</v>
      </c>
      <c r="D1176">
        <v>40</v>
      </c>
      <c r="E1176">
        <v>20</v>
      </c>
      <c r="F1176">
        <v>8</v>
      </c>
      <c r="G1176">
        <v>45.021228080722999</v>
      </c>
      <c r="M1176" t="str">
        <f t="shared" si="105"/>
        <v>Pass</v>
      </c>
      <c r="N1176">
        <f t="shared" si="106"/>
        <v>0</v>
      </c>
      <c r="O1176">
        <v>60</v>
      </c>
      <c r="P1176">
        <v>50</v>
      </c>
      <c r="Q1176">
        <v>0</v>
      </c>
      <c r="R1176" t="b">
        <v>1</v>
      </c>
      <c r="S1176">
        <v>0</v>
      </c>
      <c r="Y1176" t="str">
        <f t="shared" si="107"/>
        <v>Pass</v>
      </c>
      <c r="Z1176">
        <f t="shared" si="108"/>
        <v>0</v>
      </c>
      <c r="AA1176">
        <v>18000</v>
      </c>
      <c r="AB1176">
        <v>20</v>
      </c>
      <c r="AC1176">
        <v>0</v>
      </c>
      <c r="AD1176">
        <v>0.2</v>
      </c>
      <c r="AE1176">
        <v>0</v>
      </c>
    </row>
    <row r="1177" spans="1:31" x14ac:dyDescent="0.3">
      <c r="A1177" t="str">
        <f>IF(ISBLANK(B1177),"",IF(ROUND(B1177,0)=ROUND(G1177,0),"Pass","Fail"))</f>
        <v>Pass</v>
      </c>
      <c r="B1177">
        <f t="shared" si="104"/>
        <v>28.239997863769531</v>
      </c>
      <c r="C1177">
        <v>10</v>
      </c>
      <c r="D1177">
        <v>40</v>
      </c>
      <c r="E1177">
        <v>20</v>
      </c>
      <c r="F1177">
        <v>16</v>
      </c>
      <c r="G1177">
        <v>28.239997247101702</v>
      </c>
      <c r="M1177" t="str">
        <f t="shared" si="105"/>
        <v>Pass</v>
      </c>
      <c r="N1177">
        <f t="shared" si="106"/>
        <v>0</v>
      </c>
      <c r="O1177">
        <v>60</v>
      </c>
      <c r="P1177">
        <v>50</v>
      </c>
      <c r="Q1177">
        <v>0</v>
      </c>
      <c r="R1177" t="b">
        <v>0</v>
      </c>
      <c r="S1177">
        <v>0</v>
      </c>
      <c r="Y1177" t="str">
        <f t="shared" si="107"/>
        <v>Pass</v>
      </c>
      <c r="Z1177">
        <f t="shared" si="108"/>
        <v>61320.46875</v>
      </c>
      <c r="AA1177">
        <v>18000</v>
      </c>
      <c r="AB1177">
        <v>20</v>
      </c>
      <c r="AC1177">
        <v>2</v>
      </c>
      <c r="AD1177">
        <v>0.2</v>
      </c>
      <c r="AE1177">
        <v>61320.471437371001</v>
      </c>
    </row>
    <row r="1178" spans="1:31" x14ac:dyDescent="0.3">
      <c r="A1178" t="str">
        <f>IF(ISBLANK(B1178),"",IF(ROUND(B1178,0)=ROUND(G1178,0),"Pass","Fail"))</f>
        <v>Pass</v>
      </c>
      <c r="B1178">
        <f t="shared" si="104"/>
        <v>19.792577743530273</v>
      </c>
      <c r="C1178">
        <v>10</v>
      </c>
      <c r="D1178">
        <v>40</v>
      </c>
      <c r="E1178">
        <v>20</v>
      </c>
      <c r="F1178">
        <v>24</v>
      </c>
      <c r="G1178">
        <v>19.7925774137362</v>
      </c>
      <c r="M1178" t="str">
        <f t="shared" si="105"/>
        <v>Pass</v>
      </c>
      <c r="N1178">
        <f t="shared" si="106"/>
        <v>3.5016553738387302E-5</v>
      </c>
      <c r="O1178">
        <v>60</v>
      </c>
      <c r="P1178">
        <v>50</v>
      </c>
      <c r="Q1178">
        <v>0.5</v>
      </c>
      <c r="R1178" t="b">
        <v>1</v>
      </c>
      <c r="S1178">
        <v>3.5016557813729497E-5</v>
      </c>
      <c r="Y1178" t="str">
        <f t="shared" si="107"/>
        <v>Pass</v>
      </c>
      <c r="Z1178">
        <f t="shared" si="108"/>
        <v>102424.8125</v>
      </c>
      <c r="AA1178">
        <v>18000</v>
      </c>
      <c r="AB1178">
        <v>20</v>
      </c>
      <c r="AC1178">
        <v>4</v>
      </c>
      <c r="AD1178">
        <v>0.2</v>
      </c>
      <c r="AE1178">
        <v>102424.812674196</v>
      </c>
    </row>
    <row r="1179" spans="1:31" x14ac:dyDescent="0.3">
      <c r="A1179" t="str">
        <f>IF(ISBLANK(B1179),"",IF(ROUND(B1179,0)=ROUND(G1179,0),"Pass","Fail"))</f>
        <v>Pass</v>
      </c>
      <c r="B1179">
        <f t="shared" si="104"/>
        <v>15.540273666381836</v>
      </c>
      <c r="C1179">
        <v>10</v>
      </c>
      <c r="D1179">
        <v>40</v>
      </c>
      <c r="E1179">
        <v>20</v>
      </c>
      <c r="F1179">
        <v>32</v>
      </c>
      <c r="G1179">
        <v>15.540273005994599</v>
      </c>
      <c r="M1179" t="str">
        <f t="shared" si="105"/>
        <v>Pass</v>
      </c>
      <c r="N1179">
        <f t="shared" si="106"/>
        <v>1.0527890117373317E-4</v>
      </c>
      <c r="O1179">
        <v>60</v>
      </c>
      <c r="P1179">
        <v>50</v>
      </c>
      <c r="Q1179">
        <v>0.5</v>
      </c>
      <c r="R1179" t="b">
        <v>0</v>
      </c>
      <c r="S1179">
        <v>1.05278901467108E-4</v>
      </c>
      <c r="Y1179" t="str">
        <f t="shared" si="107"/>
        <v>Pass</v>
      </c>
      <c r="Z1179">
        <f t="shared" si="108"/>
        <v>129977.8828125</v>
      </c>
      <c r="AA1179">
        <v>18000</v>
      </c>
      <c r="AB1179">
        <v>20</v>
      </c>
      <c r="AC1179">
        <v>6</v>
      </c>
      <c r="AD1179">
        <v>0.2</v>
      </c>
      <c r="AE1179">
        <v>129977.87658433001</v>
      </c>
    </row>
    <row r="1180" spans="1:31" x14ac:dyDescent="0.3">
      <c r="A1180" t="str">
        <f>IF(ISBLANK(B1180),"",IF(ROUND(B1180,0)=ROUND(G1180,0),"Pass","Fail"))</f>
        <v>Pass</v>
      </c>
      <c r="B1180">
        <f t="shared" si="104"/>
        <v>13.399726867675781</v>
      </c>
      <c r="C1180">
        <v>10</v>
      </c>
      <c r="D1180">
        <v>40</v>
      </c>
      <c r="E1180">
        <v>20</v>
      </c>
      <c r="F1180">
        <v>40</v>
      </c>
      <c r="G1180">
        <v>13.399726764327101</v>
      </c>
      <c r="M1180" t="str">
        <f t="shared" si="105"/>
        <v>Pass</v>
      </c>
      <c r="N1180">
        <f t="shared" si="106"/>
        <v>4.0983330109156668E-5</v>
      </c>
      <c r="O1180">
        <v>60</v>
      </c>
      <c r="P1180">
        <v>50</v>
      </c>
      <c r="Q1180">
        <v>1</v>
      </c>
      <c r="R1180" t="b">
        <v>1</v>
      </c>
      <c r="S1180">
        <v>4.0983331694305503E-5</v>
      </c>
      <c r="Y1180" t="str">
        <f t="shared" si="107"/>
        <v>Pass</v>
      </c>
      <c r="Z1180">
        <f t="shared" si="108"/>
        <v>148447.25</v>
      </c>
      <c r="AA1180">
        <v>18000</v>
      </c>
      <c r="AB1180">
        <v>20</v>
      </c>
      <c r="AC1180">
        <v>8</v>
      </c>
      <c r="AD1180">
        <v>0.2</v>
      </c>
      <c r="AE1180">
        <v>148447.247652994</v>
      </c>
    </row>
    <row r="1181" spans="1:31" x14ac:dyDescent="0.3">
      <c r="A1181" t="str">
        <f>IF(ISBLANK(B1181),"",IF(ROUND(B1181,0)=ROUND(G1181,0),"Pass","Fail"))</f>
        <v>Pass</v>
      </c>
      <c r="B1181">
        <f t="shared" si="104"/>
        <v>12.322208404541016</v>
      </c>
      <c r="C1181">
        <v>10</v>
      </c>
      <c r="D1181">
        <v>40</v>
      </c>
      <c r="E1181">
        <v>20</v>
      </c>
      <c r="F1181">
        <v>48</v>
      </c>
      <c r="G1181">
        <v>12.3222079008197</v>
      </c>
      <c r="M1181" t="str">
        <f t="shared" si="105"/>
        <v>Pass</v>
      </c>
      <c r="N1181">
        <f t="shared" si="106"/>
        <v>1.232182839885354E-4</v>
      </c>
      <c r="O1181">
        <v>60</v>
      </c>
      <c r="P1181">
        <v>50</v>
      </c>
      <c r="Q1181">
        <v>1</v>
      </c>
      <c r="R1181" t="b">
        <v>0</v>
      </c>
      <c r="S1181">
        <v>1.2321828325304E-4</v>
      </c>
      <c r="Y1181" t="str">
        <f t="shared" si="107"/>
        <v>Pass</v>
      </c>
      <c r="Z1181">
        <f t="shared" si="108"/>
        <v>160827.640625</v>
      </c>
      <c r="AA1181">
        <v>18000</v>
      </c>
      <c r="AB1181">
        <v>20</v>
      </c>
      <c r="AC1181">
        <v>10</v>
      </c>
      <c r="AD1181">
        <v>0.2</v>
      </c>
      <c r="AE1181">
        <v>160827.63731799001</v>
      </c>
    </row>
    <row r="1182" spans="1:31" x14ac:dyDescent="0.3">
      <c r="A1182" t="str">
        <f>IF(ISBLANK(B1182),"",IF(ROUND(B1182,0)=ROUND(G1182,0),"Pass","Fail"))</f>
        <v>Pass</v>
      </c>
      <c r="B1182">
        <f t="shared" si="104"/>
        <v>78.358001708984375</v>
      </c>
      <c r="C1182">
        <v>10</v>
      </c>
      <c r="D1182">
        <v>40</v>
      </c>
      <c r="E1182">
        <v>30</v>
      </c>
      <c r="F1182">
        <v>0</v>
      </c>
      <c r="G1182">
        <v>78.358000000000004</v>
      </c>
      <c r="M1182" t="str">
        <f t="shared" si="105"/>
        <v>Pass</v>
      </c>
      <c r="N1182">
        <f t="shared" si="106"/>
        <v>4.4934502511750907E-5</v>
      </c>
      <c r="O1182">
        <v>60</v>
      </c>
      <c r="P1182">
        <v>50</v>
      </c>
      <c r="Q1182">
        <v>1.5</v>
      </c>
      <c r="R1182" t="b">
        <v>1</v>
      </c>
      <c r="S1182">
        <v>4.4934506545940698E-5</v>
      </c>
      <c r="Y1182" t="str">
        <f t="shared" si="107"/>
        <v>Pass</v>
      </c>
      <c r="Z1182">
        <f t="shared" si="108"/>
        <v>169126.46875</v>
      </c>
      <c r="AA1182">
        <v>18000</v>
      </c>
      <c r="AB1182">
        <v>20</v>
      </c>
      <c r="AC1182">
        <v>12</v>
      </c>
      <c r="AD1182">
        <v>0.2</v>
      </c>
      <c r="AE1182">
        <v>169126.460688169</v>
      </c>
    </row>
    <row r="1183" spans="1:31" x14ac:dyDescent="0.3">
      <c r="A1183" t="str">
        <f>IF(ISBLANK(B1183),"",IF(ROUND(B1183,0)=ROUND(G1183,0),"Pass","Fail"))</f>
        <v>Pass</v>
      </c>
      <c r="B1183">
        <f t="shared" si="104"/>
        <v>45.021228790283203</v>
      </c>
      <c r="C1183">
        <v>10</v>
      </c>
      <c r="D1183">
        <v>40</v>
      </c>
      <c r="E1183">
        <v>30</v>
      </c>
      <c r="F1183">
        <v>8</v>
      </c>
      <c r="G1183">
        <v>45.021228080722999</v>
      </c>
      <c r="M1183" t="str">
        <f t="shared" si="105"/>
        <v>Pass</v>
      </c>
      <c r="N1183">
        <f t="shared" si="106"/>
        <v>1.3509768177755177E-4</v>
      </c>
      <c r="O1183">
        <v>60</v>
      </c>
      <c r="P1183">
        <v>50</v>
      </c>
      <c r="Q1183">
        <v>1.5</v>
      </c>
      <c r="R1183" t="b">
        <v>0</v>
      </c>
      <c r="S1183">
        <v>1.3509767328610399E-4</v>
      </c>
      <c r="Y1183" t="str">
        <f t="shared" si="107"/>
        <v>Pass</v>
      </c>
      <c r="Z1183">
        <f t="shared" si="108"/>
        <v>174689.3125</v>
      </c>
      <c r="AA1183">
        <v>18000</v>
      </c>
      <c r="AB1183">
        <v>20</v>
      </c>
      <c r="AC1183">
        <v>14</v>
      </c>
      <c r="AD1183">
        <v>0.2</v>
      </c>
      <c r="AE1183">
        <v>174689.328351709</v>
      </c>
    </row>
    <row r="1184" spans="1:31" x14ac:dyDescent="0.3">
      <c r="A1184" t="str">
        <f>IF(ISBLANK(B1184),"",IF(ROUND(B1184,0)=ROUND(G1184,0),"Pass","Fail"))</f>
        <v>Pass</v>
      </c>
      <c r="B1184">
        <f t="shared" si="104"/>
        <v>28.239997863769531</v>
      </c>
      <c r="C1184">
        <v>10</v>
      </c>
      <c r="D1184">
        <v>40</v>
      </c>
      <c r="E1184">
        <v>30</v>
      </c>
      <c r="F1184">
        <v>16</v>
      </c>
      <c r="G1184">
        <v>28.239997247101702</v>
      </c>
      <c r="M1184" t="str">
        <f t="shared" si="105"/>
        <v>Pass</v>
      </c>
      <c r="N1184">
        <f t="shared" si="106"/>
        <v>4.7966834245016798E-5</v>
      </c>
      <c r="O1184">
        <v>60</v>
      </c>
      <c r="P1184">
        <v>50</v>
      </c>
      <c r="Q1184">
        <v>2</v>
      </c>
      <c r="R1184" t="b">
        <v>1</v>
      </c>
      <c r="S1184">
        <v>4.7966835738117702E-5</v>
      </c>
      <c r="Y1184" t="str">
        <f t="shared" si="107"/>
        <v>Pass</v>
      </c>
      <c r="Z1184">
        <f t="shared" si="108"/>
        <v>178418.21875</v>
      </c>
      <c r="AA1184">
        <v>18000</v>
      </c>
      <c r="AB1184">
        <v>20</v>
      </c>
      <c r="AC1184">
        <v>16</v>
      </c>
      <c r="AD1184">
        <v>0.2</v>
      </c>
      <c r="AE1184">
        <v>178418.23006002299</v>
      </c>
    </row>
    <row r="1185" spans="1:31" x14ac:dyDescent="0.3">
      <c r="A1185" t="str">
        <f>IF(ISBLANK(B1185),"",IF(ROUND(B1185,0)=ROUND(G1185,0),"Pass","Fail"))</f>
        <v>Pass</v>
      </c>
      <c r="B1185">
        <f t="shared" si="104"/>
        <v>19.792577743530273</v>
      </c>
      <c r="C1185">
        <v>10</v>
      </c>
      <c r="D1185">
        <v>40</v>
      </c>
      <c r="E1185">
        <v>30</v>
      </c>
      <c r="F1185">
        <v>24</v>
      </c>
      <c r="G1185">
        <v>19.7925774137362</v>
      </c>
      <c r="M1185" t="str">
        <f t="shared" si="105"/>
        <v>Pass</v>
      </c>
      <c r="N1185">
        <f t="shared" si="106"/>
        <v>1.4421451487578452E-4</v>
      </c>
      <c r="O1185">
        <v>60</v>
      </c>
      <c r="P1185">
        <v>50</v>
      </c>
      <c r="Q1185">
        <v>2</v>
      </c>
      <c r="R1185" t="b">
        <v>0</v>
      </c>
      <c r="S1185">
        <v>1.44214511324189E-4</v>
      </c>
      <c r="Y1185" t="str">
        <f t="shared" si="107"/>
        <v>Pass</v>
      </c>
      <c r="Z1185">
        <f t="shared" si="108"/>
        <v>180917.796875</v>
      </c>
      <c r="AA1185">
        <v>18000</v>
      </c>
      <c r="AB1185">
        <v>20</v>
      </c>
      <c r="AC1185">
        <v>18</v>
      </c>
      <c r="AD1185">
        <v>0.2</v>
      </c>
      <c r="AE1185">
        <v>180917.78762480299</v>
      </c>
    </row>
    <row r="1186" spans="1:31" x14ac:dyDescent="0.3">
      <c r="A1186" t="str">
        <f>IF(ISBLANK(B1186),"",IF(ROUND(B1186,0)=ROUND(G1186,0),"Pass","Fail"))</f>
        <v>Pass</v>
      </c>
      <c r="B1186">
        <f t="shared" si="104"/>
        <v>15.540273666381836</v>
      </c>
      <c r="C1186">
        <v>10</v>
      </c>
      <c r="D1186">
        <v>40</v>
      </c>
      <c r="E1186">
        <v>30</v>
      </c>
      <c r="F1186">
        <v>32</v>
      </c>
      <c r="G1186">
        <v>15.540273005994599</v>
      </c>
      <c r="M1186" t="str">
        <f t="shared" si="105"/>
        <v>Pass</v>
      </c>
      <c r="N1186">
        <f t="shared" si="106"/>
        <v>5.0459111662348732E-5</v>
      </c>
      <c r="O1186">
        <v>60</v>
      </c>
      <c r="P1186">
        <v>50</v>
      </c>
      <c r="Q1186">
        <v>2.5</v>
      </c>
      <c r="R1186" t="b">
        <v>1</v>
      </c>
      <c r="S1186">
        <v>5.0459116600681299E-5</v>
      </c>
      <c r="Y1186" t="str">
        <f t="shared" si="107"/>
        <v>Pass</v>
      </c>
      <c r="Z1186">
        <f t="shared" si="108"/>
        <v>182593.296875</v>
      </c>
      <c r="AA1186">
        <v>18000</v>
      </c>
      <c r="AB1186">
        <v>20</v>
      </c>
      <c r="AC1186">
        <v>20</v>
      </c>
      <c r="AD1186">
        <v>0.2</v>
      </c>
      <c r="AE1186">
        <v>182593.29116669501</v>
      </c>
    </row>
    <row r="1187" spans="1:31" x14ac:dyDescent="0.3">
      <c r="A1187" t="str">
        <f>IF(ISBLANK(B1187),"",IF(ROUND(B1187,0)=ROUND(G1187,0),"Pass","Fail"))</f>
        <v>Pass</v>
      </c>
      <c r="B1187">
        <f t="shared" si="104"/>
        <v>13.399726867675781</v>
      </c>
      <c r="C1187">
        <v>10</v>
      </c>
      <c r="D1187">
        <v>40</v>
      </c>
      <c r="E1187">
        <v>30</v>
      </c>
      <c r="F1187">
        <v>40</v>
      </c>
      <c r="G1187">
        <v>13.399726764327101</v>
      </c>
      <c r="M1187" t="str">
        <f t="shared" si="105"/>
        <v>Pass</v>
      </c>
      <c r="N1187">
        <f t="shared" si="106"/>
        <v>1.5170765982475132E-4</v>
      </c>
      <c r="O1187">
        <v>60</v>
      </c>
      <c r="P1187">
        <v>50</v>
      </c>
      <c r="Q1187">
        <v>2.5</v>
      </c>
      <c r="R1187" t="b">
        <v>0</v>
      </c>
      <c r="S1187">
        <v>1.51707669068419E-4</v>
      </c>
      <c r="Y1187" t="str">
        <f t="shared" si="107"/>
        <v>Pass</v>
      </c>
      <c r="Z1187">
        <f t="shared" si="108"/>
        <v>183716.421875</v>
      </c>
      <c r="AA1187">
        <v>18000</v>
      </c>
      <c r="AB1187">
        <v>20</v>
      </c>
      <c r="AC1187">
        <v>22</v>
      </c>
      <c r="AD1187">
        <v>0.2</v>
      </c>
      <c r="AE1187">
        <v>183716.41477802899</v>
      </c>
    </row>
    <row r="1188" spans="1:31" x14ac:dyDescent="0.3">
      <c r="A1188" t="str">
        <f>IF(ISBLANK(B1188),"",IF(ROUND(B1188,0)=ROUND(G1188,0),"Pass","Fail"))</f>
        <v>Pass</v>
      </c>
      <c r="B1188">
        <f t="shared" si="104"/>
        <v>12.322208404541016</v>
      </c>
      <c r="C1188">
        <v>10</v>
      </c>
      <c r="D1188">
        <v>40</v>
      </c>
      <c r="E1188">
        <v>30</v>
      </c>
      <c r="F1188">
        <v>48</v>
      </c>
      <c r="G1188">
        <v>12.3222079008197</v>
      </c>
      <c r="M1188" t="str">
        <f t="shared" si="105"/>
        <v>Pass</v>
      </c>
      <c r="N1188">
        <f t="shared" si="106"/>
        <v>5.2591280109481886E-5</v>
      </c>
      <c r="O1188">
        <v>60</v>
      </c>
      <c r="P1188">
        <v>50</v>
      </c>
      <c r="Q1188">
        <v>3</v>
      </c>
      <c r="R1188" t="b">
        <v>1</v>
      </c>
      <c r="S1188">
        <v>5.2591285416699998E-5</v>
      </c>
      <c r="Y1188" t="str">
        <f t="shared" si="107"/>
        <v>Pass</v>
      </c>
      <c r="Z1188">
        <f t="shared" si="108"/>
        <v>184469.28125</v>
      </c>
      <c r="AA1188">
        <v>18000</v>
      </c>
      <c r="AB1188">
        <v>20</v>
      </c>
      <c r="AC1188">
        <v>24</v>
      </c>
      <c r="AD1188">
        <v>0.2</v>
      </c>
      <c r="AE1188">
        <v>184469.267048882</v>
      </c>
    </row>
    <row r="1189" spans="1:31" x14ac:dyDescent="0.3">
      <c r="A1189" t="str">
        <f>IF(ISBLANK(B1189),"",IF(ROUND(B1189,0)=ROUND(G1189,0),"Pass","Fail"))</f>
        <v>Pass</v>
      </c>
      <c r="B1189">
        <f t="shared" si="104"/>
        <v>78.358001708984375</v>
      </c>
      <c r="C1189">
        <v>10</v>
      </c>
      <c r="D1189">
        <v>40</v>
      </c>
      <c r="E1189">
        <v>40</v>
      </c>
      <c r="F1189">
        <v>0</v>
      </c>
      <c r="G1189">
        <v>78.358000000000004</v>
      </c>
      <c r="M1189" t="str">
        <f t="shared" si="105"/>
        <v>Pass</v>
      </c>
      <c r="N1189">
        <f t="shared" si="106"/>
        <v>1.581181277288124E-4</v>
      </c>
      <c r="O1189">
        <v>60</v>
      </c>
      <c r="P1189">
        <v>50</v>
      </c>
      <c r="Q1189">
        <v>3</v>
      </c>
      <c r="R1189" t="b">
        <v>0</v>
      </c>
      <c r="S1189">
        <v>1.58118133280434E-4</v>
      </c>
      <c r="Y1189" t="str">
        <f t="shared" si="107"/>
        <v>Pass</v>
      </c>
      <c r="Z1189">
        <f t="shared" si="108"/>
        <v>0</v>
      </c>
      <c r="AA1189">
        <v>18200</v>
      </c>
      <c r="AB1189">
        <v>20</v>
      </c>
      <c r="AC1189">
        <v>0</v>
      </c>
      <c r="AD1189">
        <v>0.2</v>
      </c>
      <c r="AE1189">
        <v>0</v>
      </c>
    </row>
    <row r="1190" spans="1:31" x14ac:dyDescent="0.3">
      <c r="A1190" t="str">
        <f>IF(ISBLANK(B1190),"",IF(ROUND(B1190,0)=ROUND(G1190,0),"Pass","Fail"))</f>
        <v>Pass</v>
      </c>
      <c r="B1190">
        <f t="shared" si="104"/>
        <v>45.021228790283203</v>
      </c>
      <c r="C1190">
        <v>10</v>
      </c>
      <c r="D1190">
        <v>40</v>
      </c>
      <c r="E1190">
        <v>40</v>
      </c>
      <c r="F1190">
        <v>8</v>
      </c>
      <c r="G1190">
        <v>45.021228080722999</v>
      </c>
      <c r="M1190" t="str">
        <f t="shared" si="105"/>
        <v>Pass</v>
      </c>
      <c r="N1190">
        <f t="shared" si="106"/>
        <v>5.4464144341181964E-5</v>
      </c>
      <c r="O1190">
        <v>60</v>
      </c>
      <c r="P1190">
        <v>50</v>
      </c>
      <c r="Q1190">
        <v>3.5</v>
      </c>
      <c r="R1190" t="b">
        <v>1</v>
      </c>
      <c r="S1190">
        <v>5.4464147101966403E-5</v>
      </c>
      <c r="Y1190" t="str">
        <f t="shared" si="107"/>
        <v>Pass</v>
      </c>
      <c r="Z1190">
        <f t="shared" si="108"/>
        <v>62001.80859375</v>
      </c>
      <c r="AA1190">
        <v>18200</v>
      </c>
      <c r="AB1190">
        <v>20</v>
      </c>
      <c r="AC1190">
        <v>2</v>
      </c>
      <c r="AD1190">
        <v>0.2</v>
      </c>
      <c r="AE1190">
        <v>62001.810008897402</v>
      </c>
    </row>
    <row r="1191" spans="1:31" x14ac:dyDescent="0.3">
      <c r="A1191" t="str">
        <f>IF(ISBLANK(B1191),"",IF(ROUND(B1191,0)=ROUND(G1191,0),"Pass","Fail"))</f>
        <v>Pass</v>
      </c>
      <c r="B1191">
        <f t="shared" si="104"/>
        <v>28.239997863769531</v>
      </c>
      <c r="C1191">
        <v>10</v>
      </c>
      <c r="D1191">
        <v>40</v>
      </c>
      <c r="E1191">
        <v>40</v>
      </c>
      <c r="F1191">
        <v>16</v>
      </c>
      <c r="G1191">
        <v>28.239997247101702</v>
      </c>
      <c r="M1191" t="str">
        <f t="shared" si="105"/>
        <v>Pass</v>
      </c>
      <c r="N1191">
        <f t="shared" si="106"/>
        <v>1.6374897677451372E-4</v>
      </c>
      <c r="O1191">
        <v>60</v>
      </c>
      <c r="P1191">
        <v>50</v>
      </c>
      <c r="Q1191">
        <v>3.5</v>
      </c>
      <c r="R1191" t="b">
        <v>0</v>
      </c>
      <c r="S1191">
        <v>1.6374897860433899E-4</v>
      </c>
      <c r="Y1191" t="str">
        <f t="shared" si="107"/>
        <v>Pass</v>
      </c>
      <c r="Z1191">
        <f t="shared" si="108"/>
        <v>103562.8671875</v>
      </c>
      <c r="AA1191">
        <v>18200</v>
      </c>
      <c r="AB1191">
        <v>20</v>
      </c>
      <c r="AC1191">
        <v>4</v>
      </c>
      <c r="AD1191">
        <v>0.2</v>
      </c>
      <c r="AE1191">
        <v>103562.86614835401</v>
      </c>
    </row>
    <row r="1192" spans="1:31" x14ac:dyDescent="0.3">
      <c r="A1192" t="str">
        <f>IF(ISBLANK(B1192),"",IF(ROUND(B1192,0)=ROUND(G1192,0),"Pass","Fail"))</f>
        <v>Pass</v>
      </c>
      <c r="B1192">
        <f t="shared" si="104"/>
        <v>19.792577743530273</v>
      </c>
      <c r="C1192">
        <v>10</v>
      </c>
      <c r="D1192">
        <v>40</v>
      </c>
      <c r="E1192">
        <v>40</v>
      </c>
      <c r="F1192">
        <v>24</v>
      </c>
      <c r="G1192">
        <v>19.7925774137362</v>
      </c>
      <c r="M1192" t="str">
        <f t="shared" si="105"/>
        <v>Pass</v>
      </c>
      <c r="N1192">
        <f t="shared" si="106"/>
        <v>5.6140317610697821E-5</v>
      </c>
      <c r="O1192">
        <v>60</v>
      </c>
      <c r="P1192">
        <v>50</v>
      </c>
      <c r="Q1192">
        <v>4</v>
      </c>
      <c r="R1192" t="b">
        <v>1</v>
      </c>
      <c r="S1192">
        <v>5.6140319383727698E-5</v>
      </c>
      <c r="Y1192" t="str">
        <f t="shared" si="107"/>
        <v>Pass</v>
      </c>
      <c r="Z1192">
        <f t="shared" si="108"/>
        <v>131422.078125</v>
      </c>
      <c r="AA1192">
        <v>18200</v>
      </c>
      <c r="AB1192">
        <v>20</v>
      </c>
      <c r="AC1192">
        <v>6</v>
      </c>
      <c r="AD1192">
        <v>0.2</v>
      </c>
      <c r="AE1192">
        <v>131422.075213045</v>
      </c>
    </row>
    <row r="1193" spans="1:31" x14ac:dyDescent="0.3">
      <c r="A1193" t="str">
        <f>IF(ISBLANK(B1193),"",IF(ROUND(B1193,0)=ROUND(G1193,0),"Pass","Fail"))</f>
        <v>Pass</v>
      </c>
      <c r="B1193">
        <f t="shared" si="104"/>
        <v>15.540273666381836</v>
      </c>
      <c r="C1193">
        <v>10</v>
      </c>
      <c r="D1193">
        <v>40</v>
      </c>
      <c r="E1193">
        <v>40</v>
      </c>
      <c r="F1193">
        <v>32</v>
      </c>
      <c r="G1193">
        <v>15.540273005994599</v>
      </c>
      <c r="M1193" t="str">
        <f t="shared" si="105"/>
        <v>Pass</v>
      </c>
      <c r="N1193">
        <f t="shared" si="106"/>
        <v>1.6878846508916467E-4</v>
      </c>
      <c r="O1193">
        <v>60</v>
      </c>
      <c r="P1193">
        <v>50</v>
      </c>
      <c r="Q1193">
        <v>4</v>
      </c>
      <c r="R1193" t="b">
        <v>0</v>
      </c>
      <c r="S1193">
        <v>1.6878846813475301E-4</v>
      </c>
      <c r="Y1193" t="str">
        <f t="shared" si="107"/>
        <v>Pass</v>
      </c>
      <c r="Z1193">
        <f t="shared" si="108"/>
        <v>150096.65625</v>
      </c>
      <c r="AA1193">
        <v>18200</v>
      </c>
      <c r="AB1193">
        <v>20</v>
      </c>
      <c r="AC1193">
        <v>8</v>
      </c>
      <c r="AD1193">
        <v>0.2</v>
      </c>
      <c r="AE1193">
        <v>150096.661515805</v>
      </c>
    </row>
    <row r="1194" spans="1:31" x14ac:dyDescent="0.3">
      <c r="A1194" t="str">
        <f>IF(ISBLANK(B1194),"",IF(ROUND(B1194,0)=ROUND(G1194,0),"Pass","Fail"))</f>
        <v>Pass</v>
      </c>
      <c r="B1194">
        <f t="shared" si="104"/>
        <v>13.399726867675781</v>
      </c>
      <c r="C1194">
        <v>10</v>
      </c>
      <c r="D1194">
        <v>40</v>
      </c>
      <c r="E1194">
        <v>40</v>
      </c>
      <c r="F1194">
        <v>40</v>
      </c>
      <c r="G1194">
        <v>13.399726764327101</v>
      </c>
      <c r="M1194" t="str">
        <f t="shared" si="105"/>
        <v>Pass</v>
      </c>
      <c r="N1194">
        <f t="shared" si="106"/>
        <v>0</v>
      </c>
      <c r="O1194">
        <v>60</v>
      </c>
      <c r="P1194">
        <v>60</v>
      </c>
      <c r="Q1194">
        <v>0</v>
      </c>
      <c r="R1194" t="b">
        <v>1</v>
      </c>
      <c r="S1194">
        <v>0</v>
      </c>
      <c r="Y1194" t="str">
        <f t="shared" si="107"/>
        <v>Pass</v>
      </c>
      <c r="Z1194">
        <f t="shared" si="108"/>
        <v>162614.625</v>
      </c>
      <c r="AA1194">
        <v>18200</v>
      </c>
      <c r="AB1194">
        <v>20</v>
      </c>
      <c r="AC1194">
        <v>10</v>
      </c>
      <c r="AD1194">
        <v>0.2</v>
      </c>
      <c r="AE1194">
        <v>162614.61106596701</v>
      </c>
    </row>
    <row r="1195" spans="1:31" x14ac:dyDescent="0.3">
      <c r="A1195" t="str">
        <f>IF(ISBLANK(B1195),"",IF(ROUND(B1195,0)=ROUND(G1195,0),"Pass","Fail"))</f>
        <v>Pass</v>
      </c>
      <c r="B1195">
        <f t="shared" si="104"/>
        <v>12.322208404541016</v>
      </c>
      <c r="C1195">
        <v>10</v>
      </c>
      <c r="D1195">
        <v>40</v>
      </c>
      <c r="E1195">
        <v>40</v>
      </c>
      <c r="F1195">
        <v>48</v>
      </c>
      <c r="G1195">
        <v>12.3222079008197</v>
      </c>
      <c r="M1195" t="str">
        <f t="shared" si="105"/>
        <v>Pass</v>
      </c>
      <c r="N1195">
        <f t="shared" si="106"/>
        <v>0</v>
      </c>
      <c r="O1195">
        <v>60</v>
      </c>
      <c r="P1195">
        <v>60</v>
      </c>
      <c r="Q1195">
        <v>0</v>
      </c>
      <c r="R1195" t="b">
        <v>0</v>
      </c>
      <c r="S1195">
        <v>0</v>
      </c>
      <c r="Y1195" t="str">
        <f t="shared" si="107"/>
        <v>Pass</v>
      </c>
      <c r="Z1195">
        <f t="shared" si="108"/>
        <v>171005.640625</v>
      </c>
      <c r="AA1195">
        <v>18200</v>
      </c>
      <c r="AB1195">
        <v>20</v>
      </c>
      <c r="AC1195">
        <v>12</v>
      </c>
      <c r="AD1195">
        <v>0.2</v>
      </c>
      <c r="AE1195">
        <v>171005.643584704</v>
      </c>
    </row>
    <row r="1196" spans="1:31" x14ac:dyDescent="0.3">
      <c r="A1196" t="str">
        <f>IF(ISBLANK(B1196),"",IF(ROUND(B1196,0)=ROUND(G1196,0),"Pass","Fail"))</f>
        <v>Pass</v>
      </c>
      <c r="B1196">
        <f t="shared" si="104"/>
        <v>78.358001708984375</v>
      </c>
      <c r="C1196">
        <v>10</v>
      </c>
      <c r="D1196">
        <v>40</v>
      </c>
      <c r="E1196">
        <v>50</v>
      </c>
      <c r="F1196">
        <v>0</v>
      </c>
      <c r="G1196">
        <v>78.358000000000004</v>
      </c>
      <c r="M1196" t="str">
        <f t="shared" si="105"/>
        <v>Pass</v>
      </c>
      <c r="N1196">
        <f t="shared" si="106"/>
        <v>6.413507094293891E-7</v>
      </c>
      <c r="O1196">
        <v>60</v>
      </c>
      <c r="P1196">
        <v>60</v>
      </c>
      <c r="Q1196">
        <v>0.5</v>
      </c>
      <c r="R1196" t="b">
        <v>1</v>
      </c>
      <c r="S1196">
        <v>6.41350785728075E-7</v>
      </c>
      <c r="Y1196" t="str">
        <f t="shared" si="107"/>
        <v>Pass</v>
      </c>
      <c r="Z1196">
        <f t="shared" si="108"/>
        <v>176630.3125</v>
      </c>
      <c r="AA1196">
        <v>18200</v>
      </c>
      <c r="AB1196">
        <v>20</v>
      </c>
      <c r="AC1196">
        <v>14</v>
      </c>
      <c r="AD1196">
        <v>0.2</v>
      </c>
      <c r="AE1196">
        <v>176630.32088894999</v>
      </c>
    </row>
    <row r="1197" spans="1:31" x14ac:dyDescent="0.3">
      <c r="A1197" t="str">
        <f>IF(ISBLANK(B1197),"",IF(ROUND(B1197,0)=ROUND(G1197,0),"Pass","Fail"))</f>
        <v>Pass</v>
      </c>
      <c r="B1197">
        <f t="shared" si="104"/>
        <v>45.021228790283203</v>
      </c>
      <c r="C1197">
        <v>10</v>
      </c>
      <c r="D1197">
        <v>40</v>
      </c>
      <c r="E1197">
        <v>50</v>
      </c>
      <c r="F1197">
        <v>8</v>
      </c>
      <c r="G1197">
        <v>45.021228080722999</v>
      </c>
      <c r="M1197" t="str">
        <f t="shared" si="105"/>
        <v>Pass</v>
      </c>
      <c r="N1197">
        <f t="shared" si="106"/>
        <v>1.9282508674223209E-6</v>
      </c>
      <c r="O1197">
        <v>60</v>
      </c>
      <c r="P1197">
        <v>60</v>
      </c>
      <c r="Q1197">
        <v>0.5</v>
      </c>
      <c r="R1197" t="b">
        <v>0</v>
      </c>
      <c r="S1197">
        <v>1.9282508159623902E-6</v>
      </c>
      <c r="Y1197" t="str">
        <f t="shared" si="107"/>
        <v>Pass</v>
      </c>
      <c r="Z1197">
        <f t="shared" si="108"/>
        <v>180400.640625</v>
      </c>
      <c r="AA1197">
        <v>18200</v>
      </c>
      <c r="AB1197">
        <v>20</v>
      </c>
      <c r="AC1197">
        <v>16</v>
      </c>
      <c r="AD1197">
        <v>0.2</v>
      </c>
      <c r="AE1197">
        <v>180400.65483846801</v>
      </c>
    </row>
    <row r="1198" spans="1:31" x14ac:dyDescent="0.3">
      <c r="A1198" t="str">
        <f>IF(ISBLANK(B1198),"",IF(ROUND(B1198,0)=ROUND(G1198,0),"Pass","Fail"))</f>
        <v>Pass</v>
      </c>
      <c r="B1198">
        <f t="shared" si="104"/>
        <v>28.239997863769531</v>
      </c>
      <c r="C1198">
        <v>10</v>
      </c>
      <c r="D1198">
        <v>40</v>
      </c>
      <c r="E1198">
        <v>50</v>
      </c>
      <c r="F1198">
        <v>16</v>
      </c>
      <c r="G1198">
        <v>28.239997247101702</v>
      </c>
      <c r="M1198" t="str">
        <f t="shared" si="105"/>
        <v>Pass</v>
      </c>
      <c r="N1198">
        <f t="shared" si="106"/>
        <v>7.5063604754177504E-7</v>
      </c>
      <c r="O1198">
        <v>60</v>
      </c>
      <c r="P1198">
        <v>60</v>
      </c>
      <c r="Q1198">
        <v>1</v>
      </c>
      <c r="R1198" t="b">
        <v>1</v>
      </c>
      <c r="S1198">
        <v>7.5063608832479997E-7</v>
      </c>
      <c r="Y1198" t="str">
        <f t="shared" si="107"/>
        <v>Pass</v>
      </c>
      <c r="Z1198">
        <f t="shared" si="108"/>
        <v>182927.984375</v>
      </c>
      <c r="AA1198">
        <v>18200</v>
      </c>
      <c r="AB1198">
        <v>20</v>
      </c>
      <c r="AC1198">
        <v>18</v>
      </c>
      <c r="AD1198">
        <v>0.2</v>
      </c>
      <c r="AE1198">
        <v>182927.98526507901</v>
      </c>
    </row>
    <row r="1199" spans="1:31" x14ac:dyDescent="0.3">
      <c r="A1199" t="str">
        <f>IF(ISBLANK(B1199),"",IF(ROUND(B1199,0)=ROUND(G1199,0),"Pass","Fail"))</f>
        <v>Pass</v>
      </c>
      <c r="B1199">
        <f t="shared" si="104"/>
        <v>19.792577743530273</v>
      </c>
      <c r="C1199">
        <v>10</v>
      </c>
      <c r="D1199">
        <v>40</v>
      </c>
      <c r="E1199">
        <v>50</v>
      </c>
      <c r="F1199">
        <v>24</v>
      </c>
      <c r="G1199">
        <v>19.7925774137362</v>
      </c>
      <c r="M1199" t="str">
        <f t="shared" si="105"/>
        <v>Pass</v>
      </c>
      <c r="N1199">
        <f t="shared" si="106"/>
        <v>2.2568221993424231E-6</v>
      </c>
      <c r="O1199">
        <v>60</v>
      </c>
      <c r="P1199">
        <v>60</v>
      </c>
      <c r="Q1199">
        <v>1</v>
      </c>
      <c r="R1199" t="b">
        <v>0</v>
      </c>
      <c r="S1199">
        <v>2.2568221354246499E-6</v>
      </c>
      <c r="Y1199" t="str">
        <f t="shared" si="107"/>
        <v>Pass</v>
      </c>
      <c r="Z1199">
        <f t="shared" si="108"/>
        <v>184622.109375</v>
      </c>
      <c r="AA1199">
        <v>18200</v>
      </c>
      <c r="AB1199">
        <v>20</v>
      </c>
      <c r="AC1199">
        <v>20</v>
      </c>
      <c r="AD1199">
        <v>0.2</v>
      </c>
      <c r="AE1199">
        <v>184622.10551299201</v>
      </c>
    </row>
    <row r="1200" spans="1:31" x14ac:dyDescent="0.3">
      <c r="A1200" t="str">
        <f>IF(ISBLANK(B1200),"",IF(ROUND(B1200,0)=ROUND(G1200,0),"Pass","Fail"))</f>
        <v>Pass</v>
      </c>
      <c r="B1200">
        <f t="shared" si="104"/>
        <v>15.540273666381836</v>
      </c>
      <c r="C1200">
        <v>10</v>
      </c>
      <c r="D1200">
        <v>40</v>
      </c>
      <c r="E1200">
        <v>50</v>
      </c>
      <c r="F1200">
        <v>32</v>
      </c>
      <c r="G1200">
        <v>15.540273005994599</v>
      </c>
      <c r="M1200" t="str">
        <f t="shared" si="105"/>
        <v>Pass</v>
      </c>
      <c r="N1200">
        <f t="shared" si="106"/>
        <v>8.2300437043159036E-7</v>
      </c>
      <c r="O1200">
        <v>60</v>
      </c>
      <c r="P1200">
        <v>60</v>
      </c>
      <c r="Q1200">
        <v>1.5</v>
      </c>
      <c r="R1200" t="b">
        <v>1</v>
      </c>
      <c r="S1200">
        <v>8.2300439788638796E-7</v>
      </c>
      <c r="Y1200" t="str">
        <f t="shared" si="107"/>
        <v>Pass</v>
      </c>
      <c r="Z1200">
        <f t="shared" si="108"/>
        <v>185757.71875</v>
      </c>
      <c r="AA1200">
        <v>18200</v>
      </c>
      <c r="AB1200">
        <v>20</v>
      </c>
      <c r="AC1200">
        <v>22</v>
      </c>
      <c r="AD1200">
        <v>0.2</v>
      </c>
      <c r="AE1200">
        <v>185757.70827556201</v>
      </c>
    </row>
    <row r="1201" spans="1:31" x14ac:dyDescent="0.3">
      <c r="A1201" t="str">
        <f>IF(ISBLANK(B1201),"",IF(ROUND(B1201,0)=ROUND(G1201,0),"Pass","Fail"))</f>
        <v>Pass</v>
      </c>
      <c r="B1201">
        <f t="shared" si="104"/>
        <v>13.399726867675781</v>
      </c>
      <c r="C1201">
        <v>10</v>
      </c>
      <c r="D1201">
        <v>40</v>
      </c>
      <c r="E1201">
        <v>50</v>
      </c>
      <c r="F1201">
        <v>40</v>
      </c>
      <c r="G1201">
        <v>13.399726764327101</v>
      </c>
      <c r="M1201" t="str">
        <f t="shared" si="105"/>
        <v>Pass</v>
      </c>
      <c r="N1201">
        <f t="shared" si="106"/>
        <v>2.4744010715949116E-6</v>
      </c>
      <c r="O1201">
        <v>60</v>
      </c>
      <c r="P1201">
        <v>60</v>
      </c>
      <c r="Q1201">
        <v>1.5</v>
      </c>
      <c r="R1201" t="b">
        <v>0</v>
      </c>
      <c r="S1201">
        <v>2.4744008069835202E-6</v>
      </c>
      <c r="Y1201" t="str">
        <f t="shared" si="107"/>
        <v>Pass</v>
      </c>
      <c r="Z1201">
        <f t="shared" si="108"/>
        <v>186518.9375</v>
      </c>
      <c r="AA1201">
        <v>18200</v>
      </c>
      <c r="AB1201">
        <v>20</v>
      </c>
      <c r="AC1201">
        <v>24</v>
      </c>
      <c r="AD1201">
        <v>0.2</v>
      </c>
      <c r="AE1201">
        <v>186518.92557164701</v>
      </c>
    </row>
    <row r="1202" spans="1:31" x14ac:dyDescent="0.3">
      <c r="A1202" t="str">
        <f>IF(ISBLANK(B1202),"",IF(ROUND(B1202,0)=ROUND(G1202,0),"Pass","Fail"))</f>
        <v>Pass</v>
      </c>
      <c r="B1202">
        <f t="shared" si="104"/>
        <v>12.322208404541016</v>
      </c>
      <c r="C1202">
        <v>10</v>
      </c>
      <c r="D1202">
        <v>40</v>
      </c>
      <c r="E1202">
        <v>50</v>
      </c>
      <c r="F1202">
        <v>48</v>
      </c>
      <c r="G1202">
        <v>12.3222079008197</v>
      </c>
      <c r="M1202" t="str">
        <f t="shared" si="105"/>
        <v>Pass</v>
      </c>
      <c r="N1202">
        <f t="shared" si="106"/>
        <v>8.7854346020321827E-7</v>
      </c>
      <c r="O1202">
        <v>60</v>
      </c>
      <c r="P1202">
        <v>60</v>
      </c>
      <c r="Q1202">
        <v>2</v>
      </c>
      <c r="R1202" t="b">
        <v>1</v>
      </c>
      <c r="S1202">
        <v>8.7854345801714599E-7</v>
      </c>
      <c r="Y1202" t="str">
        <f t="shared" si="107"/>
        <v>Pass</v>
      </c>
      <c r="Z1202">
        <f t="shared" si="108"/>
        <v>0</v>
      </c>
      <c r="AA1202">
        <v>18400</v>
      </c>
      <c r="AB1202">
        <v>20</v>
      </c>
      <c r="AC1202">
        <v>0</v>
      </c>
      <c r="AD1202">
        <v>0.2</v>
      </c>
      <c r="AE1202">
        <v>0</v>
      </c>
    </row>
    <row r="1203" spans="1:31" x14ac:dyDescent="0.3">
      <c r="A1203" t="str">
        <f>IF(ISBLANK(B1203),"",IF(ROUND(B1203,0)=ROUND(G1203,0),"Pass","Fail"))</f>
        <v>Pass</v>
      </c>
      <c r="B1203">
        <f t="shared" si="104"/>
        <v>78.358001708984375</v>
      </c>
      <c r="C1203">
        <v>10</v>
      </c>
      <c r="D1203">
        <v>40</v>
      </c>
      <c r="E1203">
        <v>60</v>
      </c>
      <c r="F1203">
        <v>0</v>
      </c>
      <c r="G1203">
        <v>78.358000000000004</v>
      </c>
      <c r="M1203" t="str">
        <f t="shared" si="105"/>
        <v>Pass</v>
      </c>
      <c r="N1203">
        <f t="shared" si="106"/>
        <v>2.6413815703563159E-6</v>
      </c>
      <c r="O1203">
        <v>60</v>
      </c>
      <c r="P1203">
        <v>60</v>
      </c>
      <c r="Q1203">
        <v>2</v>
      </c>
      <c r="R1203" t="b">
        <v>0</v>
      </c>
      <c r="S1203">
        <v>2.6413815613508001E-6</v>
      </c>
      <c r="Y1203" t="str">
        <f t="shared" si="107"/>
        <v>Pass</v>
      </c>
      <c r="Z1203">
        <f t="shared" si="108"/>
        <v>62683.14453125</v>
      </c>
      <c r="AA1203">
        <v>18400</v>
      </c>
      <c r="AB1203">
        <v>20</v>
      </c>
      <c r="AC1203">
        <v>2</v>
      </c>
      <c r="AD1203">
        <v>0.2</v>
      </c>
      <c r="AE1203">
        <v>62683.148580423702</v>
      </c>
    </row>
    <row r="1204" spans="1:31" x14ac:dyDescent="0.3">
      <c r="A1204" t="str">
        <f>IF(ISBLANK(B1204),"",IF(ROUND(B1204,0)=ROUND(G1204,0),"Pass","Fail"))</f>
        <v>Pass</v>
      </c>
      <c r="B1204">
        <f t="shared" si="104"/>
        <v>45.021228790283203</v>
      </c>
      <c r="C1204">
        <v>10</v>
      </c>
      <c r="D1204">
        <v>40</v>
      </c>
      <c r="E1204">
        <v>60</v>
      </c>
      <c r="F1204">
        <v>8</v>
      </c>
      <c r="G1204">
        <v>45.021228080722999</v>
      </c>
      <c r="M1204" t="str">
        <f t="shared" si="105"/>
        <v>Pass</v>
      </c>
      <c r="N1204">
        <f t="shared" si="106"/>
        <v>9.2419111297203926E-7</v>
      </c>
      <c r="O1204">
        <v>60</v>
      </c>
      <c r="P1204">
        <v>60</v>
      </c>
      <c r="Q1204">
        <v>2.5</v>
      </c>
      <c r="R1204" t="b">
        <v>1</v>
      </c>
      <c r="S1204">
        <v>9.2419118552831497E-7</v>
      </c>
      <c r="Y1204" t="str">
        <f t="shared" si="107"/>
        <v>Pass</v>
      </c>
      <c r="Z1204">
        <f t="shared" si="108"/>
        <v>104700.921875</v>
      </c>
      <c r="AA1204">
        <v>18400</v>
      </c>
      <c r="AB1204">
        <v>20</v>
      </c>
      <c r="AC1204">
        <v>4</v>
      </c>
      <c r="AD1204">
        <v>0.2</v>
      </c>
      <c r="AE1204">
        <v>104700.919622512</v>
      </c>
    </row>
    <row r="1205" spans="1:31" x14ac:dyDescent="0.3">
      <c r="A1205" t="str">
        <f>IF(ISBLANK(B1205),"",IF(ROUND(B1205,0)=ROUND(G1205,0),"Pass","Fail"))</f>
        <v>Pass</v>
      </c>
      <c r="B1205">
        <f t="shared" si="104"/>
        <v>28.239997863769531</v>
      </c>
      <c r="C1205">
        <v>10</v>
      </c>
      <c r="D1205">
        <v>40</v>
      </c>
      <c r="E1205">
        <v>60</v>
      </c>
      <c r="F1205">
        <v>16</v>
      </c>
      <c r="G1205">
        <v>28.239997247101702</v>
      </c>
      <c r="M1205" t="str">
        <f t="shared" si="105"/>
        <v>Pass</v>
      </c>
      <c r="N1205">
        <f t="shared" si="106"/>
        <v>2.778623411359149E-6</v>
      </c>
      <c r="O1205">
        <v>60</v>
      </c>
      <c r="P1205">
        <v>60</v>
      </c>
      <c r="Q1205">
        <v>2.5</v>
      </c>
      <c r="R1205" t="b">
        <v>0</v>
      </c>
      <c r="S1205">
        <v>2.7786235664733399E-6</v>
      </c>
      <c r="Y1205" t="str">
        <f t="shared" si="107"/>
        <v>Pass</v>
      </c>
      <c r="Z1205">
        <f t="shared" si="108"/>
        <v>132866.28125</v>
      </c>
      <c r="AA1205">
        <v>18400</v>
      </c>
      <c r="AB1205">
        <v>20</v>
      </c>
      <c r="AC1205">
        <v>6</v>
      </c>
      <c r="AD1205">
        <v>0.2</v>
      </c>
      <c r="AE1205">
        <v>132866.27384175899</v>
      </c>
    </row>
    <row r="1206" spans="1:31" x14ac:dyDescent="0.3">
      <c r="A1206" t="str">
        <f>IF(ISBLANK(B1206),"",IF(ROUND(B1206,0)=ROUND(G1206,0),"Pass","Fail"))</f>
        <v>Pass</v>
      </c>
      <c r="B1206">
        <f t="shared" si="104"/>
        <v>19.792577743530273</v>
      </c>
      <c r="C1206">
        <v>10</v>
      </c>
      <c r="D1206">
        <v>40</v>
      </c>
      <c r="E1206">
        <v>60</v>
      </c>
      <c r="F1206">
        <v>24</v>
      </c>
      <c r="G1206">
        <v>19.7925774137362</v>
      </c>
      <c r="M1206" t="str">
        <f t="shared" si="105"/>
        <v>Pass</v>
      </c>
      <c r="N1206">
        <f t="shared" si="106"/>
        <v>9.6324311016360298E-7</v>
      </c>
      <c r="O1206">
        <v>60</v>
      </c>
      <c r="P1206">
        <v>60</v>
      </c>
      <c r="Q1206">
        <v>3</v>
      </c>
      <c r="R1206" t="b">
        <v>1</v>
      </c>
      <c r="S1206">
        <v>9.6324322921384104E-7</v>
      </c>
      <c r="Y1206" t="str">
        <f t="shared" si="107"/>
        <v>Pass</v>
      </c>
      <c r="Z1206">
        <f t="shared" si="108"/>
        <v>151746.078125</v>
      </c>
      <c r="AA1206">
        <v>18400</v>
      </c>
      <c r="AB1206">
        <v>20</v>
      </c>
      <c r="AC1206">
        <v>8</v>
      </c>
      <c r="AD1206">
        <v>0.2</v>
      </c>
      <c r="AE1206">
        <v>151746.07537861599</v>
      </c>
    </row>
    <row r="1207" spans="1:31" x14ac:dyDescent="0.3">
      <c r="A1207" t="str">
        <f>IF(ISBLANK(B1207),"",IF(ROUND(B1207,0)=ROUND(G1207,0),"Pass","Fail"))</f>
        <v>Pass</v>
      </c>
      <c r="B1207">
        <f t="shared" si="104"/>
        <v>15.540273666381836</v>
      </c>
      <c r="C1207">
        <v>10</v>
      </c>
      <c r="D1207">
        <v>40</v>
      </c>
      <c r="E1207">
        <v>60</v>
      </c>
      <c r="F1207">
        <v>32</v>
      </c>
      <c r="G1207">
        <v>15.540273005994599</v>
      </c>
      <c r="M1207" t="str">
        <f t="shared" si="105"/>
        <v>Pass</v>
      </c>
      <c r="N1207">
        <f t="shared" si="106"/>
        <v>2.8960353120055515E-6</v>
      </c>
      <c r="O1207">
        <v>60</v>
      </c>
      <c r="P1207">
        <v>60</v>
      </c>
      <c r="Q1207">
        <v>3</v>
      </c>
      <c r="R1207" t="b">
        <v>0</v>
      </c>
      <c r="S1207">
        <v>2.89603534295714E-6</v>
      </c>
      <c r="Y1207" t="str">
        <f t="shared" si="107"/>
        <v>Pass</v>
      </c>
      <c r="Z1207">
        <f t="shared" si="108"/>
        <v>164401.59375</v>
      </c>
      <c r="AA1207">
        <v>18400</v>
      </c>
      <c r="AB1207">
        <v>20</v>
      </c>
      <c r="AC1207">
        <v>10</v>
      </c>
      <c r="AD1207">
        <v>0.2</v>
      </c>
      <c r="AE1207">
        <v>164401.584813945</v>
      </c>
    </row>
    <row r="1208" spans="1:31" x14ac:dyDescent="0.3">
      <c r="A1208" t="str">
        <f>IF(ISBLANK(B1208),"",IF(ROUND(B1208,0)=ROUND(G1208,0),"Pass","Fail"))</f>
        <v>Pass</v>
      </c>
      <c r="B1208">
        <f t="shared" si="104"/>
        <v>13.399726867675781</v>
      </c>
      <c r="C1208">
        <v>10</v>
      </c>
      <c r="D1208">
        <v>40</v>
      </c>
      <c r="E1208">
        <v>60</v>
      </c>
      <c r="F1208">
        <v>40</v>
      </c>
      <c r="G1208">
        <v>13.399726764327101</v>
      </c>
      <c r="M1208" t="str">
        <f t="shared" si="105"/>
        <v>Pass</v>
      </c>
      <c r="N1208">
        <f t="shared" si="106"/>
        <v>9.9754583970934618E-7</v>
      </c>
      <c r="O1208">
        <v>60</v>
      </c>
      <c r="P1208">
        <v>60</v>
      </c>
      <c r="Q1208">
        <v>3.5</v>
      </c>
      <c r="R1208" t="b">
        <v>1</v>
      </c>
      <c r="S1208">
        <v>9.9754589596353102E-7</v>
      </c>
      <c r="Y1208" t="str">
        <f t="shared" si="107"/>
        <v>Pass</v>
      </c>
      <c r="Z1208">
        <f t="shared" si="108"/>
        <v>172884.828125</v>
      </c>
      <c r="AA1208">
        <v>18400</v>
      </c>
      <c r="AB1208">
        <v>20</v>
      </c>
      <c r="AC1208">
        <v>12</v>
      </c>
      <c r="AD1208">
        <v>0.2</v>
      </c>
      <c r="AE1208">
        <v>172884.826481239</v>
      </c>
    </row>
    <row r="1209" spans="1:31" x14ac:dyDescent="0.3">
      <c r="A1209" t="str">
        <f>IF(ISBLANK(B1209),"",IF(ROUND(B1209,0)=ROUND(G1209,0),"Pass","Fail"))</f>
        <v>Pass</v>
      </c>
      <c r="B1209">
        <f t="shared" si="104"/>
        <v>12.322208404541016</v>
      </c>
      <c r="C1209">
        <v>10</v>
      </c>
      <c r="D1209">
        <v>40</v>
      </c>
      <c r="E1209">
        <v>60</v>
      </c>
      <c r="F1209">
        <v>48</v>
      </c>
      <c r="G1209">
        <v>12.3222079008197</v>
      </c>
      <c r="M1209" t="str">
        <f t="shared" si="105"/>
        <v>Pass</v>
      </c>
      <c r="N1209">
        <f t="shared" si="106"/>
        <v>2.9991679184604436E-6</v>
      </c>
      <c r="O1209">
        <v>60</v>
      </c>
      <c r="P1209">
        <v>60</v>
      </c>
      <c r="Q1209">
        <v>3.5</v>
      </c>
      <c r="R1209" t="b">
        <v>0</v>
      </c>
      <c r="S1209">
        <v>2.99916789790472E-6</v>
      </c>
      <c r="Y1209" t="str">
        <f t="shared" si="107"/>
        <v>Pass</v>
      </c>
      <c r="Z1209">
        <f t="shared" si="108"/>
        <v>178571.296875</v>
      </c>
      <c r="AA1209">
        <v>18400</v>
      </c>
      <c r="AB1209">
        <v>20</v>
      </c>
      <c r="AC1209">
        <v>14</v>
      </c>
      <c r="AD1209">
        <v>0.2</v>
      </c>
      <c r="AE1209">
        <v>178571.31342619099</v>
      </c>
    </row>
    <row r="1210" spans="1:31" x14ac:dyDescent="0.3">
      <c r="A1210" t="str">
        <f>IF(ISBLANK(B1210),"",IF(ROUND(B1210,0)=ROUND(G1210,0),"Pass","Fail"))</f>
        <v>Pass</v>
      </c>
      <c r="B1210">
        <f t="shared" si="104"/>
        <v>78.358001708984375</v>
      </c>
      <c r="C1210">
        <v>10</v>
      </c>
      <c r="D1210">
        <v>40</v>
      </c>
      <c r="E1210">
        <v>70</v>
      </c>
      <c r="F1210">
        <v>0</v>
      </c>
      <c r="G1210">
        <v>78.358000000000004</v>
      </c>
      <c r="M1210" t="str">
        <f t="shared" si="105"/>
        <v>Pass</v>
      </c>
      <c r="N1210">
        <f t="shared" si="106"/>
        <v>1.0282460607413668E-6</v>
      </c>
      <c r="O1210">
        <v>60</v>
      </c>
      <c r="P1210">
        <v>60</v>
      </c>
      <c r="Q1210">
        <v>4</v>
      </c>
      <c r="R1210" t="b">
        <v>1</v>
      </c>
      <c r="S1210">
        <v>1.02824606973965E-6</v>
      </c>
      <c r="Y1210" t="str">
        <f t="shared" si="107"/>
        <v>Pass</v>
      </c>
      <c r="Z1210">
        <f t="shared" si="108"/>
        <v>182383.078125</v>
      </c>
      <c r="AA1210">
        <v>18400</v>
      </c>
      <c r="AB1210">
        <v>20</v>
      </c>
      <c r="AC1210">
        <v>16</v>
      </c>
      <c r="AD1210">
        <v>0.2</v>
      </c>
      <c r="AE1210">
        <v>182383.07961691299</v>
      </c>
    </row>
    <row r="1211" spans="1:31" x14ac:dyDescent="0.3">
      <c r="A1211" t="str">
        <f>IF(ISBLANK(B1211),"",IF(ROUND(B1211,0)=ROUND(G1211,0),"Pass","Fail"))</f>
        <v>Pass</v>
      </c>
      <c r="B1211">
        <f t="shared" si="104"/>
        <v>45.021228790283203</v>
      </c>
      <c r="C1211">
        <v>10</v>
      </c>
      <c r="D1211">
        <v>40</v>
      </c>
      <c r="E1211">
        <v>70</v>
      </c>
      <c r="F1211">
        <v>8</v>
      </c>
      <c r="G1211">
        <v>45.021228080722999</v>
      </c>
      <c r="M1211" t="str">
        <f t="shared" si="105"/>
        <v>Pass</v>
      </c>
      <c r="N1211">
        <f t="shared" si="106"/>
        <v>3.0914693525119219E-6</v>
      </c>
      <c r="O1211">
        <v>60</v>
      </c>
      <c r="P1211">
        <v>60</v>
      </c>
      <c r="Q1211">
        <v>4</v>
      </c>
      <c r="R1211" t="b">
        <v>0</v>
      </c>
      <c r="S1211">
        <v>3.0914693910210001E-6</v>
      </c>
      <c r="Y1211" t="str">
        <f t="shared" si="107"/>
        <v>Pass</v>
      </c>
      <c r="Z1211">
        <f t="shared" si="108"/>
        <v>184938.1875</v>
      </c>
      <c r="AA1211">
        <v>18400</v>
      </c>
      <c r="AB1211">
        <v>20</v>
      </c>
      <c r="AC1211">
        <v>18</v>
      </c>
      <c r="AD1211">
        <v>0.2</v>
      </c>
      <c r="AE1211">
        <v>184938.18290535401</v>
      </c>
    </row>
    <row r="1212" spans="1:31" x14ac:dyDescent="0.3">
      <c r="A1212" t="str">
        <f>IF(ISBLANK(B1212),"",IF(ROUND(B1212,0)=ROUND(G1212,0),"Pass","Fail"))</f>
        <v>Pass</v>
      </c>
      <c r="B1212">
        <f t="shared" si="104"/>
        <v>28.239997863769531</v>
      </c>
      <c r="C1212">
        <v>10</v>
      </c>
      <c r="D1212">
        <v>40</v>
      </c>
      <c r="E1212">
        <v>70</v>
      </c>
      <c r="F1212">
        <v>16</v>
      </c>
      <c r="G1212">
        <v>28.239997247101702</v>
      </c>
      <c r="M1212" t="str">
        <f t="shared" si="105"/>
        <v>Pass</v>
      </c>
      <c r="N1212">
        <f t="shared" si="106"/>
        <v>0</v>
      </c>
      <c r="O1212">
        <v>60</v>
      </c>
      <c r="P1212">
        <v>70</v>
      </c>
      <c r="Q1212">
        <v>0</v>
      </c>
      <c r="R1212" t="b">
        <v>1</v>
      </c>
      <c r="S1212">
        <v>0</v>
      </c>
      <c r="Y1212" t="str">
        <f t="shared" si="107"/>
        <v>Pass</v>
      </c>
      <c r="Z1212">
        <f t="shared" si="108"/>
        <v>186650.9375</v>
      </c>
      <c r="AA1212">
        <v>18400</v>
      </c>
      <c r="AB1212">
        <v>20</v>
      </c>
      <c r="AC1212">
        <v>20</v>
      </c>
      <c r="AD1212">
        <v>0.2</v>
      </c>
      <c r="AE1212">
        <v>186650.919859288</v>
      </c>
    </row>
    <row r="1213" spans="1:31" x14ac:dyDescent="0.3">
      <c r="A1213" t="str">
        <f>IF(ISBLANK(B1213),"",IF(ROUND(B1213,0)=ROUND(G1213,0),"Pass","Fail"))</f>
        <v>Pass</v>
      </c>
      <c r="B1213">
        <f t="shared" si="104"/>
        <v>19.792577743530273</v>
      </c>
      <c r="C1213">
        <v>10</v>
      </c>
      <c r="D1213">
        <v>40</v>
      </c>
      <c r="E1213">
        <v>70</v>
      </c>
      <c r="F1213">
        <v>24</v>
      </c>
      <c r="G1213">
        <v>19.7925774137362</v>
      </c>
      <c r="M1213" t="str">
        <f t="shared" si="105"/>
        <v>Pass</v>
      </c>
      <c r="N1213">
        <f t="shared" si="106"/>
        <v>0</v>
      </c>
      <c r="O1213">
        <v>60</v>
      </c>
      <c r="P1213">
        <v>70</v>
      </c>
      <c r="Q1213">
        <v>0</v>
      </c>
      <c r="R1213" t="b">
        <v>0</v>
      </c>
      <c r="S1213">
        <v>0</v>
      </c>
      <c r="Y1213" t="str">
        <f t="shared" si="107"/>
        <v>Pass</v>
      </c>
      <c r="Z1213">
        <f t="shared" si="108"/>
        <v>187799.015625</v>
      </c>
      <c r="AA1213">
        <v>18400</v>
      </c>
      <c r="AB1213">
        <v>20</v>
      </c>
      <c r="AC1213">
        <v>22</v>
      </c>
      <c r="AD1213">
        <v>0.2</v>
      </c>
      <c r="AE1213">
        <v>187799.00177309601</v>
      </c>
    </row>
    <row r="1214" spans="1:31" x14ac:dyDescent="0.3">
      <c r="A1214" t="str">
        <f>IF(ISBLANK(B1214),"",IF(ROUND(B1214,0)=ROUND(G1214,0),"Pass","Fail"))</f>
        <v>Pass</v>
      </c>
      <c r="B1214">
        <f t="shared" si="104"/>
        <v>15.540273666381836</v>
      </c>
      <c r="C1214">
        <v>10</v>
      </c>
      <c r="D1214">
        <v>40</v>
      </c>
      <c r="E1214">
        <v>70</v>
      </c>
      <c r="F1214">
        <v>32</v>
      </c>
      <c r="G1214">
        <v>15.540273005994599</v>
      </c>
      <c r="M1214" t="str">
        <f t="shared" si="105"/>
        <v>Pass</v>
      </c>
      <c r="N1214">
        <f t="shared" si="106"/>
        <v>1.1746748462826417E-8</v>
      </c>
      <c r="O1214">
        <v>60</v>
      </c>
      <c r="P1214">
        <v>70</v>
      </c>
      <c r="Q1214">
        <v>0.5</v>
      </c>
      <c r="R1214" t="b">
        <v>1</v>
      </c>
      <c r="S1214">
        <v>1.1746749445298901E-8</v>
      </c>
      <c r="Y1214" t="str">
        <f t="shared" si="107"/>
        <v>Pass</v>
      </c>
      <c r="Z1214">
        <f t="shared" si="108"/>
        <v>188568.59375</v>
      </c>
      <c r="AA1214">
        <v>18400</v>
      </c>
      <c r="AB1214">
        <v>20</v>
      </c>
      <c r="AC1214">
        <v>24</v>
      </c>
      <c r="AD1214">
        <v>0.2</v>
      </c>
      <c r="AE1214">
        <v>188568.58409441201</v>
      </c>
    </row>
    <row r="1215" spans="1:31" x14ac:dyDescent="0.3">
      <c r="A1215" t="str">
        <f>IF(ISBLANK(B1215),"",IF(ROUND(B1215,0)=ROUND(G1215,0),"Pass","Fail"))</f>
        <v>Pass</v>
      </c>
      <c r="B1215">
        <f t="shared" si="104"/>
        <v>13.399726867675781</v>
      </c>
      <c r="C1215">
        <v>10</v>
      </c>
      <c r="D1215">
        <v>40</v>
      </c>
      <c r="E1215">
        <v>70</v>
      </c>
      <c r="F1215">
        <v>40</v>
      </c>
      <c r="G1215">
        <v>13.399726764327101</v>
      </c>
      <c r="M1215" t="str">
        <f t="shared" si="105"/>
        <v>Pass</v>
      </c>
      <c r="N1215">
        <f t="shared" si="106"/>
        <v>3.5317146540592148E-8</v>
      </c>
      <c r="O1215">
        <v>60</v>
      </c>
      <c r="P1215">
        <v>70</v>
      </c>
      <c r="Q1215">
        <v>0.5</v>
      </c>
      <c r="R1215" t="b">
        <v>0</v>
      </c>
      <c r="S1215">
        <v>3.5317145791113097E-8</v>
      </c>
      <c r="Y1215" t="str">
        <f t="shared" si="107"/>
        <v>Pass</v>
      </c>
      <c r="Z1215">
        <f t="shared" si="108"/>
        <v>0</v>
      </c>
      <c r="AA1215">
        <v>18600</v>
      </c>
      <c r="AB1215">
        <v>20</v>
      </c>
      <c r="AC1215">
        <v>0</v>
      </c>
      <c r="AD1215">
        <v>0.2</v>
      </c>
      <c r="AE1215">
        <v>0</v>
      </c>
    </row>
    <row r="1216" spans="1:31" x14ac:dyDescent="0.3">
      <c r="A1216" t="str">
        <f>IF(ISBLANK(B1216),"",IF(ROUND(B1216,0)=ROUND(G1216,0),"Pass","Fail"))</f>
        <v>Pass</v>
      </c>
      <c r="B1216">
        <f t="shared" si="104"/>
        <v>12.322208404541016</v>
      </c>
      <c r="C1216">
        <v>10</v>
      </c>
      <c r="D1216">
        <v>40</v>
      </c>
      <c r="E1216">
        <v>70</v>
      </c>
      <c r="F1216">
        <v>48</v>
      </c>
      <c r="G1216">
        <v>12.3222079008197</v>
      </c>
      <c r="M1216" t="str">
        <f t="shared" si="105"/>
        <v>Pass</v>
      </c>
      <c r="N1216">
        <f t="shared" si="106"/>
        <v>1.3748379323885729E-8</v>
      </c>
      <c r="O1216">
        <v>60</v>
      </c>
      <c r="P1216">
        <v>70</v>
      </c>
      <c r="Q1216">
        <v>1</v>
      </c>
      <c r="R1216" t="b">
        <v>1</v>
      </c>
      <c r="S1216">
        <v>1.37483795925202E-8</v>
      </c>
      <c r="Y1216" t="str">
        <f t="shared" si="107"/>
        <v>Pass</v>
      </c>
      <c r="Z1216">
        <f t="shared" si="108"/>
        <v>63364.484375</v>
      </c>
      <c r="AA1216">
        <v>18600</v>
      </c>
      <c r="AB1216">
        <v>20</v>
      </c>
      <c r="AC1216">
        <v>2</v>
      </c>
      <c r="AD1216">
        <v>0.2</v>
      </c>
      <c r="AE1216">
        <v>63364.487151950103</v>
      </c>
    </row>
    <row r="1217" spans="1:31" x14ac:dyDescent="0.3">
      <c r="A1217" t="str">
        <f>IF(ISBLANK(B1217),"",IF(ROUND(B1217,0)=ROUND(G1217,0),"Pass","Fail"))</f>
        <v>Pass</v>
      </c>
      <c r="B1217">
        <f t="shared" si="104"/>
        <v>78.358001708984375</v>
      </c>
      <c r="C1217">
        <v>10</v>
      </c>
      <c r="D1217">
        <v>40</v>
      </c>
      <c r="E1217">
        <v>80</v>
      </c>
      <c r="F1217">
        <v>0</v>
      </c>
      <c r="G1217">
        <v>78.358000000000004</v>
      </c>
      <c r="M1217" t="str">
        <f t="shared" si="105"/>
        <v>Pass</v>
      </c>
      <c r="N1217">
        <f t="shared" si="106"/>
        <v>4.1335141531817499E-8</v>
      </c>
      <c r="O1217">
        <v>60</v>
      </c>
      <c r="P1217">
        <v>70</v>
      </c>
      <c r="Q1217">
        <v>1</v>
      </c>
      <c r="R1217" t="b">
        <v>0</v>
      </c>
      <c r="S1217">
        <v>4.1335139454678803E-8</v>
      </c>
      <c r="Y1217" t="str">
        <f t="shared" si="107"/>
        <v>Pass</v>
      </c>
      <c r="Z1217">
        <f t="shared" si="108"/>
        <v>105838.9765625</v>
      </c>
      <c r="AA1217">
        <v>18600</v>
      </c>
      <c r="AB1217">
        <v>20</v>
      </c>
      <c r="AC1217">
        <v>4</v>
      </c>
      <c r="AD1217">
        <v>0.2</v>
      </c>
      <c r="AE1217">
        <v>105838.97309667</v>
      </c>
    </row>
    <row r="1218" spans="1:31" x14ac:dyDescent="0.3">
      <c r="A1218" t="str">
        <f>IF(ISBLANK(B1218),"",IF(ROUND(B1218,0)=ROUND(G1218,0),"Pass","Fail"))</f>
        <v>Pass</v>
      </c>
      <c r="B1218">
        <f t="shared" si="104"/>
        <v>45.021228790283203</v>
      </c>
      <c r="C1218">
        <v>10</v>
      </c>
      <c r="D1218">
        <v>40</v>
      </c>
      <c r="E1218">
        <v>80</v>
      </c>
      <c r="F1218">
        <v>8</v>
      </c>
      <c r="G1218">
        <v>45.021228080722999</v>
      </c>
      <c r="M1218" t="str">
        <f t="shared" si="105"/>
        <v>Pass</v>
      </c>
      <c r="N1218">
        <f t="shared" si="106"/>
        <v>1.5073849723989952E-8</v>
      </c>
      <c r="O1218">
        <v>60</v>
      </c>
      <c r="P1218">
        <v>70</v>
      </c>
      <c r="Q1218">
        <v>1.5</v>
      </c>
      <c r="R1218" t="b">
        <v>1</v>
      </c>
      <c r="S1218">
        <v>1.5073851423407198E-8</v>
      </c>
      <c r="Y1218" t="str">
        <f t="shared" si="107"/>
        <v>Pass</v>
      </c>
      <c r="Z1218">
        <f t="shared" si="108"/>
        <v>134310.484375</v>
      </c>
      <c r="AA1218">
        <v>18600</v>
      </c>
      <c r="AB1218">
        <v>20</v>
      </c>
      <c r="AC1218">
        <v>6</v>
      </c>
      <c r="AD1218">
        <v>0.2</v>
      </c>
      <c r="AE1218">
        <v>134310.47247047399</v>
      </c>
    </row>
    <row r="1219" spans="1:31" x14ac:dyDescent="0.3">
      <c r="A1219" t="str">
        <f>IF(ISBLANK(B1219),"",IF(ROUND(B1219,0)=ROUND(G1219,0),"Pass","Fail"))</f>
        <v>Pass</v>
      </c>
      <c r="B1219">
        <f t="shared" si="104"/>
        <v>28.239997863769531</v>
      </c>
      <c r="C1219">
        <v>10</v>
      </c>
      <c r="D1219">
        <v>40</v>
      </c>
      <c r="E1219">
        <v>80</v>
      </c>
      <c r="F1219">
        <v>16</v>
      </c>
      <c r="G1219">
        <v>28.239997247101702</v>
      </c>
      <c r="M1219" t="str">
        <f t="shared" si="105"/>
        <v>Pass</v>
      </c>
      <c r="N1219">
        <f t="shared" si="106"/>
        <v>4.5320234676182736E-8</v>
      </c>
      <c r="O1219">
        <v>60</v>
      </c>
      <c r="P1219">
        <v>70</v>
      </c>
      <c r="Q1219">
        <v>1.5</v>
      </c>
      <c r="R1219" t="b">
        <v>0</v>
      </c>
      <c r="S1219">
        <v>4.5320231850787099E-8</v>
      </c>
      <c r="Y1219" t="str">
        <f t="shared" si="107"/>
        <v>Pass</v>
      </c>
      <c r="Z1219">
        <f t="shared" si="108"/>
        <v>153395.484375</v>
      </c>
      <c r="AA1219">
        <v>18600</v>
      </c>
      <c r="AB1219">
        <v>20</v>
      </c>
      <c r="AC1219">
        <v>8</v>
      </c>
      <c r="AD1219">
        <v>0.2</v>
      </c>
      <c r="AE1219">
        <v>153395.48924142701</v>
      </c>
    </row>
    <row r="1220" spans="1:31" x14ac:dyDescent="0.3">
      <c r="A1220" t="str">
        <f>IF(ISBLANK(B1220),"",IF(ROUND(B1220,0)=ROUND(G1220,0),"Pass","Fail"))</f>
        <v>Pass</v>
      </c>
      <c r="B1220">
        <f t="shared" si="104"/>
        <v>19.792577743530273</v>
      </c>
      <c r="C1220">
        <v>10</v>
      </c>
      <c r="D1220">
        <v>40</v>
      </c>
      <c r="E1220">
        <v>80</v>
      </c>
      <c r="F1220">
        <v>24</v>
      </c>
      <c r="G1220">
        <v>19.7925774137362</v>
      </c>
      <c r="M1220" t="str">
        <f t="shared" si="105"/>
        <v>Pass</v>
      </c>
      <c r="N1220">
        <f t="shared" si="106"/>
        <v>1.6091084020786184E-8</v>
      </c>
      <c r="O1220">
        <v>60</v>
      </c>
      <c r="P1220">
        <v>70</v>
      </c>
      <c r="Q1220">
        <v>2</v>
      </c>
      <c r="R1220" t="b">
        <v>1</v>
      </c>
      <c r="S1220">
        <v>1.6091084797562599E-8</v>
      </c>
      <c r="Y1220" t="str">
        <f t="shared" si="107"/>
        <v>Pass</v>
      </c>
      <c r="Z1220">
        <f t="shared" si="108"/>
        <v>166188.5625</v>
      </c>
      <c r="AA1220">
        <v>18600</v>
      </c>
      <c r="AB1220">
        <v>20</v>
      </c>
      <c r="AC1220">
        <v>10</v>
      </c>
      <c r="AD1220">
        <v>0.2</v>
      </c>
      <c r="AE1220">
        <v>166188.55856192301</v>
      </c>
    </row>
    <row r="1221" spans="1:31" x14ac:dyDescent="0.3">
      <c r="A1221" t="str">
        <f>IF(ISBLANK(B1221),"",IF(ROUND(B1221,0)=ROUND(G1221,0),"Pass","Fail"))</f>
        <v>Pass</v>
      </c>
      <c r="B1221">
        <f t="shared" si="104"/>
        <v>15.540273666381836</v>
      </c>
      <c r="C1221">
        <v>10</v>
      </c>
      <c r="D1221">
        <v>40</v>
      </c>
      <c r="E1221">
        <v>80</v>
      </c>
      <c r="F1221">
        <v>32</v>
      </c>
      <c r="G1221">
        <v>15.540273005994599</v>
      </c>
      <c r="M1221" t="str">
        <f t="shared" si="105"/>
        <v>Pass</v>
      </c>
      <c r="N1221">
        <f t="shared" si="106"/>
        <v>4.8378588246578147E-8</v>
      </c>
      <c r="O1221">
        <v>60</v>
      </c>
      <c r="P1221">
        <v>70</v>
      </c>
      <c r="Q1221">
        <v>2</v>
      </c>
      <c r="R1221" t="b">
        <v>0</v>
      </c>
      <c r="S1221">
        <v>4.8378591062918803E-8</v>
      </c>
      <c r="Y1221" t="str">
        <f t="shared" si="107"/>
        <v>Pass</v>
      </c>
      <c r="Z1221">
        <f t="shared" si="108"/>
        <v>174764.015625</v>
      </c>
      <c r="AA1221">
        <v>18600</v>
      </c>
      <c r="AB1221">
        <v>20</v>
      </c>
      <c r="AC1221">
        <v>12</v>
      </c>
      <c r="AD1221">
        <v>0.2</v>
      </c>
      <c r="AE1221">
        <v>174764.009377774</v>
      </c>
    </row>
    <row r="1222" spans="1:31" x14ac:dyDescent="0.3">
      <c r="A1222" t="str">
        <f>IF(ISBLANK(B1222),"",IF(ROUND(B1222,0)=ROUND(G1222,0),"Pass","Fail"))</f>
        <v>Pass</v>
      </c>
      <c r="B1222">
        <f t="shared" si="104"/>
        <v>13.399726867675781</v>
      </c>
      <c r="C1222">
        <v>10</v>
      </c>
      <c r="D1222">
        <v>40</v>
      </c>
      <c r="E1222">
        <v>80</v>
      </c>
      <c r="F1222">
        <v>40</v>
      </c>
      <c r="G1222">
        <v>13.399726764327101</v>
      </c>
      <c r="M1222" t="str">
        <f t="shared" si="105"/>
        <v>Pass</v>
      </c>
      <c r="N1222">
        <f t="shared" si="106"/>
        <v>1.6927151236245663E-8</v>
      </c>
      <c r="O1222">
        <v>60</v>
      </c>
      <c r="P1222">
        <v>70</v>
      </c>
      <c r="Q1222">
        <v>2.5</v>
      </c>
      <c r="R1222" t="b">
        <v>1</v>
      </c>
      <c r="S1222">
        <v>1.69271520945135E-8</v>
      </c>
      <c r="Y1222" t="str">
        <f t="shared" si="107"/>
        <v>Pass</v>
      </c>
      <c r="Z1222">
        <f t="shared" si="108"/>
        <v>180512.296875</v>
      </c>
      <c r="AA1222">
        <v>18600</v>
      </c>
      <c r="AB1222">
        <v>20</v>
      </c>
      <c r="AC1222">
        <v>14</v>
      </c>
      <c r="AD1222">
        <v>0.2</v>
      </c>
      <c r="AE1222">
        <v>180512.305963433</v>
      </c>
    </row>
    <row r="1223" spans="1:31" x14ac:dyDescent="0.3">
      <c r="A1223" t="str">
        <f>IF(ISBLANK(B1223),"",IF(ROUND(B1223,0)=ROUND(G1223,0),"Pass","Fail"))</f>
        <v>Pass</v>
      </c>
      <c r="B1223">
        <f t="shared" ref="B1223:B1286" si="109">FMC_heath(C1223,D1223,E1223,F1223)</f>
        <v>12.322208404541016</v>
      </c>
      <c r="C1223">
        <v>10</v>
      </c>
      <c r="D1223">
        <v>40</v>
      </c>
      <c r="E1223">
        <v>80</v>
      </c>
      <c r="F1223">
        <v>48</v>
      </c>
      <c r="G1223">
        <v>12.3222079008197</v>
      </c>
      <c r="M1223" t="str">
        <f t="shared" ref="M1223:M1286" si="110">IF(ISBLANK(N1223),"",IF(ROUND(N1223,0)=ROUND(S1223,0),"Pass","Fail"))</f>
        <v>Pass</v>
      </c>
      <c r="N1223">
        <f t="shared" ref="N1223:N1286" si="111">ROS_heath(O1223,Q1223,P1223,R1223)</f>
        <v>5.0892264624735617E-8</v>
      </c>
      <c r="O1223">
        <v>60</v>
      </c>
      <c r="P1223">
        <v>70</v>
      </c>
      <c r="Q1223">
        <v>2.5</v>
      </c>
      <c r="R1223" t="b">
        <v>0</v>
      </c>
      <c r="S1223">
        <v>5.0892266080428699E-8</v>
      </c>
      <c r="Y1223" t="str">
        <f t="shared" ref="Y1223:Y1286" si="112">IF(ISBLANK(Z1223),"",IF(ROUND(Z1223,0)=ROUND(AE1223,0),"Pass","Fail"))</f>
        <v>Pass</v>
      </c>
      <c r="Z1223">
        <f t="shared" ref="Z1223:Z1286" si="113">intensity_heath(AA1223,AB1223,AC1223,AD1223)</f>
        <v>184365.5</v>
      </c>
      <c r="AA1223">
        <v>18600</v>
      </c>
      <c r="AB1223">
        <v>20</v>
      </c>
      <c r="AC1223">
        <v>16</v>
      </c>
      <c r="AD1223">
        <v>0.2</v>
      </c>
      <c r="AE1223">
        <v>184365.504395358</v>
      </c>
    </row>
    <row r="1224" spans="1:31" x14ac:dyDescent="0.3">
      <c r="A1224" t="str">
        <f>IF(ISBLANK(B1224),"",IF(ROUND(B1224,0)=ROUND(G1224,0),"Pass","Fail"))</f>
        <v>Pass</v>
      </c>
      <c r="B1224">
        <f t="shared" si="109"/>
        <v>78.358001708984375</v>
      </c>
      <c r="C1224">
        <v>10</v>
      </c>
      <c r="D1224">
        <v>40</v>
      </c>
      <c r="E1224">
        <v>90</v>
      </c>
      <c r="F1224">
        <v>0</v>
      </c>
      <c r="G1224">
        <v>78.358000000000004</v>
      </c>
      <c r="M1224" t="str">
        <f t="shared" si="110"/>
        <v>Pass</v>
      </c>
      <c r="N1224">
        <f t="shared" si="111"/>
        <v>1.764241375212805E-8</v>
      </c>
      <c r="O1224">
        <v>60</v>
      </c>
      <c r="P1224">
        <v>70</v>
      </c>
      <c r="Q1224">
        <v>3</v>
      </c>
      <c r="R1224" t="b">
        <v>1</v>
      </c>
      <c r="S1224">
        <v>1.76424152277456E-8</v>
      </c>
      <c r="Y1224" t="str">
        <f t="shared" si="112"/>
        <v>Pass</v>
      </c>
      <c r="Z1224">
        <f t="shared" si="113"/>
        <v>186948.390625</v>
      </c>
      <c r="AA1224">
        <v>18600</v>
      </c>
      <c r="AB1224">
        <v>20</v>
      </c>
      <c r="AC1224">
        <v>18</v>
      </c>
      <c r="AD1224">
        <v>0.2</v>
      </c>
      <c r="AE1224">
        <v>186948.38054563</v>
      </c>
    </row>
    <row r="1225" spans="1:31" x14ac:dyDescent="0.3">
      <c r="A1225" t="str">
        <f>IF(ISBLANK(B1225),"",IF(ROUND(B1225,0)=ROUND(G1225,0),"Pass","Fail"))</f>
        <v>Pass</v>
      </c>
      <c r="B1225">
        <f t="shared" si="109"/>
        <v>45.021228790283203</v>
      </c>
      <c r="C1225">
        <v>10</v>
      </c>
      <c r="D1225">
        <v>40</v>
      </c>
      <c r="E1225">
        <v>90</v>
      </c>
      <c r="F1225">
        <v>8</v>
      </c>
      <c r="G1225">
        <v>45.021228080722999</v>
      </c>
      <c r="M1225" t="str">
        <f t="shared" si="110"/>
        <v>Pass</v>
      </c>
      <c r="N1225">
        <f t="shared" si="111"/>
        <v>5.3042736425368275E-8</v>
      </c>
      <c r="O1225">
        <v>60</v>
      </c>
      <c r="P1225">
        <v>70</v>
      </c>
      <c r="Q1225">
        <v>3</v>
      </c>
      <c r="R1225" t="b">
        <v>0</v>
      </c>
      <c r="S1225">
        <v>5.3042737789474702E-8</v>
      </c>
      <c r="Y1225" t="str">
        <f t="shared" si="112"/>
        <v>Pass</v>
      </c>
      <c r="Z1225">
        <f t="shared" si="113"/>
        <v>188679.75</v>
      </c>
      <c r="AA1225">
        <v>18600</v>
      </c>
      <c r="AB1225">
        <v>20</v>
      </c>
      <c r="AC1225">
        <v>20</v>
      </c>
      <c r="AD1225">
        <v>0.2</v>
      </c>
      <c r="AE1225">
        <v>188679.734205585</v>
      </c>
    </row>
    <row r="1226" spans="1:31" x14ac:dyDescent="0.3">
      <c r="A1226" t="str">
        <f>IF(ISBLANK(B1226),"",IF(ROUND(B1226,0)=ROUND(G1226,0),"Pass","Fail"))</f>
        <v>Pass</v>
      </c>
      <c r="B1226">
        <f t="shared" si="109"/>
        <v>28.239997863769531</v>
      </c>
      <c r="C1226">
        <v>10</v>
      </c>
      <c r="D1226">
        <v>40</v>
      </c>
      <c r="E1226">
        <v>90</v>
      </c>
      <c r="F1226">
        <v>16</v>
      </c>
      <c r="G1226">
        <v>28.239997247101702</v>
      </c>
      <c r="M1226" t="str">
        <f t="shared" si="110"/>
        <v>Pass</v>
      </c>
      <c r="N1226">
        <f t="shared" si="111"/>
        <v>1.8270689849941846E-8</v>
      </c>
      <c r="O1226">
        <v>60</v>
      </c>
      <c r="P1226">
        <v>70</v>
      </c>
      <c r="Q1226">
        <v>3.5</v>
      </c>
      <c r="R1226" t="b">
        <v>1</v>
      </c>
      <c r="S1226">
        <v>1.8270690487682699E-8</v>
      </c>
      <c r="Y1226" t="str">
        <f t="shared" si="112"/>
        <v>Pass</v>
      </c>
      <c r="Z1226">
        <f t="shared" si="113"/>
        <v>189840.3125</v>
      </c>
      <c r="AA1226">
        <v>18600</v>
      </c>
      <c r="AB1226">
        <v>20</v>
      </c>
      <c r="AC1226">
        <v>22</v>
      </c>
      <c r="AD1226">
        <v>0.2</v>
      </c>
      <c r="AE1226">
        <v>189840.29527063001</v>
      </c>
    </row>
    <row r="1227" spans="1:31" x14ac:dyDescent="0.3">
      <c r="A1227" t="str">
        <f>IF(ISBLANK(B1227),"",IF(ROUND(B1227,0)=ROUND(G1227,0),"Pass","Fail"))</f>
        <v>Pass</v>
      </c>
      <c r="B1227">
        <f t="shared" si="109"/>
        <v>19.792577743530273</v>
      </c>
      <c r="C1227">
        <v>10</v>
      </c>
      <c r="D1227">
        <v>40</v>
      </c>
      <c r="E1227">
        <v>90</v>
      </c>
      <c r="F1227">
        <v>24</v>
      </c>
      <c r="G1227">
        <v>19.7925774137362</v>
      </c>
      <c r="M1227" t="str">
        <f t="shared" si="110"/>
        <v>Pass</v>
      </c>
      <c r="N1227">
        <f t="shared" si="111"/>
        <v>5.4931678761249714E-8</v>
      </c>
      <c r="O1227">
        <v>60</v>
      </c>
      <c r="P1227">
        <v>70</v>
      </c>
      <c r="Q1227">
        <v>3.5</v>
      </c>
      <c r="R1227" t="b">
        <v>0</v>
      </c>
      <c r="S1227">
        <v>5.4931676432073301E-8</v>
      </c>
      <c r="Y1227" t="str">
        <f t="shared" si="112"/>
        <v>Pass</v>
      </c>
      <c r="Z1227">
        <f t="shared" si="113"/>
        <v>190618.25</v>
      </c>
      <c r="AA1227">
        <v>18600</v>
      </c>
      <c r="AB1227">
        <v>20</v>
      </c>
      <c r="AC1227">
        <v>24</v>
      </c>
      <c r="AD1227">
        <v>0.2</v>
      </c>
      <c r="AE1227">
        <v>190618.24261717801</v>
      </c>
    </row>
    <row r="1228" spans="1:31" x14ac:dyDescent="0.3">
      <c r="A1228" t="str">
        <f>IF(ISBLANK(B1228),"",IF(ROUND(B1228,0)=ROUND(G1228,0),"Pass","Fail"))</f>
        <v>Pass</v>
      </c>
      <c r="B1228">
        <f t="shared" si="109"/>
        <v>15.540273666381836</v>
      </c>
      <c r="C1228">
        <v>10</v>
      </c>
      <c r="D1228">
        <v>40</v>
      </c>
      <c r="E1228">
        <v>90</v>
      </c>
      <c r="F1228">
        <v>32</v>
      </c>
      <c r="G1228">
        <v>15.540273005994599</v>
      </c>
      <c r="M1228" t="str">
        <f t="shared" si="110"/>
        <v>Pass</v>
      </c>
      <c r="N1228">
        <f t="shared" si="111"/>
        <v>1.8832983172956119E-8</v>
      </c>
      <c r="O1228">
        <v>60</v>
      </c>
      <c r="P1228">
        <v>70</v>
      </c>
      <c r="Q1228">
        <v>4</v>
      </c>
      <c r="R1228" t="b">
        <v>1</v>
      </c>
      <c r="S1228">
        <v>1.8832983786919699E-8</v>
      </c>
      <c r="Y1228" t="str">
        <f t="shared" si="112"/>
        <v>Pass</v>
      </c>
      <c r="Z1228">
        <f t="shared" si="113"/>
        <v>0</v>
      </c>
      <c r="AA1228">
        <v>18800</v>
      </c>
      <c r="AB1228">
        <v>20</v>
      </c>
      <c r="AC1228">
        <v>0</v>
      </c>
      <c r="AD1228">
        <v>0.2</v>
      </c>
      <c r="AE1228">
        <v>0</v>
      </c>
    </row>
    <row r="1229" spans="1:31" x14ac:dyDescent="0.3">
      <c r="A1229" t="str">
        <f>IF(ISBLANK(B1229),"",IF(ROUND(B1229,0)=ROUND(G1229,0),"Pass","Fail"))</f>
        <v>Pass</v>
      </c>
      <c r="B1229">
        <f t="shared" si="109"/>
        <v>13.399726867675781</v>
      </c>
      <c r="C1229">
        <v>10</v>
      </c>
      <c r="D1229">
        <v>40</v>
      </c>
      <c r="E1229">
        <v>90</v>
      </c>
      <c r="F1229">
        <v>40</v>
      </c>
      <c r="G1229">
        <v>13.399726764327101</v>
      </c>
      <c r="M1229" t="str">
        <f t="shared" si="110"/>
        <v>Pass</v>
      </c>
      <c r="N1229">
        <f t="shared" si="111"/>
        <v>5.6622234012593253E-8</v>
      </c>
      <c r="O1229">
        <v>60</v>
      </c>
      <c r="P1229">
        <v>70</v>
      </c>
      <c r="Q1229">
        <v>4</v>
      </c>
      <c r="R1229" t="b">
        <v>0</v>
      </c>
      <c r="S1229">
        <v>5.6622237256494998E-8</v>
      </c>
      <c r="Y1229" t="str">
        <f t="shared" si="112"/>
        <v>Pass</v>
      </c>
      <c r="Z1229">
        <f t="shared" si="113"/>
        <v>64045.82421875</v>
      </c>
      <c r="AA1229">
        <v>18800</v>
      </c>
      <c r="AB1229">
        <v>20</v>
      </c>
      <c r="AC1229">
        <v>2</v>
      </c>
      <c r="AD1229">
        <v>0.2</v>
      </c>
      <c r="AE1229">
        <v>64045.825723476402</v>
      </c>
    </row>
    <row r="1230" spans="1:31" x14ac:dyDescent="0.3">
      <c r="A1230" t="str">
        <f>IF(ISBLANK(B1230),"",IF(ROUND(B1230,0)=ROUND(G1230,0),"Pass","Fail"))</f>
        <v>Pass</v>
      </c>
      <c r="B1230">
        <f t="shared" si="109"/>
        <v>12.322208404541016</v>
      </c>
      <c r="C1230">
        <v>10</v>
      </c>
      <c r="D1230">
        <v>40</v>
      </c>
      <c r="E1230">
        <v>90</v>
      </c>
      <c r="F1230">
        <v>48</v>
      </c>
      <c r="G1230">
        <v>12.3222079008197</v>
      </c>
      <c r="M1230" t="str">
        <f t="shared" si="110"/>
        <v>Pass</v>
      </c>
      <c r="N1230">
        <f t="shared" si="111"/>
        <v>0</v>
      </c>
      <c r="O1230">
        <v>60</v>
      </c>
      <c r="P1230">
        <v>80</v>
      </c>
      <c r="Q1230">
        <v>0</v>
      </c>
      <c r="R1230" t="b">
        <v>1</v>
      </c>
      <c r="S1230">
        <v>0</v>
      </c>
      <c r="Y1230" t="str">
        <f t="shared" si="112"/>
        <v>Pass</v>
      </c>
      <c r="Z1230">
        <f t="shared" si="113"/>
        <v>106977.03125</v>
      </c>
      <c r="AA1230">
        <v>18800</v>
      </c>
      <c r="AB1230">
        <v>20</v>
      </c>
      <c r="AC1230">
        <v>4</v>
      </c>
      <c r="AD1230">
        <v>0.2</v>
      </c>
      <c r="AE1230">
        <v>106977.026570827</v>
      </c>
    </row>
    <row r="1231" spans="1:31" x14ac:dyDescent="0.3">
      <c r="A1231" t="str">
        <f>IF(ISBLANK(B1231),"",IF(ROUND(B1231,0)=ROUND(G1231,0),"Pass","Fail"))</f>
        <v>Pass</v>
      </c>
      <c r="B1231">
        <f t="shared" si="109"/>
        <v>78.358001708984375</v>
      </c>
      <c r="C1231">
        <v>10</v>
      </c>
      <c r="D1231">
        <v>40</v>
      </c>
      <c r="E1231">
        <v>100</v>
      </c>
      <c r="F1231">
        <v>0</v>
      </c>
      <c r="G1231">
        <v>78.358000000000004</v>
      </c>
      <c r="M1231" t="str">
        <f t="shared" si="110"/>
        <v>Pass</v>
      </c>
      <c r="N1231">
        <f t="shared" si="111"/>
        <v>0</v>
      </c>
      <c r="O1231">
        <v>60</v>
      </c>
      <c r="P1231">
        <v>80</v>
      </c>
      <c r="Q1231">
        <v>0</v>
      </c>
      <c r="R1231" t="b">
        <v>0</v>
      </c>
      <c r="S1231">
        <v>0</v>
      </c>
      <c r="Y1231" t="str">
        <f t="shared" si="112"/>
        <v>Pass</v>
      </c>
      <c r="Z1231">
        <f t="shared" si="113"/>
        <v>135754.671875</v>
      </c>
      <c r="AA1231">
        <v>18800</v>
      </c>
      <c r="AB1231">
        <v>20</v>
      </c>
      <c r="AC1231">
        <v>6</v>
      </c>
      <c r="AD1231">
        <v>0.2</v>
      </c>
      <c r="AE1231">
        <v>135754.671099189</v>
      </c>
    </row>
    <row r="1232" spans="1:31" x14ac:dyDescent="0.3">
      <c r="A1232" t="str">
        <f>IF(ISBLANK(B1232),"",IF(ROUND(B1232,0)=ROUND(G1232,0),"Pass","Fail"))</f>
        <v>Pass</v>
      </c>
      <c r="B1232">
        <f t="shared" si="109"/>
        <v>45.021228790283203</v>
      </c>
      <c r="C1232">
        <v>10</v>
      </c>
      <c r="D1232">
        <v>40</v>
      </c>
      <c r="E1232">
        <v>100</v>
      </c>
      <c r="F1232">
        <v>8</v>
      </c>
      <c r="G1232">
        <v>45.021228080722999</v>
      </c>
      <c r="M1232" t="str">
        <f t="shared" si="110"/>
        <v>Pass</v>
      </c>
      <c r="N1232">
        <f t="shared" si="111"/>
        <v>2.1514920400811377E-10</v>
      </c>
      <c r="O1232">
        <v>60</v>
      </c>
      <c r="P1232">
        <v>80</v>
      </c>
      <c r="Q1232">
        <v>0.5</v>
      </c>
      <c r="R1232" t="b">
        <v>1</v>
      </c>
      <c r="S1232">
        <v>2.15149220974278E-10</v>
      </c>
      <c r="Y1232" t="str">
        <f t="shared" si="112"/>
        <v>Pass</v>
      </c>
      <c r="Z1232">
        <f t="shared" si="113"/>
        <v>155044.90625</v>
      </c>
      <c r="AA1232">
        <v>18800</v>
      </c>
      <c r="AB1232">
        <v>20</v>
      </c>
      <c r="AC1232">
        <v>8</v>
      </c>
      <c r="AD1232">
        <v>0.2</v>
      </c>
      <c r="AE1232">
        <v>155044.90310423801</v>
      </c>
    </row>
    <row r="1233" spans="1:31" x14ac:dyDescent="0.3">
      <c r="A1233" t="str">
        <f>IF(ISBLANK(B1233),"",IF(ROUND(B1233,0)=ROUND(G1233,0),"Pass","Fail"))</f>
        <v>Pass</v>
      </c>
      <c r="B1233">
        <f t="shared" si="109"/>
        <v>28.239997863769531</v>
      </c>
      <c r="C1233">
        <v>10</v>
      </c>
      <c r="D1233">
        <v>40</v>
      </c>
      <c r="E1233">
        <v>100</v>
      </c>
      <c r="F1233">
        <v>16</v>
      </c>
      <c r="G1233">
        <v>28.239997247101702</v>
      </c>
      <c r="M1233" t="str">
        <f t="shared" si="110"/>
        <v>Pass</v>
      </c>
      <c r="N1233">
        <f t="shared" si="111"/>
        <v>6.4685612422010763E-10</v>
      </c>
      <c r="O1233">
        <v>60</v>
      </c>
      <c r="P1233">
        <v>80</v>
      </c>
      <c r="Q1233">
        <v>0.5</v>
      </c>
      <c r="R1233" t="b">
        <v>0</v>
      </c>
      <c r="S1233">
        <v>6.4685608894415795E-10</v>
      </c>
      <c r="Y1233" t="str">
        <f t="shared" si="112"/>
        <v>Pass</v>
      </c>
      <c r="Z1233">
        <f t="shared" si="113"/>
        <v>167975.546875</v>
      </c>
      <c r="AA1233">
        <v>18800</v>
      </c>
      <c r="AB1233">
        <v>20</v>
      </c>
      <c r="AC1233">
        <v>10</v>
      </c>
      <c r="AD1233">
        <v>0.2</v>
      </c>
      <c r="AE1233">
        <v>167975.53230990001</v>
      </c>
    </row>
    <row r="1234" spans="1:31" x14ac:dyDescent="0.3">
      <c r="A1234" t="str">
        <f>IF(ISBLANK(B1234),"",IF(ROUND(B1234,0)=ROUND(G1234,0),"Pass","Fail"))</f>
        <v>Pass</v>
      </c>
      <c r="B1234">
        <f t="shared" si="109"/>
        <v>19.792577743530273</v>
      </c>
      <c r="C1234">
        <v>10</v>
      </c>
      <c r="D1234">
        <v>40</v>
      </c>
      <c r="E1234">
        <v>100</v>
      </c>
      <c r="F1234">
        <v>24</v>
      </c>
      <c r="G1234">
        <v>19.7925774137362</v>
      </c>
      <c r="M1234" t="str">
        <f t="shared" si="110"/>
        <v>Pass</v>
      </c>
      <c r="N1234">
        <f t="shared" si="111"/>
        <v>2.5181035034904653E-10</v>
      </c>
      <c r="O1234">
        <v>60</v>
      </c>
      <c r="P1234">
        <v>80</v>
      </c>
      <c r="Q1234">
        <v>1</v>
      </c>
      <c r="R1234" t="b">
        <v>1</v>
      </c>
      <c r="S1234">
        <v>2.5181035594261099E-10</v>
      </c>
      <c r="Y1234" t="str">
        <f t="shared" si="112"/>
        <v>Pass</v>
      </c>
      <c r="Z1234">
        <f t="shared" si="113"/>
        <v>176643.203125</v>
      </c>
      <c r="AA1234">
        <v>18800</v>
      </c>
      <c r="AB1234">
        <v>20</v>
      </c>
      <c r="AC1234">
        <v>12</v>
      </c>
      <c r="AD1234">
        <v>0.2</v>
      </c>
      <c r="AE1234">
        <v>176643.19227430999</v>
      </c>
    </row>
    <row r="1235" spans="1:31" x14ac:dyDescent="0.3">
      <c r="A1235" t="str">
        <f>IF(ISBLANK(B1235),"",IF(ROUND(B1235,0)=ROUND(G1235,0),"Pass","Fail"))</f>
        <v>Pass</v>
      </c>
      <c r="B1235">
        <f t="shared" si="109"/>
        <v>15.540273666381836</v>
      </c>
      <c r="C1235">
        <v>10</v>
      </c>
      <c r="D1235">
        <v>40</v>
      </c>
      <c r="E1235">
        <v>100</v>
      </c>
      <c r="F1235">
        <v>32</v>
      </c>
      <c r="G1235">
        <v>15.540273005994599</v>
      </c>
      <c r="M1235" t="str">
        <f t="shared" si="110"/>
        <v>Pass</v>
      </c>
      <c r="N1235">
        <f t="shared" si="111"/>
        <v>7.5707951019410302E-10</v>
      </c>
      <c r="O1235">
        <v>60</v>
      </c>
      <c r="P1235">
        <v>80</v>
      </c>
      <c r="Q1235">
        <v>1</v>
      </c>
      <c r="R1235" t="b">
        <v>0</v>
      </c>
      <c r="S1235">
        <v>7.5707948772980895E-10</v>
      </c>
      <c r="Y1235" t="str">
        <f t="shared" si="112"/>
        <v>Pass</v>
      </c>
      <c r="Z1235">
        <f t="shared" si="113"/>
        <v>182453.28125</v>
      </c>
      <c r="AA1235">
        <v>18800</v>
      </c>
      <c r="AB1235">
        <v>20</v>
      </c>
      <c r="AC1235">
        <v>14</v>
      </c>
      <c r="AD1235">
        <v>0.2</v>
      </c>
      <c r="AE1235">
        <v>182453.29850067399</v>
      </c>
    </row>
    <row r="1236" spans="1:31" x14ac:dyDescent="0.3">
      <c r="A1236" t="str">
        <f>IF(ISBLANK(B1236),"",IF(ROUND(B1236,0)=ROUND(G1236,0),"Pass","Fail"))</f>
        <v>Pass</v>
      </c>
      <c r="B1236">
        <f t="shared" si="109"/>
        <v>13.399726867675781</v>
      </c>
      <c r="C1236">
        <v>10</v>
      </c>
      <c r="D1236">
        <v>40</v>
      </c>
      <c r="E1236">
        <v>100</v>
      </c>
      <c r="F1236">
        <v>40</v>
      </c>
      <c r="G1236">
        <v>13.399726764327101</v>
      </c>
      <c r="M1236" t="str">
        <f t="shared" si="110"/>
        <v>Pass</v>
      </c>
      <c r="N1236">
        <f t="shared" si="111"/>
        <v>2.7608720865046621E-10</v>
      </c>
      <c r="O1236">
        <v>60</v>
      </c>
      <c r="P1236">
        <v>80</v>
      </c>
      <c r="Q1236">
        <v>1.5</v>
      </c>
      <c r="R1236" t="b">
        <v>1</v>
      </c>
      <c r="S1236">
        <v>2.7608721935632899E-10</v>
      </c>
      <c r="Y1236" t="str">
        <f t="shared" si="112"/>
        <v>Pass</v>
      </c>
      <c r="Z1236">
        <f t="shared" si="113"/>
        <v>186347.921875</v>
      </c>
      <c r="AA1236">
        <v>18800</v>
      </c>
      <c r="AB1236">
        <v>20</v>
      </c>
      <c r="AC1236">
        <v>16</v>
      </c>
      <c r="AD1236">
        <v>0.2</v>
      </c>
      <c r="AE1236">
        <v>186347.929173802</v>
      </c>
    </row>
    <row r="1237" spans="1:31" x14ac:dyDescent="0.3">
      <c r="A1237" t="str">
        <f>IF(ISBLANK(B1237),"",IF(ROUND(B1237,0)=ROUND(G1237,0),"Pass","Fail"))</f>
        <v>Pass</v>
      </c>
      <c r="B1237">
        <f t="shared" si="109"/>
        <v>12.322208404541016</v>
      </c>
      <c r="C1237">
        <v>10</v>
      </c>
      <c r="D1237">
        <v>40</v>
      </c>
      <c r="E1237">
        <v>100</v>
      </c>
      <c r="F1237">
        <v>48</v>
      </c>
      <c r="G1237">
        <v>12.3222079008197</v>
      </c>
      <c r="M1237" t="str">
        <f t="shared" si="110"/>
        <v>Pass</v>
      </c>
      <c r="N1237">
        <f t="shared" si="111"/>
        <v>8.3006906903548838E-10</v>
      </c>
      <c r="O1237">
        <v>60</v>
      </c>
      <c r="P1237">
        <v>80</v>
      </c>
      <c r="Q1237">
        <v>1.5</v>
      </c>
      <c r="R1237" t="b">
        <v>0</v>
      </c>
      <c r="S1237">
        <v>8.3006900100118902E-10</v>
      </c>
      <c r="Y1237" t="str">
        <f t="shared" si="112"/>
        <v>Pass</v>
      </c>
      <c r="Z1237">
        <f t="shared" si="113"/>
        <v>188958.578125</v>
      </c>
      <c r="AA1237">
        <v>18800</v>
      </c>
      <c r="AB1237">
        <v>20</v>
      </c>
      <c r="AC1237">
        <v>18</v>
      </c>
      <c r="AD1237">
        <v>0.2</v>
      </c>
      <c r="AE1237">
        <v>188958.57818590599</v>
      </c>
    </row>
    <row r="1238" spans="1:31" x14ac:dyDescent="0.3">
      <c r="A1238" t="str">
        <f>IF(ISBLANK(B1238),"",IF(ROUND(B1238,0)=ROUND(G1238,0),"Pass","Fail"))</f>
        <v>Pass</v>
      </c>
      <c r="B1238">
        <f t="shared" si="109"/>
        <v>12.569999694824219</v>
      </c>
      <c r="C1238">
        <v>10</v>
      </c>
      <c r="D1238">
        <v>50</v>
      </c>
      <c r="E1238">
        <v>0</v>
      </c>
      <c r="F1238">
        <v>0</v>
      </c>
      <c r="G1238">
        <v>12.57</v>
      </c>
      <c r="M1238" t="str">
        <f t="shared" si="110"/>
        <v>Pass</v>
      </c>
      <c r="N1238">
        <f t="shared" si="111"/>
        <v>2.9471849960494012E-10</v>
      </c>
      <c r="O1238">
        <v>60</v>
      </c>
      <c r="P1238">
        <v>80</v>
      </c>
      <c r="Q1238">
        <v>2</v>
      </c>
      <c r="R1238" t="b">
        <v>1</v>
      </c>
      <c r="S1238">
        <v>2.9471849850446498E-10</v>
      </c>
      <c r="Y1238" t="str">
        <f t="shared" si="112"/>
        <v>Pass</v>
      </c>
      <c r="Z1238">
        <f t="shared" si="113"/>
        <v>190708.5625</v>
      </c>
      <c r="AA1238">
        <v>18800</v>
      </c>
      <c r="AB1238">
        <v>20</v>
      </c>
      <c r="AC1238">
        <v>20</v>
      </c>
      <c r="AD1238">
        <v>0.2</v>
      </c>
      <c r="AE1238">
        <v>190708.54855188099</v>
      </c>
    </row>
    <row r="1239" spans="1:31" x14ac:dyDescent="0.3">
      <c r="A1239" t="str">
        <f>IF(ISBLANK(B1239),"",IF(ROUND(B1239,0)=ROUND(G1239,0),"Pass","Fail"))</f>
        <v>Pass</v>
      </c>
      <c r="B1239">
        <f t="shared" si="109"/>
        <v>12.569999694824219</v>
      </c>
      <c r="C1239">
        <v>10</v>
      </c>
      <c r="D1239">
        <v>50</v>
      </c>
      <c r="E1239">
        <v>0</v>
      </c>
      <c r="F1239">
        <v>8</v>
      </c>
      <c r="G1239">
        <v>12.57</v>
      </c>
      <c r="M1239" t="str">
        <f t="shared" si="110"/>
        <v>Pass</v>
      </c>
      <c r="N1239">
        <f t="shared" si="111"/>
        <v>8.8608476112028711E-10</v>
      </c>
      <c r="O1239">
        <v>60</v>
      </c>
      <c r="P1239">
        <v>80</v>
      </c>
      <c r="Q1239">
        <v>2</v>
      </c>
      <c r="R1239" t="b">
        <v>0</v>
      </c>
      <c r="S1239">
        <v>8.8608480392724705E-10</v>
      </c>
      <c r="Y1239" t="str">
        <f t="shared" si="112"/>
        <v>Pass</v>
      </c>
      <c r="Z1239">
        <f t="shared" si="113"/>
        <v>191881.59375</v>
      </c>
      <c r="AA1239">
        <v>18800</v>
      </c>
      <c r="AB1239">
        <v>20</v>
      </c>
      <c r="AC1239">
        <v>22</v>
      </c>
      <c r="AD1239">
        <v>0.2</v>
      </c>
      <c r="AE1239">
        <v>191881.588768163</v>
      </c>
    </row>
    <row r="1240" spans="1:31" x14ac:dyDescent="0.3">
      <c r="A1240" t="str">
        <f>IF(ISBLANK(B1240),"",IF(ROUND(B1240,0)=ROUND(G1240,0),"Pass","Fail"))</f>
        <v>Pass</v>
      </c>
      <c r="B1240">
        <f t="shared" si="109"/>
        <v>12.569999694824219</v>
      </c>
      <c r="C1240">
        <v>10</v>
      </c>
      <c r="D1240">
        <v>50</v>
      </c>
      <c r="E1240">
        <v>0</v>
      </c>
      <c r="F1240">
        <v>16</v>
      </c>
      <c r="G1240">
        <v>12.57</v>
      </c>
      <c r="M1240" t="str">
        <f t="shared" si="110"/>
        <v>Pass</v>
      </c>
      <c r="N1240">
        <f t="shared" si="111"/>
        <v>3.1003158373898998E-10</v>
      </c>
      <c r="O1240">
        <v>60</v>
      </c>
      <c r="P1240">
        <v>80</v>
      </c>
      <c r="Q1240">
        <v>2.5</v>
      </c>
      <c r="R1240" t="b">
        <v>1</v>
      </c>
      <c r="S1240">
        <v>3.1003160520336E-10</v>
      </c>
      <c r="Y1240" t="str">
        <f t="shared" si="112"/>
        <v>Pass</v>
      </c>
      <c r="Z1240">
        <f t="shared" si="113"/>
        <v>192667.90625</v>
      </c>
      <c r="AA1240">
        <v>18800</v>
      </c>
      <c r="AB1240">
        <v>20</v>
      </c>
      <c r="AC1240">
        <v>24</v>
      </c>
      <c r="AD1240">
        <v>0.2</v>
      </c>
      <c r="AE1240">
        <v>192667.90113994299</v>
      </c>
    </row>
    <row r="1241" spans="1:31" x14ac:dyDescent="0.3">
      <c r="A1241" t="str">
        <f>IF(ISBLANK(B1241),"",IF(ROUND(B1241,0)=ROUND(G1241,0),"Pass","Fail"))</f>
        <v>Pass</v>
      </c>
      <c r="B1241">
        <f t="shared" si="109"/>
        <v>12.569999694824219</v>
      </c>
      <c r="C1241">
        <v>10</v>
      </c>
      <c r="D1241">
        <v>50</v>
      </c>
      <c r="E1241">
        <v>0</v>
      </c>
      <c r="F1241">
        <v>24</v>
      </c>
      <c r="G1241">
        <v>12.57</v>
      </c>
      <c r="M1241" t="str">
        <f t="shared" si="110"/>
        <v>Pass</v>
      </c>
      <c r="N1241">
        <f t="shared" si="111"/>
        <v>9.321243776838628E-10</v>
      </c>
      <c r="O1241">
        <v>60</v>
      </c>
      <c r="P1241">
        <v>80</v>
      </c>
      <c r="Q1241">
        <v>2.5</v>
      </c>
      <c r="R1241" t="b">
        <v>0</v>
      </c>
      <c r="S1241">
        <v>9.3212436783538798E-10</v>
      </c>
      <c r="Y1241" t="str">
        <f t="shared" si="112"/>
        <v>Pass</v>
      </c>
      <c r="Z1241">
        <f t="shared" si="113"/>
        <v>0</v>
      </c>
      <c r="AA1241">
        <v>19000</v>
      </c>
      <c r="AB1241">
        <v>20</v>
      </c>
      <c r="AC1241">
        <v>0</v>
      </c>
      <c r="AD1241">
        <v>0.2</v>
      </c>
      <c r="AE1241">
        <v>0</v>
      </c>
    </row>
    <row r="1242" spans="1:31" x14ac:dyDescent="0.3">
      <c r="A1242" t="str">
        <f>IF(ISBLANK(B1242),"",IF(ROUND(B1242,0)=ROUND(G1242,0),"Pass","Fail"))</f>
        <v>Pass</v>
      </c>
      <c r="B1242">
        <f t="shared" si="109"/>
        <v>12.569999694824219</v>
      </c>
      <c r="C1242">
        <v>10</v>
      </c>
      <c r="D1242">
        <v>50</v>
      </c>
      <c r="E1242">
        <v>0</v>
      </c>
      <c r="F1242">
        <v>32</v>
      </c>
      <c r="G1242">
        <v>12.57</v>
      </c>
      <c r="M1242" t="str">
        <f t="shared" si="110"/>
        <v>Pass</v>
      </c>
      <c r="N1242">
        <f t="shared" si="111"/>
        <v>3.2313207665168875E-10</v>
      </c>
      <c r="O1242">
        <v>60</v>
      </c>
      <c r="P1242">
        <v>80</v>
      </c>
      <c r="Q1242">
        <v>3</v>
      </c>
      <c r="R1242" t="b">
        <v>1</v>
      </c>
      <c r="S1242">
        <v>3.23132106463145E-10</v>
      </c>
      <c r="Y1242" t="str">
        <f t="shared" si="112"/>
        <v>Pass</v>
      </c>
      <c r="Z1242">
        <f t="shared" si="113"/>
        <v>64727.16015625</v>
      </c>
      <c r="AA1242">
        <v>19000</v>
      </c>
      <c r="AB1242">
        <v>20</v>
      </c>
      <c r="AC1242">
        <v>2</v>
      </c>
      <c r="AD1242">
        <v>0.2</v>
      </c>
      <c r="AE1242">
        <v>64727.164295002804</v>
      </c>
    </row>
    <row r="1243" spans="1:31" x14ac:dyDescent="0.3">
      <c r="A1243" t="str">
        <f>IF(ISBLANK(B1243),"",IF(ROUND(B1243,0)=ROUND(G1243,0),"Pass","Fail"))</f>
        <v>Pass</v>
      </c>
      <c r="B1243">
        <f t="shared" si="109"/>
        <v>12.569999694824219</v>
      </c>
      <c r="C1243">
        <v>10</v>
      </c>
      <c r="D1243">
        <v>50</v>
      </c>
      <c r="E1243">
        <v>0</v>
      </c>
      <c r="F1243">
        <v>40</v>
      </c>
      <c r="G1243">
        <v>12.57</v>
      </c>
      <c r="M1243" t="str">
        <f t="shared" si="110"/>
        <v>Pass</v>
      </c>
      <c r="N1243">
        <f t="shared" si="111"/>
        <v>9.7151164890618702E-10</v>
      </c>
      <c r="O1243">
        <v>60</v>
      </c>
      <c r="P1243">
        <v>80</v>
      </c>
      <c r="Q1243">
        <v>3</v>
      </c>
      <c r="R1243" t="b">
        <v>0</v>
      </c>
      <c r="S1243">
        <v>9.7151163110196206E-10</v>
      </c>
      <c r="Y1243" t="str">
        <f t="shared" si="112"/>
        <v>Pass</v>
      </c>
      <c r="Z1243">
        <f t="shared" si="113"/>
        <v>108115.078125</v>
      </c>
      <c r="AA1243">
        <v>19000</v>
      </c>
      <c r="AB1243">
        <v>20</v>
      </c>
      <c r="AC1243">
        <v>4</v>
      </c>
      <c r="AD1243">
        <v>0.2</v>
      </c>
      <c r="AE1243">
        <v>108115.08004498501</v>
      </c>
    </row>
    <row r="1244" spans="1:31" x14ac:dyDescent="0.3">
      <c r="A1244" t="str">
        <f>IF(ISBLANK(B1244),"",IF(ROUND(B1244,0)=ROUND(G1244,0),"Pass","Fail"))</f>
        <v>Pass</v>
      </c>
      <c r="B1244">
        <f t="shared" si="109"/>
        <v>12.569999694824219</v>
      </c>
      <c r="C1244">
        <v>10</v>
      </c>
      <c r="D1244">
        <v>50</v>
      </c>
      <c r="E1244">
        <v>0</v>
      </c>
      <c r="F1244">
        <v>48</v>
      </c>
      <c r="G1244">
        <v>12.57</v>
      </c>
      <c r="M1244" t="str">
        <f t="shared" si="110"/>
        <v>Pass</v>
      </c>
      <c r="N1244">
        <f t="shared" si="111"/>
        <v>3.3463934401289919E-10</v>
      </c>
      <c r="O1244">
        <v>60</v>
      </c>
      <c r="P1244">
        <v>80</v>
      </c>
      <c r="Q1244">
        <v>3.5</v>
      </c>
      <c r="R1244" t="b">
        <v>1</v>
      </c>
      <c r="S1244">
        <v>3.34639369247828E-10</v>
      </c>
      <c r="Y1244" t="str">
        <f t="shared" si="112"/>
        <v>Pass</v>
      </c>
      <c r="Z1244">
        <f t="shared" si="113"/>
        <v>137198.875</v>
      </c>
      <c r="AA1244">
        <v>19000</v>
      </c>
      <c r="AB1244">
        <v>20</v>
      </c>
      <c r="AC1244">
        <v>6</v>
      </c>
      <c r="AD1244">
        <v>0.2</v>
      </c>
      <c r="AE1244">
        <v>137198.86972790401</v>
      </c>
    </row>
    <row r="1245" spans="1:31" x14ac:dyDescent="0.3">
      <c r="A1245" t="str">
        <f>IF(ISBLANK(B1245),"",IF(ROUND(B1245,0)=ROUND(G1245,0),"Pass","Fail"))</f>
        <v>Pass</v>
      </c>
      <c r="B1245">
        <f t="shared" si="109"/>
        <v>79.697998046875</v>
      </c>
      <c r="C1245">
        <v>10</v>
      </c>
      <c r="D1245">
        <v>50</v>
      </c>
      <c r="E1245">
        <v>10</v>
      </c>
      <c r="F1245">
        <v>0</v>
      </c>
      <c r="G1245">
        <v>79.697999999998302</v>
      </c>
      <c r="M1245" t="str">
        <f t="shared" si="110"/>
        <v>Pass</v>
      </c>
      <c r="N1245">
        <f t="shared" si="111"/>
        <v>1.0061087518664635E-9</v>
      </c>
      <c r="O1245">
        <v>60</v>
      </c>
      <c r="P1245">
        <v>80</v>
      </c>
      <c r="Q1245">
        <v>3.5</v>
      </c>
      <c r="R1245" t="b">
        <v>0</v>
      </c>
      <c r="S1245">
        <v>1.00610874916562E-9</v>
      </c>
      <c r="Y1245" t="str">
        <f t="shared" si="112"/>
        <v>Pass</v>
      </c>
      <c r="Z1245">
        <f t="shared" si="113"/>
        <v>156694.3125</v>
      </c>
      <c r="AA1245">
        <v>19000</v>
      </c>
      <c r="AB1245">
        <v>20</v>
      </c>
      <c r="AC1245">
        <v>8</v>
      </c>
      <c r="AD1245">
        <v>0.2</v>
      </c>
      <c r="AE1245">
        <v>156694.316967049</v>
      </c>
    </row>
    <row r="1246" spans="1:31" x14ac:dyDescent="0.3">
      <c r="A1246" t="str">
        <f>IF(ISBLANK(B1246),"",IF(ROUND(B1246,0)=ROUND(G1246,0),"Pass","Fail"))</f>
        <v>Pass</v>
      </c>
      <c r="B1246">
        <f t="shared" si="109"/>
        <v>46.361228942871094</v>
      </c>
      <c r="C1246">
        <v>10</v>
      </c>
      <c r="D1246">
        <v>50</v>
      </c>
      <c r="E1246">
        <v>10</v>
      </c>
      <c r="F1246">
        <v>8</v>
      </c>
      <c r="G1246">
        <v>46.361228080722199</v>
      </c>
      <c r="M1246" t="str">
        <f t="shared" si="110"/>
        <v>Pass</v>
      </c>
      <c r="N1246">
        <f t="shared" si="111"/>
        <v>3.4493810585622953E-10</v>
      </c>
      <c r="O1246">
        <v>60</v>
      </c>
      <c r="P1246">
        <v>80</v>
      </c>
      <c r="Q1246">
        <v>4</v>
      </c>
      <c r="R1246" t="b">
        <v>1</v>
      </c>
      <c r="S1246">
        <v>3.4493813026705701E-10</v>
      </c>
      <c r="Y1246" t="str">
        <f t="shared" si="112"/>
        <v>Pass</v>
      </c>
      <c r="Z1246">
        <f t="shared" si="113"/>
        <v>169762.515625</v>
      </c>
      <c r="AA1246">
        <v>19000</v>
      </c>
      <c r="AB1246">
        <v>20</v>
      </c>
      <c r="AC1246">
        <v>10</v>
      </c>
      <c r="AD1246">
        <v>0.2</v>
      </c>
      <c r="AE1246">
        <v>169762.506057878</v>
      </c>
    </row>
    <row r="1247" spans="1:31" x14ac:dyDescent="0.3">
      <c r="A1247" t="str">
        <f>IF(ISBLANK(B1247),"",IF(ROUND(B1247,0)=ROUND(G1247,0),"Pass","Fail"))</f>
        <v>Pass</v>
      </c>
      <c r="B1247">
        <f t="shared" si="109"/>
        <v>29.579996109008789</v>
      </c>
      <c r="C1247">
        <v>10</v>
      </c>
      <c r="D1247">
        <v>50</v>
      </c>
      <c r="E1247">
        <v>10</v>
      </c>
      <c r="F1247">
        <v>16</v>
      </c>
      <c r="G1247">
        <v>29.5799972471013</v>
      </c>
      <c r="M1247" t="str">
        <f t="shared" si="110"/>
        <v>Pass</v>
      </c>
      <c r="N1247">
        <f t="shared" si="111"/>
        <v>1.0370724279340493E-9</v>
      </c>
      <c r="O1247">
        <v>60</v>
      </c>
      <c r="P1247">
        <v>80</v>
      </c>
      <c r="Q1247">
        <v>4</v>
      </c>
      <c r="R1247" t="b">
        <v>0</v>
      </c>
      <c r="S1247">
        <v>1.03707245074772E-9</v>
      </c>
      <c r="Y1247" t="str">
        <f t="shared" si="112"/>
        <v>Pass</v>
      </c>
      <c r="Z1247">
        <f t="shared" si="113"/>
        <v>178522.375</v>
      </c>
      <c r="AA1247">
        <v>19000</v>
      </c>
      <c r="AB1247">
        <v>20</v>
      </c>
      <c r="AC1247">
        <v>12</v>
      </c>
      <c r="AD1247">
        <v>0.2</v>
      </c>
      <c r="AE1247">
        <v>178522.37517084501</v>
      </c>
    </row>
    <row r="1248" spans="1:31" x14ac:dyDescent="0.3">
      <c r="A1248" t="str">
        <f>IF(ISBLANK(B1248),"",IF(ROUND(B1248,0)=ROUND(G1248,0),"Pass","Fail"))</f>
        <v>Pass</v>
      </c>
      <c r="B1248">
        <f t="shared" si="109"/>
        <v>21.132575988769531</v>
      </c>
      <c r="C1248">
        <v>10</v>
      </c>
      <c r="D1248">
        <v>50</v>
      </c>
      <c r="E1248">
        <v>10</v>
      </c>
      <c r="F1248">
        <v>24</v>
      </c>
      <c r="G1248">
        <v>21.132577413736001</v>
      </c>
      <c r="M1248" t="str">
        <f t="shared" si="110"/>
        <v>Pass</v>
      </c>
      <c r="N1248">
        <f t="shared" si="111"/>
        <v>0</v>
      </c>
      <c r="O1248">
        <v>60</v>
      </c>
      <c r="P1248">
        <v>90</v>
      </c>
      <c r="Q1248">
        <v>0</v>
      </c>
      <c r="R1248" t="b">
        <v>1</v>
      </c>
      <c r="S1248">
        <v>0</v>
      </c>
      <c r="Y1248" t="str">
        <f t="shared" si="112"/>
        <v>Pass</v>
      </c>
      <c r="Z1248">
        <f t="shared" si="113"/>
        <v>184394.28125</v>
      </c>
      <c r="AA1248">
        <v>19000</v>
      </c>
      <c r="AB1248">
        <v>20</v>
      </c>
      <c r="AC1248">
        <v>14</v>
      </c>
      <c r="AD1248">
        <v>0.2</v>
      </c>
      <c r="AE1248">
        <v>184394.29103791501</v>
      </c>
    </row>
    <row r="1249" spans="1:31" x14ac:dyDescent="0.3">
      <c r="A1249" t="str">
        <f>IF(ISBLANK(B1249),"",IF(ROUND(B1249,0)=ROUND(G1249,0),"Pass","Fail"))</f>
        <v>Pass</v>
      </c>
      <c r="B1249">
        <f t="shared" si="109"/>
        <v>16.880271911621094</v>
      </c>
      <c r="C1249">
        <v>10</v>
      </c>
      <c r="D1249">
        <v>50</v>
      </c>
      <c r="E1249">
        <v>10</v>
      </c>
      <c r="F1249">
        <v>32</v>
      </c>
      <c r="G1249">
        <v>16.8802730059945</v>
      </c>
      <c r="M1249" t="str">
        <f t="shared" si="110"/>
        <v>Pass</v>
      </c>
      <c r="N1249">
        <f t="shared" si="111"/>
        <v>0</v>
      </c>
      <c r="O1249">
        <v>60</v>
      </c>
      <c r="P1249">
        <v>90</v>
      </c>
      <c r="Q1249">
        <v>0</v>
      </c>
      <c r="R1249" t="b">
        <v>0</v>
      </c>
      <c r="S1249">
        <v>0</v>
      </c>
      <c r="Y1249" t="str">
        <f t="shared" si="112"/>
        <v>Pass</v>
      </c>
      <c r="Z1249">
        <f t="shared" si="113"/>
        <v>188330.34375</v>
      </c>
      <c r="AA1249">
        <v>19000</v>
      </c>
      <c r="AB1249">
        <v>20</v>
      </c>
      <c r="AC1249">
        <v>16</v>
      </c>
      <c r="AD1249">
        <v>0.2</v>
      </c>
      <c r="AE1249">
        <v>188330.35395224701</v>
      </c>
    </row>
    <row r="1250" spans="1:31" x14ac:dyDescent="0.3">
      <c r="A1250" t="str">
        <f>IF(ISBLANK(B1250),"",IF(ROUND(B1250,0)=ROUND(G1250,0),"Pass","Fail"))</f>
        <v>Pass</v>
      </c>
      <c r="B1250">
        <f t="shared" si="109"/>
        <v>14.739727020263672</v>
      </c>
      <c r="C1250">
        <v>10</v>
      </c>
      <c r="D1250">
        <v>50</v>
      </c>
      <c r="E1250">
        <v>10</v>
      </c>
      <c r="F1250">
        <v>40</v>
      </c>
      <c r="G1250">
        <v>14.739726764326999</v>
      </c>
      <c r="M1250" t="str">
        <f t="shared" si="110"/>
        <v>Pass</v>
      </c>
      <c r="N1250">
        <f t="shared" si="111"/>
        <v>3.940595245943701E-12</v>
      </c>
      <c r="O1250">
        <v>60</v>
      </c>
      <c r="P1250">
        <v>90</v>
      </c>
      <c r="Q1250">
        <v>0.5</v>
      </c>
      <c r="R1250" t="b">
        <v>1</v>
      </c>
      <c r="S1250">
        <v>3.9405954385633098E-12</v>
      </c>
      <c r="Y1250" t="str">
        <f t="shared" si="112"/>
        <v>Pass</v>
      </c>
      <c r="Z1250">
        <f t="shared" si="113"/>
        <v>190968.78125</v>
      </c>
      <c r="AA1250">
        <v>19000</v>
      </c>
      <c r="AB1250">
        <v>20</v>
      </c>
      <c r="AC1250">
        <v>18</v>
      </c>
      <c r="AD1250">
        <v>0.2</v>
      </c>
      <c r="AE1250">
        <v>190968.77582618099</v>
      </c>
    </row>
    <row r="1251" spans="1:31" x14ac:dyDescent="0.3">
      <c r="A1251" t="str">
        <f>IF(ISBLANK(B1251),"",IF(ROUND(B1251,0)=ROUND(G1251,0),"Pass","Fail"))</f>
        <v>Pass</v>
      </c>
      <c r="B1251">
        <f t="shared" si="109"/>
        <v>13.66220760345459</v>
      </c>
      <c r="C1251">
        <v>10</v>
      </c>
      <c r="D1251">
        <v>50</v>
      </c>
      <c r="E1251">
        <v>10</v>
      </c>
      <c r="F1251">
        <v>48</v>
      </c>
      <c r="G1251">
        <v>13.6622079008197</v>
      </c>
      <c r="M1251" t="str">
        <f t="shared" si="110"/>
        <v>Pass</v>
      </c>
      <c r="N1251">
        <f t="shared" si="111"/>
        <v>1.1847582810642354E-11</v>
      </c>
      <c r="O1251">
        <v>60</v>
      </c>
      <c r="P1251">
        <v>90</v>
      </c>
      <c r="Q1251">
        <v>0.5</v>
      </c>
      <c r="R1251" t="b">
        <v>0</v>
      </c>
      <c r="S1251">
        <v>1.1847582538098E-11</v>
      </c>
      <c r="Y1251" t="str">
        <f t="shared" si="112"/>
        <v>Pass</v>
      </c>
      <c r="Z1251">
        <f t="shared" si="113"/>
        <v>192737.375</v>
      </c>
      <c r="AA1251">
        <v>19000</v>
      </c>
      <c r="AB1251">
        <v>20</v>
      </c>
      <c r="AC1251">
        <v>20</v>
      </c>
      <c r="AD1251">
        <v>0.2</v>
      </c>
      <c r="AE1251">
        <v>192737.36289817799</v>
      </c>
    </row>
    <row r="1252" spans="1:31" x14ac:dyDescent="0.3">
      <c r="A1252" t="str">
        <f>IF(ISBLANK(B1252),"",IF(ROUND(B1252,0)=ROUND(G1252,0),"Pass","Fail"))</f>
        <v>Pass</v>
      </c>
      <c r="B1252">
        <f t="shared" si="109"/>
        <v>79.697998046875</v>
      </c>
      <c r="C1252">
        <v>10</v>
      </c>
      <c r="D1252">
        <v>50</v>
      </c>
      <c r="E1252">
        <v>20</v>
      </c>
      <c r="F1252">
        <v>0</v>
      </c>
      <c r="G1252">
        <v>79.697999999999993</v>
      </c>
      <c r="M1252" t="str">
        <f t="shared" si="110"/>
        <v>Pass</v>
      </c>
      <c r="N1252">
        <f t="shared" si="111"/>
        <v>4.6120672385352446E-12</v>
      </c>
      <c r="O1252">
        <v>60</v>
      </c>
      <c r="P1252">
        <v>90</v>
      </c>
      <c r="Q1252">
        <v>1</v>
      </c>
      <c r="R1252" t="b">
        <v>1</v>
      </c>
      <c r="S1252">
        <v>4.6120675478954598E-12</v>
      </c>
      <c r="Y1252" t="str">
        <f t="shared" si="112"/>
        <v>Pass</v>
      </c>
      <c r="Z1252">
        <f t="shared" si="113"/>
        <v>193922.890625</v>
      </c>
      <c r="AA1252">
        <v>19000</v>
      </c>
      <c r="AB1252">
        <v>20</v>
      </c>
      <c r="AC1252">
        <v>22</v>
      </c>
      <c r="AD1252">
        <v>0.2</v>
      </c>
      <c r="AE1252">
        <v>193922.882265697</v>
      </c>
    </row>
    <row r="1253" spans="1:31" x14ac:dyDescent="0.3">
      <c r="A1253" t="str">
        <f>IF(ISBLANK(B1253),"",IF(ROUND(B1253,0)=ROUND(G1253,0),"Pass","Fail"))</f>
        <v>Pass</v>
      </c>
      <c r="B1253">
        <f t="shared" si="109"/>
        <v>46.361228942871094</v>
      </c>
      <c r="C1253">
        <v>10</v>
      </c>
      <c r="D1253">
        <v>50</v>
      </c>
      <c r="E1253">
        <v>20</v>
      </c>
      <c r="F1253">
        <v>8</v>
      </c>
      <c r="G1253">
        <v>46.361228080723002</v>
      </c>
      <c r="M1253" t="str">
        <f t="shared" si="110"/>
        <v>Pass</v>
      </c>
      <c r="N1253">
        <f t="shared" si="111"/>
        <v>1.3866395011385979E-11</v>
      </c>
      <c r="O1253">
        <v>60</v>
      </c>
      <c r="P1253">
        <v>90</v>
      </c>
      <c r="Q1253">
        <v>1</v>
      </c>
      <c r="R1253" t="b">
        <v>0</v>
      </c>
      <c r="S1253">
        <v>1.3866394507348E-11</v>
      </c>
      <c r="Y1253" t="str">
        <f t="shared" si="112"/>
        <v>Pass</v>
      </c>
      <c r="Z1253">
        <f t="shared" si="113"/>
        <v>194717.578125</v>
      </c>
      <c r="AA1253">
        <v>19000</v>
      </c>
      <c r="AB1253">
        <v>20</v>
      </c>
      <c r="AC1253">
        <v>24</v>
      </c>
      <c r="AD1253">
        <v>0.2</v>
      </c>
      <c r="AE1253">
        <v>194717.55966270901</v>
      </c>
    </row>
    <row r="1254" spans="1:31" x14ac:dyDescent="0.3">
      <c r="A1254" t="str">
        <f>IF(ISBLANK(B1254),"",IF(ROUND(B1254,0)=ROUND(G1254,0),"Pass","Fail"))</f>
        <v>Pass</v>
      </c>
      <c r="B1254">
        <f t="shared" si="109"/>
        <v>29.579996109008789</v>
      </c>
      <c r="C1254">
        <v>10</v>
      </c>
      <c r="D1254">
        <v>50</v>
      </c>
      <c r="E1254">
        <v>20</v>
      </c>
      <c r="F1254">
        <v>16</v>
      </c>
      <c r="G1254">
        <v>29.579997247101701</v>
      </c>
      <c r="M1254" t="str">
        <f t="shared" si="110"/>
        <v>Pass</v>
      </c>
      <c r="N1254">
        <f t="shared" si="111"/>
        <v>5.0567132946210958E-12</v>
      </c>
      <c r="O1254">
        <v>60</v>
      </c>
      <c r="P1254">
        <v>90</v>
      </c>
      <c r="Q1254">
        <v>1.5</v>
      </c>
      <c r="R1254" t="b">
        <v>1</v>
      </c>
      <c r="S1254">
        <v>5.0567138115329103E-12</v>
      </c>
      <c r="Y1254" t="str">
        <f t="shared" si="112"/>
        <v>Pass</v>
      </c>
      <c r="Z1254">
        <f t="shared" si="113"/>
        <v>0</v>
      </c>
      <c r="AA1254">
        <v>19200</v>
      </c>
      <c r="AB1254">
        <v>20</v>
      </c>
      <c r="AC1254">
        <v>0</v>
      </c>
      <c r="AD1254">
        <v>0.2</v>
      </c>
      <c r="AE1254">
        <v>0</v>
      </c>
    </row>
    <row r="1255" spans="1:31" x14ac:dyDescent="0.3">
      <c r="A1255" t="str">
        <f>IF(ISBLANK(B1255),"",IF(ROUND(B1255,0)=ROUND(G1255,0),"Pass","Fail"))</f>
        <v>Pass</v>
      </c>
      <c r="B1255">
        <f t="shared" si="109"/>
        <v>21.132575988769531</v>
      </c>
      <c r="C1255">
        <v>10</v>
      </c>
      <c r="D1255">
        <v>50</v>
      </c>
      <c r="E1255">
        <v>20</v>
      </c>
      <c r="F1255">
        <v>24</v>
      </c>
      <c r="G1255">
        <v>21.1325774137362</v>
      </c>
      <c r="M1255" t="str">
        <f t="shared" si="110"/>
        <v>Pass</v>
      </c>
      <c r="N1255">
        <f t="shared" si="111"/>
        <v>1.520324491299796E-11</v>
      </c>
      <c r="O1255">
        <v>60</v>
      </c>
      <c r="P1255">
        <v>90</v>
      </c>
      <c r="Q1255">
        <v>1.5</v>
      </c>
      <c r="R1255" t="b">
        <v>0</v>
      </c>
      <c r="S1255">
        <v>1.5203244075092999E-11</v>
      </c>
      <c r="Y1255" t="str">
        <f t="shared" si="112"/>
        <v>Pass</v>
      </c>
      <c r="Z1255">
        <f t="shared" si="113"/>
        <v>65408.5</v>
      </c>
      <c r="AA1255">
        <v>19200</v>
      </c>
      <c r="AB1255">
        <v>20</v>
      </c>
      <c r="AC1255">
        <v>2</v>
      </c>
      <c r="AD1255">
        <v>0.2</v>
      </c>
      <c r="AE1255">
        <v>65408.502866529103</v>
      </c>
    </row>
    <row r="1256" spans="1:31" x14ac:dyDescent="0.3">
      <c r="A1256" t="str">
        <f>IF(ISBLANK(B1256),"",IF(ROUND(B1256,0)=ROUND(G1256,0),"Pass","Fail"))</f>
        <v>Pass</v>
      </c>
      <c r="B1256">
        <f t="shared" si="109"/>
        <v>16.880271911621094</v>
      </c>
      <c r="C1256">
        <v>10</v>
      </c>
      <c r="D1256">
        <v>50</v>
      </c>
      <c r="E1256">
        <v>20</v>
      </c>
      <c r="F1256">
        <v>32</v>
      </c>
      <c r="G1256">
        <v>16.880273005994599</v>
      </c>
      <c r="M1256" t="str">
        <f t="shared" si="110"/>
        <v>Pass</v>
      </c>
      <c r="N1256">
        <f t="shared" si="111"/>
        <v>5.3979572547935284E-12</v>
      </c>
      <c r="O1256">
        <v>60</v>
      </c>
      <c r="P1256">
        <v>90</v>
      </c>
      <c r="Q1256">
        <v>2</v>
      </c>
      <c r="R1256" t="b">
        <v>1</v>
      </c>
      <c r="S1256">
        <v>5.3979575924458902E-12</v>
      </c>
      <c r="Y1256" t="str">
        <f t="shared" si="112"/>
        <v>Pass</v>
      </c>
      <c r="Z1256">
        <f t="shared" si="113"/>
        <v>109253.1328125</v>
      </c>
      <c r="AA1256">
        <v>19200</v>
      </c>
      <c r="AB1256">
        <v>20</v>
      </c>
      <c r="AC1256">
        <v>4</v>
      </c>
      <c r="AD1256">
        <v>0.2</v>
      </c>
      <c r="AE1256">
        <v>109253.133519143</v>
      </c>
    </row>
    <row r="1257" spans="1:31" x14ac:dyDescent="0.3">
      <c r="A1257" t="str">
        <f>IF(ISBLANK(B1257),"",IF(ROUND(B1257,0)=ROUND(G1257,0),"Pass","Fail"))</f>
        <v>Pass</v>
      </c>
      <c r="B1257">
        <f t="shared" si="109"/>
        <v>14.739727020263672</v>
      </c>
      <c r="C1257">
        <v>10</v>
      </c>
      <c r="D1257">
        <v>50</v>
      </c>
      <c r="E1257">
        <v>20</v>
      </c>
      <c r="F1257">
        <v>40</v>
      </c>
      <c r="G1257">
        <v>14.7397267643271</v>
      </c>
      <c r="M1257" t="str">
        <f t="shared" si="110"/>
        <v>Pass</v>
      </c>
      <c r="N1257">
        <f t="shared" si="111"/>
        <v>1.6229208948947971E-11</v>
      </c>
      <c r="O1257">
        <v>60</v>
      </c>
      <c r="P1257">
        <v>90</v>
      </c>
      <c r="Q1257">
        <v>2</v>
      </c>
      <c r="R1257" t="b">
        <v>0</v>
      </c>
      <c r="S1257">
        <v>1.62292092935508E-11</v>
      </c>
      <c r="Y1257" t="str">
        <f t="shared" si="112"/>
        <v>Pass</v>
      </c>
      <c r="Z1257">
        <f t="shared" si="113"/>
        <v>138643.078125</v>
      </c>
      <c r="AA1257">
        <v>19200</v>
      </c>
      <c r="AB1257">
        <v>20</v>
      </c>
      <c r="AC1257">
        <v>6</v>
      </c>
      <c r="AD1257">
        <v>0.2</v>
      </c>
      <c r="AE1257">
        <v>138643.06835661901</v>
      </c>
    </row>
    <row r="1258" spans="1:31" x14ac:dyDescent="0.3">
      <c r="A1258" t="str">
        <f>IF(ISBLANK(B1258),"",IF(ROUND(B1258,0)=ROUND(G1258,0),"Pass","Fail"))</f>
        <v>Pass</v>
      </c>
      <c r="B1258">
        <f t="shared" si="109"/>
        <v>13.66220760345459</v>
      </c>
      <c r="C1258">
        <v>10</v>
      </c>
      <c r="D1258">
        <v>50</v>
      </c>
      <c r="E1258">
        <v>20</v>
      </c>
      <c r="F1258">
        <v>48</v>
      </c>
      <c r="G1258">
        <v>13.6622079008197</v>
      </c>
      <c r="M1258" t="str">
        <f t="shared" si="110"/>
        <v>Pass</v>
      </c>
      <c r="N1258">
        <f t="shared" si="111"/>
        <v>5.6784264790277206E-12</v>
      </c>
      <c r="O1258">
        <v>60</v>
      </c>
      <c r="P1258">
        <v>90</v>
      </c>
      <c r="Q1258">
        <v>2.5</v>
      </c>
      <c r="R1258" t="b">
        <v>1</v>
      </c>
      <c r="S1258">
        <v>5.67842692500793E-12</v>
      </c>
      <c r="Y1258" t="str">
        <f t="shared" si="112"/>
        <v>Pass</v>
      </c>
      <c r="Z1258">
        <f t="shared" si="113"/>
        <v>158343.734375</v>
      </c>
      <c r="AA1258">
        <v>19200</v>
      </c>
      <c r="AB1258">
        <v>20</v>
      </c>
      <c r="AC1258">
        <v>8</v>
      </c>
      <c r="AD1258">
        <v>0.2</v>
      </c>
      <c r="AE1258">
        <v>158343.73082986</v>
      </c>
    </row>
    <row r="1259" spans="1:31" x14ac:dyDescent="0.3">
      <c r="A1259" t="str">
        <f>IF(ISBLANK(B1259),"",IF(ROUND(B1259,0)=ROUND(G1259,0),"Pass","Fail"))</f>
        <v>Pass</v>
      </c>
      <c r="B1259">
        <f t="shared" si="109"/>
        <v>79.697998046875</v>
      </c>
      <c r="C1259">
        <v>10</v>
      </c>
      <c r="D1259">
        <v>50</v>
      </c>
      <c r="E1259">
        <v>30</v>
      </c>
      <c r="F1259">
        <v>0</v>
      </c>
      <c r="G1259">
        <v>79.697999999999993</v>
      </c>
      <c r="M1259" t="str">
        <f t="shared" si="110"/>
        <v>Pass</v>
      </c>
      <c r="N1259">
        <f t="shared" si="111"/>
        <v>1.7072452826449869E-11</v>
      </c>
      <c r="O1259">
        <v>60</v>
      </c>
      <c r="P1259">
        <v>90</v>
      </c>
      <c r="Q1259">
        <v>2.5</v>
      </c>
      <c r="R1259" t="b">
        <v>0</v>
      </c>
      <c r="S1259">
        <v>1.7072453320688301E-11</v>
      </c>
      <c r="Y1259" t="str">
        <f t="shared" si="112"/>
        <v>Pass</v>
      </c>
      <c r="Z1259">
        <f t="shared" si="113"/>
        <v>171549.484375</v>
      </c>
      <c r="AA1259">
        <v>19200</v>
      </c>
      <c r="AB1259">
        <v>20</v>
      </c>
      <c r="AC1259">
        <v>10</v>
      </c>
      <c r="AD1259">
        <v>0.2</v>
      </c>
      <c r="AE1259">
        <v>171549.47980585601</v>
      </c>
    </row>
    <row r="1260" spans="1:31" x14ac:dyDescent="0.3">
      <c r="A1260" t="str">
        <f>IF(ISBLANK(B1260),"",IF(ROUND(B1260,0)=ROUND(G1260,0),"Pass","Fail"))</f>
        <v>Pass</v>
      </c>
      <c r="B1260">
        <f t="shared" si="109"/>
        <v>46.361228942871094</v>
      </c>
      <c r="C1260">
        <v>10</v>
      </c>
      <c r="D1260">
        <v>50</v>
      </c>
      <c r="E1260">
        <v>30</v>
      </c>
      <c r="F1260">
        <v>8</v>
      </c>
      <c r="G1260">
        <v>46.361228080723002</v>
      </c>
      <c r="M1260" t="str">
        <f t="shared" si="110"/>
        <v>Pass</v>
      </c>
      <c r="N1260">
        <f t="shared" si="111"/>
        <v>5.9183703944587496E-12</v>
      </c>
      <c r="O1260">
        <v>60</v>
      </c>
      <c r="P1260">
        <v>90</v>
      </c>
      <c r="Q1260">
        <v>3</v>
      </c>
      <c r="R1260" t="b">
        <v>1</v>
      </c>
      <c r="S1260">
        <v>5.9183709753439202E-12</v>
      </c>
      <c r="Y1260" t="str">
        <f t="shared" si="112"/>
        <v>Pass</v>
      </c>
      <c r="Z1260">
        <f t="shared" si="113"/>
        <v>180401.5625</v>
      </c>
      <c r="AA1260">
        <v>19200</v>
      </c>
      <c r="AB1260">
        <v>20</v>
      </c>
      <c r="AC1260">
        <v>12</v>
      </c>
      <c r="AD1260">
        <v>0.2</v>
      </c>
      <c r="AE1260">
        <v>180401.55806738001</v>
      </c>
    </row>
    <row r="1261" spans="1:31" x14ac:dyDescent="0.3">
      <c r="A1261" t="str">
        <f>IF(ISBLANK(B1261),"",IF(ROUND(B1261,0)=ROUND(G1261,0),"Pass","Fail"))</f>
        <v>Pass</v>
      </c>
      <c r="B1261">
        <f t="shared" si="109"/>
        <v>29.579996109008789</v>
      </c>
      <c r="C1261">
        <v>10</v>
      </c>
      <c r="D1261">
        <v>50</v>
      </c>
      <c r="E1261">
        <v>30</v>
      </c>
      <c r="F1261">
        <v>16</v>
      </c>
      <c r="G1261">
        <v>29.579997247101701</v>
      </c>
      <c r="M1261" t="str">
        <f t="shared" si="110"/>
        <v>Pass</v>
      </c>
      <c r="N1261">
        <f t="shared" si="111"/>
        <v>1.779385666589306E-11</v>
      </c>
      <c r="O1261">
        <v>60</v>
      </c>
      <c r="P1261">
        <v>90</v>
      </c>
      <c r="Q1261">
        <v>3</v>
      </c>
      <c r="R1261" t="b">
        <v>0</v>
      </c>
      <c r="S1261">
        <v>1.7793856211495501E-11</v>
      </c>
      <c r="Y1261" t="str">
        <f t="shared" si="112"/>
        <v>Pass</v>
      </c>
      <c r="Z1261">
        <f t="shared" si="113"/>
        <v>186335.265625</v>
      </c>
      <c r="AA1261">
        <v>19200</v>
      </c>
      <c r="AB1261">
        <v>20</v>
      </c>
      <c r="AC1261">
        <v>14</v>
      </c>
      <c r="AD1261">
        <v>0.2</v>
      </c>
      <c r="AE1261">
        <v>186335.28357515601</v>
      </c>
    </row>
    <row r="1262" spans="1:31" x14ac:dyDescent="0.3">
      <c r="A1262" t="str">
        <f>IF(ISBLANK(B1262),"",IF(ROUND(B1262,0)=ROUND(G1262,0),"Pass","Fail"))</f>
        <v>Pass</v>
      </c>
      <c r="B1262">
        <f t="shared" si="109"/>
        <v>21.132575988769531</v>
      </c>
      <c r="C1262">
        <v>10</v>
      </c>
      <c r="D1262">
        <v>50</v>
      </c>
      <c r="E1262">
        <v>30</v>
      </c>
      <c r="F1262">
        <v>24</v>
      </c>
      <c r="G1262">
        <v>21.1325774137362</v>
      </c>
      <c r="M1262" t="str">
        <f t="shared" si="110"/>
        <v>Pass</v>
      </c>
      <c r="N1262">
        <f t="shared" si="111"/>
        <v>6.1291336589386347E-12</v>
      </c>
      <c r="O1262">
        <v>60</v>
      </c>
      <c r="P1262">
        <v>90</v>
      </c>
      <c r="Q1262">
        <v>3.5</v>
      </c>
      <c r="R1262" t="b">
        <v>1</v>
      </c>
      <c r="S1262">
        <v>6.1291338451062597E-12</v>
      </c>
      <c r="Y1262" t="str">
        <f t="shared" si="112"/>
        <v>Pass</v>
      </c>
      <c r="Z1262">
        <f t="shared" si="113"/>
        <v>190312.765625</v>
      </c>
      <c r="AA1262">
        <v>19200</v>
      </c>
      <c r="AB1262">
        <v>20</v>
      </c>
      <c r="AC1262">
        <v>16</v>
      </c>
      <c r="AD1262">
        <v>0.2</v>
      </c>
      <c r="AE1262">
        <v>190312.77873069199</v>
      </c>
    </row>
    <row r="1263" spans="1:31" x14ac:dyDescent="0.3">
      <c r="A1263" t="str">
        <f>IF(ISBLANK(B1263),"",IF(ROUND(B1263,0)=ROUND(G1263,0),"Pass","Fail"))</f>
        <v>Pass</v>
      </c>
      <c r="B1263">
        <f t="shared" si="109"/>
        <v>16.880271911621094</v>
      </c>
      <c r="C1263">
        <v>10</v>
      </c>
      <c r="D1263">
        <v>50</v>
      </c>
      <c r="E1263">
        <v>30</v>
      </c>
      <c r="F1263">
        <v>32</v>
      </c>
      <c r="G1263">
        <v>16.880273005994599</v>
      </c>
      <c r="M1263" t="str">
        <f t="shared" si="110"/>
        <v>Pass</v>
      </c>
      <c r="N1263">
        <f t="shared" si="111"/>
        <v>1.8427525130815248E-11</v>
      </c>
      <c r="O1263">
        <v>60</v>
      </c>
      <c r="P1263">
        <v>90</v>
      </c>
      <c r="Q1263">
        <v>3.5</v>
      </c>
      <c r="R1263" t="b">
        <v>0</v>
      </c>
      <c r="S1263">
        <v>1.8427524532541499E-11</v>
      </c>
      <c r="Y1263" t="str">
        <f t="shared" si="112"/>
        <v>Pass</v>
      </c>
      <c r="Z1263">
        <f t="shared" si="113"/>
        <v>192978.984375</v>
      </c>
      <c r="AA1263">
        <v>19200</v>
      </c>
      <c r="AB1263">
        <v>20</v>
      </c>
      <c r="AC1263">
        <v>18</v>
      </c>
      <c r="AD1263">
        <v>0.2</v>
      </c>
      <c r="AE1263">
        <v>192978.97346645701</v>
      </c>
    </row>
    <row r="1264" spans="1:31" x14ac:dyDescent="0.3">
      <c r="A1264" t="str">
        <f>IF(ISBLANK(B1264),"",IF(ROUND(B1264,0)=ROUND(G1264,0),"Pass","Fail"))</f>
        <v>Pass</v>
      </c>
      <c r="B1264">
        <f t="shared" si="109"/>
        <v>14.739727020263672</v>
      </c>
      <c r="C1264">
        <v>10</v>
      </c>
      <c r="D1264">
        <v>50</v>
      </c>
      <c r="E1264">
        <v>30</v>
      </c>
      <c r="F1264">
        <v>40</v>
      </c>
      <c r="G1264">
        <v>14.7397267643271</v>
      </c>
      <c r="M1264" t="str">
        <f t="shared" si="110"/>
        <v>Pass</v>
      </c>
      <c r="N1264">
        <f t="shared" si="111"/>
        <v>6.3177618518650558E-12</v>
      </c>
      <c r="O1264">
        <v>60</v>
      </c>
      <c r="P1264">
        <v>90</v>
      </c>
      <c r="Q1264">
        <v>4</v>
      </c>
      <c r="R1264" t="b">
        <v>1</v>
      </c>
      <c r="S1264">
        <v>6.3177622329361198E-12</v>
      </c>
      <c r="Y1264" t="str">
        <f t="shared" si="112"/>
        <v>Pass</v>
      </c>
      <c r="Z1264">
        <f t="shared" si="113"/>
        <v>194766.1875</v>
      </c>
      <c r="AA1264">
        <v>19200</v>
      </c>
      <c r="AB1264">
        <v>20</v>
      </c>
      <c r="AC1264">
        <v>20</v>
      </c>
      <c r="AD1264">
        <v>0.2</v>
      </c>
      <c r="AE1264">
        <v>194766.17724447499</v>
      </c>
    </row>
    <row r="1265" spans="1:31" x14ac:dyDescent="0.3">
      <c r="A1265" t="str">
        <f>IF(ISBLANK(B1265),"",IF(ROUND(B1265,0)=ROUND(G1265,0),"Pass","Fail"))</f>
        <v>Pass</v>
      </c>
      <c r="B1265">
        <f t="shared" si="109"/>
        <v>13.66220760345459</v>
      </c>
      <c r="C1265">
        <v>10</v>
      </c>
      <c r="D1265">
        <v>50</v>
      </c>
      <c r="E1265">
        <v>30</v>
      </c>
      <c r="F1265">
        <v>48</v>
      </c>
      <c r="G1265">
        <v>13.6622079008197</v>
      </c>
      <c r="M1265" t="str">
        <f t="shared" si="110"/>
        <v>Pass</v>
      </c>
      <c r="N1265">
        <f t="shared" si="111"/>
        <v>1.8994644399028537E-11</v>
      </c>
      <c r="O1265">
        <v>60</v>
      </c>
      <c r="P1265">
        <v>90</v>
      </c>
      <c r="Q1265">
        <v>4</v>
      </c>
      <c r="R1265" t="b">
        <v>0</v>
      </c>
      <c r="S1265">
        <v>1.8994644509378599E-11</v>
      </c>
      <c r="Y1265" t="str">
        <f t="shared" si="112"/>
        <v>Pass</v>
      </c>
      <c r="Z1265">
        <f t="shared" si="113"/>
        <v>195964.1875</v>
      </c>
      <c r="AA1265">
        <v>19200</v>
      </c>
      <c r="AB1265">
        <v>20</v>
      </c>
      <c r="AC1265">
        <v>22</v>
      </c>
      <c r="AD1265">
        <v>0.2</v>
      </c>
      <c r="AE1265">
        <v>195964.175763231</v>
      </c>
    </row>
    <row r="1266" spans="1:31" x14ac:dyDescent="0.3">
      <c r="A1266" t="str">
        <f>IF(ISBLANK(B1266),"",IF(ROUND(B1266,0)=ROUND(G1266,0),"Pass","Fail"))</f>
        <v>Pass</v>
      </c>
      <c r="B1266">
        <f t="shared" si="109"/>
        <v>79.697998046875</v>
      </c>
      <c r="C1266">
        <v>10</v>
      </c>
      <c r="D1266">
        <v>50</v>
      </c>
      <c r="E1266">
        <v>40</v>
      </c>
      <c r="F1266">
        <v>0</v>
      </c>
      <c r="G1266">
        <v>79.697999999999993</v>
      </c>
      <c r="M1266" t="str">
        <f t="shared" si="110"/>
        <v>Pass</v>
      </c>
      <c r="N1266">
        <f t="shared" si="111"/>
        <v>0</v>
      </c>
      <c r="O1266">
        <v>70</v>
      </c>
      <c r="P1266">
        <v>0</v>
      </c>
      <c r="Q1266">
        <v>0</v>
      </c>
      <c r="R1266" t="b">
        <v>1</v>
      </c>
      <c r="S1266">
        <v>0</v>
      </c>
      <c r="Y1266" t="str">
        <f t="shared" si="112"/>
        <v>Pass</v>
      </c>
      <c r="Z1266">
        <f t="shared" si="113"/>
        <v>196767.234375</v>
      </c>
      <c r="AA1266">
        <v>19200</v>
      </c>
      <c r="AB1266">
        <v>20</v>
      </c>
      <c r="AC1266">
        <v>24</v>
      </c>
      <c r="AD1266">
        <v>0.2</v>
      </c>
      <c r="AE1266">
        <v>196767.21818547399</v>
      </c>
    </row>
    <row r="1267" spans="1:31" x14ac:dyDescent="0.3">
      <c r="A1267" t="str">
        <f>IF(ISBLANK(B1267),"",IF(ROUND(B1267,0)=ROUND(G1267,0),"Pass","Fail"))</f>
        <v>Pass</v>
      </c>
      <c r="B1267">
        <f t="shared" si="109"/>
        <v>46.361228942871094</v>
      </c>
      <c r="C1267">
        <v>10</v>
      </c>
      <c r="D1267">
        <v>50</v>
      </c>
      <c r="E1267">
        <v>40</v>
      </c>
      <c r="F1267">
        <v>8</v>
      </c>
      <c r="G1267">
        <v>46.361228080723002</v>
      </c>
      <c r="M1267" t="str">
        <f t="shared" si="110"/>
        <v>Pass</v>
      </c>
      <c r="N1267">
        <f t="shared" si="111"/>
        <v>0</v>
      </c>
      <c r="O1267">
        <v>70</v>
      </c>
      <c r="P1267">
        <v>0</v>
      </c>
      <c r="Q1267">
        <v>0</v>
      </c>
      <c r="R1267" t="b">
        <v>0</v>
      </c>
      <c r="S1267">
        <v>0</v>
      </c>
      <c r="Y1267" t="str">
        <f t="shared" si="112"/>
        <v>Pass</v>
      </c>
      <c r="Z1267">
        <f t="shared" si="113"/>
        <v>0</v>
      </c>
      <c r="AA1267">
        <v>19400</v>
      </c>
      <c r="AB1267">
        <v>20</v>
      </c>
      <c r="AC1267">
        <v>0</v>
      </c>
      <c r="AD1267">
        <v>0.2</v>
      </c>
      <c r="AE1267">
        <v>0</v>
      </c>
    </row>
    <row r="1268" spans="1:31" x14ac:dyDescent="0.3">
      <c r="A1268" t="str">
        <f>IF(ISBLANK(B1268),"",IF(ROUND(B1268,0)=ROUND(G1268,0),"Pass","Fail"))</f>
        <v>Pass</v>
      </c>
      <c r="B1268">
        <f t="shared" si="109"/>
        <v>29.579996109008789</v>
      </c>
      <c r="C1268">
        <v>10</v>
      </c>
      <c r="D1268">
        <v>50</v>
      </c>
      <c r="E1268">
        <v>40</v>
      </c>
      <c r="F1268">
        <v>16</v>
      </c>
      <c r="G1268">
        <v>29.579997247101701</v>
      </c>
      <c r="M1268" t="str">
        <f t="shared" si="110"/>
        <v>Pass</v>
      </c>
      <c r="N1268">
        <f t="shared" si="111"/>
        <v>3373.37841796875</v>
      </c>
      <c r="O1268">
        <v>70</v>
      </c>
      <c r="P1268">
        <v>0</v>
      </c>
      <c r="Q1268">
        <v>0.5</v>
      </c>
      <c r="R1268" t="b">
        <v>1</v>
      </c>
      <c r="S1268">
        <v>3373.3783218250901</v>
      </c>
      <c r="Y1268" t="str">
        <f t="shared" si="112"/>
        <v>Pass</v>
      </c>
      <c r="Z1268">
        <f t="shared" si="113"/>
        <v>66089.8359375</v>
      </c>
      <c r="AA1268">
        <v>19400</v>
      </c>
      <c r="AB1268">
        <v>20</v>
      </c>
      <c r="AC1268">
        <v>2</v>
      </c>
      <c r="AD1268">
        <v>0.2</v>
      </c>
      <c r="AE1268">
        <v>66089.841438055504</v>
      </c>
    </row>
    <row r="1269" spans="1:31" x14ac:dyDescent="0.3">
      <c r="A1269" t="str">
        <f>IF(ISBLANK(B1269),"",IF(ROUND(B1269,0)=ROUND(G1269,0),"Pass","Fail"))</f>
        <v>Pass</v>
      </c>
      <c r="B1269">
        <f t="shared" si="109"/>
        <v>21.132575988769531</v>
      </c>
      <c r="C1269">
        <v>10</v>
      </c>
      <c r="D1269">
        <v>50</v>
      </c>
      <c r="E1269">
        <v>40</v>
      </c>
      <c r="F1269">
        <v>24</v>
      </c>
      <c r="G1269">
        <v>21.1325774137362</v>
      </c>
      <c r="M1269" t="str">
        <f t="shared" si="110"/>
        <v>Pass</v>
      </c>
      <c r="N1269">
        <f t="shared" si="111"/>
        <v>7077.91064453125</v>
      </c>
      <c r="O1269">
        <v>70</v>
      </c>
      <c r="P1269">
        <v>0</v>
      </c>
      <c r="Q1269">
        <v>0.5</v>
      </c>
      <c r="R1269" t="b">
        <v>0</v>
      </c>
      <c r="S1269">
        <v>7077.91034287396</v>
      </c>
      <c r="Y1269" t="str">
        <f t="shared" si="112"/>
        <v>Pass</v>
      </c>
      <c r="Z1269">
        <f t="shared" si="113"/>
        <v>110391.1875</v>
      </c>
      <c r="AA1269">
        <v>19400</v>
      </c>
      <c r="AB1269">
        <v>20</v>
      </c>
      <c r="AC1269">
        <v>4</v>
      </c>
      <c r="AD1269">
        <v>0.2</v>
      </c>
      <c r="AE1269">
        <v>110391.1869933</v>
      </c>
    </row>
    <row r="1270" spans="1:31" x14ac:dyDescent="0.3">
      <c r="A1270" t="str">
        <f>IF(ISBLANK(B1270),"",IF(ROUND(B1270,0)=ROUND(G1270,0),"Pass","Fail"))</f>
        <v>Pass</v>
      </c>
      <c r="B1270">
        <f t="shared" si="109"/>
        <v>16.880271911621094</v>
      </c>
      <c r="C1270">
        <v>10</v>
      </c>
      <c r="D1270">
        <v>50</v>
      </c>
      <c r="E1270">
        <v>40</v>
      </c>
      <c r="F1270">
        <v>32</v>
      </c>
      <c r="G1270">
        <v>16.880273005994599</v>
      </c>
      <c r="M1270" t="str">
        <f t="shared" si="110"/>
        <v>Pass</v>
      </c>
      <c r="N1270">
        <f t="shared" si="111"/>
        <v>3948.197509765625</v>
      </c>
      <c r="O1270">
        <v>70</v>
      </c>
      <c r="P1270">
        <v>0</v>
      </c>
      <c r="Q1270">
        <v>1</v>
      </c>
      <c r="R1270" t="b">
        <v>1</v>
      </c>
      <c r="S1270">
        <v>3948.1974050439198</v>
      </c>
      <c r="Y1270" t="str">
        <f t="shared" si="112"/>
        <v>Pass</v>
      </c>
      <c r="Z1270">
        <f t="shared" si="113"/>
        <v>140087.265625</v>
      </c>
      <c r="AA1270">
        <v>19400</v>
      </c>
      <c r="AB1270">
        <v>20</v>
      </c>
      <c r="AC1270">
        <v>6</v>
      </c>
      <c r="AD1270">
        <v>0.2</v>
      </c>
      <c r="AE1270">
        <v>140087.266985333</v>
      </c>
    </row>
    <row r="1271" spans="1:31" x14ac:dyDescent="0.3">
      <c r="A1271" t="str">
        <f>IF(ISBLANK(B1271),"",IF(ROUND(B1271,0)=ROUND(G1271,0),"Pass","Fail"))</f>
        <v>Pass</v>
      </c>
      <c r="B1271">
        <f t="shared" si="109"/>
        <v>14.739727020263672</v>
      </c>
      <c r="C1271">
        <v>10</v>
      </c>
      <c r="D1271">
        <v>50</v>
      </c>
      <c r="E1271">
        <v>40</v>
      </c>
      <c r="F1271">
        <v>40</v>
      </c>
      <c r="G1271">
        <v>14.7397267643271</v>
      </c>
      <c r="M1271" t="str">
        <f t="shared" si="110"/>
        <v>Pass</v>
      </c>
      <c r="N1271">
        <f t="shared" si="111"/>
        <v>8283.9765625</v>
      </c>
      <c r="O1271">
        <v>70</v>
      </c>
      <c r="P1271">
        <v>0</v>
      </c>
      <c r="Q1271">
        <v>1</v>
      </c>
      <c r="R1271" t="b">
        <v>0</v>
      </c>
      <c r="S1271">
        <v>8283.9766497786295</v>
      </c>
      <c r="Y1271" t="str">
        <f t="shared" si="112"/>
        <v>Pass</v>
      </c>
      <c r="Z1271">
        <f t="shared" si="113"/>
        <v>159993.140625</v>
      </c>
      <c r="AA1271">
        <v>19400</v>
      </c>
      <c r="AB1271">
        <v>20</v>
      </c>
      <c r="AC1271">
        <v>8</v>
      </c>
      <c r="AD1271">
        <v>0.2</v>
      </c>
      <c r="AE1271">
        <v>159993.14469267099</v>
      </c>
    </row>
    <row r="1272" spans="1:31" x14ac:dyDescent="0.3">
      <c r="A1272" t="str">
        <f>IF(ISBLANK(B1272),"",IF(ROUND(B1272,0)=ROUND(G1272,0),"Pass","Fail"))</f>
        <v>Pass</v>
      </c>
      <c r="B1272">
        <f t="shared" si="109"/>
        <v>13.66220760345459</v>
      </c>
      <c r="C1272">
        <v>10</v>
      </c>
      <c r="D1272">
        <v>50</v>
      </c>
      <c r="E1272">
        <v>40</v>
      </c>
      <c r="F1272">
        <v>48</v>
      </c>
      <c r="G1272">
        <v>13.6622079008197</v>
      </c>
      <c r="M1272" t="str">
        <f t="shared" si="110"/>
        <v>Pass</v>
      </c>
      <c r="N1272">
        <f t="shared" si="111"/>
        <v>4328.84033203125</v>
      </c>
      <c r="O1272">
        <v>70</v>
      </c>
      <c r="P1272">
        <v>0</v>
      </c>
      <c r="Q1272">
        <v>1.5</v>
      </c>
      <c r="R1272" t="b">
        <v>1</v>
      </c>
      <c r="S1272">
        <v>4328.8404043115597</v>
      </c>
      <c r="Y1272" t="str">
        <f t="shared" si="112"/>
        <v>Pass</v>
      </c>
      <c r="Z1272">
        <f t="shared" si="113"/>
        <v>173336.46875</v>
      </c>
      <c r="AA1272">
        <v>19400</v>
      </c>
      <c r="AB1272">
        <v>20</v>
      </c>
      <c r="AC1272">
        <v>10</v>
      </c>
      <c r="AD1272">
        <v>0.2</v>
      </c>
      <c r="AE1272">
        <v>173336.45355383301</v>
      </c>
    </row>
    <row r="1273" spans="1:31" x14ac:dyDescent="0.3">
      <c r="A1273" t="str">
        <f>IF(ISBLANK(B1273),"",IF(ROUND(B1273,0)=ROUND(G1273,0),"Pass","Fail"))</f>
        <v>Pass</v>
      </c>
      <c r="B1273">
        <f t="shared" si="109"/>
        <v>79.697998046875</v>
      </c>
      <c r="C1273">
        <v>10</v>
      </c>
      <c r="D1273">
        <v>50</v>
      </c>
      <c r="E1273">
        <v>50</v>
      </c>
      <c r="F1273">
        <v>0</v>
      </c>
      <c r="G1273">
        <v>79.697999999999993</v>
      </c>
      <c r="M1273" t="str">
        <f t="shared" si="110"/>
        <v>Pass</v>
      </c>
      <c r="N1273">
        <f t="shared" si="111"/>
        <v>9082.62890625</v>
      </c>
      <c r="O1273">
        <v>70</v>
      </c>
      <c r="P1273">
        <v>0</v>
      </c>
      <c r="Q1273">
        <v>1.5</v>
      </c>
      <c r="R1273" t="b">
        <v>0</v>
      </c>
      <c r="S1273">
        <v>9082.6291471959194</v>
      </c>
      <c r="Y1273" t="str">
        <f t="shared" si="112"/>
        <v>Pass</v>
      </c>
      <c r="Z1273">
        <f t="shared" si="113"/>
        <v>182280.75</v>
      </c>
      <c r="AA1273">
        <v>19400</v>
      </c>
      <c r="AB1273">
        <v>20</v>
      </c>
      <c r="AC1273">
        <v>12</v>
      </c>
      <c r="AD1273">
        <v>0.2</v>
      </c>
      <c r="AE1273">
        <v>182280.74096391501</v>
      </c>
    </row>
    <row r="1274" spans="1:31" x14ac:dyDescent="0.3">
      <c r="A1274" t="str">
        <f>IF(ISBLANK(B1274),"",IF(ROUND(B1274,0)=ROUND(G1274,0),"Pass","Fail"))</f>
        <v>Pass</v>
      </c>
      <c r="B1274">
        <f t="shared" si="109"/>
        <v>46.361228942871094</v>
      </c>
      <c r="C1274">
        <v>10</v>
      </c>
      <c r="D1274">
        <v>50</v>
      </c>
      <c r="E1274">
        <v>50</v>
      </c>
      <c r="F1274">
        <v>8</v>
      </c>
      <c r="G1274">
        <v>46.361228080723002</v>
      </c>
      <c r="M1274" t="str">
        <f t="shared" si="110"/>
        <v>Pass</v>
      </c>
      <c r="N1274">
        <f t="shared" si="111"/>
        <v>4620.96484375</v>
      </c>
      <c r="O1274">
        <v>70</v>
      </c>
      <c r="P1274">
        <v>0</v>
      </c>
      <c r="Q1274">
        <v>2</v>
      </c>
      <c r="R1274" t="b">
        <v>1</v>
      </c>
      <c r="S1274">
        <v>4620.96487913691</v>
      </c>
      <c r="Y1274" t="str">
        <f t="shared" si="112"/>
        <v>Pass</v>
      </c>
      <c r="Z1274">
        <f t="shared" si="113"/>
        <v>188276.265625</v>
      </c>
      <c r="AA1274">
        <v>19400</v>
      </c>
      <c r="AB1274">
        <v>20</v>
      </c>
      <c r="AC1274">
        <v>14</v>
      </c>
      <c r="AD1274">
        <v>0.2</v>
      </c>
      <c r="AE1274">
        <v>188276.27611239799</v>
      </c>
    </row>
    <row r="1275" spans="1:31" x14ac:dyDescent="0.3">
      <c r="A1275" t="str">
        <f>IF(ISBLANK(B1275),"",IF(ROUND(B1275,0)=ROUND(G1275,0),"Pass","Fail"))</f>
        <v>Pass</v>
      </c>
      <c r="B1275">
        <f t="shared" si="109"/>
        <v>29.579996109008789</v>
      </c>
      <c r="C1275">
        <v>10</v>
      </c>
      <c r="D1275">
        <v>50</v>
      </c>
      <c r="E1275">
        <v>50</v>
      </c>
      <c r="F1275">
        <v>16</v>
      </c>
      <c r="G1275">
        <v>29.579997247101701</v>
      </c>
      <c r="M1275" t="str">
        <f t="shared" si="110"/>
        <v>Pass</v>
      </c>
      <c r="N1275">
        <f t="shared" si="111"/>
        <v>9695.5556640625</v>
      </c>
      <c r="O1275">
        <v>70</v>
      </c>
      <c r="P1275">
        <v>0</v>
      </c>
      <c r="Q1275">
        <v>2</v>
      </c>
      <c r="R1275" t="b">
        <v>0</v>
      </c>
      <c r="S1275">
        <v>9695.5550169081398</v>
      </c>
      <c r="Y1275" t="str">
        <f t="shared" si="112"/>
        <v>Pass</v>
      </c>
      <c r="Z1275">
        <f t="shared" si="113"/>
        <v>192295.203125</v>
      </c>
      <c r="AA1275">
        <v>19400</v>
      </c>
      <c r="AB1275">
        <v>20</v>
      </c>
      <c r="AC1275">
        <v>16</v>
      </c>
      <c r="AD1275">
        <v>0.2</v>
      </c>
      <c r="AE1275">
        <v>192295.20350913599</v>
      </c>
    </row>
    <row r="1276" spans="1:31" x14ac:dyDescent="0.3">
      <c r="A1276" t="str">
        <f>IF(ISBLANK(B1276),"",IF(ROUND(B1276,0)=ROUND(G1276,0),"Pass","Fail"))</f>
        <v>Pass</v>
      </c>
      <c r="B1276">
        <f t="shared" si="109"/>
        <v>21.132575988769531</v>
      </c>
      <c r="C1276">
        <v>10</v>
      </c>
      <c r="D1276">
        <v>50</v>
      </c>
      <c r="E1276">
        <v>50</v>
      </c>
      <c r="F1276">
        <v>24</v>
      </c>
      <c r="G1276">
        <v>21.1325774137362</v>
      </c>
      <c r="M1276" t="str">
        <f t="shared" si="110"/>
        <v>Pass</v>
      </c>
      <c r="N1276">
        <f t="shared" si="111"/>
        <v>4861.06298828125</v>
      </c>
      <c r="O1276">
        <v>70</v>
      </c>
      <c r="P1276">
        <v>0</v>
      </c>
      <c r="Q1276">
        <v>2.5</v>
      </c>
      <c r="R1276" t="b">
        <v>1</v>
      </c>
      <c r="S1276">
        <v>4861.0629001472798</v>
      </c>
      <c r="Y1276" t="str">
        <f t="shared" si="112"/>
        <v>Pass</v>
      </c>
      <c r="Z1276">
        <f t="shared" si="113"/>
        <v>194989.171875</v>
      </c>
      <c r="AA1276">
        <v>19400</v>
      </c>
      <c r="AB1276">
        <v>20</v>
      </c>
      <c r="AC1276">
        <v>18</v>
      </c>
      <c r="AD1276">
        <v>0.2</v>
      </c>
      <c r="AE1276">
        <v>194989.17110673201</v>
      </c>
    </row>
    <row r="1277" spans="1:31" x14ac:dyDescent="0.3">
      <c r="A1277" t="str">
        <f>IF(ISBLANK(B1277),"",IF(ROUND(B1277,0)=ROUND(G1277,0),"Pass","Fail"))</f>
        <v>Pass</v>
      </c>
      <c r="B1277">
        <f t="shared" si="109"/>
        <v>16.880271911621094</v>
      </c>
      <c r="C1277">
        <v>10</v>
      </c>
      <c r="D1277">
        <v>50</v>
      </c>
      <c r="E1277">
        <v>50</v>
      </c>
      <c r="F1277">
        <v>32</v>
      </c>
      <c r="G1277">
        <v>16.880273005994599</v>
      </c>
      <c r="M1277" t="str">
        <f t="shared" si="110"/>
        <v>Pass</v>
      </c>
      <c r="N1277">
        <f t="shared" si="111"/>
        <v>10199.3212890625</v>
      </c>
      <c r="O1277">
        <v>70</v>
      </c>
      <c r="P1277">
        <v>0</v>
      </c>
      <c r="Q1277">
        <v>2.5</v>
      </c>
      <c r="R1277" t="b">
        <v>0</v>
      </c>
      <c r="S1277">
        <v>10199.3207093649</v>
      </c>
      <c r="Y1277" t="str">
        <f t="shared" si="112"/>
        <v>Pass</v>
      </c>
      <c r="Z1277">
        <f t="shared" si="113"/>
        <v>196795</v>
      </c>
      <c r="AA1277">
        <v>19400</v>
      </c>
      <c r="AB1277">
        <v>20</v>
      </c>
      <c r="AC1277">
        <v>20</v>
      </c>
      <c r="AD1277">
        <v>0.2</v>
      </c>
      <c r="AE1277">
        <v>196794.99159077101</v>
      </c>
    </row>
    <row r="1278" spans="1:31" x14ac:dyDescent="0.3">
      <c r="A1278" t="str">
        <f>IF(ISBLANK(B1278),"",IF(ROUND(B1278,0)=ROUND(G1278,0),"Pass","Fail"))</f>
        <v>Pass</v>
      </c>
      <c r="B1278">
        <f t="shared" si="109"/>
        <v>14.739727020263672</v>
      </c>
      <c r="C1278">
        <v>10</v>
      </c>
      <c r="D1278">
        <v>50</v>
      </c>
      <c r="E1278">
        <v>50</v>
      </c>
      <c r="F1278">
        <v>40</v>
      </c>
      <c r="G1278">
        <v>14.7397267643271</v>
      </c>
      <c r="M1278" t="str">
        <f t="shared" si="110"/>
        <v>Pass</v>
      </c>
      <c r="N1278">
        <f t="shared" si="111"/>
        <v>5066.46875</v>
      </c>
      <c r="O1278">
        <v>70</v>
      </c>
      <c r="P1278">
        <v>0</v>
      </c>
      <c r="Q1278">
        <v>3</v>
      </c>
      <c r="R1278" t="b">
        <v>1</v>
      </c>
      <c r="S1278">
        <v>5066.4689283665602</v>
      </c>
      <c r="Y1278" t="str">
        <f t="shared" si="112"/>
        <v>Pass</v>
      </c>
      <c r="Z1278">
        <f t="shared" si="113"/>
        <v>198005.484375</v>
      </c>
      <c r="AA1278">
        <v>19400</v>
      </c>
      <c r="AB1278">
        <v>20</v>
      </c>
      <c r="AC1278">
        <v>22</v>
      </c>
      <c r="AD1278">
        <v>0.2</v>
      </c>
      <c r="AE1278">
        <v>198005.46926076399</v>
      </c>
    </row>
    <row r="1279" spans="1:31" x14ac:dyDescent="0.3">
      <c r="A1279" t="str">
        <f>IF(ISBLANK(B1279),"",IF(ROUND(B1279,0)=ROUND(G1279,0),"Pass","Fail"))</f>
        <v>Pass</v>
      </c>
      <c r="B1279">
        <f t="shared" si="109"/>
        <v>13.66220760345459</v>
      </c>
      <c r="C1279">
        <v>10</v>
      </c>
      <c r="D1279">
        <v>50</v>
      </c>
      <c r="E1279">
        <v>50</v>
      </c>
      <c r="F1279">
        <v>48</v>
      </c>
      <c r="G1279">
        <v>13.6622079008197</v>
      </c>
      <c r="M1279" t="str">
        <f t="shared" si="110"/>
        <v>Pass</v>
      </c>
      <c r="N1279">
        <f t="shared" si="111"/>
        <v>10630.2978515625</v>
      </c>
      <c r="O1279">
        <v>70</v>
      </c>
      <c r="P1279">
        <v>0</v>
      </c>
      <c r="Q1279">
        <v>3</v>
      </c>
      <c r="R1279" t="b">
        <v>0</v>
      </c>
      <c r="S1279">
        <v>10630.296814895601</v>
      </c>
      <c r="Y1279" t="str">
        <f t="shared" si="112"/>
        <v>Pass</v>
      </c>
      <c r="Z1279">
        <f t="shared" si="113"/>
        <v>198816.890625</v>
      </c>
      <c r="AA1279">
        <v>19400</v>
      </c>
      <c r="AB1279">
        <v>20</v>
      </c>
      <c r="AC1279">
        <v>24</v>
      </c>
      <c r="AD1279">
        <v>0.2</v>
      </c>
      <c r="AE1279">
        <v>198816.876708239</v>
      </c>
    </row>
    <row r="1280" spans="1:31" x14ac:dyDescent="0.3">
      <c r="A1280" t="str">
        <f>IF(ISBLANK(B1280),"",IF(ROUND(B1280,0)=ROUND(G1280,0),"Pass","Fail"))</f>
        <v>Pass</v>
      </c>
      <c r="B1280">
        <f t="shared" si="109"/>
        <v>79.697998046875</v>
      </c>
      <c r="C1280">
        <v>10</v>
      </c>
      <c r="D1280">
        <v>50</v>
      </c>
      <c r="E1280">
        <v>60</v>
      </c>
      <c r="F1280">
        <v>0</v>
      </c>
      <c r="G1280">
        <v>79.697999999999993</v>
      </c>
      <c r="M1280" t="str">
        <f t="shared" si="110"/>
        <v>Pass</v>
      </c>
      <c r="N1280">
        <f t="shared" si="111"/>
        <v>5246.89404296875</v>
      </c>
      <c r="O1280">
        <v>70</v>
      </c>
      <c r="P1280">
        <v>0</v>
      </c>
      <c r="Q1280">
        <v>3.5</v>
      </c>
      <c r="R1280" t="b">
        <v>1</v>
      </c>
      <c r="S1280">
        <v>5246.89417297405</v>
      </c>
      <c r="Y1280" t="str">
        <f t="shared" si="112"/>
        <v>Pass</v>
      </c>
      <c r="Z1280">
        <f t="shared" si="113"/>
        <v>0</v>
      </c>
      <c r="AA1280">
        <v>19600</v>
      </c>
      <c r="AB1280">
        <v>20</v>
      </c>
      <c r="AC1280">
        <v>0</v>
      </c>
      <c r="AD1280">
        <v>0.2</v>
      </c>
      <c r="AE1280">
        <v>0</v>
      </c>
    </row>
    <row r="1281" spans="1:31" x14ac:dyDescent="0.3">
      <c r="A1281" t="str">
        <f>IF(ISBLANK(B1281),"",IF(ROUND(B1281,0)=ROUND(G1281,0),"Pass","Fail"))</f>
        <v>Pass</v>
      </c>
      <c r="B1281">
        <f t="shared" si="109"/>
        <v>46.361228942871094</v>
      </c>
      <c r="C1281">
        <v>10</v>
      </c>
      <c r="D1281">
        <v>50</v>
      </c>
      <c r="E1281">
        <v>60</v>
      </c>
      <c r="F1281">
        <v>8</v>
      </c>
      <c r="G1281">
        <v>46.361228080723002</v>
      </c>
      <c r="M1281" t="str">
        <f t="shared" si="110"/>
        <v>Pass</v>
      </c>
      <c r="N1281">
        <f t="shared" si="111"/>
        <v>11008.859375</v>
      </c>
      <c r="O1281">
        <v>70</v>
      </c>
      <c r="P1281">
        <v>0</v>
      </c>
      <c r="Q1281">
        <v>3.5</v>
      </c>
      <c r="R1281" t="b">
        <v>0</v>
      </c>
      <c r="S1281">
        <v>11008.8590700274</v>
      </c>
      <c r="Y1281" t="str">
        <f t="shared" si="112"/>
        <v>Pass</v>
      </c>
      <c r="Z1281">
        <f t="shared" si="113"/>
        <v>66771.1796875</v>
      </c>
      <c r="AA1281">
        <v>19600</v>
      </c>
      <c r="AB1281">
        <v>20</v>
      </c>
      <c r="AC1281">
        <v>2</v>
      </c>
      <c r="AD1281">
        <v>0.2</v>
      </c>
      <c r="AE1281">
        <v>66771.180009581803</v>
      </c>
    </row>
    <row r="1282" spans="1:31" x14ac:dyDescent="0.3">
      <c r="A1282" t="str">
        <f>IF(ISBLANK(B1282),"",IF(ROUND(B1282,0)=ROUND(G1282,0),"Pass","Fail"))</f>
        <v>Pass</v>
      </c>
      <c r="B1282">
        <f t="shared" si="109"/>
        <v>29.579996109008789</v>
      </c>
      <c r="C1282">
        <v>10</v>
      </c>
      <c r="D1282">
        <v>50</v>
      </c>
      <c r="E1282">
        <v>60</v>
      </c>
      <c r="F1282">
        <v>16</v>
      </c>
      <c r="G1282">
        <v>29.579997247101701</v>
      </c>
      <c r="M1282" t="str">
        <f t="shared" si="110"/>
        <v>Pass</v>
      </c>
      <c r="N1282">
        <f t="shared" si="111"/>
        <v>5408.37060546875</v>
      </c>
      <c r="O1282">
        <v>70</v>
      </c>
      <c r="P1282">
        <v>0</v>
      </c>
      <c r="Q1282">
        <v>4</v>
      </c>
      <c r="R1282" t="b">
        <v>1</v>
      </c>
      <c r="S1282">
        <v>5408.3710168436301</v>
      </c>
      <c r="Y1282" t="str">
        <f t="shared" si="112"/>
        <v>Pass</v>
      </c>
      <c r="Z1282">
        <f t="shared" si="113"/>
        <v>111529.2421875</v>
      </c>
      <c r="AA1282">
        <v>19600</v>
      </c>
      <c r="AB1282">
        <v>20</v>
      </c>
      <c r="AC1282">
        <v>4</v>
      </c>
      <c r="AD1282">
        <v>0.2</v>
      </c>
      <c r="AE1282">
        <v>111529.240467458</v>
      </c>
    </row>
    <row r="1283" spans="1:31" x14ac:dyDescent="0.3">
      <c r="A1283" t="str">
        <f>IF(ISBLANK(B1283),"",IF(ROUND(B1283,0)=ROUND(G1283,0),"Pass","Fail"))</f>
        <v>Pass</v>
      </c>
      <c r="B1283">
        <f t="shared" si="109"/>
        <v>21.132575988769531</v>
      </c>
      <c r="C1283">
        <v>10</v>
      </c>
      <c r="D1283">
        <v>50</v>
      </c>
      <c r="E1283">
        <v>60</v>
      </c>
      <c r="F1283">
        <v>24</v>
      </c>
      <c r="G1283">
        <v>21.1325774137362</v>
      </c>
      <c r="M1283" t="str">
        <f t="shared" si="110"/>
        <v>Pass</v>
      </c>
      <c r="N1283">
        <f t="shared" si="111"/>
        <v>11347.6640625</v>
      </c>
      <c r="O1283">
        <v>70</v>
      </c>
      <c r="P1283">
        <v>0</v>
      </c>
      <c r="Q1283">
        <v>4</v>
      </c>
      <c r="R1283" t="b">
        <v>0</v>
      </c>
      <c r="S1283">
        <v>11347.664420131399</v>
      </c>
      <c r="Y1283" t="str">
        <f t="shared" si="112"/>
        <v>Pass</v>
      </c>
      <c r="Z1283">
        <f t="shared" si="113"/>
        <v>141531.46875</v>
      </c>
      <c r="AA1283">
        <v>19600</v>
      </c>
      <c r="AB1283">
        <v>20</v>
      </c>
      <c r="AC1283">
        <v>6</v>
      </c>
      <c r="AD1283">
        <v>0.2</v>
      </c>
      <c r="AE1283">
        <v>141531.46561404801</v>
      </c>
    </row>
    <row r="1284" spans="1:31" x14ac:dyDescent="0.3">
      <c r="A1284" t="str">
        <f>IF(ISBLANK(B1284),"",IF(ROUND(B1284,0)=ROUND(G1284,0),"Pass","Fail"))</f>
        <v>Pass</v>
      </c>
      <c r="B1284">
        <f t="shared" si="109"/>
        <v>16.880271911621094</v>
      </c>
      <c r="C1284">
        <v>10</v>
      </c>
      <c r="D1284">
        <v>50</v>
      </c>
      <c r="E1284">
        <v>60</v>
      </c>
      <c r="F1284">
        <v>32</v>
      </c>
      <c r="G1284">
        <v>16.880273005994599</v>
      </c>
      <c r="M1284" t="str">
        <f t="shared" si="110"/>
        <v>Pass</v>
      </c>
      <c r="N1284">
        <f t="shared" si="111"/>
        <v>0</v>
      </c>
      <c r="O1284">
        <v>70</v>
      </c>
      <c r="P1284">
        <v>10</v>
      </c>
      <c r="Q1284">
        <v>0</v>
      </c>
      <c r="R1284" t="b">
        <v>1</v>
      </c>
      <c r="S1284">
        <v>0</v>
      </c>
      <c r="Y1284" t="str">
        <f t="shared" si="112"/>
        <v>Pass</v>
      </c>
      <c r="Z1284">
        <f t="shared" si="113"/>
        <v>161642.5625</v>
      </c>
      <c r="AA1284">
        <v>19600</v>
      </c>
      <c r="AB1284">
        <v>20</v>
      </c>
      <c r="AC1284">
        <v>8</v>
      </c>
      <c r="AD1284">
        <v>0.2</v>
      </c>
      <c r="AE1284">
        <v>161642.55855548201</v>
      </c>
    </row>
    <row r="1285" spans="1:31" x14ac:dyDescent="0.3">
      <c r="A1285" t="str">
        <f>IF(ISBLANK(B1285),"",IF(ROUND(B1285,0)=ROUND(G1285,0),"Pass","Fail"))</f>
        <v>Pass</v>
      </c>
      <c r="B1285">
        <f t="shared" si="109"/>
        <v>14.739727020263672</v>
      </c>
      <c r="C1285">
        <v>10</v>
      </c>
      <c r="D1285">
        <v>50</v>
      </c>
      <c r="E1285">
        <v>60</v>
      </c>
      <c r="F1285">
        <v>40</v>
      </c>
      <c r="G1285">
        <v>14.7397267643271</v>
      </c>
      <c r="M1285" t="str">
        <f t="shared" si="110"/>
        <v>Pass</v>
      </c>
      <c r="N1285">
        <f t="shared" si="111"/>
        <v>0</v>
      </c>
      <c r="O1285">
        <v>70</v>
      </c>
      <c r="P1285">
        <v>10</v>
      </c>
      <c r="Q1285">
        <v>0</v>
      </c>
      <c r="R1285" t="b">
        <v>0</v>
      </c>
      <c r="S1285">
        <v>0</v>
      </c>
      <c r="Y1285" t="str">
        <f t="shared" si="112"/>
        <v>Pass</v>
      </c>
      <c r="Z1285">
        <f t="shared" si="113"/>
        <v>175123.4375</v>
      </c>
      <c r="AA1285">
        <v>19600</v>
      </c>
      <c r="AB1285">
        <v>20</v>
      </c>
      <c r="AC1285">
        <v>10</v>
      </c>
      <c r="AD1285">
        <v>0.2</v>
      </c>
      <c r="AE1285">
        <v>175123.427301811</v>
      </c>
    </row>
    <row r="1286" spans="1:31" x14ac:dyDescent="0.3">
      <c r="A1286" t="str">
        <f>IF(ISBLANK(B1286),"",IF(ROUND(B1286,0)=ROUND(G1286,0),"Pass","Fail"))</f>
        <v>Pass</v>
      </c>
      <c r="B1286">
        <f t="shared" si="109"/>
        <v>13.66220760345459</v>
      </c>
      <c r="C1286">
        <v>10</v>
      </c>
      <c r="D1286">
        <v>50</v>
      </c>
      <c r="E1286">
        <v>60</v>
      </c>
      <c r="F1286">
        <v>48</v>
      </c>
      <c r="G1286">
        <v>13.6622079008197</v>
      </c>
      <c r="M1286" t="str">
        <f t="shared" si="110"/>
        <v>Pass</v>
      </c>
      <c r="N1286">
        <f t="shared" si="111"/>
        <v>1485.587158203125</v>
      </c>
      <c r="O1286">
        <v>70</v>
      </c>
      <c r="P1286">
        <v>10</v>
      </c>
      <c r="Q1286">
        <v>0.5</v>
      </c>
      <c r="R1286" t="b">
        <v>1</v>
      </c>
      <c r="S1286">
        <v>1485.5871970738799</v>
      </c>
      <c r="Y1286" t="str">
        <f t="shared" si="112"/>
        <v>Pass</v>
      </c>
      <c r="Z1286">
        <f t="shared" si="113"/>
        <v>184159.921875</v>
      </c>
      <c r="AA1286">
        <v>19600</v>
      </c>
      <c r="AB1286">
        <v>20</v>
      </c>
      <c r="AC1286">
        <v>12</v>
      </c>
      <c r="AD1286">
        <v>0.2</v>
      </c>
      <c r="AE1286">
        <v>184159.923860451</v>
      </c>
    </row>
    <row r="1287" spans="1:31" x14ac:dyDescent="0.3">
      <c r="A1287" t="str">
        <f>IF(ISBLANK(B1287),"",IF(ROUND(B1287,0)=ROUND(G1287,0),"Pass","Fail"))</f>
        <v>Pass</v>
      </c>
      <c r="B1287">
        <f t="shared" ref="B1287:B1350" si="114">FMC_heath(C1287,D1287,E1287,F1287)</f>
        <v>79.697998046875</v>
      </c>
      <c r="C1287">
        <v>10</v>
      </c>
      <c r="D1287">
        <v>50</v>
      </c>
      <c r="E1287">
        <v>70</v>
      </c>
      <c r="F1287">
        <v>0</v>
      </c>
      <c r="G1287">
        <v>79.697999999999993</v>
      </c>
      <c r="M1287" t="str">
        <f t="shared" ref="M1287:M1350" si="115">IF(ISBLANK(N1287),"",IF(ROUND(N1287,0)=ROUND(S1287,0),"Pass","Fail"))</f>
        <v>Pass</v>
      </c>
      <c r="N1287">
        <f t="shared" ref="N1287:N1350" si="116">ROS_heath(O1287,Q1287,P1287,R1287)</f>
        <v>3117.009521484375</v>
      </c>
      <c r="O1287">
        <v>70</v>
      </c>
      <c r="P1287">
        <v>10</v>
      </c>
      <c r="Q1287">
        <v>0.5</v>
      </c>
      <c r="R1287" t="b">
        <v>0</v>
      </c>
      <c r="S1287">
        <v>3117.00971082353</v>
      </c>
      <c r="Y1287" t="str">
        <f t="shared" ref="Y1287:Y1318" si="117">IF(ISBLANK(Z1287),"",IF(ROUND(Z1287,0)=ROUND(AE1287,0),"Pass","Fail"))</f>
        <v>Pass</v>
      </c>
      <c r="Z1287">
        <f t="shared" ref="Z1287:Z1318" si="118">intensity_heath(AA1287,AB1287,AC1287,AD1287)</f>
        <v>190217.25</v>
      </c>
      <c r="AA1287">
        <v>19600</v>
      </c>
      <c r="AB1287">
        <v>20</v>
      </c>
      <c r="AC1287">
        <v>14</v>
      </c>
      <c r="AD1287">
        <v>0.2</v>
      </c>
      <c r="AE1287">
        <v>190217.26864963901</v>
      </c>
    </row>
    <row r="1288" spans="1:31" x14ac:dyDescent="0.3">
      <c r="A1288" t="str">
        <f>IF(ISBLANK(B1288),"",IF(ROUND(B1288,0)=ROUND(G1288,0),"Pass","Fail"))</f>
        <v>Pass</v>
      </c>
      <c r="B1288">
        <f t="shared" si="114"/>
        <v>46.361228942871094</v>
      </c>
      <c r="C1288">
        <v>10</v>
      </c>
      <c r="D1288">
        <v>50</v>
      </c>
      <c r="E1288">
        <v>70</v>
      </c>
      <c r="F1288">
        <v>8</v>
      </c>
      <c r="G1288">
        <v>46.361228080723002</v>
      </c>
      <c r="M1288" t="str">
        <f t="shared" si="115"/>
        <v>Pass</v>
      </c>
      <c r="N1288">
        <f t="shared" si="116"/>
        <v>1738.7291259765625</v>
      </c>
      <c r="O1288">
        <v>70</v>
      </c>
      <c r="P1288">
        <v>10</v>
      </c>
      <c r="Q1288">
        <v>1</v>
      </c>
      <c r="R1288" t="b">
        <v>1</v>
      </c>
      <c r="S1288">
        <v>1738.72923724732</v>
      </c>
      <c r="Y1288" t="str">
        <f t="shared" si="117"/>
        <v>Pass</v>
      </c>
      <c r="Z1288">
        <f t="shared" si="118"/>
        <v>194277.625</v>
      </c>
      <c r="AA1288">
        <v>19600</v>
      </c>
      <c r="AB1288">
        <v>20</v>
      </c>
      <c r="AC1288">
        <v>16</v>
      </c>
      <c r="AD1288">
        <v>0.2</v>
      </c>
      <c r="AE1288">
        <v>194277.628287581</v>
      </c>
    </row>
    <row r="1289" spans="1:31" x14ac:dyDescent="0.3">
      <c r="A1289" t="str">
        <f>IF(ISBLANK(B1289),"",IF(ROUND(B1289,0)=ROUND(G1289,0),"Pass","Fail"))</f>
        <v>Pass</v>
      </c>
      <c r="B1289">
        <f t="shared" si="114"/>
        <v>29.579996109008789</v>
      </c>
      <c r="C1289">
        <v>10</v>
      </c>
      <c r="D1289">
        <v>50</v>
      </c>
      <c r="E1289">
        <v>70</v>
      </c>
      <c r="F1289">
        <v>16</v>
      </c>
      <c r="G1289">
        <v>29.579997247101701</v>
      </c>
      <c r="M1289" t="str">
        <f t="shared" si="115"/>
        <v>Pass</v>
      </c>
      <c r="N1289">
        <f t="shared" si="116"/>
        <v>3648.14404296875</v>
      </c>
      <c r="O1289">
        <v>70</v>
      </c>
      <c r="P1289">
        <v>10</v>
      </c>
      <c r="Q1289">
        <v>1</v>
      </c>
      <c r="R1289" t="b">
        <v>0</v>
      </c>
      <c r="S1289">
        <v>3648.1439310109599</v>
      </c>
      <c r="Y1289" t="str">
        <f t="shared" si="117"/>
        <v>Pass</v>
      </c>
      <c r="Z1289">
        <f t="shared" si="118"/>
        <v>196999.375</v>
      </c>
      <c r="AA1289">
        <v>19600</v>
      </c>
      <c r="AB1289">
        <v>20</v>
      </c>
      <c r="AC1289">
        <v>18</v>
      </c>
      <c r="AD1289">
        <v>0.2</v>
      </c>
      <c r="AE1289">
        <v>196999.368747008</v>
      </c>
    </row>
    <row r="1290" spans="1:31" x14ac:dyDescent="0.3">
      <c r="A1290" t="str">
        <f>IF(ISBLANK(B1290),"",IF(ROUND(B1290,0)=ROUND(G1290,0),"Pass","Fail"))</f>
        <v>Pass</v>
      </c>
      <c r="B1290">
        <f t="shared" si="114"/>
        <v>21.132575988769531</v>
      </c>
      <c r="C1290">
        <v>10</v>
      </c>
      <c r="D1290">
        <v>50</v>
      </c>
      <c r="E1290">
        <v>70</v>
      </c>
      <c r="F1290">
        <v>24</v>
      </c>
      <c r="G1290">
        <v>21.1325774137362</v>
      </c>
      <c r="M1290" t="str">
        <f t="shared" si="115"/>
        <v>Pass</v>
      </c>
      <c r="N1290">
        <f t="shared" si="116"/>
        <v>1906.35888671875</v>
      </c>
      <c r="O1290">
        <v>70</v>
      </c>
      <c r="P1290">
        <v>10</v>
      </c>
      <c r="Q1290">
        <v>1.5</v>
      </c>
      <c r="R1290" t="b">
        <v>1</v>
      </c>
      <c r="S1290">
        <v>1906.3589284412401</v>
      </c>
      <c r="Y1290" t="str">
        <f t="shared" si="117"/>
        <v>Pass</v>
      </c>
      <c r="Z1290">
        <f t="shared" si="118"/>
        <v>198823.8125</v>
      </c>
      <c r="AA1290">
        <v>19600</v>
      </c>
      <c r="AB1290">
        <v>20</v>
      </c>
      <c r="AC1290">
        <v>20</v>
      </c>
      <c r="AD1290">
        <v>0.2</v>
      </c>
      <c r="AE1290">
        <v>198823.80593706801</v>
      </c>
    </row>
    <row r="1291" spans="1:31" x14ac:dyDescent="0.3">
      <c r="A1291" t="str">
        <f>IF(ISBLANK(B1291),"",IF(ROUND(B1291,0)=ROUND(G1291,0),"Pass","Fail"))</f>
        <v>Pass</v>
      </c>
      <c r="B1291">
        <f t="shared" si="114"/>
        <v>16.880271911621094</v>
      </c>
      <c r="C1291">
        <v>10</v>
      </c>
      <c r="D1291">
        <v>50</v>
      </c>
      <c r="E1291">
        <v>70</v>
      </c>
      <c r="F1291">
        <v>32</v>
      </c>
      <c r="G1291">
        <v>16.880273005994599</v>
      </c>
      <c r="M1291" t="str">
        <f t="shared" si="115"/>
        <v>Pass</v>
      </c>
      <c r="N1291">
        <f t="shared" si="116"/>
        <v>3999.85888671875</v>
      </c>
      <c r="O1291">
        <v>70</v>
      </c>
      <c r="P1291">
        <v>10</v>
      </c>
      <c r="Q1291">
        <v>1.5</v>
      </c>
      <c r="R1291" t="b">
        <v>0</v>
      </c>
      <c r="S1291">
        <v>3999.8589809945302</v>
      </c>
      <c r="Y1291" t="str">
        <f t="shared" si="117"/>
        <v>Pass</v>
      </c>
      <c r="Z1291">
        <f t="shared" si="118"/>
        <v>200046.78125</v>
      </c>
      <c r="AA1291">
        <v>19600</v>
      </c>
      <c r="AB1291">
        <v>20</v>
      </c>
      <c r="AC1291">
        <v>22</v>
      </c>
      <c r="AD1291">
        <v>0.2</v>
      </c>
      <c r="AE1291">
        <v>200046.76275829799</v>
      </c>
    </row>
    <row r="1292" spans="1:31" x14ac:dyDescent="0.3">
      <c r="A1292" t="str">
        <f>IF(ISBLANK(B1292),"",IF(ROUND(B1292,0)=ROUND(G1292,0),"Pass","Fail"))</f>
        <v>Pass</v>
      </c>
      <c r="B1292">
        <f t="shared" si="114"/>
        <v>14.739727020263672</v>
      </c>
      <c r="C1292">
        <v>10</v>
      </c>
      <c r="D1292">
        <v>50</v>
      </c>
      <c r="E1292">
        <v>70</v>
      </c>
      <c r="F1292">
        <v>40</v>
      </c>
      <c r="G1292">
        <v>14.7397267643271</v>
      </c>
      <c r="M1292" t="str">
        <f t="shared" si="115"/>
        <v>Pass</v>
      </c>
      <c r="N1292">
        <f t="shared" si="116"/>
        <v>2035.00634765625</v>
      </c>
      <c r="O1292">
        <v>70</v>
      </c>
      <c r="P1292">
        <v>10</v>
      </c>
      <c r="Q1292">
        <v>2</v>
      </c>
      <c r="R1292" t="b">
        <v>1</v>
      </c>
      <c r="S1292">
        <v>2035.00633716641</v>
      </c>
      <c r="Y1292" t="str">
        <f t="shared" si="117"/>
        <v>Pass</v>
      </c>
      <c r="Z1292">
        <f t="shared" si="118"/>
        <v>200866.546875</v>
      </c>
      <c r="AA1292">
        <v>19600</v>
      </c>
      <c r="AB1292">
        <v>20</v>
      </c>
      <c r="AC1292">
        <v>24</v>
      </c>
      <c r="AD1292">
        <v>0.2</v>
      </c>
      <c r="AE1292">
        <v>200866.53523100499</v>
      </c>
    </row>
    <row r="1293" spans="1:31" x14ac:dyDescent="0.3">
      <c r="A1293" t="str">
        <f>IF(ISBLANK(B1293),"",IF(ROUND(B1293,0)=ROUND(G1293,0),"Pass","Fail"))</f>
        <v>Pass</v>
      </c>
      <c r="B1293">
        <f t="shared" si="114"/>
        <v>13.66220760345459</v>
      </c>
      <c r="C1293">
        <v>10</v>
      </c>
      <c r="D1293">
        <v>50</v>
      </c>
      <c r="E1293">
        <v>70</v>
      </c>
      <c r="F1293">
        <v>48</v>
      </c>
      <c r="G1293">
        <v>13.6622079008197</v>
      </c>
      <c r="M1293" t="str">
        <f t="shared" si="115"/>
        <v>Pass</v>
      </c>
      <c r="N1293">
        <f t="shared" si="116"/>
        <v>4269.7822265625</v>
      </c>
      <c r="O1293">
        <v>70</v>
      </c>
      <c r="P1293">
        <v>10</v>
      </c>
      <c r="Q1293">
        <v>2</v>
      </c>
      <c r="R1293" t="b">
        <v>0</v>
      </c>
      <c r="S1293">
        <v>4269.7827007590004</v>
      </c>
      <c r="Y1293" t="str">
        <f t="shared" si="117"/>
        <v>Pass</v>
      </c>
      <c r="Z1293">
        <f t="shared" si="118"/>
        <v>0</v>
      </c>
      <c r="AA1293">
        <v>19800</v>
      </c>
      <c r="AB1293">
        <v>20</v>
      </c>
      <c r="AC1293">
        <v>0</v>
      </c>
      <c r="AD1293">
        <v>0.2</v>
      </c>
      <c r="AE1293">
        <v>0</v>
      </c>
    </row>
    <row r="1294" spans="1:31" x14ac:dyDescent="0.3">
      <c r="A1294" t="str">
        <f>IF(ISBLANK(B1294),"",IF(ROUND(B1294,0)=ROUND(G1294,0),"Pass","Fail"))</f>
        <v>Pass</v>
      </c>
      <c r="B1294">
        <f t="shared" si="114"/>
        <v>79.697998046875</v>
      </c>
      <c r="C1294">
        <v>10</v>
      </c>
      <c r="D1294">
        <v>50</v>
      </c>
      <c r="E1294">
        <v>80</v>
      </c>
      <c r="F1294">
        <v>0</v>
      </c>
      <c r="G1294">
        <v>79.697999999999993</v>
      </c>
      <c r="M1294" t="str">
        <f t="shared" si="115"/>
        <v>Pass</v>
      </c>
      <c r="N1294">
        <f t="shared" si="116"/>
        <v>2140.741943359375</v>
      </c>
      <c r="O1294">
        <v>70</v>
      </c>
      <c r="P1294">
        <v>10</v>
      </c>
      <c r="Q1294">
        <v>2.5</v>
      </c>
      <c r="R1294" t="b">
        <v>1</v>
      </c>
      <c r="S1294">
        <v>2140.7420454171302</v>
      </c>
      <c r="Y1294" t="str">
        <f t="shared" si="117"/>
        <v>Pass</v>
      </c>
      <c r="Z1294">
        <f t="shared" si="118"/>
        <v>67452.515625</v>
      </c>
      <c r="AA1294">
        <v>19800</v>
      </c>
      <c r="AB1294">
        <v>20</v>
      </c>
      <c r="AC1294">
        <v>2</v>
      </c>
      <c r="AD1294">
        <v>0.2</v>
      </c>
      <c r="AE1294">
        <v>67452.518581108103</v>
      </c>
    </row>
    <row r="1295" spans="1:31" x14ac:dyDescent="0.3">
      <c r="A1295" t="str">
        <f>IF(ISBLANK(B1295),"",IF(ROUND(B1295,0)=ROUND(G1295,0),"Pass","Fail"))</f>
        <v>Pass</v>
      </c>
      <c r="B1295">
        <f t="shared" si="114"/>
        <v>46.361228942871094</v>
      </c>
      <c r="C1295">
        <v>10</v>
      </c>
      <c r="D1295">
        <v>50</v>
      </c>
      <c r="E1295">
        <v>80</v>
      </c>
      <c r="F1295">
        <v>8</v>
      </c>
      <c r="G1295">
        <v>46.361228080723002</v>
      </c>
      <c r="M1295" t="str">
        <f t="shared" si="115"/>
        <v>Pass</v>
      </c>
      <c r="N1295">
        <f t="shared" si="116"/>
        <v>4491.6337890625</v>
      </c>
      <c r="O1295">
        <v>70</v>
      </c>
      <c r="P1295">
        <v>10</v>
      </c>
      <c r="Q1295">
        <v>2.5</v>
      </c>
      <c r="R1295" t="b">
        <v>0</v>
      </c>
      <c r="S1295">
        <v>4491.6338516355299</v>
      </c>
      <c r="Y1295" t="str">
        <f t="shared" si="117"/>
        <v>Pass</v>
      </c>
      <c r="Z1295">
        <f t="shared" si="118"/>
        <v>112667.296875</v>
      </c>
      <c r="AA1295">
        <v>19800</v>
      </c>
      <c r="AB1295">
        <v>20</v>
      </c>
      <c r="AC1295">
        <v>4</v>
      </c>
      <c r="AD1295">
        <v>0.2</v>
      </c>
      <c r="AE1295">
        <v>112667.29394161599</v>
      </c>
    </row>
    <row r="1296" spans="1:31" x14ac:dyDescent="0.3">
      <c r="A1296" t="str">
        <f>IF(ISBLANK(B1296),"",IF(ROUND(B1296,0)=ROUND(G1296,0),"Pass","Fail"))</f>
        <v>Pass</v>
      </c>
      <c r="B1296">
        <f t="shared" si="114"/>
        <v>29.579996109008789</v>
      </c>
      <c r="C1296">
        <v>10</v>
      </c>
      <c r="D1296">
        <v>50</v>
      </c>
      <c r="E1296">
        <v>80</v>
      </c>
      <c r="F1296">
        <v>16</v>
      </c>
      <c r="G1296">
        <v>29.579997247101701</v>
      </c>
      <c r="M1296" t="str">
        <f t="shared" si="115"/>
        <v>Pass</v>
      </c>
      <c r="N1296">
        <f t="shared" si="116"/>
        <v>2231.19970703125</v>
      </c>
      <c r="O1296">
        <v>70</v>
      </c>
      <c r="P1296">
        <v>10</v>
      </c>
      <c r="Q1296">
        <v>3</v>
      </c>
      <c r="R1296" t="b">
        <v>1</v>
      </c>
      <c r="S1296">
        <v>2231.1999000105802</v>
      </c>
      <c r="Y1296" t="str">
        <f t="shared" si="117"/>
        <v>Pass</v>
      </c>
      <c r="Z1296">
        <f t="shared" si="118"/>
        <v>142975.671875</v>
      </c>
      <c r="AA1296">
        <v>19800</v>
      </c>
      <c r="AB1296">
        <v>20</v>
      </c>
      <c r="AC1296">
        <v>6</v>
      </c>
      <c r="AD1296">
        <v>0.2</v>
      </c>
      <c r="AE1296">
        <v>142975.66424276301</v>
      </c>
    </row>
    <row r="1297" spans="1:31" x14ac:dyDescent="0.3">
      <c r="A1297" t="str">
        <f>IF(ISBLANK(B1297),"",IF(ROUND(B1297,0)=ROUND(G1297,0),"Pass","Fail"))</f>
        <v>Pass</v>
      </c>
      <c r="B1297">
        <f t="shared" si="114"/>
        <v>21.132575988769531</v>
      </c>
      <c r="C1297">
        <v>10</v>
      </c>
      <c r="D1297">
        <v>50</v>
      </c>
      <c r="E1297">
        <v>80</v>
      </c>
      <c r="F1297">
        <v>24</v>
      </c>
      <c r="G1297">
        <v>21.1325774137362</v>
      </c>
      <c r="M1297" t="str">
        <f t="shared" si="115"/>
        <v>Pass</v>
      </c>
      <c r="N1297">
        <f t="shared" si="116"/>
        <v>4681.42919921875</v>
      </c>
      <c r="O1297">
        <v>70</v>
      </c>
      <c r="P1297">
        <v>10</v>
      </c>
      <c r="Q1297">
        <v>3</v>
      </c>
      <c r="R1297" t="b">
        <v>0</v>
      </c>
      <c r="S1297">
        <v>4681.4295174459403</v>
      </c>
      <c r="Y1297" t="str">
        <f t="shared" si="117"/>
        <v>Pass</v>
      </c>
      <c r="Z1297">
        <f t="shared" si="118"/>
        <v>163291.96875</v>
      </c>
      <c r="AA1297">
        <v>19800</v>
      </c>
      <c r="AB1297">
        <v>20</v>
      </c>
      <c r="AC1297">
        <v>8</v>
      </c>
      <c r="AD1297">
        <v>0.2</v>
      </c>
      <c r="AE1297">
        <v>163291.97241829301</v>
      </c>
    </row>
    <row r="1298" spans="1:31" x14ac:dyDescent="0.3">
      <c r="A1298" t="str">
        <f>IF(ISBLANK(B1298),"",IF(ROUND(B1298,0)=ROUND(G1298,0),"Pass","Fail"))</f>
        <v>Pass</v>
      </c>
      <c r="B1298">
        <f t="shared" si="114"/>
        <v>16.880271911621094</v>
      </c>
      <c r="C1298">
        <v>10</v>
      </c>
      <c r="D1298">
        <v>50</v>
      </c>
      <c r="E1298">
        <v>80</v>
      </c>
      <c r="F1298">
        <v>32</v>
      </c>
      <c r="G1298">
        <v>16.880273005994599</v>
      </c>
      <c r="M1298" t="str">
        <f t="shared" si="115"/>
        <v>Pass</v>
      </c>
      <c r="N1298">
        <f t="shared" si="116"/>
        <v>2310.656494140625</v>
      </c>
      <c r="O1298">
        <v>70</v>
      </c>
      <c r="P1298">
        <v>10</v>
      </c>
      <c r="Q1298">
        <v>3.5</v>
      </c>
      <c r="R1298" t="b">
        <v>1</v>
      </c>
      <c r="S1298">
        <v>2310.6565775150498</v>
      </c>
      <c r="Y1298" t="str">
        <f t="shared" si="117"/>
        <v>Pass</v>
      </c>
      <c r="Z1298">
        <f t="shared" si="118"/>
        <v>176910.40625</v>
      </c>
      <c r="AA1298">
        <v>19800</v>
      </c>
      <c r="AB1298">
        <v>20</v>
      </c>
      <c r="AC1298">
        <v>10</v>
      </c>
      <c r="AD1298">
        <v>0.2</v>
      </c>
      <c r="AE1298">
        <v>176910.40104978901</v>
      </c>
    </row>
    <row r="1299" spans="1:31" x14ac:dyDescent="0.3">
      <c r="A1299" t="str">
        <f>IF(ISBLANK(B1299),"",IF(ROUND(B1299,0)=ROUND(G1299,0),"Pass","Fail"))</f>
        <v>Pass</v>
      </c>
      <c r="B1299">
        <f t="shared" si="114"/>
        <v>14.739727020263672</v>
      </c>
      <c r="C1299">
        <v>10</v>
      </c>
      <c r="D1299">
        <v>50</v>
      </c>
      <c r="E1299">
        <v>80</v>
      </c>
      <c r="F1299">
        <v>40</v>
      </c>
      <c r="G1299">
        <v>14.7397267643271</v>
      </c>
      <c r="M1299" t="str">
        <f t="shared" si="115"/>
        <v>Pass</v>
      </c>
      <c r="N1299">
        <f t="shared" si="116"/>
        <v>4848.142578125</v>
      </c>
      <c r="O1299">
        <v>70</v>
      </c>
      <c r="P1299">
        <v>10</v>
      </c>
      <c r="Q1299">
        <v>3.5</v>
      </c>
      <c r="R1299" t="b">
        <v>0</v>
      </c>
      <c r="S1299">
        <v>4848.1428789093497</v>
      </c>
      <c r="Y1299" t="str">
        <f t="shared" si="117"/>
        <v>Pass</v>
      </c>
      <c r="Z1299">
        <f t="shared" si="118"/>
        <v>186039.109375</v>
      </c>
      <c r="AA1299">
        <v>19800</v>
      </c>
      <c r="AB1299">
        <v>20</v>
      </c>
      <c r="AC1299">
        <v>12</v>
      </c>
      <c r="AD1299">
        <v>0.2</v>
      </c>
      <c r="AE1299">
        <v>186039.106756986</v>
      </c>
    </row>
    <row r="1300" spans="1:31" x14ac:dyDescent="0.3">
      <c r="A1300" t="str">
        <f>IF(ISBLANK(B1300),"",IF(ROUND(B1300,0)=ROUND(G1300,0),"Pass","Fail"))</f>
        <v>Pass</v>
      </c>
      <c r="B1300">
        <f t="shared" si="114"/>
        <v>13.66220760345459</v>
      </c>
      <c r="C1300">
        <v>10</v>
      </c>
      <c r="D1300">
        <v>50</v>
      </c>
      <c r="E1300">
        <v>80</v>
      </c>
      <c r="F1300">
        <v>48</v>
      </c>
      <c r="G1300">
        <v>13.6622079008197</v>
      </c>
      <c r="M1300" t="str">
        <f t="shared" si="115"/>
        <v>Pass</v>
      </c>
      <c r="N1300">
        <f t="shared" si="116"/>
        <v>2381.7685546875</v>
      </c>
      <c r="O1300">
        <v>70</v>
      </c>
      <c r="P1300">
        <v>10</v>
      </c>
      <c r="Q1300">
        <v>4</v>
      </c>
      <c r="R1300" t="b">
        <v>1</v>
      </c>
      <c r="S1300">
        <v>2381.7686524117498</v>
      </c>
      <c r="Y1300" t="str">
        <f t="shared" si="117"/>
        <v>Pass</v>
      </c>
      <c r="Z1300">
        <f t="shared" si="118"/>
        <v>192158.25</v>
      </c>
      <c r="AA1300">
        <v>19800</v>
      </c>
      <c r="AB1300">
        <v>20</v>
      </c>
      <c r="AC1300">
        <v>14</v>
      </c>
      <c r="AD1300">
        <v>0.2</v>
      </c>
      <c r="AE1300">
        <v>192158.26118688</v>
      </c>
    </row>
    <row r="1301" spans="1:31" x14ac:dyDescent="0.3">
      <c r="A1301" t="str">
        <f>IF(ISBLANK(B1301),"",IF(ROUND(B1301,0)=ROUND(G1301,0),"Pass","Fail"))</f>
        <v>Pass</v>
      </c>
      <c r="B1301">
        <f t="shared" si="114"/>
        <v>79.697998046875</v>
      </c>
      <c r="C1301">
        <v>10</v>
      </c>
      <c r="D1301">
        <v>50</v>
      </c>
      <c r="E1301">
        <v>90</v>
      </c>
      <c r="F1301">
        <v>0</v>
      </c>
      <c r="G1301">
        <v>79.697999999999993</v>
      </c>
      <c r="M1301" t="str">
        <f t="shared" si="115"/>
        <v>Pass</v>
      </c>
      <c r="N1301">
        <f t="shared" si="116"/>
        <v>4997.34765625</v>
      </c>
      <c r="O1301">
        <v>70</v>
      </c>
      <c r="P1301">
        <v>10</v>
      </c>
      <c r="Q1301">
        <v>4</v>
      </c>
      <c r="R1301" t="b">
        <v>0</v>
      </c>
      <c r="S1301">
        <v>4997.3478723600401</v>
      </c>
      <c r="Y1301" t="str">
        <f t="shared" si="117"/>
        <v>Pass</v>
      </c>
      <c r="Z1301">
        <f t="shared" si="118"/>
        <v>196260.046875</v>
      </c>
      <c r="AA1301">
        <v>19800</v>
      </c>
      <c r="AB1301">
        <v>20</v>
      </c>
      <c r="AC1301">
        <v>16</v>
      </c>
      <c r="AD1301">
        <v>0.2</v>
      </c>
      <c r="AE1301">
        <v>196260.05306602601</v>
      </c>
    </row>
    <row r="1302" spans="1:31" x14ac:dyDescent="0.3">
      <c r="A1302" t="str">
        <f>IF(ISBLANK(B1302),"",IF(ROUND(B1302,0)=ROUND(G1302,0),"Pass","Fail"))</f>
        <v>Pass</v>
      </c>
      <c r="B1302">
        <f t="shared" si="114"/>
        <v>46.361228942871094</v>
      </c>
      <c r="C1302">
        <v>10</v>
      </c>
      <c r="D1302">
        <v>50</v>
      </c>
      <c r="E1302">
        <v>90</v>
      </c>
      <c r="F1302">
        <v>8</v>
      </c>
      <c r="G1302">
        <v>46.361228080723002</v>
      </c>
      <c r="M1302" t="str">
        <f t="shared" si="115"/>
        <v>Pass</v>
      </c>
      <c r="N1302">
        <f t="shared" si="116"/>
        <v>0</v>
      </c>
      <c r="O1302">
        <v>70</v>
      </c>
      <c r="P1302">
        <v>20</v>
      </c>
      <c r="Q1302">
        <v>0</v>
      </c>
      <c r="R1302" t="b">
        <v>1</v>
      </c>
      <c r="S1302">
        <v>0</v>
      </c>
      <c r="Y1302" t="str">
        <f t="shared" si="117"/>
        <v>Pass</v>
      </c>
      <c r="Z1302">
        <f t="shared" si="118"/>
        <v>199009.578125</v>
      </c>
      <c r="AA1302">
        <v>19800</v>
      </c>
      <c r="AB1302">
        <v>20</v>
      </c>
      <c r="AC1302">
        <v>18</v>
      </c>
      <c r="AD1302">
        <v>0.2</v>
      </c>
      <c r="AE1302">
        <v>199009.566387283</v>
      </c>
    </row>
    <row r="1303" spans="1:31" x14ac:dyDescent="0.3">
      <c r="A1303" t="str">
        <f>IF(ISBLANK(B1303),"",IF(ROUND(B1303,0)=ROUND(G1303,0),"Pass","Fail"))</f>
        <v>Pass</v>
      </c>
      <c r="B1303">
        <f t="shared" si="114"/>
        <v>29.579996109008789</v>
      </c>
      <c r="C1303">
        <v>10</v>
      </c>
      <c r="D1303">
        <v>50</v>
      </c>
      <c r="E1303">
        <v>90</v>
      </c>
      <c r="F1303">
        <v>16</v>
      </c>
      <c r="G1303">
        <v>29.579997247101701</v>
      </c>
      <c r="M1303" t="str">
        <f t="shared" si="115"/>
        <v>Pass</v>
      </c>
      <c r="N1303">
        <f t="shared" si="116"/>
        <v>0</v>
      </c>
      <c r="O1303">
        <v>70</v>
      </c>
      <c r="P1303">
        <v>20</v>
      </c>
      <c r="Q1303">
        <v>0</v>
      </c>
      <c r="R1303" t="b">
        <v>0</v>
      </c>
      <c r="S1303">
        <v>0</v>
      </c>
      <c r="Y1303" t="str">
        <f t="shared" si="117"/>
        <v>Pass</v>
      </c>
      <c r="Z1303">
        <f t="shared" si="118"/>
        <v>200852.625</v>
      </c>
      <c r="AA1303">
        <v>19800</v>
      </c>
      <c r="AB1303">
        <v>20</v>
      </c>
      <c r="AC1303">
        <v>20</v>
      </c>
      <c r="AD1303">
        <v>0.2</v>
      </c>
      <c r="AE1303">
        <v>200852.620283364</v>
      </c>
    </row>
    <row r="1304" spans="1:31" x14ac:dyDescent="0.3">
      <c r="A1304" t="str">
        <f>IF(ISBLANK(B1304),"",IF(ROUND(B1304,0)=ROUND(G1304,0),"Pass","Fail"))</f>
        <v>Pass</v>
      </c>
      <c r="B1304">
        <f t="shared" si="114"/>
        <v>21.132575988769531</v>
      </c>
      <c r="C1304">
        <v>10</v>
      </c>
      <c r="D1304">
        <v>50</v>
      </c>
      <c r="E1304">
        <v>90</v>
      </c>
      <c r="F1304">
        <v>24</v>
      </c>
      <c r="G1304">
        <v>21.1325774137362</v>
      </c>
      <c r="M1304" t="str">
        <f t="shared" si="115"/>
        <v>Pass</v>
      </c>
      <c r="N1304">
        <f t="shared" si="116"/>
        <v>39.358528137207031</v>
      </c>
      <c r="O1304">
        <v>70</v>
      </c>
      <c r="P1304">
        <v>20</v>
      </c>
      <c r="Q1304">
        <v>0.5</v>
      </c>
      <c r="R1304" t="b">
        <v>1</v>
      </c>
      <c r="S1304">
        <v>39.3585300332198</v>
      </c>
      <c r="Y1304" t="str">
        <f t="shared" si="117"/>
        <v>Pass</v>
      </c>
      <c r="Z1304">
        <f t="shared" si="118"/>
        <v>202088.0625</v>
      </c>
      <c r="AA1304">
        <v>19800</v>
      </c>
      <c r="AB1304">
        <v>20</v>
      </c>
      <c r="AC1304">
        <v>22</v>
      </c>
      <c r="AD1304">
        <v>0.2</v>
      </c>
      <c r="AE1304">
        <v>202088.05625583199</v>
      </c>
    </row>
    <row r="1305" spans="1:31" x14ac:dyDescent="0.3">
      <c r="A1305" t="str">
        <f>IF(ISBLANK(B1305),"",IF(ROUND(B1305,0)=ROUND(G1305,0),"Pass","Fail"))</f>
        <v>Pass</v>
      </c>
      <c r="B1305">
        <f t="shared" si="114"/>
        <v>16.880271911621094</v>
      </c>
      <c r="C1305">
        <v>10</v>
      </c>
      <c r="D1305">
        <v>50</v>
      </c>
      <c r="E1305">
        <v>90</v>
      </c>
      <c r="F1305">
        <v>32</v>
      </c>
      <c r="G1305">
        <v>16.880273005994599</v>
      </c>
      <c r="M1305" t="str">
        <f t="shared" si="115"/>
        <v>Pass</v>
      </c>
      <c r="N1305">
        <f t="shared" si="116"/>
        <v>82.580764770507813</v>
      </c>
      <c r="O1305">
        <v>70</v>
      </c>
      <c r="P1305">
        <v>20</v>
      </c>
      <c r="Q1305">
        <v>0.5</v>
      </c>
      <c r="R1305" t="b">
        <v>0</v>
      </c>
      <c r="S1305">
        <v>82.580760361240394</v>
      </c>
      <c r="Y1305" t="str">
        <f t="shared" si="117"/>
        <v>Pass</v>
      </c>
      <c r="Z1305">
        <f t="shared" si="118"/>
        <v>202916.203125</v>
      </c>
      <c r="AA1305">
        <v>19800</v>
      </c>
      <c r="AB1305">
        <v>20</v>
      </c>
      <c r="AC1305">
        <v>24</v>
      </c>
      <c r="AD1305">
        <v>0.2</v>
      </c>
      <c r="AE1305">
        <v>202916.19375377</v>
      </c>
    </row>
    <row r="1306" spans="1:31" x14ac:dyDescent="0.3">
      <c r="A1306" t="str">
        <f>IF(ISBLANK(B1306),"",IF(ROUND(B1306,0)=ROUND(G1306,0),"Pass","Fail"))</f>
        <v>Pass</v>
      </c>
      <c r="B1306">
        <f t="shared" si="114"/>
        <v>14.739727020263672</v>
      </c>
      <c r="C1306">
        <v>10</v>
      </c>
      <c r="D1306">
        <v>50</v>
      </c>
      <c r="E1306">
        <v>90</v>
      </c>
      <c r="F1306">
        <v>40</v>
      </c>
      <c r="G1306">
        <v>14.7397267643271</v>
      </c>
      <c r="M1306" t="str">
        <f t="shared" si="115"/>
        <v>Pass</v>
      </c>
      <c r="N1306">
        <f t="shared" si="116"/>
        <v>46.065174102783203</v>
      </c>
      <c r="O1306">
        <v>70</v>
      </c>
      <c r="P1306">
        <v>20</v>
      </c>
      <c r="Q1306">
        <v>1</v>
      </c>
      <c r="R1306" t="b">
        <v>1</v>
      </c>
      <c r="S1306">
        <v>46.065170081317298</v>
      </c>
      <c r="Y1306" t="str">
        <f t="shared" si="117"/>
        <v>Pass</v>
      </c>
      <c r="Z1306">
        <f t="shared" si="118"/>
        <v>0</v>
      </c>
      <c r="AA1306">
        <v>20000</v>
      </c>
      <c r="AB1306">
        <v>20</v>
      </c>
      <c r="AC1306">
        <v>0</v>
      </c>
      <c r="AD1306">
        <v>0.2</v>
      </c>
      <c r="AE1306">
        <v>0</v>
      </c>
    </row>
    <row r="1307" spans="1:31" x14ac:dyDescent="0.3">
      <c r="A1307" t="str">
        <f>IF(ISBLANK(B1307),"",IF(ROUND(B1307,0)=ROUND(G1307,0),"Pass","Fail"))</f>
        <v>Pass</v>
      </c>
      <c r="B1307">
        <f t="shared" si="114"/>
        <v>13.66220760345459</v>
      </c>
      <c r="C1307">
        <v>10</v>
      </c>
      <c r="D1307">
        <v>50</v>
      </c>
      <c r="E1307">
        <v>90</v>
      </c>
      <c r="F1307">
        <v>48</v>
      </c>
      <c r="G1307">
        <v>13.6622079008197</v>
      </c>
      <c r="M1307" t="str">
        <f t="shared" si="115"/>
        <v>Pass</v>
      </c>
      <c r="N1307">
        <f t="shared" si="116"/>
        <v>96.652420043945313</v>
      </c>
      <c r="O1307">
        <v>70</v>
      </c>
      <c r="P1307">
        <v>20</v>
      </c>
      <c r="Q1307">
        <v>1</v>
      </c>
      <c r="R1307" t="b">
        <v>0</v>
      </c>
      <c r="S1307">
        <v>96.652409738734505</v>
      </c>
      <c r="Y1307" t="str">
        <f t="shared" si="117"/>
        <v>Pass</v>
      </c>
      <c r="Z1307">
        <f t="shared" si="118"/>
        <v>68133.8515625</v>
      </c>
      <c r="AA1307">
        <v>20000</v>
      </c>
      <c r="AB1307">
        <v>20</v>
      </c>
      <c r="AC1307">
        <v>2</v>
      </c>
      <c r="AD1307">
        <v>0.2</v>
      </c>
      <c r="AE1307">
        <v>68133.857152634504</v>
      </c>
    </row>
    <row r="1308" spans="1:31" x14ac:dyDescent="0.3">
      <c r="A1308" t="str">
        <f>IF(ISBLANK(B1308),"",IF(ROUND(B1308,0)=ROUND(G1308,0),"Pass","Fail"))</f>
        <v>Pass</v>
      </c>
      <c r="B1308">
        <f t="shared" si="114"/>
        <v>79.697998046875</v>
      </c>
      <c r="C1308">
        <v>10</v>
      </c>
      <c r="D1308">
        <v>50</v>
      </c>
      <c r="E1308">
        <v>100</v>
      </c>
      <c r="F1308">
        <v>0</v>
      </c>
      <c r="G1308">
        <v>79.697999999999993</v>
      </c>
      <c r="M1308" t="str">
        <f t="shared" si="115"/>
        <v>Pass</v>
      </c>
      <c r="N1308">
        <f t="shared" si="116"/>
        <v>50.506278991699219</v>
      </c>
      <c r="O1308">
        <v>70</v>
      </c>
      <c r="P1308">
        <v>20</v>
      </c>
      <c r="Q1308">
        <v>1.5</v>
      </c>
      <c r="R1308" t="b">
        <v>1</v>
      </c>
      <c r="S1308">
        <v>50.506281480439803</v>
      </c>
      <c r="Y1308" t="str">
        <f t="shared" si="117"/>
        <v>Pass</v>
      </c>
      <c r="Z1308">
        <f t="shared" si="118"/>
        <v>113805.3515625</v>
      </c>
      <c r="AA1308">
        <v>20000</v>
      </c>
      <c r="AB1308">
        <v>20</v>
      </c>
      <c r="AC1308">
        <v>4</v>
      </c>
      <c r="AD1308">
        <v>0.2</v>
      </c>
      <c r="AE1308">
        <v>113805.347415774</v>
      </c>
    </row>
    <row r="1309" spans="1:31" x14ac:dyDescent="0.3">
      <c r="A1309" t="str">
        <f>IF(ISBLANK(B1309),"",IF(ROUND(B1309,0)=ROUND(G1309,0),"Pass","Fail"))</f>
        <v>Pass</v>
      </c>
      <c r="B1309">
        <f t="shared" si="114"/>
        <v>46.361228942871094</v>
      </c>
      <c r="C1309">
        <v>10</v>
      </c>
      <c r="D1309">
        <v>50</v>
      </c>
      <c r="E1309">
        <v>100</v>
      </c>
      <c r="F1309">
        <v>8</v>
      </c>
      <c r="G1309">
        <v>46.361228080723002</v>
      </c>
      <c r="M1309" t="str">
        <f t="shared" si="115"/>
        <v>Pass</v>
      </c>
      <c r="N1309">
        <f t="shared" si="116"/>
        <v>105.97061157226563</v>
      </c>
      <c r="O1309">
        <v>70</v>
      </c>
      <c r="P1309">
        <v>20</v>
      </c>
      <c r="Q1309">
        <v>1.5</v>
      </c>
      <c r="R1309" t="b">
        <v>0</v>
      </c>
      <c r="S1309">
        <v>105.970602157987</v>
      </c>
      <c r="Y1309" t="str">
        <f t="shared" si="117"/>
        <v>Pass</v>
      </c>
      <c r="Z1309">
        <f t="shared" si="118"/>
        <v>144419.875</v>
      </c>
      <c r="AA1309">
        <v>20000</v>
      </c>
      <c r="AB1309">
        <v>20</v>
      </c>
      <c r="AC1309">
        <v>6</v>
      </c>
      <c r="AD1309">
        <v>0.2</v>
      </c>
      <c r="AE1309">
        <v>144419.86287147799</v>
      </c>
    </row>
    <row r="1310" spans="1:31" x14ac:dyDescent="0.3">
      <c r="A1310" t="str">
        <f>IF(ISBLANK(B1310),"",IF(ROUND(B1310,0)=ROUND(G1310,0),"Pass","Fail"))</f>
        <v>Pass</v>
      </c>
      <c r="B1310">
        <f t="shared" si="114"/>
        <v>29.579996109008789</v>
      </c>
      <c r="C1310">
        <v>10</v>
      </c>
      <c r="D1310">
        <v>50</v>
      </c>
      <c r="E1310">
        <v>100</v>
      </c>
      <c r="F1310">
        <v>16</v>
      </c>
      <c r="G1310">
        <v>29.579997247101701</v>
      </c>
      <c r="M1310" t="str">
        <f t="shared" si="115"/>
        <v>Pass</v>
      </c>
      <c r="N1310">
        <f t="shared" si="116"/>
        <v>53.91461181640625</v>
      </c>
      <c r="O1310">
        <v>70</v>
      </c>
      <c r="P1310">
        <v>20</v>
      </c>
      <c r="Q1310">
        <v>2</v>
      </c>
      <c r="R1310" t="b">
        <v>1</v>
      </c>
      <c r="S1310">
        <v>53.9146124824697</v>
      </c>
      <c r="Y1310" t="str">
        <f t="shared" si="117"/>
        <v>Pass</v>
      </c>
      <c r="Z1310">
        <f t="shared" si="118"/>
        <v>164941.390625</v>
      </c>
      <c r="AA1310">
        <v>20000</v>
      </c>
      <c r="AB1310">
        <v>20</v>
      </c>
      <c r="AC1310">
        <v>8</v>
      </c>
      <c r="AD1310">
        <v>0.2</v>
      </c>
      <c r="AE1310">
        <v>164941.386281104</v>
      </c>
    </row>
    <row r="1311" spans="1:31" x14ac:dyDescent="0.3">
      <c r="A1311" t="str">
        <f>IF(ISBLANK(B1311),"",IF(ROUND(B1311,0)=ROUND(G1311,0),"Pass","Fail"))</f>
        <v>Pass</v>
      </c>
      <c r="B1311">
        <f t="shared" si="114"/>
        <v>21.132575988769531</v>
      </c>
      <c r="C1311">
        <v>10</v>
      </c>
      <c r="D1311">
        <v>50</v>
      </c>
      <c r="E1311">
        <v>100</v>
      </c>
      <c r="F1311">
        <v>24</v>
      </c>
      <c r="G1311">
        <v>21.1325774137362</v>
      </c>
      <c r="M1311" t="str">
        <f t="shared" si="115"/>
        <v>Pass</v>
      </c>
      <c r="N1311">
        <f t="shared" si="116"/>
        <v>113.12184906005859</v>
      </c>
      <c r="O1311">
        <v>70</v>
      </c>
      <c r="P1311">
        <v>20</v>
      </c>
      <c r="Q1311">
        <v>2</v>
      </c>
      <c r="R1311" t="b">
        <v>0</v>
      </c>
      <c r="S1311">
        <v>113.12184905346</v>
      </c>
      <c r="Y1311" t="str">
        <f t="shared" si="117"/>
        <v>Pass</v>
      </c>
      <c r="Z1311">
        <f t="shared" si="118"/>
        <v>178697.390625</v>
      </c>
      <c r="AA1311">
        <v>20000</v>
      </c>
      <c r="AB1311">
        <v>20</v>
      </c>
      <c r="AC1311">
        <v>10</v>
      </c>
      <c r="AD1311">
        <v>0.2</v>
      </c>
      <c r="AE1311">
        <v>178697.37479776601</v>
      </c>
    </row>
    <row r="1312" spans="1:31" x14ac:dyDescent="0.3">
      <c r="A1312" t="str">
        <f>IF(ISBLANK(B1312),"",IF(ROUND(B1312,0)=ROUND(G1312,0),"Pass","Fail"))</f>
        <v>Pass</v>
      </c>
      <c r="B1312">
        <f t="shared" si="114"/>
        <v>16.880271911621094</v>
      </c>
      <c r="C1312">
        <v>10</v>
      </c>
      <c r="D1312">
        <v>50</v>
      </c>
      <c r="E1312">
        <v>100</v>
      </c>
      <c r="F1312">
        <v>32</v>
      </c>
      <c r="G1312">
        <v>16.880273005994599</v>
      </c>
      <c r="M1312" t="str">
        <f t="shared" si="115"/>
        <v>Pass</v>
      </c>
      <c r="N1312">
        <f t="shared" si="116"/>
        <v>56.715930938720703</v>
      </c>
      <c r="O1312">
        <v>70</v>
      </c>
      <c r="P1312">
        <v>20</v>
      </c>
      <c r="Q1312">
        <v>2.5</v>
      </c>
      <c r="R1312" t="b">
        <v>1</v>
      </c>
      <c r="S1312">
        <v>56.715930410469099</v>
      </c>
      <c r="Y1312" t="str">
        <f t="shared" si="117"/>
        <v>Pass</v>
      </c>
      <c r="Z1312">
        <f t="shared" si="118"/>
        <v>187918.296875</v>
      </c>
      <c r="AA1312">
        <v>20000</v>
      </c>
      <c r="AB1312">
        <v>20</v>
      </c>
      <c r="AC1312">
        <v>12</v>
      </c>
      <c r="AD1312">
        <v>0.2</v>
      </c>
      <c r="AE1312">
        <v>187918.289653521</v>
      </c>
    </row>
    <row r="1313" spans="1:31" x14ac:dyDescent="0.3">
      <c r="A1313" t="str">
        <f>IF(ISBLANK(B1313),"",IF(ROUND(B1313,0)=ROUND(G1313,0),"Pass","Fail"))</f>
        <v>Pass</v>
      </c>
      <c r="B1313">
        <f t="shared" si="114"/>
        <v>14.739727020263672</v>
      </c>
      <c r="C1313">
        <v>10</v>
      </c>
      <c r="D1313">
        <v>50</v>
      </c>
      <c r="E1313">
        <v>100</v>
      </c>
      <c r="F1313">
        <v>40</v>
      </c>
      <c r="G1313">
        <v>14.7397267643271</v>
      </c>
      <c r="M1313" t="str">
        <f t="shared" si="115"/>
        <v>Pass</v>
      </c>
      <c r="N1313">
        <f t="shared" si="116"/>
        <v>118.99948120117188</v>
      </c>
      <c r="O1313">
        <v>70</v>
      </c>
      <c r="P1313">
        <v>20</v>
      </c>
      <c r="Q1313">
        <v>2.5</v>
      </c>
      <c r="R1313" t="b">
        <v>0</v>
      </c>
      <c r="S1313">
        <v>118.99948127988</v>
      </c>
      <c r="Y1313" t="str">
        <f t="shared" si="117"/>
        <v>Pass</v>
      </c>
      <c r="Z1313">
        <f t="shared" si="118"/>
        <v>194099.234375</v>
      </c>
      <c r="AA1313">
        <v>20000</v>
      </c>
      <c r="AB1313">
        <v>20</v>
      </c>
      <c r="AC1313">
        <v>14</v>
      </c>
      <c r="AD1313">
        <v>0.2</v>
      </c>
      <c r="AE1313">
        <v>194099.25372412099</v>
      </c>
    </row>
    <row r="1314" spans="1:31" x14ac:dyDescent="0.3">
      <c r="A1314" t="str">
        <f>IF(ISBLANK(B1314),"",IF(ROUND(B1314,0)=ROUND(G1314,0),"Pass","Fail"))</f>
        <v>Pass</v>
      </c>
      <c r="B1314">
        <f t="shared" si="114"/>
        <v>13.66220760345459</v>
      </c>
      <c r="C1314">
        <v>10</v>
      </c>
      <c r="D1314">
        <v>50</v>
      </c>
      <c r="E1314">
        <v>100</v>
      </c>
      <c r="F1314">
        <v>48</v>
      </c>
      <c r="G1314">
        <v>13.6622079008197</v>
      </c>
      <c r="M1314" t="str">
        <f t="shared" si="115"/>
        <v>Pass</v>
      </c>
      <c r="N1314">
        <f t="shared" si="116"/>
        <v>59.112483978271484</v>
      </c>
      <c r="O1314">
        <v>70</v>
      </c>
      <c r="P1314">
        <v>20</v>
      </c>
      <c r="Q1314">
        <v>3</v>
      </c>
      <c r="R1314" t="b">
        <v>1</v>
      </c>
      <c r="S1314">
        <v>59.112483230639903</v>
      </c>
      <c r="Y1314" t="str">
        <f t="shared" si="117"/>
        <v>Pass</v>
      </c>
      <c r="Z1314">
        <f t="shared" si="118"/>
        <v>198242.46875</v>
      </c>
      <c r="AA1314">
        <v>20000</v>
      </c>
      <c r="AB1314">
        <v>20</v>
      </c>
      <c r="AC1314">
        <v>16</v>
      </c>
      <c r="AD1314">
        <v>0.2</v>
      </c>
      <c r="AE1314">
        <v>198242.477844471</v>
      </c>
    </row>
    <row r="1315" spans="1:31" x14ac:dyDescent="0.3">
      <c r="A1315" t="str">
        <f>IF(ISBLANK(B1315),"",IF(ROUND(B1315,0)=ROUND(G1315,0),"Pass","Fail"))</f>
        <v>Pass</v>
      </c>
      <c r="B1315">
        <f t="shared" si="114"/>
        <v>13.909999847412109</v>
      </c>
      <c r="C1315">
        <v>10</v>
      </c>
      <c r="D1315">
        <v>60</v>
      </c>
      <c r="E1315">
        <v>0</v>
      </c>
      <c r="F1315">
        <v>0</v>
      </c>
      <c r="G1315">
        <v>13.91</v>
      </c>
      <c r="M1315" t="str">
        <f t="shared" si="115"/>
        <v>Pass</v>
      </c>
      <c r="N1315">
        <f t="shared" si="116"/>
        <v>124.02785491943359</v>
      </c>
      <c r="O1315">
        <v>70</v>
      </c>
      <c r="P1315">
        <v>20</v>
      </c>
      <c r="Q1315">
        <v>3</v>
      </c>
      <c r="R1315" t="b">
        <v>0</v>
      </c>
      <c r="S1315">
        <v>124.027848801953</v>
      </c>
      <c r="Y1315" t="str">
        <f t="shared" si="117"/>
        <v>Pass</v>
      </c>
      <c r="Z1315">
        <f t="shared" si="118"/>
        <v>201019.765625</v>
      </c>
      <c r="AA1315">
        <v>20000</v>
      </c>
      <c r="AB1315">
        <v>20</v>
      </c>
      <c r="AC1315">
        <v>18</v>
      </c>
      <c r="AD1315">
        <v>0.2</v>
      </c>
      <c r="AE1315">
        <v>201019.76402755899</v>
      </c>
    </row>
    <row r="1316" spans="1:31" x14ac:dyDescent="0.3">
      <c r="A1316" t="str">
        <f>IF(ISBLANK(B1316),"",IF(ROUND(B1316,0)=ROUND(G1316,0),"Pass","Fail"))</f>
        <v>Pass</v>
      </c>
      <c r="B1316">
        <f t="shared" si="114"/>
        <v>13.909999847412109</v>
      </c>
      <c r="C1316">
        <v>10</v>
      </c>
      <c r="D1316">
        <v>60</v>
      </c>
      <c r="E1316">
        <v>0</v>
      </c>
      <c r="F1316">
        <v>8</v>
      </c>
      <c r="G1316">
        <v>13.91</v>
      </c>
      <c r="M1316" t="str">
        <f t="shared" si="115"/>
        <v>Pass</v>
      </c>
      <c r="N1316">
        <f t="shared" si="116"/>
        <v>61.217575073242188</v>
      </c>
      <c r="O1316">
        <v>70</v>
      </c>
      <c r="P1316">
        <v>20</v>
      </c>
      <c r="Q1316">
        <v>3.5</v>
      </c>
      <c r="R1316" t="b">
        <v>1</v>
      </c>
      <c r="S1316">
        <v>61.217575435297498</v>
      </c>
      <c r="Y1316" t="str">
        <f t="shared" si="117"/>
        <v>Pass</v>
      </c>
      <c r="Z1316">
        <f t="shared" si="118"/>
        <v>202881.4375</v>
      </c>
      <c r="AA1316">
        <v>20000</v>
      </c>
      <c r="AB1316">
        <v>20</v>
      </c>
      <c r="AC1316">
        <v>20</v>
      </c>
      <c r="AD1316">
        <v>0.2</v>
      </c>
      <c r="AE1316">
        <v>202881.434629661</v>
      </c>
    </row>
    <row r="1317" spans="1:31" x14ac:dyDescent="0.3">
      <c r="A1317" t="str">
        <f>IF(ISBLANK(B1317),"",IF(ROUND(B1317,0)=ROUND(G1317,0),"Pass","Fail"))</f>
        <v>Pass</v>
      </c>
      <c r="B1317">
        <f t="shared" si="114"/>
        <v>13.909999847412109</v>
      </c>
      <c r="C1317">
        <v>10</v>
      </c>
      <c r="D1317">
        <v>60</v>
      </c>
      <c r="E1317">
        <v>0</v>
      </c>
      <c r="F1317">
        <v>16</v>
      </c>
      <c r="G1317">
        <v>13.91</v>
      </c>
      <c r="M1317" t="str">
        <f t="shared" si="115"/>
        <v>Pass</v>
      </c>
      <c r="N1317">
        <f t="shared" si="116"/>
        <v>128.44468688964844</v>
      </c>
      <c r="O1317">
        <v>70</v>
      </c>
      <c r="P1317">
        <v>20</v>
      </c>
      <c r="Q1317">
        <v>3.5</v>
      </c>
      <c r="R1317" t="b">
        <v>0</v>
      </c>
      <c r="S1317">
        <v>128.44468334187101</v>
      </c>
      <c r="Y1317" t="str">
        <f t="shared" si="117"/>
        <v>Pass</v>
      </c>
      <c r="Z1317">
        <f t="shared" si="118"/>
        <v>204129.359375</v>
      </c>
      <c r="AA1317">
        <v>20000</v>
      </c>
      <c r="AB1317">
        <v>20</v>
      </c>
      <c r="AC1317">
        <v>22</v>
      </c>
      <c r="AD1317">
        <v>0.2</v>
      </c>
      <c r="AE1317">
        <v>204129.34975336501</v>
      </c>
    </row>
    <row r="1318" spans="1:31" x14ac:dyDescent="0.3">
      <c r="A1318" t="str">
        <f>IF(ISBLANK(B1318),"",IF(ROUND(B1318,0)=ROUND(G1318,0),"Pass","Fail"))</f>
        <v>Pass</v>
      </c>
      <c r="B1318">
        <f t="shared" si="114"/>
        <v>13.909999847412109</v>
      </c>
      <c r="C1318">
        <v>10</v>
      </c>
      <c r="D1318">
        <v>60</v>
      </c>
      <c r="E1318">
        <v>0</v>
      </c>
      <c r="F1318">
        <v>24</v>
      </c>
      <c r="G1318">
        <v>13.91</v>
      </c>
      <c r="M1318" t="str">
        <f t="shared" si="115"/>
        <v>Pass</v>
      </c>
      <c r="N1318">
        <f t="shared" si="116"/>
        <v>63.101593017578125</v>
      </c>
      <c r="O1318">
        <v>70</v>
      </c>
      <c r="P1318">
        <v>20</v>
      </c>
      <c r="Q1318">
        <v>4</v>
      </c>
      <c r="R1318" t="b">
        <v>1</v>
      </c>
      <c r="S1318">
        <v>63.101589205111502</v>
      </c>
      <c r="Y1318" t="str">
        <f t="shared" si="117"/>
        <v>Pass</v>
      </c>
      <c r="Z1318">
        <f t="shared" si="118"/>
        <v>204965.859375</v>
      </c>
      <c r="AA1318">
        <v>20000</v>
      </c>
      <c r="AB1318">
        <v>20</v>
      </c>
      <c r="AC1318">
        <v>24</v>
      </c>
      <c r="AD1318">
        <v>0.2</v>
      </c>
      <c r="AE1318">
        <v>204965.85227653501</v>
      </c>
    </row>
    <row r="1319" spans="1:31" x14ac:dyDescent="0.3">
      <c r="A1319" t="str">
        <f>IF(ISBLANK(B1319),"",IF(ROUND(B1319,0)=ROUND(G1319,0),"Pass","Fail"))</f>
        <v>Pass</v>
      </c>
      <c r="B1319">
        <f t="shared" si="114"/>
        <v>13.909999847412109</v>
      </c>
      <c r="C1319">
        <v>10</v>
      </c>
      <c r="D1319">
        <v>60</v>
      </c>
      <c r="E1319">
        <v>0</v>
      </c>
      <c r="F1319">
        <v>32</v>
      </c>
      <c r="G1319">
        <v>13.91</v>
      </c>
      <c r="M1319" t="str">
        <f t="shared" si="115"/>
        <v>Pass</v>
      </c>
      <c r="N1319">
        <f t="shared" si="116"/>
        <v>132.39765930175781</v>
      </c>
      <c r="O1319">
        <v>70</v>
      </c>
      <c r="P1319">
        <v>20</v>
      </c>
      <c r="Q1319">
        <v>4</v>
      </c>
      <c r="R1319" t="b">
        <v>0</v>
      </c>
      <c r="S1319">
        <v>132.39765845326301</v>
      </c>
    </row>
    <row r="1320" spans="1:31" x14ac:dyDescent="0.3">
      <c r="A1320" t="str">
        <f>IF(ISBLANK(B1320),"",IF(ROUND(B1320,0)=ROUND(G1320,0),"Pass","Fail"))</f>
        <v>Pass</v>
      </c>
      <c r="B1320">
        <f t="shared" si="114"/>
        <v>13.909999847412109</v>
      </c>
      <c r="C1320">
        <v>10</v>
      </c>
      <c r="D1320">
        <v>60</v>
      </c>
      <c r="E1320">
        <v>0</v>
      </c>
      <c r="F1320">
        <v>40</v>
      </c>
      <c r="G1320">
        <v>13.91</v>
      </c>
      <c r="M1320" t="str">
        <f t="shared" si="115"/>
        <v>Pass</v>
      </c>
      <c r="N1320">
        <f t="shared" si="116"/>
        <v>0</v>
      </c>
      <c r="O1320">
        <v>70</v>
      </c>
      <c r="P1320">
        <v>30</v>
      </c>
      <c r="Q1320">
        <v>0</v>
      </c>
      <c r="R1320" t="b">
        <v>1</v>
      </c>
      <c r="S1320">
        <v>0</v>
      </c>
    </row>
    <row r="1321" spans="1:31" x14ac:dyDescent="0.3">
      <c r="A1321" t="str">
        <f>IF(ISBLANK(B1321),"",IF(ROUND(B1321,0)=ROUND(G1321,0),"Pass","Fail"))</f>
        <v>Pass</v>
      </c>
      <c r="B1321">
        <f t="shared" si="114"/>
        <v>13.909999847412109</v>
      </c>
      <c r="C1321">
        <v>10</v>
      </c>
      <c r="D1321">
        <v>60</v>
      </c>
      <c r="E1321">
        <v>0</v>
      </c>
      <c r="F1321">
        <v>48</v>
      </c>
      <c r="G1321">
        <v>13.91</v>
      </c>
      <c r="M1321" t="str">
        <f t="shared" si="115"/>
        <v>Pass</v>
      </c>
      <c r="N1321">
        <f t="shared" si="116"/>
        <v>0</v>
      </c>
      <c r="O1321">
        <v>70</v>
      </c>
      <c r="P1321">
        <v>30</v>
      </c>
      <c r="Q1321">
        <v>0</v>
      </c>
      <c r="R1321" t="b">
        <v>0</v>
      </c>
      <c r="S1321">
        <v>0</v>
      </c>
    </row>
    <row r="1322" spans="1:31" x14ac:dyDescent="0.3">
      <c r="A1322" t="str">
        <f>IF(ISBLANK(B1322),"",IF(ROUND(B1322,0)=ROUND(G1322,0),"Pass","Fail"))</f>
        <v>Pass</v>
      </c>
      <c r="B1322">
        <f t="shared" si="114"/>
        <v>81.037994384765625</v>
      </c>
      <c r="C1322">
        <v>10</v>
      </c>
      <c r="D1322">
        <v>60</v>
      </c>
      <c r="E1322">
        <v>10</v>
      </c>
      <c r="F1322">
        <v>0</v>
      </c>
      <c r="G1322">
        <v>81.037999999998306</v>
      </c>
      <c r="M1322" t="str">
        <f t="shared" si="115"/>
        <v>Pass</v>
      </c>
      <c r="N1322">
        <f t="shared" si="116"/>
        <v>0.17207711935043335</v>
      </c>
      <c r="O1322">
        <v>70</v>
      </c>
      <c r="P1322">
        <v>30</v>
      </c>
      <c r="Q1322">
        <v>0.5</v>
      </c>
      <c r="R1322" t="b">
        <v>1</v>
      </c>
      <c r="S1322">
        <v>0.17207712132338801</v>
      </c>
    </row>
    <row r="1323" spans="1:31" x14ac:dyDescent="0.3">
      <c r="A1323" t="str">
        <f>IF(ISBLANK(B1323),"",IF(ROUND(B1323,0)=ROUND(G1323,0),"Pass","Fail"))</f>
        <v>Pass</v>
      </c>
      <c r="B1323">
        <f t="shared" si="114"/>
        <v>47.701229095458984</v>
      </c>
      <c r="C1323">
        <v>10</v>
      </c>
      <c r="D1323">
        <v>60</v>
      </c>
      <c r="E1323">
        <v>10</v>
      </c>
      <c r="F1323">
        <v>8</v>
      </c>
      <c r="G1323">
        <v>47.701228080722203</v>
      </c>
      <c r="M1323" t="str">
        <f t="shared" si="115"/>
        <v>Pass</v>
      </c>
      <c r="N1323">
        <f t="shared" si="116"/>
        <v>0.36104652285575867</v>
      </c>
      <c r="O1323">
        <v>70</v>
      </c>
      <c r="P1323">
        <v>30</v>
      </c>
      <c r="Q1323">
        <v>0.5</v>
      </c>
      <c r="R1323" t="b">
        <v>0</v>
      </c>
      <c r="S1323">
        <v>0.36104650015295198</v>
      </c>
    </row>
    <row r="1324" spans="1:31" x14ac:dyDescent="0.3">
      <c r="A1324" t="str">
        <f>IF(ISBLANK(B1324),"",IF(ROUND(B1324,0)=ROUND(G1324,0),"Pass","Fail"))</f>
        <v>Pass</v>
      </c>
      <c r="B1324">
        <f t="shared" si="114"/>
        <v>30.91999626159668</v>
      </c>
      <c r="C1324">
        <v>10</v>
      </c>
      <c r="D1324">
        <v>60</v>
      </c>
      <c r="E1324">
        <v>10</v>
      </c>
      <c r="F1324">
        <v>16</v>
      </c>
      <c r="G1324">
        <v>30.9199972471013</v>
      </c>
      <c r="M1324" t="str">
        <f t="shared" si="115"/>
        <v>Pass</v>
      </c>
      <c r="N1324">
        <f t="shared" si="116"/>
        <v>0.2013988196849823</v>
      </c>
      <c r="O1324">
        <v>70</v>
      </c>
      <c r="P1324">
        <v>30</v>
      </c>
      <c r="Q1324">
        <v>1</v>
      </c>
      <c r="R1324" t="b">
        <v>1</v>
      </c>
      <c r="S1324">
        <v>0.20139882902575201</v>
      </c>
    </row>
    <row r="1325" spans="1:31" x14ac:dyDescent="0.3">
      <c r="A1325" t="str">
        <f>IF(ISBLANK(B1325),"",IF(ROUND(B1325,0)=ROUND(G1325,0),"Pass","Fail"))</f>
        <v>Pass</v>
      </c>
      <c r="B1325">
        <f t="shared" si="114"/>
        <v>22.472576141357422</v>
      </c>
      <c r="C1325">
        <v>10</v>
      </c>
      <c r="D1325">
        <v>60</v>
      </c>
      <c r="E1325">
        <v>10</v>
      </c>
      <c r="F1325">
        <v>24</v>
      </c>
      <c r="G1325">
        <v>22.472577413736001</v>
      </c>
      <c r="M1325" t="str">
        <f t="shared" si="115"/>
        <v>Pass</v>
      </c>
      <c r="N1325">
        <f t="shared" si="116"/>
        <v>0.42256838083267212</v>
      </c>
      <c r="O1325">
        <v>70</v>
      </c>
      <c r="P1325">
        <v>30</v>
      </c>
      <c r="Q1325">
        <v>1</v>
      </c>
      <c r="R1325" t="b">
        <v>0</v>
      </c>
      <c r="S1325">
        <v>0.42256833328817101</v>
      </c>
    </row>
    <row r="1326" spans="1:31" x14ac:dyDescent="0.3">
      <c r="A1326" t="str">
        <f>IF(ISBLANK(B1326),"",IF(ROUND(B1326,0)=ROUND(G1326,0),"Pass","Fail"))</f>
        <v>Pass</v>
      </c>
      <c r="B1326">
        <f t="shared" si="114"/>
        <v>18.220272064208984</v>
      </c>
      <c r="C1326">
        <v>10</v>
      </c>
      <c r="D1326">
        <v>60</v>
      </c>
      <c r="E1326">
        <v>10</v>
      </c>
      <c r="F1326">
        <v>32</v>
      </c>
      <c r="G1326">
        <v>18.2202730059945</v>
      </c>
      <c r="M1326" t="str">
        <f t="shared" si="115"/>
        <v>Pass</v>
      </c>
      <c r="N1326">
        <f t="shared" si="116"/>
        <v>0.22081553936004639</v>
      </c>
      <c r="O1326">
        <v>70</v>
      </c>
      <c r="P1326">
        <v>30</v>
      </c>
      <c r="Q1326">
        <v>1.5</v>
      </c>
      <c r="R1326" t="b">
        <v>1</v>
      </c>
      <c r="S1326">
        <v>0.220815551763935</v>
      </c>
    </row>
    <row r="1327" spans="1:31" x14ac:dyDescent="0.3">
      <c r="A1327" t="str">
        <f>IF(ISBLANK(B1327),"",IF(ROUND(B1327,0)=ROUND(G1327,0),"Pass","Fail"))</f>
        <v>Pass</v>
      </c>
      <c r="B1327">
        <f t="shared" si="114"/>
        <v>16.079727172851563</v>
      </c>
      <c r="C1327">
        <v>10</v>
      </c>
      <c r="D1327">
        <v>60</v>
      </c>
      <c r="E1327">
        <v>10</v>
      </c>
      <c r="F1327">
        <v>40</v>
      </c>
      <c r="G1327">
        <v>16.079726764326999</v>
      </c>
      <c r="M1327" t="str">
        <f t="shared" si="115"/>
        <v>Pass</v>
      </c>
      <c r="N1327">
        <f t="shared" si="116"/>
        <v>0.46330785751342773</v>
      </c>
      <c r="O1327">
        <v>70</v>
      </c>
      <c r="P1327">
        <v>30</v>
      </c>
      <c r="Q1327">
        <v>1.5</v>
      </c>
      <c r="R1327" t="b">
        <v>0</v>
      </c>
      <c r="S1327">
        <v>0.46330785598094398</v>
      </c>
    </row>
    <row r="1328" spans="1:31" x14ac:dyDescent="0.3">
      <c r="A1328" t="str">
        <f>IF(ISBLANK(B1328),"",IF(ROUND(B1328,0)=ROUND(G1328,0),"Pass","Fail"))</f>
        <v>Pass</v>
      </c>
      <c r="B1328">
        <f t="shared" si="114"/>
        <v>15.00220775604248</v>
      </c>
      <c r="C1328">
        <v>10</v>
      </c>
      <c r="D1328">
        <v>60</v>
      </c>
      <c r="E1328">
        <v>10</v>
      </c>
      <c r="F1328">
        <v>48</v>
      </c>
      <c r="G1328">
        <v>15.0022079008197</v>
      </c>
      <c r="M1328" t="str">
        <f t="shared" si="115"/>
        <v>Pass</v>
      </c>
      <c r="N1328">
        <f t="shared" si="116"/>
        <v>0.23571690917015076</v>
      </c>
      <c r="O1328">
        <v>70</v>
      </c>
      <c r="P1328">
        <v>30</v>
      </c>
      <c r="Q1328">
        <v>2</v>
      </c>
      <c r="R1328" t="b">
        <v>1</v>
      </c>
      <c r="S1328">
        <v>0.23571691588631399</v>
      </c>
    </row>
    <row r="1329" spans="1:19" x14ac:dyDescent="0.3">
      <c r="A1329" t="str">
        <f>IF(ISBLANK(B1329),"",IF(ROUND(B1329,0)=ROUND(G1329,0),"Pass","Fail"))</f>
        <v>Pass</v>
      </c>
      <c r="B1329">
        <f t="shared" si="114"/>
        <v>81.037994384765625</v>
      </c>
      <c r="C1329">
        <v>10</v>
      </c>
      <c r="D1329">
        <v>60</v>
      </c>
      <c r="E1329">
        <v>20</v>
      </c>
      <c r="F1329">
        <v>0</v>
      </c>
      <c r="G1329">
        <v>81.037999999999997</v>
      </c>
      <c r="M1329" t="str">
        <f t="shared" si="115"/>
        <v>Pass</v>
      </c>
      <c r="N1329">
        <f t="shared" si="116"/>
        <v>0.49457341432571411</v>
      </c>
      <c r="O1329">
        <v>70</v>
      </c>
      <c r="P1329">
        <v>30</v>
      </c>
      <c r="Q1329">
        <v>2</v>
      </c>
      <c r="R1329" t="b">
        <v>0</v>
      </c>
      <c r="S1329">
        <v>0.49457340321065701</v>
      </c>
    </row>
    <row r="1330" spans="1:19" x14ac:dyDescent="0.3">
      <c r="A1330" t="str">
        <f>IF(ISBLANK(B1330),"",IF(ROUND(B1330,0)=ROUND(G1330,0),"Pass","Fail"))</f>
        <v>Pass</v>
      </c>
      <c r="B1330">
        <f t="shared" si="114"/>
        <v>47.701229095458984</v>
      </c>
      <c r="C1330">
        <v>10</v>
      </c>
      <c r="D1330">
        <v>60</v>
      </c>
      <c r="E1330">
        <v>20</v>
      </c>
      <c r="F1330">
        <v>8</v>
      </c>
      <c r="G1330">
        <v>47.701228080723098</v>
      </c>
      <c r="M1330" t="str">
        <f t="shared" si="115"/>
        <v>Pass</v>
      </c>
      <c r="N1330">
        <f t="shared" si="116"/>
        <v>0.24796438217163086</v>
      </c>
      <c r="O1330">
        <v>70</v>
      </c>
      <c r="P1330">
        <v>30</v>
      </c>
      <c r="Q1330">
        <v>2.5</v>
      </c>
      <c r="R1330" t="b">
        <v>1</v>
      </c>
      <c r="S1330">
        <v>0.24796439374066701</v>
      </c>
    </row>
    <row r="1331" spans="1:19" x14ac:dyDescent="0.3">
      <c r="A1331" t="str">
        <f>IF(ISBLANK(B1331),"",IF(ROUND(B1331,0)=ROUND(G1331,0),"Pass","Fail"))</f>
        <v>Pass</v>
      </c>
      <c r="B1331">
        <f t="shared" si="114"/>
        <v>30.91999626159668</v>
      </c>
      <c r="C1331">
        <v>10</v>
      </c>
      <c r="D1331">
        <v>60</v>
      </c>
      <c r="E1331">
        <v>20</v>
      </c>
      <c r="F1331">
        <v>16</v>
      </c>
      <c r="G1331">
        <v>30.919997247101701</v>
      </c>
      <c r="M1331" t="str">
        <f t="shared" si="115"/>
        <v>Pass</v>
      </c>
      <c r="N1331">
        <f t="shared" si="116"/>
        <v>0.52027064561843872</v>
      </c>
      <c r="O1331">
        <v>70</v>
      </c>
      <c r="P1331">
        <v>30</v>
      </c>
      <c r="Q1331">
        <v>2.5</v>
      </c>
      <c r="R1331" t="b">
        <v>0</v>
      </c>
      <c r="S1331">
        <v>0.52027065442573694</v>
      </c>
    </row>
    <row r="1332" spans="1:19" x14ac:dyDescent="0.3">
      <c r="A1332" t="str">
        <f>IF(ISBLANK(B1332),"",IF(ROUND(B1332,0)=ROUND(G1332,0),"Pass","Fail"))</f>
        <v>Pass</v>
      </c>
      <c r="B1332">
        <f t="shared" si="114"/>
        <v>22.472576141357422</v>
      </c>
      <c r="C1332">
        <v>10</v>
      </c>
      <c r="D1332">
        <v>60</v>
      </c>
      <c r="E1332">
        <v>20</v>
      </c>
      <c r="F1332">
        <v>24</v>
      </c>
      <c r="G1332">
        <v>22.4725774137362</v>
      </c>
      <c r="M1332" t="str">
        <f t="shared" si="115"/>
        <v>Pass</v>
      </c>
      <c r="N1332">
        <f t="shared" si="116"/>
        <v>0.258442223072052</v>
      </c>
      <c r="O1332">
        <v>70</v>
      </c>
      <c r="P1332">
        <v>30</v>
      </c>
      <c r="Q1332">
        <v>3</v>
      </c>
      <c r="R1332" t="b">
        <v>1</v>
      </c>
      <c r="S1332">
        <v>0.25844222180097198</v>
      </c>
    </row>
    <row r="1333" spans="1:19" x14ac:dyDescent="0.3">
      <c r="A1333" t="str">
        <f>IF(ISBLANK(B1333),"",IF(ROUND(B1333,0)=ROUND(G1333,0),"Pass","Fail"))</f>
        <v>Pass</v>
      </c>
      <c r="B1333">
        <f t="shared" si="114"/>
        <v>18.220272064208984</v>
      </c>
      <c r="C1333">
        <v>10</v>
      </c>
      <c r="D1333">
        <v>60</v>
      </c>
      <c r="E1333">
        <v>20</v>
      </c>
      <c r="F1333">
        <v>32</v>
      </c>
      <c r="G1333">
        <v>18.220273005994599</v>
      </c>
      <c r="M1333" t="str">
        <f t="shared" si="115"/>
        <v>Pass</v>
      </c>
      <c r="N1333">
        <f t="shared" si="116"/>
        <v>0.54225492477416992</v>
      </c>
      <c r="O1333">
        <v>70</v>
      </c>
      <c r="P1333">
        <v>30</v>
      </c>
      <c r="Q1333">
        <v>3</v>
      </c>
      <c r="R1333" t="b">
        <v>0</v>
      </c>
      <c r="S1333">
        <v>0.54225488522460197</v>
      </c>
    </row>
    <row r="1334" spans="1:19" x14ac:dyDescent="0.3">
      <c r="A1334" t="str">
        <f>IF(ISBLANK(B1334),"",IF(ROUND(B1334,0)=ROUND(G1334,0),"Pass","Fail"))</f>
        <v>Pass</v>
      </c>
      <c r="B1334">
        <f t="shared" si="114"/>
        <v>16.079727172851563</v>
      </c>
      <c r="C1334">
        <v>10</v>
      </c>
      <c r="D1334">
        <v>60</v>
      </c>
      <c r="E1334">
        <v>20</v>
      </c>
      <c r="F1334">
        <v>40</v>
      </c>
      <c r="G1334">
        <v>16.079726764327098</v>
      </c>
      <c r="M1334" t="str">
        <f t="shared" si="115"/>
        <v>Pass</v>
      </c>
      <c r="N1334">
        <f t="shared" si="116"/>
        <v>0.26764577627182007</v>
      </c>
      <c r="O1334">
        <v>70</v>
      </c>
      <c r="P1334">
        <v>30</v>
      </c>
      <c r="Q1334">
        <v>3.5</v>
      </c>
      <c r="R1334" t="b">
        <v>1</v>
      </c>
      <c r="S1334">
        <v>0.26764577199433598</v>
      </c>
    </row>
    <row r="1335" spans="1:19" x14ac:dyDescent="0.3">
      <c r="A1335" t="str">
        <f>IF(ISBLANK(B1335),"",IF(ROUND(B1335,0)=ROUND(G1335,0),"Pass","Fail"))</f>
        <v>Pass</v>
      </c>
      <c r="B1335">
        <f t="shared" si="114"/>
        <v>15.00220775604248</v>
      </c>
      <c r="C1335">
        <v>10</v>
      </c>
      <c r="D1335">
        <v>60</v>
      </c>
      <c r="E1335">
        <v>20</v>
      </c>
      <c r="F1335">
        <v>48</v>
      </c>
      <c r="G1335">
        <v>15.0022079008197</v>
      </c>
      <c r="M1335" t="str">
        <f t="shared" si="115"/>
        <v>Pass</v>
      </c>
      <c r="N1335">
        <f t="shared" si="116"/>
        <v>0.56156545877456665</v>
      </c>
      <c r="O1335">
        <v>70</v>
      </c>
      <c r="P1335">
        <v>30</v>
      </c>
      <c r="Q1335">
        <v>3.5</v>
      </c>
      <c r="R1335" t="b">
        <v>0</v>
      </c>
      <c r="S1335">
        <v>0.56156546853016198</v>
      </c>
    </row>
    <row r="1336" spans="1:19" x14ac:dyDescent="0.3">
      <c r="A1336" t="str">
        <f>IF(ISBLANK(B1336),"",IF(ROUND(B1336,0)=ROUND(G1336,0),"Pass","Fail"))</f>
        <v>Pass</v>
      </c>
      <c r="B1336">
        <f t="shared" si="114"/>
        <v>81.037994384765625</v>
      </c>
      <c r="C1336">
        <v>10</v>
      </c>
      <c r="D1336">
        <v>60</v>
      </c>
      <c r="E1336">
        <v>30</v>
      </c>
      <c r="F1336">
        <v>0</v>
      </c>
      <c r="G1336">
        <v>81.037999999999997</v>
      </c>
      <c r="M1336" t="str">
        <f t="shared" si="115"/>
        <v>Pass</v>
      </c>
      <c r="N1336">
        <f t="shared" si="116"/>
        <v>0.27588275074958801</v>
      </c>
      <c r="O1336">
        <v>70</v>
      </c>
      <c r="P1336">
        <v>30</v>
      </c>
      <c r="Q1336">
        <v>4</v>
      </c>
      <c r="R1336" t="b">
        <v>1</v>
      </c>
      <c r="S1336">
        <v>0.275882758125922</v>
      </c>
    </row>
    <row r="1337" spans="1:19" x14ac:dyDescent="0.3">
      <c r="A1337" t="str">
        <f>IF(ISBLANK(B1337),"",IF(ROUND(B1337,0)=ROUND(G1337,0),"Pass","Fail"))</f>
        <v>Pass</v>
      </c>
      <c r="B1337">
        <f t="shared" si="114"/>
        <v>47.701229095458984</v>
      </c>
      <c r="C1337">
        <v>10</v>
      </c>
      <c r="D1337">
        <v>60</v>
      </c>
      <c r="E1337">
        <v>30</v>
      </c>
      <c r="F1337">
        <v>8</v>
      </c>
      <c r="G1337">
        <v>47.701228080723098</v>
      </c>
      <c r="M1337" t="str">
        <f t="shared" si="115"/>
        <v>Pass</v>
      </c>
      <c r="N1337">
        <f t="shared" si="116"/>
        <v>0.57884800434112549</v>
      </c>
      <c r="O1337">
        <v>70</v>
      </c>
      <c r="P1337">
        <v>30</v>
      </c>
      <c r="Q1337">
        <v>4</v>
      </c>
      <c r="R1337" t="b">
        <v>0</v>
      </c>
      <c r="S1337">
        <v>0.57884803922721695</v>
      </c>
    </row>
    <row r="1338" spans="1:19" x14ac:dyDescent="0.3">
      <c r="A1338" t="str">
        <f>IF(ISBLANK(B1338),"",IF(ROUND(B1338,0)=ROUND(G1338,0),"Pass","Fail"))</f>
        <v>Pass</v>
      </c>
      <c r="B1338">
        <f t="shared" si="114"/>
        <v>30.91999626159668</v>
      </c>
      <c r="C1338">
        <v>10</v>
      </c>
      <c r="D1338">
        <v>60</v>
      </c>
      <c r="E1338">
        <v>30</v>
      </c>
      <c r="F1338">
        <v>16</v>
      </c>
      <c r="G1338">
        <v>30.919997247101701</v>
      </c>
      <c r="M1338" t="str">
        <f t="shared" si="115"/>
        <v>Pass</v>
      </c>
      <c r="N1338">
        <f t="shared" si="116"/>
        <v>0</v>
      </c>
      <c r="O1338">
        <v>70</v>
      </c>
      <c r="P1338">
        <v>40</v>
      </c>
      <c r="Q1338">
        <v>0</v>
      </c>
      <c r="R1338" t="b">
        <v>1</v>
      </c>
      <c r="S1338">
        <v>0</v>
      </c>
    </row>
    <row r="1339" spans="1:19" x14ac:dyDescent="0.3">
      <c r="A1339" t="str">
        <f>IF(ISBLANK(B1339),"",IF(ROUND(B1339,0)=ROUND(G1339,0),"Pass","Fail"))</f>
        <v>Pass</v>
      </c>
      <c r="B1339">
        <f t="shared" si="114"/>
        <v>22.472576141357422</v>
      </c>
      <c r="C1339">
        <v>10</v>
      </c>
      <c r="D1339">
        <v>60</v>
      </c>
      <c r="E1339">
        <v>30</v>
      </c>
      <c r="F1339">
        <v>24</v>
      </c>
      <c r="G1339">
        <v>22.4725774137362</v>
      </c>
      <c r="M1339" t="str">
        <f t="shared" si="115"/>
        <v>Pass</v>
      </c>
      <c r="N1339">
        <f t="shared" si="116"/>
        <v>0</v>
      </c>
      <c r="O1339">
        <v>70</v>
      </c>
      <c r="P1339">
        <v>40</v>
      </c>
      <c r="Q1339">
        <v>0</v>
      </c>
      <c r="R1339" t="b">
        <v>0</v>
      </c>
      <c r="S1339">
        <v>0</v>
      </c>
    </row>
    <row r="1340" spans="1:19" x14ac:dyDescent="0.3">
      <c r="A1340" t="str">
        <f>IF(ISBLANK(B1340),"",IF(ROUND(B1340,0)=ROUND(G1340,0),"Pass","Fail"))</f>
        <v>Pass</v>
      </c>
      <c r="B1340">
        <f t="shared" si="114"/>
        <v>18.220272064208984</v>
      </c>
      <c r="C1340">
        <v>10</v>
      </c>
      <c r="D1340">
        <v>60</v>
      </c>
      <c r="E1340">
        <v>30</v>
      </c>
      <c r="F1340">
        <v>32</v>
      </c>
      <c r="G1340">
        <v>18.220273005994599</v>
      </c>
      <c r="M1340" t="str">
        <f t="shared" si="115"/>
        <v>Pass</v>
      </c>
      <c r="N1340">
        <f t="shared" si="116"/>
        <v>3.1540121417492628E-3</v>
      </c>
      <c r="O1340">
        <v>70</v>
      </c>
      <c r="P1340">
        <v>40</v>
      </c>
      <c r="Q1340">
        <v>0.5</v>
      </c>
      <c r="R1340" t="b">
        <v>1</v>
      </c>
      <c r="S1340">
        <v>3.1540123028848599E-3</v>
      </c>
    </row>
    <row r="1341" spans="1:19" x14ac:dyDescent="0.3">
      <c r="A1341" t="str">
        <f>IF(ISBLANK(B1341),"",IF(ROUND(B1341,0)=ROUND(G1341,0),"Pass","Fail"))</f>
        <v>Pass</v>
      </c>
      <c r="B1341">
        <f t="shared" si="114"/>
        <v>16.079727172851563</v>
      </c>
      <c r="C1341">
        <v>10</v>
      </c>
      <c r="D1341">
        <v>60</v>
      </c>
      <c r="E1341">
        <v>30</v>
      </c>
      <c r="F1341">
        <v>40</v>
      </c>
      <c r="G1341">
        <v>16.079726764327098</v>
      </c>
      <c r="M1341" t="str">
        <f t="shared" si="115"/>
        <v>Pass</v>
      </c>
      <c r="N1341">
        <f t="shared" si="116"/>
        <v>6.6176443360745907E-3</v>
      </c>
      <c r="O1341">
        <v>70</v>
      </c>
      <c r="P1341">
        <v>40</v>
      </c>
      <c r="Q1341">
        <v>0.5</v>
      </c>
      <c r="R1341" t="b">
        <v>0</v>
      </c>
      <c r="S1341">
        <v>6.6176438485152202E-3</v>
      </c>
    </row>
    <row r="1342" spans="1:19" x14ac:dyDescent="0.3">
      <c r="A1342" t="str">
        <f>IF(ISBLANK(B1342),"",IF(ROUND(B1342,0)=ROUND(G1342,0),"Pass","Fail"))</f>
        <v>Pass</v>
      </c>
      <c r="B1342">
        <f t="shared" si="114"/>
        <v>15.00220775604248</v>
      </c>
      <c r="C1342">
        <v>10</v>
      </c>
      <c r="D1342">
        <v>60</v>
      </c>
      <c r="E1342">
        <v>30</v>
      </c>
      <c r="F1342">
        <v>48</v>
      </c>
      <c r="G1342">
        <v>15.0022079008197</v>
      </c>
      <c r="M1342" t="str">
        <f t="shared" si="115"/>
        <v>Pass</v>
      </c>
      <c r="N1342">
        <f t="shared" si="116"/>
        <v>3.6914516240358353E-3</v>
      </c>
      <c r="O1342">
        <v>70</v>
      </c>
      <c r="P1342">
        <v>40</v>
      </c>
      <c r="Q1342">
        <v>1</v>
      </c>
      <c r="R1342" t="b">
        <v>1</v>
      </c>
      <c r="S1342">
        <v>3.6914517144905801E-3</v>
      </c>
    </row>
    <row r="1343" spans="1:19" x14ac:dyDescent="0.3">
      <c r="A1343" t="str">
        <f>IF(ISBLANK(B1343),"",IF(ROUND(B1343,0)=ROUND(G1343,0),"Pass","Fail"))</f>
        <v>Pass</v>
      </c>
      <c r="B1343">
        <f t="shared" si="114"/>
        <v>81.037994384765625</v>
      </c>
      <c r="C1343">
        <v>10</v>
      </c>
      <c r="D1343">
        <v>60</v>
      </c>
      <c r="E1343">
        <v>40</v>
      </c>
      <c r="F1343">
        <v>0</v>
      </c>
      <c r="G1343">
        <v>81.037999999999997</v>
      </c>
      <c r="M1343" t="str">
        <f t="shared" si="115"/>
        <v>Pass</v>
      </c>
      <c r="N1343">
        <f t="shared" si="116"/>
        <v>7.7452822588384151E-3</v>
      </c>
      <c r="O1343">
        <v>70</v>
      </c>
      <c r="P1343">
        <v>40</v>
      </c>
      <c r="Q1343">
        <v>1</v>
      </c>
      <c r="R1343" t="b">
        <v>0</v>
      </c>
      <c r="S1343">
        <v>7.7452813700648899E-3</v>
      </c>
    </row>
    <row r="1344" spans="1:19" x14ac:dyDescent="0.3">
      <c r="A1344" t="str">
        <f>IF(ISBLANK(B1344),"",IF(ROUND(B1344,0)=ROUND(G1344,0),"Pass","Fail"))</f>
        <v>Pass</v>
      </c>
      <c r="B1344">
        <f t="shared" si="114"/>
        <v>47.701229095458984</v>
      </c>
      <c r="C1344">
        <v>10</v>
      </c>
      <c r="D1344">
        <v>60</v>
      </c>
      <c r="E1344">
        <v>40</v>
      </c>
      <c r="F1344">
        <v>8</v>
      </c>
      <c r="G1344">
        <v>47.701228080723098</v>
      </c>
      <c r="M1344" t="str">
        <f t="shared" si="115"/>
        <v>Pass</v>
      </c>
      <c r="N1344">
        <f t="shared" si="116"/>
        <v>4.0473416447639465E-3</v>
      </c>
      <c r="O1344">
        <v>70</v>
      </c>
      <c r="P1344">
        <v>40</v>
      </c>
      <c r="Q1344">
        <v>1.5</v>
      </c>
      <c r="R1344" t="b">
        <v>1</v>
      </c>
      <c r="S1344">
        <v>4.0473420381254297E-3</v>
      </c>
    </row>
    <row r="1345" spans="1:19" x14ac:dyDescent="0.3">
      <c r="A1345" t="str">
        <f>IF(ISBLANK(B1345),"",IF(ROUND(B1345,0)=ROUND(G1345,0),"Pass","Fail"))</f>
        <v>Pass</v>
      </c>
      <c r="B1345">
        <f t="shared" si="114"/>
        <v>30.91999626159668</v>
      </c>
      <c r="C1345">
        <v>10</v>
      </c>
      <c r="D1345">
        <v>60</v>
      </c>
      <c r="E1345">
        <v>40</v>
      </c>
      <c r="F1345">
        <v>16</v>
      </c>
      <c r="G1345">
        <v>30.919997247101701</v>
      </c>
      <c r="M1345" t="str">
        <f t="shared" si="115"/>
        <v>Pass</v>
      </c>
      <c r="N1345">
        <f t="shared" si="116"/>
        <v>8.4919985383749008E-3</v>
      </c>
      <c r="O1345">
        <v>70</v>
      </c>
      <c r="P1345">
        <v>40</v>
      </c>
      <c r="Q1345">
        <v>1.5</v>
      </c>
      <c r="R1345" t="b">
        <v>0</v>
      </c>
      <c r="S1345">
        <v>8.4919986256678792E-3</v>
      </c>
    </row>
    <row r="1346" spans="1:19" x14ac:dyDescent="0.3">
      <c r="A1346" t="str">
        <f>IF(ISBLANK(B1346),"",IF(ROUND(B1346,0)=ROUND(G1346,0),"Pass","Fail"))</f>
        <v>Pass</v>
      </c>
      <c r="B1346">
        <f t="shared" si="114"/>
        <v>22.472576141357422</v>
      </c>
      <c r="C1346">
        <v>10</v>
      </c>
      <c r="D1346">
        <v>60</v>
      </c>
      <c r="E1346">
        <v>40</v>
      </c>
      <c r="F1346">
        <v>24</v>
      </c>
      <c r="G1346">
        <v>22.4725774137362</v>
      </c>
      <c r="M1346" t="str">
        <f t="shared" si="115"/>
        <v>Pass</v>
      </c>
      <c r="N1346">
        <f t="shared" si="116"/>
        <v>4.3204696848988533E-3</v>
      </c>
      <c r="O1346">
        <v>70</v>
      </c>
      <c r="P1346">
        <v>40</v>
      </c>
      <c r="Q1346">
        <v>2</v>
      </c>
      <c r="R1346" t="b">
        <v>1</v>
      </c>
      <c r="S1346">
        <v>4.3204700717088202E-3</v>
      </c>
    </row>
    <row r="1347" spans="1:19" x14ac:dyDescent="0.3">
      <c r="A1347" t="str">
        <f>IF(ISBLANK(B1347),"",IF(ROUND(B1347,0)=ROUND(G1347,0),"Pass","Fail"))</f>
        <v>Pass</v>
      </c>
      <c r="B1347">
        <f t="shared" si="114"/>
        <v>18.220272064208984</v>
      </c>
      <c r="C1347">
        <v>10</v>
      </c>
      <c r="D1347">
        <v>60</v>
      </c>
      <c r="E1347">
        <v>40</v>
      </c>
      <c r="F1347">
        <v>32</v>
      </c>
      <c r="G1347">
        <v>18.220273005994599</v>
      </c>
      <c r="M1347" t="str">
        <f t="shared" si="115"/>
        <v>Pass</v>
      </c>
      <c r="N1347">
        <f t="shared" si="116"/>
        <v>9.0650664642453194E-3</v>
      </c>
      <c r="O1347">
        <v>70</v>
      </c>
      <c r="P1347">
        <v>40</v>
      </c>
      <c r="Q1347">
        <v>2</v>
      </c>
      <c r="R1347" t="b">
        <v>0</v>
      </c>
      <c r="S1347">
        <v>9.0650667933624002E-3</v>
      </c>
    </row>
    <row r="1348" spans="1:19" x14ac:dyDescent="0.3">
      <c r="A1348" t="str">
        <f>IF(ISBLANK(B1348),"",IF(ROUND(B1348,0)=ROUND(G1348,0),"Pass","Fail"))</f>
        <v>Pass</v>
      </c>
      <c r="B1348">
        <f t="shared" si="114"/>
        <v>16.079727172851563</v>
      </c>
      <c r="C1348">
        <v>10</v>
      </c>
      <c r="D1348">
        <v>60</v>
      </c>
      <c r="E1348">
        <v>40</v>
      </c>
      <c r="F1348">
        <v>40</v>
      </c>
      <c r="G1348">
        <v>16.079726764327098</v>
      </c>
      <c r="M1348" t="str">
        <f t="shared" si="115"/>
        <v>Pass</v>
      </c>
      <c r="N1348">
        <f t="shared" si="116"/>
        <v>4.5449547469615936E-3</v>
      </c>
      <c r="O1348">
        <v>70</v>
      </c>
      <c r="P1348">
        <v>40</v>
      </c>
      <c r="Q1348">
        <v>2.5</v>
      </c>
      <c r="R1348" t="b">
        <v>1</v>
      </c>
      <c r="S1348">
        <v>4.5449548581514201E-3</v>
      </c>
    </row>
    <row r="1349" spans="1:19" x14ac:dyDescent="0.3">
      <c r="A1349" t="str">
        <f>IF(ISBLANK(B1349),"",IF(ROUND(B1349,0)=ROUND(G1349,0),"Pass","Fail"))</f>
        <v>Pass</v>
      </c>
      <c r="B1349">
        <f t="shared" si="114"/>
        <v>15.00220775604248</v>
      </c>
      <c r="C1349">
        <v>10</v>
      </c>
      <c r="D1349">
        <v>60</v>
      </c>
      <c r="E1349">
        <v>40</v>
      </c>
      <c r="F1349">
        <v>48</v>
      </c>
      <c r="G1349">
        <v>15.0022079008197</v>
      </c>
      <c r="M1349" t="str">
        <f t="shared" si="115"/>
        <v>Pass</v>
      </c>
      <c r="N1349">
        <f t="shared" si="116"/>
        <v>9.5360735431313515E-3</v>
      </c>
      <c r="O1349">
        <v>70</v>
      </c>
      <c r="P1349">
        <v>40</v>
      </c>
      <c r="Q1349">
        <v>2.5</v>
      </c>
      <c r="R1349" t="b">
        <v>0</v>
      </c>
      <c r="S1349">
        <v>9.5360733156668199E-3</v>
      </c>
    </row>
    <row r="1350" spans="1:19" x14ac:dyDescent="0.3">
      <c r="A1350" t="str">
        <f>IF(ISBLANK(B1350),"",IF(ROUND(B1350,0)=ROUND(G1350,0),"Pass","Fail"))</f>
        <v>Pass</v>
      </c>
      <c r="B1350">
        <f t="shared" si="114"/>
        <v>81.037994384765625</v>
      </c>
      <c r="C1350">
        <v>10</v>
      </c>
      <c r="D1350">
        <v>60</v>
      </c>
      <c r="E1350">
        <v>50</v>
      </c>
      <c r="F1350">
        <v>0</v>
      </c>
      <c r="G1350">
        <v>81.037999999999997</v>
      </c>
      <c r="M1350" t="str">
        <f t="shared" si="115"/>
        <v>Pass</v>
      </c>
      <c r="N1350">
        <f t="shared" si="116"/>
        <v>4.7370032407343388E-3</v>
      </c>
      <c r="O1350">
        <v>70</v>
      </c>
      <c r="P1350">
        <v>40</v>
      </c>
      <c r="Q1350">
        <v>3</v>
      </c>
      <c r="R1350" t="b">
        <v>1</v>
      </c>
      <c r="S1350">
        <v>4.7370036230050001E-3</v>
      </c>
    </row>
    <row r="1351" spans="1:19" x14ac:dyDescent="0.3">
      <c r="A1351" t="str">
        <f>IF(ISBLANK(B1351),"",IF(ROUND(B1351,0)=ROUND(G1351,0),"Pass","Fail"))</f>
        <v>Pass</v>
      </c>
      <c r="B1351">
        <f t="shared" ref="B1351:B1414" si="119">FMC_heath(C1351,D1351,E1351,F1351)</f>
        <v>47.701229095458984</v>
      </c>
      <c r="C1351">
        <v>10</v>
      </c>
      <c r="D1351">
        <v>60</v>
      </c>
      <c r="E1351">
        <v>50</v>
      </c>
      <c r="F1351">
        <v>8</v>
      </c>
      <c r="G1351">
        <v>47.701228080723098</v>
      </c>
      <c r="M1351" t="str">
        <f t="shared" ref="M1351:M1414" si="120">IF(ISBLANK(N1351),"",IF(ROUND(N1351,0)=ROUND(S1351,0),"Pass","Fail"))</f>
        <v>Pass</v>
      </c>
      <c r="N1351">
        <f t="shared" ref="N1351:N1414" si="121">ROS_heath(O1351,Q1351,P1351,R1351)</f>
        <v>9.9390242248773575E-3</v>
      </c>
      <c r="O1351">
        <v>70</v>
      </c>
      <c r="P1351">
        <v>40</v>
      </c>
      <c r="Q1351">
        <v>3</v>
      </c>
      <c r="R1351" t="b">
        <v>0</v>
      </c>
      <c r="S1351">
        <v>9.9390236548857706E-3</v>
      </c>
    </row>
    <row r="1352" spans="1:19" x14ac:dyDescent="0.3">
      <c r="A1352" t="str">
        <f>IF(ISBLANK(B1352),"",IF(ROUND(B1352,0)=ROUND(G1352,0),"Pass","Fail"))</f>
        <v>Pass</v>
      </c>
      <c r="B1352">
        <f t="shared" si="119"/>
        <v>30.91999626159668</v>
      </c>
      <c r="C1352">
        <v>10</v>
      </c>
      <c r="D1352">
        <v>60</v>
      </c>
      <c r="E1352">
        <v>50</v>
      </c>
      <c r="F1352">
        <v>16</v>
      </c>
      <c r="G1352">
        <v>30.919997247101701</v>
      </c>
      <c r="M1352" t="str">
        <f t="shared" si="120"/>
        <v>Pass</v>
      </c>
      <c r="N1352">
        <f t="shared" si="121"/>
        <v>4.9056960269808769E-3</v>
      </c>
      <c r="O1352">
        <v>70</v>
      </c>
      <c r="P1352">
        <v>40</v>
      </c>
      <c r="Q1352">
        <v>3.5</v>
      </c>
      <c r="R1352" t="b">
        <v>1</v>
      </c>
      <c r="S1352">
        <v>4.9056960692572598E-3</v>
      </c>
    </row>
    <row r="1353" spans="1:19" x14ac:dyDescent="0.3">
      <c r="A1353" t="str">
        <f>IF(ISBLANK(B1353),"",IF(ROUND(B1353,0)=ROUND(G1353,0),"Pass","Fail"))</f>
        <v>Pass</v>
      </c>
      <c r="B1353">
        <f t="shared" si="119"/>
        <v>22.472576141357422</v>
      </c>
      <c r="C1353">
        <v>10</v>
      </c>
      <c r="D1353">
        <v>60</v>
      </c>
      <c r="E1353">
        <v>50</v>
      </c>
      <c r="F1353">
        <v>24</v>
      </c>
      <c r="G1353">
        <v>22.4725774137362</v>
      </c>
      <c r="M1353" t="str">
        <f t="shared" si="120"/>
        <v>Pass</v>
      </c>
      <c r="N1353">
        <f t="shared" si="121"/>
        <v>1.0292968712747097E-2</v>
      </c>
      <c r="O1353">
        <v>70</v>
      </c>
      <c r="P1353">
        <v>40</v>
      </c>
      <c r="Q1353">
        <v>3.5</v>
      </c>
      <c r="R1353" t="b">
        <v>0</v>
      </c>
      <c r="S1353">
        <v>1.02929685422317E-2</v>
      </c>
    </row>
    <row r="1354" spans="1:19" x14ac:dyDescent="0.3">
      <c r="A1354" t="str">
        <f>IF(ISBLANK(B1354),"",IF(ROUND(B1354,0)=ROUND(G1354,0),"Pass","Fail"))</f>
        <v>Pass</v>
      </c>
      <c r="B1354">
        <f t="shared" si="119"/>
        <v>18.220272064208984</v>
      </c>
      <c r="C1354">
        <v>10</v>
      </c>
      <c r="D1354">
        <v>60</v>
      </c>
      <c r="E1354">
        <v>50</v>
      </c>
      <c r="F1354">
        <v>32</v>
      </c>
      <c r="G1354">
        <v>18.220273005994599</v>
      </c>
      <c r="M1354" t="str">
        <f t="shared" si="120"/>
        <v>Pass</v>
      </c>
      <c r="N1354">
        <f t="shared" si="121"/>
        <v>5.0566722638905048E-3</v>
      </c>
      <c r="O1354">
        <v>70</v>
      </c>
      <c r="P1354">
        <v>40</v>
      </c>
      <c r="Q1354">
        <v>4</v>
      </c>
      <c r="R1354" t="b">
        <v>1</v>
      </c>
      <c r="S1354">
        <v>5.0566723024596302E-3</v>
      </c>
    </row>
    <row r="1355" spans="1:19" x14ac:dyDescent="0.3">
      <c r="A1355" t="str">
        <f>IF(ISBLANK(B1355),"",IF(ROUND(B1355,0)=ROUND(G1355,0),"Pass","Fail"))</f>
        <v>Pass</v>
      </c>
      <c r="B1355">
        <f t="shared" si="119"/>
        <v>16.079727172851563</v>
      </c>
      <c r="C1355">
        <v>10</v>
      </c>
      <c r="D1355">
        <v>60</v>
      </c>
      <c r="E1355">
        <v>50</v>
      </c>
      <c r="F1355">
        <v>40</v>
      </c>
      <c r="G1355">
        <v>16.079726764327098</v>
      </c>
      <c r="M1355" t="str">
        <f t="shared" si="120"/>
        <v>Pass</v>
      </c>
      <c r="N1355">
        <f t="shared" si="121"/>
        <v>1.0609741322696209E-2</v>
      </c>
      <c r="O1355">
        <v>70</v>
      </c>
      <c r="P1355">
        <v>40</v>
      </c>
      <c r="Q1355">
        <v>4</v>
      </c>
      <c r="R1355" t="b">
        <v>0</v>
      </c>
      <c r="S1355">
        <v>1.0609741859827699E-2</v>
      </c>
    </row>
    <row r="1356" spans="1:19" x14ac:dyDescent="0.3">
      <c r="A1356" t="str">
        <f>IF(ISBLANK(B1356),"",IF(ROUND(B1356,0)=ROUND(G1356,0),"Pass","Fail"))</f>
        <v>Pass</v>
      </c>
      <c r="B1356">
        <f t="shared" si="119"/>
        <v>15.00220775604248</v>
      </c>
      <c r="C1356">
        <v>10</v>
      </c>
      <c r="D1356">
        <v>60</v>
      </c>
      <c r="E1356">
        <v>50</v>
      </c>
      <c r="F1356">
        <v>48</v>
      </c>
      <c r="G1356">
        <v>15.0022079008197</v>
      </c>
      <c r="M1356" t="str">
        <f t="shared" si="120"/>
        <v>Pass</v>
      </c>
      <c r="N1356">
        <f t="shared" si="121"/>
        <v>0</v>
      </c>
      <c r="O1356">
        <v>70</v>
      </c>
      <c r="P1356">
        <v>50</v>
      </c>
      <c r="Q1356">
        <v>0</v>
      </c>
      <c r="R1356" t="b">
        <v>1</v>
      </c>
      <c r="S1356">
        <v>0</v>
      </c>
    </row>
    <row r="1357" spans="1:19" x14ac:dyDescent="0.3">
      <c r="A1357" t="str">
        <f>IF(ISBLANK(B1357),"",IF(ROUND(B1357,0)=ROUND(G1357,0),"Pass","Fail"))</f>
        <v>Pass</v>
      </c>
      <c r="B1357">
        <f t="shared" si="119"/>
        <v>81.037994384765625</v>
      </c>
      <c r="C1357">
        <v>10</v>
      </c>
      <c r="D1357">
        <v>60</v>
      </c>
      <c r="E1357">
        <v>60</v>
      </c>
      <c r="F1357">
        <v>0</v>
      </c>
      <c r="G1357">
        <v>81.037999999999997</v>
      </c>
      <c r="M1357" t="str">
        <f t="shared" si="120"/>
        <v>Pass</v>
      </c>
      <c r="N1357">
        <f t="shared" si="121"/>
        <v>0</v>
      </c>
      <c r="O1357">
        <v>70</v>
      </c>
      <c r="P1357">
        <v>50</v>
      </c>
      <c r="Q1357">
        <v>0</v>
      </c>
      <c r="R1357" t="b">
        <v>0</v>
      </c>
      <c r="S1357">
        <v>0</v>
      </c>
    </row>
    <row r="1358" spans="1:19" x14ac:dyDescent="0.3">
      <c r="A1358" t="str">
        <f>IF(ISBLANK(B1358),"",IF(ROUND(B1358,0)=ROUND(G1358,0),"Pass","Fail"))</f>
        <v>Pass</v>
      </c>
      <c r="B1358">
        <f t="shared" si="119"/>
        <v>47.701229095458984</v>
      </c>
      <c r="C1358">
        <v>10</v>
      </c>
      <c r="D1358">
        <v>60</v>
      </c>
      <c r="E1358">
        <v>60</v>
      </c>
      <c r="F1358">
        <v>8</v>
      </c>
      <c r="G1358">
        <v>47.701228080723098</v>
      </c>
      <c r="M1358" t="str">
        <f t="shared" si="120"/>
        <v>Pass</v>
      </c>
      <c r="N1358">
        <f t="shared" si="121"/>
        <v>5.7768524129642174E-5</v>
      </c>
      <c r="O1358">
        <v>70</v>
      </c>
      <c r="P1358">
        <v>50</v>
      </c>
      <c r="Q1358">
        <v>0.5</v>
      </c>
      <c r="R1358" t="b">
        <v>1</v>
      </c>
      <c r="S1358">
        <v>5.7768525849587202E-5</v>
      </c>
    </row>
    <row r="1359" spans="1:19" x14ac:dyDescent="0.3">
      <c r="A1359" t="str">
        <f>IF(ISBLANK(B1359),"",IF(ROUND(B1359,0)=ROUND(G1359,0),"Pass","Fail"))</f>
        <v>Pass</v>
      </c>
      <c r="B1359">
        <f t="shared" si="119"/>
        <v>30.91999626159668</v>
      </c>
      <c r="C1359">
        <v>10</v>
      </c>
      <c r="D1359">
        <v>60</v>
      </c>
      <c r="E1359">
        <v>60</v>
      </c>
      <c r="F1359">
        <v>16</v>
      </c>
      <c r="G1359">
        <v>30.919997247101701</v>
      </c>
      <c r="M1359" t="str">
        <f t="shared" si="120"/>
        <v>Pass</v>
      </c>
      <c r="N1359">
        <f t="shared" si="121"/>
        <v>1.2120800965931267E-4</v>
      </c>
      <c r="O1359">
        <v>70</v>
      </c>
      <c r="P1359">
        <v>50</v>
      </c>
      <c r="Q1359">
        <v>0.5</v>
      </c>
      <c r="R1359" t="b">
        <v>0</v>
      </c>
      <c r="S1359">
        <v>1.21208002066651E-4</v>
      </c>
    </row>
    <row r="1360" spans="1:19" x14ac:dyDescent="0.3">
      <c r="A1360" t="str">
        <f>IF(ISBLANK(B1360),"",IF(ROUND(B1360,0)=ROUND(G1360,0),"Pass","Fail"))</f>
        <v>Pass</v>
      </c>
      <c r="B1360">
        <f t="shared" si="119"/>
        <v>22.472576141357422</v>
      </c>
      <c r="C1360">
        <v>10</v>
      </c>
      <c r="D1360">
        <v>60</v>
      </c>
      <c r="E1360">
        <v>60</v>
      </c>
      <c r="F1360">
        <v>24</v>
      </c>
      <c r="G1360">
        <v>22.4725774137362</v>
      </c>
      <c r="M1360" t="str">
        <f t="shared" si="120"/>
        <v>Pass</v>
      </c>
      <c r="N1360">
        <f t="shared" si="121"/>
        <v>6.7612199927680194E-5</v>
      </c>
      <c r="O1360">
        <v>70</v>
      </c>
      <c r="P1360">
        <v>50</v>
      </c>
      <c r="Q1360">
        <v>1</v>
      </c>
      <c r="R1360" t="b">
        <v>1</v>
      </c>
      <c r="S1360">
        <v>6.7612204174346595E-5</v>
      </c>
    </row>
    <row r="1361" spans="1:19" x14ac:dyDescent="0.3">
      <c r="A1361" t="str">
        <f>IF(ISBLANK(B1361),"",IF(ROUND(B1361,0)=ROUND(G1361,0),"Pass","Fail"))</f>
        <v>Pass</v>
      </c>
      <c r="B1361">
        <f t="shared" si="119"/>
        <v>18.220272064208984</v>
      </c>
      <c r="C1361">
        <v>10</v>
      </c>
      <c r="D1361">
        <v>60</v>
      </c>
      <c r="E1361">
        <v>60</v>
      </c>
      <c r="F1361">
        <v>32</v>
      </c>
      <c r="G1361">
        <v>18.220273005994599</v>
      </c>
      <c r="M1361" t="str">
        <f t="shared" si="120"/>
        <v>Pass</v>
      </c>
      <c r="N1361">
        <f t="shared" si="121"/>
        <v>1.4186168846208602E-4</v>
      </c>
      <c r="O1361">
        <v>70</v>
      </c>
      <c r="P1361">
        <v>50</v>
      </c>
      <c r="Q1361">
        <v>1</v>
      </c>
      <c r="R1361" t="b">
        <v>0</v>
      </c>
      <c r="S1361">
        <v>1.4186168095465799E-4</v>
      </c>
    </row>
    <row r="1362" spans="1:19" x14ac:dyDescent="0.3">
      <c r="A1362" t="str">
        <f>IF(ISBLANK(B1362),"",IF(ROUND(B1362,0)=ROUND(G1362,0),"Pass","Fail"))</f>
        <v>Pass</v>
      </c>
      <c r="B1362">
        <f t="shared" si="119"/>
        <v>16.079727172851563</v>
      </c>
      <c r="C1362">
        <v>10</v>
      </c>
      <c r="D1362">
        <v>60</v>
      </c>
      <c r="E1362">
        <v>60</v>
      </c>
      <c r="F1362">
        <v>40</v>
      </c>
      <c r="G1362">
        <v>16.079726764327098</v>
      </c>
      <c r="M1362" t="str">
        <f t="shared" si="120"/>
        <v>Pass</v>
      </c>
      <c r="N1362">
        <f t="shared" si="121"/>
        <v>7.413065031869337E-5</v>
      </c>
      <c r="O1362">
        <v>70</v>
      </c>
      <c r="P1362">
        <v>50</v>
      </c>
      <c r="Q1362">
        <v>1.5</v>
      </c>
      <c r="R1362" t="b">
        <v>1</v>
      </c>
      <c r="S1362">
        <v>7.4130650326795897E-5</v>
      </c>
    </row>
    <row r="1363" spans="1:19" x14ac:dyDescent="0.3">
      <c r="A1363" t="str">
        <f>IF(ISBLANK(B1363),"",IF(ROUND(B1363,0)=ROUND(G1363,0),"Pass","Fail"))</f>
        <v>Pass</v>
      </c>
      <c r="B1363">
        <f t="shared" si="119"/>
        <v>15.00220775604248</v>
      </c>
      <c r="C1363">
        <v>10</v>
      </c>
      <c r="D1363">
        <v>60</v>
      </c>
      <c r="E1363">
        <v>60</v>
      </c>
      <c r="F1363">
        <v>48</v>
      </c>
      <c r="G1363">
        <v>15.0022079008197</v>
      </c>
      <c r="M1363" t="str">
        <f t="shared" si="120"/>
        <v>Pass</v>
      </c>
      <c r="N1363">
        <f t="shared" si="121"/>
        <v>1.5553846606053412E-4</v>
      </c>
      <c r="O1363">
        <v>70</v>
      </c>
      <c r="P1363">
        <v>50</v>
      </c>
      <c r="Q1363">
        <v>1.5</v>
      </c>
      <c r="R1363" t="b">
        <v>0</v>
      </c>
      <c r="S1363">
        <v>1.5553846815145501E-4</v>
      </c>
    </row>
    <row r="1364" spans="1:19" x14ac:dyDescent="0.3">
      <c r="A1364" t="str">
        <f>IF(ISBLANK(B1364),"",IF(ROUND(B1364,0)=ROUND(G1364,0),"Pass","Fail"))</f>
        <v>Pass</v>
      </c>
      <c r="B1364">
        <f t="shared" si="119"/>
        <v>81.037994384765625</v>
      </c>
      <c r="C1364">
        <v>10</v>
      </c>
      <c r="D1364">
        <v>60</v>
      </c>
      <c r="E1364">
        <v>70</v>
      </c>
      <c r="F1364">
        <v>0</v>
      </c>
      <c r="G1364">
        <v>81.037999999999997</v>
      </c>
      <c r="M1364" t="str">
        <f t="shared" si="120"/>
        <v>Pass</v>
      </c>
      <c r="N1364">
        <f t="shared" si="121"/>
        <v>7.913322770036757E-5</v>
      </c>
      <c r="O1364">
        <v>70</v>
      </c>
      <c r="P1364">
        <v>50</v>
      </c>
      <c r="Q1364">
        <v>2</v>
      </c>
      <c r="R1364" t="b">
        <v>1</v>
      </c>
      <c r="S1364">
        <v>7.9133231912757799E-5</v>
      </c>
    </row>
    <row r="1365" spans="1:19" x14ac:dyDescent="0.3">
      <c r="A1365" t="str">
        <f>IF(ISBLANK(B1365),"",IF(ROUND(B1365,0)=ROUND(G1365,0),"Pass","Fail"))</f>
        <v>Pass</v>
      </c>
      <c r="B1365">
        <f t="shared" si="119"/>
        <v>47.701229095458984</v>
      </c>
      <c r="C1365">
        <v>10</v>
      </c>
      <c r="D1365">
        <v>60</v>
      </c>
      <c r="E1365">
        <v>70</v>
      </c>
      <c r="F1365">
        <v>8</v>
      </c>
      <c r="G1365">
        <v>47.701228080723098</v>
      </c>
      <c r="M1365" t="str">
        <f t="shared" si="120"/>
        <v>Pass</v>
      </c>
      <c r="N1365">
        <f t="shared" si="121"/>
        <v>1.6603471885900944E-4</v>
      </c>
      <c r="O1365">
        <v>70</v>
      </c>
      <c r="P1365">
        <v>50</v>
      </c>
      <c r="Q1365">
        <v>2</v>
      </c>
      <c r="R1365" t="b">
        <v>0</v>
      </c>
      <c r="S1365">
        <v>1.6603471866663401E-4</v>
      </c>
    </row>
    <row r="1366" spans="1:19" x14ac:dyDescent="0.3">
      <c r="A1366" t="str">
        <f>IF(ISBLANK(B1366),"",IF(ROUND(B1366,0)=ROUND(G1366,0),"Pass","Fail"))</f>
        <v>Pass</v>
      </c>
      <c r="B1366">
        <f t="shared" si="119"/>
        <v>30.91999626159668</v>
      </c>
      <c r="C1366">
        <v>10</v>
      </c>
      <c r="D1366">
        <v>60</v>
      </c>
      <c r="E1366">
        <v>70</v>
      </c>
      <c r="F1366">
        <v>16</v>
      </c>
      <c r="G1366">
        <v>30.919997247101701</v>
      </c>
      <c r="M1366" t="str">
        <f t="shared" si="120"/>
        <v>Pass</v>
      </c>
      <c r="N1366">
        <f t="shared" si="121"/>
        <v>8.324486407218501E-5</v>
      </c>
      <c r="O1366">
        <v>70</v>
      </c>
      <c r="P1366">
        <v>50</v>
      </c>
      <c r="Q1366">
        <v>2.5</v>
      </c>
      <c r="R1366" t="b">
        <v>1</v>
      </c>
      <c r="S1366">
        <v>8.3244869390071102E-5</v>
      </c>
    </row>
    <row r="1367" spans="1:19" x14ac:dyDescent="0.3">
      <c r="A1367" t="str">
        <f>IF(ISBLANK(B1367),"",IF(ROUND(B1367,0)=ROUND(G1367,0),"Pass","Fail"))</f>
        <v>Pass</v>
      </c>
      <c r="B1367">
        <f t="shared" si="119"/>
        <v>22.472576141357422</v>
      </c>
      <c r="C1367">
        <v>10</v>
      </c>
      <c r="D1367">
        <v>60</v>
      </c>
      <c r="E1367">
        <v>70</v>
      </c>
      <c r="F1367">
        <v>24</v>
      </c>
      <c r="G1367">
        <v>22.4725774137362</v>
      </c>
      <c r="M1367" t="str">
        <f t="shared" si="120"/>
        <v>Pass</v>
      </c>
      <c r="N1367">
        <f t="shared" si="121"/>
        <v>1.7466161807533354E-4</v>
      </c>
      <c r="O1367">
        <v>70</v>
      </c>
      <c r="P1367">
        <v>50</v>
      </c>
      <c r="Q1367">
        <v>2.5</v>
      </c>
      <c r="R1367" t="b">
        <v>0</v>
      </c>
      <c r="S1367">
        <v>1.7466161984713301E-4</v>
      </c>
    </row>
    <row r="1368" spans="1:19" x14ac:dyDescent="0.3">
      <c r="A1368" t="str">
        <f>IF(ISBLANK(B1368),"",IF(ROUND(B1368,0)=ROUND(G1368,0),"Pass","Fail"))</f>
        <v>Pass</v>
      </c>
      <c r="B1368">
        <f t="shared" si="119"/>
        <v>18.220272064208984</v>
      </c>
      <c r="C1368">
        <v>10</v>
      </c>
      <c r="D1368">
        <v>60</v>
      </c>
      <c r="E1368">
        <v>70</v>
      </c>
      <c r="F1368">
        <v>32</v>
      </c>
      <c r="G1368">
        <v>18.220273005994599</v>
      </c>
      <c r="M1368" t="str">
        <f t="shared" si="120"/>
        <v>Pass</v>
      </c>
      <c r="N1368">
        <f t="shared" si="121"/>
        <v>8.6762411228846759E-5</v>
      </c>
      <c r="O1368">
        <v>70</v>
      </c>
      <c r="P1368">
        <v>50</v>
      </c>
      <c r="Q1368">
        <v>3</v>
      </c>
      <c r="R1368" t="b">
        <v>1</v>
      </c>
      <c r="S1368">
        <v>8.6762412434109794E-5</v>
      </c>
    </row>
    <row r="1369" spans="1:19" x14ac:dyDescent="0.3">
      <c r="A1369" t="str">
        <f>IF(ISBLANK(B1369),"",IF(ROUND(B1369,0)=ROUND(G1369,0),"Pass","Fail"))</f>
        <v>Pass</v>
      </c>
      <c r="B1369">
        <f t="shared" si="119"/>
        <v>16.079727172851563</v>
      </c>
      <c r="C1369">
        <v>10</v>
      </c>
      <c r="D1369">
        <v>60</v>
      </c>
      <c r="E1369">
        <v>70</v>
      </c>
      <c r="F1369">
        <v>40</v>
      </c>
      <c r="G1369">
        <v>16.079726764327098</v>
      </c>
      <c r="M1369" t="str">
        <f t="shared" si="120"/>
        <v>Pass</v>
      </c>
      <c r="N1369">
        <f t="shared" si="121"/>
        <v>1.8204201478511095E-4</v>
      </c>
      <c r="O1369">
        <v>70</v>
      </c>
      <c r="P1369">
        <v>50</v>
      </c>
      <c r="Q1369">
        <v>3</v>
      </c>
      <c r="R1369" t="b">
        <v>0</v>
      </c>
      <c r="S1369">
        <v>1.8204201182150099E-4</v>
      </c>
    </row>
    <row r="1370" spans="1:19" x14ac:dyDescent="0.3">
      <c r="A1370" t="str">
        <f>IF(ISBLANK(B1370),"",IF(ROUND(B1370,0)=ROUND(G1370,0),"Pass","Fail"))</f>
        <v>Pass</v>
      </c>
      <c r="B1370">
        <f t="shared" si="119"/>
        <v>15.00220775604248</v>
      </c>
      <c r="C1370">
        <v>10</v>
      </c>
      <c r="D1370">
        <v>60</v>
      </c>
      <c r="E1370">
        <v>70</v>
      </c>
      <c r="F1370">
        <v>48</v>
      </c>
      <c r="G1370">
        <v>15.0022079008197</v>
      </c>
      <c r="M1370" t="str">
        <f t="shared" si="120"/>
        <v>Pass</v>
      </c>
      <c r="N1370">
        <f t="shared" si="121"/>
        <v>8.9852161181624979E-5</v>
      </c>
      <c r="O1370">
        <v>70</v>
      </c>
      <c r="P1370">
        <v>50</v>
      </c>
      <c r="Q1370">
        <v>3.5</v>
      </c>
      <c r="R1370" t="b">
        <v>1</v>
      </c>
      <c r="S1370">
        <v>8.9852163838389503E-5</v>
      </c>
    </row>
    <row r="1371" spans="1:19" x14ac:dyDescent="0.3">
      <c r="A1371" t="str">
        <f>IF(ISBLANK(B1371),"",IF(ROUND(B1371,0)=ROUND(G1371,0),"Pass","Fail"))</f>
        <v>Pass</v>
      </c>
      <c r="B1371">
        <f t="shared" si="119"/>
        <v>81.037994384765625</v>
      </c>
      <c r="C1371">
        <v>10</v>
      </c>
      <c r="D1371">
        <v>60</v>
      </c>
      <c r="E1371">
        <v>80</v>
      </c>
      <c r="F1371">
        <v>0</v>
      </c>
      <c r="G1371">
        <v>81.037999999999997</v>
      </c>
      <c r="M1371" t="str">
        <f t="shared" si="120"/>
        <v>Pass</v>
      </c>
      <c r="N1371">
        <f t="shared" si="121"/>
        <v>1.8852482025977224E-4</v>
      </c>
      <c r="O1371">
        <v>70</v>
      </c>
      <c r="P1371">
        <v>50</v>
      </c>
      <c r="Q1371">
        <v>3.5</v>
      </c>
      <c r="R1371" t="b">
        <v>0</v>
      </c>
      <c r="S1371">
        <v>1.8852482558708801E-4</v>
      </c>
    </row>
    <row r="1372" spans="1:19" x14ac:dyDescent="0.3">
      <c r="A1372" t="str">
        <f>IF(ISBLANK(B1372),"",IF(ROUND(B1372,0)=ROUND(G1372,0),"Pass","Fail"))</f>
        <v>Pass</v>
      </c>
      <c r="B1372">
        <f t="shared" si="119"/>
        <v>47.701229095458984</v>
      </c>
      <c r="C1372">
        <v>10</v>
      </c>
      <c r="D1372">
        <v>60</v>
      </c>
      <c r="E1372">
        <v>80</v>
      </c>
      <c r="F1372">
        <v>8</v>
      </c>
      <c r="G1372">
        <v>47.701228080723098</v>
      </c>
      <c r="M1372" t="str">
        <f t="shared" si="120"/>
        <v>Pass</v>
      </c>
      <c r="N1372">
        <f t="shared" si="121"/>
        <v>9.2617425252683461E-5</v>
      </c>
      <c r="O1372">
        <v>70</v>
      </c>
      <c r="P1372">
        <v>50</v>
      </c>
      <c r="Q1372">
        <v>4</v>
      </c>
      <c r="R1372" t="b">
        <v>1</v>
      </c>
      <c r="S1372">
        <v>9.2617427126185398E-5</v>
      </c>
    </row>
    <row r="1373" spans="1:19" x14ac:dyDescent="0.3">
      <c r="A1373" t="str">
        <f>IF(ISBLANK(B1373),"",IF(ROUND(B1373,0)=ROUND(G1373,0),"Pass","Fail"))</f>
        <v>Pass</v>
      </c>
      <c r="B1373">
        <f t="shared" si="119"/>
        <v>30.91999626159668</v>
      </c>
      <c r="C1373">
        <v>10</v>
      </c>
      <c r="D1373">
        <v>60</v>
      </c>
      <c r="E1373">
        <v>80</v>
      </c>
      <c r="F1373">
        <v>16</v>
      </c>
      <c r="G1373">
        <v>30.919997247101701</v>
      </c>
      <c r="M1373" t="str">
        <f t="shared" si="120"/>
        <v>Pass</v>
      </c>
      <c r="N1373">
        <f t="shared" si="121"/>
        <v>1.9432679982855916E-4</v>
      </c>
      <c r="O1373">
        <v>70</v>
      </c>
      <c r="P1373">
        <v>50</v>
      </c>
      <c r="Q1373">
        <v>4</v>
      </c>
      <c r="R1373" t="b">
        <v>0</v>
      </c>
      <c r="S1373">
        <v>1.9432680916504401E-4</v>
      </c>
    </row>
    <row r="1374" spans="1:19" x14ac:dyDescent="0.3">
      <c r="A1374" t="str">
        <f>IF(ISBLANK(B1374),"",IF(ROUND(B1374,0)=ROUND(G1374,0),"Pass","Fail"))</f>
        <v>Pass</v>
      </c>
      <c r="B1374">
        <f t="shared" si="119"/>
        <v>22.472576141357422</v>
      </c>
      <c r="C1374">
        <v>10</v>
      </c>
      <c r="D1374">
        <v>60</v>
      </c>
      <c r="E1374">
        <v>80</v>
      </c>
      <c r="F1374">
        <v>24</v>
      </c>
      <c r="G1374">
        <v>22.4725774137362</v>
      </c>
      <c r="M1374" t="str">
        <f t="shared" si="120"/>
        <v>Pass</v>
      </c>
      <c r="N1374">
        <f t="shared" si="121"/>
        <v>0</v>
      </c>
      <c r="O1374">
        <v>70</v>
      </c>
      <c r="P1374">
        <v>60</v>
      </c>
      <c r="Q1374">
        <v>0</v>
      </c>
      <c r="R1374" t="b">
        <v>1</v>
      </c>
      <c r="S1374">
        <v>0</v>
      </c>
    </row>
    <row r="1375" spans="1:19" x14ac:dyDescent="0.3">
      <c r="A1375" t="str">
        <f>IF(ISBLANK(B1375),"",IF(ROUND(B1375,0)=ROUND(G1375,0),"Pass","Fail"))</f>
        <v>Pass</v>
      </c>
      <c r="B1375">
        <f t="shared" si="119"/>
        <v>18.220272064208984</v>
      </c>
      <c r="C1375">
        <v>10</v>
      </c>
      <c r="D1375">
        <v>60</v>
      </c>
      <c r="E1375">
        <v>80</v>
      </c>
      <c r="F1375">
        <v>32</v>
      </c>
      <c r="G1375">
        <v>18.220273005994599</v>
      </c>
      <c r="M1375" t="str">
        <f t="shared" si="120"/>
        <v>Pass</v>
      </c>
      <c r="N1375">
        <f t="shared" si="121"/>
        <v>0</v>
      </c>
      <c r="O1375">
        <v>70</v>
      </c>
      <c r="P1375">
        <v>60</v>
      </c>
      <c r="Q1375">
        <v>0</v>
      </c>
      <c r="R1375" t="b">
        <v>0</v>
      </c>
      <c r="S1375">
        <v>0</v>
      </c>
    </row>
    <row r="1376" spans="1:19" x14ac:dyDescent="0.3">
      <c r="A1376" t="str">
        <f>IF(ISBLANK(B1376),"",IF(ROUND(B1376,0)=ROUND(G1376,0),"Pass","Fail"))</f>
        <v>Pass</v>
      </c>
      <c r="B1376">
        <f t="shared" si="119"/>
        <v>16.079727172851563</v>
      </c>
      <c r="C1376">
        <v>10</v>
      </c>
      <c r="D1376">
        <v>60</v>
      </c>
      <c r="E1376">
        <v>80</v>
      </c>
      <c r="F1376">
        <v>40</v>
      </c>
      <c r="G1376">
        <v>16.079726764327098</v>
      </c>
      <c r="M1376" t="str">
        <f t="shared" si="120"/>
        <v>Pass</v>
      </c>
      <c r="N1376">
        <f t="shared" si="121"/>
        <v>1.0580677098914748E-6</v>
      </c>
      <c r="O1376">
        <v>70</v>
      </c>
      <c r="P1376">
        <v>60</v>
      </c>
      <c r="Q1376">
        <v>0.5</v>
      </c>
      <c r="R1376" t="b">
        <v>1</v>
      </c>
      <c r="S1376">
        <v>1.0580677187367199E-6</v>
      </c>
    </row>
    <row r="1377" spans="1:19" x14ac:dyDescent="0.3">
      <c r="A1377" t="str">
        <f>IF(ISBLANK(B1377),"",IF(ROUND(B1377,0)=ROUND(G1377,0),"Pass","Fail"))</f>
        <v>Pass</v>
      </c>
      <c r="B1377">
        <f t="shared" si="119"/>
        <v>15.00220775604248</v>
      </c>
      <c r="C1377">
        <v>10</v>
      </c>
      <c r="D1377">
        <v>60</v>
      </c>
      <c r="E1377">
        <v>80</v>
      </c>
      <c r="F1377">
        <v>48</v>
      </c>
      <c r="G1377">
        <v>15.0022079008197</v>
      </c>
      <c r="M1377" t="str">
        <f t="shared" si="120"/>
        <v>Pass</v>
      </c>
      <c r="N1377">
        <f t="shared" si="121"/>
        <v>2.2200026705831988E-6</v>
      </c>
      <c r="O1377">
        <v>70</v>
      </c>
      <c r="P1377">
        <v>60</v>
      </c>
      <c r="Q1377">
        <v>0.5</v>
      </c>
      <c r="R1377" t="b">
        <v>0</v>
      </c>
      <c r="S1377">
        <v>2.2200025420973101E-6</v>
      </c>
    </row>
    <row r="1378" spans="1:19" x14ac:dyDescent="0.3">
      <c r="A1378" t="str">
        <f>IF(ISBLANK(B1378),"",IF(ROUND(B1378,0)=ROUND(G1378,0),"Pass","Fail"))</f>
        <v>Pass</v>
      </c>
      <c r="B1378">
        <f t="shared" si="119"/>
        <v>81.037994384765625</v>
      </c>
      <c r="C1378">
        <v>10</v>
      </c>
      <c r="D1378">
        <v>60</v>
      </c>
      <c r="E1378">
        <v>90</v>
      </c>
      <c r="F1378">
        <v>0</v>
      </c>
      <c r="G1378">
        <v>81.037999999999997</v>
      </c>
      <c r="M1378" t="str">
        <f t="shared" si="120"/>
        <v>Pass</v>
      </c>
      <c r="N1378">
        <f t="shared" si="121"/>
        <v>1.2383610510369181E-6</v>
      </c>
      <c r="O1378">
        <v>70</v>
      </c>
      <c r="P1378">
        <v>60</v>
      </c>
      <c r="Q1378">
        <v>1</v>
      </c>
      <c r="R1378" t="b">
        <v>1</v>
      </c>
      <c r="S1378">
        <v>1.23836102059757E-6</v>
      </c>
    </row>
    <row r="1379" spans="1:19" x14ac:dyDescent="0.3">
      <c r="A1379" t="str">
        <f>IF(ISBLANK(B1379),"",IF(ROUND(B1379,0)=ROUND(G1379,0),"Pass","Fail"))</f>
        <v>Pass</v>
      </c>
      <c r="B1379">
        <f t="shared" si="119"/>
        <v>47.701229095458984</v>
      </c>
      <c r="C1379">
        <v>10</v>
      </c>
      <c r="D1379">
        <v>60</v>
      </c>
      <c r="E1379">
        <v>90</v>
      </c>
      <c r="F1379">
        <v>8</v>
      </c>
      <c r="G1379">
        <v>47.701228080723098</v>
      </c>
      <c r="M1379" t="str">
        <f t="shared" si="120"/>
        <v>Pass</v>
      </c>
      <c r="N1379">
        <f t="shared" si="121"/>
        <v>2.5982881197705865E-6</v>
      </c>
      <c r="O1379">
        <v>70</v>
      </c>
      <c r="P1379">
        <v>60</v>
      </c>
      <c r="Q1379">
        <v>1</v>
      </c>
      <c r="R1379" t="b">
        <v>0</v>
      </c>
      <c r="S1379">
        <v>2.5982879593408302E-6</v>
      </c>
    </row>
    <row r="1380" spans="1:19" x14ac:dyDescent="0.3">
      <c r="A1380" t="str">
        <f>IF(ISBLANK(B1380),"",IF(ROUND(B1380,0)=ROUND(G1380,0),"Pass","Fail"))</f>
        <v>Pass</v>
      </c>
      <c r="B1380">
        <f t="shared" si="119"/>
        <v>30.91999626159668</v>
      </c>
      <c r="C1380">
        <v>10</v>
      </c>
      <c r="D1380">
        <v>60</v>
      </c>
      <c r="E1380">
        <v>90</v>
      </c>
      <c r="F1380">
        <v>16</v>
      </c>
      <c r="G1380">
        <v>30.919997247101701</v>
      </c>
      <c r="M1380" t="str">
        <f t="shared" si="120"/>
        <v>Pass</v>
      </c>
      <c r="N1380">
        <f t="shared" si="121"/>
        <v>1.3577505342254881E-6</v>
      </c>
      <c r="O1380">
        <v>70</v>
      </c>
      <c r="P1380">
        <v>60</v>
      </c>
      <c r="Q1380">
        <v>1.5</v>
      </c>
      <c r="R1380" t="b">
        <v>1</v>
      </c>
      <c r="S1380">
        <v>1.35775055579513E-6</v>
      </c>
    </row>
    <row r="1381" spans="1:19" x14ac:dyDescent="0.3">
      <c r="A1381" t="str">
        <f>IF(ISBLANK(B1381),"",IF(ROUND(B1381,0)=ROUND(G1381,0),"Pass","Fail"))</f>
        <v>Pass</v>
      </c>
      <c r="B1381">
        <f t="shared" si="119"/>
        <v>22.472576141357422</v>
      </c>
      <c r="C1381">
        <v>10</v>
      </c>
      <c r="D1381">
        <v>60</v>
      </c>
      <c r="E1381">
        <v>90</v>
      </c>
      <c r="F1381">
        <v>24</v>
      </c>
      <c r="G1381">
        <v>22.4725774137362</v>
      </c>
      <c r="M1381" t="str">
        <f t="shared" si="120"/>
        <v>Pass</v>
      </c>
      <c r="N1381">
        <f t="shared" si="121"/>
        <v>2.8487870622484479E-6</v>
      </c>
      <c r="O1381">
        <v>70</v>
      </c>
      <c r="P1381">
        <v>60</v>
      </c>
      <c r="Q1381">
        <v>1.5</v>
      </c>
      <c r="R1381" t="b">
        <v>0</v>
      </c>
      <c r="S1381">
        <v>2.84878711638424E-6</v>
      </c>
    </row>
    <row r="1382" spans="1:19" x14ac:dyDescent="0.3">
      <c r="A1382" t="str">
        <f>IF(ISBLANK(B1382),"",IF(ROUND(B1382,0)=ROUND(G1382,0),"Pass","Fail"))</f>
        <v>Pass</v>
      </c>
      <c r="B1382">
        <f t="shared" si="119"/>
        <v>18.220272064208984</v>
      </c>
      <c r="C1382">
        <v>10</v>
      </c>
      <c r="D1382">
        <v>60</v>
      </c>
      <c r="E1382">
        <v>90</v>
      </c>
      <c r="F1382">
        <v>32</v>
      </c>
      <c r="G1382">
        <v>18.220273005994599</v>
      </c>
      <c r="M1382" t="str">
        <f t="shared" si="120"/>
        <v>Pass</v>
      </c>
      <c r="N1382">
        <f t="shared" si="121"/>
        <v>1.4493759863398736E-6</v>
      </c>
      <c r="O1382">
        <v>70</v>
      </c>
      <c r="P1382">
        <v>60</v>
      </c>
      <c r="Q1382">
        <v>2</v>
      </c>
      <c r="R1382" t="b">
        <v>1</v>
      </c>
      <c r="S1382">
        <v>1.4493760561624899E-6</v>
      </c>
    </row>
    <row r="1383" spans="1:19" x14ac:dyDescent="0.3">
      <c r="A1383" t="str">
        <f>IF(ISBLANK(B1383),"",IF(ROUND(B1383,0)=ROUND(G1383,0),"Pass","Fail"))</f>
        <v>Pass</v>
      </c>
      <c r="B1383">
        <f t="shared" si="119"/>
        <v>16.079727172851563</v>
      </c>
      <c r="C1383">
        <v>10</v>
      </c>
      <c r="D1383">
        <v>60</v>
      </c>
      <c r="E1383">
        <v>90</v>
      </c>
      <c r="F1383">
        <v>40</v>
      </c>
      <c r="G1383">
        <v>16.079726764327098</v>
      </c>
      <c r="M1383" t="str">
        <f t="shared" si="120"/>
        <v>Pass</v>
      </c>
      <c r="N1383">
        <f t="shared" si="121"/>
        <v>3.0410326417040778E-6</v>
      </c>
      <c r="O1383">
        <v>70</v>
      </c>
      <c r="P1383">
        <v>60</v>
      </c>
      <c r="Q1383">
        <v>2</v>
      </c>
      <c r="R1383" t="b">
        <v>0</v>
      </c>
      <c r="S1383">
        <v>3.0410326977723002E-6</v>
      </c>
    </row>
    <row r="1384" spans="1:19" x14ac:dyDescent="0.3">
      <c r="A1384" t="str">
        <f>IF(ISBLANK(B1384),"",IF(ROUND(B1384,0)=ROUND(G1384,0),"Pass","Fail"))</f>
        <v>Pass</v>
      </c>
      <c r="B1384">
        <f t="shared" si="119"/>
        <v>15.00220775604248</v>
      </c>
      <c r="C1384">
        <v>10</v>
      </c>
      <c r="D1384">
        <v>60</v>
      </c>
      <c r="E1384">
        <v>90</v>
      </c>
      <c r="F1384">
        <v>48</v>
      </c>
      <c r="G1384">
        <v>15.0022079008197</v>
      </c>
      <c r="M1384" t="str">
        <f t="shared" si="120"/>
        <v>Pass</v>
      </c>
      <c r="N1384">
        <f t="shared" si="121"/>
        <v>1.5246832845150493E-6</v>
      </c>
      <c r="O1384">
        <v>70</v>
      </c>
      <c r="P1384">
        <v>60</v>
      </c>
      <c r="Q1384">
        <v>2.5</v>
      </c>
      <c r="R1384" t="b">
        <v>1</v>
      </c>
      <c r="S1384">
        <v>1.5246833419537199E-6</v>
      </c>
    </row>
    <row r="1385" spans="1:19" x14ac:dyDescent="0.3">
      <c r="A1385" t="str">
        <f>IF(ISBLANK(B1385),"",IF(ROUND(B1385,0)=ROUND(G1385,0),"Pass","Fail"))</f>
        <v>Pass</v>
      </c>
      <c r="B1385">
        <f t="shared" si="119"/>
        <v>81.037994384765625</v>
      </c>
      <c r="C1385">
        <v>10</v>
      </c>
      <c r="D1385">
        <v>60</v>
      </c>
      <c r="E1385">
        <v>100</v>
      </c>
      <c r="F1385">
        <v>0</v>
      </c>
      <c r="G1385">
        <v>81.037999999999997</v>
      </c>
      <c r="M1385" t="str">
        <f t="shared" si="120"/>
        <v>Pass</v>
      </c>
      <c r="N1385">
        <f t="shared" si="121"/>
        <v>3.199039838364115E-6</v>
      </c>
      <c r="O1385">
        <v>70</v>
      </c>
      <c r="P1385">
        <v>60</v>
      </c>
      <c r="Q1385">
        <v>2.5</v>
      </c>
      <c r="R1385" t="b">
        <v>0</v>
      </c>
      <c r="S1385">
        <v>3.19903994337147E-6</v>
      </c>
    </row>
    <row r="1386" spans="1:19" x14ac:dyDescent="0.3">
      <c r="A1386" t="str">
        <f>IF(ISBLANK(B1386),"",IF(ROUND(B1386,0)=ROUND(G1386,0),"Pass","Fail"))</f>
        <v>Pass</v>
      </c>
      <c r="B1386">
        <f t="shared" si="119"/>
        <v>47.701229095458984</v>
      </c>
      <c r="C1386">
        <v>10</v>
      </c>
      <c r="D1386">
        <v>60</v>
      </c>
      <c r="E1386">
        <v>100</v>
      </c>
      <c r="F1386">
        <v>8</v>
      </c>
      <c r="G1386">
        <v>47.701228080723098</v>
      </c>
      <c r="M1386" t="str">
        <f t="shared" si="120"/>
        <v>Pass</v>
      </c>
      <c r="N1386">
        <f t="shared" si="121"/>
        <v>1.5891093880782137E-6</v>
      </c>
      <c r="O1386">
        <v>70</v>
      </c>
      <c r="P1386">
        <v>60</v>
      </c>
      <c r="Q1386">
        <v>3</v>
      </c>
      <c r="R1386" t="b">
        <v>1</v>
      </c>
      <c r="S1386">
        <v>1.5891094059639901E-6</v>
      </c>
    </row>
    <row r="1387" spans="1:19" x14ac:dyDescent="0.3">
      <c r="A1387" t="str">
        <f>IF(ISBLANK(B1387),"",IF(ROUND(B1387,0)=ROUND(G1387,0),"Pass","Fail"))</f>
        <v>Pass</v>
      </c>
      <c r="B1387">
        <f t="shared" si="119"/>
        <v>30.91999626159668</v>
      </c>
      <c r="C1387">
        <v>10</v>
      </c>
      <c r="D1387">
        <v>60</v>
      </c>
      <c r="E1387">
        <v>100</v>
      </c>
      <c r="F1387">
        <v>16</v>
      </c>
      <c r="G1387">
        <v>30.919997247101701</v>
      </c>
      <c r="M1387" t="str">
        <f t="shared" si="120"/>
        <v>Pass</v>
      </c>
      <c r="N1387">
        <f t="shared" si="121"/>
        <v>3.3342166716465726E-6</v>
      </c>
      <c r="O1387">
        <v>70</v>
      </c>
      <c r="P1387">
        <v>60</v>
      </c>
      <c r="Q1387">
        <v>3</v>
      </c>
      <c r="R1387" t="b">
        <v>0</v>
      </c>
      <c r="S1387">
        <v>3.33421657086643E-6</v>
      </c>
    </row>
    <row r="1388" spans="1:19" x14ac:dyDescent="0.3">
      <c r="A1388" t="str">
        <f>IF(ISBLANK(B1388),"",IF(ROUND(B1388,0)=ROUND(G1388,0),"Pass","Fail"))</f>
        <v>Pass</v>
      </c>
      <c r="B1388">
        <f t="shared" si="119"/>
        <v>22.472576141357422</v>
      </c>
      <c r="C1388">
        <v>10</v>
      </c>
      <c r="D1388">
        <v>60</v>
      </c>
      <c r="E1388">
        <v>100</v>
      </c>
      <c r="F1388">
        <v>24</v>
      </c>
      <c r="G1388">
        <v>22.4725774137362</v>
      </c>
      <c r="M1388" t="str">
        <f t="shared" si="120"/>
        <v>Pass</v>
      </c>
      <c r="N1388">
        <f t="shared" si="121"/>
        <v>1.6457001947856043E-6</v>
      </c>
      <c r="O1388">
        <v>70</v>
      </c>
      <c r="P1388">
        <v>60</v>
      </c>
      <c r="Q1388">
        <v>3.5</v>
      </c>
      <c r="R1388" t="b">
        <v>1</v>
      </c>
      <c r="S1388">
        <v>1.6457001908543901E-6</v>
      </c>
    </row>
    <row r="1389" spans="1:19" x14ac:dyDescent="0.3">
      <c r="A1389" t="str">
        <f>IF(ISBLANK(B1389),"",IF(ROUND(B1389,0)=ROUND(G1389,0),"Pass","Fail"))</f>
        <v>Pass</v>
      </c>
      <c r="B1389">
        <f t="shared" si="119"/>
        <v>18.220272064208984</v>
      </c>
      <c r="C1389">
        <v>10</v>
      </c>
      <c r="D1389">
        <v>60</v>
      </c>
      <c r="E1389">
        <v>100</v>
      </c>
      <c r="F1389">
        <v>32</v>
      </c>
      <c r="G1389">
        <v>18.220273005994599</v>
      </c>
      <c r="M1389" t="str">
        <f t="shared" si="120"/>
        <v>Pass</v>
      </c>
      <c r="N1389">
        <f t="shared" si="121"/>
        <v>3.4529534786997829E-6</v>
      </c>
      <c r="O1389">
        <v>70</v>
      </c>
      <c r="P1389">
        <v>60</v>
      </c>
      <c r="Q1389">
        <v>3.5</v>
      </c>
      <c r="R1389" t="b">
        <v>0</v>
      </c>
      <c r="S1389">
        <v>3.4529534759730199E-6</v>
      </c>
    </row>
    <row r="1390" spans="1:19" x14ac:dyDescent="0.3">
      <c r="A1390" t="str">
        <f>IF(ISBLANK(B1390),"",IF(ROUND(B1390,0)=ROUND(G1390,0),"Pass","Fail"))</f>
        <v>Pass</v>
      </c>
      <c r="B1390">
        <f t="shared" si="119"/>
        <v>16.079727172851563</v>
      </c>
      <c r="C1390">
        <v>10</v>
      </c>
      <c r="D1390">
        <v>60</v>
      </c>
      <c r="E1390">
        <v>100</v>
      </c>
      <c r="F1390">
        <v>40</v>
      </c>
      <c r="G1390">
        <v>16.079726764327098</v>
      </c>
      <c r="M1390" t="str">
        <f t="shared" si="120"/>
        <v>Pass</v>
      </c>
      <c r="N1390">
        <f t="shared" si="121"/>
        <v>1.6963476809905842E-6</v>
      </c>
      <c r="O1390">
        <v>70</v>
      </c>
      <c r="P1390">
        <v>60</v>
      </c>
      <c r="Q1390">
        <v>4</v>
      </c>
      <c r="R1390" t="b">
        <v>1</v>
      </c>
      <c r="S1390">
        <v>1.69634776711837E-6</v>
      </c>
    </row>
    <row r="1391" spans="1:19" x14ac:dyDescent="0.3">
      <c r="A1391" t="str">
        <f>IF(ISBLANK(B1391),"",IF(ROUND(B1391,0)=ROUND(G1391,0),"Pass","Fail"))</f>
        <v>Pass</v>
      </c>
      <c r="B1391">
        <f t="shared" si="119"/>
        <v>15.00220775604248</v>
      </c>
      <c r="C1391">
        <v>10</v>
      </c>
      <c r="D1391">
        <v>60</v>
      </c>
      <c r="E1391">
        <v>100</v>
      </c>
      <c r="F1391">
        <v>48</v>
      </c>
      <c r="G1391">
        <v>15.0022079008197</v>
      </c>
      <c r="M1391" t="str">
        <f t="shared" si="120"/>
        <v>Pass</v>
      </c>
      <c r="N1391">
        <f t="shared" si="121"/>
        <v>3.5592204312706599E-6</v>
      </c>
      <c r="O1391">
        <v>70</v>
      </c>
      <c r="P1391">
        <v>60</v>
      </c>
      <c r="Q1391">
        <v>4</v>
      </c>
      <c r="R1391" t="b">
        <v>0</v>
      </c>
      <c r="S1391">
        <v>3.5592205381525001E-6</v>
      </c>
    </row>
    <row r="1392" spans="1:19" x14ac:dyDescent="0.3">
      <c r="A1392" t="str">
        <f>IF(ISBLANK(B1392),"",IF(ROUND(B1392,0)=ROUND(G1392,0),"Pass","Fail"))</f>
        <v>Pass</v>
      </c>
      <c r="B1392">
        <f t="shared" si="119"/>
        <v>17.139999389648438</v>
      </c>
      <c r="C1392">
        <v>10</v>
      </c>
      <c r="D1392">
        <v>70</v>
      </c>
      <c r="E1392">
        <v>0</v>
      </c>
      <c r="F1392">
        <v>0</v>
      </c>
      <c r="G1392">
        <v>17.14</v>
      </c>
      <c r="M1392" t="str">
        <f t="shared" si="120"/>
        <v>Pass</v>
      </c>
      <c r="N1392">
        <f t="shared" si="121"/>
        <v>0</v>
      </c>
      <c r="O1392">
        <v>70</v>
      </c>
      <c r="P1392">
        <v>70</v>
      </c>
      <c r="Q1392">
        <v>0</v>
      </c>
      <c r="R1392" t="b">
        <v>1</v>
      </c>
      <c r="S1392">
        <v>0</v>
      </c>
    </row>
    <row r="1393" spans="1:19" x14ac:dyDescent="0.3">
      <c r="A1393" t="str">
        <f>IF(ISBLANK(B1393),"",IF(ROUND(B1393,0)=ROUND(G1393,0),"Pass","Fail"))</f>
        <v>Pass</v>
      </c>
      <c r="B1393">
        <f t="shared" si="119"/>
        <v>17.139999389648438</v>
      </c>
      <c r="C1393">
        <v>10</v>
      </c>
      <c r="D1393">
        <v>70</v>
      </c>
      <c r="E1393">
        <v>0</v>
      </c>
      <c r="F1393">
        <v>8</v>
      </c>
      <c r="G1393">
        <v>17.14</v>
      </c>
      <c r="M1393" t="str">
        <f t="shared" si="120"/>
        <v>Pass</v>
      </c>
      <c r="N1393">
        <f t="shared" si="121"/>
        <v>0</v>
      </c>
      <c r="O1393">
        <v>70</v>
      </c>
      <c r="P1393">
        <v>70</v>
      </c>
      <c r="Q1393">
        <v>0</v>
      </c>
      <c r="R1393" t="b">
        <v>0</v>
      </c>
      <c r="S1393">
        <v>0</v>
      </c>
    </row>
    <row r="1394" spans="1:19" x14ac:dyDescent="0.3">
      <c r="A1394" t="str">
        <f>IF(ISBLANK(B1394),"",IF(ROUND(B1394,0)=ROUND(G1394,0),"Pass","Fail"))</f>
        <v>Pass</v>
      </c>
      <c r="B1394">
        <f t="shared" si="119"/>
        <v>17.139999389648438</v>
      </c>
      <c r="C1394">
        <v>10</v>
      </c>
      <c r="D1394">
        <v>70</v>
      </c>
      <c r="E1394">
        <v>0</v>
      </c>
      <c r="F1394">
        <v>16</v>
      </c>
      <c r="G1394">
        <v>17.14</v>
      </c>
      <c r="M1394" t="str">
        <f t="shared" si="120"/>
        <v>Pass</v>
      </c>
      <c r="N1394">
        <f t="shared" si="121"/>
        <v>1.9379184479362266E-8</v>
      </c>
      <c r="O1394">
        <v>70</v>
      </c>
      <c r="P1394">
        <v>70</v>
      </c>
      <c r="Q1394">
        <v>0.5</v>
      </c>
      <c r="R1394" t="b">
        <v>1</v>
      </c>
      <c r="S1394">
        <v>1.9379186343476199E-8</v>
      </c>
    </row>
    <row r="1395" spans="1:19" x14ac:dyDescent="0.3">
      <c r="A1395" t="str">
        <f>IF(ISBLANK(B1395),"",IF(ROUND(B1395,0)=ROUND(G1395,0),"Pass","Fail"))</f>
        <v>Pass</v>
      </c>
      <c r="B1395">
        <f t="shared" si="119"/>
        <v>17.139999389648438</v>
      </c>
      <c r="C1395">
        <v>10</v>
      </c>
      <c r="D1395">
        <v>70</v>
      </c>
      <c r="E1395">
        <v>0</v>
      </c>
      <c r="F1395">
        <v>24</v>
      </c>
      <c r="G1395">
        <v>17.14</v>
      </c>
      <c r="M1395" t="str">
        <f t="shared" si="120"/>
        <v>Pass</v>
      </c>
      <c r="N1395">
        <f t="shared" si="121"/>
        <v>4.0660765421307588E-8</v>
      </c>
      <c r="O1395">
        <v>70</v>
      </c>
      <c r="P1395">
        <v>70</v>
      </c>
      <c r="Q1395">
        <v>0.5</v>
      </c>
      <c r="R1395" t="b">
        <v>0</v>
      </c>
      <c r="S1395">
        <v>4.0660765076228403E-8</v>
      </c>
    </row>
    <row r="1396" spans="1:19" x14ac:dyDescent="0.3">
      <c r="A1396" t="str">
        <f>IF(ISBLANK(B1396),"",IF(ROUND(B1396,0)=ROUND(G1396,0),"Pass","Fail"))</f>
        <v>Pass</v>
      </c>
      <c r="B1396">
        <f t="shared" si="119"/>
        <v>17.139999389648438</v>
      </c>
      <c r="C1396">
        <v>10</v>
      </c>
      <c r="D1396">
        <v>70</v>
      </c>
      <c r="E1396">
        <v>0</v>
      </c>
      <c r="F1396">
        <v>32</v>
      </c>
      <c r="G1396">
        <v>17.14</v>
      </c>
      <c r="M1396" t="str">
        <f t="shared" si="120"/>
        <v>Pass</v>
      </c>
      <c r="N1396">
        <f t="shared" si="121"/>
        <v>2.2681373224031631E-8</v>
      </c>
      <c r="O1396">
        <v>70</v>
      </c>
      <c r="P1396">
        <v>70</v>
      </c>
      <c r="Q1396">
        <v>1</v>
      </c>
      <c r="R1396" t="b">
        <v>1</v>
      </c>
      <c r="S1396">
        <v>2.2681373369287399E-8</v>
      </c>
    </row>
    <row r="1397" spans="1:19" x14ac:dyDescent="0.3">
      <c r="A1397" t="str">
        <f>IF(ISBLANK(B1397),"",IF(ROUND(B1397,0)=ROUND(G1397,0),"Pass","Fail"))</f>
        <v>Pass</v>
      </c>
      <c r="B1397">
        <f t="shared" si="119"/>
        <v>17.139999389648438</v>
      </c>
      <c r="C1397">
        <v>10</v>
      </c>
      <c r="D1397">
        <v>70</v>
      </c>
      <c r="E1397">
        <v>0</v>
      </c>
      <c r="F1397">
        <v>40</v>
      </c>
      <c r="G1397">
        <v>17.14</v>
      </c>
      <c r="M1397" t="str">
        <f t="shared" si="120"/>
        <v>Pass</v>
      </c>
      <c r="N1397">
        <f t="shared" si="121"/>
        <v>4.7589306717554791E-8</v>
      </c>
      <c r="O1397">
        <v>70</v>
      </c>
      <c r="P1397">
        <v>70</v>
      </c>
      <c r="Q1397">
        <v>1</v>
      </c>
      <c r="R1397" t="b">
        <v>0</v>
      </c>
      <c r="S1397">
        <v>4.7589304206535201E-8</v>
      </c>
    </row>
    <row r="1398" spans="1:19" x14ac:dyDescent="0.3">
      <c r="A1398" t="str">
        <f>IF(ISBLANK(B1398),"",IF(ROUND(B1398,0)=ROUND(G1398,0),"Pass","Fail"))</f>
        <v>Pass</v>
      </c>
      <c r="B1398">
        <f t="shared" si="119"/>
        <v>17.139999389648438</v>
      </c>
      <c r="C1398">
        <v>10</v>
      </c>
      <c r="D1398">
        <v>70</v>
      </c>
      <c r="E1398">
        <v>0</v>
      </c>
      <c r="F1398">
        <v>48</v>
      </c>
      <c r="G1398">
        <v>17.14</v>
      </c>
      <c r="M1398" t="str">
        <f t="shared" si="120"/>
        <v>Pass</v>
      </c>
      <c r="N1398">
        <f t="shared" si="121"/>
        <v>2.486806849333334E-8</v>
      </c>
      <c r="O1398">
        <v>70</v>
      </c>
      <c r="P1398">
        <v>70</v>
      </c>
      <c r="Q1398">
        <v>1.5</v>
      </c>
      <c r="R1398" t="b">
        <v>1</v>
      </c>
      <c r="S1398">
        <v>2.4868068992906801E-8</v>
      </c>
    </row>
    <row r="1399" spans="1:19" x14ac:dyDescent="0.3">
      <c r="A1399" t="str">
        <f>IF(ISBLANK(B1399),"",IF(ROUND(B1399,0)=ROUND(G1399,0),"Pass","Fail"))</f>
        <v>Pass</v>
      </c>
      <c r="B1399">
        <f t="shared" si="119"/>
        <v>84.267997741699219</v>
      </c>
      <c r="C1399">
        <v>10</v>
      </c>
      <c r="D1399">
        <v>70</v>
      </c>
      <c r="E1399">
        <v>10</v>
      </c>
      <c r="F1399">
        <v>0</v>
      </c>
      <c r="G1399">
        <v>84.267999999998295</v>
      </c>
      <c r="M1399" t="str">
        <f t="shared" si="120"/>
        <v>Pass</v>
      </c>
      <c r="N1399">
        <f t="shared" si="121"/>
        <v>5.2177355769345013E-8</v>
      </c>
      <c r="O1399">
        <v>70</v>
      </c>
      <c r="P1399">
        <v>70</v>
      </c>
      <c r="Q1399">
        <v>1.5</v>
      </c>
      <c r="R1399" t="b">
        <v>0</v>
      </c>
      <c r="S1399">
        <v>5.2177356329535401E-8</v>
      </c>
    </row>
    <row r="1400" spans="1:19" x14ac:dyDescent="0.3">
      <c r="A1400" t="str">
        <f>IF(ISBLANK(B1400),"",IF(ROUND(B1400,0)=ROUND(G1400,0),"Pass","Fail"))</f>
        <v>Pass</v>
      </c>
      <c r="B1400">
        <f t="shared" si="119"/>
        <v>50.931228637695313</v>
      </c>
      <c r="C1400">
        <v>10</v>
      </c>
      <c r="D1400">
        <v>70</v>
      </c>
      <c r="E1400">
        <v>10</v>
      </c>
      <c r="F1400">
        <v>8</v>
      </c>
      <c r="G1400">
        <v>50.9312280807222</v>
      </c>
      <c r="M1400" t="str">
        <f t="shared" si="120"/>
        <v>Pass</v>
      </c>
      <c r="N1400">
        <f t="shared" si="121"/>
        <v>2.6546247866576778E-8</v>
      </c>
      <c r="O1400">
        <v>70</v>
      </c>
      <c r="P1400">
        <v>70</v>
      </c>
      <c r="Q1400">
        <v>2</v>
      </c>
      <c r="R1400" t="b">
        <v>1</v>
      </c>
      <c r="S1400">
        <v>2.6546248578192E-8</v>
      </c>
    </row>
    <row r="1401" spans="1:19" x14ac:dyDescent="0.3">
      <c r="A1401" t="str">
        <f>IF(ISBLANK(B1401),"",IF(ROUND(B1401,0)=ROUND(G1401,0),"Pass","Fail"))</f>
        <v>Pass</v>
      </c>
      <c r="B1401">
        <f t="shared" si="119"/>
        <v>34.149993896484375</v>
      </c>
      <c r="C1401">
        <v>10</v>
      </c>
      <c r="D1401">
        <v>70</v>
      </c>
      <c r="E1401">
        <v>10</v>
      </c>
      <c r="F1401">
        <v>16</v>
      </c>
      <c r="G1401">
        <v>34.149997247101297</v>
      </c>
      <c r="M1401" t="str">
        <f t="shared" si="120"/>
        <v>Pass</v>
      </c>
      <c r="N1401">
        <f t="shared" si="121"/>
        <v>5.5698457401831547E-8</v>
      </c>
      <c r="O1401">
        <v>70</v>
      </c>
      <c r="P1401">
        <v>70</v>
      </c>
      <c r="Q1401">
        <v>2</v>
      </c>
      <c r="R1401" t="b">
        <v>0</v>
      </c>
      <c r="S1401">
        <v>5.5698456992049799E-8</v>
      </c>
    </row>
    <row r="1402" spans="1:19" x14ac:dyDescent="0.3">
      <c r="A1402" t="str">
        <f>IF(ISBLANK(B1402),"",IF(ROUND(B1402,0)=ROUND(G1402,0),"Pass","Fail"))</f>
        <v>Pass</v>
      </c>
      <c r="B1402">
        <f t="shared" si="119"/>
        <v>25.70257568359375</v>
      </c>
      <c r="C1402">
        <v>10</v>
      </c>
      <c r="D1402">
        <v>70</v>
      </c>
      <c r="E1402">
        <v>10</v>
      </c>
      <c r="F1402">
        <v>24</v>
      </c>
      <c r="G1402">
        <v>25.702577413736002</v>
      </c>
      <c r="M1402" t="str">
        <f t="shared" si="120"/>
        <v>Pass</v>
      </c>
      <c r="N1402">
        <f t="shared" si="121"/>
        <v>2.7925548096163766E-8</v>
      </c>
      <c r="O1402">
        <v>70</v>
      </c>
      <c r="P1402">
        <v>70</v>
      </c>
      <c r="Q1402">
        <v>2.5</v>
      </c>
      <c r="R1402" t="b">
        <v>1</v>
      </c>
      <c r="S1402">
        <v>2.7925549636646199E-8</v>
      </c>
    </row>
    <row r="1403" spans="1:19" x14ac:dyDescent="0.3">
      <c r="A1403" t="str">
        <f>IF(ISBLANK(B1403),"",IF(ROUND(B1403,0)=ROUND(G1403,0),"Pass","Fail"))</f>
        <v>Pass</v>
      </c>
      <c r="B1403">
        <f t="shared" si="119"/>
        <v>21.450271606445313</v>
      </c>
      <c r="C1403">
        <v>10</v>
      </c>
      <c r="D1403">
        <v>70</v>
      </c>
      <c r="E1403">
        <v>10</v>
      </c>
      <c r="F1403">
        <v>32</v>
      </c>
      <c r="G1403">
        <v>21.4502730059945</v>
      </c>
      <c r="M1403" t="str">
        <f t="shared" si="120"/>
        <v>Pass</v>
      </c>
      <c r="N1403">
        <f t="shared" si="121"/>
        <v>5.8592458884731968E-8</v>
      </c>
      <c r="O1403">
        <v>70</v>
      </c>
      <c r="P1403">
        <v>70</v>
      </c>
      <c r="Q1403">
        <v>2.5</v>
      </c>
      <c r="R1403" t="b">
        <v>0</v>
      </c>
      <c r="S1403">
        <v>5.8592460657280098E-8</v>
      </c>
    </row>
    <row r="1404" spans="1:19" x14ac:dyDescent="0.3">
      <c r="A1404" t="str">
        <f>IF(ISBLANK(B1404),"",IF(ROUND(B1404,0)=ROUND(G1404,0),"Pass","Fail"))</f>
        <v>Pass</v>
      </c>
      <c r="B1404">
        <f t="shared" si="119"/>
        <v>19.309726715087891</v>
      </c>
      <c r="C1404">
        <v>10</v>
      </c>
      <c r="D1404">
        <v>70</v>
      </c>
      <c r="E1404">
        <v>10</v>
      </c>
      <c r="F1404">
        <v>40</v>
      </c>
      <c r="G1404">
        <v>19.309726764326999</v>
      </c>
      <c r="M1404" t="str">
        <f t="shared" si="120"/>
        <v>Pass</v>
      </c>
      <c r="N1404">
        <f t="shared" si="121"/>
        <v>2.9105553522867922E-8</v>
      </c>
      <c r="O1404">
        <v>70</v>
      </c>
      <c r="P1404">
        <v>70</v>
      </c>
      <c r="Q1404">
        <v>3</v>
      </c>
      <c r="R1404" t="b">
        <v>1</v>
      </c>
      <c r="S1404">
        <v>2.9105554165394502E-8</v>
      </c>
    </row>
    <row r="1405" spans="1:19" x14ac:dyDescent="0.3">
      <c r="A1405" t="str">
        <f>IF(ISBLANK(B1405),"",IF(ROUND(B1405,0)=ROUND(G1405,0),"Pass","Fail"))</f>
        <v>Pass</v>
      </c>
      <c r="B1405">
        <f t="shared" si="119"/>
        <v>18.232208251953125</v>
      </c>
      <c r="C1405">
        <v>10</v>
      </c>
      <c r="D1405">
        <v>70</v>
      </c>
      <c r="E1405">
        <v>10</v>
      </c>
      <c r="F1405">
        <v>48</v>
      </c>
      <c r="G1405">
        <v>18.232207900819699</v>
      </c>
      <c r="M1405" t="str">
        <f t="shared" si="120"/>
        <v>Pass</v>
      </c>
      <c r="N1405">
        <f t="shared" si="121"/>
        <v>6.1068313073064928E-8</v>
      </c>
      <c r="O1405">
        <v>70</v>
      </c>
      <c r="P1405">
        <v>70</v>
      </c>
      <c r="Q1405">
        <v>3</v>
      </c>
      <c r="R1405" t="b">
        <v>0</v>
      </c>
      <c r="S1405">
        <v>6.1068306963823795E-8</v>
      </c>
    </row>
    <row r="1406" spans="1:19" x14ac:dyDescent="0.3">
      <c r="A1406" t="str">
        <f>IF(ISBLANK(B1406),"",IF(ROUND(B1406,0)=ROUND(G1406,0),"Pass","Fail"))</f>
        <v>Pass</v>
      </c>
      <c r="B1406">
        <f t="shared" si="119"/>
        <v>84.267997741699219</v>
      </c>
      <c r="C1406">
        <v>10</v>
      </c>
      <c r="D1406">
        <v>70</v>
      </c>
      <c r="E1406">
        <v>20</v>
      </c>
      <c r="F1406">
        <v>0</v>
      </c>
      <c r="G1406">
        <v>84.268000000000001</v>
      </c>
      <c r="M1406" t="str">
        <f t="shared" si="120"/>
        <v>Pass</v>
      </c>
      <c r="N1406">
        <f t="shared" si="121"/>
        <v>3.014205063323061E-8</v>
      </c>
      <c r="O1406">
        <v>70</v>
      </c>
      <c r="P1406">
        <v>70</v>
      </c>
      <c r="Q1406">
        <v>3.5</v>
      </c>
      <c r="R1406" t="b">
        <v>1</v>
      </c>
      <c r="S1406">
        <v>3.0142050550544697E-8</v>
      </c>
    </row>
    <row r="1407" spans="1:19" x14ac:dyDescent="0.3">
      <c r="A1407" t="str">
        <f>IF(ISBLANK(B1407),"",IF(ROUND(B1407,0)=ROUND(G1407,0),"Pass","Fail"))</f>
        <v>Pass</v>
      </c>
      <c r="B1407">
        <f t="shared" si="119"/>
        <v>50.931228637695313</v>
      </c>
      <c r="C1407">
        <v>10</v>
      </c>
      <c r="D1407">
        <v>70</v>
      </c>
      <c r="E1407">
        <v>20</v>
      </c>
      <c r="F1407">
        <v>8</v>
      </c>
      <c r="G1407">
        <v>50.931228080723002</v>
      </c>
      <c r="M1407" t="str">
        <f t="shared" si="120"/>
        <v>Pass</v>
      </c>
      <c r="N1407">
        <f t="shared" si="121"/>
        <v>6.3243049908123794E-8</v>
      </c>
      <c r="O1407">
        <v>70</v>
      </c>
      <c r="P1407">
        <v>70</v>
      </c>
      <c r="Q1407">
        <v>3.5</v>
      </c>
      <c r="R1407" t="b">
        <v>0</v>
      </c>
      <c r="S1407">
        <v>6.3243049250315095E-8</v>
      </c>
    </row>
    <row r="1408" spans="1:19" x14ac:dyDescent="0.3">
      <c r="A1408" t="str">
        <f>IF(ISBLANK(B1408),"",IF(ROUND(B1408,0)=ROUND(G1408,0),"Pass","Fail"))</f>
        <v>Pass</v>
      </c>
      <c r="B1408">
        <f t="shared" si="119"/>
        <v>34.149993896484375</v>
      </c>
      <c r="C1408">
        <v>10</v>
      </c>
      <c r="D1408">
        <v>70</v>
      </c>
      <c r="E1408">
        <v>20</v>
      </c>
      <c r="F1408">
        <v>16</v>
      </c>
      <c r="G1408">
        <v>34.149997247101702</v>
      </c>
      <c r="M1408" t="str">
        <f t="shared" si="120"/>
        <v>Pass</v>
      </c>
      <c r="N1408">
        <f t="shared" si="121"/>
        <v>3.1069692596474852E-8</v>
      </c>
      <c r="O1408">
        <v>70</v>
      </c>
      <c r="P1408">
        <v>70</v>
      </c>
      <c r="Q1408">
        <v>4</v>
      </c>
      <c r="R1408" t="b">
        <v>1</v>
      </c>
      <c r="S1408">
        <v>3.1069693272162702E-8</v>
      </c>
    </row>
    <row r="1409" spans="1:19" x14ac:dyDescent="0.3">
      <c r="A1409" t="str">
        <f>IF(ISBLANK(B1409),"",IF(ROUND(B1409,0)=ROUND(G1409,0),"Pass","Fail"))</f>
        <v>Pass</v>
      </c>
      <c r="B1409">
        <f t="shared" si="119"/>
        <v>25.70257568359375</v>
      </c>
      <c r="C1409">
        <v>10</v>
      </c>
      <c r="D1409">
        <v>70</v>
      </c>
      <c r="E1409">
        <v>20</v>
      </c>
      <c r="F1409">
        <v>24</v>
      </c>
      <c r="G1409">
        <v>25.702577413736201</v>
      </c>
      <c r="M1409" t="str">
        <f t="shared" si="120"/>
        <v>Pass</v>
      </c>
      <c r="N1409">
        <f t="shared" si="121"/>
        <v>6.5189396991627291E-8</v>
      </c>
      <c r="O1409">
        <v>70</v>
      </c>
      <c r="P1409">
        <v>70</v>
      </c>
      <c r="Q1409">
        <v>4</v>
      </c>
      <c r="R1409" t="b">
        <v>0</v>
      </c>
      <c r="S1409">
        <v>6.5189398395726001E-8</v>
      </c>
    </row>
    <row r="1410" spans="1:19" x14ac:dyDescent="0.3">
      <c r="A1410" t="str">
        <f>IF(ISBLANK(B1410),"",IF(ROUND(B1410,0)=ROUND(G1410,0),"Pass","Fail"))</f>
        <v>Pass</v>
      </c>
      <c r="B1410">
        <f t="shared" si="119"/>
        <v>21.450271606445313</v>
      </c>
      <c r="C1410">
        <v>10</v>
      </c>
      <c r="D1410">
        <v>70</v>
      </c>
      <c r="E1410">
        <v>20</v>
      </c>
      <c r="F1410">
        <v>32</v>
      </c>
      <c r="G1410">
        <v>21.4502730059946</v>
      </c>
      <c r="M1410" t="str">
        <f t="shared" si="120"/>
        <v>Pass</v>
      </c>
      <c r="N1410">
        <f t="shared" si="121"/>
        <v>0</v>
      </c>
      <c r="O1410">
        <v>70</v>
      </c>
      <c r="P1410">
        <v>80</v>
      </c>
      <c r="Q1410">
        <v>0</v>
      </c>
      <c r="R1410" t="b">
        <v>1</v>
      </c>
      <c r="S1410">
        <v>0</v>
      </c>
    </row>
    <row r="1411" spans="1:19" x14ac:dyDescent="0.3">
      <c r="A1411" t="str">
        <f>IF(ISBLANK(B1411),"",IF(ROUND(B1411,0)=ROUND(G1411,0),"Pass","Fail"))</f>
        <v>Pass</v>
      </c>
      <c r="B1411">
        <f t="shared" si="119"/>
        <v>19.309726715087891</v>
      </c>
      <c r="C1411">
        <v>10</v>
      </c>
      <c r="D1411">
        <v>70</v>
      </c>
      <c r="E1411">
        <v>20</v>
      </c>
      <c r="F1411">
        <v>40</v>
      </c>
      <c r="G1411">
        <v>19.309726764327099</v>
      </c>
      <c r="M1411" t="str">
        <f t="shared" si="120"/>
        <v>Pass</v>
      </c>
      <c r="N1411">
        <f t="shared" si="121"/>
        <v>0</v>
      </c>
      <c r="O1411">
        <v>70</v>
      </c>
      <c r="P1411">
        <v>80</v>
      </c>
      <c r="Q1411">
        <v>0</v>
      </c>
      <c r="R1411" t="b">
        <v>0</v>
      </c>
      <c r="S1411">
        <v>0</v>
      </c>
    </row>
    <row r="1412" spans="1:19" x14ac:dyDescent="0.3">
      <c r="A1412" t="str">
        <f>IF(ISBLANK(B1412),"",IF(ROUND(B1412,0)=ROUND(G1412,0),"Pass","Fail"))</f>
        <v>Pass</v>
      </c>
      <c r="B1412">
        <f t="shared" si="119"/>
        <v>18.232208251953125</v>
      </c>
      <c r="C1412">
        <v>10</v>
      </c>
      <c r="D1412">
        <v>70</v>
      </c>
      <c r="E1412">
        <v>20</v>
      </c>
      <c r="F1412">
        <v>48</v>
      </c>
      <c r="G1412">
        <v>18.232207900819699</v>
      </c>
      <c r="M1412" t="str">
        <f t="shared" si="120"/>
        <v>Pass</v>
      </c>
      <c r="N1412">
        <f t="shared" si="121"/>
        <v>3.5494215899767312E-10</v>
      </c>
      <c r="O1412">
        <v>70</v>
      </c>
      <c r="P1412">
        <v>80</v>
      </c>
      <c r="Q1412">
        <v>0.5</v>
      </c>
      <c r="R1412" t="b">
        <v>1</v>
      </c>
      <c r="S1412">
        <v>3.5494217905387398E-10</v>
      </c>
    </row>
    <row r="1413" spans="1:19" x14ac:dyDescent="0.3">
      <c r="A1413" t="str">
        <f>IF(ISBLANK(B1413),"",IF(ROUND(B1413,0)=ROUND(G1413,0),"Pass","Fail"))</f>
        <v>Pass</v>
      </c>
      <c r="B1413">
        <f t="shared" si="119"/>
        <v>84.267997741699219</v>
      </c>
      <c r="C1413">
        <v>10</v>
      </c>
      <c r="D1413">
        <v>70</v>
      </c>
      <c r="E1413">
        <v>30</v>
      </c>
      <c r="F1413">
        <v>0</v>
      </c>
      <c r="G1413">
        <v>84.268000000000001</v>
      </c>
      <c r="M1413" t="str">
        <f t="shared" si="120"/>
        <v>Pass</v>
      </c>
      <c r="N1413">
        <f t="shared" si="121"/>
        <v>7.4472794597824077E-10</v>
      </c>
      <c r="O1413">
        <v>70</v>
      </c>
      <c r="P1413">
        <v>80</v>
      </c>
      <c r="Q1413">
        <v>0.5</v>
      </c>
      <c r="R1413" t="b">
        <v>0</v>
      </c>
      <c r="S1413">
        <v>7.4472789013727898E-10</v>
      </c>
    </row>
    <row r="1414" spans="1:19" x14ac:dyDescent="0.3">
      <c r="A1414" t="str">
        <f>IF(ISBLANK(B1414),"",IF(ROUND(B1414,0)=ROUND(G1414,0),"Pass","Fail"))</f>
        <v>Pass</v>
      </c>
      <c r="B1414">
        <f t="shared" si="119"/>
        <v>50.931228637695313</v>
      </c>
      <c r="C1414">
        <v>10</v>
      </c>
      <c r="D1414">
        <v>70</v>
      </c>
      <c r="E1414">
        <v>30</v>
      </c>
      <c r="F1414">
        <v>8</v>
      </c>
      <c r="G1414">
        <v>50.931228080723002</v>
      </c>
      <c r="M1414" t="str">
        <f t="shared" si="120"/>
        <v>Pass</v>
      </c>
      <c r="N1414">
        <f t="shared" si="121"/>
        <v>4.15423834221329E-10</v>
      </c>
      <c r="O1414">
        <v>70</v>
      </c>
      <c r="P1414">
        <v>80</v>
      </c>
      <c r="Q1414">
        <v>1</v>
      </c>
      <c r="R1414" t="b">
        <v>1</v>
      </c>
      <c r="S1414">
        <v>4.1542384416668498E-10</v>
      </c>
    </row>
    <row r="1415" spans="1:19" x14ac:dyDescent="0.3">
      <c r="A1415" t="str">
        <f>IF(ISBLANK(B1415),"",IF(ROUND(B1415,0)=ROUND(G1415,0),"Pass","Fail"))</f>
        <v>Pass</v>
      </c>
      <c r="B1415">
        <f t="shared" ref="B1415:B1478" si="122">FMC_heath(C1415,D1415,E1415,F1415)</f>
        <v>34.149993896484375</v>
      </c>
      <c r="C1415">
        <v>10</v>
      </c>
      <c r="D1415">
        <v>70</v>
      </c>
      <c r="E1415">
        <v>30</v>
      </c>
      <c r="F1415">
        <v>16</v>
      </c>
      <c r="G1415">
        <v>34.149997247101702</v>
      </c>
      <c r="M1415" t="str">
        <f t="shared" ref="M1415:M1445" si="123">IF(ISBLANK(N1415),"",IF(ROUND(N1415,0)=ROUND(S1415,0),"Pass","Fail"))</f>
        <v>Pass</v>
      </c>
      <c r="N1415">
        <f t="shared" ref="N1415:N1445" si="124">ROS_heath(O1415,Q1415,P1415,R1415)</f>
        <v>8.7162860262779418E-10</v>
      </c>
      <c r="O1415">
        <v>70</v>
      </c>
      <c r="P1415">
        <v>80</v>
      </c>
      <c r="Q1415">
        <v>1</v>
      </c>
      <c r="R1415" t="b">
        <v>0</v>
      </c>
      <c r="S1415">
        <v>8.7162851088490903E-10</v>
      </c>
    </row>
    <row r="1416" spans="1:19" x14ac:dyDescent="0.3">
      <c r="A1416" t="str">
        <f>IF(ISBLANK(B1416),"",IF(ROUND(B1416,0)=ROUND(G1416,0),"Pass","Fail"))</f>
        <v>Pass</v>
      </c>
      <c r="B1416">
        <f t="shared" si="122"/>
        <v>25.70257568359375</v>
      </c>
      <c r="C1416">
        <v>10</v>
      </c>
      <c r="D1416">
        <v>70</v>
      </c>
      <c r="E1416">
        <v>30</v>
      </c>
      <c r="F1416">
        <v>24</v>
      </c>
      <c r="G1416">
        <v>25.702577413736201</v>
      </c>
      <c r="M1416" t="str">
        <f t="shared" si="123"/>
        <v>Pass</v>
      </c>
      <c r="N1416">
        <f t="shared" si="124"/>
        <v>4.554745469675936E-10</v>
      </c>
      <c r="O1416">
        <v>70</v>
      </c>
      <c r="P1416">
        <v>80</v>
      </c>
      <c r="Q1416">
        <v>1.5</v>
      </c>
      <c r="R1416" t="b">
        <v>1</v>
      </c>
      <c r="S1416">
        <v>4.5547457157177502E-10</v>
      </c>
    </row>
    <row r="1417" spans="1:19" x14ac:dyDescent="0.3">
      <c r="A1417" t="str">
        <f>IF(ISBLANK(B1417),"",IF(ROUND(B1417,0)=ROUND(G1417,0),"Pass","Fail"))</f>
        <v>Pass</v>
      </c>
      <c r="B1417">
        <f t="shared" si="122"/>
        <v>21.450271606445313</v>
      </c>
      <c r="C1417">
        <v>10</v>
      </c>
      <c r="D1417">
        <v>70</v>
      </c>
      <c r="E1417">
        <v>30</v>
      </c>
      <c r="F1417">
        <v>32</v>
      </c>
      <c r="G1417">
        <v>21.4502730059946</v>
      </c>
      <c r="M1417" t="str">
        <f t="shared" si="123"/>
        <v>Pass</v>
      </c>
      <c r="N1417">
        <f t="shared" si="124"/>
        <v>9.5566166091742843E-10</v>
      </c>
      <c r="O1417">
        <v>70</v>
      </c>
      <c r="P1417">
        <v>80</v>
      </c>
      <c r="Q1417">
        <v>1.5</v>
      </c>
      <c r="R1417" t="b">
        <v>0</v>
      </c>
      <c r="S1417">
        <v>9.5566161677940099E-10</v>
      </c>
    </row>
    <row r="1418" spans="1:19" x14ac:dyDescent="0.3">
      <c r="A1418" t="str">
        <f>IF(ISBLANK(B1418),"",IF(ROUND(B1418,0)=ROUND(G1418,0),"Pass","Fail"))</f>
        <v>Pass</v>
      </c>
      <c r="B1418">
        <f t="shared" si="122"/>
        <v>19.309726715087891</v>
      </c>
      <c r="C1418">
        <v>10</v>
      </c>
      <c r="D1418">
        <v>70</v>
      </c>
      <c r="E1418">
        <v>30</v>
      </c>
      <c r="F1418">
        <v>40</v>
      </c>
      <c r="G1418">
        <v>19.309726764327099</v>
      </c>
      <c r="M1418" t="str">
        <f t="shared" si="123"/>
        <v>Pass</v>
      </c>
      <c r="N1418">
        <f t="shared" si="124"/>
        <v>4.8621145998239967E-10</v>
      </c>
      <c r="O1418">
        <v>70</v>
      </c>
      <c r="P1418">
        <v>80</v>
      </c>
      <c r="Q1418">
        <v>2</v>
      </c>
      <c r="R1418" t="b">
        <v>1</v>
      </c>
      <c r="S1418">
        <v>4.8621150284884E-10</v>
      </c>
    </row>
    <row r="1419" spans="1:19" x14ac:dyDescent="0.3">
      <c r="A1419" t="str">
        <f>IF(ISBLANK(B1419),"",IF(ROUND(B1419,0)=ROUND(G1419,0),"Pass","Fail"))</f>
        <v>Pass</v>
      </c>
      <c r="B1419">
        <f t="shared" si="122"/>
        <v>18.232208251953125</v>
      </c>
      <c r="C1419">
        <v>10</v>
      </c>
      <c r="D1419">
        <v>70</v>
      </c>
      <c r="E1419">
        <v>30</v>
      </c>
      <c r="F1419">
        <v>48</v>
      </c>
      <c r="G1419">
        <v>18.232207900819699</v>
      </c>
      <c r="M1419" t="str">
        <f t="shared" si="123"/>
        <v>Pass</v>
      </c>
      <c r="N1419">
        <f t="shared" si="124"/>
        <v>1.0201528510833668E-9</v>
      </c>
      <c r="O1419">
        <v>70</v>
      </c>
      <c r="P1419">
        <v>80</v>
      </c>
      <c r="Q1419">
        <v>2</v>
      </c>
      <c r="R1419" t="b">
        <v>0</v>
      </c>
      <c r="S1419">
        <v>1.02015282501021E-9</v>
      </c>
    </row>
    <row r="1420" spans="1:19" x14ac:dyDescent="0.3">
      <c r="A1420" t="str">
        <f>IF(ISBLANK(B1420),"",IF(ROUND(B1420,0)=ROUND(G1420,0),"Pass","Fail"))</f>
        <v>Pass</v>
      </c>
      <c r="B1420">
        <f t="shared" si="122"/>
        <v>84.267997741699219</v>
      </c>
      <c r="C1420">
        <v>10</v>
      </c>
      <c r="D1420">
        <v>70</v>
      </c>
      <c r="E1420">
        <v>40</v>
      </c>
      <c r="F1420">
        <v>0</v>
      </c>
      <c r="G1420">
        <v>84.268000000000001</v>
      </c>
      <c r="M1420" t="str">
        <f t="shared" si="123"/>
        <v>Pass</v>
      </c>
      <c r="N1420">
        <f t="shared" si="124"/>
        <v>5.1147425184083772E-10</v>
      </c>
      <c r="O1420">
        <v>70</v>
      </c>
      <c r="P1420">
        <v>80</v>
      </c>
      <c r="Q1420">
        <v>2.5</v>
      </c>
      <c r="R1420" t="b">
        <v>1</v>
      </c>
      <c r="S1420">
        <v>5.1147428295641995E-10</v>
      </c>
    </row>
    <row r="1421" spans="1:19" x14ac:dyDescent="0.3">
      <c r="A1421" t="str">
        <f>IF(ISBLANK(B1421),"",IF(ROUND(B1421,0)=ROUND(G1421,0),"Pass","Fail"))</f>
        <v>Pass</v>
      </c>
      <c r="B1421">
        <f t="shared" si="122"/>
        <v>50.931228637695313</v>
      </c>
      <c r="C1421">
        <v>10</v>
      </c>
      <c r="D1421">
        <v>70</v>
      </c>
      <c r="E1421">
        <v>40</v>
      </c>
      <c r="F1421">
        <v>8</v>
      </c>
      <c r="G1421">
        <v>50.931228080723002</v>
      </c>
      <c r="M1421" t="str">
        <f t="shared" si="123"/>
        <v>Pass</v>
      </c>
      <c r="N1421">
        <f t="shared" si="124"/>
        <v>1.0731583399703482E-9</v>
      </c>
      <c r="O1421">
        <v>70</v>
      </c>
      <c r="P1421">
        <v>80</v>
      </c>
      <c r="Q1421">
        <v>2.5</v>
      </c>
      <c r="R1421" t="b">
        <v>0</v>
      </c>
      <c r="S1421">
        <v>1.07315835108961E-9</v>
      </c>
    </row>
    <row r="1422" spans="1:19" x14ac:dyDescent="0.3">
      <c r="A1422" t="str">
        <f>IF(ISBLANK(B1422),"",IF(ROUND(B1422,0)=ROUND(G1422,0),"Pass","Fail"))</f>
        <v>Pass</v>
      </c>
      <c r="B1422">
        <f t="shared" si="122"/>
        <v>34.149993896484375</v>
      </c>
      <c r="C1422">
        <v>10</v>
      </c>
      <c r="D1422">
        <v>70</v>
      </c>
      <c r="E1422">
        <v>40</v>
      </c>
      <c r="F1422">
        <v>16</v>
      </c>
      <c r="G1422">
        <v>34.149997247101702</v>
      </c>
      <c r="M1422" t="str">
        <f t="shared" si="123"/>
        <v>Pass</v>
      </c>
      <c r="N1422">
        <f t="shared" si="124"/>
        <v>5.3308679692776195E-10</v>
      </c>
      <c r="O1422">
        <v>70</v>
      </c>
      <c r="P1422">
        <v>80</v>
      </c>
      <c r="Q1422">
        <v>3</v>
      </c>
      <c r="R1422" t="b">
        <v>1</v>
      </c>
      <c r="S1422">
        <v>5.3308681979382696E-10</v>
      </c>
    </row>
    <row r="1423" spans="1:19" x14ac:dyDescent="0.3">
      <c r="A1423" t="str">
        <f>IF(ISBLANK(B1423),"",IF(ROUND(B1423,0)=ROUND(G1423,0),"Pass","Fail"))</f>
        <v>Pass</v>
      </c>
      <c r="B1423">
        <f t="shared" si="122"/>
        <v>25.70257568359375</v>
      </c>
      <c r="C1423">
        <v>10</v>
      </c>
      <c r="D1423">
        <v>70</v>
      </c>
      <c r="E1423">
        <v>40</v>
      </c>
      <c r="F1423">
        <v>24</v>
      </c>
      <c r="G1423">
        <v>25.702577413736201</v>
      </c>
      <c r="M1423" t="str">
        <f t="shared" si="123"/>
        <v>Pass</v>
      </c>
      <c r="N1423">
        <f t="shared" si="124"/>
        <v>1.1185050663442553E-9</v>
      </c>
      <c r="O1423">
        <v>70</v>
      </c>
      <c r="P1423">
        <v>80</v>
      </c>
      <c r="Q1423">
        <v>3</v>
      </c>
      <c r="R1423" t="b">
        <v>0</v>
      </c>
      <c r="S1423">
        <v>1.1185050579880201E-9</v>
      </c>
    </row>
    <row r="1424" spans="1:19" x14ac:dyDescent="0.3">
      <c r="A1424" t="str">
        <f>IF(ISBLANK(B1424),"",IF(ROUND(B1424,0)=ROUND(G1424,0),"Pass","Fail"))</f>
        <v>Pass</v>
      </c>
      <c r="B1424">
        <f t="shared" si="122"/>
        <v>21.450271606445313</v>
      </c>
      <c r="C1424">
        <v>10</v>
      </c>
      <c r="D1424">
        <v>70</v>
      </c>
      <c r="E1424">
        <v>40</v>
      </c>
      <c r="F1424">
        <v>32</v>
      </c>
      <c r="G1424">
        <v>21.4502730059946</v>
      </c>
      <c r="M1424" t="str">
        <f t="shared" si="123"/>
        <v>Pass</v>
      </c>
      <c r="N1424">
        <f t="shared" si="124"/>
        <v>5.5207088900388612E-10</v>
      </c>
      <c r="O1424">
        <v>70</v>
      </c>
      <c r="P1424">
        <v>80</v>
      </c>
      <c r="Q1424">
        <v>3.5</v>
      </c>
      <c r="R1424" t="b">
        <v>1</v>
      </c>
      <c r="S1424">
        <v>5.5207091329528196E-10</v>
      </c>
    </row>
    <row r="1425" spans="1:19" x14ac:dyDescent="0.3">
      <c r="A1425" t="str">
        <f>IF(ISBLANK(B1425),"",IF(ROUND(B1425,0)=ROUND(G1425,0),"Pass","Fail"))</f>
        <v>Pass</v>
      </c>
      <c r="B1425">
        <f t="shared" si="122"/>
        <v>19.309726715087891</v>
      </c>
      <c r="C1425">
        <v>10</v>
      </c>
      <c r="D1425">
        <v>70</v>
      </c>
      <c r="E1425">
        <v>40</v>
      </c>
      <c r="F1425">
        <v>40</v>
      </c>
      <c r="G1425">
        <v>19.309726764327099</v>
      </c>
      <c r="M1425" t="str">
        <f t="shared" si="123"/>
        <v>Pass</v>
      </c>
      <c r="N1425">
        <f t="shared" si="124"/>
        <v>1.1583368708656394E-9</v>
      </c>
      <c r="O1425">
        <v>70</v>
      </c>
      <c r="P1425">
        <v>80</v>
      </c>
      <c r="Q1425">
        <v>3.5</v>
      </c>
      <c r="R1425" t="b">
        <v>0</v>
      </c>
      <c r="S1425">
        <v>1.1583368523867401E-9</v>
      </c>
    </row>
    <row r="1426" spans="1:19" x14ac:dyDescent="0.3">
      <c r="A1426" t="str">
        <f>IF(ISBLANK(B1426),"",IF(ROUND(B1426,0)=ROUND(G1426,0),"Pass","Fail"))</f>
        <v>Pass</v>
      </c>
      <c r="B1426">
        <f t="shared" si="122"/>
        <v>18.232208251953125</v>
      </c>
      <c r="C1426">
        <v>10</v>
      </c>
      <c r="D1426">
        <v>70</v>
      </c>
      <c r="E1426">
        <v>40</v>
      </c>
      <c r="F1426">
        <v>48</v>
      </c>
      <c r="G1426">
        <v>18.232207900819699</v>
      </c>
      <c r="M1426" t="str">
        <f t="shared" si="123"/>
        <v>Pass</v>
      </c>
      <c r="N1426">
        <f t="shared" si="124"/>
        <v>5.6906124257238844E-10</v>
      </c>
      <c r="O1426">
        <v>70</v>
      </c>
      <c r="P1426">
        <v>80</v>
      </c>
      <c r="Q1426">
        <v>4</v>
      </c>
      <c r="R1426" t="b">
        <v>1</v>
      </c>
      <c r="S1426">
        <v>5.6906128240360096E-10</v>
      </c>
    </row>
    <row r="1427" spans="1:19" x14ac:dyDescent="0.3">
      <c r="A1427" t="str">
        <f>IF(ISBLANK(B1427),"",IF(ROUND(B1427,0)=ROUND(G1427,0),"Pass","Fail"))</f>
        <v>Pass</v>
      </c>
      <c r="B1427">
        <f t="shared" si="122"/>
        <v>84.267997741699219</v>
      </c>
      <c r="C1427">
        <v>10</v>
      </c>
      <c r="D1427">
        <v>70</v>
      </c>
      <c r="E1427">
        <v>50</v>
      </c>
      <c r="F1427">
        <v>0</v>
      </c>
      <c r="G1427">
        <v>84.268000000000001</v>
      </c>
      <c r="M1427" t="str">
        <f t="shared" si="123"/>
        <v>Pass</v>
      </c>
      <c r="N1427">
        <f t="shared" si="124"/>
        <v>1.1939854660525384E-9</v>
      </c>
      <c r="O1427">
        <v>70</v>
      </c>
      <c r="P1427">
        <v>80</v>
      </c>
      <c r="Q1427">
        <v>4</v>
      </c>
      <c r="R1427" t="b">
        <v>0</v>
      </c>
      <c r="S1427">
        <v>1.19398548048842E-9</v>
      </c>
    </row>
    <row r="1428" spans="1:19" x14ac:dyDescent="0.3">
      <c r="A1428" t="str">
        <f>IF(ISBLANK(B1428),"",IF(ROUND(B1428,0)=ROUND(G1428,0),"Pass","Fail"))</f>
        <v>Pass</v>
      </c>
      <c r="B1428">
        <f t="shared" si="122"/>
        <v>50.931228637695313</v>
      </c>
      <c r="C1428">
        <v>10</v>
      </c>
      <c r="D1428">
        <v>70</v>
      </c>
      <c r="E1428">
        <v>50</v>
      </c>
      <c r="F1428">
        <v>8</v>
      </c>
      <c r="G1428">
        <v>50.931228080723002</v>
      </c>
      <c r="M1428" t="str">
        <f t="shared" si="123"/>
        <v>Pass</v>
      </c>
      <c r="N1428">
        <f t="shared" si="124"/>
        <v>0</v>
      </c>
      <c r="O1428">
        <v>70</v>
      </c>
      <c r="P1428">
        <v>90</v>
      </c>
      <c r="Q1428">
        <v>0</v>
      </c>
      <c r="R1428" t="b">
        <v>1</v>
      </c>
      <c r="S1428">
        <v>0</v>
      </c>
    </row>
    <row r="1429" spans="1:19" x14ac:dyDescent="0.3">
      <c r="A1429" t="str">
        <f>IF(ISBLANK(B1429),"",IF(ROUND(B1429,0)=ROUND(G1429,0),"Pass","Fail"))</f>
        <v>Pass</v>
      </c>
      <c r="B1429">
        <f t="shared" si="122"/>
        <v>34.149993896484375</v>
      </c>
      <c r="C1429">
        <v>10</v>
      </c>
      <c r="D1429">
        <v>70</v>
      </c>
      <c r="E1429">
        <v>50</v>
      </c>
      <c r="F1429">
        <v>16</v>
      </c>
      <c r="G1429">
        <v>34.149997247101702</v>
      </c>
      <c r="M1429" t="str">
        <f t="shared" si="123"/>
        <v>Pass</v>
      </c>
      <c r="N1429">
        <f t="shared" si="124"/>
        <v>0</v>
      </c>
      <c r="O1429">
        <v>70</v>
      </c>
      <c r="P1429">
        <v>90</v>
      </c>
      <c r="Q1429">
        <v>0</v>
      </c>
      <c r="R1429" t="b">
        <v>0</v>
      </c>
      <c r="S1429">
        <v>0</v>
      </c>
    </row>
    <row r="1430" spans="1:19" x14ac:dyDescent="0.3">
      <c r="A1430" t="str">
        <f>IF(ISBLANK(B1430),"",IF(ROUND(B1430,0)=ROUND(G1430,0),"Pass","Fail"))</f>
        <v>Pass</v>
      </c>
      <c r="B1430">
        <f t="shared" si="122"/>
        <v>25.70257568359375</v>
      </c>
      <c r="C1430">
        <v>10</v>
      </c>
      <c r="D1430">
        <v>70</v>
      </c>
      <c r="E1430">
        <v>50</v>
      </c>
      <c r="F1430">
        <v>24</v>
      </c>
      <c r="G1430">
        <v>25.702577413736201</v>
      </c>
      <c r="M1430" t="str">
        <f t="shared" si="123"/>
        <v>Pass</v>
      </c>
      <c r="N1430">
        <f t="shared" si="124"/>
        <v>6.500992452695975E-12</v>
      </c>
      <c r="O1430">
        <v>70</v>
      </c>
      <c r="P1430">
        <v>90</v>
      </c>
      <c r="Q1430">
        <v>0.5</v>
      </c>
      <c r="R1430" t="b">
        <v>1</v>
      </c>
      <c r="S1430">
        <v>6.5009927779410097E-12</v>
      </c>
    </row>
    <row r="1431" spans="1:19" x14ac:dyDescent="0.3">
      <c r="A1431" t="str">
        <f>IF(ISBLANK(B1431),"",IF(ROUND(B1431,0)=ROUND(G1431,0),"Pass","Fail"))</f>
        <v>Pass</v>
      </c>
      <c r="B1431">
        <f t="shared" si="122"/>
        <v>21.450271606445313</v>
      </c>
      <c r="C1431">
        <v>10</v>
      </c>
      <c r="D1431">
        <v>70</v>
      </c>
      <c r="E1431">
        <v>50</v>
      </c>
      <c r="F1431">
        <v>32</v>
      </c>
      <c r="G1431">
        <v>21.4502730059946</v>
      </c>
      <c r="M1431" t="str">
        <f t="shared" si="123"/>
        <v>Pass</v>
      </c>
      <c r="N1431">
        <f t="shared" si="124"/>
        <v>1.3640167988160368E-11</v>
      </c>
      <c r="O1431">
        <v>70</v>
      </c>
      <c r="P1431">
        <v>90</v>
      </c>
      <c r="Q1431">
        <v>0.5</v>
      </c>
      <c r="R1431" t="b">
        <v>0</v>
      </c>
      <c r="S1431">
        <v>1.3640167106143901E-11</v>
      </c>
    </row>
    <row r="1432" spans="1:19" x14ac:dyDescent="0.3">
      <c r="A1432" t="str">
        <f>IF(ISBLANK(B1432),"",IF(ROUND(B1432,0)=ROUND(G1432,0),"Pass","Fail"))</f>
        <v>Pass</v>
      </c>
      <c r="B1432">
        <f t="shared" si="122"/>
        <v>19.309726715087891</v>
      </c>
      <c r="C1432">
        <v>10</v>
      </c>
      <c r="D1432">
        <v>70</v>
      </c>
      <c r="E1432">
        <v>50</v>
      </c>
      <c r="F1432">
        <v>40</v>
      </c>
      <c r="G1432">
        <v>19.309726764327099</v>
      </c>
      <c r="M1432" t="str">
        <f t="shared" si="123"/>
        <v>Pass</v>
      </c>
      <c r="N1432">
        <f t="shared" si="124"/>
        <v>7.6087530373469825E-12</v>
      </c>
      <c r="O1432">
        <v>70</v>
      </c>
      <c r="P1432">
        <v>90</v>
      </c>
      <c r="Q1432">
        <v>1</v>
      </c>
      <c r="R1432" t="b">
        <v>1</v>
      </c>
      <c r="S1432">
        <v>7.6087531155382801E-12</v>
      </c>
    </row>
    <row r="1433" spans="1:19" x14ac:dyDescent="0.3">
      <c r="A1433" t="str">
        <f>IF(ISBLANK(B1433),"",IF(ROUND(B1433,0)=ROUND(G1433,0),"Pass","Fail"))</f>
        <v>Pass</v>
      </c>
      <c r="B1433">
        <f t="shared" si="122"/>
        <v>18.232208251953125</v>
      </c>
      <c r="C1433">
        <v>10</v>
      </c>
      <c r="D1433">
        <v>70</v>
      </c>
      <c r="E1433">
        <v>50</v>
      </c>
      <c r="F1433">
        <v>48</v>
      </c>
      <c r="G1433">
        <v>18.232207900819699</v>
      </c>
      <c r="M1433" t="str">
        <f t="shared" si="123"/>
        <v>Pass</v>
      </c>
      <c r="N1433">
        <f t="shared" si="124"/>
        <v>1.5964434635362679E-11</v>
      </c>
      <c r="O1433">
        <v>70</v>
      </c>
      <c r="P1433">
        <v>90</v>
      </c>
      <c r="Q1433">
        <v>1</v>
      </c>
      <c r="R1433" t="b">
        <v>0</v>
      </c>
      <c r="S1433">
        <v>1.5964433050517199E-11</v>
      </c>
    </row>
    <row r="1434" spans="1:19" x14ac:dyDescent="0.3">
      <c r="A1434" t="str">
        <f>IF(ISBLANK(B1434),"",IF(ROUND(B1434,0)=ROUND(G1434,0),"Pass","Fail"))</f>
        <v>Pass</v>
      </c>
      <c r="B1434">
        <f t="shared" si="122"/>
        <v>84.267997741699219</v>
      </c>
      <c r="C1434">
        <v>10</v>
      </c>
      <c r="D1434">
        <v>70</v>
      </c>
      <c r="E1434">
        <v>60</v>
      </c>
      <c r="F1434">
        <v>0</v>
      </c>
      <c r="G1434">
        <v>84.268000000000001</v>
      </c>
      <c r="M1434" t="str">
        <f t="shared" si="123"/>
        <v>Pass</v>
      </c>
      <c r="N1434">
        <f t="shared" si="124"/>
        <v>8.342307747377653E-12</v>
      </c>
      <c r="O1434">
        <v>70</v>
      </c>
      <c r="P1434">
        <v>90</v>
      </c>
      <c r="Q1434">
        <v>1.5</v>
      </c>
      <c r="R1434" t="b">
        <v>1</v>
      </c>
      <c r="S1434">
        <v>8.3423077759221502E-12</v>
      </c>
    </row>
    <row r="1435" spans="1:19" x14ac:dyDescent="0.3">
      <c r="A1435" t="str">
        <f>IF(ISBLANK(B1435),"",IF(ROUND(B1435,0)=ROUND(G1435,0),"Pass","Fail"))</f>
        <v>Pass</v>
      </c>
      <c r="B1435">
        <f t="shared" si="122"/>
        <v>50.931228637695313</v>
      </c>
      <c r="C1435">
        <v>10</v>
      </c>
      <c r="D1435">
        <v>70</v>
      </c>
      <c r="E1435">
        <v>60</v>
      </c>
      <c r="F1435">
        <v>8</v>
      </c>
      <c r="G1435">
        <v>50.931228080723002</v>
      </c>
      <c r="M1435" t="str">
        <f t="shared" si="123"/>
        <v>Pass</v>
      </c>
      <c r="N1435">
        <f t="shared" si="124"/>
        <v>1.7503552426911817E-11</v>
      </c>
      <c r="O1435">
        <v>70</v>
      </c>
      <c r="P1435">
        <v>90</v>
      </c>
      <c r="Q1435">
        <v>1.5</v>
      </c>
      <c r="R1435" t="b">
        <v>0</v>
      </c>
      <c r="S1435">
        <v>1.75035530727818E-11</v>
      </c>
    </row>
    <row r="1436" spans="1:19" x14ac:dyDescent="0.3">
      <c r="A1436" t="str">
        <f>IF(ISBLANK(B1436),"",IF(ROUND(B1436,0)=ROUND(G1436,0),"Pass","Fail"))</f>
        <v>Pass</v>
      </c>
      <c r="B1436">
        <f t="shared" si="122"/>
        <v>34.149993896484375</v>
      </c>
      <c r="C1436">
        <v>10</v>
      </c>
      <c r="D1436">
        <v>70</v>
      </c>
      <c r="E1436">
        <v>60</v>
      </c>
      <c r="F1436">
        <v>16</v>
      </c>
      <c r="G1436">
        <v>34.149997247101702</v>
      </c>
      <c r="M1436" t="str">
        <f t="shared" si="123"/>
        <v>Pass</v>
      </c>
      <c r="N1436">
        <f t="shared" si="124"/>
        <v>8.9052740875894543E-12</v>
      </c>
      <c r="O1436">
        <v>70</v>
      </c>
      <c r="P1436">
        <v>90</v>
      </c>
      <c r="Q1436">
        <v>2</v>
      </c>
      <c r="R1436" t="b">
        <v>1</v>
      </c>
      <c r="S1436">
        <v>8.9052743097415596E-12</v>
      </c>
    </row>
    <row r="1437" spans="1:19" x14ac:dyDescent="0.3">
      <c r="A1437" t="str">
        <f>IF(ISBLANK(B1437),"",IF(ROUND(B1437,0)=ROUND(G1437,0),"Pass","Fail"))</f>
        <v>Pass</v>
      </c>
      <c r="B1437">
        <f t="shared" si="122"/>
        <v>25.70257568359375</v>
      </c>
      <c r="C1437">
        <v>10</v>
      </c>
      <c r="D1437">
        <v>70</v>
      </c>
      <c r="E1437">
        <v>60</v>
      </c>
      <c r="F1437">
        <v>24</v>
      </c>
      <c r="G1437">
        <v>25.702577413736201</v>
      </c>
      <c r="M1437" t="str">
        <f t="shared" si="123"/>
        <v>Pass</v>
      </c>
      <c r="N1437">
        <f t="shared" si="124"/>
        <v>1.8684749927833089E-11</v>
      </c>
      <c r="O1437">
        <v>70</v>
      </c>
      <c r="P1437">
        <v>90</v>
      </c>
      <c r="Q1437">
        <v>2</v>
      </c>
      <c r="R1437" t="b">
        <v>0</v>
      </c>
      <c r="S1437">
        <v>1.8684750754237399E-11</v>
      </c>
    </row>
    <row r="1438" spans="1:19" x14ac:dyDescent="0.3">
      <c r="A1438" t="str">
        <f>IF(ISBLANK(B1438),"",IF(ROUND(B1438,0)=ROUND(G1438,0),"Pass","Fail"))</f>
        <v>Pass</v>
      </c>
      <c r="B1438">
        <f t="shared" si="122"/>
        <v>21.450271606445313</v>
      </c>
      <c r="C1438">
        <v>10</v>
      </c>
      <c r="D1438">
        <v>70</v>
      </c>
      <c r="E1438">
        <v>60</v>
      </c>
      <c r="F1438">
        <v>32</v>
      </c>
      <c r="G1438">
        <v>21.4502730059946</v>
      </c>
      <c r="M1438" t="str">
        <f t="shared" si="123"/>
        <v>Pass</v>
      </c>
      <c r="N1438">
        <f t="shared" si="124"/>
        <v>9.367977747698486E-12</v>
      </c>
      <c r="O1438">
        <v>70</v>
      </c>
      <c r="P1438">
        <v>90</v>
      </c>
      <c r="Q1438">
        <v>2.5</v>
      </c>
      <c r="R1438" t="b">
        <v>1</v>
      </c>
      <c r="S1438">
        <v>9.3679782675181894E-12</v>
      </c>
    </row>
    <row r="1439" spans="1:19" x14ac:dyDescent="0.3">
      <c r="A1439" t="str">
        <f>IF(ISBLANK(B1439),"",IF(ROUND(B1439,0)=ROUND(G1439,0),"Pass","Fail"))</f>
        <v>Pass</v>
      </c>
      <c r="B1439">
        <f t="shared" si="122"/>
        <v>19.309726715087891</v>
      </c>
      <c r="C1439">
        <v>10</v>
      </c>
      <c r="D1439">
        <v>70</v>
      </c>
      <c r="E1439">
        <v>60</v>
      </c>
      <c r="F1439">
        <v>40</v>
      </c>
      <c r="G1439">
        <v>19.309726764327099</v>
      </c>
      <c r="M1439" t="str">
        <f t="shared" si="123"/>
        <v>Pass</v>
      </c>
      <c r="N1439">
        <f t="shared" si="124"/>
        <v>1.9655580982269605E-11</v>
      </c>
      <c r="O1439">
        <v>70</v>
      </c>
      <c r="P1439">
        <v>90</v>
      </c>
      <c r="Q1439">
        <v>2.5</v>
      </c>
      <c r="R1439" t="b">
        <v>0</v>
      </c>
      <c r="S1439">
        <v>1.9655580829016499E-11</v>
      </c>
    </row>
    <row r="1440" spans="1:19" x14ac:dyDescent="0.3">
      <c r="A1440" t="str">
        <f>IF(ISBLANK(B1440),"",IF(ROUND(B1440,0)=ROUND(G1440,0),"Pass","Fail"))</f>
        <v>Pass</v>
      </c>
      <c r="B1440">
        <f t="shared" si="122"/>
        <v>18.232208251953125</v>
      </c>
      <c r="C1440">
        <v>10</v>
      </c>
      <c r="D1440">
        <v>70</v>
      </c>
      <c r="E1440">
        <v>60</v>
      </c>
      <c r="F1440">
        <v>48</v>
      </c>
      <c r="G1440">
        <v>18.232207900819699</v>
      </c>
      <c r="M1440" t="str">
        <f t="shared" si="123"/>
        <v>Pass</v>
      </c>
      <c r="N1440">
        <f t="shared" si="124"/>
        <v>9.7638251650433716E-12</v>
      </c>
      <c r="O1440">
        <v>70</v>
      </c>
      <c r="P1440">
        <v>90</v>
      </c>
      <c r="Q1440">
        <v>3</v>
      </c>
      <c r="R1440" t="b">
        <v>1</v>
      </c>
      <c r="S1440">
        <v>9.7638256877021899E-12</v>
      </c>
    </row>
    <row r="1441" spans="1:19" x14ac:dyDescent="0.3">
      <c r="A1441" t="str">
        <f>IF(ISBLANK(B1441),"",IF(ROUND(B1441,0)=ROUND(G1441,0),"Pass","Fail"))</f>
        <v>Pass</v>
      </c>
      <c r="B1441">
        <f t="shared" si="122"/>
        <v>84.267997741699219</v>
      </c>
      <c r="C1441">
        <v>10</v>
      </c>
      <c r="D1441">
        <v>70</v>
      </c>
      <c r="E1441">
        <v>70</v>
      </c>
      <c r="F1441">
        <v>0</v>
      </c>
      <c r="G1441">
        <v>84.268000000000001</v>
      </c>
      <c r="M1441" t="str">
        <f t="shared" si="123"/>
        <v>Pass</v>
      </c>
      <c r="N1441">
        <f t="shared" si="124"/>
        <v>2.0486135357544732E-11</v>
      </c>
      <c r="O1441">
        <v>70</v>
      </c>
      <c r="P1441">
        <v>90</v>
      </c>
      <c r="Q1441">
        <v>3</v>
      </c>
      <c r="R1441" t="b">
        <v>0</v>
      </c>
      <c r="S1441">
        <v>2.04861347373622E-11</v>
      </c>
    </row>
    <row r="1442" spans="1:19" x14ac:dyDescent="0.3">
      <c r="A1442" t="str">
        <f>IF(ISBLANK(B1442),"",IF(ROUND(B1442,0)=ROUND(G1442,0),"Pass","Fail"))</f>
        <v>Pass</v>
      </c>
      <c r="B1442">
        <f t="shared" si="122"/>
        <v>50.931228637695313</v>
      </c>
      <c r="C1442">
        <v>10</v>
      </c>
      <c r="D1442">
        <v>70</v>
      </c>
      <c r="E1442">
        <v>70</v>
      </c>
      <c r="F1442">
        <v>8</v>
      </c>
      <c r="G1442">
        <v>50.931228080723002</v>
      </c>
      <c r="M1442" t="str">
        <f t="shared" si="123"/>
        <v>Pass</v>
      </c>
      <c r="N1442">
        <f t="shared" si="124"/>
        <v>1.0111531403844687E-11</v>
      </c>
      <c r="O1442">
        <v>70</v>
      </c>
      <c r="P1442">
        <v>90</v>
      </c>
      <c r="Q1442">
        <v>3.5</v>
      </c>
      <c r="R1442" t="b">
        <v>1</v>
      </c>
      <c r="S1442">
        <v>1.0111531488905299E-11</v>
      </c>
    </row>
    <row r="1443" spans="1:19" x14ac:dyDescent="0.3">
      <c r="A1443" t="str">
        <f>IF(ISBLANK(B1443),"",IF(ROUND(B1443,0)=ROUND(G1443,0),"Pass","Fail"))</f>
        <v>Pass</v>
      </c>
      <c r="B1443">
        <f t="shared" si="122"/>
        <v>34.149993896484375</v>
      </c>
      <c r="C1443">
        <v>10</v>
      </c>
      <c r="D1443">
        <v>70</v>
      </c>
      <c r="E1443">
        <v>70</v>
      </c>
      <c r="F1443">
        <v>16</v>
      </c>
      <c r="G1443">
        <v>34.149997247101702</v>
      </c>
      <c r="M1443" t="str">
        <f t="shared" si="123"/>
        <v>Pass</v>
      </c>
      <c r="N1443">
        <f t="shared" si="124"/>
        <v>2.1215678519537207E-11</v>
      </c>
      <c r="O1443">
        <v>70</v>
      </c>
      <c r="P1443">
        <v>90</v>
      </c>
      <c r="Q1443">
        <v>3.5</v>
      </c>
      <c r="R1443" t="b">
        <v>0</v>
      </c>
      <c r="S1443">
        <v>2.12156794998606E-11</v>
      </c>
    </row>
    <row r="1444" spans="1:19" x14ac:dyDescent="0.3">
      <c r="A1444" t="str">
        <f>IF(ISBLANK(B1444),"",IF(ROUND(B1444,0)=ROUND(G1444,0),"Pass","Fail"))</f>
        <v>Pass</v>
      </c>
      <c r="B1444">
        <f t="shared" si="122"/>
        <v>25.70257568359375</v>
      </c>
      <c r="C1444">
        <v>10</v>
      </c>
      <c r="D1444">
        <v>70</v>
      </c>
      <c r="E1444">
        <v>70</v>
      </c>
      <c r="F1444">
        <v>24</v>
      </c>
      <c r="G1444">
        <v>25.702577413736201</v>
      </c>
      <c r="M1444" t="str">
        <f t="shared" si="123"/>
        <v>Pass</v>
      </c>
      <c r="N1444">
        <f t="shared" si="124"/>
        <v>1.0422720846114952E-11</v>
      </c>
      <c r="O1444">
        <v>70</v>
      </c>
      <c r="P1444">
        <v>90</v>
      </c>
      <c r="Q1444">
        <v>4</v>
      </c>
      <c r="R1444" t="b">
        <v>1</v>
      </c>
      <c r="S1444">
        <v>1.0422720954080001E-11</v>
      </c>
    </row>
    <row r="1445" spans="1:19" x14ac:dyDescent="0.3">
      <c r="A1445" t="str">
        <f>IF(ISBLANK(B1445),"",IF(ROUND(B1445,0)=ROUND(G1445,0),"Pass","Fail"))</f>
        <v>Pass</v>
      </c>
      <c r="B1445">
        <f t="shared" si="122"/>
        <v>21.450271606445313</v>
      </c>
      <c r="C1445">
        <v>10</v>
      </c>
      <c r="D1445">
        <v>70</v>
      </c>
      <c r="E1445">
        <v>70</v>
      </c>
      <c r="F1445">
        <v>32</v>
      </c>
      <c r="G1445">
        <v>21.4502730059946</v>
      </c>
      <c r="M1445" t="str">
        <f t="shared" si="123"/>
        <v>Pass</v>
      </c>
      <c r="N1445">
        <f t="shared" si="124"/>
        <v>2.1868605884489689E-11</v>
      </c>
      <c r="O1445">
        <v>70</v>
      </c>
      <c r="P1445">
        <v>90</v>
      </c>
      <c r="Q1445">
        <v>4</v>
      </c>
      <c r="R1445" t="b">
        <v>0</v>
      </c>
      <c r="S1445">
        <v>2.1868606899050699E-11</v>
      </c>
    </row>
    <row r="1446" spans="1:19" x14ac:dyDescent="0.3">
      <c r="A1446" t="str">
        <f>IF(ISBLANK(B1446),"",IF(ROUND(B1446,0)=ROUND(G1446,0),"Pass","Fail"))</f>
        <v>Pass</v>
      </c>
      <c r="B1446">
        <f t="shared" si="122"/>
        <v>19.309726715087891</v>
      </c>
      <c r="C1446">
        <v>10</v>
      </c>
      <c r="D1446">
        <v>70</v>
      </c>
      <c r="E1446">
        <v>70</v>
      </c>
      <c r="F1446">
        <v>40</v>
      </c>
      <c r="G1446">
        <v>19.309726764327099</v>
      </c>
    </row>
    <row r="1447" spans="1:19" x14ac:dyDescent="0.3">
      <c r="A1447" t="str">
        <f>IF(ISBLANK(B1447),"",IF(ROUND(B1447,0)=ROUND(G1447,0),"Pass","Fail"))</f>
        <v>Pass</v>
      </c>
      <c r="B1447">
        <f t="shared" si="122"/>
        <v>18.232208251953125</v>
      </c>
      <c r="C1447">
        <v>10</v>
      </c>
      <c r="D1447">
        <v>70</v>
      </c>
      <c r="E1447">
        <v>70</v>
      </c>
      <c r="F1447">
        <v>48</v>
      </c>
      <c r="G1447">
        <v>18.232207900819699</v>
      </c>
    </row>
    <row r="1448" spans="1:19" x14ac:dyDescent="0.3">
      <c r="A1448" t="str">
        <f>IF(ISBLANK(B1448),"",IF(ROUND(B1448,0)=ROUND(G1448,0),"Pass","Fail"))</f>
        <v>Pass</v>
      </c>
      <c r="B1448">
        <f t="shared" si="122"/>
        <v>84.267997741699219</v>
      </c>
      <c r="C1448">
        <v>10</v>
      </c>
      <c r="D1448">
        <v>70</v>
      </c>
      <c r="E1448">
        <v>80</v>
      </c>
      <c r="F1448">
        <v>0</v>
      </c>
      <c r="G1448">
        <v>84.268000000000001</v>
      </c>
    </row>
    <row r="1449" spans="1:19" x14ac:dyDescent="0.3">
      <c r="A1449" t="str">
        <f>IF(ISBLANK(B1449),"",IF(ROUND(B1449,0)=ROUND(G1449,0),"Pass","Fail"))</f>
        <v>Pass</v>
      </c>
      <c r="B1449">
        <f t="shared" si="122"/>
        <v>50.931228637695313</v>
      </c>
      <c r="C1449">
        <v>10</v>
      </c>
      <c r="D1449">
        <v>70</v>
      </c>
      <c r="E1449">
        <v>80</v>
      </c>
      <c r="F1449">
        <v>8</v>
      </c>
      <c r="G1449">
        <v>50.931228080723002</v>
      </c>
    </row>
    <row r="1450" spans="1:19" x14ac:dyDescent="0.3">
      <c r="A1450" t="str">
        <f>IF(ISBLANK(B1450),"",IF(ROUND(B1450,0)=ROUND(G1450,0),"Pass","Fail"))</f>
        <v>Pass</v>
      </c>
      <c r="B1450">
        <f t="shared" si="122"/>
        <v>34.149993896484375</v>
      </c>
      <c r="C1450">
        <v>10</v>
      </c>
      <c r="D1450">
        <v>70</v>
      </c>
      <c r="E1450">
        <v>80</v>
      </c>
      <c r="F1450">
        <v>16</v>
      </c>
      <c r="G1450">
        <v>34.149997247101702</v>
      </c>
    </row>
    <row r="1451" spans="1:19" x14ac:dyDescent="0.3">
      <c r="A1451" t="str">
        <f>IF(ISBLANK(B1451),"",IF(ROUND(B1451,0)=ROUND(G1451,0),"Pass","Fail"))</f>
        <v>Pass</v>
      </c>
      <c r="B1451">
        <f t="shared" si="122"/>
        <v>25.70257568359375</v>
      </c>
      <c r="C1451">
        <v>10</v>
      </c>
      <c r="D1451">
        <v>70</v>
      </c>
      <c r="E1451">
        <v>80</v>
      </c>
      <c r="F1451">
        <v>24</v>
      </c>
      <c r="G1451">
        <v>25.702577413736201</v>
      </c>
    </row>
    <row r="1452" spans="1:19" x14ac:dyDescent="0.3">
      <c r="A1452" t="str">
        <f>IF(ISBLANK(B1452),"",IF(ROUND(B1452,0)=ROUND(G1452,0),"Pass","Fail"))</f>
        <v>Pass</v>
      </c>
      <c r="B1452">
        <f t="shared" si="122"/>
        <v>21.450271606445313</v>
      </c>
      <c r="C1452">
        <v>10</v>
      </c>
      <c r="D1452">
        <v>70</v>
      </c>
      <c r="E1452">
        <v>80</v>
      </c>
      <c r="F1452">
        <v>32</v>
      </c>
      <c r="G1452">
        <v>21.4502730059946</v>
      </c>
    </row>
    <row r="1453" spans="1:19" x14ac:dyDescent="0.3">
      <c r="A1453" t="str">
        <f>IF(ISBLANK(B1453),"",IF(ROUND(B1453,0)=ROUND(G1453,0),"Pass","Fail"))</f>
        <v>Pass</v>
      </c>
      <c r="B1453">
        <f t="shared" si="122"/>
        <v>19.309726715087891</v>
      </c>
      <c r="C1453">
        <v>10</v>
      </c>
      <c r="D1453">
        <v>70</v>
      </c>
      <c r="E1453">
        <v>80</v>
      </c>
      <c r="F1453">
        <v>40</v>
      </c>
      <c r="G1453">
        <v>19.309726764327099</v>
      </c>
    </row>
    <row r="1454" spans="1:19" x14ac:dyDescent="0.3">
      <c r="A1454" t="str">
        <f>IF(ISBLANK(B1454),"",IF(ROUND(B1454,0)=ROUND(G1454,0),"Pass","Fail"))</f>
        <v>Pass</v>
      </c>
      <c r="B1454">
        <f t="shared" si="122"/>
        <v>18.232208251953125</v>
      </c>
      <c r="C1454">
        <v>10</v>
      </c>
      <c r="D1454">
        <v>70</v>
      </c>
      <c r="E1454">
        <v>80</v>
      </c>
      <c r="F1454">
        <v>48</v>
      </c>
      <c r="G1454">
        <v>18.232207900819699</v>
      </c>
    </row>
    <row r="1455" spans="1:19" x14ac:dyDescent="0.3">
      <c r="A1455" t="str">
        <f>IF(ISBLANK(B1455),"",IF(ROUND(B1455,0)=ROUND(G1455,0),"Pass","Fail"))</f>
        <v>Pass</v>
      </c>
      <c r="B1455">
        <f t="shared" si="122"/>
        <v>84.267997741699219</v>
      </c>
      <c r="C1455">
        <v>10</v>
      </c>
      <c r="D1455">
        <v>70</v>
      </c>
      <c r="E1455">
        <v>90</v>
      </c>
      <c r="F1455">
        <v>0</v>
      </c>
      <c r="G1455">
        <v>84.268000000000001</v>
      </c>
    </row>
    <row r="1456" spans="1:19" x14ac:dyDescent="0.3">
      <c r="A1456" t="str">
        <f>IF(ISBLANK(B1456),"",IF(ROUND(B1456,0)=ROUND(G1456,0),"Pass","Fail"))</f>
        <v>Pass</v>
      </c>
      <c r="B1456">
        <f t="shared" si="122"/>
        <v>50.931228637695313</v>
      </c>
      <c r="C1456">
        <v>10</v>
      </c>
      <c r="D1456">
        <v>70</v>
      </c>
      <c r="E1456">
        <v>90</v>
      </c>
      <c r="F1456">
        <v>8</v>
      </c>
      <c r="G1456">
        <v>50.931228080723002</v>
      </c>
    </row>
    <row r="1457" spans="1:7" x14ac:dyDescent="0.3">
      <c r="A1457" t="str">
        <f>IF(ISBLANK(B1457),"",IF(ROUND(B1457,0)=ROUND(G1457,0),"Pass","Fail"))</f>
        <v>Pass</v>
      </c>
      <c r="B1457">
        <f t="shared" si="122"/>
        <v>34.149993896484375</v>
      </c>
      <c r="C1457">
        <v>10</v>
      </c>
      <c r="D1457">
        <v>70</v>
      </c>
      <c r="E1457">
        <v>90</v>
      </c>
      <c r="F1457">
        <v>16</v>
      </c>
      <c r="G1457">
        <v>34.149997247101702</v>
      </c>
    </row>
    <row r="1458" spans="1:7" x14ac:dyDescent="0.3">
      <c r="A1458" t="str">
        <f>IF(ISBLANK(B1458),"",IF(ROUND(B1458,0)=ROUND(G1458,0),"Pass","Fail"))</f>
        <v>Pass</v>
      </c>
      <c r="B1458">
        <f t="shared" si="122"/>
        <v>25.70257568359375</v>
      </c>
      <c r="C1458">
        <v>10</v>
      </c>
      <c r="D1458">
        <v>70</v>
      </c>
      <c r="E1458">
        <v>90</v>
      </c>
      <c r="F1458">
        <v>24</v>
      </c>
      <c r="G1458">
        <v>25.702577413736201</v>
      </c>
    </row>
    <row r="1459" spans="1:7" x14ac:dyDescent="0.3">
      <c r="A1459" t="str">
        <f>IF(ISBLANK(B1459),"",IF(ROUND(B1459,0)=ROUND(G1459,0),"Pass","Fail"))</f>
        <v>Pass</v>
      </c>
      <c r="B1459">
        <f t="shared" si="122"/>
        <v>21.450271606445313</v>
      </c>
      <c r="C1459">
        <v>10</v>
      </c>
      <c r="D1459">
        <v>70</v>
      </c>
      <c r="E1459">
        <v>90</v>
      </c>
      <c r="F1459">
        <v>32</v>
      </c>
      <c r="G1459">
        <v>21.4502730059946</v>
      </c>
    </row>
    <row r="1460" spans="1:7" x14ac:dyDescent="0.3">
      <c r="A1460" t="str">
        <f>IF(ISBLANK(B1460),"",IF(ROUND(B1460,0)=ROUND(G1460,0),"Pass","Fail"))</f>
        <v>Pass</v>
      </c>
      <c r="B1460">
        <f t="shared" si="122"/>
        <v>19.309726715087891</v>
      </c>
      <c r="C1460">
        <v>10</v>
      </c>
      <c r="D1460">
        <v>70</v>
      </c>
      <c r="E1460">
        <v>90</v>
      </c>
      <c r="F1460">
        <v>40</v>
      </c>
      <c r="G1460">
        <v>19.309726764327099</v>
      </c>
    </row>
    <row r="1461" spans="1:7" x14ac:dyDescent="0.3">
      <c r="A1461" t="str">
        <f>IF(ISBLANK(B1461),"",IF(ROUND(B1461,0)=ROUND(G1461,0),"Pass","Fail"))</f>
        <v>Pass</v>
      </c>
      <c r="B1461">
        <f t="shared" si="122"/>
        <v>18.232208251953125</v>
      </c>
      <c r="C1461">
        <v>10</v>
      </c>
      <c r="D1461">
        <v>70</v>
      </c>
      <c r="E1461">
        <v>90</v>
      </c>
      <c r="F1461">
        <v>48</v>
      </c>
      <c r="G1461">
        <v>18.232207900819699</v>
      </c>
    </row>
    <row r="1462" spans="1:7" x14ac:dyDescent="0.3">
      <c r="A1462" t="str">
        <f>IF(ISBLANK(B1462),"",IF(ROUND(B1462,0)=ROUND(G1462,0),"Pass","Fail"))</f>
        <v>Pass</v>
      </c>
      <c r="B1462">
        <f t="shared" si="122"/>
        <v>84.267997741699219</v>
      </c>
      <c r="C1462">
        <v>10</v>
      </c>
      <c r="D1462">
        <v>70</v>
      </c>
      <c r="E1462">
        <v>100</v>
      </c>
      <c r="F1462">
        <v>0</v>
      </c>
      <c r="G1462">
        <v>84.268000000000001</v>
      </c>
    </row>
    <row r="1463" spans="1:7" x14ac:dyDescent="0.3">
      <c r="A1463" t="str">
        <f>IF(ISBLANK(B1463),"",IF(ROUND(B1463,0)=ROUND(G1463,0),"Pass","Fail"))</f>
        <v>Pass</v>
      </c>
      <c r="B1463">
        <f t="shared" si="122"/>
        <v>50.931228637695313</v>
      </c>
      <c r="C1463">
        <v>10</v>
      </c>
      <c r="D1463">
        <v>70</v>
      </c>
      <c r="E1463">
        <v>100</v>
      </c>
      <c r="F1463">
        <v>8</v>
      </c>
      <c r="G1463">
        <v>50.931228080723002</v>
      </c>
    </row>
    <row r="1464" spans="1:7" x14ac:dyDescent="0.3">
      <c r="A1464" t="str">
        <f>IF(ISBLANK(B1464),"",IF(ROUND(B1464,0)=ROUND(G1464,0),"Pass","Fail"))</f>
        <v>Pass</v>
      </c>
      <c r="B1464">
        <f t="shared" si="122"/>
        <v>34.149993896484375</v>
      </c>
      <c r="C1464">
        <v>10</v>
      </c>
      <c r="D1464">
        <v>70</v>
      </c>
      <c r="E1464">
        <v>100</v>
      </c>
      <c r="F1464">
        <v>16</v>
      </c>
      <c r="G1464">
        <v>34.149997247101702</v>
      </c>
    </row>
    <row r="1465" spans="1:7" x14ac:dyDescent="0.3">
      <c r="A1465" t="str">
        <f>IF(ISBLANK(B1465),"",IF(ROUND(B1465,0)=ROUND(G1465,0),"Pass","Fail"))</f>
        <v>Pass</v>
      </c>
      <c r="B1465">
        <f t="shared" si="122"/>
        <v>25.70257568359375</v>
      </c>
      <c r="C1465">
        <v>10</v>
      </c>
      <c r="D1465">
        <v>70</v>
      </c>
      <c r="E1465">
        <v>100</v>
      </c>
      <c r="F1465">
        <v>24</v>
      </c>
      <c r="G1465">
        <v>25.702577413736201</v>
      </c>
    </row>
    <row r="1466" spans="1:7" x14ac:dyDescent="0.3">
      <c r="A1466" t="str">
        <f>IF(ISBLANK(B1466),"",IF(ROUND(B1466,0)=ROUND(G1466,0),"Pass","Fail"))</f>
        <v>Pass</v>
      </c>
      <c r="B1466">
        <f t="shared" si="122"/>
        <v>21.450271606445313</v>
      </c>
      <c r="C1466">
        <v>10</v>
      </c>
      <c r="D1466">
        <v>70</v>
      </c>
      <c r="E1466">
        <v>100</v>
      </c>
      <c r="F1466">
        <v>32</v>
      </c>
      <c r="G1466">
        <v>21.4502730059946</v>
      </c>
    </row>
    <row r="1467" spans="1:7" x14ac:dyDescent="0.3">
      <c r="A1467" t="str">
        <f>IF(ISBLANK(B1467),"",IF(ROUND(B1467,0)=ROUND(G1467,0),"Pass","Fail"))</f>
        <v>Pass</v>
      </c>
      <c r="B1467">
        <f t="shared" si="122"/>
        <v>19.309726715087891</v>
      </c>
      <c r="C1467">
        <v>10</v>
      </c>
      <c r="D1467">
        <v>70</v>
      </c>
      <c r="E1467">
        <v>100</v>
      </c>
      <c r="F1467">
        <v>40</v>
      </c>
      <c r="G1467">
        <v>19.309726764327099</v>
      </c>
    </row>
    <row r="1468" spans="1:7" x14ac:dyDescent="0.3">
      <c r="A1468" t="str">
        <f>IF(ISBLANK(B1468),"",IF(ROUND(B1468,0)=ROUND(G1468,0),"Pass","Fail"))</f>
        <v>Pass</v>
      </c>
      <c r="B1468">
        <f t="shared" si="122"/>
        <v>18.232208251953125</v>
      </c>
      <c r="C1468">
        <v>10</v>
      </c>
      <c r="D1468">
        <v>70</v>
      </c>
      <c r="E1468">
        <v>100</v>
      </c>
      <c r="F1468">
        <v>48</v>
      </c>
      <c r="G1468">
        <v>18.232207900819699</v>
      </c>
    </row>
    <row r="1469" spans="1:7" x14ac:dyDescent="0.3">
      <c r="A1469" t="str">
        <f>IF(ISBLANK(B1469),"",IF(ROUND(B1469,0)=ROUND(G1469,0),"Pass","Fail"))</f>
        <v>Pass</v>
      </c>
      <c r="B1469">
        <f t="shared" si="122"/>
        <v>18.75</v>
      </c>
      <c r="C1469">
        <v>10</v>
      </c>
      <c r="D1469">
        <v>80</v>
      </c>
      <c r="E1469">
        <v>0</v>
      </c>
      <c r="F1469">
        <v>0</v>
      </c>
      <c r="G1469">
        <v>18.75</v>
      </c>
    </row>
    <row r="1470" spans="1:7" x14ac:dyDescent="0.3">
      <c r="A1470" t="str">
        <f>IF(ISBLANK(B1470),"",IF(ROUND(B1470,0)=ROUND(G1470,0),"Pass","Fail"))</f>
        <v>Pass</v>
      </c>
      <c r="B1470">
        <f t="shared" si="122"/>
        <v>18.75</v>
      </c>
      <c r="C1470">
        <v>10</v>
      </c>
      <c r="D1470">
        <v>80</v>
      </c>
      <c r="E1470">
        <v>0</v>
      </c>
      <c r="F1470">
        <v>8</v>
      </c>
      <c r="G1470">
        <v>18.75</v>
      </c>
    </row>
    <row r="1471" spans="1:7" x14ac:dyDescent="0.3">
      <c r="A1471" t="str">
        <f>IF(ISBLANK(B1471),"",IF(ROUND(B1471,0)=ROUND(G1471,0),"Pass","Fail"))</f>
        <v>Pass</v>
      </c>
      <c r="B1471">
        <f t="shared" si="122"/>
        <v>18.75</v>
      </c>
      <c r="C1471">
        <v>10</v>
      </c>
      <c r="D1471">
        <v>80</v>
      </c>
      <c r="E1471">
        <v>0</v>
      </c>
      <c r="F1471">
        <v>16</v>
      </c>
      <c r="G1471">
        <v>18.75</v>
      </c>
    </row>
    <row r="1472" spans="1:7" x14ac:dyDescent="0.3">
      <c r="A1472" t="str">
        <f>IF(ISBLANK(B1472),"",IF(ROUND(B1472,0)=ROUND(G1472,0),"Pass","Fail"))</f>
        <v>Pass</v>
      </c>
      <c r="B1472">
        <f t="shared" si="122"/>
        <v>18.75</v>
      </c>
      <c r="C1472">
        <v>10</v>
      </c>
      <c r="D1472">
        <v>80</v>
      </c>
      <c r="E1472">
        <v>0</v>
      </c>
      <c r="F1472">
        <v>24</v>
      </c>
      <c r="G1472">
        <v>18.75</v>
      </c>
    </row>
    <row r="1473" spans="1:7" x14ac:dyDescent="0.3">
      <c r="A1473" t="str">
        <f>IF(ISBLANK(B1473),"",IF(ROUND(B1473,0)=ROUND(G1473,0),"Pass","Fail"))</f>
        <v>Pass</v>
      </c>
      <c r="B1473">
        <f t="shared" si="122"/>
        <v>18.75</v>
      </c>
      <c r="C1473">
        <v>10</v>
      </c>
      <c r="D1473">
        <v>80</v>
      </c>
      <c r="E1473">
        <v>0</v>
      </c>
      <c r="F1473">
        <v>32</v>
      </c>
      <c r="G1473">
        <v>18.75</v>
      </c>
    </row>
    <row r="1474" spans="1:7" x14ac:dyDescent="0.3">
      <c r="A1474" t="str">
        <f>IF(ISBLANK(B1474),"",IF(ROUND(B1474,0)=ROUND(G1474,0),"Pass","Fail"))</f>
        <v>Pass</v>
      </c>
      <c r="B1474">
        <f t="shared" si="122"/>
        <v>18.75</v>
      </c>
      <c r="C1474">
        <v>10</v>
      </c>
      <c r="D1474">
        <v>80</v>
      </c>
      <c r="E1474">
        <v>0</v>
      </c>
      <c r="F1474">
        <v>40</v>
      </c>
      <c r="G1474">
        <v>18.75</v>
      </c>
    </row>
    <row r="1475" spans="1:7" x14ac:dyDescent="0.3">
      <c r="A1475" t="str">
        <f>IF(ISBLANK(B1475),"",IF(ROUND(B1475,0)=ROUND(G1475,0),"Pass","Fail"))</f>
        <v>Pass</v>
      </c>
      <c r="B1475">
        <f t="shared" si="122"/>
        <v>18.75</v>
      </c>
      <c r="C1475">
        <v>10</v>
      </c>
      <c r="D1475">
        <v>80</v>
      </c>
      <c r="E1475">
        <v>0</v>
      </c>
      <c r="F1475">
        <v>48</v>
      </c>
      <c r="G1475">
        <v>18.75</v>
      </c>
    </row>
    <row r="1476" spans="1:7" x14ac:dyDescent="0.3">
      <c r="A1476" t="str">
        <f>IF(ISBLANK(B1476),"",IF(ROUND(B1476,0)=ROUND(G1476,0),"Pass","Fail"))</f>
        <v>Pass</v>
      </c>
      <c r="B1476">
        <f t="shared" si="122"/>
        <v>85.877998352050781</v>
      </c>
      <c r="C1476">
        <v>10</v>
      </c>
      <c r="D1476">
        <v>80</v>
      </c>
      <c r="E1476">
        <v>10</v>
      </c>
      <c r="F1476">
        <v>0</v>
      </c>
      <c r="G1476">
        <v>85.877999999998295</v>
      </c>
    </row>
    <row r="1477" spans="1:7" x14ac:dyDescent="0.3">
      <c r="A1477" t="str">
        <f>IF(ISBLANK(B1477),"",IF(ROUND(B1477,0)=ROUND(G1477,0),"Pass","Fail"))</f>
        <v>Pass</v>
      </c>
      <c r="B1477">
        <f t="shared" si="122"/>
        <v>52.541229248046875</v>
      </c>
      <c r="C1477">
        <v>10</v>
      </c>
      <c r="D1477">
        <v>80</v>
      </c>
      <c r="E1477">
        <v>10</v>
      </c>
      <c r="F1477">
        <v>8</v>
      </c>
      <c r="G1477">
        <v>52.541228080722199</v>
      </c>
    </row>
    <row r="1478" spans="1:7" x14ac:dyDescent="0.3">
      <c r="A1478" t="str">
        <f>IF(ISBLANK(B1478),"",IF(ROUND(B1478,0)=ROUND(G1478,0),"Pass","Fail"))</f>
        <v>Pass</v>
      </c>
      <c r="B1478">
        <f t="shared" si="122"/>
        <v>35.759994506835938</v>
      </c>
      <c r="C1478">
        <v>10</v>
      </c>
      <c r="D1478">
        <v>80</v>
      </c>
      <c r="E1478">
        <v>10</v>
      </c>
      <c r="F1478">
        <v>16</v>
      </c>
      <c r="G1478">
        <v>35.759997247101303</v>
      </c>
    </row>
    <row r="1479" spans="1:7" x14ac:dyDescent="0.3">
      <c r="A1479" t="str">
        <f>IF(ISBLANK(B1479),"",IF(ROUND(B1479,0)=ROUND(G1479,0),"Pass","Fail"))</f>
        <v>Pass</v>
      </c>
      <c r="B1479">
        <f t="shared" ref="B1479:B1542" si="125">FMC_heath(C1479,D1479,E1479,F1479)</f>
        <v>27.312576293945313</v>
      </c>
      <c r="C1479">
        <v>10</v>
      </c>
      <c r="D1479">
        <v>80</v>
      </c>
      <c r="E1479">
        <v>10</v>
      </c>
      <c r="F1479">
        <v>24</v>
      </c>
      <c r="G1479">
        <v>27.312577413736001</v>
      </c>
    </row>
    <row r="1480" spans="1:7" x14ac:dyDescent="0.3">
      <c r="A1480" t="str">
        <f>IF(ISBLANK(B1480),"",IF(ROUND(B1480,0)=ROUND(G1480,0),"Pass","Fail"))</f>
        <v>Pass</v>
      </c>
      <c r="B1480">
        <f t="shared" si="125"/>
        <v>23.060272216796875</v>
      </c>
      <c r="C1480">
        <v>10</v>
      </c>
      <c r="D1480">
        <v>80</v>
      </c>
      <c r="E1480">
        <v>10</v>
      </c>
      <c r="F1480">
        <v>32</v>
      </c>
      <c r="G1480">
        <v>23.0602730059945</v>
      </c>
    </row>
    <row r="1481" spans="1:7" x14ac:dyDescent="0.3">
      <c r="A1481" t="str">
        <f>IF(ISBLANK(B1481),"",IF(ROUND(B1481,0)=ROUND(G1481,0),"Pass","Fail"))</f>
        <v>Pass</v>
      </c>
      <c r="B1481">
        <f t="shared" si="125"/>
        <v>20.919727325439453</v>
      </c>
      <c r="C1481">
        <v>10</v>
      </c>
      <c r="D1481">
        <v>80</v>
      </c>
      <c r="E1481">
        <v>10</v>
      </c>
      <c r="F1481">
        <v>40</v>
      </c>
      <c r="G1481">
        <v>20.919726764326999</v>
      </c>
    </row>
    <row r="1482" spans="1:7" x14ac:dyDescent="0.3">
      <c r="A1482" t="str">
        <f>IF(ISBLANK(B1482),"",IF(ROUND(B1482,0)=ROUND(G1482,0),"Pass","Fail"))</f>
        <v>Pass</v>
      </c>
      <c r="B1482">
        <f t="shared" si="125"/>
        <v>19.842208862304688</v>
      </c>
      <c r="C1482">
        <v>10</v>
      </c>
      <c r="D1482">
        <v>80</v>
      </c>
      <c r="E1482">
        <v>10</v>
      </c>
      <c r="F1482">
        <v>48</v>
      </c>
      <c r="G1482">
        <v>19.842207900819599</v>
      </c>
    </row>
    <row r="1483" spans="1:7" x14ac:dyDescent="0.3">
      <c r="A1483" t="str">
        <f>IF(ISBLANK(B1483),"",IF(ROUND(B1483,0)=ROUND(G1483,0),"Pass","Fail"))</f>
        <v>Pass</v>
      </c>
      <c r="B1483">
        <f t="shared" si="125"/>
        <v>85.877998352050781</v>
      </c>
      <c r="C1483">
        <v>10</v>
      </c>
      <c r="D1483">
        <v>80</v>
      </c>
      <c r="E1483">
        <v>20</v>
      </c>
      <c r="F1483">
        <v>0</v>
      </c>
      <c r="G1483">
        <v>85.878</v>
      </c>
    </row>
    <row r="1484" spans="1:7" x14ac:dyDescent="0.3">
      <c r="A1484" t="str">
        <f>IF(ISBLANK(B1484),"",IF(ROUND(B1484,0)=ROUND(G1484,0),"Pass","Fail"))</f>
        <v>Pass</v>
      </c>
      <c r="B1484">
        <f t="shared" si="125"/>
        <v>52.541229248046875</v>
      </c>
      <c r="C1484">
        <v>10</v>
      </c>
      <c r="D1484">
        <v>80</v>
      </c>
      <c r="E1484">
        <v>20</v>
      </c>
      <c r="F1484">
        <v>8</v>
      </c>
      <c r="G1484">
        <v>52.541228080723002</v>
      </c>
    </row>
    <row r="1485" spans="1:7" x14ac:dyDescent="0.3">
      <c r="A1485" t="str">
        <f>IF(ISBLANK(B1485),"",IF(ROUND(B1485,0)=ROUND(G1485,0),"Pass","Fail"))</f>
        <v>Pass</v>
      </c>
      <c r="B1485">
        <f t="shared" si="125"/>
        <v>35.759994506835938</v>
      </c>
      <c r="C1485">
        <v>10</v>
      </c>
      <c r="D1485">
        <v>80</v>
      </c>
      <c r="E1485">
        <v>20</v>
      </c>
      <c r="F1485">
        <v>16</v>
      </c>
      <c r="G1485">
        <v>35.759997247101701</v>
      </c>
    </row>
    <row r="1486" spans="1:7" x14ac:dyDescent="0.3">
      <c r="A1486" t="str">
        <f>IF(ISBLANK(B1486),"",IF(ROUND(B1486,0)=ROUND(G1486,0),"Pass","Fail"))</f>
        <v>Pass</v>
      </c>
      <c r="B1486">
        <f t="shared" si="125"/>
        <v>27.312576293945313</v>
      </c>
      <c r="C1486">
        <v>10</v>
      </c>
      <c r="D1486">
        <v>80</v>
      </c>
      <c r="E1486">
        <v>20</v>
      </c>
      <c r="F1486">
        <v>24</v>
      </c>
      <c r="G1486">
        <v>27.3125774137362</v>
      </c>
    </row>
    <row r="1487" spans="1:7" x14ac:dyDescent="0.3">
      <c r="A1487" t="str">
        <f>IF(ISBLANK(B1487),"",IF(ROUND(B1487,0)=ROUND(G1487,0),"Pass","Fail"))</f>
        <v>Pass</v>
      </c>
      <c r="B1487">
        <f t="shared" si="125"/>
        <v>23.060272216796875</v>
      </c>
      <c r="C1487">
        <v>10</v>
      </c>
      <c r="D1487">
        <v>80</v>
      </c>
      <c r="E1487">
        <v>20</v>
      </c>
      <c r="F1487">
        <v>32</v>
      </c>
      <c r="G1487">
        <v>23.060273005994599</v>
      </c>
    </row>
    <row r="1488" spans="1:7" x14ac:dyDescent="0.3">
      <c r="A1488" t="str">
        <f>IF(ISBLANK(B1488),"",IF(ROUND(B1488,0)=ROUND(G1488,0),"Pass","Fail"))</f>
        <v>Pass</v>
      </c>
      <c r="B1488">
        <f t="shared" si="125"/>
        <v>20.919727325439453</v>
      </c>
      <c r="C1488">
        <v>10</v>
      </c>
      <c r="D1488">
        <v>80</v>
      </c>
      <c r="E1488">
        <v>20</v>
      </c>
      <c r="F1488">
        <v>40</v>
      </c>
      <c r="G1488">
        <v>20.919726764327098</v>
      </c>
    </row>
    <row r="1489" spans="1:7" x14ac:dyDescent="0.3">
      <c r="A1489" t="str">
        <f>IF(ISBLANK(B1489),"",IF(ROUND(B1489,0)=ROUND(G1489,0),"Pass","Fail"))</f>
        <v>Pass</v>
      </c>
      <c r="B1489">
        <f t="shared" si="125"/>
        <v>19.842208862304688</v>
      </c>
      <c r="C1489">
        <v>10</v>
      </c>
      <c r="D1489">
        <v>80</v>
      </c>
      <c r="E1489">
        <v>20</v>
      </c>
      <c r="F1489">
        <v>48</v>
      </c>
      <c r="G1489">
        <v>19.842207900819702</v>
      </c>
    </row>
    <row r="1490" spans="1:7" x14ac:dyDescent="0.3">
      <c r="A1490" t="str">
        <f>IF(ISBLANK(B1490),"",IF(ROUND(B1490,0)=ROUND(G1490,0),"Pass","Fail"))</f>
        <v>Pass</v>
      </c>
      <c r="B1490">
        <f t="shared" si="125"/>
        <v>85.877998352050781</v>
      </c>
      <c r="C1490">
        <v>10</v>
      </c>
      <c r="D1490">
        <v>80</v>
      </c>
      <c r="E1490">
        <v>30</v>
      </c>
      <c r="F1490">
        <v>0</v>
      </c>
      <c r="G1490">
        <v>85.878</v>
      </c>
    </row>
    <row r="1491" spans="1:7" x14ac:dyDescent="0.3">
      <c r="A1491" t="str">
        <f>IF(ISBLANK(B1491),"",IF(ROUND(B1491,0)=ROUND(G1491,0),"Pass","Fail"))</f>
        <v>Pass</v>
      </c>
      <c r="B1491">
        <f t="shared" si="125"/>
        <v>52.541229248046875</v>
      </c>
      <c r="C1491">
        <v>10</v>
      </c>
      <c r="D1491">
        <v>80</v>
      </c>
      <c r="E1491">
        <v>30</v>
      </c>
      <c r="F1491">
        <v>8</v>
      </c>
      <c r="G1491">
        <v>52.541228080723002</v>
      </c>
    </row>
    <row r="1492" spans="1:7" x14ac:dyDescent="0.3">
      <c r="A1492" t="str">
        <f>IF(ISBLANK(B1492),"",IF(ROUND(B1492,0)=ROUND(G1492,0),"Pass","Fail"))</f>
        <v>Pass</v>
      </c>
      <c r="B1492">
        <f t="shared" si="125"/>
        <v>35.759994506835938</v>
      </c>
      <c r="C1492">
        <v>10</v>
      </c>
      <c r="D1492">
        <v>80</v>
      </c>
      <c r="E1492">
        <v>30</v>
      </c>
      <c r="F1492">
        <v>16</v>
      </c>
      <c r="G1492">
        <v>35.759997247101701</v>
      </c>
    </row>
    <row r="1493" spans="1:7" x14ac:dyDescent="0.3">
      <c r="A1493" t="str">
        <f>IF(ISBLANK(B1493),"",IF(ROUND(B1493,0)=ROUND(G1493,0),"Pass","Fail"))</f>
        <v>Pass</v>
      </c>
      <c r="B1493">
        <f t="shared" si="125"/>
        <v>27.312576293945313</v>
      </c>
      <c r="C1493">
        <v>10</v>
      </c>
      <c r="D1493">
        <v>80</v>
      </c>
      <c r="E1493">
        <v>30</v>
      </c>
      <c r="F1493">
        <v>24</v>
      </c>
      <c r="G1493">
        <v>27.3125774137362</v>
      </c>
    </row>
    <row r="1494" spans="1:7" x14ac:dyDescent="0.3">
      <c r="A1494" t="str">
        <f>IF(ISBLANK(B1494),"",IF(ROUND(B1494,0)=ROUND(G1494,0),"Pass","Fail"))</f>
        <v>Pass</v>
      </c>
      <c r="B1494">
        <f t="shared" si="125"/>
        <v>23.060272216796875</v>
      </c>
      <c r="C1494">
        <v>10</v>
      </c>
      <c r="D1494">
        <v>80</v>
      </c>
      <c r="E1494">
        <v>30</v>
      </c>
      <c r="F1494">
        <v>32</v>
      </c>
      <c r="G1494">
        <v>23.060273005994599</v>
      </c>
    </row>
    <row r="1495" spans="1:7" x14ac:dyDescent="0.3">
      <c r="A1495" t="str">
        <f>IF(ISBLANK(B1495),"",IF(ROUND(B1495,0)=ROUND(G1495,0),"Pass","Fail"))</f>
        <v>Pass</v>
      </c>
      <c r="B1495">
        <f t="shared" si="125"/>
        <v>20.919727325439453</v>
      </c>
      <c r="C1495">
        <v>10</v>
      </c>
      <c r="D1495">
        <v>80</v>
      </c>
      <c r="E1495">
        <v>30</v>
      </c>
      <c r="F1495">
        <v>40</v>
      </c>
      <c r="G1495">
        <v>20.919726764327098</v>
      </c>
    </row>
    <row r="1496" spans="1:7" x14ac:dyDescent="0.3">
      <c r="A1496" t="str">
        <f>IF(ISBLANK(B1496),"",IF(ROUND(B1496,0)=ROUND(G1496,0),"Pass","Fail"))</f>
        <v>Pass</v>
      </c>
      <c r="B1496">
        <f t="shared" si="125"/>
        <v>19.842208862304688</v>
      </c>
      <c r="C1496">
        <v>10</v>
      </c>
      <c r="D1496">
        <v>80</v>
      </c>
      <c r="E1496">
        <v>30</v>
      </c>
      <c r="F1496">
        <v>48</v>
      </c>
      <c r="G1496">
        <v>19.842207900819702</v>
      </c>
    </row>
    <row r="1497" spans="1:7" x14ac:dyDescent="0.3">
      <c r="A1497" t="str">
        <f>IF(ISBLANK(B1497),"",IF(ROUND(B1497,0)=ROUND(G1497,0),"Pass","Fail"))</f>
        <v>Pass</v>
      </c>
      <c r="B1497">
        <f t="shared" si="125"/>
        <v>85.877998352050781</v>
      </c>
      <c r="C1497">
        <v>10</v>
      </c>
      <c r="D1497">
        <v>80</v>
      </c>
      <c r="E1497">
        <v>40</v>
      </c>
      <c r="F1497">
        <v>0</v>
      </c>
      <c r="G1497">
        <v>85.878</v>
      </c>
    </row>
    <row r="1498" spans="1:7" x14ac:dyDescent="0.3">
      <c r="A1498" t="str">
        <f>IF(ISBLANK(B1498),"",IF(ROUND(B1498,0)=ROUND(G1498,0),"Pass","Fail"))</f>
        <v>Pass</v>
      </c>
      <c r="B1498">
        <f t="shared" si="125"/>
        <v>52.541229248046875</v>
      </c>
      <c r="C1498">
        <v>10</v>
      </c>
      <c r="D1498">
        <v>80</v>
      </c>
      <c r="E1498">
        <v>40</v>
      </c>
      <c r="F1498">
        <v>8</v>
      </c>
      <c r="G1498">
        <v>52.541228080723002</v>
      </c>
    </row>
    <row r="1499" spans="1:7" x14ac:dyDescent="0.3">
      <c r="A1499" t="str">
        <f>IF(ISBLANK(B1499),"",IF(ROUND(B1499,0)=ROUND(G1499,0),"Pass","Fail"))</f>
        <v>Pass</v>
      </c>
      <c r="B1499">
        <f t="shared" si="125"/>
        <v>35.759994506835938</v>
      </c>
      <c r="C1499">
        <v>10</v>
      </c>
      <c r="D1499">
        <v>80</v>
      </c>
      <c r="E1499">
        <v>40</v>
      </c>
      <c r="F1499">
        <v>16</v>
      </c>
      <c r="G1499">
        <v>35.759997247101701</v>
      </c>
    </row>
    <row r="1500" spans="1:7" x14ac:dyDescent="0.3">
      <c r="A1500" t="str">
        <f>IF(ISBLANK(B1500),"",IF(ROUND(B1500,0)=ROUND(G1500,0),"Pass","Fail"))</f>
        <v>Pass</v>
      </c>
      <c r="B1500">
        <f t="shared" si="125"/>
        <v>27.312576293945313</v>
      </c>
      <c r="C1500">
        <v>10</v>
      </c>
      <c r="D1500">
        <v>80</v>
      </c>
      <c r="E1500">
        <v>40</v>
      </c>
      <c r="F1500">
        <v>24</v>
      </c>
      <c r="G1500">
        <v>27.3125774137362</v>
      </c>
    </row>
    <row r="1501" spans="1:7" x14ac:dyDescent="0.3">
      <c r="A1501" t="str">
        <f>IF(ISBLANK(B1501),"",IF(ROUND(B1501,0)=ROUND(G1501,0),"Pass","Fail"))</f>
        <v>Pass</v>
      </c>
      <c r="B1501">
        <f t="shared" si="125"/>
        <v>23.060272216796875</v>
      </c>
      <c r="C1501">
        <v>10</v>
      </c>
      <c r="D1501">
        <v>80</v>
      </c>
      <c r="E1501">
        <v>40</v>
      </c>
      <c r="F1501">
        <v>32</v>
      </c>
      <c r="G1501">
        <v>23.060273005994599</v>
      </c>
    </row>
    <row r="1502" spans="1:7" x14ac:dyDescent="0.3">
      <c r="A1502" t="str">
        <f>IF(ISBLANK(B1502),"",IF(ROUND(B1502,0)=ROUND(G1502,0),"Pass","Fail"))</f>
        <v>Pass</v>
      </c>
      <c r="B1502">
        <f t="shared" si="125"/>
        <v>20.919727325439453</v>
      </c>
      <c r="C1502">
        <v>10</v>
      </c>
      <c r="D1502">
        <v>80</v>
      </c>
      <c r="E1502">
        <v>40</v>
      </c>
      <c r="F1502">
        <v>40</v>
      </c>
      <c r="G1502">
        <v>20.919726764327098</v>
      </c>
    </row>
    <row r="1503" spans="1:7" x14ac:dyDescent="0.3">
      <c r="A1503" t="str">
        <f>IF(ISBLANK(B1503),"",IF(ROUND(B1503,0)=ROUND(G1503,0),"Pass","Fail"))</f>
        <v>Pass</v>
      </c>
      <c r="B1503">
        <f t="shared" si="125"/>
        <v>19.842208862304688</v>
      </c>
      <c r="C1503">
        <v>10</v>
      </c>
      <c r="D1503">
        <v>80</v>
      </c>
      <c r="E1503">
        <v>40</v>
      </c>
      <c r="F1503">
        <v>48</v>
      </c>
      <c r="G1503">
        <v>19.842207900819702</v>
      </c>
    </row>
    <row r="1504" spans="1:7" x14ac:dyDescent="0.3">
      <c r="A1504" t="str">
        <f>IF(ISBLANK(B1504),"",IF(ROUND(B1504,0)=ROUND(G1504,0),"Pass","Fail"))</f>
        <v>Pass</v>
      </c>
      <c r="B1504">
        <f t="shared" si="125"/>
        <v>85.877998352050781</v>
      </c>
      <c r="C1504">
        <v>10</v>
      </c>
      <c r="D1504">
        <v>80</v>
      </c>
      <c r="E1504">
        <v>50</v>
      </c>
      <c r="F1504">
        <v>0</v>
      </c>
      <c r="G1504">
        <v>85.878</v>
      </c>
    </row>
    <row r="1505" spans="1:7" x14ac:dyDescent="0.3">
      <c r="A1505" t="str">
        <f>IF(ISBLANK(B1505),"",IF(ROUND(B1505,0)=ROUND(G1505,0),"Pass","Fail"))</f>
        <v>Pass</v>
      </c>
      <c r="B1505">
        <f t="shared" si="125"/>
        <v>52.541229248046875</v>
      </c>
      <c r="C1505">
        <v>10</v>
      </c>
      <c r="D1505">
        <v>80</v>
      </c>
      <c r="E1505">
        <v>50</v>
      </c>
      <c r="F1505">
        <v>8</v>
      </c>
      <c r="G1505">
        <v>52.541228080723002</v>
      </c>
    </row>
    <row r="1506" spans="1:7" x14ac:dyDescent="0.3">
      <c r="A1506" t="str">
        <f>IF(ISBLANK(B1506),"",IF(ROUND(B1506,0)=ROUND(G1506,0),"Pass","Fail"))</f>
        <v>Pass</v>
      </c>
      <c r="B1506">
        <f t="shared" si="125"/>
        <v>35.759994506835938</v>
      </c>
      <c r="C1506">
        <v>10</v>
      </c>
      <c r="D1506">
        <v>80</v>
      </c>
      <c r="E1506">
        <v>50</v>
      </c>
      <c r="F1506">
        <v>16</v>
      </c>
      <c r="G1506">
        <v>35.759997247101701</v>
      </c>
    </row>
    <row r="1507" spans="1:7" x14ac:dyDescent="0.3">
      <c r="A1507" t="str">
        <f>IF(ISBLANK(B1507),"",IF(ROUND(B1507,0)=ROUND(G1507,0),"Pass","Fail"))</f>
        <v>Pass</v>
      </c>
      <c r="B1507">
        <f t="shared" si="125"/>
        <v>27.312576293945313</v>
      </c>
      <c r="C1507">
        <v>10</v>
      </c>
      <c r="D1507">
        <v>80</v>
      </c>
      <c r="E1507">
        <v>50</v>
      </c>
      <c r="F1507">
        <v>24</v>
      </c>
      <c r="G1507">
        <v>27.3125774137362</v>
      </c>
    </row>
    <row r="1508" spans="1:7" x14ac:dyDescent="0.3">
      <c r="A1508" t="str">
        <f>IF(ISBLANK(B1508),"",IF(ROUND(B1508,0)=ROUND(G1508,0),"Pass","Fail"))</f>
        <v>Pass</v>
      </c>
      <c r="B1508">
        <f t="shared" si="125"/>
        <v>23.060272216796875</v>
      </c>
      <c r="C1508">
        <v>10</v>
      </c>
      <c r="D1508">
        <v>80</v>
      </c>
      <c r="E1508">
        <v>50</v>
      </c>
      <c r="F1508">
        <v>32</v>
      </c>
      <c r="G1508">
        <v>23.060273005994599</v>
      </c>
    </row>
    <row r="1509" spans="1:7" x14ac:dyDescent="0.3">
      <c r="A1509" t="str">
        <f>IF(ISBLANK(B1509),"",IF(ROUND(B1509,0)=ROUND(G1509,0),"Pass","Fail"))</f>
        <v>Pass</v>
      </c>
      <c r="B1509">
        <f t="shared" si="125"/>
        <v>20.919727325439453</v>
      </c>
      <c r="C1509">
        <v>10</v>
      </c>
      <c r="D1509">
        <v>80</v>
      </c>
      <c r="E1509">
        <v>50</v>
      </c>
      <c r="F1509">
        <v>40</v>
      </c>
      <c r="G1509">
        <v>20.919726764327098</v>
      </c>
    </row>
    <row r="1510" spans="1:7" x14ac:dyDescent="0.3">
      <c r="A1510" t="str">
        <f>IF(ISBLANK(B1510),"",IF(ROUND(B1510,0)=ROUND(G1510,0),"Pass","Fail"))</f>
        <v>Pass</v>
      </c>
      <c r="B1510">
        <f t="shared" si="125"/>
        <v>19.842208862304688</v>
      </c>
      <c r="C1510">
        <v>10</v>
      </c>
      <c r="D1510">
        <v>80</v>
      </c>
      <c r="E1510">
        <v>50</v>
      </c>
      <c r="F1510">
        <v>48</v>
      </c>
      <c r="G1510">
        <v>19.842207900819702</v>
      </c>
    </row>
    <row r="1511" spans="1:7" x14ac:dyDescent="0.3">
      <c r="A1511" t="str">
        <f>IF(ISBLANK(B1511),"",IF(ROUND(B1511,0)=ROUND(G1511,0),"Pass","Fail"))</f>
        <v>Pass</v>
      </c>
      <c r="B1511">
        <f t="shared" si="125"/>
        <v>85.877998352050781</v>
      </c>
      <c r="C1511">
        <v>10</v>
      </c>
      <c r="D1511">
        <v>80</v>
      </c>
      <c r="E1511">
        <v>60</v>
      </c>
      <c r="F1511">
        <v>0</v>
      </c>
      <c r="G1511">
        <v>85.878</v>
      </c>
    </row>
    <row r="1512" spans="1:7" x14ac:dyDescent="0.3">
      <c r="A1512" t="str">
        <f>IF(ISBLANK(B1512),"",IF(ROUND(B1512,0)=ROUND(G1512,0),"Pass","Fail"))</f>
        <v>Pass</v>
      </c>
      <c r="B1512">
        <f t="shared" si="125"/>
        <v>52.541229248046875</v>
      </c>
      <c r="C1512">
        <v>10</v>
      </c>
      <c r="D1512">
        <v>80</v>
      </c>
      <c r="E1512">
        <v>60</v>
      </c>
      <c r="F1512">
        <v>8</v>
      </c>
      <c r="G1512">
        <v>52.541228080723002</v>
      </c>
    </row>
    <row r="1513" spans="1:7" x14ac:dyDescent="0.3">
      <c r="A1513" t="str">
        <f>IF(ISBLANK(B1513),"",IF(ROUND(B1513,0)=ROUND(G1513,0),"Pass","Fail"))</f>
        <v>Pass</v>
      </c>
      <c r="B1513">
        <f t="shared" si="125"/>
        <v>35.759994506835938</v>
      </c>
      <c r="C1513">
        <v>10</v>
      </c>
      <c r="D1513">
        <v>80</v>
      </c>
      <c r="E1513">
        <v>60</v>
      </c>
      <c r="F1513">
        <v>16</v>
      </c>
      <c r="G1513">
        <v>35.759997247101701</v>
      </c>
    </row>
    <row r="1514" spans="1:7" x14ac:dyDescent="0.3">
      <c r="A1514" t="str">
        <f>IF(ISBLANK(B1514),"",IF(ROUND(B1514,0)=ROUND(G1514,0),"Pass","Fail"))</f>
        <v>Pass</v>
      </c>
      <c r="B1514">
        <f t="shared" si="125"/>
        <v>27.312576293945313</v>
      </c>
      <c r="C1514">
        <v>10</v>
      </c>
      <c r="D1514">
        <v>80</v>
      </c>
      <c r="E1514">
        <v>60</v>
      </c>
      <c r="F1514">
        <v>24</v>
      </c>
      <c r="G1514">
        <v>27.3125774137362</v>
      </c>
    </row>
    <row r="1515" spans="1:7" x14ac:dyDescent="0.3">
      <c r="A1515" t="str">
        <f>IF(ISBLANK(B1515),"",IF(ROUND(B1515,0)=ROUND(G1515,0),"Pass","Fail"))</f>
        <v>Pass</v>
      </c>
      <c r="B1515">
        <f t="shared" si="125"/>
        <v>23.060272216796875</v>
      </c>
      <c r="C1515">
        <v>10</v>
      </c>
      <c r="D1515">
        <v>80</v>
      </c>
      <c r="E1515">
        <v>60</v>
      </c>
      <c r="F1515">
        <v>32</v>
      </c>
      <c r="G1515">
        <v>23.060273005994599</v>
      </c>
    </row>
    <row r="1516" spans="1:7" x14ac:dyDescent="0.3">
      <c r="A1516" t="str">
        <f>IF(ISBLANK(B1516),"",IF(ROUND(B1516,0)=ROUND(G1516,0),"Pass","Fail"))</f>
        <v>Pass</v>
      </c>
      <c r="B1516">
        <f t="shared" si="125"/>
        <v>20.919727325439453</v>
      </c>
      <c r="C1516">
        <v>10</v>
      </c>
      <c r="D1516">
        <v>80</v>
      </c>
      <c r="E1516">
        <v>60</v>
      </c>
      <c r="F1516">
        <v>40</v>
      </c>
      <c r="G1516">
        <v>20.919726764327098</v>
      </c>
    </row>
    <row r="1517" spans="1:7" x14ac:dyDescent="0.3">
      <c r="A1517" t="str">
        <f>IF(ISBLANK(B1517),"",IF(ROUND(B1517,0)=ROUND(G1517,0),"Pass","Fail"))</f>
        <v>Pass</v>
      </c>
      <c r="B1517">
        <f t="shared" si="125"/>
        <v>19.842208862304688</v>
      </c>
      <c r="C1517">
        <v>10</v>
      </c>
      <c r="D1517">
        <v>80</v>
      </c>
      <c r="E1517">
        <v>60</v>
      </c>
      <c r="F1517">
        <v>48</v>
      </c>
      <c r="G1517">
        <v>19.842207900819702</v>
      </c>
    </row>
    <row r="1518" spans="1:7" x14ac:dyDescent="0.3">
      <c r="A1518" t="str">
        <f>IF(ISBLANK(B1518),"",IF(ROUND(B1518,0)=ROUND(G1518,0),"Pass","Fail"))</f>
        <v>Pass</v>
      </c>
      <c r="B1518">
        <f t="shared" si="125"/>
        <v>85.877998352050781</v>
      </c>
      <c r="C1518">
        <v>10</v>
      </c>
      <c r="D1518">
        <v>80</v>
      </c>
      <c r="E1518">
        <v>70</v>
      </c>
      <c r="F1518">
        <v>0</v>
      </c>
      <c r="G1518">
        <v>85.878</v>
      </c>
    </row>
    <row r="1519" spans="1:7" x14ac:dyDescent="0.3">
      <c r="A1519" t="str">
        <f>IF(ISBLANK(B1519),"",IF(ROUND(B1519,0)=ROUND(G1519,0),"Pass","Fail"))</f>
        <v>Pass</v>
      </c>
      <c r="B1519">
        <f t="shared" si="125"/>
        <v>52.541229248046875</v>
      </c>
      <c r="C1519">
        <v>10</v>
      </c>
      <c r="D1519">
        <v>80</v>
      </c>
      <c r="E1519">
        <v>70</v>
      </c>
      <c r="F1519">
        <v>8</v>
      </c>
      <c r="G1519">
        <v>52.541228080723002</v>
      </c>
    </row>
    <row r="1520" spans="1:7" x14ac:dyDescent="0.3">
      <c r="A1520" t="str">
        <f>IF(ISBLANK(B1520),"",IF(ROUND(B1520,0)=ROUND(G1520,0),"Pass","Fail"))</f>
        <v>Pass</v>
      </c>
      <c r="B1520">
        <f t="shared" si="125"/>
        <v>35.759994506835938</v>
      </c>
      <c r="C1520">
        <v>10</v>
      </c>
      <c r="D1520">
        <v>80</v>
      </c>
      <c r="E1520">
        <v>70</v>
      </c>
      <c r="F1520">
        <v>16</v>
      </c>
      <c r="G1520">
        <v>35.759997247101701</v>
      </c>
    </row>
    <row r="1521" spans="1:7" x14ac:dyDescent="0.3">
      <c r="A1521" t="str">
        <f>IF(ISBLANK(B1521),"",IF(ROUND(B1521,0)=ROUND(G1521,0),"Pass","Fail"))</f>
        <v>Pass</v>
      </c>
      <c r="B1521">
        <f t="shared" si="125"/>
        <v>27.312576293945313</v>
      </c>
      <c r="C1521">
        <v>10</v>
      </c>
      <c r="D1521">
        <v>80</v>
      </c>
      <c r="E1521">
        <v>70</v>
      </c>
      <c r="F1521">
        <v>24</v>
      </c>
      <c r="G1521">
        <v>27.3125774137362</v>
      </c>
    </row>
    <row r="1522" spans="1:7" x14ac:dyDescent="0.3">
      <c r="A1522" t="str">
        <f>IF(ISBLANK(B1522),"",IF(ROUND(B1522,0)=ROUND(G1522,0),"Pass","Fail"))</f>
        <v>Pass</v>
      </c>
      <c r="B1522">
        <f t="shared" si="125"/>
        <v>23.060272216796875</v>
      </c>
      <c r="C1522">
        <v>10</v>
      </c>
      <c r="D1522">
        <v>80</v>
      </c>
      <c r="E1522">
        <v>70</v>
      </c>
      <c r="F1522">
        <v>32</v>
      </c>
      <c r="G1522">
        <v>23.060273005994599</v>
      </c>
    </row>
    <row r="1523" spans="1:7" x14ac:dyDescent="0.3">
      <c r="A1523" t="str">
        <f>IF(ISBLANK(B1523),"",IF(ROUND(B1523,0)=ROUND(G1523,0),"Pass","Fail"))</f>
        <v>Pass</v>
      </c>
      <c r="B1523">
        <f t="shared" si="125"/>
        <v>20.919727325439453</v>
      </c>
      <c r="C1523">
        <v>10</v>
      </c>
      <c r="D1523">
        <v>80</v>
      </c>
      <c r="E1523">
        <v>70</v>
      </c>
      <c r="F1523">
        <v>40</v>
      </c>
      <c r="G1523">
        <v>20.919726764327098</v>
      </c>
    </row>
    <row r="1524" spans="1:7" x14ac:dyDescent="0.3">
      <c r="A1524" t="str">
        <f>IF(ISBLANK(B1524),"",IF(ROUND(B1524,0)=ROUND(G1524,0),"Pass","Fail"))</f>
        <v>Pass</v>
      </c>
      <c r="B1524">
        <f t="shared" si="125"/>
        <v>19.842208862304688</v>
      </c>
      <c r="C1524">
        <v>10</v>
      </c>
      <c r="D1524">
        <v>80</v>
      </c>
      <c r="E1524">
        <v>70</v>
      </c>
      <c r="F1524">
        <v>48</v>
      </c>
      <c r="G1524">
        <v>19.842207900819702</v>
      </c>
    </row>
    <row r="1525" spans="1:7" x14ac:dyDescent="0.3">
      <c r="A1525" t="str">
        <f>IF(ISBLANK(B1525),"",IF(ROUND(B1525,0)=ROUND(G1525,0),"Pass","Fail"))</f>
        <v>Pass</v>
      </c>
      <c r="B1525">
        <f t="shared" si="125"/>
        <v>85.877998352050781</v>
      </c>
      <c r="C1525">
        <v>10</v>
      </c>
      <c r="D1525">
        <v>80</v>
      </c>
      <c r="E1525">
        <v>80</v>
      </c>
      <c r="F1525">
        <v>0</v>
      </c>
      <c r="G1525">
        <v>85.878</v>
      </c>
    </row>
    <row r="1526" spans="1:7" x14ac:dyDescent="0.3">
      <c r="A1526" t="str">
        <f>IF(ISBLANK(B1526),"",IF(ROUND(B1526,0)=ROUND(G1526,0),"Pass","Fail"))</f>
        <v>Pass</v>
      </c>
      <c r="B1526">
        <f t="shared" si="125"/>
        <v>52.541229248046875</v>
      </c>
      <c r="C1526">
        <v>10</v>
      </c>
      <c r="D1526">
        <v>80</v>
      </c>
      <c r="E1526">
        <v>80</v>
      </c>
      <c r="F1526">
        <v>8</v>
      </c>
      <c r="G1526">
        <v>52.541228080723002</v>
      </c>
    </row>
    <row r="1527" spans="1:7" x14ac:dyDescent="0.3">
      <c r="A1527" t="str">
        <f>IF(ISBLANK(B1527),"",IF(ROUND(B1527,0)=ROUND(G1527,0),"Pass","Fail"))</f>
        <v>Pass</v>
      </c>
      <c r="B1527">
        <f t="shared" si="125"/>
        <v>35.759994506835938</v>
      </c>
      <c r="C1527">
        <v>10</v>
      </c>
      <c r="D1527">
        <v>80</v>
      </c>
      <c r="E1527">
        <v>80</v>
      </c>
      <c r="F1527">
        <v>16</v>
      </c>
      <c r="G1527">
        <v>35.759997247101701</v>
      </c>
    </row>
    <row r="1528" spans="1:7" x14ac:dyDescent="0.3">
      <c r="A1528" t="str">
        <f>IF(ISBLANK(B1528),"",IF(ROUND(B1528,0)=ROUND(G1528,0),"Pass","Fail"))</f>
        <v>Pass</v>
      </c>
      <c r="B1528">
        <f t="shared" si="125"/>
        <v>27.312576293945313</v>
      </c>
      <c r="C1528">
        <v>10</v>
      </c>
      <c r="D1528">
        <v>80</v>
      </c>
      <c r="E1528">
        <v>80</v>
      </c>
      <c r="F1528">
        <v>24</v>
      </c>
      <c r="G1528">
        <v>27.3125774137362</v>
      </c>
    </row>
    <row r="1529" spans="1:7" x14ac:dyDescent="0.3">
      <c r="A1529" t="str">
        <f>IF(ISBLANK(B1529),"",IF(ROUND(B1529,0)=ROUND(G1529,0),"Pass","Fail"))</f>
        <v>Pass</v>
      </c>
      <c r="B1529">
        <f t="shared" si="125"/>
        <v>23.060272216796875</v>
      </c>
      <c r="C1529">
        <v>10</v>
      </c>
      <c r="D1529">
        <v>80</v>
      </c>
      <c r="E1529">
        <v>80</v>
      </c>
      <c r="F1529">
        <v>32</v>
      </c>
      <c r="G1529">
        <v>23.060273005994599</v>
      </c>
    </row>
    <row r="1530" spans="1:7" x14ac:dyDescent="0.3">
      <c r="A1530" t="str">
        <f>IF(ISBLANK(B1530),"",IF(ROUND(B1530,0)=ROUND(G1530,0),"Pass","Fail"))</f>
        <v>Pass</v>
      </c>
      <c r="B1530">
        <f t="shared" si="125"/>
        <v>20.919727325439453</v>
      </c>
      <c r="C1530">
        <v>10</v>
      </c>
      <c r="D1530">
        <v>80</v>
      </c>
      <c r="E1530">
        <v>80</v>
      </c>
      <c r="F1530">
        <v>40</v>
      </c>
      <c r="G1530">
        <v>20.919726764327098</v>
      </c>
    </row>
    <row r="1531" spans="1:7" x14ac:dyDescent="0.3">
      <c r="A1531" t="str">
        <f>IF(ISBLANK(B1531),"",IF(ROUND(B1531,0)=ROUND(G1531,0),"Pass","Fail"))</f>
        <v>Pass</v>
      </c>
      <c r="B1531">
        <f t="shared" si="125"/>
        <v>19.842208862304688</v>
      </c>
      <c r="C1531">
        <v>10</v>
      </c>
      <c r="D1531">
        <v>80</v>
      </c>
      <c r="E1531">
        <v>80</v>
      </c>
      <c r="F1531">
        <v>48</v>
      </c>
      <c r="G1531">
        <v>19.842207900819702</v>
      </c>
    </row>
    <row r="1532" spans="1:7" x14ac:dyDescent="0.3">
      <c r="A1532" t="str">
        <f>IF(ISBLANK(B1532),"",IF(ROUND(B1532,0)=ROUND(G1532,0),"Pass","Fail"))</f>
        <v>Pass</v>
      </c>
      <c r="B1532">
        <f t="shared" si="125"/>
        <v>85.877998352050781</v>
      </c>
      <c r="C1532">
        <v>10</v>
      </c>
      <c r="D1532">
        <v>80</v>
      </c>
      <c r="E1532">
        <v>90</v>
      </c>
      <c r="F1532">
        <v>0</v>
      </c>
      <c r="G1532">
        <v>85.878</v>
      </c>
    </row>
    <row r="1533" spans="1:7" x14ac:dyDescent="0.3">
      <c r="A1533" t="str">
        <f>IF(ISBLANK(B1533),"",IF(ROUND(B1533,0)=ROUND(G1533,0),"Pass","Fail"))</f>
        <v>Pass</v>
      </c>
      <c r="B1533">
        <f t="shared" si="125"/>
        <v>52.541229248046875</v>
      </c>
      <c r="C1533">
        <v>10</v>
      </c>
      <c r="D1533">
        <v>80</v>
      </c>
      <c r="E1533">
        <v>90</v>
      </c>
      <c r="F1533">
        <v>8</v>
      </c>
      <c r="G1533">
        <v>52.541228080723002</v>
      </c>
    </row>
    <row r="1534" spans="1:7" x14ac:dyDescent="0.3">
      <c r="A1534" t="str">
        <f>IF(ISBLANK(B1534),"",IF(ROUND(B1534,0)=ROUND(G1534,0),"Pass","Fail"))</f>
        <v>Pass</v>
      </c>
      <c r="B1534">
        <f t="shared" si="125"/>
        <v>35.759994506835938</v>
      </c>
      <c r="C1534">
        <v>10</v>
      </c>
      <c r="D1534">
        <v>80</v>
      </c>
      <c r="E1534">
        <v>90</v>
      </c>
      <c r="F1534">
        <v>16</v>
      </c>
      <c r="G1534">
        <v>35.759997247101701</v>
      </c>
    </row>
    <row r="1535" spans="1:7" x14ac:dyDescent="0.3">
      <c r="A1535" t="str">
        <f>IF(ISBLANK(B1535),"",IF(ROUND(B1535,0)=ROUND(G1535,0),"Pass","Fail"))</f>
        <v>Pass</v>
      </c>
      <c r="B1535">
        <f t="shared" si="125"/>
        <v>27.312576293945313</v>
      </c>
      <c r="C1535">
        <v>10</v>
      </c>
      <c r="D1535">
        <v>80</v>
      </c>
      <c r="E1535">
        <v>90</v>
      </c>
      <c r="F1535">
        <v>24</v>
      </c>
      <c r="G1535">
        <v>27.3125774137362</v>
      </c>
    </row>
    <row r="1536" spans="1:7" x14ac:dyDescent="0.3">
      <c r="A1536" t="str">
        <f>IF(ISBLANK(B1536),"",IF(ROUND(B1536,0)=ROUND(G1536,0),"Pass","Fail"))</f>
        <v>Pass</v>
      </c>
      <c r="B1536">
        <f t="shared" si="125"/>
        <v>23.060272216796875</v>
      </c>
      <c r="C1536">
        <v>10</v>
      </c>
      <c r="D1536">
        <v>80</v>
      </c>
      <c r="E1536">
        <v>90</v>
      </c>
      <c r="F1536">
        <v>32</v>
      </c>
      <c r="G1536">
        <v>23.060273005994599</v>
      </c>
    </row>
    <row r="1537" spans="1:7" x14ac:dyDescent="0.3">
      <c r="A1537" t="str">
        <f>IF(ISBLANK(B1537),"",IF(ROUND(B1537,0)=ROUND(G1537,0),"Pass","Fail"))</f>
        <v>Pass</v>
      </c>
      <c r="B1537">
        <f t="shared" si="125"/>
        <v>20.919727325439453</v>
      </c>
      <c r="C1537">
        <v>10</v>
      </c>
      <c r="D1537">
        <v>80</v>
      </c>
      <c r="E1537">
        <v>90</v>
      </c>
      <c r="F1537">
        <v>40</v>
      </c>
      <c r="G1537">
        <v>20.919726764327098</v>
      </c>
    </row>
    <row r="1538" spans="1:7" x14ac:dyDescent="0.3">
      <c r="A1538" t="str">
        <f>IF(ISBLANK(B1538),"",IF(ROUND(B1538,0)=ROUND(G1538,0),"Pass","Fail"))</f>
        <v>Pass</v>
      </c>
      <c r="B1538">
        <f t="shared" si="125"/>
        <v>19.842208862304688</v>
      </c>
      <c r="C1538">
        <v>10</v>
      </c>
      <c r="D1538">
        <v>80</v>
      </c>
      <c r="E1538">
        <v>90</v>
      </c>
      <c r="F1538">
        <v>48</v>
      </c>
      <c r="G1538">
        <v>19.842207900819702</v>
      </c>
    </row>
    <row r="1539" spans="1:7" x14ac:dyDescent="0.3">
      <c r="A1539" t="str">
        <f>IF(ISBLANK(B1539),"",IF(ROUND(B1539,0)=ROUND(G1539,0),"Pass","Fail"))</f>
        <v>Pass</v>
      </c>
      <c r="B1539">
        <f t="shared" si="125"/>
        <v>85.877998352050781</v>
      </c>
      <c r="C1539">
        <v>10</v>
      </c>
      <c r="D1539">
        <v>80</v>
      </c>
      <c r="E1539">
        <v>100</v>
      </c>
      <c r="F1539">
        <v>0</v>
      </c>
      <c r="G1539">
        <v>85.878</v>
      </c>
    </row>
    <row r="1540" spans="1:7" x14ac:dyDescent="0.3">
      <c r="A1540" t="str">
        <f>IF(ISBLANK(B1540),"",IF(ROUND(B1540,0)=ROUND(G1540,0),"Pass","Fail"))</f>
        <v>Pass</v>
      </c>
      <c r="B1540">
        <f t="shared" si="125"/>
        <v>52.541229248046875</v>
      </c>
      <c r="C1540">
        <v>10</v>
      </c>
      <c r="D1540">
        <v>80</v>
      </c>
      <c r="E1540">
        <v>100</v>
      </c>
      <c r="F1540">
        <v>8</v>
      </c>
      <c r="G1540">
        <v>52.541228080723002</v>
      </c>
    </row>
    <row r="1541" spans="1:7" x14ac:dyDescent="0.3">
      <c r="A1541" t="str">
        <f>IF(ISBLANK(B1541),"",IF(ROUND(B1541,0)=ROUND(G1541,0),"Pass","Fail"))</f>
        <v>Pass</v>
      </c>
      <c r="B1541">
        <f t="shared" si="125"/>
        <v>35.759994506835938</v>
      </c>
      <c r="C1541">
        <v>10</v>
      </c>
      <c r="D1541">
        <v>80</v>
      </c>
      <c r="E1541">
        <v>100</v>
      </c>
      <c r="F1541">
        <v>16</v>
      </c>
      <c r="G1541">
        <v>35.759997247101701</v>
      </c>
    </row>
    <row r="1542" spans="1:7" x14ac:dyDescent="0.3">
      <c r="A1542" t="str">
        <f>IF(ISBLANK(B1542),"",IF(ROUND(B1542,0)=ROUND(G1542,0),"Pass","Fail"))</f>
        <v>Pass</v>
      </c>
      <c r="B1542">
        <f t="shared" si="125"/>
        <v>27.312576293945313</v>
      </c>
      <c r="C1542">
        <v>10</v>
      </c>
      <c r="D1542">
        <v>80</v>
      </c>
      <c r="E1542">
        <v>100</v>
      </c>
      <c r="F1542">
        <v>24</v>
      </c>
      <c r="G1542">
        <v>27.3125774137362</v>
      </c>
    </row>
    <row r="1543" spans="1:7" x14ac:dyDescent="0.3">
      <c r="A1543" t="str">
        <f>IF(ISBLANK(B1543),"",IF(ROUND(B1543,0)=ROUND(G1543,0),"Pass","Fail"))</f>
        <v>Pass</v>
      </c>
      <c r="B1543">
        <f t="shared" ref="B1543:B1606" si="126">FMC_heath(C1543,D1543,E1543,F1543)</f>
        <v>23.060272216796875</v>
      </c>
      <c r="C1543">
        <v>10</v>
      </c>
      <c r="D1543">
        <v>80</v>
      </c>
      <c r="E1543">
        <v>100</v>
      </c>
      <c r="F1543">
        <v>32</v>
      </c>
      <c r="G1543">
        <v>23.060273005994599</v>
      </c>
    </row>
    <row r="1544" spans="1:7" x14ac:dyDescent="0.3">
      <c r="A1544" t="str">
        <f>IF(ISBLANK(B1544),"",IF(ROUND(B1544,0)=ROUND(G1544,0),"Pass","Fail"))</f>
        <v>Pass</v>
      </c>
      <c r="B1544">
        <f t="shared" si="126"/>
        <v>20.919727325439453</v>
      </c>
      <c r="C1544">
        <v>10</v>
      </c>
      <c r="D1544">
        <v>80</v>
      </c>
      <c r="E1544">
        <v>100</v>
      </c>
      <c r="F1544">
        <v>40</v>
      </c>
      <c r="G1544">
        <v>20.919726764327098</v>
      </c>
    </row>
    <row r="1545" spans="1:7" x14ac:dyDescent="0.3">
      <c r="A1545" t="str">
        <f>IF(ISBLANK(B1545),"",IF(ROUND(B1545,0)=ROUND(G1545,0),"Pass","Fail"))</f>
        <v>Pass</v>
      </c>
      <c r="B1545">
        <f t="shared" si="126"/>
        <v>19.842208862304688</v>
      </c>
      <c r="C1545">
        <v>10</v>
      </c>
      <c r="D1545">
        <v>80</v>
      </c>
      <c r="E1545">
        <v>100</v>
      </c>
      <c r="F1545">
        <v>48</v>
      </c>
      <c r="G1545">
        <v>19.842207900819702</v>
      </c>
    </row>
    <row r="1546" spans="1:7" x14ac:dyDescent="0.3">
      <c r="A1546" t="str">
        <f>IF(ISBLANK(B1546),"",IF(ROUND(B1546,0)=ROUND(G1546,0),"Pass","Fail"))</f>
        <v>Pass</v>
      </c>
      <c r="B1546">
        <f t="shared" si="126"/>
        <v>20.360000610351563</v>
      </c>
      <c r="C1546">
        <v>10</v>
      </c>
      <c r="D1546">
        <v>90</v>
      </c>
      <c r="E1546">
        <v>0</v>
      </c>
      <c r="F1546">
        <v>0</v>
      </c>
      <c r="G1546">
        <v>20.36</v>
      </c>
    </row>
    <row r="1547" spans="1:7" x14ac:dyDescent="0.3">
      <c r="A1547" t="str">
        <f>IF(ISBLANK(B1547),"",IF(ROUND(B1547,0)=ROUND(G1547,0),"Pass","Fail"))</f>
        <v>Pass</v>
      </c>
      <c r="B1547">
        <f t="shared" si="126"/>
        <v>20.360000610351563</v>
      </c>
      <c r="C1547">
        <v>10</v>
      </c>
      <c r="D1547">
        <v>90</v>
      </c>
      <c r="E1547">
        <v>0</v>
      </c>
      <c r="F1547">
        <v>8</v>
      </c>
      <c r="G1547">
        <v>20.36</v>
      </c>
    </row>
    <row r="1548" spans="1:7" x14ac:dyDescent="0.3">
      <c r="A1548" t="str">
        <f>IF(ISBLANK(B1548),"",IF(ROUND(B1548,0)=ROUND(G1548,0),"Pass","Fail"))</f>
        <v>Pass</v>
      </c>
      <c r="B1548">
        <f t="shared" si="126"/>
        <v>20.360000610351563</v>
      </c>
      <c r="C1548">
        <v>10</v>
      </c>
      <c r="D1548">
        <v>90</v>
      </c>
      <c r="E1548">
        <v>0</v>
      </c>
      <c r="F1548">
        <v>16</v>
      </c>
      <c r="G1548">
        <v>20.36</v>
      </c>
    </row>
    <row r="1549" spans="1:7" x14ac:dyDescent="0.3">
      <c r="A1549" t="str">
        <f>IF(ISBLANK(B1549),"",IF(ROUND(B1549,0)=ROUND(G1549,0),"Pass","Fail"))</f>
        <v>Pass</v>
      </c>
      <c r="B1549">
        <f t="shared" si="126"/>
        <v>20.360000610351563</v>
      </c>
      <c r="C1549">
        <v>10</v>
      </c>
      <c r="D1549">
        <v>90</v>
      </c>
      <c r="E1549">
        <v>0</v>
      </c>
      <c r="F1549">
        <v>24</v>
      </c>
      <c r="G1549">
        <v>20.36</v>
      </c>
    </row>
    <row r="1550" spans="1:7" x14ac:dyDescent="0.3">
      <c r="A1550" t="str">
        <f>IF(ISBLANK(B1550),"",IF(ROUND(B1550,0)=ROUND(G1550,0),"Pass","Fail"))</f>
        <v>Pass</v>
      </c>
      <c r="B1550">
        <f t="shared" si="126"/>
        <v>20.360000610351563</v>
      </c>
      <c r="C1550">
        <v>10</v>
      </c>
      <c r="D1550">
        <v>90</v>
      </c>
      <c r="E1550">
        <v>0</v>
      </c>
      <c r="F1550">
        <v>32</v>
      </c>
      <c r="G1550">
        <v>20.36</v>
      </c>
    </row>
    <row r="1551" spans="1:7" x14ac:dyDescent="0.3">
      <c r="A1551" t="str">
        <f>IF(ISBLANK(B1551),"",IF(ROUND(B1551,0)=ROUND(G1551,0),"Pass","Fail"))</f>
        <v>Pass</v>
      </c>
      <c r="B1551">
        <f t="shared" si="126"/>
        <v>20.360000610351563</v>
      </c>
      <c r="C1551">
        <v>10</v>
      </c>
      <c r="D1551">
        <v>90</v>
      </c>
      <c r="E1551">
        <v>0</v>
      </c>
      <c r="F1551">
        <v>40</v>
      </c>
      <c r="G1551">
        <v>20.36</v>
      </c>
    </row>
    <row r="1552" spans="1:7" x14ac:dyDescent="0.3">
      <c r="A1552" t="str">
        <f>IF(ISBLANK(B1552),"",IF(ROUND(B1552,0)=ROUND(G1552,0),"Pass","Fail"))</f>
        <v>Pass</v>
      </c>
      <c r="B1552">
        <f t="shared" si="126"/>
        <v>20.360000610351563</v>
      </c>
      <c r="C1552">
        <v>10</v>
      </c>
      <c r="D1552">
        <v>90</v>
      </c>
      <c r="E1552">
        <v>0</v>
      </c>
      <c r="F1552">
        <v>48</v>
      </c>
      <c r="G1552">
        <v>20.36</v>
      </c>
    </row>
    <row r="1553" spans="1:7" x14ac:dyDescent="0.3">
      <c r="A1553" t="str">
        <f>IF(ISBLANK(B1553),"",IF(ROUND(B1553,0)=ROUND(G1553,0),"Pass","Fail"))</f>
        <v>Pass</v>
      </c>
      <c r="B1553">
        <f t="shared" si="126"/>
        <v>87.487998962402344</v>
      </c>
      <c r="C1553">
        <v>10</v>
      </c>
      <c r="D1553">
        <v>90</v>
      </c>
      <c r="E1553">
        <v>10</v>
      </c>
      <c r="F1553">
        <v>0</v>
      </c>
      <c r="G1553">
        <v>87.487999999998294</v>
      </c>
    </row>
    <row r="1554" spans="1:7" x14ac:dyDescent="0.3">
      <c r="A1554" t="str">
        <f>IF(ISBLANK(B1554),"",IF(ROUND(B1554,0)=ROUND(G1554,0),"Pass","Fail"))</f>
        <v>Pass</v>
      </c>
      <c r="B1554">
        <f t="shared" si="126"/>
        <v>54.151229858398438</v>
      </c>
      <c r="C1554">
        <v>10</v>
      </c>
      <c r="D1554">
        <v>90</v>
      </c>
      <c r="E1554">
        <v>10</v>
      </c>
      <c r="F1554">
        <v>8</v>
      </c>
      <c r="G1554">
        <v>54.151228080722198</v>
      </c>
    </row>
    <row r="1555" spans="1:7" x14ac:dyDescent="0.3">
      <c r="A1555" t="str">
        <f>IF(ISBLANK(B1555),"",IF(ROUND(B1555,0)=ROUND(G1555,0),"Pass","Fail"))</f>
        <v>Pass</v>
      </c>
      <c r="B1555">
        <f t="shared" si="126"/>
        <v>37.3699951171875</v>
      </c>
      <c r="C1555">
        <v>10</v>
      </c>
      <c r="D1555">
        <v>90</v>
      </c>
      <c r="E1555">
        <v>10</v>
      </c>
      <c r="F1555">
        <v>16</v>
      </c>
      <c r="G1555">
        <v>37.369997247101303</v>
      </c>
    </row>
    <row r="1556" spans="1:7" x14ac:dyDescent="0.3">
      <c r="A1556" t="str">
        <f>IF(ISBLANK(B1556),"",IF(ROUND(B1556,0)=ROUND(G1556,0),"Pass","Fail"))</f>
        <v>Pass</v>
      </c>
      <c r="B1556">
        <f t="shared" si="126"/>
        <v>28.922576904296875</v>
      </c>
      <c r="C1556">
        <v>10</v>
      </c>
      <c r="D1556">
        <v>90</v>
      </c>
      <c r="E1556">
        <v>10</v>
      </c>
      <c r="F1556">
        <v>24</v>
      </c>
      <c r="G1556">
        <v>28.922577413736001</v>
      </c>
    </row>
    <row r="1557" spans="1:7" x14ac:dyDescent="0.3">
      <c r="A1557" t="str">
        <f>IF(ISBLANK(B1557),"",IF(ROUND(B1557,0)=ROUND(G1557,0),"Pass","Fail"))</f>
        <v>Pass</v>
      </c>
      <c r="B1557">
        <f t="shared" si="126"/>
        <v>24.670272827148438</v>
      </c>
      <c r="C1557">
        <v>10</v>
      </c>
      <c r="D1557">
        <v>90</v>
      </c>
      <c r="E1557">
        <v>10</v>
      </c>
      <c r="F1557">
        <v>32</v>
      </c>
      <c r="G1557">
        <v>24.670273005994499</v>
      </c>
    </row>
    <row r="1558" spans="1:7" x14ac:dyDescent="0.3">
      <c r="A1558" t="str">
        <f>IF(ISBLANK(B1558),"",IF(ROUND(B1558,0)=ROUND(G1558,0),"Pass","Fail"))</f>
        <v>Pass</v>
      </c>
      <c r="B1558">
        <f t="shared" si="126"/>
        <v>22.529727935791016</v>
      </c>
      <c r="C1558">
        <v>10</v>
      </c>
      <c r="D1558">
        <v>90</v>
      </c>
      <c r="E1558">
        <v>10</v>
      </c>
      <c r="F1558">
        <v>40</v>
      </c>
      <c r="G1558">
        <v>22.529726764326998</v>
      </c>
    </row>
    <row r="1559" spans="1:7" x14ac:dyDescent="0.3">
      <c r="A1559" t="str">
        <f>IF(ISBLANK(B1559),"",IF(ROUND(B1559,0)=ROUND(G1559,0),"Pass","Fail"))</f>
        <v>Pass</v>
      </c>
      <c r="B1559">
        <f t="shared" si="126"/>
        <v>21.45220947265625</v>
      </c>
      <c r="C1559">
        <v>10</v>
      </c>
      <c r="D1559">
        <v>90</v>
      </c>
      <c r="E1559">
        <v>10</v>
      </c>
      <c r="F1559">
        <v>48</v>
      </c>
      <c r="G1559">
        <v>21.452207900819602</v>
      </c>
    </row>
    <row r="1560" spans="1:7" x14ac:dyDescent="0.3">
      <c r="A1560" t="str">
        <f>IF(ISBLANK(B1560),"",IF(ROUND(B1560,0)=ROUND(G1560,0),"Pass","Fail"))</f>
        <v>Pass</v>
      </c>
      <c r="B1560">
        <f t="shared" si="126"/>
        <v>87.487998962402344</v>
      </c>
      <c r="C1560">
        <v>10</v>
      </c>
      <c r="D1560">
        <v>90</v>
      </c>
      <c r="E1560">
        <v>20</v>
      </c>
      <c r="F1560">
        <v>0</v>
      </c>
      <c r="G1560">
        <v>87.488</v>
      </c>
    </row>
    <row r="1561" spans="1:7" x14ac:dyDescent="0.3">
      <c r="A1561" t="str">
        <f>IF(ISBLANK(B1561),"",IF(ROUND(B1561,0)=ROUND(G1561,0),"Pass","Fail"))</f>
        <v>Pass</v>
      </c>
      <c r="B1561">
        <f t="shared" si="126"/>
        <v>54.151229858398438</v>
      </c>
      <c r="C1561">
        <v>10</v>
      </c>
      <c r="D1561">
        <v>90</v>
      </c>
      <c r="E1561">
        <v>20</v>
      </c>
      <c r="F1561">
        <v>8</v>
      </c>
      <c r="G1561">
        <v>54.151228080723001</v>
      </c>
    </row>
    <row r="1562" spans="1:7" x14ac:dyDescent="0.3">
      <c r="A1562" t="str">
        <f>IF(ISBLANK(B1562),"",IF(ROUND(B1562,0)=ROUND(G1562,0),"Pass","Fail"))</f>
        <v>Pass</v>
      </c>
      <c r="B1562">
        <f t="shared" si="126"/>
        <v>37.3699951171875</v>
      </c>
      <c r="C1562">
        <v>10</v>
      </c>
      <c r="D1562">
        <v>90</v>
      </c>
      <c r="E1562">
        <v>20</v>
      </c>
      <c r="F1562">
        <v>16</v>
      </c>
      <c r="G1562">
        <v>37.369997247101701</v>
      </c>
    </row>
    <row r="1563" spans="1:7" x14ac:dyDescent="0.3">
      <c r="A1563" t="str">
        <f>IF(ISBLANK(B1563),"",IF(ROUND(B1563,0)=ROUND(G1563,0),"Pass","Fail"))</f>
        <v>Pass</v>
      </c>
      <c r="B1563">
        <f t="shared" si="126"/>
        <v>28.922576904296875</v>
      </c>
      <c r="C1563">
        <v>10</v>
      </c>
      <c r="D1563">
        <v>90</v>
      </c>
      <c r="E1563">
        <v>20</v>
      </c>
      <c r="F1563">
        <v>24</v>
      </c>
      <c r="G1563">
        <v>28.9225774137362</v>
      </c>
    </row>
    <row r="1564" spans="1:7" x14ac:dyDescent="0.3">
      <c r="A1564" t="str">
        <f>IF(ISBLANK(B1564),"",IF(ROUND(B1564,0)=ROUND(G1564,0),"Pass","Fail"))</f>
        <v>Pass</v>
      </c>
      <c r="B1564">
        <f t="shared" si="126"/>
        <v>24.670272827148438</v>
      </c>
      <c r="C1564">
        <v>10</v>
      </c>
      <c r="D1564">
        <v>90</v>
      </c>
      <c r="E1564">
        <v>20</v>
      </c>
      <c r="F1564">
        <v>32</v>
      </c>
      <c r="G1564">
        <v>24.670273005994598</v>
      </c>
    </row>
    <row r="1565" spans="1:7" x14ac:dyDescent="0.3">
      <c r="A1565" t="str">
        <f>IF(ISBLANK(B1565),"",IF(ROUND(B1565,0)=ROUND(G1565,0),"Pass","Fail"))</f>
        <v>Pass</v>
      </c>
      <c r="B1565">
        <f t="shared" si="126"/>
        <v>22.529727935791016</v>
      </c>
      <c r="C1565">
        <v>10</v>
      </c>
      <c r="D1565">
        <v>90</v>
      </c>
      <c r="E1565">
        <v>20</v>
      </c>
      <c r="F1565">
        <v>40</v>
      </c>
      <c r="G1565">
        <v>22.529726764327101</v>
      </c>
    </row>
    <row r="1566" spans="1:7" x14ac:dyDescent="0.3">
      <c r="A1566" t="str">
        <f>IF(ISBLANK(B1566),"",IF(ROUND(B1566,0)=ROUND(G1566,0),"Pass","Fail"))</f>
        <v>Pass</v>
      </c>
      <c r="B1566">
        <f t="shared" si="126"/>
        <v>21.45220947265625</v>
      </c>
      <c r="C1566">
        <v>10</v>
      </c>
      <c r="D1566">
        <v>90</v>
      </c>
      <c r="E1566">
        <v>20</v>
      </c>
      <c r="F1566">
        <v>48</v>
      </c>
      <c r="G1566">
        <v>21.452207900819701</v>
      </c>
    </row>
    <row r="1567" spans="1:7" x14ac:dyDescent="0.3">
      <c r="A1567" t="str">
        <f>IF(ISBLANK(B1567),"",IF(ROUND(B1567,0)=ROUND(G1567,0),"Pass","Fail"))</f>
        <v>Pass</v>
      </c>
      <c r="B1567">
        <f t="shared" si="126"/>
        <v>87.487998962402344</v>
      </c>
      <c r="C1567">
        <v>10</v>
      </c>
      <c r="D1567">
        <v>90</v>
      </c>
      <c r="E1567">
        <v>30</v>
      </c>
      <c r="F1567">
        <v>0</v>
      </c>
      <c r="G1567">
        <v>87.488</v>
      </c>
    </row>
    <row r="1568" spans="1:7" x14ac:dyDescent="0.3">
      <c r="A1568" t="str">
        <f>IF(ISBLANK(B1568),"",IF(ROUND(B1568,0)=ROUND(G1568,0),"Pass","Fail"))</f>
        <v>Pass</v>
      </c>
      <c r="B1568">
        <f t="shared" si="126"/>
        <v>54.151229858398438</v>
      </c>
      <c r="C1568">
        <v>10</v>
      </c>
      <c r="D1568">
        <v>90</v>
      </c>
      <c r="E1568">
        <v>30</v>
      </c>
      <c r="F1568">
        <v>8</v>
      </c>
      <c r="G1568">
        <v>54.151228080723001</v>
      </c>
    </row>
    <row r="1569" spans="1:7" x14ac:dyDescent="0.3">
      <c r="A1569" t="str">
        <f>IF(ISBLANK(B1569),"",IF(ROUND(B1569,0)=ROUND(G1569,0),"Pass","Fail"))</f>
        <v>Pass</v>
      </c>
      <c r="B1569">
        <f t="shared" si="126"/>
        <v>37.3699951171875</v>
      </c>
      <c r="C1569">
        <v>10</v>
      </c>
      <c r="D1569">
        <v>90</v>
      </c>
      <c r="E1569">
        <v>30</v>
      </c>
      <c r="F1569">
        <v>16</v>
      </c>
      <c r="G1569">
        <v>37.369997247101701</v>
      </c>
    </row>
    <row r="1570" spans="1:7" x14ac:dyDescent="0.3">
      <c r="A1570" t="str">
        <f>IF(ISBLANK(B1570),"",IF(ROUND(B1570,0)=ROUND(G1570,0),"Pass","Fail"))</f>
        <v>Pass</v>
      </c>
      <c r="B1570">
        <f t="shared" si="126"/>
        <v>28.922576904296875</v>
      </c>
      <c r="C1570">
        <v>10</v>
      </c>
      <c r="D1570">
        <v>90</v>
      </c>
      <c r="E1570">
        <v>30</v>
      </c>
      <c r="F1570">
        <v>24</v>
      </c>
      <c r="G1570">
        <v>28.9225774137362</v>
      </c>
    </row>
    <row r="1571" spans="1:7" x14ac:dyDescent="0.3">
      <c r="A1571" t="str">
        <f>IF(ISBLANK(B1571),"",IF(ROUND(B1571,0)=ROUND(G1571,0),"Pass","Fail"))</f>
        <v>Pass</v>
      </c>
      <c r="B1571">
        <f t="shared" si="126"/>
        <v>24.670272827148438</v>
      </c>
      <c r="C1571">
        <v>10</v>
      </c>
      <c r="D1571">
        <v>90</v>
      </c>
      <c r="E1571">
        <v>30</v>
      </c>
      <c r="F1571">
        <v>32</v>
      </c>
      <c r="G1571">
        <v>24.670273005994598</v>
      </c>
    </row>
    <row r="1572" spans="1:7" x14ac:dyDescent="0.3">
      <c r="A1572" t="str">
        <f>IF(ISBLANK(B1572),"",IF(ROUND(B1572,0)=ROUND(G1572,0),"Pass","Fail"))</f>
        <v>Pass</v>
      </c>
      <c r="B1572">
        <f t="shared" si="126"/>
        <v>22.529727935791016</v>
      </c>
      <c r="C1572">
        <v>10</v>
      </c>
      <c r="D1572">
        <v>90</v>
      </c>
      <c r="E1572">
        <v>30</v>
      </c>
      <c r="F1572">
        <v>40</v>
      </c>
      <c r="G1572">
        <v>22.529726764327101</v>
      </c>
    </row>
    <row r="1573" spans="1:7" x14ac:dyDescent="0.3">
      <c r="A1573" t="str">
        <f>IF(ISBLANK(B1573),"",IF(ROUND(B1573,0)=ROUND(G1573,0),"Pass","Fail"))</f>
        <v>Pass</v>
      </c>
      <c r="B1573">
        <f t="shared" si="126"/>
        <v>21.45220947265625</v>
      </c>
      <c r="C1573">
        <v>10</v>
      </c>
      <c r="D1573">
        <v>90</v>
      </c>
      <c r="E1573">
        <v>30</v>
      </c>
      <c r="F1573">
        <v>48</v>
      </c>
      <c r="G1573">
        <v>21.452207900819701</v>
      </c>
    </row>
    <row r="1574" spans="1:7" x14ac:dyDescent="0.3">
      <c r="A1574" t="str">
        <f>IF(ISBLANK(B1574),"",IF(ROUND(B1574,0)=ROUND(G1574,0),"Pass","Fail"))</f>
        <v>Pass</v>
      </c>
      <c r="B1574">
        <f t="shared" si="126"/>
        <v>87.487998962402344</v>
      </c>
      <c r="C1574">
        <v>10</v>
      </c>
      <c r="D1574">
        <v>90</v>
      </c>
      <c r="E1574">
        <v>40</v>
      </c>
      <c r="F1574">
        <v>0</v>
      </c>
      <c r="G1574">
        <v>87.488</v>
      </c>
    </row>
    <row r="1575" spans="1:7" x14ac:dyDescent="0.3">
      <c r="A1575" t="str">
        <f>IF(ISBLANK(B1575),"",IF(ROUND(B1575,0)=ROUND(G1575,0),"Pass","Fail"))</f>
        <v>Pass</v>
      </c>
      <c r="B1575">
        <f t="shared" si="126"/>
        <v>54.151229858398438</v>
      </c>
      <c r="C1575">
        <v>10</v>
      </c>
      <c r="D1575">
        <v>90</v>
      </c>
      <c r="E1575">
        <v>40</v>
      </c>
      <c r="F1575">
        <v>8</v>
      </c>
      <c r="G1575">
        <v>54.151228080723001</v>
      </c>
    </row>
    <row r="1576" spans="1:7" x14ac:dyDescent="0.3">
      <c r="A1576" t="str">
        <f>IF(ISBLANK(B1576),"",IF(ROUND(B1576,0)=ROUND(G1576,0),"Pass","Fail"))</f>
        <v>Pass</v>
      </c>
      <c r="B1576">
        <f t="shared" si="126"/>
        <v>37.3699951171875</v>
      </c>
      <c r="C1576">
        <v>10</v>
      </c>
      <c r="D1576">
        <v>90</v>
      </c>
      <c r="E1576">
        <v>40</v>
      </c>
      <c r="F1576">
        <v>16</v>
      </c>
      <c r="G1576">
        <v>37.369997247101701</v>
      </c>
    </row>
    <row r="1577" spans="1:7" x14ac:dyDescent="0.3">
      <c r="A1577" t="str">
        <f>IF(ISBLANK(B1577),"",IF(ROUND(B1577,0)=ROUND(G1577,0),"Pass","Fail"))</f>
        <v>Pass</v>
      </c>
      <c r="B1577">
        <f t="shared" si="126"/>
        <v>28.922576904296875</v>
      </c>
      <c r="C1577">
        <v>10</v>
      </c>
      <c r="D1577">
        <v>90</v>
      </c>
      <c r="E1577">
        <v>40</v>
      </c>
      <c r="F1577">
        <v>24</v>
      </c>
      <c r="G1577">
        <v>28.9225774137362</v>
      </c>
    </row>
    <row r="1578" spans="1:7" x14ac:dyDescent="0.3">
      <c r="A1578" t="str">
        <f>IF(ISBLANK(B1578),"",IF(ROUND(B1578,0)=ROUND(G1578,0),"Pass","Fail"))</f>
        <v>Pass</v>
      </c>
      <c r="B1578">
        <f t="shared" si="126"/>
        <v>24.670272827148438</v>
      </c>
      <c r="C1578">
        <v>10</v>
      </c>
      <c r="D1578">
        <v>90</v>
      </c>
      <c r="E1578">
        <v>40</v>
      </c>
      <c r="F1578">
        <v>32</v>
      </c>
      <c r="G1578">
        <v>24.670273005994598</v>
      </c>
    </row>
    <row r="1579" spans="1:7" x14ac:dyDescent="0.3">
      <c r="A1579" t="str">
        <f>IF(ISBLANK(B1579),"",IF(ROUND(B1579,0)=ROUND(G1579,0),"Pass","Fail"))</f>
        <v>Pass</v>
      </c>
      <c r="B1579">
        <f t="shared" si="126"/>
        <v>22.529727935791016</v>
      </c>
      <c r="C1579">
        <v>10</v>
      </c>
      <c r="D1579">
        <v>90</v>
      </c>
      <c r="E1579">
        <v>40</v>
      </c>
      <c r="F1579">
        <v>40</v>
      </c>
      <c r="G1579">
        <v>22.529726764327101</v>
      </c>
    </row>
    <row r="1580" spans="1:7" x14ac:dyDescent="0.3">
      <c r="A1580" t="str">
        <f>IF(ISBLANK(B1580),"",IF(ROUND(B1580,0)=ROUND(G1580,0),"Pass","Fail"))</f>
        <v>Pass</v>
      </c>
      <c r="B1580">
        <f t="shared" si="126"/>
        <v>21.45220947265625</v>
      </c>
      <c r="C1580">
        <v>10</v>
      </c>
      <c r="D1580">
        <v>90</v>
      </c>
      <c r="E1580">
        <v>40</v>
      </c>
      <c r="F1580">
        <v>48</v>
      </c>
      <c r="G1580">
        <v>21.452207900819701</v>
      </c>
    </row>
    <row r="1581" spans="1:7" x14ac:dyDescent="0.3">
      <c r="A1581" t="str">
        <f>IF(ISBLANK(B1581),"",IF(ROUND(B1581,0)=ROUND(G1581,0),"Pass","Fail"))</f>
        <v>Pass</v>
      </c>
      <c r="B1581">
        <f t="shared" si="126"/>
        <v>87.487998962402344</v>
      </c>
      <c r="C1581">
        <v>10</v>
      </c>
      <c r="D1581">
        <v>90</v>
      </c>
      <c r="E1581">
        <v>50</v>
      </c>
      <c r="F1581">
        <v>0</v>
      </c>
      <c r="G1581">
        <v>87.488</v>
      </c>
    </row>
    <row r="1582" spans="1:7" x14ac:dyDescent="0.3">
      <c r="A1582" t="str">
        <f>IF(ISBLANK(B1582),"",IF(ROUND(B1582,0)=ROUND(G1582,0),"Pass","Fail"))</f>
        <v>Pass</v>
      </c>
      <c r="B1582">
        <f t="shared" si="126"/>
        <v>54.151229858398438</v>
      </c>
      <c r="C1582">
        <v>10</v>
      </c>
      <c r="D1582">
        <v>90</v>
      </c>
      <c r="E1582">
        <v>50</v>
      </c>
      <c r="F1582">
        <v>8</v>
      </c>
      <c r="G1582">
        <v>54.151228080723001</v>
      </c>
    </row>
    <row r="1583" spans="1:7" x14ac:dyDescent="0.3">
      <c r="A1583" t="str">
        <f>IF(ISBLANK(B1583),"",IF(ROUND(B1583,0)=ROUND(G1583,0),"Pass","Fail"))</f>
        <v>Pass</v>
      </c>
      <c r="B1583">
        <f t="shared" si="126"/>
        <v>37.3699951171875</v>
      </c>
      <c r="C1583">
        <v>10</v>
      </c>
      <c r="D1583">
        <v>90</v>
      </c>
      <c r="E1583">
        <v>50</v>
      </c>
      <c r="F1583">
        <v>16</v>
      </c>
      <c r="G1583">
        <v>37.369997247101701</v>
      </c>
    </row>
    <row r="1584" spans="1:7" x14ac:dyDescent="0.3">
      <c r="A1584" t="str">
        <f>IF(ISBLANK(B1584),"",IF(ROUND(B1584,0)=ROUND(G1584,0),"Pass","Fail"))</f>
        <v>Pass</v>
      </c>
      <c r="B1584">
        <f t="shared" si="126"/>
        <v>28.922576904296875</v>
      </c>
      <c r="C1584">
        <v>10</v>
      </c>
      <c r="D1584">
        <v>90</v>
      </c>
      <c r="E1584">
        <v>50</v>
      </c>
      <c r="F1584">
        <v>24</v>
      </c>
      <c r="G1584">
        <v>28.9225774137362</v>
      </c>
    </row>
    <row r="1585" spans="1:7" x14ac:dyDescent="0.3">
      <c r="A1585" t="str">
        <f>IF(ISBLANK(B1585),"",IF(ROUND(B1585,0)=ROUND(G1585,0),"Pass","Fail"))</f>
        <v>Pass</v>
      </c>
      <c r="B1585">
        <f t="shared" si="126"/>
        <v>24.670272827148438</v>
      </c>
      <c r="C1585">
        <v>10</v>
      </c>
      <c r="D1585">
        <v>90</v>
      </c>
      <c r="E1585">
        <v>50</v>
      </c>
      <c r="F1585">
        <v>32</v>
      </c>
      <c r="G1585">
        <v>24.670273005994598</v>
      </c>
    </row>
    <row r="1586" spans="1:7" x14ac:dyDescent="0.3">
      <c r="A1586" t="str">
        <f>IF(ISBLANK(B1586),"",IF(ROUND(B1586,0)=ROUND(G1586,0),"Pass","Fail"))</f>
        <v>Pass</v>
      </c>
      <c r="B1586">
        <f t="shared" si="126"/>
        <v>22.529727935791016</v>
      </c>
      <c r="C1586">
        <v>10</v>
      </c>
      <c r="D1586">
        <v>90</v>
      </c>
      <c r="E1586">
        <v>50</v>
      </c>
      <c r="F1586">
        <v>40</v>
      </c>
      <c r="G1586">
        <v>22.529726764327101</v>
      </c>
    </row>
    <row r="1587" spans="1:7" x14ac:dyDescent="0.3">
      <c r="A1587" t="str">
        <f>IF(ISBLANK(B1587),"",IF(ROUND(B1587,0)=ROUND(G1587,0),"Pass","Fail"))</f>
        <v>Pass</v>
      </c>
      <c r="B1587">
        <f t="shared" si="126"/>
        <v>21.45220947265625</v>
      </c>
      <c r="C1587">
        <v>10</v>
      </c>
      <c r="D1587">
        <v>90</v>
      </c>
      <c r="E1587">
        <v>50</v>
      </c>
      <c r="F1587">
        <v>48</v>
      </c>
      <c r="G1587">
        <v>21.452207900819701</v>
      </c>
    </row>
    <row r="1588" spans="1:7" x14ac:dyDescent="0.3">
      <c r="A1588" t="str">
        <f>IF(ISBLANK(B1588),"",IF(ROUND(B1588,0)=ROUND(G1588,0),"Pass","Fail"))</f>
        <v>Pass</v>
      </c>
      <c r="B1588">
        <f t="shared" si="126"/>
        <v>87.487998962402344</v>
      </c>
      <c r="C1588">
        <v>10</v>
      </c>
      <c r="D1588">
        <v>90</v>
      </c>
      <c r="E1588">
        <v>60</v>
      </c>
      <c r="F1588">
        <v>0</v>
      </c>
      <c r="G1588">
        <v>87.488</v>
      </c>
    </row>
    <row r="1589" spans="1:7" x14ac:dyDescent="0.3">
      <c r="A1589" t="str">
        <f>IF(ISBLANK(B1589),"",IF(ROUND(B1589,0)=ROUND(G1589,0),"Pass","Fail"))</f>
        <v>Pass</v>
      </c>
      <c r="B1589">
        <f t="shared" si="126"/>
        <v>54.151229858398438</v>
      </c>
      <c r="C1589">
        <v>10</v>
      </c>
      <c r="D1589">
        <v>90</v>
      </c>
      <c r="E1589">
        <v>60</v>
      </c>
      <c r="F1589">
        <v>8</v>
      </c>
      <c r="G1589">
        <v>54.151228080723001</v>
      </c>
    </row>
    <row r="1590" spans="1:7" x14ac:dyDescent="0.3">
      <c r="A1590" t="str">
        <f>IF(ISBLANK(B1590),"",IF(ROUND(B1590,0)=ROUND(G1590,0),"Pass","Fail"))</f>
        <v>Pass</v>
      </c>
      <c r="B1590">
        <f t="shared" si="126"/>
        <v>37.3699951171875</v>
      </c>
      <c r="C1590">
        <v>10</v>
      </c>
      <c r="D1590">
        <v>90</v>
      </c>
      <c r="E1590">
        <v>60</v>
      </c>
      <c r="F1590">
        <v>16</v>
      </c>
      <c r="G1590">
        <v>37.369997247101701</v>
      </c>
    </row>
    <row r="1591" spans="1:7" x14ac:dyDescent="0.3">
      <c r="A1591" t="str">
        <f>IF(ISBLANK(B1591),"",IF(ROUND(B1591,0)=ROUND(G1591,0),"Pass","Fail"))</f>
        <v>Pass</v>
      </c>
      <c r="B1591">
        <f t="shared" si="126"/>
        <v>28.922576904296875</v>
      </c>
      <c r="C1591">
        <v>10</v>
      </c>
      <c r="D1591">
        <v>90</v>
      </c>
      <c r="E1591">
        <v>60</v>
      </c>
      <c r="F1591">
        <v>24</v>
      </c>
      <c r="G1591">
        <v>28.9225774137362</v>
      </c>
    </row>
    <row r="1592" spans="1:7" x14ac:dyDescent="0.3">
      <c r="A1592" t="str">
        <f>IF(ISBLANK(B1592),"",IF(ROUND(B1592,0)=ROUND(G1592,0),"Pass","Fail"))</f>
        <v>Pass</v>
      </c>
      <c r="B1592">
        <f t="shared" si="126"/>
        <v>24.670272827148438</v>
      </c>
      <c r="C1592">
        <v>10</v>
      </c>
      <c r="D1592">
        <v>90</v>
      </c>
      <c r="E1592">
        <v>60</v>
      </c>
      <c r="F1592">
        <v>32</v>
      </c>
      <c r="G1592">
        <v>24.670273005994598</v>
      </c>
    </row>
    <row r="1593" spans="1:7" x14ac:dyDescent="0.3">
      <c r="A1593" t="str">
        <f>IF(ISBLANK(B1593),"",IF(ROUND(B1593,0)=ROUND(G1593,0),"Pass","Fail"))</f>
        <v>Pass</v>
      </c>
      <c r="B1593">
        <f t="shared" si="126"/>
        <v>22.529727935791016</v>
      </c>
      <c r="C1593">
        <v>10</v>
      </c>
      <c r="D1593">
        <v>90</v>
      </c>
      <c r="E1593">
        <v>60</v>
      </c>
      <c r="F1593">
        <v>40</v>
      </c>
      <c r="G1593">
        <v>22.529726764327101</v>
      </c>
    </row>
    <row r="1594" spans="1:7" x14ac:dyDescent="0.3">
      <c r="A1594" t="str">
        <f>IF(ISBLANK(B1594),"",IF(ROUND(B1594,0)=ROUND(G1594,0),"Pass","Fail"))</f>
        <v>Pass</v>
      </c>
      <c r="B1594">
        <f t="shared" si="126"/>
        <v>21.45220947265625</v>
      </c>
      <c r="C1594">
        <v>10</v>
      </c>
      <c r="D1594">
        <v>90</v>
      </c>
      <c r="E1594">
        <v>60</v>
      </c>
      <c r="F1594">
        <v>48</v>
      </c>
      <c r="G1594">
        <v>21.452207900819701</v>
      </c>
    </row>
    <row r="1595" spans="1:7" x14ac:dyDescent="0.3">
      <c r="A1595" t="str">
        <f>IF(ISBLANK(B1595),"",IF(ROUND(B1595,0)=ROUND(G1595,0),"Pass","Fail"))</f>
        <v>Pass</v>
      </c>
      <c r="B1595">
        <f t="shared" si="126"/>
        <v>87.487998962402344</v>
      </c>
      <c r="C1595">
        <v>10</v>
      </c>
      <c r="D1595">
        <v>90</v>
      </c>
      <c r="E1595">
        <v>70</v>
      </c>
      <c r="F1595">
        <v>0</v>
      </c>
      <c r="G1595">
        <v>87.488</v>
      </c>
    </row>
    <row r="1596" spans="1:7" x14ac:dyDescent="0.3">
      <c r="A1596" t="str">
        <f>IF(ISBLANK(B1596),"",IF(ROUND(B1596,0)=ROUND(G1596,0),"Pass","Fail"))</f>
        <v>Pass</v>
      </c>
      <c r="B1596">
        <f t="shared" si="126"/>
        <v>54.151229858398438</v>
      </c>
      <c r="C1596">
        <v>10</v>
      </c>
      <c r="D1596">
        <v>90</v>
      </c>
      <c r="E1596">
        <v>70</v>
      </c>
      <c r="F1596">
        <v>8</v>
      </c>
      <c r="G1596">
        <v>54.151228080723001</v>
      </c>
    </row>
    <row r="1597" spans="1:7" x14ac:dyDescent="0.3">
      <c r="A1597" t="str">
        <f>IF(ISBLANK(B1597),"",IF(ROUND(B1597,0)=ROUND(G1597,0),"Pass","Fail"))</f>
        <v>Pass</v>
      </c>
      <c r="B1597">
        <f t="shared" si="126"/>
        <v>37.3699951171875</v>
      </c>
      <c r="C1597">
        <v>10</v>
      </c>
      <c r="D1597">
        <v>90</v>
      </c>
      <c r="E1597">
        <v>70</v>
      </c>
      <c r="F1597">
        <v>16</v>
      </c>
      <c r="G1597">
        <v>37.369997247101701</v>
      </c>
    </row>
    <row r="1598" spans="1:7" x14ac:dyDescent="0.3">
      <c r="A1598" t="str">
        <f>IF(ISBLANK(B1598),"",IF(ROUND(B1598,0)=ROUND(G1598,0),"Pass","Fail"))</f>
        <v>Pass</v>
      </c>
      <c r="B1598">
        <f t="shared" si="126"/>
        <v>28.922576904296875</v>
      </c>
      <c r="C1598">
        <v>10</v>
      </c>
      <c r="D1598">
        <v>90</v>
      </c>
      <c r="E1598">
        <v>70</v>
      </c>
      <c r="F1598">
        <v>24</v>
      </c>
      <c r="G1598">
        <v>28.9225774137362</v>
      </c>
    </row>
    <row r="1599" spans="1:7" x14ac:dyDescent="0.3">
      <c r="A1599" t="str">
        <f>IF(ISBLANK(B1599),"",IF(ROUND(B1599,0)=ROUND(G1599,0),"Pass","Fail"))</f>
        <v>Pass</v>
      </c>
      <c r="B1599">
        <f t="shared" si="126"/>
        <v>24.670272827148438</v>
      </c>
      <c r="C1599">
        <v>10</v>
      </c>
      <c r="D1599">
        <v>90</v>
      </c>
      <c r="E1599">
        <v>70</v>
      </c>
      <c r="F1599">
        <v>32</v>
      </c>
      <c r="G1599">
        <v>24.670273005994598</v>
      </c>
    </row>
    <row r="1600" spans="1:7" x14ac:dyDescent="0.3">
      <c r="A1600" t="str">
        <f>IF(ISBLANK(B1600),"",IF(ROUND(B1600,0)=ROUND(G1600,0),"Pass","Fail"))</f>
        <v>Pass</v>
      </c>
      <c r="B1600">
        <f t="shared" si="126"/>
        <v>22.529727935791016</v>
      </c>
      <c r="C1600">
        <v>10</v>
      </c>
      <c r="D1600">
        <v>90</v>
      </c>
      <c r="E1600">
        <v>70</v>
      </c>
      <c r="F1600">
        <v>40</v>
      </c>
      <c r="G1600">
        <v>22.529726764327101</v>
      </c>
    </row>
    <row r="1601" spans="1:7" x14ac:dyDescent="0.3">
      <c r="A1601" t="str">
        <f>IF(ISBLANK(B1601),"",IF(ROUND(B1601,0)=ROUND(G1601,0),"Pass","Fail"))</f>
        <v>Pass</v>
      </c>
      <c r="B1601">
        <f t="shared" si="126"/>
        <v>21.45220947265625</v>
      </c>
      <c r="C1601">
        <v>10</v>
      </c>
      <c r="D1601">
        <v>90</v>
      </c>
      <c r="E1601">
        <v>70</v>
      </c>
      <c r="F1601">
        <v>48</v>
      </c>
      <c r="G1601">
        <v>21.452207900819701</v>
      </c>
    </row>
    <row r="1602" spans="1:7" x14ac:dyDescent="0.3">
      <c r="A1602" t="str">
        <f>IF(ISBLANK(B1602),"",IF(ROUND(B1602,0)=ROUND(G1602,0),"Pass","Fail"))</f>
        <v>Pass</v>
      </c>
      <c r="B1602">
        <f t="shared" si="126"/>
        <v>87.487998962402344</v>
      </c>
      <c r="C1602">
        <v>10</v>
      </c>
      <c r="D1602">
        <v>90</v>
      </c>
      <c r="E1602">
        <v>80</v>
      </c>
      <c r="F1602">
        <v>0</v>
      </c>
      <c r="G1602">
        <v>87.488</v>
      </c>
    </row>
    <row r="1603" spans="1:7" x14ac:dyDescent="0.3">
      <c r="A1603" t="str">
        <f>IF(ISBLANK(B1603),"",IF(ROUND(B1603,0)=ROUND(G1603,0),"Pass","Fail"))</f>
        <v>Pass</v>
      </c>
      <c r="B1603">
        <f t="shared" si="126"/>
        <v>54.151229858398438</v>
      </c>
      <c r="C1603">
        <v>10</v>
      </c>
      <c r="D1603">
        <v>90</v>
      </c>
      <c r="E1603">
        <v>80</v>
      </c>
      <c r="F1603">
        <v>8</v>
      </c>
      <c r="G1603">
        <v>54.151228080723001</v>
      </c>
    </row>
    <row r="1604" spans="1:7" x14ac:dyDescent="0.3">
      <c r="A1604" t="str">
        <f>IF(ISBLANK(B1604),"",IF(ROUND(B1604,0)=ROUND(G1604,0),"Pass","Fail"))</f>
        <v>Pass</v>
      </c>
      <c r="B1604">
        <f t="shared" si="126"/>
        <v>37.3699951171875</v>
      </c>
      <c r="C1604">
        <v>10</v>
      </c>
      <c r="D1604">
        <v>90</v>
      </c>
      <c r="E1604">
        <v>80</v>
      </c>
      <c r="F1604">
        <v>16</v>
      </c>
      <c r="G1604">
        <v>37.369997247101701</v>
      </c>
    </row>
    <row r="1605" spans="1:7" x14ac:dyDescent="0.3">
      <c r="A1605" t="str">
        <f>IF(ISBLANK(B1605),"",IF(ROUND(B1605,0)=ROUND(G1605,0),"Pass","Fail"))</f>
        <v>Pass</v>
      </c>
      <c r="B1605">
        <f t="shared" si="126"/>
        <v>28.922576904296875</v>
      </c>
      <c r="C1605">
        <v>10</v>
      </c>
      <c r="D1605">
        <v>90</v>
      </c>
      <c r="E1605">
        <v>80</v>
      </c>
      <c r="F1605">
        <v>24</v>
      </c>
      <c r="G1605">
        <v>28.9225774137362</v>
      </c>
    </row>
    <row r="1606" spans="1:7" x14ac:dyDescent="0.3">
      <c r="A1606" t="str">
        <f>IF(ISBLANK(B1606),"",IF(ROUND(B1606,0)=ROUND(G1606,0),"Pass","Fail"))</f>
        <v>Pass</v>
      </c>
      <c r="B1606">
        <f t="shared" si="126"/>
        <v>24.670272827148438</v>
      </c>
      <c r="C1606">
        <v>10</v>
      </c>
      <c r="D1606">
        <v>90</v>
      </c>
      <c r="E1606">
        <v>80</v>
      </c>
      <c r="F1606">
        <v>32</v>
      </c>
      <c r="G1606">
        <v>24.670273005994598</v>
      </c>
    </row>
    <row r="1607" spans="1:7" x14ac:dyDescent="0.3">
      <c r="A1607" t="str">
        <f>IF(ISBLANK(B1607),"",IF(ROUND(B1607,0)=ROUND(G1607,0),"Pass","Fail"))</f>
        <v>Pass</v>
      </c>
      <c r="B1607">
        <f t="shared" ref="B1607:B1670" si="127">FMC_heath(C1607,D1607,E1607,F1607)</f>
        <v>22.529727935791016</v>
      </c>
      <c r="C1607">
        <v>10</v>
      </c>
      <c r="D1607">
        <v>90</v>
      </c>
      <c r="E1607">
        <v>80</v>
      </c>
      <c r="F1607">
        <v>40</v>
      </c>
      <c r="G1607">
        <v>22.529726764327101</v>
      </c>
    </row>
    <row r="1608" spans="1:7" x14ac:dyDescent="0.3">
      <c r="A1608" t="str">
        <f>IF(ISBLANK(B1608),"",IF(ROUND(B1608,0)=ROUND(G1608,0),"Pass","Fail"))</f>
        <v>Pass</v>
      </c>
      <c r="B1608">
        <f t="shared" si="127"/>
        <v>21.45220947265625</v>
      </c>
      <c r="C1608">
        <v>10</v>
      </c>
      <c r="D1608">
        <v>90</v>
      </c>
      <c r="E1608">
        <v>80</v>
      </c>
      <c r="F1608">
        <v>48</v>
      </c>
      <c r="G1608">
        <v>21.452207900819701</v>
      </c>
    </row>
    <row r="1609" spans="1:7" x14ac:dyDescent="0.3">
      <c r="A1609" t="str">
        <f>IF(ISBLANK(B1609),"",IF(ROUND(B1609,0)=ROUND(G1609,0),"Pass","Fail"))</f>
        <v>Pass</v>
      </c>
      <c r="B1609">
        <f t="shared" si="127"/>
        <v>87.487998962402344</v>
      </c>
      <c r="C1609">
        <v>10</v>
      </c>
      <c r="D1609">
        <v>90</v>
      </c>
      <c r="E1609">
        <v>90</v>
      </c>
      <c r="F1609">
        <v>0</v>
      </c>
      <c r="G1609">
        <v>87.488</v>
      </c>
    </row>
    <row r="1610" spans="1:7" x14ac:dyDescent="0.3">
      <c r="A1610" t="str">
        <f>IF(ISBLANK(B1610),"",IF(ROUND(B1610,0)=ROUND(G1610,0),"Pass","Fail"))</f>
        <v>Pass</v>
      </c>
      <c r="B1610">
        <f t="shared" si="127"/>
        <v>54.151229858398438</v>
      </c>
      <c r="C1610">
        <v>10</v>
      </c>
      <c r="D1610">
        <v>90</v>
      </c>
      <c r="E1610">
        <v>90</v>
      </c>
      <c r="F1610">
        <v>8</v>
      </c>
      <c r="G1610">
        <v>54.151228080723001</v>
      </c>
    </row>
    <row r="1611" spans="1:7" x14ac:dyDescent="0.3">
      <c r="A1611" t="str">
        <f>IF(ISBLANK(B1611),"",IF(ROUND(B1611,0)=ROUND(G1611,0),"Pass","Fail"))</f>
        <v>Pass</v>
      </c>
      <c r="B1611">
        <f t="shared" si="127"/>
        <v>37.3699951171875</v>
      </c>
      <c r="C1611">
        <v>10</v>
      </c>
      <c r="D1611">
        <v>90</v>
      </c>
      <c r="E1611">
        <v>90</v>
      </c>
      <c r="F1611">
        <v>16</v>
      </c>
      <c r="G1611">
        <v>37.369997247101701</v>
      </c>
    </row>
    <row r="1612" spans="1:7" x14ac:dyDescent="0.3">
      <c r="A1612" t="str">
        <f>IF(ISBLANK(B1612),"",IF(ROUND(B1612,0)=ROUND(G1612,0),"Pass","Fail"))</f>
        <v>Pass</v>
      </c>
      <c r="B1612">
        <f t="shared" si="127"/>
        <v>28.922576904296875</v>
      </c>
      <c r="C1612">
        <v>10</v>
      </c>
      <c r="D1612">
        <v>90</v>
      </c>
      <c r="E1612">
        <v>90</v>
      </c>
      <c r="F1612">
        <v>24</v>
      </c>
      <c r="G1612">
        <v>28.9225774137362</v>
      </c>
    </row>
    <row r="1613" spans="1:7" x14ac:dyDescent="0.3">
      <c r="A1613" t="str">
        <f>IF(ISBLANK(B1613),"",IF(ROUND(B1613,0)=ROUND(G1613,0),"Pass","Fail"))</f>
        <v>Pass</v>
      </c>
      <c r="B1613">
        <f t="shared" si="127"/>
        <v>24.670272827148438</v>
      </c>
      <c r="C1613">
        <v>10</v>
      </c>
      <c r="D1613">
        <v>90</v>
      </c>
      <c r="E1613">
        <v>90</v>
      </c>
      <c r="F1613">
        <v>32</v>
      </c>
      <c r="G1613">
        <v>24.670273005994598</v>
      </c>
    </row>
    <row r="1614" spans="1:7" x14ac:dyDescent="0.3">
      <c r="A1614" t="str">
        <f>IF(ISBLANK(B1614),"",IF(ROUND(B1614,0)=ROUND(G1614,0),"Pass","Fail"))</f>
        <v>Pass</v>
      </c>
      <c r="B1614">
        <f t="shared" si="127"/>
        <v>22.529727935791016</v>
      </c>
      <c r="C1614">
        <v>10</v>
      </c>
      <c r="D1614">
        <v>90</v>
      </c>
      <c r="E1614">
        <v>90</v>
      </c>
      <c r="F1614">
        <v>40</v>
      </c>
      <c r="G1614">
        <v>22.529726764327101</v>
      </c>
    </row>
    <row r="1615" spans="1:7" x14ac:dyDescent="0.3">
      <c r="A1615" t="str">
        <f>IF(ISBLANK(B1615),"",IF(ROUND(B1615,0)=ROUND(G1615,0),"Pass","Fail"))</f>
        <v>Pass</v>
      </c>
      <c r="B1615">
        <f t="shared" si="127"/>
        <v>21.45220947265625</v>
      </c>
      <c r="C1615">
        <v>10</v>
      </c>
      <c r="D1615">
        <v>90</v>
      </c>
      <c r="E1615">
        <v>90</v>
      </c>
      <c r="F1615">
        <v>48</v>
      </c>
      <c r="G1615">
        <v>21.452207900819701</v>
      </c>
    </row>
    <row r="1616" spans="1:7" x14ac:dyDescent="0.3">
      <c r="A1616" t="str">
        <f>IF(ISBLANK(B1616),"",IF(ROUND(B1616,0)=ROUND(G1616,0),"Pass","Fail"))</f>
        <v>Pass</v>
      </c>
      <c r="B1616">
        <f t="shared" si="127"/>
        <v>87.487998962402344</v>
      </c>
      <c r="C1616">
        <v>10</v>
      </c>
      <c r="D1616">
        <v>90</v>
      </c>
      <c r="E1616">
        <v>100</v>
      </c>
      <c r="F1616">
        <v>0</v>
      </c>
      <c r="G1616">
        <v>87.488</v>
      </c>
    </row>
    <row r="1617" spans="1:7" x14ac:dyDescent="0.3">
      <c r="A1617" t="str">
        <f>IF(ISBLANK(B1617),"",IF(ROUND(B1617,0)=ROUND(G1617,0),"Pass","Fail"))</f>
        <v>Pass</v>
      </c>
      <c r="B1617">
        <f t="shared" si="127"/>
        <v>54.151229858398438</v>
      </c>
      <c r="C1617">
        <v>10</v>
      </c>
      <c r="D1617">
        <v>90</v>
      </c>
      <c r="E1617">
        <v>100</v>
      </c>
      <c r="F1617">
        <v>8</v>
      </c>
      <c r="G1617">
        <v>54.151228080723001</v>
      </c>
    </row>
    <row r="1618" spans="1:7" x14ac:dyDescent="0.3">
      <c r="A1618" t="str">
        <f>IF(ISBLANK(B1618),"",IF(ROUND(B1618,0)=ROUND(G1618,0),"Pass","Fail"))</f>
        <v>Pass</v>
      </c>
      <c r="B1618">
        <f t="shared" si="127"/>
        <v>37.3699951171875</v>
      </c>
      <c r="C1618">
        <v>10</v>
      </c>
      <c r="D1618">
        <v>90</v>
      </c>
      <c r="E1618">
        <v>100</v>
      </c>
      <c r="F1618">
        <v>16</v>
      </c>
      <c r="G1618">
        <v>37.369997247101701</v>
      </c>
    </row>
    <row r="1619" spans="1:7" x14ac:dyDescent="0.3">
      <c r="A1619" t="str">
        <f>IF(ISBLANK(B1619),"",IF(ROUND(B1619,0)=ROUND(G1619,0),"Pass","Fail"))</f>
        <v>Pass</v>
      </c>
      <c r="B1619">
        <f t="shared" si="127"/>
        <v>28.922576904296875</v>
      </c>
      <c r="C1619">
        <v>10</v>
      </c>
      <c r="D1619">
        <v>90</v>
      </c>
      <c r="E1619">
        <v>100</v>
      </c>
      <c r="F1619">
        <v>24</v>
      </c>
      <c r="G1619">
        <v>28.9225774137362</v>
      </c>
    </row>
    <row r="1620" spans="1:7" x14ac:dyDescent="0.3">
      <c r="A1620" t="str">
        <f>IF(ISBLANK(B1620),"",IF(ROUND(B1620,0)=ROUND(G1620,0),"Pass","Fail"))</f>
        <v>Pass</v>
      </c>
      <c r="B1620">
        <f t="shared" si="127"/>
        <v>24.670272827148438</v>
      </c>
      <c r="C1620">
        <v>10</v>
      </c>
      <c r="D1620">
        <v>90</v>
      </c>
      <c r="E1620">
        <v>100</v>
      </c>
      <c r="F1620">
        <v>32</v>
      </c>
      <c r="G1620">
        <v>24.670273005994598</v>
      </c>
    </row>
    <row r="1621" spans="1:7" x14ac:dyDescent="0.3">
      <c r="A1621" t="str">
        <f>IF(ISBLANK(B1621),"",IF(ROUND(B1621,0)=ROUND(G1621,0),"Pass","Fail"))</f>
        <v>Pass</v>
      </c>
      <c r="B1621">
        <f t="shared" si="127"/>
        <v>22.529727935791016</v>
      </c>
      <c r="C1621">
        <v>10</v>
      </c>
      <c r="D1621">
        <v>90</v>
      </c>
      <c r="E1621">
        <v>100</v>
      </c>
      <c r="F1621">
        <v>40</v>
      </c>
      <c r="G1621">
        <v>22.529726764327101</v>
      </c>
    </row>
    <row r="1622" spans="1:7" x14ac:dyDescent="0.3">
      <c r="A1622" t="str">
        <f>IF(ISBLANK(B1622),"",IF(ROUND(B1622,0)=ROUND(G1622,0),"Pass","Fail"))</f>
        <v>Pass</v>
      </c>
      <c r="B1622">
        <f t="shared" si="127"/>
        <v>21.45220947265625</v>
      </c>
      <c r="C1622">
        <v>10</v>
      </c>
      <c r="D1622">
        <v>90</v>
      </c>
      <c r="E1622">
        <v>100</v>
      </c>
      <c r="F1622">
        <v>48</v>
      </c>
      <c r="G1622">
        <v>21.452207900819701</v>
      </c>
    </row>
    <row r="1623" spans="1:7" x14ac:dyDescent="0.3">
      <c r="A1623" t="str">
        <f>IF(ISBLANK(B1623),"",IF(ROUND(B1623,0)=ROUND(G1623,0),"Pass","Fail"))</f>
        <v>Pass</v>
      </c>
      <c r="B1623">
        <f t="shared" si="127"/>
        <v>21.969999313354492</v>
      </c>
      <c r="C1623">
        <v>10</v>
      </c>
      <c r="D1623">
        <v>100</v>
      </c>
      <c r="E1623">
        <v>0</v>
      </c>
      <c r="F1623">
        <v>0</v>
      </c>
      <c r="G1623">
        <v>21.97</v>
      </c>
    </row>
    <row r="1624" spans="1:7" x14ac:dyDescent="0.3">
      <c r="A1624" t="str">
        <f>IF(ISBLANK(B1624),"",IF(ROUND(B1624,0)=ROUND(G1624,0),"Pass","Fail"))</f>
        <v>Pass</v>
      </c>
      <c r="B1624">
        <f t="shared" si="127"/>
        <v>21.969999313354492</v>
      </c>
      <c r="C1624">
        <v>10</v>
      </c>
      <c r="D1624">
        <v>100</v>
      </c>
      <c r="E1624">
        <v>0</v>
      </c>
      <c r="F1624">
        <v>8</v>
      </c>
      <c r="G1624">
        <v>21.97</v>
      </c>
    </row>
    <row r="1625" spans="1:7" x14ac:dyDescent="0.3">
      <c r="A1625" t="str">
        <f>IF(ISBLANK(B1625),"",IF(ROUND(B1625,0)=ROUND(G1625,0),"Pass","Fail"))</f>
        <v>Pass</v>
      </c>
      <c r="B1625">
        <f t="shared" si="127"/>
        <v>21.969999313354492</v>
      </c>
      <c r="C1625">
        <v>10</v>
      </c>
      <c r="D1625">
        <v>100</v>
      </c>
      <c r="E1625">
        <v>0</v>
      </c>
      <c r="F1625">
        <v>16</v>
      </c>
      <c r="G1625">
        <v>21.97</v>
      </c>
    </row>
    <row r="1626" spans="1:7" x14ac:dyDescent="0.3">
      <c r="A1626" t="str">
        <f>IF(ISBLANK(B1626),"",IF(ROUND(B1626,0)=ROUND(G1626,0),"Pass","Fail"))</f>
        <v>Pass</v>
      </c>
      <c r="B1626">
        <f t="shared" si="127"/>
        <v>21.969999313354492</v>
      </c>
      <c r="C1626">
        <v>10</v>
      </c>
      <c r="D1626">
        <v>100</v>
      </c>
      <c r="E1626">
        <v>0</v>
      </c>
      <c r="F1626">
        <v>24</v>
      </c>
      <c r="G1626">
        <v>21.97</v>
      </c>
    </row>
    <row r="1627" spans="1:7" x14ac:dyDescent="0.3">
      <c r="A1627" t="str">
        <f>IF(ISBLANK(B1627),"",IF(ROUND(B1627,0)=ROUND(G1627,0),"Pass","Fail"))</f>
        <v>Pass</v>
      </c>
      <c r="B1627">
        <f t="shared" si="127"/>
        <v>21.969999313354492</v>
      </c>
      <c r="C1627">
        <v>10</v>
      </c>
      <c r="D1627">
        <v>100</v>
      </c>
      <c r="E1627">
        <v>0</v>
      </c>
      <c r="F1627">
        <v>32</v>
      </c>
      <c r="G1627">
        <v>21.97</v>
      </c>
    </row>
    <row r="1628" spans="1:7" x14ac:dyDescent="0.3">
      <c r="A1628" t="str">
        <f>IF(ISBLANK(B1628),"",IF(ROUND(B1628,0)=ROUND(G1628,0),"Pass","Fail"))</f>
        <v>Pass</v>
      </c>
      <c r="B1628">
        <f t="shared" si="127"/>
        <v>21.969999313354492</v>
      </c>
      <c r="C1628">
        <v>10</v>
      </c>
      <c r="D1628">
        <v>100</v>
      </c>
      <c r="E1628">
        <v>0</v>
      </c>
      <c r="F1628">
        <v>40</v>
      </c>
      <c r="G1628">
        <v>21.97</v>
      </c>
    </row>
    <row r="1629" spans="1:7" x14ac:dyDescent="0.3">
      <c r="A1629" t="str">
        <f>IF(ISBLANK(B1629),"",IF(ROUND(B1629,0)=ROUND(G1629,0),"Pass","Fail"))</f>
        <v>Pass</v>
      </c>
      <c r="B1629">
        <f t="shared" si="127"/>
        <v>21.969999313354492</v>
      </c>
      <c r="C1629">
        <v>10</v>
      </c>
      <c r="D1629">
        <v>100</v>
      </c>
      <c r="E1629">
        <v>0</v>
      </c>
      <c r="F1629">
        <v>48</v>
      </c>
      <c r="G1629">
        <v>21.97</v>
      </c>
    </row>
    <row r="1630" spans="1:7" x14ac:dyDescent="0.3">
      <c r="A1630" t="str">
        <f>IF(ISBLANK(B1630),"",IF(ROUND(B1630,0)=ROUND(G1630,0),"Pass","Fail"))</f>
        <v>Pass</v>
      </c>
      <c r="B1630">
        <f t="shared" si="127"/>
        <v>89.097999572753906</v>
      </c>
      <c r="C1630">
        <v>10</v>
      </c>
      <c r="D1630">
        <v>100</v>
      </c>
      <c r="E1630">
        <v>10</v>
      </c>
      <c r="F1630">
        <v>0</v>
      </c>
      <c r="G1630">
        <v>89.097999999998294</v>
      </c>
    </row>
    <row r="1631" spans="1:7" x14ac:dyDescent="0.3">
      <c r="A1631" t="str">
        <f>IF(ISBLANK(B1631),"",IF(ROUND(B1631,0)=ROUND(G1631,0),"Pass","Fail"))</f>
        <v>Pass</v>
      </c>
      <c r="B1631">
        <f t="shared" si="127"/>
        <v>55.76123046875</v>
      </c>
      <c r="C1631">
        <v>10</v>
      </c>
      <c r="D1631">
        <v>100</v>
      </c>
      <c r="E1631">
        <v>10</v>
      </c>
      <c r="F1631">
        <v>8</v>
      </c>
      <c r="G1631">
        <v>55.761228080722198</v>
      </c>
    </row>
    <row r="1632" spans="1:7" x14ac:dyDescent="0.3">
      <c r="A1632" t="str">
        <f>IF(ISBLANK(B1632),"",IF(ROUND(B1632,0)=ROUND(G1632,0),"Pass","Fail"))</f>
        <v>Pass</v>
      </c>
      <c r="B1632">
        <f t="shared" si="127"/>
        <v>38.979995727539063</v>
      </c>
      <c r="C1632">
        <v>10</v>
      </c>
      <c r="D1632">
        <v>100</v>
      </c>
      <c r="E1632">
        <v>10</v>
      </c>
      <c r="F1632">
        <v>16</v>
      </c>
      <c r="G1632">
        <v>38.979997247101302</v>
      </c>
    </row>
    <row r="1633" spans="1:7" x14ac:dyDescent="0.3">
      <c r="A1633" t="str">
        <f>IF(ISBLANK(B1633),"",IF(ROUND(B1633,0)=ROUND(G1633,0),"Pass","Fail"))</f>
        <v>Pass</v>
      </c>
      <c r="B1633">
        <f t="shared" si="127"/>
        <v>30.532577514648438</v>
      </c>
      <c r="C1633">
        <v>10</v>
      </c>
      <c r="D1633">
        <v>100</v>
      </c>
      <c r="E1633">
        <v>10</v>
      </c>
      <c r="F1633">
        <v>24</v>
      </c>
      <c r="G1633">
        <v>30.532577413736</v>
      </c>
    </row>
    <row r="1634" spans="1:7" x14ac:dyDescent="0.3">
      <c r="A1634" t="str">
        <f>IF(ISBLANK(B1634),"",IF(ROUND(B1634,0)=ROUND(G1634,0),"Pass","Fail"))</f>
        <v>Pass</v>
      </c>
      <c r="B1634">
        <f t="shared" si="127"/>
        <v>26.2802734375</v>
      </c>
      <c r="C1634">
        <v>10</v>
      </c>
      <c r="D1634">
        <v>100</v>
      </c>
      <c r="E1634">
        <v>10</v>
      </c>
      <c r="F1634">
        <v>32</v>
      </c>
      <c r="G1634">
        <v>26.280273005994498</v>
      </c>
    </row>
    <row r="1635" spans="1:7" x14ac:dyDescent="0.3">
      <c r="A1635" t="str">
        <f>IF(ISBLANK(B1635),"",IF(ROUND(B1635,0)=ROUND(G1635,0),"Pass","Fail"))</f>
        <v>Pass</v>
      </c>
      <c r="B1635">
        <f t="shared" si="127"/>
        <v>24.139726638793945</v>
      </c>
      <c r="C1635">
        <v>10</v>
      </c>
      <c r="D1635">
        <v>100</v>
      </c>
      <c r="E1635">
        <v>10</v>
      </c>
      <c r="F1635">
        <v>40</v>
      </c>
      <c r="G1635">
        <v>24.139726764327001</v>
      </c>
    </row>
    <row r="1636" spans="1:7" x14ac:dyDescent="0.3">
      <c r="A1636" t="str">
        <f>IF(ISBLANK(B1636),"",IF(ROUND(B1636,0)=ROUND(G1636,0),"Pass","Fail"))</f>
        <v>Pass</v>
      </c>
      <c r="B1636">
        <f t="shared" si="127"/>
        <v>23.062206268310547</v>
      </c>
      <c r="C1636">
        <v>10</v>
      </c>
      <c r="D1636">
        <v>100</v>
      </c>
      <c r="E1636">
        <v>10</v>
      </c>
      <c r="F1636">
        <v>48</v>
      </c>
      <c r="G1636">
        <v>23.062207900819701</v>
      </c>
    </row>
    <row r="1637" spans="1:7" x14ac:dyDescent="0.3">
      <c r="A1637" t="str">
        <f>IF(ISBLANK(B1637),"",IF(ROUND(B1637,0)=ROUND(G1637,0),"Pass","Fail"))</f>
        <v>Pass</v>
      </c>
      <c r="B1637">
        <f t="shared" si="127"/>
        <v>89.097999572753906</v>
      </c>
      <c r="C1637">
        <v>10</v>
      </c>
      <c r="D1637">
        <v>100</v>
      </c>
      <c r="E1637">
        <v>20</v>
      </c>
      <c r="F1637">
        <v>0</v>
      </c>
      <c r="G1637">
        <v>89.097999999999999</v>
      </c>
    </row>
    <row r="1638" spans="1:7" x14ac:dyDescent="0.3">
      <c r="A1638" t="str">
        <f>IF(ISBLANK(B1638),"",IF(ROUND(B1638,0)=ROUND(G1638,0),"Pass","Fail"))</f>
        <v>Pass</v>
      </c>
      <c r="B1638">
        <f t="shared" si="127"/>
        <v>55.76123046875</v>
      </c>
      <c r="C1638">
        <v>10</v>
      </c>
      <c r="D1638">
        <v>100</v>
      </c>
      <c r="E1638">
        <v>20</v>
      </c>
      <c r="F1638">
        <v>8</v>
      </c>
      <c r="G1638">
        <v>55.7612280807231</v>
      </c>
    </row>
    <row r="1639" spans="1:7" x14ac:dyDescent="0.3">
      <c r="A1639" t="str">
        <f>IF(ISBLANK(B1639),"",IF(ROUND(B1639,0)=ROUND(G1639,0),"Pass","Fail"))</f>
        <v>Pass</v>
      </c>
      <c r="B1639">
        <f t="shared" si="127"/>
        <v>38.979995727539063</v>
      </c>
      <c r="C1639">
        <v>10</v>
      </c>
      <c r="D1639">
        <v>100</v>
      </c>
      <c r="E1639">
        <v>20</v>
      </c>
      <c r="F1639">
        <v>16</v>
      </c>
      <c r="G1639">
        <v>38.9799972471017</v>
      </c>
    </row>
    <row r="1640" spans="1:7" x14ac:dyDescent="0.3">
      <c r="A1640" t="str">
        <f>IF(ISBLANK(B1640),"",IF(ROUND(B1640,0)=ROUND(G1640,0),"Pass","Fail"))</f>
        <v>Pass</v>
      </c>
      <c r="B1640">
        <f t="shared" si="127"/>
        <v>30.532577514648438</v>
      </c>
      <c r="C1640">
        <v>10</v>
      </c>
      <c r="D1640">
        <v>100</v>
      </c>
      <c r="E1640">
        <v>20</v>
      </c>
      <c r="F1640">
        <v>24</v>
      </c>
      <c r="G1640">
        <v>30.532577413736199</v>
      </c>
    </row>
    <row r="1641" spans="1:7" x14ac:dyDescent="0.3">
      <c r="A1641" t="str">
        <f>IF(ISBLANK(B1641),"",IF(ROUND(B1641,0)=ROUND(G1641,0),"Pass","Fail"))</f>
        <v>Pass</v>
      </c>
      <c r="B1641">
        <f t="shared" si="127"/>
        <v>26.2802734375</v>
      </c>
      <c r="C1641">
        <v>10</v>
      </c>
      <c r="D1641">
        <v>100</v>
      </c>
      <c r="E1641">
        <v>20</v>
      </c>
      <c r="F1641">
        <v>32</v>
      </c>
      <c r="G1641">
        <v>26.280273005994601</v>
      </c>
    </row>
    <row r="1642" spans="1:7" x14ac:dyDescent="0.3">
      <c r="A1642" t="str">
        <f>IF(ISBLANK(B1642),"",IF(ROUND(B1642,0)=ROUND(G1642,0),"Pass","Fail"))</f>
        <v>Pass</v>
      </c>
      <c r="B1642">
        <f t="shared" si="127"/>
        <v>24.139726638793945</v>
      </c>
      <c r="C1642">
        <v>10</v>
      </c>
      <c r="D1642">
        <v>100</v>
      </c>
      <c r="E1642">
        <v>20</v>
      </c>
      <c r="F1642">
        <v>40</v>
      </c>
      <c r="G1642">
        <v>24.139726764327101</v>
      </c>
    </row>
    <row r="1643" spans="1:7" x14ac:dyDescent="0.3">
      <c r="A1643" t="str">
        <f>IF(ISBLANK(B1643),"",IF(ROUND(B1643,0)=ROUND(G1643,0),"Pass","Fail"))</f>
        <v>Pass</v>
      </c>
      <c r="B1643">
        <f t="shared" si="127"/>
        <v>23.062206268310547</v>
      </c>
      <c r="C1643">
        <v>10</v>
      </c>
      <c r="D1643">
        <v>100</v>
      </c>
      <c r="E1643">
        <v>20</v>
      </c>
      <c r="F1643">
        <v>48</v>
      </c>
      <c r="G1643">
        <v>23.062207900819701</v>
      </c>
    </row>
    <row r="1644" spans="1:7" x14ac:dyDescent="0.3">
      <c r="A1644" t="str">
        <f>IF(ISBLANK(B1644),"",IF(ROUND(B1644,0)=ROUND(G1644,0),"Pass","Fail"))</f>
        <v>Pass</v>
      </c>
      <c r="B1644">
        <f t="shared" si="127"/>
        <v>89.097999572753906</v>
      </c>
      <c r="C1644">
        <v>10</v>
      </c>
      <c r="D1644">
        <v>100</v>
      </c>
      <c r="E1644">
        <v>30</v>
      </c>
      <c r="F1644">
        <v>0</v>
      </c>
      <c r="G1644">
        <v>89.097999999999999</v>
      </c>
    </row>
    <row r="1645" spans="1:7" x14ac:dyDescent="0.3">
      <c r="A1645" t="str">
        <f>IF(ISBLANK(B1645),"",IF(ROUND(B1645,0)=ROUND(G1645,0),"Pass","Fail"))</f>
        <v>Pass</v>
      </c>
      <c r="B1645">
        <f t="shared" si="127"/>
        <v>55.76123046875</v>
      </c>
      <c r="C1645">
        <v>10</v>
      </c>
      <c r="D1645">
        <v>100</v>
      </c>
      <c r="E1645">
        <v>30</v>
      </c>
      <c r="F1645">
        <v>8</v>
      </c>
      <c r="G1645">
        <v>55.7612280807231</v>
      </c>
    </row>
    <row r="1646" spans="1:7" x14ac:dyDescent="0.3">
      <c r="A1646" t="str">
        <f>IF(ISBLANK(B1646),"",IF(ROUND(B1646,0)=ROUND(G1646,0),"Pass","Fail"))</f>
        <v>Pass</v>
      </c>
      <c r="B1646">
        <f t="shared" si="127"/>
        <v>38.979995727539063</v>
      </c>
      <c r="C1646">
        <v>10</v>
      </c>
      <c r="D1646">
        <v>100</v>
      </c>
      <c r="E1646">
        <v>30</v>
      </c>
      <c r="F1646">
        <v>16</v>
      </c>
      <c r="G1646">
        <v>38.9799972471017</v>
      </c>
    </row>
    <row r="1647" spans="1:7" x14ac:dyDescent="0.3">
      <c r="A1647" t="str">
        <f>IF(ISBLANK(B1647),"",IF(ROUND(B1647,0)=ROUND(G1647,0),"Pass","Fail"))</f>
        <v>Pass</v>
      </c>
      <c r="B1647">
        <f t="shared" si="127"/>
        <v>30.532577514648438</v>
      </c>
      <c r="C1647">
        <v>10</v>
      </c>
      <c r="D1647">
        <v>100</v>
      </c>
      <c r="E1647">
        <v>30</v>
      </c>
      <c r="F1647">
        <v>24</v>
      </c>
      <c r="G1647">
        <v>30.532577413736199</v>
      </c>
    </row>
    <row r="1648" spans="1:7" x14ac:dyDescent="0.3">
      <c r="A1648" t="str">
        <f>IF(ISBLANK(B1648),"",IF(ROUND(B1648,0)=ROUND(G1648,0),"Pass","Fail"))</f>
        <v>Pass</v>
      </c>
      <c r="B1648">
        <f t="shared" si="127"/>
        <v>26.2802734375</v>
      </c>
      <c r="C1648">
        <v>10</v>
      </c>
      <c r="D1648">
        <v>100</v>
      </c>
      <c r="E1648">
        <v>30</v>
      </c>
      <c r="F1648">
        <v>32</v>
      </c>
      <c r="G1648">
        <v>26.280273005994601</v>
      </c>
    </row>
    <row r="1649" spans="1:7" x14ac:dyDescent="0.3">
      <c r="A1649" t="str">
        <f>IF(ISBLANK(B1649),"",IF(ROUND(B1649,0)=ROUND(G1649,0),"Pass","Fail"))</f>
        <v>Pass</v>
      </c>
      <c r="B1649">
        <f t="shared" si="127"/>
        <v>24.139726638793945</v>
      </c>
      <c r="C1649">
        <v>10</v>
      </c>
      <c r="D1649">
        <v>100</v>
      </c>
      <c r="E1649">
        <v>30</v>
      </c>
      <c r="F1649">
        <v>40</v>
      </c>
      <c r="G1649">
        <v>24.139726764327101</v>
      </c>
    </row>
    <row r="1650" spans="1:7" x14ac:dyDescent="0.3">
      <c r="A1650" t="str">
        <f>IF(ISBLANK(B1650),"",IF(ROUND(B1650,0)=ROUND(G1650,0),"Pass","Fail"))</f>
        <v>Pass</v>
      </c>
      <c r="B1650">
        <f t="shared" si="127"/>
        <v>23.062206268310547</v>
      </c>
      <c r="C1650">
        <v>10</v>
      </c>
      <c r="D1650">
        <v>100</v>
      </c>
      <c r="E1650">
        <v>30</v>
      </c>
      <c r="F1650">
        <v>48</v>
      </c>
      <c r="G1650">
        <v>23.062207900819701</v>
      </c>
    </row>
    <row r="1651" spans="1:7" x14ac:dyDescent="0.3">
      <c r="A1651" t="str">
        <f>IF(ISBLANK(B1651),"",IF(ROUND(B1651,0)=ROUND(G1651,0),"Pass","Fail"))</f>
        <v>Pass</v>
      </c>
      <c r="B1651">
        <f t="shared" si="127"/>
        <v>89.097999572753906</v>
      </c>
      <c r="C1651">
        <v>10</v>
      </c>
      <c r="D1651">
        <v>100</v>
      </c>
      <c r="E1651">
        <v>40</v>
      </c>
      <c r="F1651">
        <v>0</v>
      </c>
      <c r="G1651">
        <v>89.097999999999999</v>
      </c>
    </row>
    <row r="1652" spans="1:7" x14ac:dyDescent="0.3">
      <c r="A1652" t="str">
        <f>IF(ISBLANK(B1652),"",IF(ROUND(B1652,0)=ROUND(G1652,0),"Pass","Fail"))</f>
        <v>Pass</v>
      </c>
      <c r="B1652">
        <f t="shared" si="127"/>
        <v>55.76123046875</v>
      </c>
      <c r="C1652">
        <v>10</v>
      </c>
      <c r="D1652">
        <v>100</v>
      </c>
      <c r="E1652">
        <v>40</v>
      </c>
      <c r="F1652">
        <v>8</v>
      </c>
      <c r="G1652">
        <v>55.7612280807231</v>
      </c>
    </row>
    <row r="1653" spans="1:7" x14ac:dyDescent="0.3">
      <c r="A1653" t="str">
        <f>IF(ISBLANK(B1653),"",IF(ROUND(B1653,0)=ROUND(G1653,0),"Pass","Fail"))</f>
        <v>Pass</v>
      </c>
      <c r="B1653">
        <f t="shared" si="127"/>
        <v>38.979995727539063</v>
      </c>
      <c r="C1653">
        <v>10</v>
      </c>
      <c r="D1653">
        <v>100</v>
      </c>
      <c r="E1653">
        <v>40</v>
      </c>
      <c r="F1653">
        <v>16</v>
      </c>
      <c r="G1653">
        <v>38.9799972471017</v>
      </c>
    </row>
    <row r="1654" spans="1:7" x14ac:dyDescent="0.3">
      <c r="A1654" t="str">
        <f>IF(ISBLANK(B1654),"",IF(ROUND(B1654,0)=ROUND(G1654,0),"Pass","Fail"))</f>
        <v>Pass</v>
      </c>
      <c r="B1654">
        <f t="shared" si="127"/>
        <v>30.532577514648438</v>
      </c>
      <c r="C1654">
        <v>10</v>
      </c>
      <c r="D1654">
        <v>100</v>
      </c>
      <c r="E1654">
        <v>40</v>
      </c>
      <c r="F1654">
        <v>24</v>
      </c>
      <c r="G1654">
        <v>30.532577413736199</v>
      </c>
    </row>
    <row r="1655" spans="1:7" x14ac:dyDescent="0.3">
      <c r="A1655" t="str">
        <f>IF(ISBLANK(B1655),"",IF(ROUND(B1655,0)=ROUND(G1655,0),"Pass","Fail"))</f>
        <v>Pass</v>
      </c>
      <c r="B1655">
        <f t="shared" si="127"/>
        <v>26.2802734375</v>
      </c>
      <c r="C1655">
        <v>10</v>
      </c>
      <c r="D1655">
        <v>100</v>
      </c>
      <c r="E1655">
        <v>40</v>
      </c>
      <c r="F1655">
        <v>32</v>
      </c>
      <c r="G1655">
        <v>26.280273005994601</v>
      </c>
    </row>
    <row r="1656" spans="1:7" x14ac:dyDescent="0.3">
      <c r="A1656" t="str">
        <f>IF(ISBLANK(B1656),"",IF(ROUND(B1656,0)=ROUND(G1656,0),"Pass","Fail"))</f>
        <v>Pass</v>
      </c>
      <c r="B1656">
        <f t="shared" si="127"/>
        <v>24.139726638793945</v>
      </c>
      <c r="C1656">
        <v>10</v>
      </c>
      <c r="D1656">
        <v>100</v>
      </c>
      <c r="E1656">
        <v>40</v>
      </c>
      <c r="F1656">
        <v>40</v>
      </c>
      <c r="G1656">
        <v>24.139726764327101</v>
      </c>
    </row>
    <row r="1657" spans="1:7" x14ac:dyDescent="0.3">
      <c r="A1657" t="str">
        <f>IF(ISBLANK(B1657),"",IF(ROUND(B1657,0)=ROUND(G1657,0),"Pass","Fail"))</f>
        <v>Pass</v>
      </c>
      <c r="B1657">
        <f t="shared" si="127"/>
        <v>23.062206268310547</v>
      </c>
      <c r="C1657">
        <v>10</v>
      </c>
      <c r="D1657">
        <v>100</v>
      </c>
      <c r="E1657">
        <v>40</v>
      </c>
      <c r="F1657">
        <v>48</v>
      </c>
      <c r="G1657">
        <v>23.062207900819701</v>
      </c>
    </row>
    <row r="1658" spans="1:7" x14ac:dyDescent="0.3">
      <c r="A1658" t="str">
        <f>IF(ISBLANK(B1658),"",IF(ROUND(B1658,0)=ROUND(G1658,0),"Pass","Fail"))</f>
        <v>Pass</v>
      </c>
      <c r="B1658">
        <f t="shared" si="127"/>
        <v>89.097999572753906</v>
      </c>
      <c r="C1658">
        <v>10</v>
      </c>
      <c r="D1658">
        <v>100</v>
      </c>
      <c r="E1658">
        <v>50</v>
      </c>
      <c r="F1658">
        <v>0</v>
      </c>
      <c r="G1658">
        <v>89.097999999999999</v>
      </c>
    </row>
    <row r="1659" spans="1:7" x14ac:dyDescent="0.3">
      <c r="A1659" t="str">
        <f>IF(ISBLANK(B1659),"",IF(ROUND(B1659,0)=ROUND(G1659,0),"Pass","Fail"))</f>
        <v>Pass</v>
      </c>
      <c r="B1659">
        <f t="shared" si="127"/>
        <v>55.76123046875</v>
      </c>
      <c r="C1659">
        <v>10</v>
      </c>
      <c r="D1659">
        <v>100</v>
      </c>
      <c r="E1659">
        <v>50</v>
      </c>
      <c r="F1659">
        <v>8</v>
      </c>
      <c r="G1659">
        <v>55.7612280807231</v>
      </c>
    </row>
    <row r="1660" spans="1:7" x14ac:dyDescent="0.3">
      <c r="A1660" t="str">
        <f>IF(ISBLANK(B1660),"",IF(ROUND(B1660,0)=ROUND(G1660,0),"Pass","Fail"))</f>
        <v>Pass</v>
      </c>
      <c r="B1660">
        <f t="shared" si="127"/>
        <v>38.979995727539063</v>
      </c>
      <c r="C1660">
        <v>10</v>
      </c>
      <c r="D1660">
        <v>100</v>
      </c>
      <c r="E1660">
        <v>50</v>
      </c>
      <c r="F1660">
        <v>16</v>
      </c>
      <c r="G1660">
        <v>38.9799972471017</v>
      </c>
    </row>
    <row r="1661" spans="1:7" x14ac:dyDescent="0.3">
      <c r="A1661" t="str">
        <f>IF(ISBLANK(B1661),"",IF(ROUND(B1661,0)=ROUND(G1661,0),"Pass","Fail"))</f>
        <v>Pass</v>
      </c>
      <c r="B1661">
        <f t="shared" si="127"/>
        <v>30.532577514648438</v>
      </c>
      <c r="C1661">
        <v>10</v>
      </c>
      <c r="D1661">
        <v>100</v>
      </c>
      <c r="E1661">
        <v>50</v>
      </c>
      <c r="F1661">
        <v>24</v>
      </c>
      <c r="G1661">
        <v>30.532577413736199</v>
      </c>
    </row>
    <row r="1662" spans="1:7" x14ac:dyDescent="0.3">
      <c r="A1662" t="str">
        <f>IF(ISBLANK(B1662),"",IF(ROUND(B1662,0)=ROUND(G1662,0),"Pass","Fail"))</f>
        <v>Pass</v>
      </c>
      <c r="B1662">
        <f t="shared" si="127"/>
        <v>26.2802734375</v>
      </c>
      <c r="C1662">
        <v>10</v>
      </c>
      <c r="D1662">
        <v>100</v>
      </c>
      <c r="E1662">
        <v>50</v>
      </c>
      <c r="F1662">
        <v>32</v>
      </c>
      <c r="G1662">
        <v>26.280273005994601</v>
      </c>
    </row>
    <row r="1663" spans="1:7" x14ac:dyDescent="0.3">
      <c r="A1663" t="str">
        <f>IF(ISBLANK(B1663),"",IF(ROUND(B1663,0)=ROUND(G1663,0),"Pass","Fail"))</f>
        <v>Pass</v>
      </c>
      <c r="B1663">
        <f t="shared" si="127"/>
        <v>24.139726638793945</v>
      </c>
      <c r="C1663">
        <v>10</v>
      </c>
      <c r="D1663">
        <v>100</v>
      </c>
      <c r="E1663">
        <v>50</v>
      </c>
      <c r="F1663">
        <v>40</v>
      </c>
      <c r="G1663">
        <v>24.139726764327101</v>
      </c>
    </row>
    <row r="1664" spans="1:7" x14ac:dyDescent="0.3">
      <c r="A1664" t="str">
        <f>IF(ISBLANK(B1664),"",IF(ROUND(B1664,0)=ROUND(G1664,0),"Pass","Fail"))</f>
        <v>Pass</v>
      </c>
      <c r="B1664">
        <f t="shared" si="127"/>
        <v>23.062206268310547</v>
      </c>
      <c r="C1664">
        <v>10</v>
      </c>
      <c r="D1664">
        <v>100</v>
      </c>
      <c r="E1664">
        <v>50</v>
      </c>
      <c r="F1664">
        <v>48</v>
      </c>
      <c r="G1664">
        <v>23.062207900819701</v>
      </c>
    </row>
    <row r="1665" spans="1:7" x14ac:dyDescent="0.3">
      <c r="A1665" t="str">
        <f>IF(ISBLANK(B1665),"",IF(ROUND(B1665,0)=ROUND(G1665,0),"Pass","Fail"))</f>
        <v>Pass</v>
      </c>
      <c r="B1665">
        <f t="shared" si="127"/>
        <v>89.097999572753906</v>
      </c>
      <c r="C1665">
        <v>10</v>
      </c>
      <c r="D1665">
        <v>100</v>
      </c>
      <c r="E1665">
        <v>60</v>
      </c>
      <c r="F1665">
        <v>0</v>
      </c>
      <c r="G1665">
        <v>89.097999999999999</v>
      </c>
    </row>
    <row r="1666" spans="1:7" x14ac:dyDescent="0.3">
      <c r="A1666" t="str">
        <f>IF(ISBLANK(B1666),"",IF(ROUND(B1666,0)=ROUND(G1666,0),"Pass","Fail"))</f>
        <v>Pass</v>
      </c>
      <c r="B1666">
        <f t="shared" si="127"/>
        <v>55.76123046875</v>
      </c>
      <c r="C1666">
        <v>10</v>
      </c>
      <c r="D1666">
        <v>100</v>
      </c>
      <c r="E1666">
        <v>60</v>
      </c>
      <c r="F1666">
        <v>8</v>
      </c>
      <c r="G1666">
        <v>55.7612280807231</v>
      </c>
    </row>
    <row r="1667" spans="1:7" x14ac:dyDescent="0.3">
      <c r="A1667" t="str">
        <f>IF(ISBLANK(B1667),"",IF(ROUND(B1667,0)=ROUND(G1667,0),"Pass","Fail"))</f>
        <v>Pass</v>
      </c>
      <c r="B1667">
        <f t="shared" si="127"/>
        <v>38.979995727539063</v>
      </c>
      <c r="C1667">
        <v>10</v>
      </c>
      <c r="D1667">
        <v>100</v>
      </c>
      <c r="E1667">
        <v>60</v>
      </c>
      <c r="F1667">
        <v>16</v>
      </c>
      <c r="G1667">
        <v>38.9799972471017</v>
      </c>
    </row>
    <row r="1668" spans="1:7" x14ac:dyDescent="0.3">
      <c r="A1668" t="str">
        <f>IF(ISBLANK(B1668),"",IF(ROUND(B1668,0)=ROUND(G1668,0),"Pass","Fail"))</f>
        <v>Pass</v>
      </c>
      <c r="B1668">
        <f t="shared" si="127"/>
        <v>30.532577514648438</v>
      </c>
      <c r="C1668">
        <v>10</v>
      </c>
      <c r="D1668">
        <v>100</v>
      </c>
      <c r="E1668">
        <v>60</v>
      </c>
      <c r="F1668">
        <v>24</v>
      </c>
      <c r="G1668">
        <v>30.532577413736199</v>
      </c>
    </row>
    <row r="1669" spans="1:7" x14ac:dyDescent="0.3">
      <c r="A1669" t="str">
        <f>IF(ISBLANK(B1669),"",IF(ROUND(B1669,0)=ROUND(G1669,0),"Pass","Fail"))</f>
        <v>Pass</v>
      </c>
      <c r="B1669">
        <f t="shared" si="127"/>
        <v>26.2802734375</v>
      </c>
      <c r="C1669">
        <v>10</v>
      </c>
      <c r="D1669">
        <v>100</v>
      </c>
      <c r="E1669">
        <v>60</v>
      </c>
      <c r="F1669">
        <v>32</v>
      </c>
      <c r="G1669">
        <v>26.280273005994601</v>
      </c>
    </row>
    <row r="1670" spans="1:7" x14ac:dyDescent="0.3">
      <c r="A1670" t="str">
        <f>IF(ISBLANK(B1670),"",IF(ROUND(B1670,0)=ROUND(G1670,0),"Pass","Fail"))</f>
        <v>Pass</v>
      </c>
      <c r="B1670">
        <f t="shared" si="127"/>
        <v>24.139726638793945</v>
      </c>
      <c r="C1670">
        <v>10</v>
      </c>
      <c r="D1670">
        <v>100</v>
      </c>
      <c r="E1670">
        <v>60</v>
      </c>
      <c r="F1670">
        <v>40</v>
      </c>
      <c r="G1670">
        <v>24.139726764327101</v>
      </c>
    </row>
    <row r="1671" spans="1:7" x14ac:dyDescent="0.3">
      <c r="A1671" t="str">
        <f>IF(ISBLANK(B1671),"",IF(ROUND(B1671,0)=ROUND(G1671,0),"Pass","Fail"))</f>
        <v>Pass</v>
      </c>
      <c r="B1671">
        <f t="shared" ref="B1671:B1734" si="128">FMC_heath(C1671,D1671,E1671,F1671)</f>
        <v>23.062206268310547</v>
      </c>
      <c r="C1671">
        <v>10</v>
      </c>
      <c r="D1671">
        <v>100</v>
      </c>
      <c r="E1671">
        <v>60</v>
      </c>
      <c r="F1671">
        <v>48</v>
      </c>
      <c r="G1671">
        <v>23.062207900819701</v>
      </c>
    </row>
    <row r="1672" spans="1:7" x14ac:dyDescent="0.3">
      <c r="A1672" t="str">
        <f>IF(ISBLANK(B1672),"",IF(ROUND(B1672,0)=ROUND(G1672,0),"Pass","Fail"))</f>
        <v>Pass</v>
      </c>
      <c r="B1672">
        <f t="shared" si="128"/>
        <v>89.097999572753906</v>
      </c>
      <c r="C1672">
        <v>10</v>
      </c>
      <c r="D1672">
        <v>100</v>
      </c>
      <c r="E1672">
        <v>70</v>
      </c>
      <c r="F1672">
        <v>0</v>
      </c>
      <c r="G1672">
        <v>89.097999999999999</v>
      </c>
    </row>
    <row r="1673" spans="1:7" x14ac:dyDescent="0.3">
      <c r="A1673" t="str">
        <f>IF(ISBLANK(B1673),"",IF(ROUND(B1673,0)=ROUND(G1673,0),"Pass","Fail"))</f>
        <v>Pass</v>
      </c>
      <c r="B1673">
        <f t="shared" si="128"/>
        <v>55.76123046875</v>
      </c>
      <c r="C1673">
        <v>10</v>
      </c>
      <c r="D1673">
        <v>100</v>
      </c>
      <c r="E1673">
        <v>70</v>
      </c>
      <c r="F1673">
        <v>8</v>
      </c>
      <c r="G1673">
        <v>55.7612280807231</v>
      </c>
    </row>
    <row r="1674" spans="1:7" x14ac:dyDescent="0.3">
      <c r="A1674" t="str">
        <f>IF(ISBLANK(B1674),"",IF(ROUND(B1674,0)=ROUND(G1674,0),"Pass","Fail"))</f>
        <v>Pass</v>
      </c>
      <c r="B1674">
        <f t="shared" si="128"/>
        <v>38.979995727539063</v>
      </c>
      <c r="C1674">
        <v>10</v>
      </c>
      <c r="D1674">
        <v>100</v>
      </c>
      <c r="E1674">
        <v>70</v>
      </c>
      <c r="F1674">
        <v>16</v>
      </c>
      <c r="G1674">
        <v>38.9799972471017</v>
      </c>
    </row>
    <row r="1675" spans="1:7" x14ac:dyDescent="0.3">
      <c r="A1675" t="str">
        <f>IF(ISBLANK(B1675),"",IF(ROUND(B1675,0)=ROUND(G1675,0),"Pass","Fail"))</f>
        <v>Pass</v>
      </c>
      <c r="B1675">
        <f t="shared" si="128"/>
        <v>30.532577514648438</v>
      </c>
      <c r="C1675">
        <v>10</v>
      </c>
      <c r="D1675">
        <v>100</v>
      </c>
      <c r="E1675">
        <v>70</v>
      </c>
      <c r="F1675">
        <v>24</v>
      </c>
      <c r="G1675">
        <v>30.532577413736199</v>
      </c>
    </row>
    <row r="1676" spans="1:7" x14ac:dyDescent="0.3">
      <c r="A1676" t="str">
        <f>IF(ISBLANK(B1676),"",IF(ROUND(B1676,0)=ROUND(G1676,0),"Pass","Fail"))</f>
        <v>Pass</v>
      </c>
      <c r="B1676">
        <f t="shared" si="128"/>
        <v>26.2802734375</v>
      </c>
      <c r="C1676">
        <v>10</v>
      </c>
      <c r="D1676">
        <v>100</v>
      </c>
      <c r="E1676">
        <v>70</v>
      </c>
      <c r="F1676">
        <v>32</v>
      </c>
      <c r="G1676">
        <v>26.280273005994601</v>
      </c>
    </row>
    <row r="1677" spans="1:7" x14ac:dyDescent="0.3">
      <c r="A1677" t="str">
        <f>IF(ISBLANK(B1677),"",IF(ROUND(B1677,0)=ROUND(G1677,0),"Pass","Fail"))</f>
        <v>Pass</v>
      </c>
      <c r="B1677">
        <f t="shared" si="128"/>
        <v>24.139726638793945</v>
      </c>
      <c r="C1677">
        <v>10</v>
      </c>
      <c r="D1677">
        <v>100</v>
      </c>
      <c r="E1677">
        <v>70</v>
      </c>
      <c r="F1677">
        <v>40</v>
      </c>
      <c r="G1677">
        <v>24.139726764327101</v>
      </c>
    </row>
    <row r="1678" spans="1:7" x14ac:dyDescent="0.3">
      <c r="A1678" t="str">
        <f>IF(ISBLANK(B1678),"",IF(ROUND(B1678,0)=ROUND(G1678,0),"Pass","Fail"))</f>
        <v>Pass</v>
      </c>
      <c r="B1678">
        <f t="shared" si="128"/>
        <v>23.062206268310547</v>
      </c>
      <c r="C1678">
        <v>10</v>
      </c>
      <c r="D1678">
        <v>100</v>
      </c>
      <c r="E1678">
        <v>70</v>
      </c>
      <c r="F1678">
        <v>48</v>
      </c>
      <c r="G1678">
        <v>23.062207900819701</v>
      </c>
    </row>
    <row r="1679" spans="1:7" x14ac:dyDescent="0.3">
      <c r="A1679" t="str">
        <f>IF(ISBLANK(B1679),"",IF(ROUND(B1679,0)=ROUND(G1679,0),"Pass","Fail"))</f>
        <v>Pass</v>
      </c>
      <c r="B1679">
        <f t="shared" si="128"/>
        <v>89.097999572753906</v>
      </c>
      <c r="C1679">
        <v>10</v>
      </c>
      <c r="D1679">
        <v>100</v>
      </c>
      <c r="E1679">
        <v>80</v>
      </c>
      <c r="F1679">
        <v>0</v>
      </c>
      <c r="G1679">
        <v>89.097999999999999</v>
      </c>
    </row>
    <row r="1680" spans="1:7" x14ac:dyDescent="0.3">
      <c r="A1680" t="str">
        <f>IF(ISBLANK(B1680),"",IF(ROUND(B1680,0)=ROUND(G1680,0),"Pass","Fail"))</f>
        <v>Pass</v>
      </c>
      <c r="B1680">
        <f t="shared" si="128"/>
        <v>55.76123046875</v>
      </c>
      <c r="C1680">
        <v>10</v>
      </c>
      <c r="D1680">
        <v>100</v>
      </c>
      <c r="E1680">
        <v>80</v>
      </c>
      <c r="F1680">
        <v>8</v>
      </c>
      <c r="G1680">
        <v>55.7612280807231</v>
      </c>
    </row>
    <row r="1681" spans="1:7" x14ac:dyDescent="0.3">
      <c r="A1681" t="str">
        <f>IF(ISBLANK(B1681),"",IF(ROUND(B1681,0)=ROUND(G1681,0),"Pass","Fail"))</f>
        <v>Pass</v>
      </c>
      <c r="B1681">
        <f t="shared" si="128"/>
        <v>38.979995727539063</v>
      </c>
      <c r="C1681">
        <v>10</v>
      </c>
      <c r="D1681">
        <v>100</v>
      </c>
      <c r="E1681">
        <v>80</v>
      </c>
      <c r="F1681">
        <v>16</v>
      </c>
      <c r="G1681">
        <v>38.9799972471017</v>
      </c>
    </row>
    <row r="1682" spans="1:7" x14ac:dyDescent="0.3">
      <c r="A1682" t="str">
        <f>IF(ISBLANK(B1682),"",IF(ROUND(B1682,0)=ROUND(G1682,0),"Pass","Fail"))</f>
        <v>Pass</v>
      </c>
      <c r="B1682">
        <f t="shared" si="128"/>
        <v>30.532577514648438</v>
      </c>
      <c r="C1682">
        <v>10</v>
      </c>
      <c r="D1682">
        <v>100</v>
      </c>
      <c r="E1682">
        <v>80</v>
      </c>
      <c r="F1682">
        <v>24</v>
      </c>
      <c r="G1682">
        <v>30.532577413736199</v>
      </c>
    </row>
    <row r="1683" spans="1:7" x14ac:dyDescent="0.3">
      <c r="A1683" t="str">
        <f>IF(ISBLANK(B1683),"",IF(ROUND(B1683,0)=ROUND(G1683,0),"Pass","Fail"))</f>
        <v>Pass</v>
      </c>
      <c r="B1683">
        <f t="shared" si="128"/>
        <v>26.2802734375</v>
      </c>
      <c r="C1683">
        <v>10</v>
      </c>
      <c r="D1683">
        <v>100</v>
      </c>
      <c r="E1683">
        <v>80</v>
      </c>
      <c r="F1683">
        <v>32</v>
      </c>
      <c r="G1683">
        <v>26.280273005994601</v>
      </c>
    </row>
    <row r="1684" spans="1:7" x14ac:dyDescent="0.3">
      <c r="A1684" t="str">
        <f>IF(ISBLANK(B1684),"",IF(ROUND(B1684,0)=ROUND(G1684,0),"Pass","Fail"))</f>
        <v>Pass</v>
      </c>
      <c r="B1684">
        <f t="shared" si="128"/>
        <v>24.139726638793945</v>
      </c>
      <c r="C1684">
        <v>10</v>
      </c>
      <c r="D1684">
        <v>100</v>
      </c>
      <c r="E1684">
        <v>80</v>
      </c>
      <c r="F1684">
        <v>40</v>
      </c>
      <c r="G1684">
        <v>24.139726764327101</v>
      </c>
    </row>
    <row r="1685" spans="1:7" x14ac:dyDescent="0.3">
      <c r="A1685" t="str">
        <f>IF(ISBLANK(B1685),"",IF(ROUND(B1685,0)=ROUND(G1685,0),"Pass","Fail"))</f>
        <v>Pass</v>
      </c>
      <c r="B1685">
        <f t="shared" si="128"/>
        <v>23.062206268310547</v>
      </c>
      <c r="C1685">
        <v>10</v>
      </c>
      <c r="D1685">
        <v>100</v>
      </c>
      <c r="E1685">
        <v>80</v>
      </c>
      <c r="F1685">
        <v>48</v>
      </c>
      <c r="G1685">
        <v>23.062207900819701</v>
      </c>
    </row>
    <row r="1686" spans="1:7" x14ac:dyDescent="0.3">
      <c r="A1686" t="str">
        <f>IF(ISBLANK(B1686),"",IF(ROUND(B1686,0)=ROUND(G1686,0),"Pass","Fail"))</f>
        <v>Pass</v>
      </c>
      <c r="B1686">
        <f t="shared" si="128"/>
        <v>89.097999572753906</v>
      </c>
      <c r="C1686">
        <v>10</v>
      </c>
      <c r="D1686">
        <v>100</v>
      </c>
      <c r="E1686">
        <v>90</v>
      </c>
      <c r="F1686">
        <v>0</v>
      </c>
      <c r="G1686">
        <v>89.097999999999999</v>
      </c>
    </row>
    <row r="1687" spans="1:7" x14ac:dyDescent="0.3">
      <c r="A1687" t="str">
        <f>IF(ISBLANK(B1687),"",IF(ROUND(B1687,0)=ROUND(G1687,0),"Pass","Fail"))</f>
        <v>Pass</v>
      </c>
      <c r="B1687">
        <f t="shared" si="128"/>
        <v>55.76123046875</v>
      </c>
      <c r="C1687">
        <v>10</v>
      </c>
      <c r="D1687">
        <v>100</v>
      </c>
      <c r="E1687">
        <v>90</v>
      </c>
      <c r="F1687">
        <v>8</v>
      </c>
      <c r="G1687">
        <v>55.7612280807231</v>
      </c>
    </row>
    <row r="1688" spans="1:7" x14ac:dyDescent="0.3">
      <c r="A1688" t="str">
        <f>IF(ISBLANK(B1688),"",IF(ROUND(B1688,0)=ROUND(G1688,0),"Pass","Fail"))</f>
        <v>Pass</v>
      </c>
      <c r="B1688">
        <f t="shared" si="128"/>
        <v>38.979995727539063</v>
      </c>
      <c r="C1688">
        <v>10</v>
      </c>
      <c r="D1688">
        <v>100</v>
      </c>
      <c r="E1688">
        <v>90</v>
      </c>
      <c r="F1688">
        <v>16</v>
      </c>
      <c r="G1688">
        <v>38.9799972471017</v>
      </c>
    </row>
    <row r="1689" spans="1:7" x14ac:dyDescent="0.3">
      <c r="A1689" t="str">
        <f>IF(ISBLANK(B1689),"",IF(ROUND(B1689,0)=ROUND(G1689,0),"Pass","Fail"))</f>
        <v>Pass</v>
      </c>
      <c r="B1689">
        <f t="shared" si="128"/>
        <v>30.532577514648438</v>
      </c>
      <c r="C1689">
        <v>10</v>
      </c>
      <c r="D1689">
        <v>100</v>
      </c>
      <c r="E1689">
        <v>90</v>
      </c>
      <c r="F1689">
        <v>24</v>
      </c>
      <c r="G1689">
        <v>30.532577413736199</v>
      </c>
    </row>
    <row r="1690" spans="1:7" x14ac:dyDescent="0.3">
      <c r="A1690" t="str">
        <f>IF(ISBLANK(B1690),"",IF(ROUND(B1690,0)=ROUND(G1690,0),"Pass","Fail"))</f>
        <v>Pass</v>
      </c>
      <c r="B1690">
        <f t="shared" si="128"/>
        <v>26.2802734375</v>
      </c>
      <c r="C1690">
        <v>10</v>
      </c>
      <c r="D1690">
        <v>100</v>
      </c>
      <c r="E1690">
        <v>90</v>
      </c>
      <c r="F1690">
        <v>32</v>
      </c>
      <c r="G1690">
        <v>26.280273005994601</v>
      </c>
    </row>
    <row r="1691" spans="1:7" x14ac:dyDescent="0.3">
      <c r="A1691" t="str">
        <f>IF(ISBLANK(B1691),"",IF(ROUND(B1691,0)=ROUND(G1691,0),"Pass","Fail"))</f>
        <v>Pass</v>
      </c>
      <c r="B1691">
        <f t="shared" si="128"/>
        <v>24.139726638793945</v>
      </c>
      <c r="C1691">
        <v>10</v>
      </c>
      <c r="D1691">
        <v>100</v>
      </c>
      <c r="E1691">
        <v>90</v>
      </c>
      <c r="F1691">
        <v>40</v>
      </c>
      <c r="G1691">
        <v>24.139726764327101</v>
      </c>
    </row>
    <row r="1692" spans="1:7" x14ac:dyDescent="0.3">
      <c r="A1692" t="str">
        <f>IF(ISBLANK(B1692),"",IF(ROUND(B1692,0)=ROUND(G1692,0),"Pass","Fail"))</f>
        <v>Pass</v>
      </c>
      <c r="B1692">
        <f t="shared" si="128"/>
        <v>23.062206268310547</v>
      </c>
      <c r="C1692">
        <v>10</v>
      </c>
      <c r="D1692">
        <v>100</v>
      </c>
      <c r="E1692">
        <v>90</v>
      </c>
      <c r="F1692">
        <v>48</v>
      </c>
      <c r="G1692">
        <v>23.062207900819701</v>
      </c>
    </row>
    <row r="1693" spans="1:7" x14ac:dyDescent="0.3">
      <c r="A1693" t="str">
        <f>IF(ISBLANK(B1693),"",IF(ROUND(B1693,0)=ROUND(G1693,0),"Pass","Fail"))</f>
        <v>Pass</v>
      </c>
      <c r="B1693">
        <f t="shared" si="128"/>
        <v>89.097999572753906</v>
      </c>
      <c r="C1693">
        <v>10</v>
      </c>
      <c r="D1693">
        <v>100</v>
      </c>
      <c r="E1693">
        <v>100</v>
      </c>
      <c r="F1693">
        <v>0</v>
      </c>
      <c r="G1693">
        <v>89.097999999999999</v>
      </c>
    </row>
    <row r="1694" spans="1:7" x14ac:dyDescent="0.3">
      <c r="A1694" t="str">
        <f>IF(ISBLANK(B1694),"",IF(ROUND(B1694,0)=ROUND(G1694,0),"Pass","Fail"))</f>
        <v>Pass</v>
      </c>
      <c r="B1694">
        <f t="shared" si="128"/>
        <v>55.76123046875</v>
      </c>
      <c r="C1694">
        <v>10</v>
      </c>
      <c r="D1694">
        <v>100</v>
      </c>
      <c r="E1694">
        <v>100</v>
      </c>
      <c r="F1694">
        <v>8</v>
      </c>
      <c r="G1694">
        <v>55.7612280807231</v>
      </c>
    </row>
    <row r="1695" spans="1:7" x14ac:dyDescent="0.3">
      <c r="A1695" t="str">
        <f>IF(ISBLANK(B1695),"",IF(ROUND(B1695,0)=ROUND(G1695,0),"Pass","Fail"))</f>
        <v>Pass</v>
      </c>
      <c r="B1695">
        <f t="shared" si="128"/>
        <v>38.979995727539063</v>
      </c>
      <c r="C1695">
        <v>10</v>
      </c>
      <c r="D1695">
        <v>100</v>
      </c>
      <c r="E1695">
        <v>100</v>
      </c>
      <c r="F1695">
        <v>16</v>
      </c>
      <c r="G1695">
        <v>38.9799972471017</v>
      </c>
    </row>
    <row r="1696" spans="1:7" x14ac:dyDescent="0.3">
      <c r="A1696" t="str">
        <f>IF(ISBLANK(B1696),"",IF(ROUND(B1696,0)=ROUND(G1696,0),"Pass","Fail"))</f>
        <v>Pass</v>
      </c>
      <c r="B1696">
        <f t="shared" si="128"/>
        <v>30.532577514648438</v>
      </c>
      <c r="C1696">
        <v>10</v>
      </c>
      <c r="D1696">
        <v>100</v>
      </c>
      <c r="E1696">
        <v>100</v>
      </c>
      <c r="F1696">
        <v>24</v>
      </c>
      <c r="G1696">
        <v>30.532577413736199</v>
      </c>
    </row>
    <row r="1697" spans="1:7" x14ac:dyDescent="0.3">
      <c r="A1697" t="str">
        <f>IF(ISBLANK(B1697),"",IF(ROUND(B1697,0)=ROUND(G1697,0),"Pass","Fail"))</f>
        <v>Pass</v>
      </c>
      <c r="B1697">
        <f t="shared" si="128"/>
        <v>26.2802734375</v>
      </c>
      <c r="C1697">
        <v>10</v>
      </c>
      <c r="D1697">
        <v>100</v>
      </c>
      <c r="E1697">
        <v>100</v>
      </c>
      <c r="F1697">
        <v>32</v>
      </c>
      <c r="G1697">
        <v>26.280273005994601</v>
      </c>
    </row>
    <row r="1698" spans="1:7" x14ac:dyDescent="0.3">
      <c r="A1698" t="str">
        <f>IF(ISBLANK(B1698),"",IF(ROUND(B1698,0)=ROUND(G1698,0),"Pass","Fail"))</f>
        <v>Pass</v>
      </c>
      <c r="B1698">
        <f t="shared" si="128"/>
        <v>24.139726638793945</v>
      </c>
      <c r="C1698">
        <v>10</v>
      </c>
      <c r="D1698">
        <v>100</v>
      </c>
      <c r="E1698">
        <v>100</v>
      </c>
      <c r="F1698">
        <v>40</v>
      </c>
      <c r="G1698">
        <v>24.139726764327101</v>
      </c>
    </row>
    <row r="1699" spans="1:7" x14ac:dyDescent="0.3">
      <c r="A1699" t="str">
        <f>IF(ISBLANK(B1699),"",IF(ROUND(B1699,0)=ROUND(G1699,0),"Pass","Fail"))</f>
        <v>Pass</v>
      </c>
      <c r="B1699">
        <f t="shared" si="128"/>
        <v>23.062206268310547</v>
      </c>
      <c r="C1699">
        <v>10</v>
      </c>
      <c r="D1699">
        <v>100</v>
      </c>
      <c r="E1699">
        <v>100</v>
      </c>
      <c r="F1699">
        <v>48</v>
      </c>
      <c r="G1699">
        <v>23.062207900819701</v>
      </c>
    </row>
    <row r="1700" spans="1:7" x14ac:dyDescent="0.3">
      <c r="A1700" t="str">
        <f>IF(ISBLANK(B1700),"",IF(ROUND(B1700,0)=ROUND(G1700,0),"Pass","Fail"))</f>
        <v>Pass</v>
      </c>
      <c r="B1700">
        <f t="shared" si="128"/>
        <v>4.869999885559082</v>
      </c>
      <c r="C1700">
        <v>20</v>
      </c>
      <c r="D1700">
        <v>0</v>
      </c>
      <c r="E1700">
        <v>0</v>
      </c>
      <c r="F1700">
        <v>0</v>
      </c>
      <c r="G1700">
        <v>4.87</v>
      </c>
    </row>
    <row r="1701" spans="1:7" x14ac:dyDescent="0.3">
      <c r="A1701" t="str">
        <f>IF(ISBLANK(B1701),"",IF(ROUND(B1701,0)=ROUND(G1701,0),"Pass","Fail"))</f>
        <v>Pass</v>
      </c>
      <c r="B1701">
        <f t="shared" si="128"/>
        <v>4.869999885559082</v>
      </c>
      <c r="C1701">
        <v>20</v>
      </c>
      <c r="D1701">
        <v>0</v>
      </c>
      <c r="E1701">
        <v>0</v>
      </c>
      <c r="F1701">
        <v>8</v>
      </c>
      <c r="G1701">
        <v>4.87</v>
      </c>
    </row>
    <row r="1702" spans="1:7" x14ac:dyDescent="0.3">
      <c r="A1702" t="str">
        <f>IF(ISBLANK(B1702),"",IF(ROUND(B1702,0)=ROUND(G1702,0),"Pass","Fail"))</f>
        <v>Pass</v>
      </c>
      <c r="B1702">
        <f t="shared" si="128"/>
        <v>4.869999885559082</v>
      </c>
      <c r="C1702">
        <v>20</v>
      </c>
      <c r="D1702">
        <v>0</v>
      </c>
      <c r="E1702">
        <v>0</v>
      </c>
      <c r="F1702">
        <v>16</v>
      </c>
      <c r="G1702">
        <v>4.87</v>
      </c>
    </row>
    <row r="1703" spans="1:7" x14ac:dyDescent="0.3">
      <c r="A1703" t="str">
        <f>IF(ISBLANK(B1703),"",IF(ROUND(B1703,0)=ROUND(G1703,0),"Pass","Fail"))</f>
        <v>Pass</v>
      </c>
      <c r="B1703">
        <f t="shared" si="128"/>
        <v>4.869999885559082</v>
      </c>
      <c r="C1703">
        <v>20</v>
      </c>
      <c r="D1703">
        <v>0</v>
      </c>
      <c r="E1703">
        <v>0</v>
      </c>
      <c r="F1703">
        <v>24</v>
      </c>
      <c r="G1703">
        <v>4.87</v>
      </c>
    </row>
    <row r="1704" spans="1:7" x14ac:dyDescent="0.3">
      <c r="A1704" t="str">
        <f>IF(ISBLANK(B1704),"",IF(ROUND(B1704,0)=ROUND(G1704,0),"Pass","Fail"))</f>
        <v>Pass</v>
      </c>
      <c r="B1704">
        <f t="shared" si="128"/>
        <v>4.869999885559082</v>
      </c>
      <c r="C1704">
        <v>20</v>
      </c>
      <c r="D1704">
        <v>0</v>
      </c>
      <c r="E1704">
        <v>0</v>
      </c>
      <c r="F1704">
        <v>32</v>
      </c>
      <c r="G1704">
        <v>4.87</v>
      </c>
    </row>
    <row r="1705" spans="1:7" x14ac:dyDescent="0.3">
      <c r="A1705" t="str">
        <f>IF(ISBLANK(B1705),"",IF(ROUND(B1705,0)=ROUND(G1705,0),"Pass","Fail"))</f>
        <v>Pass</v>
      </c>
      <c r="B1705">
        <f t="shared" si="128"/>
        <v>4.869999885559082</v>
      </c>
      <c r="C1705">
        <v>20</v>
      </c>
      <c r="D1705">
        <v>0</v>
      </c>
      <c r="E1705">
        <v>0</v>
      </c>
      <c r="F1705">
        <v>40</v>
      </c>
      <c r="G1705">
        <v>4.87</v>
      </c>
    </row>
    <row r="1706" spans="1:7" x14ac:dyDescent="0.3">
      <c r="A1706" t="str">
        <f>IF(ISBLANK(B1706),"",IF(ROUND(B1706,0)=ROUND(G1706,0),"Pass","Fail"))</f>
        <v>Pass</v>
      </c>
      <c r="B1706">
        <f t="shared" si="128"/>
        <v>4.869999885559082</v>
      </c>
      <c r="C1706">
        <v>20</v>
      </c>
      <c r="D1706">
        <v>0</v>
      </c>
      <c r="E1706">
        <v>0</v>
      </c>
      <c r="F1706">
        <v>48</v>
      </c>
      <c r="G1706">
        <v>4.87</v>
      </c>
    </row>
    <row r="1707" spans="1:7" x14ac:dyDescent="0.3">
      <c r="A1707" t="str">
        <f>IF(ISBLANK(B1707),"",IF(ROUND(B1707,0)=ROUND(G1707,0),"Pass","Fail"))</f>
        <v>Pass</v>
      </c>
      <c r="B1707">
        <f t="shared" si="128"/>
        <v>71.998001098632813</v>
      </c>
      <c r="C1707">
        <v>20</v>
      </c>
      <c r="D1707">
        <v>0</v>
      </c>
      <c r="E1707">
        <v>10</v>
      </c>
      <c r="F1707">
        <v>0</v>
      </c>
      <c r="G1707">
        <v>71.997999999998299</v>
      </c>
    </row>
    <row r="1708" spans="1:7" x14ac:dyDescent="0.3">
      <c r="A1708" t="str">
        <f>IF(ISBLANK(B1708),"",IF(ROUND(B1708,0)=ROUND(G1708,0),"Pass","Fail"))</f>
        <v>Pass</v>
      </c>
      <c r="B1708">
        <f t="shared" si="128"/>
        <v>38.661228179931641</v>
      </c>
      <c r="C1708">
        <v>20</v>
      </c>
      <c r="D1708">
        <v>0</v>
      </c>
      <c r="E1708">
        <v>10</v>
      </c>
      <c r="F1708">
        <v>8</v>
      </c>
      <c r="G1708">
        <v>38.661228080722204</v>
      </c>
    </row>
    <row r="1709" spans="1:7" x14ac:dyDescent="0.3">
      <c r="A1709" t="str">
        <f>IF(ISBLANK(B1709),"",IF(ROUND(B1709,0)=ROUND(G1709,0),"Pass","Fail"))</f>
        <v>Pass</v>
      </c>
      <c r="B1709">
        <f t="shared" si="128"/>
        <v>21.879997253417969</v>
      </c>
      <c r="C1709">
        <v>20</v>
      </c>
      <c r="D1709">
        <v>0</v>
      </c>
      <c r="E1709">
        <v>10</v>
      </c>
      <c r="F1709">
        <v>16</v>
      </c>
      <c r="G1709">
        <v>21.879997247101301</v>
      </c>
    </row>
    <row r="1710" spans="1:7" x14ac:dyDescent="0.3">
      <c r="A1710" t="str">
        <f>IF(ISBLANK(B1710),"",IF(ROUND(B1710,0)=ROUND(G1710,0),"Pass","Fail"))</f>
        <v>Pass</v>
      </c>
      <c r="B1710">
        <f t="shared" si="128"/>
        <v>13.432577133178711</v>
      </c>
      <c r="C1710">
        <v>20</v>
      </c>
      <c r="D1710">
        <v>0</v>
      </c>
      <c r="E1710">
        <v>10</v>
      </c>
      <c r="F1710">
        <v>24</v>
      </c>
      <c r="G1710">
        <v>13.432577413736</v>
      </c>
    </row>
    <row r="1711" spans="1:7" x14ac:dyDescent="0.3">
      <c r="A1711" t="str">
        <f>IF(ISBLANK(B1711),"",IF(ROUND(B1711,0)=ROUND(G1711,0),"Pass","Fail"))</f>
        <v>Pass</v>
      </c>
      <c r="B1711">
        <f t="shared" si="128"/>
        <v>9.1802730560302734</v>
      </c>
      <c r="C1711">
        <v>20</v>
      </c>
      <c r="D1711">
        <v>0</v>
      </c>
      <c r="E1711">
        <v>10</v>
      </c>
      <c r="F1711">
        <v>32</v>
      </c>
      <c r="G1711">
        <v>9.1802730059945592</v>
      </c>
    </row>
    <row r="1712" spans="1:7" x14ac:dyDescent="0.3">
      <c r="A1712" t="str">
        <f>IF(ISBLANK(B1712),"",IF(ROUND(B1712,0)=ROUND(G1712,0),"Pass","Fail"))</f>
        <v>Pass</v>
      </c>
      <c r="B1712">
        <f t="shared" si="128"/>
        <v>7.039726734161377</v>
      </c>
      <c r="C1712">
        <v>20</v>
      </c>
      <c r="D1712">
        <v>0</v>
      </c>
      <c r="E1712">
        <v>10</v>
      </c>
      <c r="F1712">
        <v>40</v>
      </c>
      <c r="G1712">
        <v>7.0397267643270496</v>
      </c>
    </row>
    <row r="1713" spans="1:7" x14ac:dyDescent="0.3">
      <c r="A1713" t="str">
        <f>IF(ISBLANK(B1713),"",IF(ROUND(B1713,0)=ROUND(G1713,0),"Pass","Fail"))</f>
        <v>Pass</v>
      </c>
      <c r="B1713">
        <f t="shared" si="128"/>
        <v>5.9622077941894531</v>
      </c>
      <c r="C1713">
        <v>20</v>
      </c>
      <c r="D1713">
        <v>0</v>
      </c>
      <c r="E1713">
        <v>10</v>
      </c>
      <c r="F1713">
        <v>48</v>
      </c>
      <c r="G1713">
        <v>5.9622079008196902</v>
      </c>
    </row>
    <row r="1714" spans="1:7" x14ac:dyDescent="0.3">
      <c r="A1714" t="str">
        <f>IF(ISBLANK(B1714),"",IF(ROUND(B1714,0)=ROUND(G1714,0),"Pass","Fail"))</f>
        <v>Pass</v>
      </c>
      <c r="B1714">
        <f t="shared" si="128"/>
        <v>71.998001098632813</v>
      </c>
      <c r="C1714">
        <v>20</v>
      </c>
      <c r="D1714">
        <v>0</v>
      </c>
      <c r="E1714">
        <v>20</v>
      </c>
      <c r="F1714">
        <v>0</v>
      </c>
      <c r="G1714">
        <v>71.998000000000005</v>
      </c>
    </row>
    <row r="1715" spans="1:7" x14ac:dyDescent="0.3">
      <c r="A1715" t="str">
        <f>IF(ISBLANK(B1715),"",IF(ROUND(B1715,0)=ROUND(G1715,0),"Pass","Fail"))</f>
        <v>Pass</v>
      </c>
      <c r="B1715">
        <f t="shared" si="128"/>
        <v>38.661228179931641</v>
      </c>
      <c r="C1715">
        <v>20</v>
      </c>
      <c r="D1715">
        <v>0</v>
      </c>
      <c r="E1715">
        <v>20</v>
      </c>
      <c r="F1715">
        <v>8</v>
      </c>
      <c r="G1715">
        <v>38.661228080722999</v>
      </c>
    </row>
    <row r="1716" spans="1:7" x14ac:dyDescent="0.3">
      <c r="A1716" t="str">
        <f>IF(ISBLANK(B1716),"",IF(ROUND(B1716,0)=ROUND(G1716,0),"Pass","Fail"))</f>
        <v>Pass</v>
      </c>
      <c r="B1716">
        <f t="shared" si="128"/>
        <v>21.879997253417969</v>
      </c>
      <c r="C1716">
        <v>20</v>
      </c>
      <c r="D1716">
        <v>0</v>
      </c>
      <c r="E1716">
        <v>20</v>
      </c>
      <c r="F1716">
        <v>16</v>
      </c>
      <c r="G1716">
        <v>21.879997247101699</v>
      </c>
    </row>
    <row r="1717" spans="1:7" x14ac:dyDescent="0.3">
      <c r="A1717" t="str">
        <f>IF(ISBLANK(B1717),"",IF(ROUND(B1717,0)=ROUND(G1717,0),"Pass","Fail"))</f>
        <v>Pass</v>
      </c>
      <c r="B1717">
        <f t="shared" si="128"/>
        <v>13.432577133178711</v>
      </c>
      <c r="C1717">
        <v>20</v>
      </c>
      <c r="D1717">
        <v>0</v>
      </c>
      <c r="E1717">
        <v>20</v>
      </c>
      <c r="F1717">
        <v>24</v>
      </c>
      <c r="G1717">
        <v>13.432577413736199</v>
      </c>
    </row>
    <row r="1718" spans="1:7" x14ac:dyDescent="0.3">
      <c r="A1718" t="str">
        <f>IF(ISBLANK(B1718),"",IF(ROUND(B1718,0)=ROUND(G1718,0),"Pass","Fail"))</f>
        <v>Pass</v>
      </c>
      <c r="B1718">
        <f t="shared" si="128"/>
        <v>9.1802730560302734</v>
      </c>
      <c r="C1718">
        <v>20</v>
      </c>
      <c r="D1718">
        <v>0</v>
      </c>
      <c r="E1718">
        <v>20</v>
      </c>
      <c r="F1718">
        <v>32</v>
      </c>
      <c r="G1718">
        <v>9.1802730059946693</v>
      </c>
    </row>
    <row r="1719" spans="1:7" x14ac:dyDescent="0.3">
      <c r="A1719" t="str">
        <f>IF(ISBLANK(B1719),"",IF(ROUND(B1719,0)=ROUND(G1719,0),"Pass","Fail"))</f>
        <v>Pass</v>
      </c>
      <c r="B1719">
        <f t="shared" si="128"/>
        <v>7.039726734161377</v>
      </c>
      <c r="C1719">
        <v>20</v>
      </c>
      <c r="D1719">
        <v>0</v>
      </c>
      <c r="E1719">
        <v>20</v>
      </c>
      <c r="F1719">
        <v>40</v>
      </c>
      <c r="G1719">
        <v>7.0397267643271002</v>
      </c>
    </row>
    <row r="1720" spans="1:7" x14ac:dyDescent="0.3">
      <c r="A1720" t="str">
        <f>IF(ISBLANK(B1720),"",IF(ROUND(B1720,0)=ROUND(G1720,0),"Pass","Fail"))</f>
        <v>Pass</v>
      </c>
      <c r="B1720">
        <f t="shared" si="128"/>
        <v>5.9622077941894531</v>
      </c>
      <c r="C1720">
        <v>20</v>
      </c>
      <c r="D1720">
        <v>0</v>
      </c>
      <c r="E1720">
        <v>20</v>
      </c>
      <c r="F1720">
        <v>48</v>
      </c>
      <c r="G1720">
        <v>5.9622079008197204</v>
      </c>
    </row>
    <row r="1721" spans="1:7" x14ac:dyDescent="0.3">
      <c r="A1721" t="str">
        <f>IF(ISBLANK(B1721),"",IF(ROUND(B1721,0)=ROUND(G1721,0),"Pass","Fail"))</f>
        <v>Pass</v>
      </c>
      <c r="B1721">
        <f t="shared" si="128"/>
        <v>71.998001098632813</v>
      </c>
      <c r="C1721">
        <v>20</v>
      </c>
      <c r="D1721">
        <v>0</v>
      </c>
      <c r="E1721">
        <v>30</v>
      </c>
      <c r="F1721">
        <v>0</v>
      </c>
      <c r="G1721">
        <v>71.998000000000005</v>
      </c>
    </row>
    <row r="1722" spans="1:7" x14ac:dyDescent="0.3">
      <c r="A1722" t="str">
        <f>IF(ISBLANK(B1722),"",IF(ROUND(B1722,0)=ROUND(G1722,0),"Pass","Fail"))</f>
        <v>Pass</v>
      </c>
      <c r="B1722">
        <f t="shared" si="128"/>
        <v>38.661228179931641</v>
      </c>
      <c r="C1722">
        <v>20</v>
      </c>
      <c r="D1722">
        <v>0</v>
      </c>
      <c r="E1722">
        <v>30</v>
      </c>
      <c r="F1722">
        <v>8</v>
      </c>
      <c r="G1722">
        <v>38.661228080722999</v>
      </c>
    </row>
    <row r="1723" spans="1:7" x14ac:dyDescent="0.3">
      <c r="A1723" t="str">
        <f>IF(ISBLANK(B1723),"",IF(ROUND(B1723,0)=ROUND(G1723,0),"Pass","Fail"))</f>
        <v>Pass</v>
      </c>
      <c r="B1723">
        <f t="shared" si="128"/>
        <v>21.879997253417969</v>
      </c>
      <c r="C1723">
        <v>20</v>
      </c>
      <c r="D1723">
        <v>0</v>
      </c>
      <c r="E1723">
        <v>30</v>
      </c>
      <c r="F1723">
        <v>16</v>
      </c>
      <c r="G1723">
        <v>21.879997247101699</v>
      </c>
    </row>
    <row r="1724" spans="1:7" x14ac:dyDescent="0.3">
      <c r="A1724" t="str">
        <f>IF(ISBLANK(B1724),"",IF(ROUND(B1724,0)=ROUND(G1724,0),"Pass","Fail"))</f>
        <v>Pass</v>
      </c>
      <c r="B1724">
        <f t="shared" si="128"/>
        <v>13.432577133178711</v>
      </c>
      <c r="C1724">
        <v>20</v>
      </c>
      <c r="D1724">
        <v>0</v>
      </c>
      <c r="E1724">
        <v>30</v>
      </c>
      <c r="F1724">
        <v>24</v>
      </c>
      <c r="G1724">
        <v>13.432577413736199</v>
      </c>
    </row>
    <row r="1725" spans="1:7" x14ac:dyDescent="0.3">
      <c r="A1725" t="str">
        <f>IF(ISBLANK(B1725),"",IF(ROUND(B1725,0)=ROUND(G1725,0),"Pass","Fail"))</f>
        <v>Pass</v>
      </c>
      <c r="B1725">
        <f t="shared" si="128"/>
        <v>9.1802730560302734</v>
      </c>
      <c r="C1725">
        <v>20</v>
      </c>
      <c r="D1725">
        <v>0</v>
      </c>
      <c r="E1725">
        <v>30</v>
      </c>
      <c r="F1725">
        <v>32</v>
      </c>
      <c r="G1725">
        <v>9.1802730059946693</v>
      </c>
    </row>
    <row r="1726" spans="1:7" x14ac:dyDescent="0.3">
      <c r="A1726" t="str">
        <f>IF(ISBLANK(B1726),"",IF(ROUND(B1726,0)=ROUND(G1726,0),"Pass","Fail"))</f>
        <v>Pass</v>
      </c>
      <c r="B1726">
        <f t="shared" si="128"/>
        <v>7.039726734161377</v>
      </c>
      <c r="C1726">
        <v>20</v>
      </c>
      <c r="D1726">
        <v>0</v>
      </c>
      <c r="E1726">
        <v>30</v>
      </c>
      <c r="F1726">
        <v>40</v>
      </c>
      <c r="G1726">
        <v>7.0397267643271002</v>
      </c>
    </row>
    <row r="1727" spans="1:7" x14ac:dyDescent="0.3">
      <c r="A1727" t="str">
        <f>IF(ISBLANK(B1727),"",IF(ROUND(B1727,0)=ROUND(G1727,0),"Pass","Fail"))</f>
        <v>Pass</v>
      </c>
      <c r="B1727">
        <f t="shared" si="128"/>
        <v>5.9622077941894531</v>
      </c>
      <c r="C1727">
        <v>20</v>
      </c>
      <c r="D1727">
        <v>0</v>
      </c>
      <c r="E1727">
        <v>30</v>
      </c>
      <c r="F1727">
        <v>48</v>
      </c>
      <c r="G1727">
        <v>5.9622079008197204</v>
      </c>
    </row>
    <row r="1728" spans="1:7" x14ac:dyDescent="0.3">
      <c r="A1728" t="str">
        <f>IF(ISBLANK(B1728),"",IF(ROUND(B1728,0)=ROUND(G1728,0),"Pass","Fail"))</f>
        <v>Pass</v>
      </c>
      <c r="B1728">
        <f t="shared" si="128"/>
        <v>71.998001098632813</v>
      </c>
      <c r="C1728">
        <v>20</v>
      </c>
      <c r="D1728">
        <v>0</v>
      </c>
      <c r="E1728">
        <v>40</v>
      </c>
      <c r="F1728">
        <v>0</v>
      </c>
      <c r="G1728">
        <v>71.998000000000005</v>
      </c>
    </row>
    <row r="1729" spans="1:7" x14ac:dyDescent="0.3">
      <c r="A1729" t="str">
        <f>IF(ISBLANK(B1729),"",IF(ROUND(B1729,0)=ROUND(G1729,0),"Pass","Fail"))</f>
        <v>Pass</v>
      </c>
      <c r="B1729">
        <f t="shared" si="128"/>
        <v>38.661228179931641</v>
      </c>
      <c r="C1729">
        <v>20</v>
      </c>
      <c r="D1729">
        <v>0</v>
      </c>
      <c r="E1729">
        <v>40</v>
      </c>
      <c r="F1729">
        <v>8</v>
      </c>
      <c r="G1729">
        <v>38.661228080722999</v>
      </c>
    </row>
    <row r="1730" spans="1:7" x14ac:dyDescent="0.3">
      <c r="A1730" t="str">
        <f>IF(ISBLANK(B1730),"",IF(ROUND(B1730,0)=ROUND(G1730,0),"Pass","Fail"))</f>
        <v>Pass</v>
      </c>
      <c r="B1730">
        <f t="shared" si="128"/>
        <v>21.879997253417969</v>
      </c>
      <c r="C1730">
        <v>20</v>
      </c>
      <c r="D1730">
        <v>0</v>
      </c>
      <c r="E1730">
        <v>40</v>
      </c>
      <c r="F1730">
        <v>16</v>
      </c>
      <c r="G1730">
        <v>21.879997247101699</v>
      </c>
    </row>
    <row r="1731" spans="1:7" x14ac:dyDescent="0.3">
      <c r="A1731" t="str">
        <f>IF(ISBLANK(B1731),"",IF(ROUND(B1731,0)=ROUND(G1731,0),"Pass","Fail"))</f>
        <v>Pass</v>
      </c>
      <c r="B1731">
        <f t="shared" si="128"/>
        <v>13.432577133178711</v>
      </c>
      <c r="C1731">
        <v>20</v>
      </c>
      <c r="D1731">
        <v>0</v>
      </c>
      <c r="E1731">
        <v>40</v>
      </c>
      <c r="F1731">
        <v>24</v>
      </c>
      <c r="G1731">
        <v>13.432577413736199</v>
      </c>
    </row>
    <row r="1732" spans="1:7" x14ac:dyDescent="0.3">
      <c r="A1732" t="str">
        <f>IF(ISBLANK(B1732),"",IF(ROUND(B1732,0)=ROUND(G1732,0),"Pass","Fail"))</f>
        <v>Pass</v>
      </c>
      <c r="B1732">
        <f t="shared" si="128"/>
        <v>9.1802730560302734</v>
      </c>
      <c r="C1732">
        <v>20</v>
      </c>
      <c r="D1732">
        <v>0</v>
      </c>
      <c r="E1732">
        <v>40</v>
      </c>
      <c r="F1732">
        <v>32</v>
      </c>
      <c r="G1732">
        <v>9.1802730059946693</v>
      </c>
    </row>
    <row r="1733" spans="1:7" x14ac:dyDescent="0.3">
      <c r="A1733" t="str">
        <f>IF(ISBLANK(B1733),"",IF(ROUND(B1733,0)=ROUND(G1733,0),"Pass","Fail"))</f>
        <v>Pass</v>
      </c>
      <c r="B1733">
        <f t="shared" si="128"/>
        <v>7.039726734161377</v>
      </c>
      <c r="C1733">
        <v>20</v>
      </c>
      <c r="D1733">
        <v>0</v>
      </c>
      <c r="E1733">
        <v>40</v>
      </c>
      <c r="F1733">
        <v>40</v>
      </c>
      <c r="G1733">
        <v>7.0397267643271002</v>
      </c>
    </row>
    <row r="1734" spans="1:7" x14ac:dyDescent="0.3">
      <c r="A1734" t="str">
        <f>IF(ISBLANK(B1734),"",IF(ROUND(B1734,0)=ROUND(G1734,0),"Pass","Fail"))</f>
        <v>Pass</v>
      </c>
      <c r="B1734">
        <f t="shared" si="128"/>
        <v>5.9622077941894531</v>
      </c>
      <c r="C1734">
        <v>20</v>
      </c>
      <c r="D1734">
        <v>0</v>
      </c>
      <c r="E1734">
        <v>40</v>
      </c>
      <c r="F1734">
        <v>48</v>
      </c>
      <c r="G1734">
        <v>5.9622079008197204</v>
      </c>
    </row>
    <row r="1735" spans="1:7" x14ac:dyDescent="0.3">
      <c r="A1735" t="str">
        <f>IF(ISBLANK(B1735),"",IF(ROUND(B1735,0)=ROUND(G1735,0),"Pass","Fail"))</f>
        <v>Pass</v>
      </c>
      <c r="B1735">
        <f t="shared" ref="B1735:B1798" si="129">FMC_heath(C1735,D1735,E1735,F1735)</f>
        <v>71.998001098632813</v>
      </c>
      <c r="C1735">
        <v>20</v>
      </c>
      <c r="D1735">
        <v>0</v>
      </c>
      <c r="E1735">
        <v>50</v>
      </c>
      <c r="F1735">
        <v>0</v>
      </c>
      <c r="G1735">
        <v>71.998000000000005</v>
      </c>
    </row>
    <row r="1736" spans="1:7" x14ac:dyDescent="0.3">
      <c r="A1736" t="str">
        <f>IF(ISBLANK(B1736),"",IF(ROUND(B1736,0)=ROUND(G1736,0),"Pass","Fail"))</f>
        <v>Pass</v>
      </c>
      <c r="B1736">
        <f t="shared" si="129"/>
        <v>38.661228179931641</v>
      </c>
      <c r="C1736">
        <v>20</v>
      </c>
      <c r="D1736">
        <v>0</v>
      </c>
      <c r="E1736">
        <v>50</v>
      </c>
      <c r="F1736">
        <v>8</v>
      </c>
      <c r="G1736">
        <v>38.661228080722999</v>
      </c>
    </row>
    <row r="1737" spans="1:7" x14ac:dyDescent="0.3">
      <c r="A1737" t="str">
        <f>IF(ISBLANK(B1737),"",IF(ROUND(B1737,0)=ROUND(G1737,0),"Pass","Fail"))</f>
        <v>Pass</v>
      </c>
      <c r="B1737">
        <f t="shared" si="129"/>
        <v>21.879997253417969</v>
      </c>
      <c r="C1737">
        <v>20</v>
      </c>
      <c r="D1737">
        <v>0</v>
      </c>
      <c r="E1737">
        <v>50</v>
      </c>
      <c r="F1737">
        <v>16</v>
      </c>
      <c r="G1737">
        <v>21.879997247101699</v>
      </c>
    </row>
    <row r="1738" spans="1:7" x14ac:dyDescent="0.3">
      <c r="A1738" t="str">
        <f>IF(ISBLANK(B1738),"",IF(ROUND(B1738,0)=ROUND(G1738,0),"Pass","Fail"))</f>
        <v>Pass</v>
      </c>
      <c r="B1738">
        <f t="shared" si="129"/>
        <v>13.432577133178711</v>
      </c>
      <c r="C1738">
        <v>20</v>
      </c>
      <c r="D1738">
        <v>0</v>
      </c>
      <c r="E1738">
        <v>50</v>
      </c>
      <c r="F1738">
        <v>24</v>
      </c>
      <c r="G1738">
        <v>13.432577413736199</v>
      </c>
    </row>
    <row r="1739" spans="1:7" x14ac:dyDescent="0.3">
      <c r="A1739" t="str">
        <f>IF(ISBLANK(B1739),"",IF(ROUND(B1739,0)=ROUND(G1739,0),"Pass","Fail"))</f>
        <v>Pass</v>
      </c>
      <c r="B1739">
        <f t="shared" si="129"/>
        <v>9.1802730560302734</v>
      </c>
      <c r="C1739">
        <v>20</v>
      </c>
      <c r="D1739">
        <v>0</v>
      </c>
      <c r="E1739">
        <v>50</v>
      </c>
      <c r="F1739">
        <v>32</v>
      </c>
      <c r="G1739">
        <v>9.1802730059946693</v>
      </c>
    </row>
    <row r="1740" spans="1:7" x14ac:dyDescent="0.3">
      <c r="A1740" t="str">
        <f>IF(ISBLANK(B1740),"",IF(ROUND(B1740,0)=ROUND(G1740,0),"Pass","Fail"))</f>
        <v>Pass</v>
      </c>
      <c r="B1740">
        <f t="shared" si="129"/>
        <v>7.039726734161377</v>
      </c>
      <c r="C1740">
        <v>20</v>
      </c>
      <c r="D1740">
        <v>0</v>
      </c>
      <c r="E1740">
        <v>50</v>
      </c>
      <c r="F1740">
        <v>40</v>
      </c>
      <c r="G1740">
        <v>7.0397267643271002</v>
      </c>
    </row>
    <row r="1741" spans="1:7" x14ac:dyDescent="0.3">
      <c r="A1741" t="str">
        <f>IF(ISBLANK(B1741),"",IF(ROUND(B1741,0)=ROUND(G1741,0),"Pass","Fail"))</f>
        <v>Pass</v>
      </c>
      <c r="B1741">
        <f t="shared" si="129"/>
        <v>5.9622077941894531</v>
      </c>
      <c r="C1741">
        <v>20</v>
      </c>
      <c r="D1741">
        <v>0</v>
      </c>
      <c r="E1741">
        <v>50</v>
      </c>
      <c r="F1741">
        <v>48</v>
      </c>
      <c r="G1741">
        <v>5.9622079008197204</v>
      </c>
    </row>
    <row r="1742" spans="1:7" x14ac:dyDescent="0.3">
      <c r="A1742" t="str">
        <f>IF(ISBLANK(B1742),"",IF(ROUND(B1742,0)=ROUND(G1742,0),"Pass","Fail"))</f>
        <v>Pass</v>
      </c>
      <c r="B1742">
        <f t="shared" si="129"/>
        <v>71.998001098632813</v>
      </c>
      <c r="C1742">
        <v>20</v>
      </c>
      <c r="D1742">
        <v>0</v>
      </c>
      <c r="E1742">
        <v>60</v>
      </c>
      <c r="F1742">
        <v>0</v>
      </c>
      <c r="G1742">
        <v>71.998000000000005</v>
      </c>
    </row>
    <row r="1743" spans="1:7" x14ac:dyDescent="0.3">
      <c r="A1743" t="str">
        <f>IF(ISBLANK(B1743),"",IF(ROUND(B1743,0)=ROUND(G1743,0),"Pass","Fail"))</f>
        <v>Pass</v>
      </c>
      <c r="B1743">
        <f t="shared" si="129"/>
        <v>38.661228179931641</v>
      </c>
      <c r="C1743">
        <v>20</v>
      </c>
      <c r="D1743">
        <v>0</v>
      </c>
      <c r="E1743">
        <v>60</v>
      </c>
      <c r="F1743">
        <v>8</v>
      </c>
      <c r="G1743">
        <v>38.661228080722999</v>
      </c>
    </row>
    <row r="1744" spans="1:7" x14ac:dyDescent="0.3">
      <c r="A1744" t="str">
        <f>IF(ISBLANK(B1744),"",IF(ROUND(B1744,0)=ROUND(G1744,0),"Pass","Fail"))</f>
        <v>Pass</v>
      </c>
      <c r="B1744">
        <f t="shared" si="129"/>
        <v>21.879997253417969</v>
      </c>
      <c r="C1744">
        <v>20</v>
      </c>
      <c r="D1744">
        <v>0</v>
      </c>
      <c r="E1744">
        <v>60</v>
      </c>
      <c r="F1744">
        <v>16</v>
      </c>
      <c r="G1744">
        <v>21.879997247101699</v>
      </c>
    </row>
    <row r="1745" spans="1:7" x14ac:dyDescent="0.3">
      <c r="A1745" t="str">
        <f>IF(ISBLANK(B1745),"",IF(ROUND(B1745,0)=ROUND(G1745,0),"Pass","Fail"))</f>
        <v>Pass</v>
      </c>
      <c r="B1745">
        <f t="shared" si="129"/>
        <v>13.432577133178711</v>
      </c>
      <c r="C1745">
        <v>20</v>
      </c>
      <c r="D1745">
        <v>0</v>
      </c>
      <c r="E1745">
        <v>60</v>
      </c>
      <c r="F1745">
        <v>24</v>
      </c>
      <c r="G1745">
        <v>13.432577413736199</v>
      </c>
    </row>
    <row r="1746" spans="1:7" x14ac:dyDescent="0.3">
      <c r="A1746" t="str">
        <f>IF(ISBLANK(B1746),"",IF(ROUND(B1746,0)=ROUND(G1746,0),"Pass","Fail"))</f>
        <v>Pass</v>
      </c>
      <c r="B1746">
        <f t="shared" si="129"/>
        <v>9.1802730560302734</v>
      </c>
      <c r="C1746">
        <v>20</v>
      </c>
      <c r="D1746">
        <v>0</v>
      </c>
      <c r="E1746">
        <v>60</v>
      </c>
      <c r="F1746">
        <v>32</v>
      </c>
      <c r="G1746">
        <v>9.1802730059946693</v>
      </c>
    </row>
    <row r="1747" spans="1:7" x14ac:dyDescent="0.3">
      <c r="A1747" t="str">
        <f>IF(ISBLANK(B1747),"",IF(ROUND(B1747,0)=ROUND(G1747,0),"Pass","Fail"))</f>
        <v>Pass</v>
      </c>
      <c r="B1747">
        <f t="shared" si="129"/>
        <v>7.039726734161377</v>
      </c>
      <c r="C1747">
        <v>20</v>
      </c>
      <c r="D1747">
        <v>0</v>
      </c>
      <c r="E1747">
        <v>60</v>
      </c>
      <c r="F1747">
        <v>40</v>
      </c>
      <c r="G1747">
        <v>7.0397267643271002</v>
      </c>
    </row>
    <row r="1748" spans="1:7" x14ac:dyDescent="0.3">
      <c r="A1748" t="str">
        <f>IF(ISBLANK(B1748),"",IF(ROUND(B1748,0)=ROUND(G1748,0),"Pass","Fail"))</f>
        <v>Pass</v>
      </c>
      <c r="B1748">
        <f t="shared" si="129"/>
        <v>5.9622077941894531</v>
      </c>
      <c r="C1748">
        <v>20</v>
      </c>
      <c r="D1748">
        <v>0</v>
      </c>
      <c r="E1748">
        <v>60</v>
      </c>
      <c r="F1748">
        <v>48</v>
      </c>
      <c r="G1748">
        <v>5.9622079008197204</v>
      </c>
    </row>
    <row r="1749" spans="1:7" x14ac:dyDescent="0.3">
      <c r="A1749" t="str">
        <f>IF(ISBLANK(B1749),"",IF(ROUND(B1749,0)=ROUND(G1749,0),"Pass","Fail"))</f>
        <v>Pass</v>
      </c>
      <c r="B1749">
        <f t="shared" si="129"/>
        <v>71.998001098632813</v>
      </c>
      <c r="C1749">
        <v>20</v>
      </c>
      <c r="D1749">
        <v>0</v>
      </c>
      <c r="E1749">
        <v>70</v>
      </c>
      <c r="F1749">
        <v>0</v>
      </c>
      <c r="G1749">
        <v>71.998000000000005</v>
      </c>
    </row>
    <row r="1750" spans="1:7" x14ac:dyDescent="0.3">
      <c r="A1750" t="str">
        <f>IF(ISBLANK(B1750),"",IF(ROUND(B1750,0)=ROUND(G1750,0),"Pass","Fail"))</f>
        <v>Pass</v>
      </c>
      <c r="B1750">
        <f t="shared" si="129"/>
        <v>38.661228179931641</v>
      </c>
      <c r="C1750">
        <v>20</v>
      </c>
      <c r="D1750">
        <v>0</v>
      </c>
      <c r="E1750">
        <v>70</v>
      </c>
      <c r="F1750">
        <v>8</v>
      </c>
      <c r="G1750">
        <v>38.661228080722999</v>
      </c>
    </row>
    <row r="1751" spans="1:7" x14ac:dyDescent="0.3">
      <c r="A1751" t="str">
        <f>IF(ISBLANK(B1751),"",IF(ROUND(B1751,0)=ROUND(G1751,0),"Pass","Fail"))</f>
        <v>Pass</v>
      </c>
      <c r="B1751">
        <f t="shared" si="129"/>
        <v>21.879997253417969</v>
      </c>
      <c r="C1751">
        <v>20</v>
      </c>
      <c r="D1751">
        <v>0</v>
      </c>
      <c r="E1751">
        <v>70</v>
      </c>
      <c r="F1751">
        <v>16</v>
      </c>
      <c r="G1751">
        <v>21.879997247101699</v>
      </c>
    </row>
    <row r="1752" spans="1:7" x14ac:dyDescent="0.3">
      <c r="A1752" t="str">
        <f>IF(ISBLANK(B1752),"",IF(ROUND(B1752,0)=ROUND(G1752,0),"Pass","Fail"))</f>
        <v>Pass</v>
      </c>
      <c r="B1752">
        <f t="shared" si="129"/>
        <v>13.432577133178711</v>
      </c>
      <c r="C1752">
        <v>20</v>
      </c>
      <c r="D1752">
        <v>0</v>
      </c>
      <c r="E1752">
        <v>70</v>
      </c>
      <c r="F1752">
        <v>24</v>
      </c>
      <c r="G1752">
        <v>13.432577413736199</v>
      </c>
    </row>
    <row r="1753" spans="1:7" x14ac:dyDescent="0.3">
      <c r="A1753" t="str">
        <f>IF(ISBLANK(B1753),"",IF(ROUND(B1753,0)=ROUND(G1753,0),"Pass","Fail"))</f>
        <v>Pass</v>
      </c>
      <c r="B1753">
        <f t="shared" si="129"/>
        <v>9.1802730560302734</v>
      </c>
      <c r="C1753">
        <v>20</v>
      </c>
      <c r="D1753">
        <v>0</v>
      </c>
      <c r="E1753">
        <v>70</v>
      </c>
      <c r="F1753">
        <v>32</v>
      </c>
      <c r="G1753">
        <v>9.1802730059946693</v>
      </c>
    </row>
    <row r="1754" spans="1:7" x14ac:dyDescent="0.3">
      <c r="A1754" t="str">
        <f>IF(ISBLANK(B1754),"",IF(ROUND(B1754,0)=ROUND(G1754,0),"Pass","Fail"))</f>
        <v>Pass</v>
      </c>
      <c r="B1754">
        <f t="shared" si="129"/>
        <v>7.039726734161377</v>
      </c>
      <c r="C1754">
        <v>20</v>
      </c>
      <c r="D1754">
        <v>0</v>
      </c>
      <c r="E1754">
        <v>70</v>
      </c>
      <c r="F1754">
        <v>40</v>
      </c>
      <c r="G1754">
        <v>7.0397267643271002</v>
      </c>
    </row>
    <row r="1755" spans="1:7" x14ac:dyDescent="0.3">
      <c r="A1755" t="str">
        <f>IF(ISBLANK(B1755),"",IF(ROUND(B1755,0)=ROUND(G1755,0),"Pass","Fail"))</f>
        <v>Pass</v>
      </c>
      <c r="B1755">
        <f t="shared" si="129"/>
        <v>5.9622077941894531</v>
      </c>
      <c r="C1755">
        <v>20</v>
      </c>
      <c r="D1755">
        <v>0</v>
      </c>
      <c r="E1755">
        <v>70</v>
      </c>
      <c r="F1755">
        <v>48</v>
      </c>
      <c r="G1755">
        <v>5.9622079008197204</v>
      </c>
    </row>
    <row r="1756" spans="1:7" x14ac:dyDescent="0.3">
      <c r="A1756" t="str">
        <f>IF(ISBLANK(B1756),"",IF(ROUND(B1756,0)=ROUND(G1756,0),"Pass","Fail"))</f>
        <v>Pass</v>
      </c>
      <c r="B1756">
        <f t="shared" si="129"/>
        <v>71.998001098632813</v>
      </c>
      <c r="C1756">
        <v>20</v>
      </c>
      <c r="D1756">
        <v>0</v>
      </c>
      <c r="E1756">
        <v>80</v>
      </c>
      <c r="F1756">
        <v>0</v>
      </c>
      <c r="G1756">
        <v>71.998000000000005</v>
      </c>
    </row>
    <row r="1757" spans="1:7" x14ac:dyDescent="0.3">
      <c r="A1757" t="str">
        <f>IF(ISBLANK(B1757),"",IF(ROUND(B1757,0)=ROUND(G1757,0),"Pass","Fail"))</f>
        <v>Pass</v>
      </c>
      <c r="B1757">
        <f t="shared" si="129"/>
        <v>38.661228179931641</v>
      </c>
      <c r="C1757">
        <v>20</v>
      </c>
      <c r="D1757">
        <v>0</v>
      </c>
      <c r="E1757">
        <v>80</v>
      </c>
      <c r="F1757">
        <v>8</v>
      </c>
      <c r="G1757">
        <v>38.661228080722999</v>
      </c>
    </row>
    <row r="1758" spans="1:7" x14ac:dyDescent="0.3">
      <c r="A1758" t="str">
        <f>IF(ISBLANK(B1758),"",IF(ROUND(B1758,0)=ROUND(G1758,0),"Pass","Fail"))</f>
        <v>Pass</v>
      </c>
      <c r="B1758">
        <f t="shared" si="129"/>
        <v>21.879997253417969</v>
      </c>
      <c r="C1758">
        <v>20</v>
      </c>
      <c r="D1758">
        <v>0</v>
      </c>
      <c r="E1758">
        <v>80</v>
      </c>
      <c r="F1758">
        <v>16</v>
      </c>
      <c r="G1758">
        <v>21.879997247101699</v>
      </c>
    </row>
    <row r="1759" spans="1:7" x14ac:dyDescent="0.3">
      <c r="A1759" t="str">
        <f>IF(ISBLANK(B1759),"",IF(ROUND(B1759,0)=ROUND(G1759,0),"Pass","Fail"))</f>
        <v>Pass</v>
      </c>
      <c r="B1759">
        <f t="shared" si="129"/>
        <v>13.432577133178711</v>
      </c>
      <c r="C1759">
        <v>20</v>
      </c>
      <c r="D1759">
        <v>0</v>
      </c>
      <c r="E1759">
        <v>80</v>
      </c>
      <c r="F1759">
        <v>24</v>
      </c>
      <c r="G1759">
        <v>13.432577413736199</v>
      </c>
    </row>
    <row r="1760" spans="1:7" x14ac:dyDescent="0.3">
      <c r="A1760" t="str">
        <f>IF(ISBLANK(B1760),"",IF(ROUND(B1760,0)=ROUND(G1760,0),"Pass","Fail"))</f>
        <v>Pass</v>
      </c>
      <c r="B1760">
        <f t="shared" si="129"/>
        <v>9.1802730560302734</v>
      </c>
      <c r="C1760">
        <v>20</v>
      </c>
      <c r="D1760">
        <v>0</v>
      </c>
      <c r="E1760">
        <v>80</v>
      </c>
      <c r="F1760">
        <v>32</v>
      </c>
      <c r="G1760">
        <v>9.1802730059946693</v>
      </c>
    </row>
    <row r="1761" spans="1:7" x14ac:dyDescent="0.3">
      <c r="A1761" t="str">
        <f>IF(ISBLANK(B1761),"",IF(ROUND(B1761,0)=ROUND(G1761,0),"Pass","Fail"))</f>
        <v>Pass</v>
      </c>
      <c r="B1761">
        <f t="shared" si="129"/>
        <v>7.039726734161377</v>
      </c>
      <c r="C1761">
        <v>20</v>
      </c>
      <c r="D1761">
        <v>0</v>
      </c>
      <c r="E1761">
        <v>80</v>
      </c>
      <c r="F1761">
        <v>40</v>
      </c>
      <c r="G1761">
        <v>7.0397267643271002</v>
      </c>
    </row>
    <row r="1762" spans="1:7" x14ac:dyDescent="0.3">
      <c r="A1762" t="str">
        <f>IF(ISBLANK(B1762),"",IF(ROUND(B1762,0)=ROUND(G1762,0),"Pass","Fail"))</f>
        <v>Pass</v>
      </c>
      <c r="B1762">
        <f t="shared" si="129"/>
        <v>5.9622077941894531</v>
      </c>
      <c r="C1762">
        <v>20</v>
      </c>
      <c r="D1762">
        <v>0</v>
      </c>
      <c r="E1762">
        <v>80</v>
      </c>
      <c r="F1762">
        <v>48</v>
      </c>
      <c r="G1762">
        <v>5.9622079008197204</v>
      </c>
    </row>
    <row r="1763" spans="1:7" x14ac:dyDescent="0.3">
      <c r="A1763" t="str">
        <f>IF(ISBLANK(B1763),"",IF(ROUND(B1763,0)=ROUND(G1763,0),"Pass","Fail"))</f>
        <v>Pass</v>
      </c>
      <c r="B1763">
        <f t="shared" si="129"/>
        <v>71.998001098632813</v>
      </c>
      <c r="C1763">
        <v>20</v>
      </c>
      <c r="D1763">
        <v>0</v>
      </c>
      <c r="E1763">
        <v>90</v>
      </c>
      <c r="F1763">
        <v>0</v>
      </c>
      <c r="G1763">
        <v>71.998000000000005</v>
      </c>
    </row>
    <row r="1764" spans="1:7" x14ac:dyDescent="0.3">
      <c r="A1764" t="str">
        <f>IF(ISBLANK(B1764),"",IF(ROUND(B1764,0)=ROUND(G1764,0),"Pass","Fail"))</f>
        <v>Pass</v>
      </c>
      <c r="B1764">
        <f t="shared" si="129"/>
        <v>38.661228179931641</v>
      </c>
      <c r="C1764">
        <v>20</v>
      </c>
      <c r="D1764">
        <v>0</v>
      </c>
      <c r="E1764">
        <v>90</v>
      </c>
      <c r="F1764">
        <v>8</v>
      </c>
      <c r="G1764">
        <v>38.661228080722999</v>
      </c>
    </row>
    <row r="1765" spans="1:7" x14ac:dyDescent="0.3">
      <c r="A1765" t="str">
        <f>IF(ISBLANK(B1765),"",IF(ROUND(B1765,0)=ROUND(G1765,0),"Pass","Fail"))</f>
        <v>Pass</v>
      </c>
      <c r="B1765">
        <f t="shared" si="129"/>
        <v>21.879997253417969</v>
      </c>
      <c r="C1765">
        <v>20</v>
      </c>
      <c r="D1765">
        <v>0</v>
      </c>
      <c r="E1765">
        <v>90</v>
      </c>
      <c r="F1765">
        <v>16</v>
      </c>
      <c r="G1765">
        <v>21.879997247101699</v>
      </c>
    </row>
    <row r="1766" spans="1:7" x14ac:dyDescent="0.3">
      <c r="A1766" t="str">
        <f>IF(ISBLANK(B1766),"",IF(ROUND(B1766,0)=ROUND(G1766,0),"Pass","Fail"))</f>
        <v>Pass</v>
      </c>
      <c r="B1766">
        <f t="shared" si="129"/>
        <v>13.432577133178711</v>
      </c>
      <c r="C1766">
        <v>20</v>
      </c>
      <c r="D1766">
        <v>0</v>
      </c>
      <c r="E1766">
        <v>90</v>
      </c>
      <c r="F1766">
        <v>24</v>
      </c>
      <c r="G1766">
        <v>13.432577413736199</v>
      </c>
    </row>
    <row r="1767" spans="1:7" x14ac:dyDescent="0.3">
      <c r="A1767" t="str">
        <f>IF(ISBLANK(B1767),"",IF(ROUND(B1767,0)=ROUND(G1767,0),"Pass","Fail"))</f>
        <v>Pass</v>
      </c>
      <c r="B1767">
        <f t="shared" si="129"/>
        <v>9.1802730560302734</v>
      </c>
      <c r="C1767">
        <v>20</v>
      </c>
      <c r="D1767">
        <v>0</v>
      </c>
      <c r="E1767">
        <v>90</v>
      </c>
      <c r="F1767">
        <v>32</v>
      </c>
      <c r="G1767">
        <v>9.1802730059946693</v>
      </c>
    </row>
    <row r="1768" spans="1:7" x14ac:dyDescent="0.3">
      <c r="A1768" t="str">
        <f>IF(ISBLANK(B1768),"",IF(ROUND(B1768,0)=ROUND(G1768,0),"Pass","Fail"))</f>
        <v>Pass</v>
      </c>
      <c r="B1768">
        <f t="shared" si="129"/>
        <v>7.039726734161377</v>
      </c>
      <c r="C1768">
        <v>20</v>
      </c>
      <c r="D1768">
        <v>0</v>
      </c>
      <c r="E1768">
        <v>90</v>
      </c>
      <c r="F1768">
        <v>40</v>
      </c>
      <c r="G1768">
        <v>7.0397267643271002</v>
      </c>
    </row>
    <row r="1769" spans="1:7" x14ac:dyDescent="0.3">
      <c r="A1769" t="str">
        <f>IF(ISBLANK(B1769),"",IF(ROUND(B1769,0)=ROUND(G1769,0),"Pass","Fail"))</f>
        <v>Pass</v>
      </c>
      <c r="B1769">
        <f t="shared" si="129"/>
        <v>5.9622077941894531</v>
      </c>
      <c r="C1769">
        <v>20</v>
      </c>
      <c r="D1769">
        <v>0</v>
      </c>
      <c r="E1769">
        <v>90</v>
      </c>
      <c r="F1769">
        <v>48</v>
      </c>
      <c r="G1769">
        <v>5.9622079008197204</v>
      </c>
    </row>
    <row r="1770" spans="1:7" x14ac:dyDescent="0.3">
      <c r="A1770" t="str">
        <f>IF(ISBLANK(B1770),"",IF(ROUND(B1770,0)=ROUND(G1770,0),"Pass","Fail"))</f>
        <v>Pass</v>
      </c>
      <c r="B1770">
        <f t="shared" si="129"/>
        <v>71.998001098632813</v>
      </c>
      <c r="C1770">
        <v>20</v>
      </c>
      <c r="D1770">
        <v>0</v>
      </c>
      <c r="E1770">
        <v>100</v>
      </c>
      <c r="F1770">
        <v>0</v>
      </c>
      <c r="G1770">
        <v>71.998000000000005</v>
      </c>
    </row>
    <row r="1771" spans="1:7" x14ac:dyDescent="0.3">
      <c r="A1771" t="str">
        <f>IF(ISBLANK(B1771),"",IF(ROUND(B1771,0)=ROUND(G1771,0),"Pass","Fail"))</f>
        <v>Pass</v>
      </c>
      <c r="B1771">
        <f t="shared" si="129"/>
        <v>38.661228179931641</v>
      </c>
      <c r="C1771">
        <v>20</v>
      </c>
      <c r="D1771">
        <v>0</v>
      </c>
      <c r="E1771">
        <v>100</v>
      </c>
      <c r="F1771">
        <v>8</v>
      </c>
      <c r="G1771">
        <v>38.661228080722999</v>
      </c>
    </row>
    <row r="1772" spans="1:7" x14ac:dyDescent="0.3">
      <c r="A1772" t="str">
        <f>IF(ISBLANK(B1772),"",IF(ROUND(B1772,0)=ROUND(G1772,0),"Pass","Fail"))</f>
        <v>Pass</v>
      </c>
      <c r="B1772">
        <f t="shared" si="129"/>
        <v>21.879997253417969</v>
      </c>
      <c r="C1772">
        <v>20</v>
      </c>
      <c r="D1772">
        <v>0</v>
      </c>
      <c r="E1772">
        <v>100</v>
      </c>
      <c r="F1772">
        <v>16</v>
      </c>
      <c r="G1772">
        <v>21.879997247101699</v>
      </c>
    </row>
    <row r="1773" spans="1:7" x14ac:dyDescent="0.3">
      <c r="A1773" t="str">
        <f>IF(ISBLANK(B1773),"",IF(ROUND(B1773,0)=ROUND(G1773,0),"Pass","Fail"))</f>
        <v>Pass</v>
      </c>
      <c r="B1773">
        <f t="shared" si="129"/>
        <v>13.432577133178711</v>
      </c>
      <c r="C1773">
        <v>20</v>
      </c>
      <c r="D1773">
        <v>0</v>
      </c>
      <c r="E1773">
        <v>100</v>
      </c>
      <c r="F1773">
        <v>24</v>
      </c>
      <c r="G1773">
        <v>13.432577413736199</v>
      </c>
    </row>
    <row r="1774" spans="1:7" x14ac:dyDescent="0.3">
      <c r="A1774" t="str">
        <f>IF(ISBLANK(B1774),"",IF(ROUND(B1774,0)=ROUND(G1774,0),"Pass","Fail"))</f>
        <v>Pass</v>
      </c>
      <c r="B1774">
        <f t="shared" si="129"/>
        <v>9.1802730560302734</v>
      </c>
      <c r="C1774">
        <v>20</v>
      </c>
      <c r="D1774">
        <v>0</v>
      </c>
      <c r="E1774">
        <v>100</v>
      </c>
      <c r="F1774">
        <v>32</v>
      </c>
      <c r="G1774">
        <v>9.1802730059946693</v>
      </c>
    </row>
    <row r="1775" spans="1:7" x14ac:dyDescent="0.3">
      <c r="A1775" t="str">
        <f>IF(ISBLANK(B1775),"",IF(ROUND(B1775,0)=ROUND(G1775,0),"Pass","Fail"))</f>
        <v>Pass</v>
      </c>
      <c r="B1775">
        <f t="shared" si="129"/>
        <v>7.039726734161377</v>
      </c>
      <c r="C1775">
        <v>20</v>
      </c>
      <c r="D1775">
        <v>0</v>
      </c>
      <c r="E1775">
        <v>100</v>
      </c>
      <c r="F1775">
        <v>40</v>
      </c>
      <c r="G1775">
        <v>7.0397267643271002</v>
      </c>
    </row>
    <row r="1776" spans="1:7" x14ac:dyDescent="0.3">
      <c r="A1776" t="str">
        <f>IF(ISBLANK(B1776),"",IF(ROUND(B1776,0)=ROUND(G1776,0),"Pass","Fail"))</f>
        <v>Pass</v>
      </c>
      <c r="B1776">
        <f t="shared" si="129"/>
        <v>5.9622077941894531</v>
      </c>
      <c r="C1776">
        <v>20</v>
      </c>
      <c r="D1776">
        <v>0</v>
      </c>
      <c r="E1776">
        <v>100</v>
      </c>
      <c r="F1776">
        <v>48</v>
      </c>
      <c r="G1776">
        <v>5.9622079008197204</v>
      </c>
    </row>
    <row r="1777" spans="1:7" x14ac:dyDescent="0.3">
      <c r="A1777" t="str">
        <f>IF(ISBLANK(B1777),"",IF(ROUND(B1777,0)=ROUND(G1777,0),"Pass","Fail"))</f>
        <v>Pass</v>
      </c>
      <c r="B1777">
        <f t="shared" si="129"/>
        <v>6.2100000381469727</v>
      </c>
      <c r="C1777">
        <v>20</v>
      </c>
      <c r="D1777">
        <v>10</v>
      </c>
      <c r="E1777">
        <v>0</v>
      </c>
      <c r="F1777">
        <v>0</v>
      </c>
      <c r="G1777">
        <v>6.21</v>
      </c>
    </row>
    <row r="1778" spans="1:7" x14ac:dyDescent="0.3">
      <c r="A1778" t="str">
        <f>IF(ISBLANK(B1778),"",IF(ROUND(B1778,0)=ROUND(G1778,0),"Pass","Fail"))</f>
        <v>Pass</v>
      </c>
      <c r="B1778">
        <f t="shared" si="129"/>
        <v>6.2100000381469727</v>
      </c>
      <c r="C1778">
        <v>20</v>
      </c>
      <c r="D1778">
        <v>10</v>
      </c>
      <c r="E1778">
        <v>0</v>
      </c>
      <c r="F1778">
        <v>8</v>
      </c>
      <c r="G1778">
        <v>6.21</v>
      </c>
    </row>
    <row r="1779" spans="1:7" x14ac:dyDescent="0.3">
      <c r="A1779" t="str">
        <f>IF(ISBLANK(B1779),"",IF(ROUND(B1779,0)=ROUND(G1779,0),"Pass","Fail"))</f>
        <v>Pass</v>
      </c>
      <c r="B1779">
        <f t="shared" si="129"/>
        <v>6.2100000381469727</v>
      </c>
      <c r="C1779">
        <v>20</v>
      </c>
      <c r="D1779">
        <v>10</v>
      </c>
      <c r="E1779">
        <v>0</v>
      </c>
      <c r="F1779">
        <v>16</v>
      </c>
      <c r="G1779">
        <v>6.21</v>
      </c>
    </row>
    <row r="1780" spans="1:7" x14ac:dyDescent="0.3">
      <c r="A1780" t="str">
        <f>IF(ISBLANK(B1780),"",IF(ROUND(B1780,0)=ROUND(G1780,0),"Pass","Fail"))</f>
        <v>Pass</v>
      </c>
      <c r="B1780">
        <f t="shared" si="129"/>
        <v>6.2100000381469727</v>
      </c>
      <c r="C1780">
        <v>20</v>
      </c>
      <c r="D1780">
        <v>10</v>
      </c>
      <c r="E1780">
        <v>0</v>
      </c>
      <c r="F1780">
        <v>24</v>
      </c>
      <c r="G1780">
        <v>6.21</v>
      </c>
    </row>
    <row r="1781" spans="1:7" x14ac:dyDescent="0.3">
      <c r="A1781" t="str">
        <f>IF(ISBLANK(B1781),"",IF(ROUND(B1781,0)=ROUND(G1781,0),"Pass","Fail"))</f>
        <v>Pass</v>
      </c>
      <c r="B1781">
        <f t="shared" si="129"/>
        <v>6.2100000381469727</v>
      </c>
      <c r="C1781">
        <v>20</v>
      </c>
      <c r="D1781">
        <v>10</v>
      </c>
      <c r="E1781">
        <v>0</v>
      </c>
      <c r="F1781">
        <v>32</v>
      </c>
      <c r="G1781">
        <v>6.21</v>
      </c>
    </row>
    <row r="1782" spans="1:7" x14ac:dyDescent="0.3">
      <c r="A1782" t="str">
        <f>IF(ISBLANK(B1782),"",IF(ROUND(B1782,0)=ROUND(G1782,0),"Pass","Fail"))</f>
        <v>Pass</v>
      </c>
      <c r="B1782">
        <f t="shared" si="129"/>
        <v>6.2100000381469727</v>
      </c>
      <c r="C1782">
        <v>20</v>
      </c>
      <c r="D1782">
        <v>10</v>
      </c>
      <c r="E1782">
        <v>0</v>
      </c>
      <c r="F1782">
        <v>40</v>
      </c>
      <c r="G1782">
        <v>6.21</v>
      </c>
    </row>
    <row r="1783" spans="1:7" x14ac:dyDescent="0.3">
      <c r="A1783" t="str">
        <f>IF(ISBLANK(B1783),"",IF(ROUND(B1783,0)=ROUND(G1783,0),"Pass","Fail"))</f>
        <v>Pass</v>
      </c>
      <c r="B1783">
        <f t="shared" si="129"/>
        <v>6.2100000381469727</v>
      </c>
      <c r="C1783">
        <v>20</v>
      </c>
      <c r="D1783">
        <v>10</v>
      </c>
      <c r="E1783">
        <v>0</v>
      </c>
      <c r="F1783">
        <v>48</v>
      </c>
      <c r="G1783">
        <v>6.21</v>
      </c>
    </row>
    <row r="1784" spans="1:7" x14ac:dyDescent="0.3">
      <c r="A1784" t="str">
        <f>IF(ISBLANK(B1784),"",IF(ROUND(B1784,0)=ROUND(G1784,0),"Pass","Fail"))</f>
        <v>Pass</v>
      </c>
      <c r="B1784">
        <f t="shared" si="129"/>
        <v>73.337997436523438</v>
      </c>
      <c r="C1784">
        <v>20</v>
      </c>
      <c r="D1784">
        <v>10</v>
      </c>
      <c r="E1784">
        <v>10</v>
      </c>
      <c r="F1784">
        <v>0</v>
      </c>
      <c r="G1784">
        <v>73.337999999998303</v>
      </c>
    </row>
    <row r="1785" spans="1:7" x14ac:dyDescent="0.3">
      <c r="A1785" t="str">
        <f>IF(ISBLANK(B1785),"",IF(ROUND(B1785,0)=ROUND(G1785,0),"Pass","Fail"))</f>
        <v>Pass</v>
      </c>
      <c r="B1785">
        <f t="shared" si="129"/>
        <v>40.001228332519531</v>
      </c>
      <c r="C1785">
        <v>20</v>
      </c>
      <c r="D1785">
        <v>10</v>
      </c>
      <c r="E1785">
        <v>10</v>
      </c>
      <c r="F1785">
        <v>8</v>
      </c>
      <c r="G1785">
        <v>40.0012280807222</v>
      </c>
    </row>
    <row r="1786" spans="1:7" x14ac:dyDescent="0.3">
      <c r="A1786" t="str">
        <f>IF(ISBLANK(B1786),"",IF(ROUND(B1786,0)=ROUND(G1786,0),"Pass","Fail"))</f>
        <v>Pass</v>
      </c>
      <c r="B1786">
        <f t="shared" si="129"/>
        <v>23.219997406005859</v>
      </c>
      <c r="C1786">
        <v>20</v>
      </c>
      <c r="D1786">
        <v>10</v>
      </c>
      <c r="E1786">
        <v>10</v>
      </c>
      <c r="F1786">
        <v>16</v>
      </c>
      <c r="G1786">
        <v>23.219997247101301</v>
      </c>
    </row>
    <row r="1787" spans="1:7" x14ac:dyDescent="0.3">
      <c r="A1787" t="str">
        <f>IF(ISBLANK(B1787),"",IF(ROUND(B1787,0)=ROUND(G1787,0),"Pass","Fail"))</f>
        <v>Pass</v>
      </c>
      <c r="B1787">
        <f t="shared" si="129"/>
        <v>14.772577285766602</v>
      </c>
      <c r="C1787">
        <v>20</v>
      </c>
      <c r="D1787">
        <v>10</v>
      </c>
      <c r="E1787">
        <v>10</v>
      </c>
      <c r="F1787">
        <v>24</v>
      </c>
      <c r="G1787">
        <v>14.772577413736</v>
      </c>
    </row>
    <row r="1788" spans="1:7" x14ac:dyDescent="0.3">
      <c r="A1788" t="str">
        <f>IF(ISBLANK(B1788),"",IF(ROUND(B1788,0)=ROUND(G1788,0),"Pass","Fail"))</f>
        <v>Pass</v>
      </c>
      <c r="B1788">
        <f t="shared" si="129"/>
        <v>10.520273208618164</v>
      </c>
      <c r="C1788">
        <v>20</v>
      </c>
      <c r="D1788">
        <v>10</v>
      </c>
      <c r="E1788">
        <v>10</v>
      </c>
      <c r="F1788">
        <v>32</v>
      </c>
      <c r="G1788">
        <v>10.5202730059945</v>
      </c>
    </row>
    <row r="1789" spans="1:7" x14ac:dyDescent="0.3">
      <c r="A1789" t="str">
        <f>IF(ISBLANK(B1789),"",IF(ROUND(B1789,0)=ROUND(G1789,0),"Pass","Fail"))</f>
        <v>Pass</v>
      </c>
      <c r="B1789">
        <f t="shared" si="129"/>
        <v>8.3797264099121094</v>
      </c>
      <c r="C1789">
        <v>20</v>
      </c>
      <c r="D1789">
        <v>10</v>
      </c>
      <c r="E1789">
        <v>10</v>
      </c>
      <c r="F1789">
        <v>40</v>
      </c>
      <c r="G1789">
        <v>8.3797267643270494</v>
      </c>
    </row>
    <row r="1790" spans="1:7" x14ac:dyDescent="0.3">
      <c r="A1790" t="str">
        <f>IF(ISBLANK(B1790),"",IF(ROUND(B1790,0)=ROUND(G1790,0),"Pass","Fail"))</f>
        <v>Pass</v>
      </c>
      <c r="B1790">
        <f t="shared" si="129"/>
        <v>7.3022079467773438</v>
      </c>
      <c r="C1790">
        <v>20</v>
      </c>
      <c r="D1790">
        <v>10</v>
      </c>
      <c r="E1790">
        <v>10</v>
      </c>
      <c r="F1790">
        <v>48</v>
      </c>
      <c r="G1790">
        <v>7.3022079008196901</v>
      </c>
    </row>
    <row r="1791" spans="1:7" x14ac:dyDescent="0.3">
      <c r="A1791" t="str">
        <f>IF(ISBLANK(B1791),"",IF(ROUND(B1791,0)=ROUND(G1791,0),"Pass","Fail"))</f>
        <v>Pass</v>
      </c>
      <c r="B1791">
        <f t="shared" si="129"/>
        <v>73.337997436523438</v>
      </c>
      <c r="C1791">
        <v>20</v>
      </c>
      <c r="D1791">
        <v>10</v>
      </c>
      <c r="E1791">
        <v>20</v>
      </c>
      <c r="F1791">
        <v>0</v>
      </c>
      <c r="G1791">
        <v>73.337999999999994</v>
      </c>
    </row>
    <row r="1792" spans="1:7" x14ac:dyDescent="0.3">
      <c r="A1792" t="str">
        <f>IF(ISBLANK(B1792),"",IF(ROUND(B1792,0)=ROUND(G1792,0),"Pass","Fail"))</f>
        <v>Pass</v>
      </c>
      <c r="B1792">
        <f t="shared" si="129"/>
        <v>40.001228332519531</v>
      </c>
      <c r="C1792">
        <v>20</v>
      </c>
      <c r="D1792">
        <v>10</v>
      </c>
      <c r="E1792">
        <v>20</v>
      </c>
      <c r="F1792">
        <v>8</v>
      </c>
      <c r="G1792">
        <v>40.001228080723003</v>
      </c>
    </row>
    <row r="1793" spans="1:7" x14ac:dyDescent="0.3">
      <c r="A1793" t="str">
        <f>IF(ISBLANK(B1793),"",IF(ROUND(B1793,0)=ROUND(G1793,0),"Pass","Fail"))</f>
        <v>Pass</v>
      </c>
      <c r="B1793">
        <f t="shared" si="129"/>
        <v>23.219997406005859</v>
      </c>
      <c r="C1793">
        <v>20</v>
      </c>
      <c r="D1793">
        <v>10</v>
      </c>
      <c r="E1793">
        <v>20</v>
      </c>
      <c r="F1793">
        <v>16</v>
      </c>
      <c r="G1793">
        <v>23.219997247101698</v>
      </c>
    </row>
    <row r="1794" spans="1:7" x14ac:dyDescent="0.3">
      <c r="A1794" t="str">
        <f>IF(ISBLANK(B1794),"",IF(ROUND(B1794,0)=ROUND(G1794,0),"Pass","Fail"))</f>
        <v>Pass</v>
      </c>
      <c r="B1794">
        <f t="shared" si="129"/>
        <v>14.772577285766602</v>
      </c>
      <c r="C1794">
        <v>20</v>
      </c>
      <c r="D1794">
        <v>10</v>
      </c>
      <c r="E1794">
        <v>20</v>
      </c>
      <c r="F1794">
        <v>24</v>
      </c>
      <c r="G1794">
        <v>14.772577413736199</v>
      </c>
    </row>
    <row r="1795" spans="1:7" x14ac:dyDescent="0.3">
      <c r="A1795" t="str">
        <f>IF(ISBLANK(B1795),"",IF(ROUND(B1795,0)=ROUND(G1795,0),"Pass","Fail"))</f>
        <v>Pass</v>
      </c>
      <c r="B1795">
        <f t="shared" si="129"/>
        <v>10.520273208618164</v>
      </c>
      <c r="C1795">
        <v>20</v>
      </c>
      <c r="D1795">
        <v>10</v>
      </c>
      <c r="E1795">
        <v>20</v>
      </c>
      <c r="F1795">
        <v>32</v>
      </c>
      <c r="G1795">
        <v>10.5202730059946</v>
      </c>
    </row>
    <row r="1796" spans="1:7" x14ac:dyDescent="0.3">
      <c r="A1796" t="str">
        <f>IF(ISBLANK(B1796),"",IF(ROUND(B1796,0)=ROUND(G1796,0),"Pass","Fail"))</f>
        <v>Pass</v>
      </c>
      <c r="B1796">
        <f t="shared" si="129"/>
        <v>8.3797264099121094</v>
      </c>
      <c r="C1796">
        <v>20</v>
      </c>
      <c r="D1796">
        <v>10</v>
      </c>
      <c r="E1796">
        <v>20</v>
      </c>
      <c r="F1796">
        <v>40</v>
      </c>
      <c r="G1796">
        <v>8.3797267643270992</v>
      </c>
    </row>
    <row r="1797" spans="1:7" x14ac:dyDescent="0.3">
      <c r="A1797" t="str">
        <f>IF(ISBLANK(B1797),"",IF(ROUND(B1797,0)=ROUND(G1797,0),"Pass","Fail"))</f>
        <v>Pass</v>
      </c>
      <c r="B1797">
        <f t="shared" si="129"/>
        <v>7.3022079467773438</v>
      </c>
      <c r="C1797">
        <v>20</v>
      </c>
      <c r="D1797">
        <v>10</v>
      </c>
      <c r="E1797">
        <v>20</v>
      </c>
      <c r="F1797">
        <v>48</v>
      </c>
      <c r="G1797">
        <v>7.3022079008197203</v>
      </c>
    </row>
    <row r="1798" spans="1:7" x14ac:dyDescent="0.3">
      <c r="A1798" t="str">
        <f>IF(ISBLANK(B1798),"",IF(ROUND(B1798,0)=ROUND(G1798,0),"Pass","Fail"))</f>
        <v>Pass</v>
      </c>
      <c r="B1798">
        <f t="shared" si="129"/>
        <v>73.337997436523438</v>
      </c>
      <c r="C1798">
        <v>20</v>
      </c>
      <c r="D1798">
        <v>10</v>
      </c>
      <c r="E1798">
        <v>30</v>
      </c>
      <c r="F1798">
        <v>0</v>
      </c>
      <c r="G1798">
        <v>73.337999999999994</v>
      </c>
    </row>
    <row r="1799" spans="1:7" x14ac:dyDescent="0.3">
      <c r="A1799" t="str">
        <f>IF(ISBLANK(B1799),"",IF(ROUND(B1799,0)=ROUND(G1799,0),"Pass","Fail"))</f>
        <v>Pass</v>
      </c>
      <c r="B1799">
        <f t="shared" ref="B1799:B1862" si="130">FMC_heath(C1799,D1799,E1799,F1799)</f>
        <v>40.001228332519531</v>
      </c>
      <c r="C1799">
        <v>20</v>
      </c>
      <c r="D1799">
        <v>10</v>
      </c>
      <c r="E1799">
        <v>30</v>
      </c>
      <c r="F1799">
        <v>8</v>
      </c>
      <c r="G1799">
        <v>40.001228080723003</v>
      </c>
    </row>
    <row r="1800" spans="1:7" x14ac:dyDescent="0.3">
      <c r="A1800" t="str">
        <f>IF(ISBLANK(B1800),"",IF(ROUND(B1800,0)=ROUND(G1800,0),"Pass","Fail"))</f>
        <v>Pass</v>
      </c>
      <c r="B1800">
        <f t="shared" si="130"/>
        <v>23.219997406005859</v>
      </c>
      <c r="C1800">
        <v>20</v>
      </c>
      <c r="D1800">
        <v>10</v>
      </c>
      <c r="E1800">
        <v>30</v>
      </c>
      <c r="F1800">
        <v>16</v>
      </c>
      <c r="G1800">
        <v>23.219997247101698</v>
      </c>
    </row>
    <row r="1801" spans="1:7" x14ac:dyDescent="0.3">
      <c r="A1801" t="str">
        <f>IF(ISBLANK(B1801),"",IF(ROUND(B1801,0)=ROUND(G1801,0),"Pass","Fail"))</f>
        <v>Pass</v>
      </c>
      <c r="B1801">
        <f t="shared" si="130"/>
        <v>14.772577285766602</v>
      </c>
      <c r="C1801">
        <v>20</v>
      </c>
      <c r="D1801">
        <v>10</v>
      </c>
      <c r="E1801">
        <v>30</v>
      </c>
      <c r="F1801">
        <v>24</v>
      </c>
      <c r="G1801">
        <v>14.772577413736199</v>
      </c>
    </row>
    <row r="1802" spans="1:7" x14ac:dyDescent="0.3">
      <c r="A1802" t="str">
        <f>IF(ISBLANK(B1802),"",IF(ROUND(B1802,0)=ROUND(G1802,0),"Pass","Fail"))</f>
        <v>Pass</v>
      </c>
      <c r="B1802">
        <f t="shared" si="130"/>
        <v>10.520273208618164</v>
      </c>
      <c r="C1802">
        <v>20</v>
      </c>
      <c r="D1802">
        <v>10</v>
      </c>
      <c r="E1802">
        <v>30</v>
      </c>
      <c r="F1802">
        <v>32</v>
      </c>
      <c r="G1802">
        <v>10.5202730059946</v>
      </c>
    </row>
    <row r="1803" spans="1:7" x14ac:dyDescent="0.3">
      <c r="A1803" t="str">
        <f>IF(ISBLANK(B1803),"",IF(ROUND(B1803,0)=ROUND(G1803,0),"Pass","Fail"))</f>
        <v>Pass</v>
      </c>
      <c r="B1803">
        <f t="shared" si="130"/>
        <v>8.3797264099121094</v>
      </c>
      <c r="C1803">
        <v>20</v>
      </c>
      <c r="D1803">
        <v>10</v>
      </c>
      <c r="E1803">
        <v>30</v>
      </c>
      <c r="F1803">
        <v>40</v>
      </c>
      <c r="G1803">
        <v>8.3797267643270992</v>
      </c>
    </row>
    <row r="1804" spans="1:7" x14ac:dyDescent="0.3">
      <c r="A1804" t="str">
        <f>IF(ISBLANK(B1804),"",IF(ROUND(B1804,0)=ROUND(G1804,0),"Pass","Fail"))</f>
        <v>Pass</v>
      </c>
      <c r="B1804">
        <f t="shared" si="130"/>
        <v>7.3022079467773438</v>
      </c>
      <c r="C1804">
        <v>20</v>
      </c>
      <c r="D1804">
        <v>10</v>
      </c>
      <c r="E1804">
        <v>30</v>
      </c>
      <c r="F1804">
        <v>48</v>
      </c>
      <c r="G1804">
        <v>7.3022079008197203</v>
      </c>
    </row>
    <row r="1805" spans="1:7" x14ac:dyDescent="0.3">
      <c r="A1805" t="str">
        <f>IF(ISBLANK(B1805),"",IF(ROUND(B1805,0)=ROUND(G1805,0),"Pass","Fail"))</f>
        <v>Pass</v>
      </c>
      <c r="B1805">
        <f t="shared" si="130"/>
        <v>73.337997436523438</v>
      </c>
      <c r="C1805">
        <v>20</v>
      </c>
      <c r="D1805">
        <v>10</v>
      </c>
      <c r="E1805">
        <v>40</v>
      </c>
      <c r="F1805">
        <v>0</v>
      </c>
      <c r="G1805">
        <v>73.337999999999994</v>
      </c>
    </row>
    <row r="1806" spans="1:7" x14ac:dyDescent="0.3">
      <c r="A1806" t="str">
        <f>IF(ISBLANK(B1806),"",IF(ROUND(B1806,0)=ROUND(G1806,0),"Pass","Fail"))</f>
        <v>Pass</v>
      </c>
      <c r="B1806">
        <f t="shared" si="130"/>
        <v>40.001228332519531</v>
      </c>
      <c r="C1806">
        <v>20</v>
      </c>
      <c r="D1806">
        <v>10</v>
      </c>
      <c r="E1806">
        <v>40</v>
      </c>
      <c r="F1806">
        <v>8</v>
      </c>
      <c r="G1806">
        <v>40.001228080723003</v>
      </c>
    </row>
    <row r="1807" spans="1:7" x14ac:dyDescent="0.3">
      <c r="A1807" t="str">
        <f>IF(ISBLANK(B1807),"",IF(ROUND(B1807,0)=ROUND(G1807,0),"Pass","Fail"))</f>
        <v>Pass</v>
      </c>
      <c r="B1807">
        <f t="shared" si="130"/>
        <v>23.219997406005859</v>
      </c>
      <c r="C1807">
        <v>20</v>
      </c>
      <c r="D1807">
        <v>10</v>
      </c>
      <c r="E1807">
        <v>40</v>
      </c>
      <c r="F1807">
        <v>16</v>
      </c>
      <c r="G1807">
        <v>23.219997247101698</v>
      </c>
    </row>
    <row r="1808" spans="1:7" x14ac:dyDescent="0.3">
      <c r="A1808" t="str">
        <f>IF(ISBLANK(B1808),"",IF(ROUND(B1808,0)=ROUND(G1808,0),"Pass","Fail"))</f>
        <v>Pass</v>
      </c>
      <c r="B1808">
        <f t="shared" si="130"/>
        <v>14.772577285766602</v>
      </c>
      <c r="C1808">
        <v>20</v>
      </c>
      <c r="D1808">
        <v>10</v>
      </c>
      <c r="E1808">
        <v>40</v>
      </c>
      <c r="F1808">
        <v>24</v>
      </c>
      <c r="G1808">
        <v>14.772577413736199</v>
      </c>
    </row>
    <row r="1809" spans="1:7" x14ac:dyDescent="0.3">
      <c r="A1809" t="str">
        <f>IF(ISBLANK(B1809),"",IF(ROUND(B1809,0)=ROUND(G1809,0),"Pass","Fail"))</f>
        <v>Pass</v>
      </c>
      <c r="B1809">
        <f t="shared" si="130"/>
        <v>10.520273208618164</v>
      </c>
      <c r="C1809">
        <v>20</v>
      </c>
      <c r="D1809">
        <v>10</v>
      </c>
      <c r="E1809">
        <v>40</v>
      </c>
      <c r="F1809">
        <v>32</v>
      </c>
      <c r="G1809">
        <v>10.5202730059946</v>
      </c>
    </row>
    <row r="1810" spans="1:7" x14ac:dyDescent="0.3">
      <c r="A1810" t="str">
        <f>IF(ISBLANK(B1810),"",IF(ROUND(B1810,0)=ROUND(G1810,0),"Pass","Fail"))</f>
        <v>Pass</v>
      </c>
      <c r="B1810">
        <f t="shared" si="130"/>
        <v>8.3797264099121094</v>
      </c>
      <c r="C1810">
        <v>20</v>
      </c>
      <c r="D1810">
        <v>10</v>
      </c>
      <c r="E1810">
        <v>40</v>
      </c>
      <c r="F1810">
        <v>40</v>
      </c>
      <c r="G1810">
        <v>8.3797267643270992</v>
      </c>
    </row>
    <row r="1811" spans="1:7" x14ac:dyDescent="0.3">
      <c r="A1811" t="str">
        <f>IF(ISBLANK(B1811),"",IF(ROUND(B1811,0)=ROUND(G1811,0),"Pass","Fail"))</f>
        <v>Pass</v>
      </c>
      <c r="B1811">
        <f t="shared" si="130"/>
        <v>7.3022079467773438</v>
      </c>
      <c r="C1811">
        <v>20</v>
      </c>
      <c r="D1811">
        <v>10</v>
      </c>
      <c r="E1811">
        <v>40</v>
      </c>
      <c r="F1811">
        <v>48</v>
      </c>
      <c r="G1811">
        <v>7.3022079008197203</v>
      </c>
    </row>
    <row r="1812" spans="1:7" x14ac:dyDescent="0.3">
      <c r="A1812" t="str">
        <f>IF(ISBLANK(B1812),"",IF(ROUND(B1812,0)=ROUND(G1812,0),"Pass","Fail"))</f>
        <v>Pass</v>
      </c>
      <c r="B1812">
        <f t="shared" si="130"/>
        <v>73.337997436523438</v>
      </c>
      <c r="C1812">
        <v>20</v>
      </c>
      <c r="D1812">
        <v>10</v>
      </c>
      <c r="E1812">
        <v>50</v>
      </c>
      <c r="F1812">
        <v>0</v>
      </c>
      <c r="G1812">
        <v>73.337999999999994</v>
      </c>
    </row>
    <row r="1813" spans="1:7" x14ac:dyDescent="0.3">
      <c r="A1813" t="str">
        <f>IF(ISBLANK(B1813),"",IF(ROUND(B1813,0)=ROUND(G1813,0),"Pass","Fail"))</f>
        <v>Pass</v>
      </c>
      <c r="B1813">
        <f t="shared" si="130"/>
        <v>40.001228332519531</v>
      </c>
      <c r="C1813">
        <v>20</v>
      </c>
      <c r="D1813">
        <v>10</v>
      </c>
      <c r="E1813">
        <v>50</v>
      </c>
      <c r="F1813">
        <v>8</v>
      </c>
      <c r="G1813">
        <v>40.001228080723003</v>
      </c>
    </row>
    <row r="1814" spans="1:7" x14ac:dyDescent="0.3">
      <c r="A1814" t="str">
        <f>IF(ISBLANK(B1814),"",IF(ROUND(B1814,0)=ROUND(G1814,0),"Pass","Fail"))</f>
        <v>Pass</v>
      </c>
      <c r="B1814">
        <f t="shared" si="130"/>
        <v>23.219997406005859</v>
      </c>
      <c r="C1814">
        <v>20</v>
      </c>
      <c r="D1814">
        <v>10</v>
      </c>
      <c r="E1814">
        <v>50</v>
      </c>
      <c r="F1814">
        <v>16</v>
      </c>
      <c r="G1814">
        <v>23.219997247101698</v>
      </c>
    </row>
    <row r="1815" spans="1:7" x14ac:dyDescent="0.3">
      <c r="A1815" t="str">
        <f>IF(ISBLANK(B1815),"",IF(ROUND(B1815,0)=ROUND(G1815,0),"Pass","Fail"))</f>
        <v>Pass</v>
      </c>
      <c r="B1815">
        <f t="shared" si="130"/>
        <v>14.772577285766602</v>
      </c>
      <c r="C1815">
        <v>20</v>
      </c>
      <c r="D1815">
        <v>10</v>
      </c>
      <c r="E1815">
        <v>50</v>
      </c>
      <c r="F1815">
        <v>24</v>
      </c>
      <c r="G1815">
        <v>14.772577413736199</v>
      </c>
    </row>
    <row r="1816" spans="1:7" x14ac:dyDescent="0.3">
      <c r="A1816" t="str">
        <f>IF(ISBLANK(B1816),"",IF(ROUND(B1816,0)=ROUND(G1816,0),"Pass","Fail"))</f>
        <v>Pass</v>
      </c>
      <c r="B1816">
        <f t="shared" si="130"/>
        <v>10.520273208618164</v>
      </c>
      <c r="C1816">
        <v>20</v>
      </c>
      <c r="D1816">
        <v>10</v>
      </c>
      <c r="E1816">
        <v>50</v>
      </c>
      <c r="F1816">
        <v>32</v>
      </c>
      <c r="G1816">
        <v>10.5202730059946</v>
      </c>
    </row>
    <row r="1817" spans="1:7" x14ac:dyDescent="0.3">
      <c r="A1817" t="str">
        <f>IF(ISBLANK(B1817),"",IF(ROUND(B1817,0)=ROUND(G1817,0),"Pass","Fail"))</f>
        <v>Pass</v>
      </c>
      <c r="B1817">
        <f t="shared" si="130"/>
        <v>8.3797264099121094</v>
      </c>
      <c r="C1817">
        <v>20</v>
      </c>
      <c r="D1817">
        <v>10</v>
      </c>
      <c r="E1817">
        <v>50</v>
      </c>
      <c r="F1817">
        <v>40</v>
      </c>
      <c r="G1817">
        <v>8.3797267643270992</v>
      </c>
    </row>
    <row r="1818" spans="1:7" x14ac:dyDescent="0.3">
      <c r="A1818" t="str">
        <f>IF(ISBLANK(B1818),"",IF(ROUND(B1818,0)=ROUND(G1818,0),"Pass","Fail"))</f>
        <v>Pass</v>
      </c>
      <c r="B1818">
        <f t="shared" si="130"/>
        <v>7.3022079467773438</v>
      </c>
      <c r="C1818">
        <v>20</v>
      </c>
      <c r="D1818">
        <v>10</v>
      </c>
      <c r="E1818">
        <v>50</v>
      </c>
      <c r="F1818">
        <v>48</v>
      </c>
      <c r="G1818">
        <v>7.3022079008197203</v>
      </c>
    </row>
    <row r="1819" spans="1:7" x14ac:dyDescent="0.3">
      <c r="A1819" t="str">
        <f>IF(ISBLANK(B1819),"",IF(ROUND(B1819,0)=ROUND(G1819,0),"Pass","Fail"))</f>
        <v>Pass</v>
      </c>
      <c r="B1819">
        <f t="shared" si="130"/>
        <v>73.337997436523438</v>
      </c>
      <c r="C1819">
        <v>20</v>
      </c>
      <c r="D1819">
        <v>10</v>
      </c>
      <c r="E1819">
        <v>60</v>
      </c>
      <c r="F1819">
        <v>0</v>
      </c>
      <c r="G1819">
        <v>73.337999999999994</v>
      </c>
    </row>
    <row r="1820" spans="1:7" x14ac:dyDescent="0.3">
      <c r="A1820" t="str">
        <f>IF(ISBLANK(B1820),"",IF(ROUND(B1820,0)=ROUND(G1820,0),"Pass","Fail"))</f>
        <v>Pass</v>
      </c>
      <c r="B1820">
        <f t="shared" si="130"/>
        <v>40.001228332519531</v>
      </c>
      <c r="C1820">
        <v>20</v>
      </c>
      <c r="D1820">
        <v>10</v>
      </c>
      <c r="E1820">
        <v>60</v>
      </c>
      <c r="F1820">
        <v>8</v>
      </c>
      <c r="G1820">
        <v>40.001228080723003</v>
      </c>
    </row>
    <row r="1821" spans="1:7" x14ac:dyDescent="0.3">
      <c r="A1821" t="str">
        <f>IF(ISBLANK(B1821),"",IF(ROUND(B1821,0)=ROUND(G1821,0),"Pass","Fail"))</f>
        <v>Pass</v>
      </c>
      <c r="B1821">
        <f t="shared" si="130"/>
        <v>23.219997406005859</v>
      </c>
      <c r="C1821">
        <v>20</v>
      </c>
      <c r="D1821">
        <v>10</v>
      </c>
      <c r="E1821">
        <v>60</v>
      </c>
      <c r="F1821">
        <v>16</v>
      </c>
      <c r="G1821">
        <v>23.219997247101698</v>
      </c>
    </row>
    <row r="1822" spans="1:7" x14ac:dyDescent="0.3">
      <c r="A1822" t="str">
        <f>IF(ISBLANK(B1822),"",IF(ROUND(B1822,0)=ROUND(G1822,0),"Pass","Fail"))</f>
        <v>Pass</v>
      </c>
      <c r="B1822">
        <f t="shared" si="130"/>
        <v>14.772577285766602</v>
      </c>
      <c r="C1822">
        <v>20</v>
      </c>
      <c r="D1822">
        <v>10</v>
      </c>
      <c r="E1822">
        <v>60</v>
      </c>
      <c r="F1822">
        <v>24</v>
      </c>
      <c r="G1822">
        <v>14.772577413736199</v>
      </c>
    </row>
    <row r="1823" spans="1:7" x14ac:dyDescent="0.3">
      <c r="A1823" t="str">
        <f>IF(ISBLANK(B1823),"",IF(ROUND(B1823,0)=ROUND(G1823,0),"Pass","Fail"))</f>
        <v>Pass</v>
      </c>
      <c r="B1823">
        <f t="shared" si="130"/>
        <v>10.520273208618164</v>
      </c>
      <c r="C1823">
        <v>20</v>
      </c>
      <c r="D1823">
        <v>10</v>
      </c>
      <c r="E1823">
        <v>60</v>
      </c>
      <c r="F1823">
        <v>32</v>
      </c>
      <c r="G1823">
        <v>10.5202730059946</v>
      </c>
    </row>
    <row r="1824" spans="1:7" x14ac:dyDescent="0.3">
      <c r="A1824" t="str">
        <f>IF(ISBLANK(B1824),"",IF(ROUND(B1824,0)=ROUND(G1824,0),"Pass","Fail"))</f>
        <v>Pass</v>
      </c>
      <c r="B1824">
        <f t="shared" si="130"/>
        <v>8.3797264099121094</v>
      </c>
      <c r="C1824">
        <v>20</v>
      </c>
      <c r="D1824">
        <v>10</v>
      </c>
      <c r="E1824">
        <v>60</v>
      </c>
      <c r="F1824">
        <v>40</v>
      </c>
      <c r="G1824">
        <v>8.3797267643270992</v>
      </c>
    </row>
    <row r="1825" spans="1:7" x14ac:dyDescent="0.3">
      <c r="A1825" t="str">
        <f>IF(ISBLANK(B1825),"",IF(ROUND(B1825,0)=ROUND(G1825,0),"Pass","Fail"))</f>
        <v>Pass</v>
      </c>
      <c r="B1825">
        <f t="shared" si="130"/>
        <v>7.3022079467773438</v>
      </c>
      <c r="C1825">
        <v>20</v>
      </c>
      <c r="D1825">
        <v>10</v>
      </c>
      <c r="E1825">
        <v>60</v>
      </c>
      <c r="F1825">
        <v>48</v>
      </c>
      <c r="G1825">
        <v>7.3022079008197203</v>
      </c>
    </row>
    <row r="1826" spans="1:7" x14ac:dyDescent="0.3">
      <c r="A1826" t="str">
        <f>IF(ISBLANK(B1826),"",IF(ROUND(B1826,0)=ROUND(G1826,0),"Pass","Fail"))</f>
        <v>Pass</v>
      </c>
      <c r="B1826">
        <f t="shared" si="130"/>
        <v>73.337997436523438</v>
      </c>
      <c r="C1826">
        <v>20</v>
      </c>
      <c r="D1826">
        <v>10</v>
      </c>
      <c r="E1826">
        <v>70</v>
      </c>
      <c r="F1826">
        <v>0</v>
      </c>
      <c r="G1826">
        <v>73.337999999999994</v>
      </c>
    </row>
    <row r="1827" spans="1:7" x14ac:dyDescent="0.3">
      <c r="A1827" t="str">
        <f>IF(ISBLANK(B1827),"",IF(ROUND(B1827,0)=ROUND(G1827,0),"Pass","Fail"))</f>
        <v>Pass</v>
      </c>
      <c r="B1827">
        <f t="shared" si="130"/>
        <v>40.001228332519531</v>
      </c>
      <c r="C1827">
        <v>20</v>
      </c>
      <c r="D1827">
        <v>10</v>
      </c>
      <c r="E1827">
        <v>70</v>
      </c>
      <c r="F1827">
        <v>8</v>
      </c>
      <c r="G1827">
        <v>40.001228080723003</v>
      </c>
    </row>
    <row r="1828" spans="1:7" x14ac:dyDescent="0.3">
      <c r="A1828" t="str">
        <f>IF(ISBLANK(B1828),"",IF(ROUND(B1828,0)=ROUND(G1828,0),"Pass","Fail"))</f>
        <v>Pass</v>
      </c>
      <c r="B1828">
        <f t="shared" si="130"/>
        <v>23.219997406005859</v>
      </c>
      <c r="C1828">
        <v>20</v>
      </c>
      <c r="D1828">
        <v>10</v>
      </c>
      <c r="E1828">
        <v>70</v>
      </c>
      <c r="F1828">
        <v>16</v>
      </c>
      <c r="G1828">
        <v>23.219997247101698</v>
      </c>
    </row>
    <row r="1829" spans="1:7" x14ac:dyDescent="0.3">
      <c r="A1829" t="str">
        <f>IF(ISBLANK(B1829),"",IF(ROUND(B1829,0)=ROUND(G1829,0),"Pass","Fail"))</f>
        <v>Pass</v>
      </c>
      <c r="B1829">
        <f t="shared" si="130"/>
        <v>14.772577285766602</v>
      </c>
      <c r="C1829">
        <v>20</v>
      </c>
      <c r="D1829">
        <v>10</v>
      </c>
      <c r="E1829">
        <v>70</v>
      </c>
      <c r="F1829">
        <v>24</v>
      </c>
      <c r="G1829">
        <v>14.772577413736199</v>
      </c>
    </row>
    <row r="1830" spans="1:7" x14ac:dyDescent="0.3">
      <c r="A1830" t="str">
        <f>IF(ISBLANK(B1830),"",IF(ROUND(B1830,0)=ROUND(G1830,0),"Pass","Fail"))</f>
        <v>Pass</v>
      </c>
      <c r="B1830">
        <f t="shared" si="130"/>
        <v>10.520273208618164</v>
      </c>
      <c r="C1830">
        <v>20</v>
      </c>
      <c r="D1830">
        <v>10</v>
      </c>
      <c r="E1830">
        <v>70</v>
      </c>
      <c r="F1830">
        <v>32</v>
      </c>
      <c r="G1830">
        <v>10.5202730059946</v>
      </c>
    </row>
    <row r="1831" spans="1:7" x14ac:dyDescent="0.3">
      <c r="A1831" t="str">
        <f>IF(ISBLANK(B1831),"",IF(ROUND(B1831,0)=ROUND(G1831,0),"Pass","Fail"))</f>
        <v>Pass</v>
      </c>
      <c r="B1831">
        <f t="shared" si="130"/>
        <v>8.3797264099121094</v>
      </c>
      <c r="C1831">
        <v>20</v>
      </c>
      <c r="D1831">
        <v>10</v>
      </c>
      <c r="E1831">
        <v>70</v>
      </c>
      <c r="F1831">
        <v>40</v>
      </c>
      <c r="G1831">
        <v>8.3797267643270992</v>
      </c>
    </row>
    <row r="1832" spans="1:7" x14ac:dyDescent="0.3">
      <c r="A1832" t="str">
        <f>IF(ISBLANK(B1832),"",IF(ROUND(B1832,0)=ROUND(G1832,0),"Pass","Fail"))</f>
        <v>Pass</v>
      </c>
      <c r="B1832">
        <f t="shared" si="130"/>
        <v>7.3022079467773438</v>
      </c>
      <c r="C1832">
        <v>20</v>
      </c>
      <c r="D1832">
        <v>10</v>
      </c>
      <c r="E1832">
        <v>70</v>
      </c>
      <c r="F1832">
        <v>48</v>
      </c>
      <c r="G1832">
        <v>7.3022079008197203</v>
      </c>
    </row>
    <row r="1833" spans="1:7" x14ac:dyDescent="0.3">
      <c r="A1833" t="str">
        <f>IF(ISBLANK(B1833),"",IF(ROUND(B1833,0)=ROUND(G1833,0),"Pass","Fail"))</f>
        <v>Pass</v>
      </c>
      <c r="B1833">
        <f t="shared" si="130"/>
        <v>73.337997436523438</v>
      </c>
      <c r="C1833">
        <v>20</v>
      </c>
      <c r="D1833">
        <v>10</v>
      </c>
      <c r="E1833">
        <v>80</v>
      </c>
      <c r="F1833">
        <v>0</v>
      </c>
      <c r="G1833">
        <v>73.337999999999994</v>
      </c>
    </row>
    <row r="1834" spans="1:7" x14ac:dyDescent="0.3">
      <c r="A1834" t="str">
        <f>IF(ISBLANK(B1834),"",IF(ROUND(B1834,0)=ROUND(G1834,0),"Pass","Fail"))</f>
        <v>Pass</v>
      </c>
      <c r="B1834">
        <f t="shared" si="130"/>
        <v>40.001228332519531</v>
      </c>
      <c r="C1834">
        <v>20</v>
      </c>
      <c r="D1834">
        <v>10</v>
      </c>
      <c r="E1834">
        <v>80</v>
      </c>
      <c r="F1834">
        <v>8</v>
      </c>
      <c r="G1834">
        <v>40.001228080723003</v>
      </c>
    </row>
    <row r="1835" spans="1:7" x14ac:dyDescent="0.3">
      <c r="A1835" t="str">
        <f>IF(ISBLANK(B1835),"",IF(ROUND(B1835,0)=ROUND(G1835,0),"Pass","Fail"))</f>
        <v>Pass</v>
      </c>
      <c r="B1835">
        <f t="shared" si="130"/>
        <v>23.219997406005859</v>
      </c>
      <c r="C1835">
        <v>20</v>
      </c>
      <c r="D1835">
        <v>10</v>
      </c>
      <c r="E1835">
        <v>80</v>
      </c>
      <c r="F1835">
        <v>16</v>
      </c>
      <c r="G1835">
        <v>23.219997247101698</v>
      </c>
    </row>
    <row r="1836" spans="1:7" x14ac:dyDescent="0.3">
      <c r="A1836" t="str">
        <f>IF(ISBLANK(B1836),"",IF(ROUND(B1836,0)=ROUND(G1836,0),"Pass","Fail"))</f>
        <v>Pass</v>
      </c>
      <c r="B1836">
        <f t="shared" si="130"/>
        <v>14.772577285766602</v>
      </c>
      <c r="C1836">
        <v>20</v>
      </c>
      <c r="D1836">
        <v>10</v>
      </c>
      <c r="E1836">
        <v>80</v>
      </c>
      <c r="F1836">
        <v>24</v>
      </c>
      <c r="G1836">
        <v>14.772577413736199</v>
      </c>
    </row>
    <row r="1837" spans="1:7" x14ac:dyDescent="0.3">
      <c r="A1837" t="str">
        <f>IF(ISBLANK(B1837),"",IF(ROUND(B1837,0)=ROUND(G1837,0),"Pass","Fail"))</f>
        <v>Pass</v>
      </c>
      <c r="B1837">
        <f t="shared" si="130"/>
        <v>10.520273208618164</v>
      </c>
      <c r="C1837">
        <v>20</v>
      </c>
      <c r="D1837">
        <v>10</v>
      </c>
      <c r="E1837">
        <v>80</v>
      </c>
      <c r="F1837">
        <v>32</v>
      </c>
      <c r="G1837">
        <v>10.5202730059946</v>
      </c>
    </row>
    <row r="1838" spans="1:7" x14ac:dyDescent="0.3">
      <c r="A1838" t="str">
        <f>IF(ISBLANK(B1838),"",IF(ROUND(B1838,0)=ROUND(G1838,0),"Pass","Fail"))</f>
        <v>Pass</v>
      </c>
      <c r="B1838">
        <f t="shared" si="130"/>
        <v>8.3797264099121094</v>
      </c>
      <c r="C1838">
        <v>20</v>
      </c>
      <c r="D1838">
        <v>10</v>
      </c>
      <c r="E1838">
        <v>80</v>
      </c>
      <c r="F1838">
        <v>40</v>
      </c>
      <c r="G1838">
        <v>8.3797267643270992</v>
      </c>
    </row>
    <row r="1839" spans="1:7" x14ac:dyDescent="0.3">
      <c r="A1839" t="str">
        <f>IF(ISBLANK(B1839),"",IF(ROUND(B1839,0)=ROUND(G1839,0),"Pass","Fail"))</f>
        <v>Pass</v>
      </c>
      <c r="B1839">
        <f t="shared" si="130"/>
        <v>7.3022079467773438</v>
      </c>
      <c r="C1839">
        <v>20</v>
      </c>
      <c r="D1839">
        <v>10</v>
      </c>
      <c r="E1839">
        <v>80</v>
      </c>
      <c r="F1839">
        <v>48</v>
      </c>
      <c r="G1839">
        <v>7.3022079008197203</v>
      </c>
    </row>
    <row r="1840" spans="1:7" x14ac:dyDescent="0.3">
      <c r="A1840" t="str">
        <f>IF(ISBLANK(B1840),"",IF(ROUND(B1840,0)=ROUND(G1840,0),"Pass","Fail"))</f>
        <v>Pass</v>
      </c>
      <c r="B1840">
        <f t="shared" si="130"/>
        <v>73.337997436523438</v>
      </c>
      <c r="C1840">
        <v>20</v>
      </c>
      <c r="D1840">
        <v>10</v>
      </c>
      <c r="E1840">
        <v>90</v>
      </c>
      <c r="F1840">
        <v>0</v>
      </c>
      <c r="G1840">
        <v>73.337999999999994</v>
      </c>
    </row>
    <row r="1841" spans="1:7" x14ac:dyDescent="0.3">
      <c r="A1841" t="str">
        <f>IF(ISBLANK(B1841),"",IF(ROUND(B1841,0)=ROUND(G1841,0),"Pass","Fail"))</f>
        <v>Pass</v>
      </c>
      <c r="B1841">
        <f t="shared" si="130"/>
        <v>40.001228332519531</v>
      </c>
      <c r="C1841">
        <v>20</v>
      </c>
      <c r="D1841">
        <v>10</v>
      </c>
      <c r="E1841">
        <v>90</v>
      </c>
      <c r="F1841">
        <v>8</v>
      </c>
      <c r="G1841">
        <v>40.001228080723003</v>
      </c>
    </row>
    <row r="1842" spans="1:7" x14ac:dyDescent="0.3">
      <c r="A1842" t="str">
        <f>IF(ISBLANK(B1842),"",IF(ROUND(B1842,0)=ROUND(G1842,0),"Pass","Fail"))</f>
        <v>Pass</v>
      </c>
      <c r="B1842">
        <f t="shared" si="130"/>
        <v>23.219997406005859</v>
      </c>
      <c r="C1842">
        <v>20</v>
      </c>
      <c r="D1842">
        <v>10</v>
      </c>
      <c r="E1842">
        <v>90</v>
      </c>
      <c r="F1842">
        <v>16</v>
      </c>
      <c r="G1842">
        <v>23.219997247101698</v>
      </c>
    </row>
    <row r="1843" spans="1:7" x14ac:dyDescent="0.3">
      <c r="A1843" t="str">
        <f>IF(ISBLANK(B1843),"",IF(ROUND(B1843,0)=ROUND(G1843,0),"Pass","Fail"))</f>
        <v>Pass</v>
      </c>
      <c r="B1843">
        <f t="shared" si="130"/>
        <v>14.772577285766602</v>
      </c>
      <c r="C1843">
        <v>20</v>
      </c>
      <c r="D1843">
        <v>10</v>
      </c>
      <c r="E1843">
        <v>90</v>
      </c>
      <c r="F1843">
        <v>24</v>
      </c>
      <c r="G1843">
        <v>14.772577413736199</v>
      </c>
    </row>
    <row r="1844" spans="1:7" x14ac:dyDescent="0.3">
      <c r="A1844" t="str">
        <f>IF(ISBLANK(B1844),"",IF(ROUND(B1844,0)=ROUND(G1844,0),"Pass","Fail"))</f>
        <v>Pass</v>
      </c>
      <c r="B1844">
        <f t="shared" si="130"/>
        <v>10.520273208618164</v>
      </c>
      <c r="C1844">
        <v>20</v>
      </c>
      <c r="D1844">
        <v>10</v>
      </c>
      <c r="E1844">
        <v>90</v>
      </c>
      <c r="F1844">
        <v>32</v>
      </c>
      <c r="G1844">
        <v>10.5202730059946</v>
      </c>
    </row>
    <row r="1845" spans="1:7" x14ac:dyDescent="0.3">
      <c r="A1845" t="str">
        <f>IF(ISBLANK(B1845),"",IF(ROUND(B1845,0)=ROUND(G1845,0),"Pass","Fail"))</f>
        <v>Pass</v>
      </c>
      <c r="B1845">
        <f t="shared" si="130"/>
        <v>8.3797264099121094</v>
      </c>
      <c r="C1845">
        <v>20</v>
      </c>
      <c r="D1845">
        <v>10</v>
      </c>
      <c r="E1845">
        <v>90</v>
      </c>
      <c r="F1845">
        <v>40</v>
      </c>
      <c r="G1845">
        <v>8.3797267643270992</v>
      </c>
    </row>
    <row r="1846" spans="1:7" x14ac:dyDescent="0.3">
      <c r="A1846" t="str">
        <f>IF(ISBLANK(B1846),"",IF(ROUND(B1846,0)=ROUND(G1846,0),"Pass","Fail"))</f>
        <v>Pass</v>
      </c>
      <c r="B1846">
        <f t="shared" si="130"/>
        <v>7.3022079467773438</v>
      </c>
      <c r="C1846">
        <v>20</v>
      </c>
      <c r="D1846">
        <v>10</v>
      </c>
      <c r="E1846">
        <v>90</v>
      </c>
      <c r="F1846">
        <v>48</v>
      </c>
      <c r="G1846">
        <v>7.3022079008197203</v>
      </c>
    </row>
    <row r="1847" spans="1:7" x14ac:dyDescent="0.3">
      <c r="A1847" t="str">
        <f>IF(ISBLANK(B1847),"",IF(ROUND(B1847,0)=ROUND(G1847,0),"Pass","Fail"))</f>
        <v>Pass</v>
      </c>
      <c r="B1847">
        <f t="shared" si="130"/>
        <v>73.337997436523438</v>
      </c>
      <c r="C1847">
        <v>20</v>
      </c>
      <c r="D1847">
        <v>10</v>
      </c>
      <c r="E1847">
        <v>100</v>
      </c>
      <c r="F1847">
        <v>0</v>
      </c>
      <c r="G1847">
        <v>73.337999999999994</v>
      </c>
    </row>
    <row r="1848" spans="1:7" x14ac:dyDescent="0.3">
      <c r="A1848" t="str">
        <f>IF(ISBLANK(B1848),"",IF(ROUND(B1848,0)=ROUND(G1848,0),"Pass","Fail"))</f>
        <v>Pass</v>
      </c>
      <c r="B1848">
        <f t="shared" si="130"/>
        <v>40.001228332519531</v>
      </c>
      <c r="C1848">
        <v>20</v>
      </c>
      <c r="D1848">
        <v>10</v>
      </c>
      <c r="E1848">
        <v>100</v>
      </c>
      <c r="F1848">
        <v>8</v>
      </c>
      <c r="G1848">
        <v>40.001228080723003</v>
      </c>
    </row>
    <row r="1849" spans="1:7" x14ac:dyDescent="0.3">
      <c r="A1849" t="str">
        <f>IF(ISBLANK(B1849),"",IF(ROUND(B1849,0)=ROUND(G1849,0),"Pass","Fail"))</f>
        <v>Pass</v>
      </c>
      <c r="B1849">
        <f t="shared" si="130"/>
        <v>23.219997406005859</v>
      </c>
      <c r="C1849">
        <v>20</v>
      </c>
      <c r="D1849">
        <v>10</v>
      </c>
      <c r="E1849">
        <v>100</v>
      </c>
      <c r="F1849">
        <v>16</v>
      </c>
      <c r="G1849">
        <v>23.219997247101698</v>
      </c>
    </row>
    <row r="1850" spans="1:7" x14ac:dyDescent="0.3">
      <c r="A1850" t="str">
        <f>IF(ISBLANK(B1850),"",IF(ROUND(B1850,0)=ROUND(G1850,0),"Pass","Fail"))</f>
        <v>Pass</v>
      </c>
      <c r="B1850">
        <f t="shared" si="130"/>
        <v>14.772577285766602</v>
      </c>
      <c r="C1850">
        <v>20</v>
      </c>
      <c r="D1850">
        <v>10</v>
      </c>
      <c r="E1850">
        <v>100</v>
      </c>
      <c r="F1850">
        <v>24</v>
      </c>
      <c r="G1850">
        <v>14.772577413736199</v>
      </c>
    </row>
    <row r="1851" spans="1:7" x14ac:dyDescent="0.3">
      <c r="A1851" t="str">
        <f>IF(ISBLANK(B1851),"",IF(ROUND(B1851,0)=ROUND(G1851,0),"Pass","Fail"))</f>
        <v>Pass</v>
      </c>
      <c r="B1851">
        <f t="shared" si="130"/>
        <v>10.520273208618164</v>
      </c>
      <c r="C1851">
        <v>20</v>
      </c>
      <c r="D1851">
        <v>10</v>
      </c>
      <c r="E1851">
        <v>100</v>
      </c>
      <c r="F1851">
        <v>32</v>
      </c>
      <c r="G1851">
        <v>10.5202730059946</v>
      </c>
    </row>
    <row r="1852" spans="1:7" x14ac:dyDescent="0.3">
      <c r="A1852" t="str">
        <f>IF(ISBLANK(B1852),"",IF(ROUND(B1852,0)=ROUND(G1852,0),"Pass","Fail"))</f>
        <v>Pass</v>
      </c>
      <c r="B1852">
        <f t="shared" si="130"/>
        <v>8.3797264099121094</v>
      </c>
      <c r="C1852">
        <v>20</v>
      </c>
      <c r="D1852">
        <v>10</v>
      </c>
      <c r="E1852">
        <v>100</v>
      </c>
      <c r="F1852">
        <v>40</v>
      </c>
      <c r="G1852">
        <v>8.3797267643270992</v>
      </c>
    </row>
    <row r="1853" spans="1:7" x14ac:dyDescent="0.3">
      <c r="A1853" t="str">
        <f>IF(ISBLANK(B1853),"",IF(ROUND(B1853,0)=ROUND(G1853,0),"Pass","Fail"))</f>
        <v>Pass</v>
      </c>
      <c r="B1853">
        <f t="shared" si="130"/>
        <v>7.3022079467773438</v>
      </c>
      <c r="C1853">
        <v>20</v>
      </c>
      <c r="D1853">
        <v>10</v>
      </c>
      <c r="E1853">
        <v>100</v>
      </c>
      <c r="F1853">
        <v>48</v>
      </c>
      <c r="G1853">
        <v>7.3022079008197203</v>
      </c>
    </row>
    <row r="1854" spans="1:7" x14ac:dyDescent="0.3">
      <c r="A1854" t="str">
        <f>IF(ISBLANK(B1854),"",IF(ROUND(B1854,0)=ROUND(G1854,0),"Pass","Fail"))</f>
        <v>Pass</v>
      </c>
      <c r="B1854">
        <f t="shared" si="130"/>
        <v>7.5500001907348633</v>
      </c>
      <c r="C1854">
        <v>20</v>
      </c>
      <c r="D1854">
        <v>20</v>
      </c>
      <c r="E1854">
        <v>0</v>
      </c>
      <c r="F1854">
        <v>0</v>
      </c>
      <c r="G1854">
        <v>7.55</v>
      </c>
    </row>
    <row r="1855" spans="1:7" x14ac:dyDescent="0.3">
      <c r="A1855" t="str">
        <f>IF(ISBLANK(B1855),"",IF(ROUND(B1855,0)=ROUND(G1855,0),"Pass","Fail"))</f>
        <v>Pass</v>
      </c>
      <c r="B1855">
        <f t="shared" si="130"/>
        <v>7.5500001907348633</v>
      </c>
      <c r="C1855">
        <v>20</v>
      </c>
      <c r="D1855">
        <v>20</v>
      </c>
      <c r="E1855">
        <v>0</v>
      </c>
      <c r="F1855">
        <v>8</v>
      </c>
      <c r="G1855">
        <v>7.55</v>
      </c>
    </row>
    <row r="1856" spans="1:7" x14ac:dyDescent="0.3">
      <c r="A1856" t="str">
        <f>IF(ISBLANK(B1856),"",IF(ROUND(B1856,0)=ROUND(G1856,0),"Pass","Fail"))</f>
        <v>Pass</v>
      </c>
      <c r="B1856">
        <f t="shared" si="130"/>
        <v>7.5500001907348633</v>
      </c>
      <c r="C1856">
        <v>20</v>
      </c>
      <c r="D1856">
        <v>20</v>
      </c>
      <c r="E1856">
        <v>0</v>
      </c>
      <c r="F1856">
        <v>16</v>
      </c>
      <c r="G1856">
        <v>7.55</v>
      </c>
    </row>
    <row r="1857" spans="1:7" x14ac:dyDescent="0.3">
      <c r="A1857" t="str">
        <f>IF(ISBLANK(B1857),"",IF(ROUND(B1857,0)=ROUND(G1857,0),"Pass","Fail"))</f>
        <v>Pass</v>
      </c>
      <c r="B1857">
        <f t="shared" si="130"/>
        <v>7.5500001907348633</v>
      </c>
      <c r="C1857">
        <v>20</v>
      </c>
      <c r="D1857">
        <v>20</v>
      </c>
      <c r="E1857">
        <v>0</v>
      </c>
      <c r="F1857">
        <v>24</v>
      </c>
      <c r="G1857">
        <v>7.55</v>
      </c>
    </row>
    <row r="1858" spans="1:7" x14ac:dyDescent="0.3">
      <c r="A1858" t="str">
        <f>IF(ISBLANK(B1858),"",IF(ROUND(B1858,0)=ROUND(G1858,0),"Pass","Fail"))</f>
        <v>Pass</v>
      </c>
      <c r="B1858">
        <f t="shared" si="130"/>
        <v>7.5500001907348633</v>
      </c>
      <c r="C1858">
        <v>20</v>
      </c>
      <c r="D1858">
        <v>20</v>
      </c>
      <c r="E1858">
        <v>0</v>
      </c>
      <c r="F1858">
        <v>32</v>
      </c>
      <c r="G1858">
        <v>7.55</v>
      </c>
    </row>
    <row r="1859" spans="1:7" x14ac:dyDescent="0.3">
      <c r="A1859" t="str">
        <f>IF(ISBLANK(B1859),"",IF(ROUND(B1859,0)=ROUND(G1859,0),"Pass","Fail"))</f>
        <v>Pass</v>
      </c>
      <c r="B1859">
        <f t="shared" si="130"/>
        <v>7.5500001907348633</v>
      </c>
      <c r="C1859">
        <v>20</v>
      </c>
      <c r="D1859">
        <v>20</v>
      </c>
      <c r="E1859">
        <v>0</v>
      </c>
      <c r="F1859">
        <v>40</v>
      </c>
      <c r="G1859">
        <v>7.55</v>
      </c>
    </row>
    <row r="1860" spans="1:7" x14ac:dyDescent="0.3">
      <c r="A1860" t="str">
        <f>IF(ISBLANK(B1860),"",IF(ROUND(B1860,0)=ROUND(G1860,0),"Pass","Fail"))</f>
        <v>Pass</v>
      </c>
      <c r="B1860">
        <f t="shared" si="130"/>
        <v>7.5500001907348633</v>
      </c>
      <c r="C1860">
        <v>20</v>
      </c>
      <c r="D1860">
        <v>20</v>
      </c>
      <c r="E1860">
        <v>0</v>
      </c>
      <c r="F1860">
        <v>48</v>
      </c>
      <c r="G1860">
        <v>7.55</v>
      </c>
    </row>
    <row r="1861" spans="1:7" x14ac:dyDescent="0.3">
      <c r="A1861" t="str">
        <f>IF(ISBLANK(B1861),"",IF(ROUND(B1861,0)=ROUND(G1861,0),"Pass","Fail"))</f>
        <v>Pass</v>
      </c>
      <c r="B1861">
        <f t="shared" si="130"/>
        <v>74.678001403808594</v>
      </c>
      <c r="C1861">
        <v>20</v>
      </c>
      <c r="D1861">
        <v>20</v>
      </c>
      <c r="E1861">
        <v>10</v>
      </c>
      <c r="F1861">
        <v>0</v>
      </c>
      <c r="G1861">
        <v>74.677999999998306</v>
      </c>
    </row>
    <row r="1862" spans="1:7" x14ac:dyDescent="0.3">
      <c r="A1862" t="str">
        <f>IF(ISBLANK(B1862),"",IF(ROUND(B1862,0)=ROUND(G1862,0),"Pass","Fail"))</f>
        <v>Pass</v>
      </c>
      <c r="B1862">
        <f t="shared" si="130"/>
        <v>41.341228485107422</v>
      </c>
      <c r="C1862">
        <v>20</v>
      </c>
      <c r="D1862">
        <v>20</v>
      </c>
      <c r="E1862">
        <v>10</v>
      </c>
      <c r="F1862">
        <v>8</v>
      </c>
      <c r="G1862">
        <v>41.341228080722203</v>
      </c>
    </row>
    <row r="1863" spans="1:7" x14ac:dyDescent="0.3">
      <c r="A1863" t="str">
        <f>IF(ISBLANK(B1863),"",IF(ROUND(B1863,0)=ROUND(G1863,0),"Pass","Fail"))</f>
        <v>Pass</v>
      </c>
      <c r="B1863">
        <f t="shared" ref="B1863:B1926" si="131">FMC_heath(C1863,D1863,E1863,F1863)</f>
        <v>24.55999755859375</v>
      </c>
      <c r="C1863">
        <v>20</v>
      </c>
      <c r="D1863">
        <v>20</v>
      </c>
      <c r="E1863">
        <v>10</v>
      </c>
      <c r="F1863">
        <v>16</v>
      </c>
      <c r="G1863">
        <v>24.5599972471013</v>
      </c>
    </row>
    <row r="1864" spans="1:7" x14ac:dyDescent="0.3">
      <c r="A1864" t="str">
        <f>IF(ISBLANK(B1864),"",IF(ROUND(B1864,0)=ROUND(G1864,0),"Pass","Fail"))</f>
        <v>Pass</v>
      </c>
      <c r="B1864">
        <f t="shared" si="131"/>
        <v>16.112577438354492</v>
      </c>
      <c r="C1864">
        <v>20</v>
      </c>
      <c r="D1864">
        <v>20</v>
      </c>
      <c r="E1864">
        <v>10</v>
      </c>
      <c r="F1864">
        <v>24</v>
      </c>
      <c r="G1864">
        <v>16.112577413735998</v>
      </c>
    </row>
    <row r="1865" spans="1:7" x14ac:dyDescent="0.3">
      <c r="A1865" t="str">
        <f>IF(ISBLANK(B1865),"",IF(ROUND(B1865,0)=ROUND(G1865,0),"Pass","Fail"))</f>
        <v>Pass</v>
      </c>
      <c r="B1865">
        <f t="shared" si="131"/>
        <v>11.860273361206055</v>
      </c>
      <c r="C1865">
        <v>20</v>
      </c>
      <c r="D1865">
        <v>20</v>
      </c>
      <c r="E1865">
        <v>10</v>
      </c>
      <c r="F1865">
        <v>32</v>
      </c>
      <c r="G1865">
        <v>11.8602730059945</v>
      </c>
    </row>
    <row r="1866" spans="1:7" x14ac:dyDescent="0.3">
      <c r="A1866" t="str">
        <f>IF(ISBLANK(B1866),"",IF(ROUND(B1866,0)=ROUND(G1866,0),"Pass","Fail"))</f>
        <v>Pass</v>
      </c>
      <c r="B1866">
        <f t="shared" si="131"/>
        <v>9.7197265625</v>
      </c>
      <c r="C1866">
        <v>20</v>
      </c>
      <c r="D1866">
        <v>20</v>
      </c>
      <c r="E1866">
        <v>10</v>
      </c>
      <c r="F1866">
        <v>40</v>
      </c>
      <c r="G1866">
        <v>9.7197267643270493</v>
      </c>
    </row>
    <row r="1867" spans="1:7" x14ac:dyDescent="0.3">
      <c r="A1867" t="str">
        <f>IF(ISBLANK(B1867),"",IF(ROUND(B1867,0)=ROUND(G1867,0),"Pass","Fail"))</f>
        <v>Pass</v>
      </c>
      <c r="B1867">
        <f t="shared" si="131"/>
        <v>8.6422080993652344</v>
      </c>
      <c r="C1867">
        <v>20</v>
      </c>
      <c r="D1867">
        <v>20</v>
      </c>
      <c r="E1867">
        <v>10</v>
      </c>
      <c r="F1867">
        <v>48</v>
      </c>
      <c r="G1867">
        <v>8.6422079008196899</v>
      </c>
    </row>
    <row r="1868" spans="1:7" x14ac:dyDescent="0.3">
      <c r="A1868" t="str">
        <f>IF(ISBLANK(B1868),"",IF(ROUND(B1868,0)=ROUND(G1868,0),"Pass","Fail"))</f>
        <v>Pass</v>
      </c>
      <c r="B1868">
        <f t="shared" si="131"/>
        <v>74.678001403808594</v>
      </c>
      <c r="C1868">
        <v>20</v>
      </c>
      <c r="D1868">
        <v>20</v>
      </c>
      <c r="E1868">
        <v>20</v>
      </c>
      <c r="F1868">
        <v>0</v>
      </c>
      <c r="G1868">
        <v>74.677999999999997</v>
      </c>
    </row>
    <row r="1869" spans="1:7" x14ac:dyDescent="0.3">
      <c r="A1869" t="str">
        <f>IF(ISBLANK(B1869),"",IF(ROUND(B1869,0)=ROUND(G1869,0),"Pass","Fail"))</f>
        <v>Pass</v>
      </c>
      <c r="B1869">
        <f t="shared" si="131"/>
        <v>41.341228485107422</v>
      </c>
      <c r="C1869">
        <v>20</v>
      </c>
      <c r="D1869">
        <v>20</v>
      </c>
      <c r="E1869">
        <v>20</v>
      </c>
      <c r="F1869">
        <v>8</v>
      </c>
      <c r="G1869">
        <v>41.341228080722999</v>
      </c>
    </row>
    <row r="1870" spans="1:7" x14ac:dyDescent="0.3">
      <c r="A1870" t="str">
        <f>IF(ISBLANK(B1870),"",IF(ROUND(B1870,0)=ROUND(G1870,0),"Pass","Fail"))</f>
        <v>Pass</v>
      </c>
      <c r="B1870">
        <f t="shared" si="131"/>
        <v>24.55999755859375</v>
      </c>
      <c r="C1870">
        <v>20</v>
      </c>
      <c r="D1870">
        <v>20</v>
      </c>
      <c r="E1870">
        <v>20</v>
      </c>
      <c r="F1870">
        <v>16</v>
      </c>
      <c r="G1870">
        <v>24.559997247101698</v>
      </c>
    </row>
    <row r="1871" spans="1:7" x14ac:dyDescent="0.3">
      <c r="A1871" t="str">
        <f>IF(ISBLANK(B1871),"",IF(ROUND(B1871,0)=ROUND(G1871,0),"Pass","Fail"))</f>
        <v>Pass</v>
      </c>
      <c r="B1871">
        <f t="shared" si="131"/>
        <v>16.112577438354492</v>
      </c>
      <c r="C1871">
        <v>20</v>
      </c>
      <c r="D1871">
        <v>20</v>
      </c>
      <c r="E1871">
        <v>20</v>
      </c>
      <c r="F1871">
        <v>24</v>
      </c>
      <c r="G1871">
        <v>16.112577413736201</v>
      </c>
    </row>
    <row r="1872" spans="1:7" x14ac:dyDescent="0.3">
      <c r="A1872" t="str">
        <f>IF(ISBLANK(B1872),"",IF(ROUND(B1872,0)=ROUND(G1872,0),"Pass","Fail"))</f>
        <v>Pass</v>
      </c>
      <c r="B1872">
        <f t="shared" si="131"/>
        <v>11.860273361206055</v>
      </c>
      <c r="C1872">
        <v>20</v>
      </c>
      <c r="D1872">
        <v>20</v>
      </c>
      <c r="E1872">
        <v>20</v>
      </c>
      <c r="F1872">
        <v>32</v>
      </c>
      <c r="G1872">
        <v>11.8602730059946</v>
      </c>
    </row>
    <row r="1873" spans="1:7" x14ac:dyDescent="0.3">
      <c r="A1873" t="str">
        <f>IF(ISBLANK(B1873),"",IF(ROUND(B1873,0)=ROUND(G1873,0),"Pass","Fail"))</f>
        <v>Pass</v>
      </c>
      <c r="B1873">
        <f t="shared" si="131"/>
        <v>9.7197265625</v>
      </c>
      <c r="C1873">
        <v>20</v>
      </c>
      <c r="D1873">
        <v>20</v>
      </c>
      <c r="E1873">
        <v>20</v>
      </c>
      <c r="F1873">
        <v>40</v>
      </c>
      <c r="G1873">
        <v>9.7197267643271008</v>
      </c>
    </row>
    <row r="1874" spans="1:7" x14ac:dyDescent="0.3">
      <c r="A1874" t="str">
        <f>IF(ISBLANK(B1874),"",IF(ROUND(B1874,0)=ROUND(G1874,0),"Pass","Fail"))</f>
        <v>Pass</v>
      </c>
      <c r="B1874">
        <f t="shared" si="131"/>
        <v>8.6422080993652344</v>
      </c>
      <c r="C1874">
        <v>20</v>
      </c>
      <c r="D1874">
        <v>20</v>
      </c>
      <c r="E1874">
        <v>20</v>
      </c>
      <c r="F1874">
        <v>48</v>
      </c>
      <c r="G1874">
        <v>8.6422079008197201</v>
      </c>
    </row>
    <row r="1875" spans="1:7" x14ac:dyDescent="0.3">
      <c r="A1875" t="str">
        <f>IF(ISBLANK(B1875),"",IF(ROUND(B1875,0)=ROUND(G1875,0),"Pass","Fail"))</f>
        <v>Pass</v>
      </c>
      <c r="B1875">
        <f t="shared" si="131"/>
        <v>74.678001403808594</v>
      </c>
      <c r="C1875">
        <v>20</v>
      </c>
      <c r="D1875">
        <v>20</v>
      </c>
      <c r="E1875">
        <v>30</v>
      </c>
      <c r="F1875">
        <v>0</v>
      </c>
      <c r="G1875">
        <v>74.677999999999997</v>
      </c>
    </row>
    <row r="1876" spans="1:7" x14ac:dyDescent="0.3">
      <c r="A1876" t="str">
        <f>IF(ISBLANK(B1876),"",IF(ROUND(B1876,0)=ROUND(G1876,0),"Pass","Fail"))</f>
        <v>Pass</v>
      </c>
      <c r="B1876">
        <f t="shared" si="131"/>
        <v>41.341228485107422</v>
      </c>
      <c r="C1876">
        <v>20</v>
      </c>
      <c r="D1876">
        <v>20</v>
      </c>
      <c r="E1876">
        <v>30</v>
      </c>
      <c r="F1876">
        <v>8</v>
      </c>
      <c r="G1876">
        <v>41.341228080722999</v>
      </c>
    </row>
    <row r="1877" spans="1:7" x14ac:dyDescent="0.3">
      <c r="A1877" t="str">
        <f>IF(ISBLANK(B1877),"",IF(ROUND(B1877,0)=ROUND(G1877,0),"Pass","Fail"))</f>
        <v>Pass</v>
      </c>
      <c r="B1877">
        <f t="shared" si="131"/>
        <v>24.55999755859375</v>
      </c>
      <c r="C1877">
        <v>20</v>
      </c>
      <c r="D1877">
        <v>20</v>
      </c>
      <c r="E1877">
        <v>30</v>
      </c>
      <c r="F1877">
        <v>16</v>
      </c>
      <c r="G1877">
        <v>24.559997247101698</v>
      </c>
    </row>
    <row r="1878" spans="1:7" x14ac:dyDescent="0.3">
      <c r="A1878" t="str">
        <f>IF(ISBLANK(B1878),"",IF(ROUND(B1878,0)=ROUND(G1878,0),"Pass","Fail"))</f>
        <v>Pass</v>
      </c>
      <c r="B1878">
        <f t="shared" si="131"/>
        <v>16.112577438354492</v>
      </c>
      <c r="C1878">
        <v>20</v>
      </c>
      <c r="D1878">
        <v>20</v>
      </c>
      <c r="E1878">
        <v>30</v>
      </c>
      <c r="F1878">
        <v>24</v>
      </c>
      <c r="G1878">
        <v>16.112577413736201</v>
      </c>
    </row>
    <row r="1879" spans="1:7" x14ac:dyDescent="0.3">
      <c r="A1879" t="str">
        <f>IF(ISBLANK(B1879),"",IF(ROUND(B1879,0)=ROUND(G1879,0),"Pass","Fail"))</f>
        <v>Pass</v>
      </c>
      <c r="B1879">
        <f t="shared" si="131"/>
        <v>11.860273361206055</v>
      </c>
      <c r="C1879">
        <v>20</v>
      </c>
      <c r="D1879">
        <v>20</v>
      </c>
      <c r="E1879">
        <v>30</v>
      </c>
      <c r="F1879">
        <v>32</v>
      </c>
      <c r="G1879">
        <v>11.8602730059946</v>
      </c>
    </row>
    <row r="1880" spans="1:7" x14ac:dyDescent="0.3">
      <c r="A1880" t="str">
        <f>IF(ISBLANK(B1880),"",IF(ROUND(B1880,0)=ROUND(G1880,0),"Pass","Fail"))</f>
        <v>Pass</v>
      </c>
      <c r="B1880">
        <f t="shared" si="131"/>
        <v>9.7197265625</v>
      </c>
      <c r="C1880">
        <v>20</v>
      </c>
      <c r="D1880">
        <v>20</v>
      </c>
      <c r="E1880">
        <v>30</v>
      </c>
      <c r="F1880">
        <v>40</v>
      </c>
      <c r="G1880">
        <v>9.7197267643271008</v>
      </c>
    </row>
    <row r="1881" spans="1:7" x14ac:dyDescent="0.3">
      <c r="A1881" t="str">
        <f>IF(ISBLANK(B1881),"",IF(ROUND(B1881,0)=ROUND(G1881,0),"Pass","Fail"))</f>
        <v>Pass</v>
      </c>
      <c r="B1881">
        <f t="shared" si="131"/>
        <v>8.6422080993652344</v>
      </c>
      <c r="C1881">
        <v>20</v>
      </c>
      <c r="D1881">
        <v>20</v>
      </c>
      <c r="E1881">
        <v>30</v>
      </c>
      <c r="F1881">
        <v>48</v>
      </c>
      <c r="G1881">
        <v>8.6422079008197201</v>
      </c>
    </row>
    <row r="1882" spans="1:7" x14ac:dyDescent="0.3">
      <c r="A1882" t="str">
        <f>IF(ISBLANK(B1882),"",IF(ROUND(B1882,0)=ROUND(G1882,0),"Pass","Fail"))</f>
        <v>Pass</v>
      </c>
      <c r="B1882">
        <f t="shared" si="131"/>
        <v>74.678001403808594</v>
      </c>
      <c r="C1882">
        <v>20</v>
      </c>
      <c r="D1882">
        <v>20</v>
      </c>
      <c r="E1882">
        <v>40</v>
      </c>
      <c r="F1882">
        <v>0</v>
      </c>
      <c r="G1882">
        <v>74.677999999999997</v>
      </c>
    </row>
    <row r="1883" spans="1:7" x14ac:dyDescent="0.3">
      <c r="A1883" t="str">
        <f>IF(ISBLANK(B1883),"",IF(ROUND(B1883,0)=ROUND(G1883,0),"Pass","Fail"))</f>
        <v>Pass</v>
      </c>
      <c r="B1883">
        <f t="shared" si="131"/>
        <v>41.341228485107422</v>
      </c>
      <c r="C1883">
        <v>20</v>
      </c>
      <c r="D1883">
        <v>20</v>
      </c>
      <c r="E1883">
        <v>40</v>
      </c>
      <c r="F1883">
        <v>8</v>
      </c>
      <c r="G1883">
        <v>41.341228080722999</v>
      </c>
    </row>
    <row r="1884" spans="1:7" x14ac:dyDescent="0.3">
      <c r="A1884" t="str">
        <f>IF(ISBLANK(B1884),"",IF(ROUND(B1884,0)=ROUND(G1884,0),"Pass","Fail"))</f>
        <v>Pass</v>
      </c>
      <c r="B1884">
        <f t="shared" si="131"/>
        <v>24.55999755859375</v>
      </c>
      <c r="C1884">
        <v>20</v>
      </c>
      <c r="D1884">
        <v>20</v>
      </c>
      <c r="E1884">
        <v>40</v>
      </c>
      <c r="F1884">
        <v>16</v>
      </c>
      <c r="G1884">
        <v>24.559997247101698</v>
      </c>
    </row>
    <row r="1885" spans="1:7" x14ac:dyDescent="0.3">
      <c r="A1885" t="str">
        <f>IF(ISBLANK(B1885),"",IF(ROUND(B1885,0)=ROUND(G1885,0),"Pass","Fail"))</f>
        <v>Pass</v>
      </c>
      <c r="B1885">
        <f t="shared" si="131"/>
        <v>16.112577438354492</v>
      </c>
      <c r="C1885">
        <v>20</v>
      </c>
      <c r="D1885">
        <v>20</v>
      </c>
      <c r="E1885">
        <v>40</v>
      </c>
      <c r="F1885">
        <v>24</v>
      </c>
      <c r="G1885">
        <v>16.112577413736201</v>
      </c>
    </row>
    <row r="1886" spans="1:7" x14ac:dyDescent="0.3">
      <c r="A1886" t="str">
        <f>IF(ISBLANK(B1886),"",IF(ROUND(B1886,0)=ROUND(G1886,0),"Pass","Fail"))</f>
        <v>Pass</v>
      </c>
      <c r="B1886">
        <f t="shared" si="131"/>
        <v>11.860273361206055</v>
      </c>
      <c r="C1886">
        <v>20</v>
      </c>
      <c r="D1886">
        <v>20</v>
      </c>
      <c r="E1886">
        <v>40</v>
      </c>
      <c r="F1886">
        <v>32</v>
      </c>
      <c r="G1886">
        <v>11.8602730059946</v>
      </c>
    </row>
    <row r="1887" spans="1:7" x14ac:dyDescent="0.3">
      <c r="A1887" t="str">
        <f>IF(ISBLANK(B1887),"",IF(ROUND(B1887,0)=ROUND(G1887,0),"Pass","Fail"))</f>
        <v>Pass</v>
      </c>
      <c r="B1887">
        <f t="shared" si="131"/>
        <v>9.7197265625</v>
      </c>
      <c r="C1887">
        <v>20</v>
      </c>
      <c r="D1887">
        <v>20</v>
      </c>
      <c r="E1887">
        <v>40</v>
      </c>
      <c r="F1887">
        <v>40</v>
      </c>
      <c r="G1887">
        <v>9.7197267643271008</v>
      </c>
    </row>
    <row r="1888" spans="1:7" x14ac:dyDescent="0.3">
      <c r="A1888" t="str">
        <f>IF(ISBLANK(B1888),"",IF(ROUND(B1888,0)=ROUND(G1888,0),"Pass","Fail"))</f>
        <v>Pass</v>
      </c>
      <c r="B1888">
        <f t="shared" si="131"/>
        <v>8.6422080993652344</v>
      </c>
      <c r="C1888">
        <v>20</v>
      </c>
      <c r="D1888">
        <v>20</v>
      </c>
      <c r="E1888">
        <v>40</v>
      </c>
      <c r="F1888">
        <v>48</v>
      </c>
      <c r="G1888">
        <v>8.6422079008197201</v>
      </c>
    </row>
    <row r="1889" spans="1:7" x14ac:dyDescent="0.3">
      <c r="A1889" t="str">
        <f>IF(ISBLANK(B1889),"",IF(ROUND(B1889,0)=ROUND(G1889,0),"Pass","Fail"))</f>
        <v>Pass</v>
      </c>
      <c r="B1889">
        <f t="shared" si="131"/>
        <v>74.678001403808594</v>
      </c>
      <c r="C1889">
        <v>20</v>
      </c>
      <c r="D1889">
        <v>20</v>
      </c>
      <c r="E1889">
        <v>50</v>
      </c>
      <c r="F1889">
        <v>0</v>
      </c>
      <c r="G1889">
        <v>74.677999999999997</v>
      </c>
    </row>
    <row r="1890" spans="1:7" x14ac:dyDescent="0.3">
      <c r="A1890" t="str">
        <f>IF(ISBLANK(B1890),"",IF(ROUND(B1890,0)=ROUND(G1890,0),"Pass","Fail"))</f>
        <v>Pass</v>
      </c>
      <c r="B1890">
        <f t="shared" si="131"/>
        <v>41.341228485107422</v>
      </c>
      <c r="C1890">
        <v>20</v>
      </c>
      <c r="D1890">
        <v>20</v>
      </c>
      <c r="E1890">
        <v>50</v>
      </c>
      <c r="F1890">
        <v>8</v>
      </c>
      <c r="G1890">
        <v>41.341228080722999</v>
      </c>
    </row>
    <row r="1891" spans="1:7" x14ac:dyDescent="0.3">
      <c r="A1891" t="str">
        <f>IF(ISBLANK(B1891),"",IF(ROUND(B1891,0)=ROUND(G1891,0),"Pass","Fail"))</f>
        <v>Pass</v>
      </c>
      <c r="B1891">
        <f t="shared" si="131"/>
        <v>24.55999755859375</v>
      </c>
      <c r="C1891">
        <v>20</v>
      </c>
      <c r="D1891">
        <v>20</v>
      </c>
      <c r="E1891">
        <v>50</v>
      </c>
      <c r="F1891">
        <v>16</v>
      </c>
      <c r="G1891">
        <v>24.559997247101698</v>
      </c>
    </row>
    <row r="1892" spans="1:7" x14ac:dyDescent="0.3">
      <c r="A1892" t="str">
        <f>IF(ISBLANK(B1892),"",IF(ROUND(B1892,0)=ROUND(G1892,0),"Pass","Fail"))</f>
        <v>Pass</v>
      </c>
      <c r="B1892">
        <f t="shared" si="131"/>
        <v>16.112577438354492</v>
      </c>
      <c r="C1892">
        <v>20</v>
      </c>
      <c r="D1892">
        <v>20</v>
      </c>
      <c r="E1892">
        <v>50</v>
      </c>
      <c r="F1892">
        <v>24</v>
      </c>
      <c r="G1892">
        <v>16.112577413736201</v>
      </c>
    </row>
    <row r="1893" spans="1:7" x14ac:dyDescent="0.3">
      <c r="A1893" t="str">
        <f>IF(ISBLANK(B1893),"",IF(ROUND(B1893,0)=ROUND(G1893,0),"Pass","Fail"))</f>
        <v>Pass</v>
      </c>
      <c r="B1893">
        <f t="shared" si="131"/>
        <v>11.860273361206055</v>
      </c>
      <c r="C1893">
        <v>20</v>
      </c>
      <c r="D1893">
        <v>20</v>
      </c>
      <c r="E1893">
        <v>50</v>
      </c>
      <c r="F1893">
        <v>32</v>
      </c>
      <c r="G1893">
        <v>11.8602730059946</v>
      </c>
    </row>
    <row r="1894" spans="1:7" x14ac:dyDescent="0.3">
      <c r="A1894" t="str">
        <f>IF(ISBLANK(B1894),"",IF(ROUND(B1894,0)=ROUND(G1894,0),"Pass","Fail"))</f>
        <v>Pass</v>
      </c>
      <c r="B1894">
        <f t="shared" si="131"/>
        <v>9.7197265625</v>
      </c>
      <c r="C1894">
        <v>20</v>
      </c>
      <c r="D1894">
        <v>20</v>
      </c>
      <c r="E1894">
        <v>50</v>
      </c>
      <c r="F1894">
        <v>40</v>
      </c>
      <c r="G1894">
        <v>9.7197267643271008</v>
      </c>
    </row>
    <row r="1895" spans="1:7" x14ac:dyDescent="0.3">
      <c r="A1895" t="str">
        <f>IF(ISBLANK(B1895),"",IF(ROUND(B1895,0)=ROUND(G1895,0),"Pass","Fail"))</f>
        <v>Pass</v>
      </c>
      <c r="B1895">
        <f t="shared" si="131"/>
        <v>8.6422080993652344</v>
      </c>
      <c r="C1895">
        <v>20</v>
      </c>
      <c r="D1895">
        <v>20</v>
      </c>
      <c r="E1895">
        <v>50</v>
      </c>
      <c r="F1895">
        <v>48</v>
      </c>
      <c r="G1895">
        <v>8.6422079008197201</v>
      </c>
    </row>
    <row r="1896" spans="1:7" x14ac:dyDescent="0.3">
      <c r="A1896" t="str">
        <f>IF(ISBLANK(B1896),"",IF(ROUND(B1896,0)=ROUND(G1896,0),"Pass","Fail"))</f>
        <v>Pass</v>
      </c>
      <c r="B1896">
        <f t="shared" si="131"/>
        <v>74.678001403808594</v>
      </c>
      <c r="C1896">
        <v>20</v>
      </c>
      <c r="D1896">
        <v>20</v>
      </c>
      <c r="E1896">
        <v>60</v>
      </c>
      <c r="F1896">
        <v>0</v>
      </c>
      <c r="G1896">
        <v>74.677999999999997</v>
      </c>
    </row>
    <row r="1897" spans="1:7" x14ac:dyDescent="0.3">
      <c r="A1897" t="str">
        <f>IF(ISBLANK(B1897),"",IF(ROUND(B1897,0)=ROUND(G1897,0),"Pass","Fail"))</f>
        <v>Pass</v>
      </c>
      <c r="B1897">
        <f t="shared" si="131"/>
        <v>41.341228485107422</v>
      </c>
      <c r="C1897">
        <v>20</v>
      </c>
      <c r="D1897">
        <v>20</v>
      </c>
      <c r="E1897">
        <v>60</v>
      </c>
      <c r="F1897">
        <v>8</v>
      </c>
      <c r="G1897">
        <v>41.341228080722999</v>
      </c>
    </row>
    <row r="1898" spans="1:7" x14ac:dyDescent="0.3">
      <c r="A1898" t="str">
        <f>IF(ISBLANK(B1898),"",IF(ROUND(B1898,0)=ROUND(G1898,0),"Pass","Fail"))</f>
        <v>Pass</v>
      </c>
      <c r="B1898">
        <f t="shared" si="131"/>
        <v>24.55999755859375</v>
      </c>
      <c r="C1898">
        <v>20</v>
      </c>
      <c r="D1898">
        <v>20</v>
      </c>
      <c r="E1898">
        <v>60</v>
      </c>
      <c r="F1898">
        <v>16</v>
      </c>
      <c r="G1898">
        <v>24.559997247101698</v>
      </c>
    </row>
    <row r="1899" spans="1:7" x14ac:dyDescent="0.3">
      <c r="A1899" t="str">
        <f>IF(ISBLANK(B1899),"",IF(ROUND(B1899,0)=ROUND(G1899,0),"Pass","Fail"))</f>
        <v>Pass</v>
      </c>
      <c r="B1899">
        <f t="shared" si="131"/>
        <v>16.112577438354492</v>
      </c>
      <c r="C1899">
        <v>20</v>
      </c>
      <c r="D1899">
        <v>20</v>
      </c>
      <c r="E1899">
        <v>60</v>
      </c>
      <c r="F1899">
        <v>24</v>
      </c>
      <c r="G1899">
        <v>16.112577413736201</v>
      </c>
    </row>
    <row r="1900" spans="1:7" x14ac:dyDescent="0.3">
      <c r="A1900" t="str">
        <f>IF(ISBLANK(B1900),"",IF(ROUND(B1900,0)=ROUND(G1900,0),"Pass","Fail"))</f>
        <v>Pass</v>
      </c>
      <c r="B1900">
        <f t="shared" si="131"/>
        <v>11.860273361206055</v>
      </c>
      <c r="C1900">
        <v>20</v>
      </c>
      <c r="D1900">
        <v>20</v>
      </c>
      <c r="E1900">
        <v>60</v>
      </c>
      <c r="F1900">
        <v>32</v>
      </c>
      <c r="G1900">
        <v>11.8602730059946</v>
      </c>
    </row>
    <row r="1901" spans="1:7" x14ac:dyDescent="0.3">
      <c r="A1901" t="str">
        <f>IF(ISBLANK(B1901),"",IF(ROUND(B1901,0)=ROUND(G1901,0),"Pass","Fail"))</f>
        <v>Pass</v>
      </c>
      <c r="B1901">
        <f t="shared" si="131"/>
        <v>9.7197265625</v>
      </c>
      <c r="C1901">
        <v>20</v>
      </c>
      <c r="D1901">
        <v>20</v>
      </c>
      <c r="E1901">
        <v>60</v>
      </c>
      <c r="F1901">
        <v>40</v>
      </c>
      <c r="G1901">
        <v>9.7197267643271008</v>
      </c>
    </row>
    <row r="1902" spans="1:7" x14ac:dyDescent="0.3">
      <c r="A1902" t="str">
        <f>IF(ISBLANK(B1902),"",IF(ROUND(B1902,0)=ROUND(G1902,0),"Pass","Fail"))</f>
        <v>Pass</v>
      </c>
      <c r="B1902">
        <f t="shared" si="131"/>
        <v>8.6422080993652344</v>
      </c>
      <c r="C1902">
        <v>20</v>
      </c>
      <c r="D1902">
        <v>20</v>
      </c>
      <c r="E1902">
        <v>60</v>
      </c>
      <c r="F1902">
        <v>48</v>
      </c>
      <c r="G1902">
        <v>8.6422079008197201</v>
      </c>
    </row>
    <row r="1903" spans="1:7" x14ac:dyDescent="0.3">
      <c r="A1903" t="str">
        <f>IF(ISBLANK(B1903),"",IF(ROUND(B1903,0)=ROUND(G1903,0),"Pass","Fail"))</f>
        <v>Pass</v>
      </c>
      <c r="B1903">
        <f t="shared" si="131"/>
        <v>74.678001403808594</v>
      </c>
      <c r="C1903">
        <v>20</v>
      </c>
      <c r="D1903">
        <v>20</v>
      </c>
      <c r="E1903">
        <v>70</v>
      </c>
      <c r="F1903">
        <v>0</v>
      </c>
      <c r="G1903">
        <v>74.677999999999997</v>
      </c>
    </row>
    <row r="1904" spans="1:7" x14ac:dyDescent="0.3">
      <c r="A1904" t="str">
        <f>IF(ISBLANK(B1904),"",IF(ROUND(B1904,0)=ROUND(G1904,0),"Pass","Fail"))</f>
        <v>Pass</v>
      </c>
      <c r="B1904">
        <f t="shared" si="131"/>
        <v>41.341228485107422</v>
      </c>
      <c r="C1904">
        <v>20</v>
      </c>
      <c r="D1904">
        <v>20</v>
      </c>
      <c r="E1904">
        <v>70</v>
      </c>
      <c r="F1904">
        <v>8</v>
      </c>
      <c r="G1904">
        <v>41.341228080722999</v>
      </c>
    </row>
    <row r="1905" spans="1:7" x14ac:dyDescent="0.3">
      <c r="A1905" t="str">
        <f>IF(ISBLANK(B1905),"",IF(ROUND(B1905,0)=ROUND(G1905,0),"Pass","Fail"))</f>
        <v>Pass</v>
      </c>
      <c r="B1905">
        <f t="shared" si="131"/>
        <v>24.55999755859375</v>
      </c>
      <c r="C1905">
        <v>20</v>
      </c>
      <c r="D1905">
        <v>20</v>
      </c>
      <c r="E1905">
        <v>70</v>
      </c>
      <c r="F1905">
        <v>16</v>
      </c>
      <c r="G1905">
        <v>24.559997247101698</v>
      </c>
    </row>
    <row r="1906" spans="1:7" x14ac:dyDescent="0.3">
      <c r="A1906" t="str">
        <f>IF(ISBLANK(B1906),"",IF(ROUND(B1906,0)=ROUND(G1906,0),"Pass","Fail"))</f>
        <v>Pass</v>
      </c>
      <c r="B1906">
        <f t="shared" si="131"/>
        <v>16.112577438354492</v>
      </c>
      <c r="C1906">
        <v>20</v>
      </c>
      <c r="D1906">
        <v>20</v>
      </c>
      <c r="E1906">
        <v>70</v>
      </c>
      <c r="F1906">
        <v>24</v>
      </c>
      <c r="G1906">
        <v>16.112577413736201</v>
      </c>
    </row>
    <row r="1907" spans="1:7" x14ac:dyDescent="0.3">
      <c r="A1907" t="str">
        <f>IF(ISBLANK(B1907),"",IF(ROUND(B1907,0)=ROUND(G1907,0),"Pass","Fail"))</f>
        <v>Pass</v>
      </c>
      <c r="B1907">
        <f t="shared" si="131"/>
        <v>11.860273361206055</v>
      </c>
      <c r="C1907">
        <v>20</v>
      </c>
      <c r="D1907">
        <v>20</v>
      </c>
      <c r="E1907">
        <v>70</v>
      </c>
      <c r="F1907">
        <v>32</v>
      </c>
      <c r="G1907">
        <v>11.8602730059946</v>
      </c>
    </row>
    <row r="1908" spans="1:7" x14ac:dyDescent="0.3">
      <c r="A1908" t="str">
        <f>IF(ISBLANK(B1908),"",IF(ROUND(B1908,0)=ROUND(G1908,0),"Pass","Fail"))</f>
        <v>Pass</v>
      </c>
      <c r="B1908">
        <f t="shared" si="131"/>
        <v>9.7197265625</v>
      </c>
      <c r="C1908">
        <v>20</v>
      </c>
      <c r="D1908">
        <v>20</v>
      </c>
      <c r="E1908">
        <v>70</v>
      </c>
      <c r="F1908">
        <v>40</v>
      </c>
      <c r="G1908">
        <v>9.7197267643271008</v>
      </c>
    </row>
    <row r="1909" spans="1:7" x14ac:dyDescent="0.3">
      <c r="A1909" t="str">
        <f>IF(ISBLANK(B1909),"",IF(ROUND(B1909,0)=ROUND(G1909,0),"Pass","Fail"))</f>
        <v>Pass</v>
      </c>
      <c r="B1909">
        <f t="shared" si="131"/>
        <v>8.6422080993652344</v>
      </c>
      <c r="C1909">
        <v>20</v>
      </c>
      <c r="D1909">
        <v>20</v>
      </c>
      <c r="E1909">
        <v>70</v>
      </c>
      <c r="F1909">
        <v>48</v>
      </c>
      <c r="G1909">
        <v>8.6422079008197201</v>
      </c>
    </row>
    <row r="1910" spans="1:7" x14ac:dyDescent="0.3">
      <c r="A1910" t="str">
        <f>IF(ISBLANK(B1910),"",IF(ROUND(B1910,0)=ROUND(G1910,0),"Pass","Fail"))</f>
        <v>Pass</v>
      </c>
      <c r="B1910">
        <f t="shared" si="131"/>
        <v>74.678001403808594</v>
      </c>
      <c r="C1910">
        <v>20</v>
      </c>
      <c r="D1910">
        <v>20</v>
      </c>
      <c r="E1910">
        <v>80</v>
      </c>
      <c r="F1910">
        <v>0</v>
      </c>
      <c r="G1910">
        <v>74.677999999999997</v>
      </c>
    </row>
    <row r="1911" spans="1:7" x14ac:dyDescent="0.3">
      <c r="A1911" t="str">
        <f>IF(ISBLANK(B1911),"",IF(ROUND(B1911,0)=ROUND(G1911,0),"Pass","Fail"))</f>
        <v>Pass</v>
      </c>
      <c r="B1911">
        <f t="shared" si="131"/>
        <v>41.341228485107422</v>
      </c>
      <c r="C1911">
        <v>20</v>
      </c>
      <c r="D1911">
        <v>20</v>
      </c>
      <c r="E1911">
        <v>80</v>
      </c>
      <c r="F1911">
        <v>8</v>
      </c>
      <c r="G1911">
        <v>41.341228080722999</v>
      </c>
    </row>
    <row r="1912" spans="1:7" x14ac:dyDescent="0.3">
      <c r="A1912" t="str">
        <f>IF(ISBLANK(B1912),"",IF(ROUND(B1912,0)=ROUND(G1912,0),"Pass","Fail"))</f>
        <v>Pass</v>
      </c>
      <c r="B1912">
        <f t="shared" si="131"/>
        <v>24.55999755859375</v>
      </c>
      <c r="C1912">
        <v>20</v>
      </c>
      <c r="D1912">
        <v>20</v>
      </c>
      <c r="E1912">
        <v>80</v>
      </c>
      <c r="F1912">
        <v>16</v>
      </c>
      <c r="G1912">
        <v>24.559997247101698</v>
      </c>
    </row>
    <row r="1913" spans="1:7" x14ac:dyDescent="0.3">
      <c r="A1913" t="str">
        <f>IF(ISBLANK(B1913),"",IF(ROUND(B1913,0)=ROUND(G1913,0),"Pass","Fail"))</f>
        <v>Pass</v>
      </c>
      <c r="B1913">
        <f t="shared" si="131"/>
        <v>16.112577438354492</v>
      </c>
      <c r="C1913">
        <v>20</v>
      </c>
      <c r="D1913">
        <v>20</v>
      </c>
      <c r="E1913">
        <v>80</v>
      </c>
      <c r="F1913">
        <v>24</v>
      </c>
      <c r="G1913">
        <v>16.112577413736201</v>
      </c>
    </row>
    <row r="1914" spans="1:7" x14ac:dyDescent="0.3">
      <c r="A1914" t="str">
        <f>IF(ISBLANK(B1914),"",IF(ROUND(B1914,0)=ROUND(G1914,0),"Pass","Fail"))</f>
        <v>Pass</v>
      </c>
      <c r="B1914">
        <f t="shared" si="131"/>
        <v>11.860273361206055</v>
      </c>
      <c r="C1914">
        <v>20</v>
      </c>
      <c r="D1914">
        <v>20</v>
      </c>
      <c r="E1914">
        <v>80</v>
      </c>
      <c r="F1914">
        <v>32</v>
      </c>
      <c r="G1914">
        <v>11.8602730059946</v>
      </c>
    </row>
    <row r="1915" spans="1:7" x14ac:dyDescent="0.3">
      <c r="A1915" t="str">
        <f>IF(ISBLANK(B1915),"",IF(ROUND(B1915,0)=ROUND(G1915,0),"Pass","Fail"))</f>
        <v>Pass</v>
      </c>
      <c r="B1915">
        <f t="shared" si="131"/>
        <v>9.7197265625</v>
      </c>
      <c r="C1915">
        <v>20</v>
      </c>
      <c r="D1915">
        <v>20</v>
      </c>
      <c r="E1915">
        <v>80</v>
      </c>
      <c r="F1915">
        <v>40</v>
      </c>
      <c r="G1915">
        <v>9.7197267643271008</v>
      </c>
    </row>
    <row r="1916" spans="1:7" x14ac:dyDescent="0.3">
      <c r="A1916" t="str">
        <f>IF(ISBLANK(B1916),"",IF(ROUND(B1916,0)=ROUND(G1916,0),"Pass","Fail"))</f>
        <v>Pass</v>
      </c>
      <c r="B1916">
        <f t="shared" si="131"/>
        <v>8.6422080993652344</v>
      </c>
      <c r="C1916">
        <v>20</v>
      </c>
      <c r="D1916">
        <v>20</v>
      </c>
      <c r="E1916">
        <v>80</v>
      </c>
      <c r="F1916">
        <v>48</v>
      </c>
      <c r="G1916">
        <v>8.6422079008197201</v>
      </c>
    </row>
    <row r="1917" spans="1:7" x14ac:dyDescent="0.3">
      <c r="A1917" t="str">
        <f>IF(ISBLANK(B1917),"",IF(ROUND(B1917,0)=ROUND(G1917,0),"Pass","Fail"))</f>
        <v>Pass</v>
      </c>
      <c r="B1917">
        <f t="shared" si="131"/>
        <v>74.678001403808594</v>
      </c>
      <c r="C1917">
        <v>20</v>
      </c>
      <c r="D1917">
        <v>20</v>
      </c>
      <c r="E1917">
        <v>90</v>
      </c>
      <c r="F1917">
        <v>0</v>
      </c>
      <c r="G1917">
        <v>74.677999999999997</v>
      </c>
    </row>
    <row r="1918" spans="1:7" x14ac:dyDescent="0.3">
      <c r="A1918" t="str">
        <f>IF(ISBLANK(B1918),"",IF(ROUND(B1918,0)=ROUND(G1918,0),"Pass","Fail"))</f>
        <v>Pass</v>
      </c>
      <c r="B1918">
        <f t="shared" si="131"/>
        <v>41.341228485107422</v>
      </c>
      <c r="C1918">
        <v>20</v>
      </c>
      <c r="D1918">
        <v>20</v>
      </c>
      <c r="E1918">
        <v>90</v>
      </c>
      <c r="F1918">
        <v>8</v>
      </c>
      <c r="G1918">
        <v>41.341228080722999</v>
      </c>
    </row>
    <row r="1919" spans="1:7" x14ac:dyDescent="0.3">
      <c r="A1919" t="str">
        <f>IF(ISBLANK(B1919),"",IF(ROUND(B1919,0)=ROUND(G1919,0),"Pass","Fail"))</f>
        <v>Pass</v>
      </c>
      <c r="B1919">
        <f t="shared" si="131"/>
        <v>24.55999755859375</v>
      </c>
      <c r="C1919">
        <v>20</v>
      </c>
      <c r="D1919">
        <v>20</v>
      </c>
      <c r="E1919">
        <v>90</v>
      </c>
      <c r="F1919">
        <v>16</v>
      </c>
      <c r="G1919">
        <v>24.559997247101698</v>
      </c>
    </row>
    <row r="1920" spans="1:7" x14ac:dyDescent="0.3">
      <c r="A1920" t="str">
        <f>IF(ISBLANK(B1920),"",IF(ROUND(B1920,0)=ROUND(G1920,0),"Pass","Fail"))</f>
        <v>Pass</v>
      </c>
      <c r="B1920">
        <f t="shared" si="131"/>
        <v>16.112577438354492</v>
      </c>
      <c r="C1920">
        <v>20</v>
      </c>
      <c r="D1920">
        <v>20</v>
      </c>
      <c r="E1920">
        <v>90</v>
      </c>
      <c r="F1920">
        <v>24</v>
      </c>
      <c r="G1920">
        <v>16.112577413736201</v>
      </c>
    </row>
    <row r="1921" spans="1:7" x14ac:dyDescent="0.3">
      <c r="A1921" t="str">
        <f>IF(ISBLANK(B1921),"",IF(ROUND(B1921,0)=ROUND(G1921,0),"Pass","Fail"))</f>
        <v>Pass</v>
      </c>
      <c r="B1921">
        <f t="shared" si="131"/>
        <v>11.860273361206055</v>
      </c>
      <c r="C1921">
        <v>20</v>
      </c>
      <c r="D1921">
        <v>20</v>
      </c>
      <c r="E1921">
        <v>90</v>
      </c>
      <c r="F1921">
        <v>32</v>
      </c>
      <c r="G1921">
        <v>11.8602730059946</v>
      </c>
    </row>
    <row r="1922" spans="1:7" x14ac:dyDescent="0.3">
      <c r="A1922" t="str">
        <f>IF(ISBLANK(B1922),"",IF(ROUND(B1922,0)=ROUND(G1922,0),"Pass","Fail"))</f>
        <v>Pass</v>
      </c>
      <c r="B1922">
        <f t="shared" si="131"/>
        <v>9.7197265625</v>
      </c>
      <c r="C1922">
        <v>20</v>
      </c>
      <c r="D1922">
        <v>20</v>
      </c>
      <c r="E1922">
        <v>90</v>
      </c>
      <c r="F1922">
        <v>40</v>
      </c>
      <c r="G1922">
        <v>9.7197267643271008</v>
      </c>
    </row>
    <row r="1923" spans="1:7" x14ac:dyDescent="0.3">
      <c r="A1923" t="str">
        <f>IF(ISBLANK(B1923),"",IF(ROUND(B1923,0)=ROUND(G1923,0),"Pass","Fail"))</f>
        <v>Pass</v>
      </c>
      <c r="B1923">
        <f t="shared" si="131"/>
        <v>8.6422080993652344</v>
      </c>
      <c r="C1923">
        <v>20</v>
      </c>
      <c r="D1923">
        <v>20</v>
      </c>
      <c r="E1923">
        <v>90</v>
      </c>
      <c r="F1923">
        <v>48</v>
      </c>
      <c r="G1923">
        <v>8.6422079008197201</v>
      </c>
    </row>
    <row r="1924" spans="1:7" x14ac:dyDescent="0.3">
      <c r="A1924" t="str">
        <f>IF(ISBLANK(B1924),"",IF(ROUND(B1924,0)=ROUND(G1924,0),"Pass","Fail"))</f>
        <v>Pass</v>
      </c>
      <c r="B1924">
        <f t="shared" si="131"/>
        <v>74.678001403808594</v>
      </c>
      <c r="C1924">
        <v>20</v>
      </c>
      <c r="D1924">
        <v>20</v>
      </c>
      <c r="E1924">
        <v>100</v>
      </c>
      <c r="F1924">
        <v>0</v>
      </c>
      <c r="G1924">
        <v>74.677999999999997</v>
      </c>
    </row>
    <row r="1925" spans="1:7" x14ac:dyDescent="0.3">
      <c r="A1925" t="str">
        <f>IF(ISBLANK(B1925),"",IF(ROUND(B1925,0)=ROUND(G1925,0),"Pass","Fail"))</f>
        <v>Pass</v>
      </c>
      <c r="B1925">
        <f t="shared" si="131"/>
        <v>41.341228485107422</v>
      </c>
      <c r="C1925">
        <v>20</v>
      </c>
      <c r="D1925">
        <v>20</v>
      </c>
      <c r="E1925">
        <v>100</v>
      </c>
      <c r="F1925">
        <v>8</v>
      </c>
      <c r="G1925">
        <v>41.341228080722999</v>
      </c>
    </row>
    <row r="1926" spans="1:7" x14ac:dyDescent="0.3">
      <c r="A1926" t="str">
        <f>IF(ISBLANK(B1926),"",IF(ROUND(B1926,0)=ROUND(G1926,0),"Pass","Fail"))</f>
        <v>Pass</v>
      </c>
      <c r="B1926">
        <f t="shared" si="131"/>
        <v>24.55999755859375</v>
      </c>
      <c r="C1926">
        <v>20</v>
      </c>
      <c r="D1926">
        <v>20</v>
      </c>
      <c r="E1926">
        <v>100</v>
      </c>
      <c r="F1926">
        <v>16</v>
      </c>
      <c r="G1926">
        <v>24.559997247101698</v>
      </c>
    </row>
    <row r="1927" spans="1:7" x14ac:dyDescent="0.3">
      <c r="A1927" t="str">
        <f>IF(ISBLANK(B1927),"",IF(ROUND(B1927,0)=ROUND(G1927,0),"Pass","Fail"))</f>
        <v>Pass</v>
      </c>
      <c r="B1927">
        <f t="shared" ref="B1927:B1990" si="132">FMC_heath(C1927,D1927,E1927,F1927)</f>
        <v>16.112577438354492</v>
      </c>
      <c r="C1927">
        <v>20</v>
      </c>
      <c r="D1927">
        <v>20</v>
      </c>
      <c r="E1927">
        <v>100</v>
      </c>
      <c r="F1927">
        <v>24</v>
      </c>
      <c r="G1927">
        <v>16.112577413736201</v>
      </c>
    </row>
    <row r="1928" spans="1:7" x14ac:dyDescent="0.3">
      <c r="A1928" t="str">
        <f>IF(ISBLANK(B1928),"",IF(ROUND(B1928,0)=ROUND(G1928,0),"Pass","Fail"))</f>
        <v>Pass</v>
      </c>
      <c r="B1928">
        <f t="shared" si="132"/>
        <v>11.860273361206055</v>
      </c>
      <c r="C1928">
        <v>20</v>
      </c>
      <c r="D1928">
        <v>20</v>
      </c>
      <c r="E1928">
        <v>100</v>
      </c>
      <c r="F1928">
        <v>32</v>
      </c>
      <c r="G1928">
        <v>11.8602730059946</v>
      </c>
    </row>
    <row r="1929" spans="1:7" x14ac:dyDescent="0.3">
      <c r="A1929" t="str">
        <f>IF(ISBLANK(B1929),"",IF(ROUND(B1929,0)=ROUND(G1929,0),"Pass","Fail"))</f>
        <v>Pass</v>
      </c>
      <c r="B1929">
        <f t="shared" si="132"/>
        <v>9.7197265625</v>
      </c>
      <c r="C1929">
        <v>20</v>
      </c>
      <c r="D1929">
        <v>20</v>
      </c>
      <c r="E1929">
        <v>100</v>
      </c>
      <c r="F1929">
        <v>40</v>
      </c>
      <c r="G1929">
        <v>9.7197267643271008</v>
      </c>
    </row>
    <row r="1930" spans="1:7" x14ac:dyDescent="0.3">
      <c r="A1930" t="str">
        <f>IF(ISBLANK(B1930),"",IF(ROUND(B1930,0)=ROUND(G1930,0),"Pass","Fail"))</f>
        <v>Pass</v>
      </c>
      <c r="B1930">
        <f t="shared" si="132"/>
        <v>8.6422080993652344</v>
      </c>
      <c r="C1930">
        <v>20</v>
      </c>
      <c r="D1930">
        <v>20</v>
      </c>
      <c r="E1930">
        <v>100</v>
      </c>
      <c r="F1930">
        <v>48</v>
      </c>
      <c r="G1930">
        <v>8.6422079008197201</v>
      </c>
    </row>
    <row r="1931" spans="1:7" x14ac:dyDescent="0.3">
      <c r="A1931" t="str">
        <f>IF(ISBLANK(B1931),"",IF(ROUND(B1931,0)=ROUND(G1931,0),"Pass","Fail"))</f>
        <v>Pass</v>
      </c>
      <c r="B1931">
        <f t="shared" si="132"/>
        <v>8.8899993896484375</v>
      </c>
      <c r="C1931">
        <v>20</v>
      </c>
      <c r="D1931">
        <v>30</v>
      </c>
      <c r="E1931">
        <v>0</v>
      </c>
      <c r="F1931">
        <v>0</v>
      </c>
      <c r="G1931">
        <v>8.8899999999999899</v>
      </c>
    </row>
    <row r="1932" spans="1:7" x14ac:dyDescent="0.3">
      <c r="A1932" t="str">
        <f>IF(ISBLANK(B1932),"",IF(ROUND(B1932,0)=ROUND(G1932,0),"Pass","Fail"))</f>
        <v>Pass</v>
      </c>
      <c r="B1932">
        <f t="shared" si="132"/>
        <v>8.8899993896484375</v>
      </c>
      <c r="C1932">
        <v>20</v>
      </c>
      <c r="D1932">
        <v>30</v>
      </c>
      <c r="E1932">
        <v>0</v>
      </c>
      <c r="F1932">
        <v>8</v>
      </c>
      <c r="G1932">
        <v>8.8899999999999899</v>
      </c>
    </row>
    <row r="1933" spans="1:7" x14ac:dyDescent="0.3">
      <c r="A1933" t="str">
        <f>IF(ISBLANK(B1933),"",IF(ROUND(B1933,0)=ROUND(G1933,0),"Pass","Fail"))</f>
        <v>Pass</v>
      </c>
      <c r="B1933">
        <f t="shared" si="132"/>
        <v>8.8899993896484375</v>
      </c>
      <c r="C1933">
        <v>20</v>
      </c>
      <c r="D1933">
        <v>30</v>
      </c>
      <c r="E1933">
        <v>0</v>
      </c>
      <c r="F1933">
        <v>16</v>
      </c>
      <c r="G1933">
        <v>8.8899999999999899</v>
      </c>
    </row>
    <row r="1934" spans="1:7" x14ac:dyDescent="0.3">
      <c r="A1934" t="str">
        <f>IF(ISBLANK(B1934),"",IF(ROUND(B1934,0)=ROUND(G1934,0),"Pass","Fail"))</f>
        <v>Pass</v>
      </c>
      <c r="B1934">
        <f t="shared" si="132"/>
        <v>8.8899993896484375</v>
      </c>
      <c r="C1934">
        <v>20</v>
      </c>
      <c r="D1934">
        <v>30</v>
      </c>
      <c r="E1934">
        <v>0</v>
      </c>
      <c r="F1934">
        <v>24</v>
      </c>
      <c r="G1934">
        <v>8.8899999999999899</v>
      </c>
    </row>
    <row r="1935" spans="1:7" x14ac:dyDescent="0.3">
      <c r="A1935" t="str">
        <f>IF(ISBLANK(B1935),"",IF(ROUND(B1935,0)=ROUND(G1935,0),"Pass","Fail"))</f>
        <v>Pass</v>
      </c>
      <c r="B1935">
        <f t="shared" si="132"/>
        <v>8.8899993896484375</v>
      </c>
      <c r="C1935">
        <v>20</v>
      </c>
      <c r="D1935">
        <v>30</v>
      </c>
      <c r="E1935">
        <v>0</v>
      </c>
      <c r="F1935">
        <v>32</v>
      </c>
      <c r="G1935">
        <v>8.8899999999999899</v>
      </c>
    </row>
    <row r="1936" spans="1:7" x14ac:dyDescent="0.3">
      <c r="A1936" t="str">
        <f>IF(ISBLANK(B1936),"",IF(ROUND(B1936,0)=ROUND(G1936,0),"Pass","Fail"))</f>
        <v>Pass</v>
      </c>
      <c r="B1936">
        <f t="shared" si="132"/>
        <v>8.8899993896484375</v>
      </c>
      <c r="C1936">
        <v>20</v>
      </c>
      <c r="D1936">
        <v>30</v>
      </c>
      <c r="E1936">
        <v>0</v>
      </c>
      <c r="F1936">
        <v>40</v>
      </c>
      <c r="G1936">
        <v>8.8899999999999899</v>
      </c>
    </row>
    <row r="1937" spans="1:7" x14ac:dyDescent="0.3">
      <c r="A1937" t="str">
        <f>IF(ISBLANK(B1937),"",IF(ROUND(B1937,0)=ROUND(G1937,0),"Pass","Fail"))</f>
        <v>Pass</v>
      </c>
      <c r="B1937">
        <f t="shared" si="132"/>
        <v>8.8899993896484375</v>
      </c>
      <c r="C1937">
        <v>20</v>
      </c>
      <c r="D1937">
        <v>30</v>
      </c>
      <c r="E1937">
        <v>0</v>
      </c>
      <c r="F1937">
        <v>48</v>
      </c>
      <c r="G1937">
        <v>8.8899999999999899</v>
      </c>
    </row>
    <row r="1938" spans="1:7" x14ac:dyDescent="0.3">
      <c r="A1938" t="str">
        <f>IF(ISBLANK(B1938),"",IF(ROUND(B1938,0)=ROUND(G1938,0),"Pass","Fail"))</f>
        <v>Pass</v>
      </c>
      <c r="B1938">
        <f t="shared" si="132"/>
        <v>76.017997741699219</v>
      </c>
      <c r="C1938">
        <v>20</v>
      </c>
      <c r="D1938">
        <v>30</v>
      </c>
      <c r="E1938">
        <v>10</v>
      </c>
      <c r="F1938">
        <v>0</v>
      </c>
      <c r="G1938">
        <v>76.017999999998295</v>
      </c>
    </row>
    <row r="1939" spans="1:7" x14ac:dyDescent="0.3">
      <c r="A1939" t="str">
        <f>IF(ISBLANK(B1939),"",IF(ROUND(B1939,0)=ROUND(G1939,0),"Pass","Fail"))</f>
        <v>Pass</v>
      </c>
      <c r="B1939">
        <f t="shared" si="132"/>
        <v>42.681228637695313</v>
      </c>
      <c r="C1939">
        <v>20</v>
      </c>
      <c r="D1939">
        <v>30</v>
      </c>
      <c r="E1939">
        <v>10</v>
      </c>
      <c r="F1939">
        <v>8</v>
      </c>
      <c r="G1939">
        <v>42.6812280807222</v>
      </c>
    </row>
    <row r="1940" spans="1:7" x14ac:dyDescent="0.3">
      <c r="A1940" t="str">
        <f>IF(ISBLANK(B1940),"",IF(ROUND(B1940,0)=ROUND(G1940,0),"Pass","Fail"))</f>
        <v>Pass</v>
      </c>
      <c r="B1940">
        <f t="shared" si="132"/>
        <v>25.899995803833008</v>
      </c>
      <c r="C1940">
        <v>20</v>
      </c>
      <c r="D1940">
        <v>30</v>
      </c>
      <c r="E1940">
        <v>10</v>
      </c>
      <c r="F1940">
        <v>16</v>
      </c>
      <c r="G1940">
        <v>25.8999972471013</v>
      </c>
    </row>
    <row r="1941" spans="1:7" x14ac:dyDescent="0.3">
      <c r="A1941" t="str">
        <f>IF(ISBLANK(B1941),"",IF(ROUND(B1941,0)=ROUND(G1941,0),"Pass","Fail"))</f>
        <v>Pass</v>
      </c>
      <c r="B1941">
        <f t="shared" si="132"/>
        <v>17.45257568359375</v>
      </c>
      <c r="C1941">
        <v>20</v>
      </c>
      <c r="D1941">
        <v>30</v>
      </c>
      <c r="E1941">
        <v>10</v>
      </c>
      <c r="F1941">
        <v>24</v>
      </c>
      <c r="G1941">
        <v>17.452577413736002</v>
      </c>
    </row>
    <row r="1942" spans="1:7" x14ac:dyDescent="0.3">
      <c r="A1942" t="str">
        <f>IF(ISBLANK(B1942),"",IF(ROUND(B1942,0)=ROUND(G1942,0),"Pass","Fail"))</f>
        <v>Pass</v>
      </c>
      <c r="B1942">
        <f t="shared" si="132"/>
        <v>13.200272560119629</v>
      </c>
      <c r="C1942">
        <v>20</v>
      </c>
      <c r="D1942">
        <v>30</v>
      </c>
      <c r="E1942">
        <v>10</v>
      </c>
      <c r="F1942">
        <v>32</v>
      </c>
      <c r="G1942">
        <v>13.2002730059945</v>
      </c>
    </row>
    <row r="1943" spans="1:7" x14ac:dyDescent="0.3">
      <c r="A1943" t="str">
        <f>IF(ISBLANK(B1943),"",IF(ROUND(B1943,0)=ROUND(G1943,0),"Pass","Fail"))</f>
        <v>Pass</v>
      </c>
      <c r="B1943">
        <f t="shared" si="132"/>
        <v>11.059726715087891</v>
      </c>
      <c r="C1943">
        <v>20</v>
      </c>
      <c r="D1943">
        <v>30</v>
      </c>
      <c r="E1943">
        <v>10</v>
      </c>
      <c r="F1943">
        <v>40</v>
      </c>
      <c r="G1943">
        <v>11.059726764326999</v>
      </c>
    </row>
    <row r="1944" spans="1:7" x14ac:dyDescent="0.3">
      <c r="A1944" t="str">
        <f>IF(ISBLANK(B1944),"",IF(ROUND(B1944,0)=ROUND(G1944,0),"Pass","Fail"))</f>
        <v>Pass</v>
      </c>
      <c r="B1944">
        <f t="shared" si="132"/>
        <v>9.9822072982788086</v>
      </c>
      <c r="C1944">
        <v>20</v>
      </c>
      <c r="D1944">
        <v>30</v>
      </c>
      <c r="E1944">
        <v>10</v>
      </c>
      <c r="F1944">
        <v>48</v>
      </c>
      <c r="G1944">
        <v>9.9822079008196898</v>
      </c>
    </row>
    <row r="1945" spans="1:7" x14ac:dyDescent="0.3">
      <c r="A1945" t="str">
        <f>IF(ISBLANK(B1945),"",IF(ROUND(B1945,0)=ROUND(G1945,0),"Pass","Fail"))</f>
        <v>Pass</v>
      </c>
      <c r="B1945">
        <f t="shared" si="132"/>
        <v>76.017997741699219</v>
      </c>
      <c r="C1945">
        <v>20</v>
      </c>
      <c r="D1945">
        <v>30</v>
      </c>
      <c r="E1945">
        <v>20</v>
      </c>
      <c r="F1945">
        <v>0</v>
      </c>
      <c r="G1945">
        <v>76.018000000000001</v>
      </c>
    </row>
    <row r="1946" spans="1:7" x14ac:dyDescent="0.3">
      <c r="A1946" t="str">
        <f>IF(ISBLANK(B1946),"",IF(ROUND(B1946,0)=ROUND(G1946,0),"Pass","Fail"))</f>
        <v>Pass</v>
      </c>
      <c r="B1946">
        <f t="shared" si="132"/>
        <v>42.681228637695313</v>
      </c>
      <c r="C1946">
        <v>20</v>
      </c>
      <c r="D1946">
        <v>30</v>
      </c>
      <c r="E1946">
        <v>20</v>
      </c>
      <c r="F1946">
        <v>8</v>
      </c>
      <c r="G1946">
        <v>42.681228080723002</v>
      </c>
    </row>
    <row r="1947" spans="1:7" x14ac:dyDescent="0.3">
      <c r="A1947" t="str">
        <f>IF(ISBLANK(B1947),"",IF(ROUND(B1947,0)=ROUND(G1947,0),"Pass","Fail"))</f>
        <v>Pass</v>
      </c>
      <c r="B1947">
        <f t="shared" si="132"/>
        <v>25.899995803833008</v>
      </c>
      <c r="C1947">
        <v>20</v>
      </c>
      <c r="D1947">
        <v>30</v>
      </c>
      <c r="E1947">
        <v>20</v>
      </c>
      <c r="F1947">
        <v>16</v>
      </c>
      <c r="G1947">
        <v>25.899997247101702</v>
      </c>
    </row>
    <row r="1948" spans="1:7" x14ac:dyDescent="0.3">
      <c r="A1948" t="str">
        <f>IF(ISBLANK(B1948),"",IF(ROUND(B1948,0)=ROUND(G1948,0),"Pass","Fail"))</f>
        <v>Pass</v>
      </c>
      <c r="B1948">
        <f t="shared" si="132"/>
        <v>17.45257568359375</v>
      </c>
      <c r="C1948">
        <v>20</v>
      </c>
      <c r="D1948">
        <v>30</v>
      </c>
      <c r="E1948">
        <v>20</v>
      </c>
      <c r="F1948">
        <v>24</v>
      </c>
      <c r="G1948">
        <v>17.452577413736201</v>
      </c>
    </row>
    <row r="1949" spans="1:7" x14ac:dyDescent="0.3">
      <c r="A1949" t="str">
        <f>IF(ISBLANK(B1949),"",IF(ROUND(B1949,0)=ROUND(G1949,0),"Pass","Fail"))</f>
        <v>Pass</v>
      </c>
      <c r="B1949">
        <f t="shared" si="132"/>
        <v>13.200272560119629</v>
      </c>
      <c r="C1949">
        <v>20</v>
      </c>
      <c r="D1949">
        <v>30</v>
      </c>
      <c r="E1949">
        <v>20</v>
      </c>
      <c r="F1949">
        <v>32</v>
      </c>
      <c r="G1949">
        <v>13.2002730059946</v>
      </c>
    </row>
    <row r="1950" spans="1:7" x14ac:dyDescent="0.3">
      <c r="A1950" t="str">
        <f>IF(ISBLANK(B1950),"",IF(ROUND(B1950,0)=ROUND(G1950,0),"Pass","Fail"))</f>
        <v>Pass</v>
      </c>
      <c r="B1950">
        <f t="shared" si="132"/>
        <v>11.059726715087891</v>
      </c>
      <c r="C1950">
        <v>20</v>
      </c>
      <c r="D1950">
        <v>30</v>
      </c>
      <c r="E1950">
        <v>20</v>
      </c>
      <c r="F1950">
        <v>40</v>
      </c>
      <c r="G1950">
        <v>11.059726764327101</v>
      </c>
    </row>
    <row r="1951" spans="1:7" x14ac:dyDescent="0.3">
      <c r="A1951" t="str">
        <f>IF(ISBLANK(B1951),"",IF(ROUND(B1951,0)=ROUND(G1951,0),"Pass","Fail"))</f>
        <v>Pass</v>
      </c>
      <c r="B1951">
        <f t="shared" si="132"/>
        <v>9.9822072982788086</v>
      </c>
      <c r="C1951">
        <v>20</v>
      </c>
      <c r="D1951">
        <v>30</v>
      </c>
      <c r="E1951">
        <v>20</v>
      </c>
      <c r="F1951">
        <v>48</v>
      </c>
      <c r="G1951">
        <v>9.98220790081972</v>
      </c>
    </row>
    <row r="1952" spans="1:7" x14ac:dyDescent="0.3">
      <c r="A1952" t="str">
        <f>IF(ISBLANK(B1952),"",IF(ROUND(B1952,0)=ROUND(G1952,0),"Pass","Fail"))</f>
        <v>Pass</v>
      </c>
      <c r="B1952">
        <f t="shared" si="132"/>
        <v>76.017997741699219</v>
      </c>
      <c r="C1952">
        <v>20</v>
      </c>
      <c r="D1952">
        <v>30</v>
      </c>
      <c r="E1952">
        <v>30</v>
      </c>
      <c r="F1952">
        <v>0</v>
      </c>
      <c r="G1952">
        <v>76.018000000000001</v>
      </c>
    </row>
    <row r="1953" spans="1:7" x14ac:dyDescent="0.3">
      <c r="A1953" t="str">
        <f>IF(ISBLANK(B1953),"",IF(ROUND(B1953,0)=ROUND(G1953,0),"Pass","Fail"))</f>
        <v>Pass</v>
      </c>
      <c r="B1953">
        <f t="shared" si="132"/>
        <v>42.681228637695313</v>
      </c>
      <c r="C1953">
        <v>20</v>
      </c>
      <c r="D1953">
        <v>30</v>
      </c>
      <c r="E1953">
        <v>30</v>
      </c>
      <c r="F1953">
        <v>8</v>
      </c>
      <c r="G1953">
        <v>42.681228080723002</v>
      </c>
    </row>
    <row r="1954" spans="1:7" x14ac:dyDescent="0.3">
      <c r="A1954" t="str">
        <f>IF(ISBLANK(B1954),"",IF(ROUND(B1954,0)=ROUND(G1954,0),"Pass","Fail"))</f>
        <v>Pass</v>
      </c>
      <c r="B1954">
        <f t="shared" si="132"/>
        <v>25.899995803833008</v>
      </c>
      <c r="C1954">
        <v>20</v>
      </c>
      <c r="D1954">
        <v>30</v>
      </c>
      <c r="E1954">
        <v>30</v>
      </c>
      <c r="F1954">
        <v>16</v>
      </c>
      <c r="G1954">
        <v>25.899997247101702</v>
      </c>
    </row>
    <row r="1955" spans="1:7" x14ac:dyDescent="0.3">
      <c r="A1955" t="str">
        <f>IF(ISBLANK(B1955),"",IF(ROUND(B1955,0)=ROUND(G1955,0),"Pass","Fail"))</f>
        <v>Pass</v>
      </c>
      <c r="B1955">
        <f t="shared" si="132"/>
        <v>17.45257568359375</v>
      </c>
      <c r="C1955">
        <v>20</v>
      </c>
      <c r="D1955">
        <v>30</v>
      </c>
      <c r="E1955">
        <v>30</v>
      </c>
      <c r="F1955">
        <v>24</v>
      </c>
      <c r="G1955">
        <v>17.452577413736201</v>
      </c>
    </row>
    <row r="1956" spans="1:7" x14ac:dyDescent="0.3">
      <c r="A1956" t="str">
        <f>IF(ISBLANK(B1956),"",IF(ROUND(B1956,0)=ROUND(G1956,0),"Pass","Fail"))</f>
        <v>Pass</v>
      </c>
      <c r="B1956">
        <f t="shared" si="132"/>
        <v>13.200272560119629</v>
      </c>
      <c r="C1956">
        <v>20</v>
      </c>
      <c r="D1956">
        <v>30</v>
      </c>
      <c r="E1956">
        <v>30</v>
      </c>
      <c r="F1956">
        <v>32</v>
      </c>
      <c r="G1956">
        <v>13.2002730059946</v>
      </c>
    </row>
    <row r="1957" spans="1:7" x14ac:dyDescent="0.3">
      <c r="A1957" t="str">
        <f>IF(ISBLANK(B1957),"",IF(ROUND(B1957,0)=ROUND(G1957,0),"Pass","Fail"))</f>
        <v>Pass</v>
      </c>
      <c r="B1957">
        <f t="shared" si="132"/>
        <v>11.059726715087891</v>
      </c>
      <c r="C1957">
        <v>20</v>
      </c>
      <c r="D1957">
        <v>30</v>
      </c>
      <c r="E1957">
        <v>30</v>
      </c>
      <c r="F1957">
        <v>40</v>
      </c>
      <c r="G1957">
        <v>11.059726764327101</v>
      </c>
    </row>
    <row r="1958" spans="1:7" x14ac:dyDescent="0.3">
      <c r="A1958" t="str">
        <f>IF(ISBLANK(B1958),"",IF(ROUND(B1958,0)=ROUND(G1958,0),"Pass","Fail"))</f>
        <v>Pass</v>
      </c>
      <c r="B1958">
        <f t="shared" si="132"/>
        <v>9.9822072982788086</v>
      </c>
      <c r="C1958">
        <v>20</v>
      </c>
      <c r="D1958">
        <v>30</v>
      </c>
      <c r="E1958">
        <v>30</v>
      </c>
      <c r="F1958">
        <v>48</v>
      </c>
      <c r="G1958">
        <v>9.98220790081972</v>
      </c>
    </row>
    <row r="1959" spans="1:7" x14ac:dyDescent="0.3">
      <c r="A1959" t="str">
        <f>IF(ISBLANK(B1959),"",IF(ROUND(B1959,0)=ROUND(G1959,0),"Pass","Fail"))</f>
        <v>Pass</v>
      </c>
      <c r="B1959">
        <f t="shared" si="132"/>
        <v>76.017997741699219</v>
      </c>
      <c r="C1959">
        <v>20</v>
      </c>
      <c r="D1959">
        <v>30</v>
      </c>
      <c r="E1959">
        <v>40</v>
      </c>
      <c r="F1959">
        <v>0</v>
      </c>
      <c r="G1959">
        <v>76.018000000000001</v>
      </c>
    </row>
    <row r="1960" spans="1:7" x14ac:dyDescent="0.3">
      <c r="A1960" t="str">
        <f>IF(ISBLANK(B1960),"",IF(ROUND(B1960,0)=ROUND(G1960,0),"Pass","Fail"))</f>
        <v>Pass</v>
      </c>
      <c r="B1960">
        <f t="shared" si="132"/>
        <v>42.681228637695313</v>
      </c>
      <c r="C1960">
        <v>20</v>
      </c>
      <c r="D1960">
        <v>30</v>
      </c>
      <c r="E1960">
        <v>40</v>
      </c>
      <c r="F1960">
        <v>8</v>
      </c>
      <c r="G1960">
        <v>42.681228080723002</v>
      </c>
    </row>
    <row r="1961" spans="1:7" x14ac:dyDescent="0.3">
      <c r="A1961" t="str">
        <f>IF(ISBLANK(B1961),"",IF(ROUND(B1961,0)=ROUND(G1961,0),"Pass","Fail"))</f>
        <v>Pass</v>
      </c>
      <c r="B1961">
        <f t="shared" si="132"/>
        <v>25.899995803833008</v>
      </c>
      <c r="C1961">
        <v>20</v>
      </c>
      <c r="D1961">
        <v>30</v>
      </c>
      <c r="E1961">
        <v>40</v>
      </c>
      <c r="F1961">
        <v>16</v>
      </c>
      <c r="G1961">
        <v>25.899997247101702</v>
      </c>
    </row>
    <row r="1962" spans="1:7" x14ac:dyDescent="0.3">
      <c r="A1962" t="str">
        <f>IF(ISBLANK(B1962),"",IF(ROUND(B1962,0)=ROUND(G1962,0),"Pass","Fail"))</f>
        <v>Pass</v>
      </c>
      <c r="B1962">
        <f t="shared" si="132"/>
        <v>17.45257568359375</v>
      </c>
      <c r="C1962">
        <v>20</v>
      </c>
      <c r="D1962">
        <v>30</v>
      </c>
      <c r="E1962">
        <v>40</v>
      </c>
      <c r="F1962">
        <v>24</v>
      </c>
      <c r="G1962">
        <v>17.452577413736201</v>
      </c>
    </row>
    <row r="1963" spans="1:7" x14ac:dyDescent="0.3">
      <c r="A1963" t="str">
        <f>IF(ISBLANK(B1963),"",IF(ROUND(B1963,0)=ROUND(G1963,0),"Pass","Fail"))</f>
        <v>Pass</v>
      </c>
      <c r="B1963">
        <f t="shared" si="132"/>
        <v>13.200272560119629</v>
      </c>
      <c r="C1963">
        <v>20</v>
      </c>
      <c r="D1963">
        <v>30</v>
      </c>
      <c r="E1963">
        <v>40</v>
      </c>
      <c r="F1963">
        <v>32</v>
      </c>
      <c r="G1963">
        <v>13.2002730059946</v>
      </c>
    </row>
    <row r="1964" spans="1:7" x14ac:dyDescent="0.3">
      <c r="A1964" t="str">
        <f>IF(ISBLANK(B1964),"",IF(ROUND(B1964,0)=ROUND(G1964,0),"Pass","Fail"))</f>
        <v>Pass</v>
      </c>
      <c r="B1964">
        <f t="shared" si="132"/>
        <v>11.059726715087891</v>
      </c>
      <c r="C1964">
        <v>20</v>
      </c>
      <c r="D1964">
        <v>30</v>
      </c>
      <c r="E1964">
        <v>40</v>
      </c>
      <c r="F1964">
        <v>40</v>
      </c>
      <c r="G1964">
        <v>11.059726764327101</v>
      </c>
    </row>
    <row r="1965" spans="1:7" x14ac:dyDescent="0.3">
      <c r="A1965" t="str">
        <f>IF(ISBLANK(B1965),"",IF(ROUND(B1965,0)=ROUND(G1965,0),"Pass","Fail"))</f>
        <v>Pass</v>
      </c>
      <c r="B1965">
        <f t="shared" si="132"/>
        <v>9.9822072982788086</v>
      </c>
      <c r="C1965">
        <v>20</v>
      </c>
      <c r="D1965">
        <v>30</v>
      </c>
      <c r="E1965">
        <v>40</v>
      </c>
      <c r="F1965">
        <v>48</v>
      </c>
      <c r="G1965">
        <v>9.98220790081972</v>
      </c>
    </row>
    <row r="1966" spans="1:7" x14ac:dyDescent="0.3">
      <c r="A1966" t="str">
        <f>IF(ISBLANK(B1966),"",IF(ROUND(B1966,0)=ROUND(G1966,0),"Pass","Fail"))</f>
        <v>Pass</v>
      </c>
      <c r="B1966">
        <f t="shared" si="132"/>
        <v>76.017997741699219</v>
      </c>
      <c r="C1966">
        <v>20</v>
      </c>
      <c r="D1966">
        <v>30</v>
      </c>
      <c r="E1966">
        <v>50</v>
      </c>
      <c r="F1966">
        <v>0</v>
      </c>
      <c r="G1966">
        <v>76.018000000000001</v>
      </c>
    </row>
    <row r="1967" spans="1:7" x14ac:dyDescent="0.3">
      <c r="A1967" t="str">
        <f>IF(ISBLANK(B1967),"",IF(ROUND(B1967,0)=ROUND(G1967,0),"Pass","Fail"))</f>
        <v>Pass</v>
      </c>
      <c r="B1967">
        <f t="shared" si="132"/>
        <v>42.681228637695313</v>
      </c>
      <c r="C1967">
        <v>20</v>
      </c>
      <c r="D1967">
        <v>30</v>
      </c>
      <c r="E1967">
        <v>50</v>
      </c>
      <c r="F1967">
        <v>8</v>
      </c>
      <c r="G1967">
        <v>42.681228080723002</v>
      </c>
    </row>
    <row r="1968" spans="1:7" x14ac:dyDescent="0.3">
      <c r="A1968" t="str">
        <f>IF(ISBLANK(B1968),"",IF(ROUND(B1968,0)=ROUND(G1968,0),"Pass","Fail"))</f>
        <v>Pass</v>
      </c>
      <c r="B1968">
        <f t="shared" si="132"/>
        <v>25.899995803833008</v>
      </c>
      <c r="C1968">
        <v>20</v>
      </c>
      <c r="D1968">
        <v>30</v>
      </c>
      <c r="E1968">
        <v>50</v>
      </c>
      <c r="F1968">
        <v>16</v>
      </c>
      <c r="G1968">
        <v>25.899997247101702</v>
      </c>
    </row>
    <row r="1969" spans="1:7" x14ac:dyDescent="0.3">
      <c r="A1969" t="str">
        <f>IF(ISBLANK(B1969),"",IF(ROUND(B1969,0)=ROUND(G1969,0),"Pass","Fail"))</f>
        <v>Pass</v>
      </c>
      <c r="B1969">
        <f t="shared" si="132"/>
        <v>17.45257568359375</v>
      </c>
      <c r="C1969">
        <v>20</v>
      </c>
      <c r="D1969">
        <v>30</v>
      </c>
      <c r="E1969">
        <v>50</v>
      </c>
      <c r="F1969">
        <v>24</v>
      </c>
      <c r="G1969">
        <v>17.452577413736201</v>
      </c>
    </row>
    <row r="1970" spans="1:7" x14ac:dyDescent="0.3">
      <c r="A1970" t="str">
        <f>IF(ISBLANK(B1970),"",IF(ROUND(B1970,0)=ROUND(G1970,0),"Pass","Fail"))</f>
        <v>Pass</v>
      </c>
      <c r="B1970">
        <f t="shared" si="132"/>
        <v>13.200272560119629</v>
      </c>
      <c r="C1970">
        <v>20</v>
      </c>
      <c r="D1970">
        <v>30</v>
      </c>
      <c r="E1970">
        <v>50</v>
      </c>
      <c r="F1970">
        <v>32</v>
      </c>
      <c r="G1970">
        <v>13.2002730059946</v>
      </c>
    </row>
    <row r="1971" spans="1:7" x14ac:dyDescent="0.3">
      <c r="A1971" t="str">
        <f>IF(ISBLANK(B1971),"",IF(ROUND(B1971,0)=ROUND(G1971,0),"Pass","Fail"))</f>
        <v>Pass</v>
      </c>
      <c r="B1971">
        <f t="shared" si="132"/>
        <v>11.059726715087891</v>
      </c>
      <c r="C1971">
        <v>20</v>
      </c>
      <c r="D1971">
        <v>30</v>
      </c>
      <c r="E1971">
        <v>50</v>
      </c>
      <c r="F1971">
        <v>40</v>
      </c>
      <c r="G1971">
        <v>11.059726764327101</v>
      </c>
    </row>
    <row r="1972" spans="1:7" x14ac:dyDescent="0.3">
      <c r="A1972" t="str">
        <f>IF(ISBLANK(B1972),"",IF(ROUND(B1972,0)=ROUND(G1972,0),"Pass","Fail"))</f>
        <v>Pass</v>
      </c>
      <c r="B1972">
        <f t="shared" si="132"/>
        <v>9.9822072982788086</v>
      </c>
      <c r="C1972">
        <v>20</v>
      </c>
      <c r="D1972">
        <v>30</v>
      </c>
      <c r="E1972">
        <v>50</v>
      </c>
      <c r="F1972">
        <v>48</v>
      </c>
      <c r="G1972">
        <v>9.98220790081972</v>
      </c>
    </row>
    <row r="1973" spans="1:7" x14ac:dyDescent="0.3">
      <c r="A1973" t="str">
        <f>IF(ISBLANK(B1973),"",IF(ROUND(B1973,0)=ROUND(G1973,0),"Pass","Fail"))</f>
        <v>Pass</v>
      </c>
      <c r="B1973">
        <f t="shared" si="132"/>
        <v>76.017997741699219</v>
      </c>
      <c r="C1973">
        <v>20</v>
      </c>
      <c r="D1973">
        <v>30</v>
      </c>
      <c r="E1973">
        <v>60</v>
      </c>
      <c r="F1973">
        <v>0</v>
      </c>
      <c r="G1973">
        <v>76.018000000000001</v>
      </c>
    </row>
    <row r="1974" spans="1:7" x14ac:dyDescent="0.3">
      <c r="A1974" t="str">
        <f>IF(ISBLANK(B1974),"",IF(ROUND(B1974,0)=ROUND(G1974,0),"Pass","Fail"))</f>
        <v>Pass</v>
      </c>
      <c r="B1974">
        <f t="shared" si="132"/>
        <v>42.681228637695313</v>
      </c>
      <c r="C1974">
        <v>20</v>
      </c>
      <c r="D1974">
        <v>30</v>
      </c>
      <c r="E1974">
        <v>60</v>
      </c>
      <c r="F1974">
        <v>8</v>
      </c>
      <c r="G1974">
        <v>42.681228080723002</v>
      </c>
    </row>
    <row r="1975" spans="1:7" x14ac:dyDescent="0.3">
      <c r="A1975" t="str">
        <f>IF(ISBLANK(B1975),"",IF(ROUND(B1975,0)=ROUND(G1975,0),"Pass","Fail"))</f>
        <v>Pass</v>
      </c>
      <c r="B1975">
        <f t="shared" si="132"/>
        <v>25.899995803833008</v>
      </c>
      <c r="C1975">
        <v>20</v>
      </c>
      <c r="D1975">
        <v>30</v>
      </c>
      <c r="E1975">
        <v>60</v>
      </c>
      <c r="F1975">
        <v>16</v>
      </c>
      <c r="G1975">
        <v>25.899997247101702</v>
      </c>
    </row>
    <row r="1976" spans="1:7" x14ac:dyDescent="0.3">
      <c r="A1976" t="str">
        <f>IF(ISBLANK(B1976),"",IF(ROUND(B1976,0)=ROUND(G1976,0),"Pass","Fail"))</f>
        <v>Pass</v>
      </c>
      <c r="B1976">
        <f t="shared" si="132"/>
        <v>17.45257568359375</v>
      </c>
      <c r="C1976">
        <v>20</v>
      </c>
      <c r="D1976">
        <v>30</v>
      </c>
      <c r="E1976">
        <v>60</v>
      </c>
      <c r="F1976">
        <v>24</v>
      </c>
      <c r="G1976">
        <v>17.452577413736201</v>
      </c>
    </row>
    <row r="1977" spans="1:7" x14ac:dyDescent="0.3">
      <c r="A1977" t="str">
        <f>IF(ISBLANK(B1977),"",IF(ROUND(B1977,0)=ROUND(G1977,0),"Pass","Fail"))</f>
        <v>Pass</v>
      </c>
      <c r="B1977">
        <f t="shared" si="132"/>
        <v>13.200272560119629</v>
      </c>
      <c r="C1977">
        <v>20</v>
      </c>
      <c r="D1977">
        <v>30</v>
      </c>
      <c r="E1977">
        <v>60</v>
      </c>
      <c r="F1977">
        <v>32</v>
      </c>
      <c r="G1977">
        <v>13.2002730059946</v>
      </c>
    </row>
    <row r="1978" spans="1:7" x14ac:dyDescent="0.3">
      <c r="A1978" t="str">
        <f>IF(ISBLANK(B1978),"",IF(ROUND(B1978,0)=ROUND(G1978,0),"Pass","Fail"))</f>
        <v>Pass</v>
      </c>
      <c r="B1978">
        <f t="shared" si="132"/>
        <v>11.059726715087891</v>
      </c>
      <c r="C1978">
        <v>20</v>
      </c>
      <c r="D1978">
        <v>30</v>
      </c>
      <c r="E1978">
        <v>60</v>
      </c>
      <c r="F1978">
        <v>40</v>
      </c>
      <c r="G1978">
        <v>11.059726764327101</v>
      </c>
    </row>
    <row r="1979" spans="1:7" x14ac:dyDescent="0.3">
      <c r="A1979" t="str">
        <f>IF(ISBLANK(B1979),"",IF(ROUND(B1979,0)=ROUND(G1979,0),"Pass","Fail"))</f>
        <v>Pass</v>
      </c>
      <c r="B1979">
        <f t="shared" si="132"/>
        <v>9.9822072982788086</v>
      </c>
      <c r="C1979">
        <v>20</v>
      </c>
      <c r="D1979">
        <v>30</v>
      </c>
      <c r="E1979">
        <v>60</v>
      </c>
      <c r="F1979">
        <v>48</v>
      </c>
      <c r="G1979">
        <v>9.98220790081972</v>
      </c>
    </row>
    <row r="1980" spans="1:7" x14ac:dyDescent="0.3">
      <c r="A1980" t="str">
        <f>IF(ISBLANK(B1980),"",IF(ROUND(B1980,0)=ROUND(G1980,0),"Pass","Fail"))</f>
        <v>Pass</v>
      </c>
      <c r="B1980">
        <f t="shared" si="132"/>
        <v>76.017997741699219</v>
      </c>
      <c r="C1980">
        <v>20</v>
      </c>
      <c r="D1980">
        <v>30</v>
      </c>
      <c r="E1980">
        <v>70</v>
      </c>
      <c r="F1980">
        <v>0</v>
      </c>
      <c r="G1980">
        <v>76.018000000000001</v>
      </c>
    </row>
    <row r="1981" spans="1:7" x14ac:dyDescent="0.3">
      <c r="A1981" t="str">
        <f>IF(ISBLANK(B1981),"",IF(ROUND(B1981,0)=ROUND(G1981,0),"Pass","Fail"))</f>
        <v>Pass</v>
      </c>
      <c r="B1981">
        <f t="shared" si="132"/>
        <v>42.681228637695313</v>
      </c>
      <c r="C1981">
        <v>20</v>
      </c>
      <c r="D1981">
        <v>30</v>
      </c>
      <c r="E1981">
        <v>70</v>
      </c>
      <c r="F1981">
        <v>8</v>
      </c>
      <c r="G1981">
        <v>42.681228080723002</v>
      </c>
    </row>
    <row r="1982" spans="1:7" x14ac:dyDescent="0.3">
      <c r="A1982" t="str">
        <f>IF(ISBLANK(B1982),"",IF(ROUND(B1982,0)=ROUND(G1982,0),"Pass","Fail"))</f>
        <v>Pass</v>
      </c>
      <c r="B1982">
        <f t="shared" si="132"/>
        <v>25.899995803833008</v>
      </c>
      <c r="C1982">
        <v>20</v>
      </c>
      <c r="D1982">
        <v>30</v>
      </c>
      <c r="E1982">
        <v>70</v>
      </c>
      <c r="F1982">
        <v>16</v>
      </c>
      <c r="G1982">
        <v>25.899997247101702</v>
      </c>
    </row>
    <row r="1983" spans="1:7" x14ac:dyDescent="0.3">
      <c r="A1983" t="str">
        <f>IF(ISBLANK(B1983),"",IF(ROUND(B1983,0)=ROUND(G1983,0),"Pass","Fail"))</f>
        <v>Pass</v>
      </c>
      <c r="B1983">
        <f t="shared" si="132"/>
        <v>17.45257568359375</v>
      </c>
      <c r="C1983">
        <v>20</v>
      </c>
      <c r="D1983">
        <v>30</v>
      </c>
      <c r="E1983">
        <v>70</v>
      </c>
      <c r="F1983">
        <v>24</v>
      </c>
      <c r="G1983">
        <v>17.452577413736201</v>
      </c>
    </row>
    <row r="1984" spans="1:7" x14ac:dyDescent="0.3">
      <c r="A1984" t="str">
        <f>IF(ISBLANK(B1984),"",IF(ROUND(B1984,0)=ROUND(G1984,0),"Pass","Fail"))</f>
        <v>Pass</v>
      </c>
      <c r="B1984">
        <f t="shared" si="132"/>
        <v>13.200272560119629</v>
      </c>
      <c r="C1984">
        <v>20</v>
      </c>
      <c r="D1984">
        <v>30</v>
      </c>
      <c r="E1984">
        <v>70</v>
      </c>
      <c r="F1984">
        <v>32</v>
      </c>
      <c r="G1984">
        <v>13.2002730059946</v>
      </c>
    </row>
    <row r="1985" spans="1:7" x14ac:dyDescent="0.3">
      <c r="A1985" t="str">
        <f>IF(ISBLANK(B1985),"",IF(ROUND(B1985,0)=ROUND(G1985,0),"Pass","Fail"))</f>
        <v>Pass</v>
      </c>
      <c r="B1985">
        <f t="shared" si="132"/>
        <v>11.059726715087891</v>
      </c>
      <c r="C1985">
        <v>20</v>
      </c>
      <c r="D1985">
        <v>30</v>
      </c>
      <c r="E1985">
        <v>70</v>
      </c>
      <c r="F1985">
        <v>40</v>
      </c>
      <c r="G1985">
        <v>11.059726764327101</v>
      </c>
    </row>
    <row r="1986" spans="1:7" x14ac:dyDescent="0.3">
      <c r="A1986" t="str">
        <f>IF(ISBLANK(B1986),"",IF(ROUND(B1986,0)=ROUND(G1986,0),"Pass","Fail"))</f>
        <v>Pass</v>
      </c>
      <c r="B1986">
        <f t="shared" si="132"/>
        <v>9.9822072982788086</v>
      </c>
      <c r="C1986">
        <v>20</v>
      </c>
      <c r="D1986">
        <v>30</v>
      </c>
      <c r="E1986">
        <v>70</v>
      </c>
      <c r="F1986">
        <v>48</v>
      </c>
      <c r="G1986">
        <v>9.98220790081972</v>
      </c>
    </row>
    <row r="1987" spans="1:7" x14ac:dyDescent="0.3">
      <c r="A1987" t="str">
        <f>IF(ISBLANK(B1987),"",IF(ROUND(B1987,0)=ROUND(G1987,0),"Pass","Fail"))</f>
        <v>Pass</v>
      </c>
      <c r="B1987">
        <f t="shared" si="132"/>
        <v>76.017997741699219</v>
      </c>
      <c r="C1987">
        <v>20</v>
      </c>
      <c r="D1987">
        <v>30</v>
      </c>
      <c r="E1987">
        <v>80</v>
      </c>
      <c r="F1987">
        <v>0</v>
      </c>
      <c r="G1987">
        <v>76.018000000000001</v>
      </c>
    </row>
    <row r="1988" spans="1:7" x14ac:dyDescent="0.3">
      <c r="A1988" t="str">
        <f>IF(ISBLANK(B1988),"",IF(ROUND(B1988,0)=ROUND(G1988,0),"Pass","Fail"))</f>
        <v>Pass</v>
      </c>
      <c r="B1988">
        <f t="shared" si="132"/>
        <v>42.681228637695313</v>
      </c>
      <c r="C1988">
        <v>20</v>
      </c>
      <c r="D1988">
        <v>30</v>
      </c>
      <c r="E1988">
        <v>80</v>
      </c>
      <c r="F1988">
        <v>8</v>
      </c>
      <c r="G1988">
        <v>42.681228080723002</v>
      </c>
    </row>
    <row r="1989" spans="1:7" x14ac:dyDescent="0.3">
      <c r="A1989" t="str">
        <f>IF(ISBLANK(B1989),"",IF(ROUND(B1989,0)=ROUND(G1989,0),"Pass","Fail"))</f>
        <v>Pass</v>
      </c>
      <c r="B1989">
        <f t="shared" si="132"/>
        <v>25.899995803833008</v>
      </c>
      <c r="C1989">
        <v>20</v>
      </c>
      <c r="D1989">
        <v>30</v>
      </c>
      <c r="E1989">
        <v>80</v>
      </c>
      <c r="F1989">
        <v>16</v>
      </c>
      <c r="G1989">
        <v>25.899997247101702</v>
      </c>
    </row>
    <row r="1990" spans="1:7" x14ac:dyDescent="0.3">
      <c r="A1990" t="str">
        <f>IF(ISBLANK(B1990),"",IF(ROUND(B1990,0)=ROUND(G1990,0),"Pass","Fail"))</f>
        <v>Pass</v>
      </c>
      <c r="B1990">
        <f t="shared" si="132"/>
        <v>17.45257568359375</v>
      </c>
      <c r="C1990">
        <v>20</v>
      </c>
      <c r="D1990">
        <v>30</v>
      </c>
      <c r="E1990">
        <v>80</v>
      </c>
      <c r="F1990">
        <v>24</v>
      </c>
      <c r="G1990">
        <v>17.452577413736201</v>
      </c>
    </row>
    <row r="1991" spans="1:7" x14ac:dyDescent="0.3">
      <c r="A1991" t="str">
        <f>IF(ISBLANK(B1991),"",IF(ROUND(B1991,0)=ROUND(G1991,0),"Pass","Fail"))</f>
        <v>Pass</v>
      </c>
      <c r="B1991">
        <f t="shared" ref="B1991:B2054" si="133">FMC_heath(C1991,D1991,E1991,F1991)</f>
        <v>13.200272560119629</v>
      </c>
      <c r="C1991">
        <v>20</v>
      </c>
      <c r="D1991">
        <v>30</v>
      </c>
      <c r="E1991">
        <v>80</v>
      </c>
      <c r="F1991">
        <v>32</v>
      </c>
      <c r="G1991">
        <v>13.2002730059946</v>
      </c>
    </row>
    <row r="1992" spans="1:7" x14ac:dyDescent="0.3">
      <c r="A1992" t="str">
        <f>IF(ISBLANK(B1992),"",IF(ROUND(B1992,0)=ROUND(G1992,0),"Pass","Fail"))</f>
        <v>Pass</v>
      </c>
      <c r="B1992">
        <f t="shared" si="133"/>
        <v>11.059726715087891</v>
      </c>
      <c r="C1992">
        <v>20</v>
      </c>
      <c r="D1992">
        <v>30</v>
      </c>
      <c r="E1992">
        <v>80</v>
      </c>
      <c r="F1992">
        <v>40</v>
      </c>
      <c r="G1992">
        <v>11.059726764327101</v>
      </c>
    </row>
    <row r="1993" spans="1:7" x14ac:dyDescent="0.3">
      <c r="A1993" t="str">
        <f>IF(ISBLANK(B1993),"",IF(ROUND(B1993,0)=ROUND(G1993,0),"Pass","Fail"))</f>
        <v>Pass</v>
      </c>
      <c r="B1993">
        <f t="shared" si="133"/>
        <v>9.9822072982788086</v>
      </c>
      <c r="C1993">
        <v>20</v>
      </c>
      <c r="D1993">
        <v>30</v>
      </c>
      <c r="E1993">
        <v>80</v>
      </c>
      <c r="F1993">
        <v>48</v>
      </c>
      <c r="G1993">
        <v>9.98220790081972</v>
      </c>
    </row>
    <row r="1994" spans="1:7" x14ac:dyDescent="0.3">
      <c r="A1994" t="str">
        <f>IF(ISBLANK(B1994),"",IF(ROUND(B1994,0)=ROUND(G1994,0),"Pass","Fail"))</f>
        <v>Pass</v>
      </c>
      <c r="B1994">
        <f t="shared" si="133"/>
        <v>76.017997741699219</v>
      </c>
      <c r="C1994">
        <v>20</v>
      </c>
      <c r="D1994">
        <v>30</v>
      </c>
      <c r="E1994">
        <v>90</v>
      </c>
      <c r="F1994">
        <v>0</v>
      </c>
      <c r="G1994">
        <v>76.018000000000001</v>
      </c>
    </row>
    <row r="1995" spans="1:7" x14ac:dyDescent="0.3">
      <c r="A1995" t="str">
        <f>IF(ISBLANK(B1995),"",IF(ROUND(B1995,0)=ROUND(G1995,0),"Pass","Fail"))</f>
        <v>Pass</v>
      </c>
      <c r="B1995">
        <f t="shared" si="133"/>
        <v>42.681228637695313</v>
      </c>
      <c r="C1995">
        <v>20</v>
      </c>
      <c r="D1995">
        <v>30</v>
      </c>
      <c r="E1995">
        <v>90</v>
      </c>
      <c r="F1995">
        <v>8</v>
      </c>
      <c r="G1995">
        <v>42.681228080723002</v>
      </c>
    </row>
    <row r="1996" spans="1:7" x14ac:dyDescent="0.3">
      <c r="A1996" t="str">
        <f>IF(ISBLANK(B1996),"",IF(ROUND(B1996,0)=ROUND(G1996,0),"Pass","Fail"))</f>
        <v>Pass</v>
      </c>
      <c r="B1996">
        <f t="shared" si="133"/>
        <v>25.899995803833008</v>
      </c>
      <c r="C1996">
        <v>20</v>
      </c>
      <c r="D1996">
        <v>30</v>
      </c>
      <c r="E1996">
        <v>90</v>
      </c>
      <c r="F1996">
        <v>16</v>
      </c>
      <c r="G1996">
        <v>25.899997247101702</v>
      </c>
    </row>
    <row r="1997" spans="1:7" x14ac:dyDescent="0.3">
      <c r="A1997" t="str">
        <f>IF(ISBLANK(B1997),"",IF(ROUND(B1997,0)=ROUND(G1997,0),"Pass","Fail"))</f>
        <v>Pass</v>
      </c>
      <c r="B1997">
        <f t="shared" si="133"/>
        <v>17.45257568359375</v>
      </c>
      <c r="C1997">
        <v>20</v>
      </c>
      <c r="D1997">
        <v>30</v>
      </c>
      <c r="E1997">
        <v>90</v>
      </c>
      <c r="F1997">
        <v>24</v>
      </c>
      <c r="G1997">
        <v>17.452577413736201</v>
      </c>
    </row>
    <row r="1998" spans="1:7" x14ac:dyDescent="0.3">
      <c r="A1998" t="str">
        <f>IF(ISBLANK(B1998),"",IF(ROUND(B1998,0)=ROUND(G1998,0),"Pass","Fail"))</f>
        <v>Pass</v>
      </c>
      <c r="B1998">
        <f t="shared" si="133"/>
        <v>13.200272560119629</v>
      </c>
      <c r="C1998">
        <v>20</v>
      </c>
      <c r="D1998">
        <v>30</v>
      </c>
      <c r="E1998">
        <v>90</v>
      </c>
      <c r="F1998">
        <v>32</v>
      </c>
      <c r="G1998">
        <v>13.2002730059946</v>
      </c>
    </row>
    <row r="1999" spans="1:7" x14ac:dyDescent="0.3">
      <c r="A1999" t="str">
        <f>IF(ISBLANK(B1999),"",IF(ROUND(B1999,0)=ROUND(G1999,0),"Pass","Fail"))</f>
        <v>Pass</v>
      </c>
      <c r="B1999">
        <f t="shared" si="133"/>
        <v>11.059726715087891</v>
      </c>
      <c r="C1999">
        <v>20</v>
      </c>
      <c r="D1999">
        <v>30</v>
      </c>
      <c r="E1999">
        <v>90</v>
      </c>
      <c r="F1999">
        <v>40</v>
      </c>
      <c r="G1999">
        <v>11.059726764327101</v>
      </c>
    </row>
    <row r="2000" spans="1:7" x14ac:dyDescent="0.3">
      <c r="A2000" t="str">
        <f>IF(ISBLANK(B2000),"",IF(ROUND(B2000,0)=ROUND(G2000,0),"Pass","Fail"))</f>
        <v>Pass</v>
      </c>
      <c r="B2000">
        <f t="shared" si="133"/>
        <v>9.9822072982788086</v>
      </c>
      <c r="C2000">
        <v>20</v>
      </c>
      <c r="D2000">
        <v>30</v>
      </c>
      <c r="E2000">
        <v>90</v>
      </c>
      <c r="F2000">
        <v>48</v>
      </c>
      <c r="G2000">
        <v>9.98220790081972</v>
      </c>
    </row>
    <row r="2001" spans="1:7" x14ac:dyDescent="0.3">
      <c r="A2001" t="str">
        <f>IF(ISBLANK(B2001),"",IF(ROUND(B2001,0)=ROUND(G2001,0),"Pass","Fail"))</f>
        <v>Pass</v>
      </c>
      <c r="B2001">
        <f t="shared" si="133"/>
        <v>76.017997741699219</v>
      </c>
      <c r="C2001">
        <v>20</v>
      </c>
      <c r="D2001">
        <v>30</v>
      </c>
      <c r="E2001">
        <v>100</v>
      </c>
      <c r="F2001">
        <v>0</v>
      </c>
      <c r="G2001">
        <v>76.018000000000001</v>
      </c>
    </row>
    <row r="2002" spans="1:7" x14ac:dyDescent="0.3">
      <c r="A2002" t="str">
        <f>IF(ISBLANK(B2002),"",IF(ROUND(B2002,0)=ROUND(G2002,0),"Pass","Fail"))</f>
        <v>Pass</v>
      </c>
      <c r="B2002">
        <f t="shared" si="133"/>
        <v>42.681228637695313</v>
      </c>
      <c r="C2002">
        <v>20</v>
      </c>
      <c r="D2002">
        <v>30</v>
      </c>
      <c r="E2002">
        <v>100</v>
      </c>
      <c r="F2002">
        <v>8</v>
      </c>
      <c r="G2002">
        <v>42.681228080723002</v>
      </c>
    </row>
    <row r="2003" spans="1:7" x14ac:dyDescent="0.3">
      <c r="A2003" t="str">
        <f>IF(ISBLANK(B2003),"",IF(ROUND(B2003,0)=ROUND(G2003,0),"Pass","Fail"))</f>
        <v>Pass</v>
      </c>
      <c r="B2003">
        <f t="shared" si="133"/>
        <v>25.899995803833008</v>
      </c>
      <c r="C2003">
        <v>20</v>
      </c>
      <c r="D2003">
        <v>30</v>
      </c>
      <c r="E2003">
        <v>100</v>
      </c>
      <c r="F2003">
        <v>16</v>
      </c>
      <c r="G2003">
        <v>25.899997247101702</v>
      </c>
    </row>
    <row r="2004" spans="1:7" x14ac:dyDescent="0.3">
      <c r="A2004" t="str">
        <f>IF(ISBLANK(B2004),"",IF(ROUND(B2004,0)=ROUND(G2004,0),"Pass","Fail"))</f>
        <v>Pass</v>
      </c>
      <c r="B2004">
        <f t="shared" si="133"/>
        <v>17.45257568359375</v>
      </c>
      <c r="C2004">
        <v>20</v>
      </c>
      <c r="D2004">
        <v>30</v>
      </c>
      <c r="E2004">
        <v>100</v>
      </c>
      <c r="F2004">
        <v>24</v>
      </c>
      <c r="G2004">
        <v>17.452577413736201</v>
      </c>
    </row>
    <row r="2005" spans="1:7" x14ac:dyDescent="0.3">
      <c r="A2005" t="str">
        <f>IF(ISBLANK(B2005),"",IF(ROUND(B2005,0)=ROUND(G2005,0),"Pass","Fail"))</f>
        <v>Pass</v>
      </c>
      <c r="B2005">
        <f t="shared" si="133"/>
        <v>13.200272560119629</v>
      </c>
      <c r="C2005">
        <v>20</v>
      </c>
      <c r="D2005">
        <v>30</v>
      </c>
      <c r="E2005">
        <v>100</v>
      </c>
      <c r="F2005">
        <v>32</v>
      </c>
      <c r="G2005">
        <v>13.2002730059946</v>
      </c>
    </row>
    <row r="2006" spans="1:7" x14ac:dyDescent="0.3">
      <c r="A2006" t="str">
        <f>IF(ISBLANK(B2006),"",IF(ROUND(B2006,0)=ROUND(G2006,0),"Pass","Fail"))</f>
        <v>Pass</v>
      </c>
      <c r="B2006">
        <f t="shared" si="133"/>
        <v>11.059726715087891</v>
      </c>
      <c r="C2006">
        <v>20</v>
      </c>
      <c r="D2006">
        <v>30</v>
      </c>
      <c r="E2006">
        <v>100</v>
      </c>
      <c r="F2006">
        <v>40</v>
      </c>
      <c r="G2006">
        <v>11.059726764327101</v>
      </c>
    </row>
    <row r="2007" spans="1:7" x14ac:dyDescent="0.3">
      <c r="A2007" t="str">
        <f>IF(ISBLANK(B2007),"",IF(ROUND(B2007,0)=ROUND(G2007,0),"Pass","Fail"))</f>
        <v>Pass</v>
      </c>
      <c r="B2007">
        <f t="shared" si="133"/>
        <v>9.9822072982788086</v>
      </c>
      <c r="C2007">
        <v>20</v>
      </c>
      <c r="D2007">
        <v>30</v>
      </c>
      <c r="E2007">
        <v>100</v>
      </c>
      <c r="F2007">
        <v>48</v>
      </c>
      <c r="G2007">
        <v>9.98220790081972</v>
      </c>
    </row>
    <row r="2008" spans="1:7" x14ac:dyDescent="0.3">
      <c r="A2008" t="str">
        <f>IF(ISBLANK(B2008),"",IF(ROUND(B2008,0)=ROUND(G2008,0),"Pass","Fail"))</f>
        <v>Pass</v>
      </c>
      <c r="B2008">
        <f t="shared" si="133"/>
        <v>10.230000495910645</v>
      </c>
      <c r="C2008">
        <v>20</v>
      </c>
      <c r="D2008">
        <v>40</v>
      </c>
      <c r="E2008">
        <v>0</v>
      </c>
      <c r="F2008">
        <v>0</v>
      </c>
      <c r="G2008">
        <v>10.23</v>
      </c>
    </row>
    <row r="2009" spans="1:7" x14ac:dyDescent="0.3">
      <c r="A2009" t="str">
        <f>IF(ISBLANK(B2009),"",IF(ROUND(B2009,0)=ROUND(G2009,0),"Pass","Fail"))</f>
        <v>Pass</v>
      </c>
      <c r="B2009">
        <f t="shared" si="133"/>
        <v>10.230000495910645</v>
      </c>
      <c r="C2009">
        <v>20</v>
      </c>
      <c r="D2009">
        <v>40</v>
      </c>
      <c r="E2009">
        <v>0</v>
      </c>
      <c r="F2009">
        <v>8</v>
      </c>
      <c r="G2009">
        <v>10.23</v>
      </c>
    </row>
    <row r="2010" spans="1:7" x14ac:dyDescent="0.3">
      <c r="A2010" t="str">
        <f>IF(ISBLANK(B2010),"",IF(ROUND(B2010,0)=ROUND(G2010,0),"Pass","Fail"))</f>
        <v>Pass</v>
      </c>
      <c r="B2010">
        <f t="shared" si="133"/>
        <v>10.230000495910645</v>
      </c>
      <c r="C2010">
        <v>20</v>
      </c>
      <c r="D2010">
        <v>40</v>
      </c>
      <c r="E2010">
        <v>0</v>
      </c>
      <c r="F2010">
        <v>16</v>
      </c>
      <c r="G2010">
        <v>10.23</v>
      </c>
    </row>
    <row r="2011" spans="1:7" x14ac:dyDescent="0.3">
      <c r="A2011" t="str">
        <f>IF(ISBLANK(B2011),"",IF(ROUND(B2011,0)=ROUND(G2011,0),"Pass","Fail"))</f>
        <v>Pass</v>
      </c>
      <c r="B2011">
        <f t="shared" si="133"/>
        <v>10.230000495910645</v>
      </c>
      <c r="C2011">
        <v>20</v>
      </c>
      <c r="D2011">
        <v>40</v>
      </c>
      <c r="E2011">
        <v>0</v>
      </c>
      <c r="F2011">
        <v>24</v>
      </c>
      <c r="G2011">
        <v>10.23</v>
      </c>
    </row>
    <row r="2012" spans="1:7" x14ac:dyDescent="0.3">
      <c r="A2012" t="str">
        <f>IF(ISBLANK(B2012),"",IF(ROUND(B2012,0)=ROUND(G2012,0),"Pass","Fail"))</f>
        <v>Pass</v>
      </c>
      <c r="B2012">
        <f t="shared" si="133"/>
        <v>10.230000495910645</v>
      </c>
      <c r="C2012">
        <v>20</v>
      </c>
      <c r="D2012">
        <v>40</v>
      </c>
      <c r="E2012">
        <v>0</v>
      </c>
      <c r="F2012">
        <v>32</v>
      </c>
      <c r="G2012">
        <v>10.23</v>
      </c>
    </row>
    <row r="2013" spans="1:7" x14ac:dyDescent="0.3">
      <c r="A2013" t="str">
        <f>IF(ISBLANK(B2013),"",IF(ROUND(B2013,0)=ROUND(G2013,0),"Pass","Fail"))</f>
        <v>Pass</v>
      </c>
      <c r="B2013">
        <f t="shared" si="133"/>
        <v>10.230000495910645</v>
      </c>
      <c r="C2013">
        <v>20</v>
      </c>
      <c r="D2013">
        <v>40</v>
      </c>
      <c r="E2013">
        <v>0</v>
      </c>
      <c r="F2013">
        <v>40</v>
      </c>
      <c r="G2013">
        <v>10.23</v>
      </c>
    </row>
    <row r="2014" spans="1:7" x14ac:dyDescent="0.3">
      <c r="A2014" t="str">
        <f>IF(ISBLANK(B2014),"",IF(ROUND(B2014,0)=ROUND(G2014,0),"Pass","Fail"))</f>
        <v>Pass</v>
      </c>
      <c r="B2014">
        <f t="shared" si="133"/>
        <v>10.230000495910645</v>
      </c>
      <c r="C2014">
        <v>20</v>
      </c>
      <c r="D2014">
        <v>40</v>
      </c>
      <c r="E2014">
        <v>0</v>
      </c>
      <c r="F2014">
        <v>48</v>
      </c>
      <c r="G2014">
        <v>10.23</v>
      </c>
    </row>
    <row r="2015" spans="1:7" x14ac:dyDescent="0.3">
      <c r="A2015" t="str">
        <f>IF(ISBLANK(B2015),"",IF(ROUND(B2015,0)=ROUND(G2015,0),"Pass","Fail"))</f>
        <v>Pass</v>
      </c>
      <c r="B2015">
        <f t="shared" si="133"/>
        <v>77.358001708984375</v>
      </c>
      <c r="C2015">
        <v>20</v>
      </c>
      <c r="D2015">
        <v>40</v>
      </c>
      <c r="E2015">
        <v>10</v>
      </c>
      <c r="F2015">
        <v>0</v>
      </c>
      <c r="G2015">
        <v>77.357999999998299</v>
      </c>
    </row>
    <row r="2016" spans="1:7" x14ac:dyDescent="0.3">
      <c r="A2016" t="str">
        <f>IF(ISBLANK(B2016),"",IF(ROUND(B2016,0)=ROUND(G2016,0),"Pass","Fail"))</f>
        <v>Pass</v>
      </c>
      <c r="B2016">
        <f t="shared" si="133"/>
        <v>44.021228790283203</v>
      </c>
      <c r="C2016">
        <v>20</v>
      </c>
      <c r="D2016">
        <v>40</v>
      </c>
      <c r="E2016">
        <v>10</v>
      </c>
      <c r="F2016">
        <v>8</v>
      </c>
      <c r="G2016">
        <v>44.021228080722203</v>
      </c>
    </row>
    <row r="2017" spans="1:7" x14ac:dyDescent="0.3">
      <c r="A2017" t="str">
        <f>IF(ISBLANK(B2017),"",IF(ROUND(B2017,0)=ROUND(G2017,0),"Pass","Fail"))</f>
        <v>Pass</v>
      </c>
      <c r="B2017">
        <f t="shared" si="133"/>
        <v>27.239997863769531</v>
      </c>
      <c r="C2017">
        <v>20</v>
      </c>
      <c r="D2017">
        <v>40</v>
      </c>
      <c r="E2017">
        <v>10</v>
      </c>
      <c r="F2017">
        <v>16</v>
      </c>
      <c r="G2017">
        <v>27.2399972471013</v>
      </c>
    </row>
    <row r="2018" spans="1:7" x14ac:dyDescent="0.3">
      <c r="A2018" t="str">
        <f>IF(ISBLANK(B2018),"",IF(ROUND(B2018,0)=ROUND(G2018,0),"Pass","Fail"))</f>
        <v>Pass</v>
      </c>
      <c r="B2018">
        <f t="shared" si="133"/>
        <v>18.792577743530273</v>
      </c>
      <c r="C2018">
        <v>20</v>
      </c>
      <c r="D2018">
        <v>40</v>
      </c>
      <c r="E2018">
        <v>10</v>
      </c>
      <c r="F2018">
        <v>24</v>
      </c>
      <c r="G2018">
        <v>18.792577413736002</v>
      </c>
    </row>
    <row r="2019" spans="1:7" x14ac:dyDescent="0.3">
      <c r="A2019" t="str">
        <f>IF(ISBLANK(B2019),"",IF(ROUND(B2019,0)=ROUND(G2019,0),"Pass","Fail"))</f>
        <v>Pass</v>
      </c>
      <c r="B2019">
        <f t="shared" si="133"/>
        <v>14.540273666381836</v>
      </c>
      <c r="C2019">
        <v>20</v>
      </c>
      <c r="D2019">
        <v>40</v>
      </c>
      <c r="E2019">
        <v>10</v>
      </c>
      <c r="F2019">
        <v>32</v>
      </c>
      <c r="G2019">
        <v>14.5402730059945</v>
      </c>
    </row>
    <row r="2020" spans="1:7" x14ac:dyDescent="0.3">
      <c r="A2020" t="str">
        <f>IF(ISBLANK(B2020),"",IF(ROUND(B2020,0)=ROUND(G2020,0),"Pass","Fail"))</f>
        <v>Pass</v>
      </c>
      <c r="B2020">
        <f t="shared" si="133"/>
        <v>12.399726867675781</v>
      </c>
      <c r="C2020">
        <v>20</v>
      </c>
      <c r="D2020">
        <v>40</v>
      </c>
      <c r="E2020">
        <v>10</v>
      </c>
      <c r="F2020">
        <v>40</v>
      </c>
      <c r="G2020">
        <v>12.399726764326999</v>
      </c>
    </row>
    <row r="2021" spans="1:7" x14ac:dyDescent="0.3">
      <c r="A2021" t="str">
        <f>IF(ISBLANK(B2021),"",IF(ROUND(B2021,0)=ROUND(G2021,0),"Pass","Fail"))</f>
        <v>Pass</v>
      </c>
      <c r="B2021">
        <f t="shared" si="133"/>
        <v>11.322208404541016</v>
      </c>
      <c r="C2021">
        <v>20</v>
      </c>
      <c r="D2021">
        <v>40</v>
      </c>
      <c r="E2021">
        <v>10</v>
      </c>
      <c r="F2021">
        <v>48</v>
      </c>
      <c r="G2021">
        <v>11.322207900819601</v>
      </c>
    </row>
    <row r="2022" spans="1:7" x14ac:dyDescent="0.3">
      <c r="A2022" t="str">
        <f>IF(ISBLANK(B2022),"",IF(ROUND(B2022,0)=ROUND(G2022,0),"Pass","Fail"))</f>
        <v>Pass</v>
      </c>
      <c r="B2022">
        <f t="shared" si="133"/>
        <v>77.358001708984375</v>
      </c>
      <c r="C2022">
        <v>20</v>
      </c>
      <c r="D2022">
        <v>40</v>
      </c>
      <c r="E2022">
        <v>20</v>
      </c>
      <c r="F2022">
        <v>0</v>
      </c>
      <c r="G2022">
        <v>77.358000000000004</v>
      </c>
    </row>
    <row r="2023" spans="1:7" x14ac:dyDescent="0.3">
      <c r="A2023" t="str">
        <f>IF(ISBLANK(B2023),"",IF(ROUND(B2023,0)=ROUND(G2023,0),"Pass","Fail"))</f>
        <v>Pass</v>
      </c>
      <c r="B2023">
        <f t="shared" si="133"/>
        <v>44.021228790283203</v>
      </c>
      <c r="C2023">
        <v>20</v>
      </c>
      <c r="D2023">
        <v>40</v>
      </c>
      <c r="E2023">
        <v>20</v>
      </c>
      <c r="F2023">
        <v>8</v>
      </c>
      <c r="G2023">
        <v>44.021228080722999</v>
      </c>
    </row>
    <row r="2024" spans="1:7" x14ac:dyDescent="0.3">
      <c r="A2024" t="str">
        <f>IF(ISBLANK(B2024),"",IF(ROUND(B2024,0)=ROUND(G2024,0),"Pass","Fail"))</f>
        <v>Pass</v>
      </c>
      <c r="B2024">
        <f t="shared" si="133"/>
        <v>27.239997863769531</v>
      </c>
      <c r="C2024">
        <v>20</v>
      </c>
      <c r="D2024">
        <v>40</v>
      </c>
      <c r="E2024">
        <v>20</v>
      </c>
      <c r="F2024">
        <v>16</v>
      </c>
      <c r="G2024">
        <v>27.239997247101702</v>
      </c>
    </row>
    <row r="2025" spans="1:7" x14ac:dyDescent="0.3">
      <c r="A2025" t="str">
        <f>IF(ISBLANK(B2025),"",IF(ROUND(B2025,0)=ROUND(G2025,0),"Pass","Fail"))</f>
        <v>Pass</v>
      </c>
      <c r="B2025">
        <f t="shared" si="133"/>
        <v>18.792577743530273</v>
      </c>
      <c r="C2025">
        <v>20</v>
      </c>
      <c r="D2025">
        <v>40</v>
      </c>
      <c r="E2025">
        <v>20</v>
      </c>
      <c r="F2025">
        <v>24</v>
      </c>
      <c r="G2025">
        <v>18.7925774137362</v>
      </c>
    </row>
    <row r="2026" spans="1:7" x14ac:dyDescent="0.3">
      <c r="A2026" t="str">
        <f>IF(ISBLANK(B2026),"",IF(ROUND(B2026,0)=ROUND(G2026,0),"Pass","Fail"))</f>
        <v>Pass</v>
      </c>
      <c r="B2026">
        <f t="shared" si="133"/>
        <v>14.540273666381836</v>
      </c>
      <c r="C2026">
        <v>20</v>
      </c>
      <c r="D2026">
        <v>40</v>
      </c>
      <c r="E2026">
        <v>20</v>
      </c>
      <c r="F2026">
        <v>32</v>
      </c>
      <c r="G2026">
        <v>14.540273005994599</v>
      </c>
    </row>
    <row r="2027" spans="1:7" x14ac:dyDescent="0.3">
      <c r="A2027" t="str">
        <f>IF(ISBLANK(B2027),"",IF(ROUND(B2027,0)=ROUND(G2027,0),"Pass","Fail"))</f>
        <v>Pass</v>
      </c>
      <c r="B2027">
        <f t="shared" si="133"/>
        <v>12.399726867675781</v>
      </c>
      <c r="C2027">
        <v>20</v>
      </c>
      <c r="D2027">
        <v>40</v>
      </c>
      <c r="E2027">
        <v>20</v>
      </c>
      <c r="F2027">
        <v>40</v>
      </c>
      <c r="G2027">
        <v>12.399726764327101</v>
      </c>
    </row>
    <row r="2028" spans="1:7" x14ac:dyDescent="0.3">
      <c r="A2028" t="str">
        <f>IF(ISBLANK(B2028),"",IF(ROUND(B2028,0)=ROUND(G2028,0),"Pass","Fail"))</f>
        <v>Pass</v>
      </c>
      <c r="B2028">
        <f t="shared" si="133"/>
        <v>11.322208404541016</v>
      </c>
      <c r="C2028">
        <v>20</v>
      </c>
      <c r="D2028">
        <v>40</v>
      </c>
      <c r="E2028">
        <v>20</v>
      </c>
      <c r="F2028">
        <v>48</v>
      </c>
      <c r="G2028">
        <v>11.3222079008197</v>
      </c>
    </row>
    <row r="2029" spans="1:7" x14ac:dyDescent="0.3">
      <c r="A2029" t="str">
        <f>IF(ISBLANK(B2029),"",IF(ROUND(B2029,0)=ROUND(G2029,0),"Pass","Fail"))</f>
        <v>Pass</v>
      </c>
      <c r="B2029">
        <f t="shared" si="133"/>
        <v>77.358001708984375</v>
      </c>
      <c r="C2029">
        <v>20</v>
      </c>
      <c r="D2029">
        <v>40</v>
      </c>
      <c r="E2029">
        <v>30</v>
      </c>
      <c r="F2029">
        <v>0</v>
      </c>
      <c r="G2029">
        <v>77.358000000000004</v>
      </c>
    </row>
    <row r="2030" spans="1:7" x14ac:dyDescent="0.3">
      <c r="A2030" t="str">
        <f>IF(ISBLANK(B2030),"",IF(ROUND(B2030,0)=ROUND(G2030,0),"Pass","Fail"))</f>
        <v>Pass</v>
      </c>
      <c r="B2030">
        <f t="shared" si="133"/>
        <v>44.021228790283203</v>
      </c>
      <c r="C2030">
        <v>20</v>
      </c>
      <c r="D2030">
        <v>40</v>
      </c>
      <c r="E2030">
        <v>30</v>
      </c>
      <c r="F2030">
        <v>8</v>
      </c>
      <c r="G2030">
        <v>44.021228080722999</v>
      </c>
    </row>
    <row r="2031" spans="1:7" x14ac:dyDescent="0.3">
      <c r="A2031" t="str">
        <f>IF(ISBLANK(B2031),"",IF(ROUND(B2031,0)=ROUND(G2031,0),"Pass","Fail"))</f>
        <v>Pass</v>
      </c>
      <c r="B2031">
        <f t="shared" si="133"/>
        <v>27.239997863769531</v>
      </c>
      <c r="C2031">
        <v>20</v>
      </c>
      <c r="D2031">
        <v>40</v>
      </c>
      <c r="E2031">
        <v>30</v>
      </c>
      <c r="F2031">
        <v>16</v>
      </c>
      <c r="G2031">
        <v>27.239997247101702</v>
      </c>
    </row>
    <row r="2032" spans="1:7" x14ac:dyDescent="0.3">
      <c r="A2032" t="str">
        <f>IF(ISBLANK(B2032),"",IF(ROUND(B2032,0)=ROUND(G2032,0),"Pass","Fail"))</f>
        <v>Pass</v>
      </c>
      <c r="B2032">
        <f t="shared" si="133"/>
        <v>18.792577743530273</v>
      </c>
      <c r="C2032">
        <v>20</v>
      </c>
      <c r="D2032">
        <v>40</v>
      </c>
      <c r="E2032">
        <v>30</v>
      </c>
      <c r="F2032">
        <v>24</v>
      </c>
      <c r="G2032">
        <v>18.7925774137362</v>
      </c>
    </row>
    <row r="2033" spans="1:7" x14ac:dyDescent="0.3">
      <c r="A2033" t="str">
        <f>IF(ISBLANK(B2033),"",IF(ROUND(B2033,0)=ROUND(G2033,0),"Pass","Fail"))</f>
        <v>Pass</v>
      </c>
      <c r="B2033">
        <f t="shared" si="133"/>
        <v>14.540273666381836</v>
      </c>
      <c r="C2033">
        <v>20</v>
      </c>
      <c r="D2033">
        <v>40</v>
      </c>
      <c r="E2033">
        <v>30</v>
      </c>
      <c r="F2033">
        <v>32</v>
      </c>
      <c r="G2033">
        <v>14.540273005994599</v>
      </c>
    </row>
    <row r="2034" spans="1:7" x14ac:dyDescent="0.3">
      <c r="A2034" t="str">
        <f>IF(ISBLANK(B2034),"",IF(ROUND(B2034,0)=ROUND(G2034,0),"Pass","Fail"))</f>
        <v>Pass</v>
      </c>
      <c r="B2034">
        <f t="shared" si="133"/>
        <v>12.399726867675781</v>
      </c>
      <c r="C2034">
        <v>20</v>
      </c>
      <c r="D2034">
        <v>40</v>
      </c>
      <c r="E2034">
        <v>30</v>
      </c>
      <c r="F2034">
        <v>40</v>
      </c>
      <c r="G2034">
        <v>12.399726764327101</v>
      </c>
    </row>
    <row r="2035" spans="1:7" x14ac:dyDescent="0.3">
      <c r="A2035" t="str">
        <f>IF(ISBLANK(B2035),"",IF(ROUND(B2035,0)=ROUND(G2035,0),"Pass","Fail"))</f>
        <v>Pass</v>
      </c>
      <c r="B2035">
        <f t="shared" si="133"/>
        <v>11.322208404541016</v>
      </c>
      <c r="C2035">
        <v>20</v>
      </c>
      <c r="D2035">
        <v>40</v>
      </c>
      <c r="E2035">
        <v>30</v>
      </c>
      <c r="F2035">
        <v>48</v>
      </c>
      <c r="G2035">
        <v>11.3222079008197</v>
      </c>
    </row>
    <row r="2036" spans="1:7" x14ac:dyDescent="0.3">
      <c r="A2036" t="str">
        <f>IF(ISBLANK(B2036),"",IF(ROUND(B2036,0)=ROUND(G2036,0),"Pass","Fail"))</f>
        <v>Pass</v>
      </c>
      <c r="B2036">
        <f t="shared" si="133"/>
        <v>77.358001708984375</v>
      </c>
      <c r="C2036">
        <v>20</v>
      </c>
      <c r="D2036">
        <v>40</v>
      </c>
      <c r="E2036">
        <v>40</v>
      </c>
      <c r="F2036">
        <v>0</v>
      </c>
      <c r="G2036">
        <v>77.358000000000004</v>
      </c>
    </row>
    <row r="2037" spans="1:7" x14ac:dyDescent="0.3">
      <c r="A2037" t="str">
        <f>IF(ISBLANK(B2037),"",IF(ROUND(B2037,0)=ROUND(G2037,0),"Pass","Fail"))</f>
        <v>Pass</v>
      </c>
      <c r="B2037">
        <f t="shared" si="133"/>
        <v>44.021228790283203</v>
      </c>
      <c r="C2037">
        <v>20</v>
      </c>
      <c r="D2037">
        <v>40</v>
      </c>
      <c r="E2037">
        <v>40</v>
      </c>
      <c r="F2037">
        <v>8</v>
      </c>
      <c r="G2037">
        <v>44.021228080722999</v>
      </c>
    </row>
    <row r="2038" spans="1:7" x14ac:dyDescent="0.3">
      <c r="A2038" t="str">
        <f>IF(ISBLANK(B2038),"",IF(ROUND(B2038,0)=ROUND(G2038,0),"Pass","Fail"))</f>
        <v>Pass</v>
      </c>
      <c r="B2038">
        <f t="shared" si="133"/>
        <v>27.239997863769531</v>
      </c>
      <c r="C2038">
        <v>20</v>
      </c>
      <c r="D2038">
        <v>40</v>
      </c>
      <c r="E2038">
        <v>40</v>
      </c>
      <c r="F2038">
        <v>16</v>
      </c>
      <c r="G2038">
        <v>27.239997247101702</v>
      </c>
    </row>
    <row r="2039" spans="1:7" x14ac:dyDescent="0.3">
      <c r="A2039" t="str">
        <f>IF(ISBLANK(B2039),"",IF(ROUND(B2039,0)=ROUND(G2039,0),"Pass","Fail"))</f>
        <v>Pass</v>
      </c>
      <c r="B2039">
        <f t="shared" si="133"/>
        <v>18.792577743530273</v>
      </c>
      <c r="C2039">
        <v>20</v>
      </c>
      <c r="D2039">
        <v>40</v>
      </c>
      <c r="E2039">
        <v>40</v>
      </c>
      <c r="F2039">
        <v>24</v>
      </c>
      <c r="G2039">
        <v>18.7925774137362</v>
      </c>
    </row>
    <row r="2040" spans="1:7" x14ac:dyDescent="0.3">
      <c r="A2040" t="str">
        <f>IF(ISBLANK(B2040),"",IF(ROUND(B2040,0)=ROUND(G2040,0),"Pass","Fail"))</f>
        <v>Pass</v>
      </c>
      <c r="B2040">
        <f t="shared" si="133"/>
        <v>14.540273666381836</v>
      </c>
      <c r="C2040">
        <v>20</v>
      </c>
      <c r="D2040">
        <v>40</v>
      </c>
      <c r="E2040">
        <v>40</v>
      </c>
      <c r="F2040">
        <v>32</v>
      </c>
      <c r="G2040">
        <v>14.540273005994599</v>
      </c>
    </row>
    <row r="2041" spans="1:7" x14ac:dyDescent="0.3">
      <c r="A2041" t="str">
        <f>IF(ISBLANK(B2041),"",IF(ROUND(B2041,0)=ROUND(G2041,0),"Pass","Fail"))</f>
        <v>Pass</v>
      </c>
      <c r="B2041">
        <f t="shared" si="133"/>
        <v>12.399726867675781</v>
      </c>
      <c r="C2041">
        <v>20</v>
      </c>
      <c r="D2041">
        <v>40</v>
      </c>
      <c r="E2041">
        <v>40</v>
      </c>
      <c r="F2041">
        <v>40</v>
      </c>
      <c r="G2041">
        <v>12.399726764327101</v>
      </c>
    </row>
    <row r="2042" spans="1:7" x14ac:dyDescent="0.3">
      <c r="A2042" t="str">
        <f>IF(ISBLANK(B2042),"",IF(ROUND(B2042,0)=ROUND(G2042,0),"Pass","Fail"))</f>
        <v>Pass</v>
      </c>
      <c r="B2042">
        <f t="shared" si="133"/>
        <v>11.322208404541016</v>
      </c>
      <c r="C2042">
        <v>20</v>
      </c>
      <c r="D2042">
        <v>40</v>
      </c>
      <c r="E2042">
        <v>40</v>
      </c>
      <c r="F2042">
        <v>48</v>
      </c>
      <c r="G2042">
        <v>11.3222079008197</v>
      </c>
    </row>
    <row r="2043" spans="1:7" x14ac:dyDescent="0.3">
      <c r="A2043" t="str">
        <f>IF(ISBLANK(B2043),"",IF(ROUND(B2043,0)=ROUND(G2043,0),"Pass","Fail"))</f>
        <v>Pass</v>
      </c>
      <c r="B2043">
        <f t="shared" si="133"/>
        <v>77.358001708984375</v>
      </c>
      <c r="C2043">
        <v>20</v>
      </c>
      <c r="D2043">
        <v>40</v>
      </c>
      <c r="E2043">
        <v>50</v>
      </c>
      <c r="F2043">
        <v>0</v>
      </c>
      <c r="G2043">
        <v>77.358000000000004</v>
      </c>
    </row>
    <row r="2044" spans="1:7" x14ac:dyDescent="0.3">
      <c r="A2044" t="str">
        <f>IF(ISBLANK(B2044),"",IF(ROUND(B2044,0)=ROUND(G2044,0),"Pass","Fail"))</f>
        <v>Pass</v>
      </c>
      <c r="B2044">
        <f t="shared" si="133"/>
        <v>44.021228790283203</v>
      </c>
      <c r="C2044">
        <v>20</v>
      </c>
      <c r="D2044">
        <v>40</v>
      </c>
      <c r="E2044">
        <v>50</v>
      </c>
      <c r="F2044">
        <v>8</v>
      </c>
      <c r="G2044">
        <v>44.021228080722999</v>
      </c>
    </row>
    <row r="2045" spans="1:7" x14ac:dyDescent="0.3">
      <c r="A2045" t="str">
        <f>IF(ISBLANK(B2045),"",IF(ROUND(B2045,0)=ROUND(G2045,0),"Pass","Fail"))</f>
        <v>Pass</v>
      </c>
      <c r="B2045">
        <f t="shared" si="133"/>
        <v>27.239997863769531</v>
      </c>
      <c r="C2045">
        <v>20</v>
      </c>
      <c r="D2045">
        <v>40</v>
      </c>
      <c r="E2045">
        <v>50</v>
      </c>
      <c r="F2045">
        <v>16</v>
      </c>
      <c r="G2045">
        <v>27.239997247101702</v>
      </c>
    </row>
    <row r="2046" spans="1:7" x14ac:dyDescent="0.3">
      <c r="A2046" t="str">
        <f>IF(ISBLANK(B2046),"",IF(ROUND(B2046,0)=ROUND(G2046,0),"Pass","Fail"))</f>
        <v>Pass</v>
      </c>
      <c r="B2046">
        <f t="shared" si="133"/>
        <v>18.792577743530273</v>
      </c>
      <c r="C2046">
        <v>20</v>
      </c>
      <c r="D2046">
        <v>40</v>
      </c>
      <c r="E2046">
        <v>50</v>
      </c>
      <c r="F2046">
        <v>24</v>
      </c>
      <c r="G2046">
        <v>18.7925774137362</v>
      </c>
    </row>
    <row r="2047" spans="1:7" x14ac:dyDescent="0.3">
      <c r="A2047" t="str">
        <f>IF(ISBLANK(B2047),"",IF(ROUND(B2047,0)=ROUND(G2047,0),"Pass","Fail"))</f>
        <v>Pass</v>
      </c>
      <c r="B2047">
        <f t="shared" si="133"/>
        <v>14.540273666381836</v>
      </c>
      <c r="C2047">
        <v>20</v>
      </c>
      <c r="D2047">
        <v>40</v>
      </c>
      <c r="E2047">
        <v>50</v>
      </c>
      <c r="F2047">
        <v>32</v>
      </c>
      <c r="G2047">
        <v>14.540273005994599</v>
      </c>
    </row>
    <row r="2048" spans="1:7" x14ac:dyDescent="0.3">
      <c r="A2048" t="str">
        <f>IF(ISBLANK(B2048),"",IF(ROUND(B2048,0)=ROUND(G2048,0),"Pass","Fail"))</f>
        <v>Pass</v>
      </c>
      <c r="B2048">
        <f t="shared" si="133"/>
        <v>12.399726867675781</v>
      </c>
      <c r="C2048">
        <v>20</v>
      </c>
      <c r="D2048">
        <v>40</v>
      </c>
      <c r="E2048">
        <v>50</v>
      </c>
      <c r="F2048">
        <v>40</v>
      </c>
      <c r="G2048">
        <v>12.399726764327101</v>
      </c>
    </row>
    <row r="2049" spans="1:7" x14ac:dyDescent="0.3">
      <c r="A2049" t="str">
        <f>IF(ISBLANK(B2049),"",IF(ROUND(B2049,0)=ROUND(G2049,0),"Pass","Fail"))</f>
        <v>Pass</v>
      </c>
      <c r="B2049">
        <f t="shared" si="133"/>
        <v>11.322208404541016</v>
      </c>
      <c r="C2049">
        <v>20</v>
      </c>
      <c r="D2049">
        <v>40</v>
      </c>
      <c r="E2049">
        <v>50</v>
      </c>
      <c r="F2049">
        <v>48</v>
      </c>
      <c r="G2049">
        <v>11.3222079008197</v>
      </c>
    </row>
    <row r="2050" spans="1:7" x14ac:dyDescent="0.3">
      <c r="A2050" t="str">
        <f>IF(ISBLANK(B2050),"",IF(ROUND(B2050,0)=ROUND(G2050,0),"Pass","Fail"))</f>
        <v>Pass</v>
      </c>
      <c r="B2050">
        <f t="shared" si="133"/>
        <v>77.358001708984375</v>
      </c>
      <c r="C2050">
        <v>20</v>
      </c>
      <c r="D2050">
        <v>40</v>
      </c>
      <c r="E2050">
        <v>60</v>
      </c>
      <c r="F2050">
        <v>0</v>
      </c>
      <c r="G2050">
        <v>77.358000000000004</v>
      </c>
    </row>
    <row r="2051" spans="1:7" x14ac:dyDescent="0.3">
      <c r="A2051" t="str">
        <f>IF(ISBLANK(B2051),"",IF(ROUND(B2051,0)=ROUND(G2051,0),"Pass","Fail"))</f>
        <v>Pass</v>
      </c>
      <c r="B2051">
        <f t="shared" si="133"/>
        <v>44.021228790283203</v>
      </c>
      <c r="C2051">
        <v>20</v>
      </c>
      <c r="D2051">
        <v>40</v>
      </c>
      <c r="E2051">
        <v>60</v>
      </c>
      <c r="F2051">
        <v>8</v>
      </c>
      <c r="G2051">
        <v>44.021228080722999</v>
      </c>
    </row>
    <row r="2052" spans="1:7" x14ac:dyDescent="0.3">
      <c r="A2052" t="str">
        <f>IF(ISBLANK(B2052),"",IF(ROUND(B2052,0)=ROUND(G2052,0),"Pass","Fail"))</f>
        <v>Pass</v>
      </c>
      <c r="B2052">
        <f t="shared" si="133"/>
        <v>27.239997863769531</v>
      </c>
      <c r="C2052">
        <v>20</v>
      </c>
      <c r="D2052">
        <v>40</v>
      </c>
      <c r="E2052">
        <v>60</v>
      </c>
      <c r="F2052">
        <v>16</v>
      </c>
      <c r="G2052">
        <v>27.239997247101702</v>
      </c>
    </row>
    <row r="2053" spans="1:7" x14ac:dyDescent="0.3">
      <c r="A2053" t="str">
        <f>IF(ISBLANK(B2053),"",IF(ROUND(B2053,0)=ROUND(G2053,0),"Pass","Fail"))</f>
        <v>Pass</v>
      </c>
      <c r="B2053">
        <f t="shared" si="133"/>
        <v>18.792577743530273</v>
      </c>
      <c r="C2053">
        <v>20</v>
      </c>
      <c r="D2053">
        <v>40</v>
      </c>
      <c r="E2053">
        <v>60</v>
      </c>
      <c r="F2053">
        <v>24</v>
      </c>
      <c r="G2053">
        <v>18.7925774137362</v>
      </c>
    </row>
    <row r="2054" spans="1:7" x14ac:dyDescent="0.3">
      <c r="A2054" t="str">
        <f>IF(ISBLANK(B2054),"",IF(ROUND(B2054,0)=ROUND(G2054,0),"Pass","Fail"))</f>
        <v>Pass</v>
      </c>
      <c r="B2054">
        <f t="shared" si="133"/>
        <v>14.540273666381836</v>
      </c>
      <c r="C2054">
        <v>20</v>
      </c>
      <c r="D2054">
        <v>40</v>
      </c>
      <c r="E2054">
        <v>60</v>
      </c>
      <c r="F2054">
        <v>32</v>
      </c>
      <c r="G2054">
        <v>14.540273005994599</v>
      </c>
    </row>
    <row r="2055" spans="1:7" x14ac:dyDescent="0.3">
      <c r="A2055" t="str">
        <f>IF(ISBLANK(B2055),"",IF(ROUND(B2055,0)=ROUND(G2055,0),"Pass","Fail"))</f>
        <v>Pass</v>
      </c>
      <c r="B2055">
        <f t="shared" ref="B2055:B2118" si="134">FMC_heath(C2055,D2055,E2055,F2055)</f>
        <v>12.399726867675781</v>
      </c>
      <c r="C2055">
        <v>20</v>
      </c>
      <c r="D2055">
        <v>40</v>
      </c>
      <c r="E2055">
        <v>60</v>
      </c>
      <c r="F2055">
        <v>40</v>
      </c>
      <c r="G2055">
        <v>12.399726764327101</v>
      </c>
    </row>
    <row r="2056" spans="1:7" x14ac:dyDescent="0.3">
      <c r="A2056" t="str">
        <f>IF(ISBLANK(B2056),"",IF(ROUND(B2056,0)=ROUND(G2056,0),"Pass","Fail"))</f>
        <v>Pass</v>
      </c>
      <c r="B2056">
        <f t="shared" si="134"/>
        <v>11.322208404541016</v>
      </c>
      <c r="C2056">
        <v>20</v>
      </c>
      <c r="D2056">
        <v>40</v>
      </c>
      <c r="E2056">
        <v>60</v>
      </c>
      <c r="F2056">
        <v>48</v>
      </c>
      <c r="G2056">
        <v>11.3222079008197</v>
      </c>
    </row>
    <row r="2057" spans="1:7" x14ac:dyDescent="0.3">
      <c r="A2057" t="str">
        <f>IF(ISBLANK(B2057),"",IF(ROUND(B2057,0)=ROUND(G2057,0),"Pass","Fail"))</f>
        <v>Pass</v>
      </c>
      <c r="B2057">
        <f t="shared" si="134"/>
        <v>77.358001708984375</v>
      </c>
      <c r="C2057">
        <v>20</v>
      </c>
      <c r="D2057">
        <v>40</v>
      </c>
      <c r="E2057">
        <v>70</v>
      </c>
      <c r="F2057">
        <v>0</v>
      </c>
      <c r="G2057">
        <v>77.358000000000004</v>
      </c>
    </row>
    <row r="2058" spans="1:7" x14ac:dyDescent="0.3">
      <c r="A2058" t="str">
        <f>IF(ISBLANK(B2058),"",IF(ROUND(B2058,0)=ROUND(G2058,0),"Pass","Fail"))</f>
        <v>Pass</v>
      </c>
      <c r="B2058">
        <f t="shared" si="134"/>
        <v>44.021228790283203</v>
      </c>
      <c r="C2058">
        <v>20</v>
      </c>
      <c r="D2058">
        <v>40</v>
      </c>
      <c r="E2058">
        <v>70</v>
      </c>
      <c r="F2058">
        <v>8</v>
      </c>
      <c r="G2058">
        <v>44.021228080722999</v>
      </c>
    </row>
    <row r="2059" spans="1:7" x14ac:dyDescent="0.3">
      <c r="A2059" t="str">
        <f>IF(ISBLANK(B2059),"",IF(ROUND(B2059,0)=ROUND(G2059,0),"Pass","Fail"))</f>
        <v>Pass</v>
      </c>
      <c r="B2059">
        <f t="shared" si="134"/>
        <v>27.239997863769531</v>
      </c>
      <c r="C2059">
        <v>20</v>
      </c>
      <c r="D2059">
        <v>40</v>
      </c>
      <c r="E2059">
        <v>70</v>
      </c>
      <c r="F2059">
        <v>16</v>
      </c>
      <c r="G2059">
        <v>27.239997247101702</v>
      </c>
    </row>
    <row r="2060" spans="1:7" x14ac:dyDescent="0.3">
      <c r="A2060" t="str">
        <f>IF(ISBLANK(B2060),"",IF(ROUND(B2060,0)=ROUND(G2060,0),"Pass","Fail"))</f>
        <v>Pass</v>
      </c>
      <c r="B2060">
        <f t="shared" si="134"/>
        <v>18.792577743530273</v>
      </c>
      <c r="C2060">
        <v>20</v>
      </c>
      <c r="D2060">
        <v>40</v>
      </c>
      <c r="E2060">
        <v>70</v>
      </c>
      <c r="F2060">
        <v>24</v>
      </c>
      <c r="G2060">
        <v>18.7925774137362</v>
      </c>
    </row>
    <row r="2061" spans="1:7" x14ac:dyDescent="0.3">
      <c r="A2061" t="str">
        <f>IF(ISBLANK(B2061),"",IF(ROUND(B2061,0)=ROUND(G2061,0),"Pass","Fail"))</f>
        <v>Pass</v>
      </c>
      <c r="B2061">
        <f t="shared" si="134"/>
        <v>14.540273666381836</v>
      </c>
      <c r="C2061">
        <v>20</v>
      </c>
      <c r="D2061">
        <v>40</v>
      </c>
      <c r="E2061">
        <v>70</v>
      </c>
      <c r="F2061">
        <v>32</v>
      </c>
      <c r="G2061">
        <v>14.540273005994599</v>
      </c>
    </row>
    <row r="2062" spans="1:7" x14ac:dyDescent="0.3">
      <c r="A2062" t="str">
        <f>IF(ISBLANK(B2062),"",IF(ROUND(B2062,0)=ROUND(G2062,0),"Pass","Fail"))</f>
        <v>Pass</v>
      </c>
      <c r="B2062">
        <f t="shared" si="134"/>
        <v>12.399726867675781</v>
      </c>
      <c r="C2062">
        <v>20</v>
      </c>
      <c r="D2062">
        <v>40</v>
      </c>
      <c r="E2062">
        <v>70</v>
      </c>
      <c r="F2062">
        <v>40</v>
      </c>
      <c r="G2062">
        <v>12.399726764327101</v>
      </c>
    </row>
    <row r="2063" spans="1:7" x14ac:dyDescent="0.3">
      <c r="A2063" t="str">
        <f>IF(ISBLANK(B2063),"",IF(ROUND(B2063,0)=ROUND(G2063,0),"Pass","Fail"))</f>
        <v>Pass</v>
      </c>
      <c r="B2063">
        <f t="shared" si="134"/>
        <v>11.322208404541016</v>
      </c>
      <c r="C2063">
        <v>20</v>
      </c>
      <c r="D2063">
        <v>40</v>
      </c>
      <c r="E2063">
        <v>70</v>
      </c>
      <c r="F2063">
        <v>48</v>
      </c>
      <c r="G2063">
        <v>11.3222079008197</v>
      </c>
    </row>
    <row r="2064" spans="1:7" x14ac:dyDescent="0.3">
      <c r="A2064" t="str">
        <f>IF(ISBLANK(B2064),"",IF(ROUND(B2064,0)=ROUND(G2064,0),"Pass","Fail"))</f>
        <v>Pass</v>
      </c>
      <c r="B2064">
        <f t="shared" si="134"/>
        <v>77.358001708984375</v>
      </c>
      <c r="C2064">
        <v>20</v>
      </c>
      <c r="D2064">
        <v>40</v>
      </c>
      <c r="E2064">
        <v>80</v>
      </c>
      <c r="F2064">
        <v>0</v>
      </c>
      <c r="G2064">
        <v>77.358000000000004</v>
      </c>
    </row>
    <row r="2065" spans="1:7" x14ac:dyDescent="0.3">
      <c r="A2065" t="str">
        <f>IF(ISBLANK(B2065),"",IF(ROUND(B2065,0)=ROUND(G2065,0),"Pass","Fail"))</f>
        <v>Pass</v>
      </c>
      <c r="B2065">
        <f t="shared" si="134"/>
        <v>44.021228790283203</v>
      </c>
      <c r="C2065">
        <v>20</v>
      </c>
      <c r="D2065">
        <v>40</v>
      </c>
      <c r="E2065">
        <v>80</v>
      </c>
      <c r="F2065">
        <v>8</v>
      </c>
      <c r="G2065">
        <v>44.021228080722999</v>
      </c>
    </row>
    <row r="2066" spans="1:7" x14ac:dyDescent="0.3">
      <c r="A2066" t="str">
        <f>IF(ISBLANK(B2066),"",IF(ROUND(B2066,0)=ROUND(G2066,0),"Pass","Fail"))</f>
        <v>Pass</v>
      </c>
      <c r="B2066">
        <f t="shared" si="134"/>
        <v>27.239997863769531</v>
      </c>
      <c r="C2066">
        <v>20</v>
      </c>
      <c r="D2066">
        <v>40</v>
      </c>
      <c r="E2066">
        <v>80</v>
      </c>
      <c r="F2066">
        <v>16</v>
      </c>
      <c r="G2066">
        <v>27.239997247101702</v>
      </c>
    </row>
    <row r="2067" spans="1:7" x14ac:dyDescent="0.3">
      <c r="A2067" t="str">
        <f>IF(ISBLANK(B2067),"",IF(ROUND(B2067,0)=ROUND(G2067,0),"Pass","Fail"))</f>
        <v>Pass</v>
      </c>
      <c r="B2067">
        <f t="shared" si="134"/>
        <v>18.792577743530273</v>
      </c>
      <c r="C2067">
        <v>20</v>
      </c>
      <c r="D2067">
        <v>40</v>
      </c>
      <c r="E2067">
        <v>80</v>
      </c>
      <c r="F2067">
        <v>24</v>
      </c>
      <c r="G2067">
        <v>18.7925774137362</v>
      </c>
    </row>
    <row r="2068" spans="1:7" x14ac:dyDescent="0.3">
      <c r="A2068" t="str">
        <f>IF(ISBLANK(B2068),"",IF(ROUND(B2068,0)=ROUND(G2068,0),"Pass","Fail"))</f>
        <v>Pass</v>
      </c>
      <c r="B2068">
        <f t="shared" si="134"/>
        <v>14.540273666381836</v>
      </c>
      <c r="C2068">
        <v>20</v>
      </c>
      <c r="D2068">
        <v>40</v>
      </c>
      <c r="E2068">
        <v>80</v>
      </c>
      <c r="F2068">
        <v>32</v>
      </c>
      <c r="G2068">
        <v>14.540273005994599</v>
      </c>
    </row>
    <row r="2069" spans="1:7" x14ac:dyDescent="0.3">
      <c r="A2069" t="str">
        <f>IF(ISBLANK(B2069),"",IF(ROUND(B2069,0)=ROUND(G2069,0),"Pass","Fail"))</f>
        <v>Pass</v>
      </c>
      <c r="B2069">
        <f t="shared" si="134"/>
        <v>12.399726867675781</v>
      </c>
      <c r="C2069">
        <v>20</v>
      </c>
      <c r="D2069">
        <v>40</v>
      </c>
      <c r="E2069">
        <v>80</v>
      </c>
      <c r="F2069">
        <v>40</v>
      </c>
      <c r="G2069">
        <v>12.399726764327101</v>
      </c>
    </row>
    <row r="2070" spans="1:7" x14ac:dyDescent="0.3">
      <c r="A2070" t="str">
        <f>IF(ISBLANK(B2070),"",IF(ROUND(B2070,0)=ROUND(G2070,0),"Pass","Fail"))</f>
        <v>Pass</v>
      </c>
      <c r="B2070">
        <f t="shared" si="134"/>
        <v>11.322208404541016</v>
      </c>
      <c r="C2070">
        <v>20</v>
      </c>
      <c r="D2070">
        <v>40</v>
      </c>
      <c r="E2070">
        <v>80</v>
      </c>
      <c r="F2070">
        <v>48</v>
      </c>
      <c r="G2070">
        <v>11.3222079008197</v>
      </c>
    </row>
    <row r="2071" spans="1:7" x14ac:dyDescent="0.3">
      <c r="A2071" t="str">
        <f>IF(ISBLANK(B2071),"",IF(ROUND(B2071,0)=ROUND(G2071,0),"Pass","Fail"))</f>
        <v>Pass</v>
      </c>
      <c r="B2071">
        <f t="shared" si="134"/>
        <v>77.358001708984375</v>
      </c>
      <c r="C2071">
        <v>20</v>
      </c>
      <c r="D2071">
        <v>40</v>
      </c>
      <c r="E2071">
        <v>90</v>
      </c>
      <c r="F2071">
        <v>0</v>
      </c>
      <c r="G2071">
        <v>77.358000000000004</v>
      </c>
    </row>
    <row r="2072" spans="1:7" x14ac:dyDescent="0.3">
      <c r="A2072" t="str">
        <f>IF(ISBLANK(B2072),"",IF(ROUND(B2072,0)=ROUND(G2072,0),"Pass","Fail"))</f>
        <v>Pass</v>
      </c>
      <c r="B2072">
        <f t="shared" si="134"/>
        <v>44.021228790283203</v>
      </c>
      <c r="C2072">
        <v>20</v>
      </c>
      <c r="D2072">
        <v>40</v>
      </c>
      <c r="E2072">
        <v>90</v>
      </c>
      <c r="F2072">
        <v>8</v>
      </c>
      <c r="G2072">
        <v>44.021228080722999</v>
      </c>
    </row>
    <row r="2073" spans="1:7" x14ac:dyDescent="0.3">
      <c r="A2073" t="str">
        <f>IF(ISBLANK(B2073),"",IF(ROUND(B2073,0)=ROUND(G2073,0),"Pass","Fail"))</f>
        <v>Pass</v>
      </c>
      <c r="B2073">
        <f t="shared" si="134"/>
        <v>27.239997863769531</v>
      </c>
      <c r="C2073">
        <v>20</v>
      </c>
      <c r="D2073">
        <v>40</v>
      </c>
      <c r="E2073">
        <v>90</v>
      </c>
      <c r="F2073">
        <v>16</v>
      </c>
      <c r="G2073">
        <v>27.239997247101702</v>
      </c>
    </row>
    <row r="2074" spans="1:7" x14ac:dyDescent="0.3">
      <c r="A2074" t="str">
        <f>IF(ISBLANK(B2074),"",IF(ROUND(B2074,0)=ROUND(G2074,0),"Pass","Fail"))</f>
        <v>Pass</v>
      </c>
      <c r="B2074">
        <f t="shared" si="134"/>
        <v>18.792577743530273</v>
      </c>
      <c r="C2074">
        <v>20</v>
      </c>
      <c r="D2074">
        <v>40</v>
      </c>
      <c r="E2074">
        <v>90</v>
      </c>
      <c r="F2074">
        <v>24</v>
      </c>
      <c r="G2074">
        <v>18.7925774137362</v>
      </c>
    </row>
    <row r="2075" spans="1:7" x14ac:dyDescent="0.3">
      <c r="A2075" t="str">
        <f>IF(ISBLANK(B2075),"",IF(ROUND(B2075,0)=ROUND(G2075,0),"Pass","Fail"))</f>
        <v>Pass</v>
      </c>
      <c r="B2075">
        <f t="shared" si="134"/>
        <v>14.540273666381836</v>
      </c>
      <c r="C2075">
        <v>20</v>
      </c>
      <c r="D2075">
        <v>40</v>
      </c>
      <c r="E2075">
        <v>90</v>
      </c>
      <c r="F2075">
        <v>32</v>
      </c>
      <c r="G2075">
        <v>14.540273005994599</v>
      </c>
    </row>
    <row r="2076" spans="1:7" x14ac:dyDescent="0.3">
      <c r="A2076" t="str">
        <f>IF(ISBLANK(B2076),"",IF(ROUND(B2076,0)=ROUND(G2076,0),"Pass","Fail"))</f>
        <v>Pass</v>
      </c>
      <c r="B2076">
        <f t="shared" si="134"/>
        <v>12.399726867675781</v>
      </c>
      <c r="C2076">
        <v>20</v>
      </c>
      <c r="D2076">
        <v>40</v>
      </c>
      <c r="E2076">
        <v>90</v>
      </c>
      <c r="F2076">
        <v>40</v>
      </c>
      <c r="G2076">
        <v>12.399726764327101</v>
      </c>
    </row>
    <row r="2077" spans="1:7" x14ac:dyDescent="0.3">
      <c r="A2077" t="str">
        <f>IF(ISBLANK(B2077),"",IF(ROUND(B2077,0)=ROUND(G2077,0),"Pass","Fail"))</f>
        <v>Pass</v>
      </c>
      <c r="B2077">
        <f t="shared" si="134"/>
        <v>11.322208404541016</v>
      </c>
      <c r="C2077">
        <v>20</v>
      </c>
      <c r="D2077">
        <v>40</v>
      </c>
      <c r="E2077">
        <v>90</v>
      </c>
      <c r="F2077">
        <v>48</v>
      </c>
      <c r="G2077">
        <v>11.3222079008197</v>
      </c>
    </row>
    <row r="2078" spans="1:7" x14ac:dyDescent="0.3">
      <c r="A2078" t="str">
        <f>IF(ISBLANK(B2078),"",IF(ROUND(B2078,0)=ROUND(G2078,0),"Pass","Fail"))</f>
        <v>Pass</v>
      </c>
      <c r="B2078">
        <f t="shared" si="134"/>
        <v>77.358001708984375</v>
      </c>
      <c r="C2078">
        <v>20</v>
      </c>
      <c r="D2078">
        <v>40</v>
      </c>
      <c r="E2078">
        <v>100</v>
      </c>
      <c r="F2078">
        <v>0</v>
      </c>
      <c r="G2078">
        <v>77.358000000000004</v>
      </c>
    </row>
    <row r="2079" spans="1:7" x14ac:dyDescent="0.3">
      <c r="A2079" t="str">
        <f>IF(ISBLANK(B2079),"",IF(ROUND(B2079,0)=ROUND(G2079,0),"Pass","Fail"))</f>
        <v>Pass</v>
      </c>
      <c r="B2079">
        <f t="shared" si="134"/>
        <v>44.021228790283203</v>
      </c>
      <c r="C2079">
        <v>20</v>
      </c>
      <c r="D2079">
        <v>40</v>
      </c>
      <c r="E2079">
        <v>100</v>
      </c>
      <c r="F2079">
        <v>8</v>
      </c>
      <c r="G2079">
        <v>44.021228080722999</v>
      </c>
    </row>
    <row r="2080" spans="1:7" x14ac:dyDescent="0.3">
      <c r="A2080" t="str">
        <f>IF(ISBLANK(B2080),"",IF(ROUND(B2080,0)=ROUND(G2080,0),"Pass","Fail"))</f>
        <v>Pass</v>
      </c>
      <c r="B2080">
        <f t="shared" si="134"/>
        <v>27.239997863769531</v>
      </c>
      <c r="C2080">
        <v>20</v>
      </c>
      <c r="D2080">
        <v>40</v>
      </c>
      <c r="E2080">
        <v>100</v>
      </c>
      <c r="F2080">
        <v>16</v>
      </c>
      <c r="G2080">
        <v>27.239997247101702</v>
      </c>
    </row>
    <row r="2081" spans="1:7" x14ac:dyDescent="0.3">
      <c r="A2081" t="str">
        <f>IF(ISBLANK(B2081),"",IF(ROUND(B2081,0)=ROUND(G2081,0),"Pass","Fail"))</f>
        <v>Pass</v>
      </c>
      <c r="B2081">
        <f t="shared" si="134"/>
        <v>18.792577743530273</v>
      </c>
      <c r="C2081">
        <v>20</v>
      </c>
      <c r="D2081">
        <v>40</v>
      </c>
      <c r="E2081">
        <v>100</v>
      </c>
      <c r="F2081">
        <v>24</v>
      </c>
      <c r="G2081">
        <v>18.7925774137362</v>
      </c>
    </row>
    <row r="2082" spans="1:7" x14ac:dyDescent="0.3">
      <c r="A2082" t="str">
        <f>IF(ISBLANK(B2082),"",IF(ROUND(B2082,0)=ROUND(G2082,0),"Pass","Fail"))</f>
        <v>Pass</v>
      </c>
      <c r="B2082">
        <f t="shared" si="134"/>
        <v>14.540273666381836</v>
      </c>
      <c r="C2082">
        <v>20</v>
      </c>
      <c r="D2082">
        <v>40</v>
      </c>
      <c r="E2082">
        <v>100</v>
      </c>
      <c r="F2082">
        <v>32</v>
      </c>
      <c r="G2082">
        <v>14.540273005994599</v>
      </c>
    </row>
    <row r="2083" spans="1:7" x14ac:dyDescent="0.3">
      <c r="A2083" t="str">
        <f>IF(ISBLANK(B2083),"",IF(ROUND(B2083,0)=ROUND(G2083,0),"Pass","Fail"))</f>
        <v>Pass</v>
      </c>
      <c r="B2083">
        <f t="shared" si="134"/>
        <v>12.399726867675781</v>
      </c>
      <c r="C2083">
        <v>20</v>
      </c>
      <c r="D2083">
        <v>40</v>
      </c>
      <c r="E2083">
        <v>100</v>
      </c>
      <c r="F2083">
        <v>40</v>
      </c>
      <c r="G2083">
        <v>12.399726764327101</v>
      </c>
    </row>
    <row r="2084" spans="1:7" x14ac:dyDescent="0.3">
      <c r="A2084" t="str">
        <f>IF(ISBLANK(B2084),"",IF(ROUND(B2084,0)=ROUND(G2084,0),"Pass","Fail"))</f>
        <v>Pass</v>
      </c>
      <c r="B2084">
        <f t="shared" si="134"/>
        <v>11.322208404541016</v>
      </c>
      <c r="C2084">
        <v>20</v>
      </c>
      <c r="D2084">
        <v>40</v>
      </c>
      <c r="E2084">
        <v>100</v>
      </c>
      <c r="F2084">
        <v>48</v>
      </c>
      <c r="G2084">
        <v>11.3222079008197</v>
      </c>
    </row>
    <row r="2085" spans="1:7" x14ac:dyDescent="0.3">
      <c r="A2085" t="str">
        <f>IF(ISBLANK(B2085),"",IF(ROUND(B2085,0)=ROUND(G2085,0),"Pass","Fail"))</f>
        <v>Pass</v>
      </c>
      <c r="B2085">
        <f t="shared" si="134"/>
        <v>11.569999694824219</v>
      </c>
      <c r="C2085">
        <v>20</v>
      </c>
      <c r="D2085">
        <v>50</v>
      </c>
      <c r="E2085">
        <v>0</v>
      </c>
      <c r="F2085">
        <v>0</v>
      </c>
      <c r="G2085">
        <v>11.57</v>
      </c>
    </row>
    <row r="2086" spans="1:7" x14ac:dyDescent="0.3">
      <c r="A2086" t="str">
        <f>IF(ISBLANK(B2086),"",IF(ROUND(B2086,0)=ROUND(G2086,0),"Pass","Fail"))</f>
        <v>Pass</v>
      </c>
      <c r="B2086">
        <f t="shared" si="134"/>
        <v>11.569999694824219</v>
      </c>
      <c r="C2086">
        <v>20</v>
      </c>
      <c r="D2086">
        <v>50</v>
      </c>
      <c r="E2086">
        <v>0</v>
      </c>
      <c r="F2086">
        <v>8</v>
      </c>
      <c r="G2086">
        <v>11.57</v>
      </c>
    </row>
    <row r="2087" spans="1:7" x14ac:dyDescent="0.3">
      <c r="A2087" t="str">
        <f>IF(ISBLANK(B2087),"",IF(ROUND(B2087,0)=ROUND(G2087,0),"Pass","Fail"))</f>
        <v>Pass</v>
      </c>
      <c r="B2087">
        <f t="shared" si="134"/>
        <v>11.569999694824219</v>
      </c>
      <c r="C2087">
        <v>20</v>
      </c>
      <c r="D2087">
        <v>50</v>
      </c>
      <c r="E2087">
        <v>0</v>
      </c>
      <c r="F2087">
        <v>16</v>
      </c>
      <c r="G2087">
        <v>11.57</v>
      </c>
    </row>
    <row r="2088" spans="1:7" x14ac:dyDescent="0.3">
      <c r="A2088" t="str">
        <f>IF(ISBLANK(B2088),"",IF(ROUND(B2088,0)=ROUND(G2088,0),"Pass","Fail"))</f>
        <v>Pass</v>
      </c>
      <c r="B2088">
        <f t="shared" si="134"/>
        <v>11.569999694824219</v>
      </c>
      <c r="C2088">
        <v>20</v>
      </c>
      <c r="D2088">
        <v>50</v>
      </c>
      <c r="E2088">
        <v>0</v>
      </c>
      <c r="F2088">
        <v>24</v>
      </c>
      <c r="G2088">
        <v>11.57</v>
      </c>
    </row>
    <row r="2089" spans="1:7" x14ac:dyDescent="0.3">
      <c r="A2089" t="str">
        <f>IF(ISBLANK(B2089),"",IF(ROUND(B2089,0)=ROUND(G2089,0),"Pass","Fail"))</f>
        <v>Pass</v>
      </c>
      <c r="B2089">
        <f t="shared" si="134"/>
        <v>11.569999694824219</v>
      </c>
      <c r="C2089">
        <v>20</v>
      </c>
      <c r="D2089">
        <v>50</v>
      </c>
      <c r="E2089">
        <v>0</v>
      </c>
      <c r="F2089">
        <v>32</v>
      </c>
      <c r="G2089">
        <v>11.57</v>
      </c>
    </row>
    <row r="2090" spans="1:7" x14ac:dyDescent="0.3">
      <c r="A2090" t="str">
        <f>IF(ISBLANK(B2090),"",IF(ROUND(B2090,0)=ROUND(G2090,0),"Pass","Fail"))</f>
        <v>Pass</v>
      </c>
      <c r="B2090">
        <f t="shared" si="134"/>
        <v>11.569999694824219</v>
      </c>
      <c r="C2090">
        <v>20</v>
      </c>
      <c r="D2090">
        <v>50</v>
      </c>
      <c r="E2090">
        <v>0</v>
      </c>
      <c r="F2090">
        <v>40</v>
      </c>
      <c r="G2090">
        <v>11.57</v>
      </c>
    </row>
    <row r="2091" spans="1:7" x14ac:dyDescent="0.3">
      <c r="A2091" t="str">
        <f>IF(ISBLANK(B2091),"",IF(ROUND(B2091,0)=ROUND(G2091,0),"Pass","Fail"))</f>
        <v>Pass</v>
      </c>
      <c r="B2091">
        <f t="shared" si="134"/>
        <v>11.569999694824219</v>
      </c>
      <c r="C2091">
        <v>20</v>
      </c>
      <c r="D2091">
        <v>50</v>
      </c>
      <c r="E2091">
        <v>0</v>
      </c>
      <c r="F2091">
        <v>48</v>
      </c>
      <c r="G2091">
        <v>11.57</v>
      </c>
    </row>
    <row r="2092" spans="1:7" x14ac:dyDescent="0.3">
      <c r="A2092" t="str">
        <f>IF(ISBLANK(B2092),"",IF(ROUND(B2092,0)=ROUND(G2092,0),"Pass","Fail"))</f>
        <v>Pass</v>
      </c>
      <c r="B2092">
        <f t="shared" si="134"/>
        <v>78.697998046875</v>
      </c>
      <c r="C2092">
        <v>20</v>
      </c>
      <c r="D2092">
        <v>50</v>
      </c>
      <c r="E2092">
        <v>10</v>
      </c>
      <c r="F2092">
        <v>0</v>
      </c>
      <c r="G2092">
        <v>78.697999999998302</v>
      </c>
    </row>
    <row r="2093" spans="1:7" x14ac:dyDescent="0.3">
      <c r="A2093" t="str">
        <f>IF(ISBLANK(B2093),"",IF(ROUND(B2093,0)=ROUND(G2093,0),"Pass","Fail"))</f>
        <v>Pass</v>
      </c>
      <c r="B2093">
        <f t="shared" si="134"/>
        <v>45.361228942871094</v>
      </c>
      <c r="C2093">
        <v>20</v>
      </c>
      <c r="D2093">
        <v>50</v>
      </c>
      <c r="E2093">
        <v>10</v>
      </c>
      <c r="F2093">
        <v>8</v>
      </c>
      <c r="G2093">
        <v>45.361228080722199</v>
      </c>
    </row>
    <row r="2094" spans="1:7" x14ac:dyDescent="0.3">
      <c r="A2094" t="str">
        <f>IF(ISBLANK(B2094),"",IF(ROUND(B2094,0)=ROUND(G2094,0),"Pass","Fail"))</f>
        <v>Pass</v>
      </c>
      <c r="B2094">
        <f t="shared" si="134"/>
        <v>28.579996109008789</v>
      </c>
      <c r="C2094">
        <v>20</v>
      </c>
      <c r="D2094">
        <v>50</v>
      </c>
      <c r="E2094">
        <v>10</v>
      </c>
      <c r="F2094">
        <v>16</v>
      </c>
      <c r="G2094">
        <v>28.5799972471013</v>
      </c>
    </row>
    <row r="2095" spans="1:7" x14ac:dyDescent="0.3">
      <c r="A2095" t="str">
        <f>IF(ISBLANK(B2095),"",IF(ROUND(B2095,0)=ROUND(G2095,0),"Pass","Fail"))</f>
        <v>Pass</v>
      </c>
      <c r="B2095">
        <f t="shared" si="134"/>
        <v>20.132575988769531</v>
      </c>
      <c r="C2095">
        <v>20</v>
      </c>
      <c r="D2095">
        <v>50</v>
      </c>
      <c r="E2095">
        <v>10</v>
      </c>
      <c r="F2095">
        <v>24</v>
      </c>
      <c r="G2095">
        <v>20.132577413736001</v>
      </c>
    </row>
    <row r="2096" spans="1:7" x14ac:dyDescent="0.3">
      <c r="A2096" t="str">
        <f>IF(ISBLANK(B2096),"",IF(ROUND(B2096,0)=ROUND(G2096,0),"Pass","Fail"))</f>
        <v>Pass</v>
      </c>
      <c r="B2096">
        <f t="shared" si="134"/>
        <v>15.88027286529541</v>
      </c>
      <c r="C2096">
        <v>20</v>
      </c>
      <c r="D2096">
        <v>50</v>
      </c>
      <c r="E2096">
        <v>10</v>
      </c>
      <c r="F2096">
        <v>32</v>
      </c>
      <c r="G2096">
        <v>15.8802730059945</v>
      </c>
    </row>
    <row r="2097" spans="1:7" x14ac:dyDescent="0.3">
      <c r="A2097" t="str">
        <f>IF(ISBLANK(B2097),"",IF(ROUND(B2097,0)=ROUND(G2097,0),"Pass","Fail"))</f>
        <v>Pass</v>
      </c>
      <c r="B2097">
        <f t="shared" si="134"/>
        <v>13.739727020263672</v>
      </c>
      <c r="C2097">
        <v>20</v>
      </c>
      <c r="D2097">
        <v>50</v>
      </c>
      <c r="E2097">
        <v>10</v>
      </c>
      <c r="F2097">
        <v>40</v>
      </c>
      <c r="G2097">
        <v>13.739726764326999</v>
      </c>
    </row>
    <row r="2098" spans="1:7" x14ac:dyDescent="0.3">
      <c r="A2098" t="str">
        <f>IF(ISBLANK(B2098),"",IF(ROUND(B2098,0)=ROUND(G2098,0),"Pass","Fail"))</f>
        <v>Pass</v>
      </c>
      <c r="B2098">
        <f t="shared" si="134"/>
        <v>12.66220760345459</v>
      </c>
      <c r="C2098">
        <v>20</v>
      </c>
      <c r="D2098">
        <v>50</v>
      </c>
      <c r="E2098">
        <v>10</v>
      </c>
      <c r="F2098">
        <v>48</v>
      </c>
      <c r="G2098">
        <v>12.6622079008197</v>
      </c>
    </row>
    <row r="2099" spans="1:7" x14ac:dyDescent="0.3">
      <c r="A2099" t="str">
        <f>IF(ISBLANK(B2099),"",IF(ROUND(B2099,0)=ROUND(G2099,0),"Pass","Fail"))</f>
        <v>Pass</v>
      </c>
      <c r="B2099">
        <f t="shared" si="134"/>
        <v>78.697998046875</v>
      </c>
      <c r="C2099">
        <v>20</v>
      </c>
      <c r="D2099">
        <v>50</v>
      </c>
      <c r="E2099">
        <v>20</v>
      </c>
      <c r="F2099">
        <v>0</v>
      </c>
      <c r="G2099">
        <v>78.697999999999993</v>
      </c>
    </row>
    <row r="2100" spans="1:7" x14ac:dyDescent="0.3">
      <c r="A2100" t="str">
        <f>IF(ISBLANK(B2100),"",IF(ROUND(B2100,0)=ROUND(G2100,0),"Pass","Fail"))</f>
        <v>Pass</v>
      </c>
      <c r="B2100">
        <f t="shared" si="134"/>
        <v>45.361228942871094</v>
      </c>
      <c r="C2100">
        <v>20</v>
      </c>
      <c r="D2100">
        <v>50</v>
      </c>
      <c r="E2100">
        <v>20</v>
      </c>
      <c r="F2100">
        <v>8</v>
      </c>
      <c r="G2100">
        <v>45.361228080723002</v>
      </c>
    </row>
    <row r="2101" spans="1:7" x14ac:dyDescent="0.3">
      <c r="A2101" t="str">
        <f>IF(ISBLANK(B2101),"",IF(ROUND(B2101,0)=ROUND(G2101,0),"Pass","Fail"))</f>
        <v>Pass</v>
      </c>
      <c r="B2101">
        <f t="shared" si="134"/>
        <v>28.579996109008789</v>
      </c>
      <c r="C2101">
        <v>20</v>
      </c>
      <c r="D2101">
        <v>50</v>
      </c>
      <c r="E2101">
        <v>20</v>
      </c>
      <c r="F2101">
        <v>16</v>
      </c>
      <c r="G2101">
        <v>28.579997247101701</v>
      </c>
    </row>
    <row r="2102" spans="1:7" x14ac:dyDescent="0.3">
      <c r="A2102" t="str">
        <f>IF(ISBLANK(B2102),"",IF(ROUND(B2102,0)=ROUND(G2102,0),"Pass","Fail"))</f>
        <v>Pass</v>
      </c>
      <c r="B2102">
        <f t="shared" si="134"/>
        <v>20.132575988769531</v>
      </c>
      <c r="C2102">
        <v>20</v>
      </c>
      <c r="D2102">
        <v>50</v>
      </c>
      <c r="E2102">
        <v>20</v>
      </c>
      <c r="F2102">
        <v>24</v>
      </c>
      <c r="G2102">
        <v>20.1325774137362</v>
      </c>
    </row>
    <row r="2103" spans="1:7" x14ac:dyDescent="0.3">
      <c r="A2103" t="str">
        <f>IF(ISBLANK(B2103),"",IF(ROUND(B2103,0)=ROUND(G2103,0),"Pass","Fail"))</f>
        <v>Pass</v>
      </c>
      <c r="B2103">
        <f t="shared" si="134"/>
        <v>15.88027286529541</v>
      </c>
      <c r="C2103">
        <v>20</v>
      </c>
      <c r="D2103">
        <v>50</v>
      </c>
      <c r="E2103">
        <v>20</v>
      </c>
      <c r="F2103">
        <v>32</v>
      </c>
      <c r="G2103">
        <v>15.880273005994599</v>
      </c>
    </row>
    <row r="2104" spans="1:7" x14ac:dyDescent="0.3">
      <c r="A2104" t="str">
        <f>IF(ISBLANK(B2104),"",IF(ROUND(B2104,0)=ROUND(G2104,0),"Pass","Fail"))</f>
        <v>Pass</v>
      </c>
      <c r="B2104">
        <f t="shared" si="134"/>
        <v>13.739727020263672</v>
      </c>
      <c r="C2104">
        <v>20</v>
      </c>
      <c r="D2104">
        <v>50</v>
      </c>
      <c r="E2104">
        <v>20</v>
      </c>
      <c r="F2104">
        <v>40</v>
      </c>
      <c r="G2104">
        <v>13.7397267643271</v>
      </c>
    </row>
    <row r="2105" spans="1:7" x14ac:dyDescent="0.3">
      <c r="A2105" t="str">
        <f>IF(ISBLANK(B2105),"",IF(ROUND(B2105,0)=ROUND(G2105,0),"Pass","Fail"))</f>
        <v>Pass</v>
      </c>
      <c r="B2105">
        <f t="shared" si="134"/>
        <v>12.66220760345459</v>
      </c>
      <c r="C2105">
        <v>20</v>
      </c>
      <c r="D2105">
        <v>50</v>
      </c>
      <c r="E2105">
        <v>20</v>
      </c>
      <c r="F2105">
        <v>48</v>
      </c>
      <c r="G2105">
        <v>12.6622079008197</v>
      </c>
    </row>
    <row r="2106" spans="1:7" x14ac:dyDescent="0.3">
      <c r="A2106" t="str">
        <f>IF(ISBLANK(B2106),"",IF(ROUND(B2106,0)=ROUND(G2106,0),"Pass","Fail"))</f>
        <v>Pass</v>
      </c>
      <c r="B2106">
        <f t="shared" si="134"/>
        <v>78.697998046875</v>
      </c>
      <c r="C2106">
        <v>20</v>
      </c>
      <c r="D2106">
        <v>50</v>
      </c>
      <c r="E2106">
        <v>30</v>
      </c>
      <c r="F2106">
        <v>0</v>
      </c>
      <c r="G2106">
        <v>78.697999999999993</v>
      </c>
    </row>
    <row r="2107" spans="1:7" x14ac:dyDescent="0.3">
      <c r="A2107" t="str">
        <f>IF(ISBLANK(B2107),"",IF(ROUND(B2107,0)=ROUND(G2107,0),"Pass","Fail"))</f>
        <v>Pass</v>
      </c>
      <c r="B2107">
        <f t="shared" si="134"/>
        <v>45.361228942871094</v>
      </c>
      <c r="C2107">
        <v>20</v>
      </c>
      <c r="D2107">
        <v>50</v>
      </c>
      <c r="E2107">
        <v>30</v>
      </c>
      <c r="F2107">
        <v>8</v>
      </c>
      <c r="G2107">
        <v>45.361228080723002</v>
      </c>
    </row>
    <row r="2108" spans="1:7" x14ac:dyDescent="0.3">
      <c r="A2108" t="str">
        <f>IF(ISBLANK(B2108),"",IF(ROUND(B2108,0)=ROUND(G2108,0),"Pass","Fail"))</f>
        <v>Pass</v>
      </c>
      <c r="B2108">
        <f t="shared" si="134"/>
        <v>28.579996109008789</v>
      </c>
      <c r="C2108">
        <v>20</v>
      </c>
      <c r="D2108">
        <v>50</v>
      </c>
      <c r="E2108">
        <v>30</v>
      </c>
      <c r="F2108">
        <v>16</v>
      </c>
      <c r="G2108">
        <v>28.579997247101701</v>
      </c>
    </row>
    <row r="2109" spans="1:7" x14ac:dyDescent="0.3">
      <c r="A2109" t="str">
        <f>IF(ISBLANK(B2109),"",IF(ROUND(B2109,0)=ROUND(G2109,0),"Pass","Fail"))</f>
        <v>Pass</v>
      </c>
      <c r="B2109">
        <f t="shared" si="134"/>
        <v>20.132575988769531</v>
      </c>
      <c r="C2109">
        <v>20</v>
      </c>
      <c r="D2109">
        <v>50</v>
      </c>
      <c r="E2109">
        <v>30</v>
      </c>
      <c r="F2109">
        <v>24</v>
      </c>
      <c r="G2109">
        <v>20.1325774137362</v>
      </c>
    </row>
    <row r="2110" spans="1:7" x14ac:dyDescent="0.3">
      <c r="A2110" t="str">
        <f>IF(ISBLANK(B2110),"",IF(ROUND(B2110,0)=ROUND(G2110,0),"Pass","Fail"))</f>
        <v>Pass</v>
      </c>
      <c r="B2110">
        <f t="shared" si="134"/>
        <v>15.88027286529541</v>
      </c>
      <c r="C2110">
        <v>20</v>
      </c>
      <c r="D2110">
        <v>50</v>
      </c>
      <c r="E2110">
        <v>30</v>
      </c>
      <c r="F2110">
        <v>32</v>
      </c>
      <c r="G2110">
        <v>15.880273005994599</v>
      </c>
    </row>
    <row r="2111" spans="1:7" x14ac:dyDescent="0.3">
      <c r="A2111" t="str">
        <f>IF(ISBLANK(B2111),"",IF(ROUND(B2111,0)=ROUND(G2111,0),"Pass","Fail"))</f>
        <v>Pass</v>
      </c>
      <c r="B2111">
        <f t="shared" si="134"/>
        <v>13.739727020263672</v>
      </c>
      <c r="C2111">
        <v>20</v>
      </c>
      <c r="D2111">
        <v>50</v>
      </c>
      <c r="E2111">
        <v>30</v>
      </c>
      <c r="F2111">
        <v>40</v>
      </c>
      <c r="G2111">
        <v>13.7397267643271</v>
      </c>
    </row>
    <row r="2112" spans="1:7" x14ac:dyDescent="0.3">
      <c r="A2112" t="str">
        <f>IF(ISBLANK(B2112),"",IF(ROUND(B2112,0)=ROUND(G2112,0),"Pass","Fail"))</f>
        <v>Pass</v>
      </c>
      <c r="B2112">
        <f t="shared" si="134"/>
        <v>12.66220760345459</v>
      </c>
      <c r="C2112">
        <v>20</v>
      </c>
      <c r="D2112">
        <v>50</v>
      </c>
      <c r="E2112">
        <v>30</v>
      </c>
      <c r="F2112">
        <v>48</v>
      </c>
      <c r="G2112">
        <v>12.6622079008197</v>
      </c>
    </row>
    <row r="2113" spans="1:7" x14ac:dyDescent="0.3">
      <c r="A2113" t="str">
        <f>IF(ISBLANK(B2113),"",IF(ROUND(B2113,0)=ROUND(G2113,0),"Pass","Fail"))</f>
        <v>Pass</v>
      </c>
      <c r="B2113">
        <f t="shared" si="134"/>
        <v>78.697998046875</v>
      </c>
      <c r="C2113">
        <v>20</v>
      </c>
      <c r="D2113">
        <v>50</v>
      </c>
      <c r="E2113">
        <v>40</v>
      </c>
      <c r="F2113">
        <v>0</v>
      </c>
      <c r="G2113">
        <v>78.697999999999993</v>
      </c>
    </row>
    <row r="2114" spans="1:7" x14ac:dyDescent="0.3">
      <c r="A2114" t="str">
        <f>IF(ISBLANK(B2114),"",IF(ROUND(B2114,0)=ROUND(G2114,0),"Pass","Fail"))</f>
        <v>Pass</v>
      </c>
      <c r="B2114">
        <f t="shared" si="134"/>
        <v>45.361228942871094</v>
      </c>
      <c r="C2114">
        <v>20</v>
      </c>
      <c r="D2114">
        <v>50</v>
      </c>
      <c r="E2114">
        <v>40</v>
      </c>
      <c r="F2114">
        <v>8</v>
      </c>
      <c r="G2114">
        <v>45.361228080723002</v>
      </c>
    </row>
    <row r="2115" spans="1:7" x14ac:dyDescent="0.3">
      <c r="A2115" t="str">
        <f>IF(ISBLANK(B2115),"",IF(ROUND(B2115,0)=ROUND(G2115,0),"Pass","Fail"))</f>
        <v>Pass</v>
      </c>
      <c r="B2115">
        <f t="shared" si="134"/>
        <v>28.579996109008789</v>
      </c>
      <c r="C2115">
        <v>20</v>
      </c>
      <c r="D2115">
        <v>50</v>
      </c>
      <c r="E2115">
        <v>40</v>
      </c>
      <c r="F2115">
        <v>16</v>
      </c>
      <c r="G2115">
        <v>28.579997247101701</v>
      </c>
    </row>
    <row r="2116" spans="1:7" x14ac:dyDescent="0.3">
      <c r="A2116" t="str">
        <f>IF(ISBLANK(B2116),"",IF(ROUND(B2116,0)=ROUND(G2116,0),"Pass","Fail"))</f>
        <v>Pass</v>
      </c>
      <c r="B2116">
        <f t="shared" si="134"/>
        <v>20.132575988769531</v>
      </c>
      <c r="C2116">
        <v>20</v>
      </c>
      <c r="D2116">
        <v>50</v>
      </c>
      <c r="E2116">
        <v>40</v>
      </c>
      <c r="F2116">
        <v>24</v>
      </c>
      <c r="G2116">
        <v>20.1325774137362</v>
      </c>
    </row>
    <row r="2117" spans="1:7" x14ac:dyDescent="0.3">
      <c r="A2117" t="str">
        <f>IF(ISBLANK(B2117),"",IF(ROUND(B2117,0)=ROUND(G2117,0),"Pass","Fail"))</f>
        <v>Pass</v>
      </c>
      <c r="B2117">
        <f t="shared" si="134"/>
        <v>15.88027286529541</v>
      </c>
      <c r="C2117">
        <v>20</v>
      </c>
      <c r="D2117">
        <v>50</v>
      </c>
      <c r="E2117">
        <v>40</v>
      </c>
      <c r="F2117">
        <v>32</v>
      </c>
      <c r="G2117">
        <v>15.880273005994599</v>
      </c>
    </row>
    <row r="2118" spans="1:7" x14ac:dyDescent="0.3">
      <c r="A2118" t="str">
        <f>IF(ISBLANK(B2118),"",IF(ROUND(B2118,0)=ROUND(G2118,0),"Pass","Fail"))</f>
        <v>Pass</v>
      </c>
      <c r="B2118">
        <f t="shared" si="134"/>
        <v>13.739727020263672</v>
      </c>
      <c r="C2118">
        <v>20</v>
      </c>
      <c r="D2118">
        <v>50</v>
      </c>
      <c r="E2118">
        <v>40</v>
      </c>
      <c r="F2118">
        <v>40</v>
      </c>
      <c r="G2118">
        <v>13.7397267643271</v>
      </c>
    </row>
    <row r="2119" spans="1:7" x14ac:dyDescent="0.3">
      <c r="A2119" t="str">
        <f>IF(ISBLANK(B2119),"",IF(ROUND(B2119,0)=ROUND(G2119,0),"Pass","Fail"))</f>
        <v>Pass</v>
      </c>
      <c r="B2119">
        <f t="shared" ref="B2119:B2182" si="135">FMC_heath(C2119,D2119,E2119,F2119)</f>
        <v>12.66220760345459</v>
      </c>
      <c r="C2119">
        <v>20</v>
      </c>
      <c r="D2119">
        <v>50</v>
      </c>
      <c r="E2119">
        <v>40</v>
      </c>
      <c r="F2119">
        <v>48</v>
      </c>
      <c r="G2119">
        <v>12.6622079008197</v>
      </c>
    </row>
    <row r="2120" spans="1:7" x14ac:dyDescent="0.3">
      <c r="A2120" t="str">
        <f>IF(ISBLANK(B2120),"",IF(ROUND(B2120,0)=ROUND(G2120,0),"Pass","Fail"))</f>
        <v>Pass</v>
      </c>
      <c r="B2120">
        <f t="shared" si="135"/>
        <v>78.697998046875</v>
      </c>
      <c r="C2120">
        <v>20</v>
      </c>
      <c r="D2120">
        <v>50</v>
      </c>
      <c r="E2120">
        <v>50</v>
      </c>
      <c r="F2120">
        <v>0</v>
      </c>
      <c r="G2120">
        <v>78.697999999999993</v>
      </c>
    </row>
    <row r="2121" spans="1:7" x14ac:dyDescent="0.3">
      <c r="A2121" t="str">
        <f>IF(ISBLANK(B2121),"",IF(ROUND(B2121,0)=ROUND(G2121,0),"Pass","Fail"))</f>
        <v>Pass</v>
      </c>
      <c r="B2121">
        <f t="shared" si="135"/>
        <v>45.361228942871094</v>
      </c>
      <c r="C2121">
        <v>20</v>
      </c>
      <c r="D2121">
        <v>50</v>
      </c>
      <c r="E2121">
        <v>50</v>
      </c>
      <c r="F2121">
        <v>8</v>
      </c>
      <c r="G2121">
        <v>45.361228080723002</v>
      </c>
    </row>
    <row r="2122" spans="1:7" x14ac:dyDescent="0.3">
      <c r="A2122" t="str">
        <f>IF(ISBLANK(B2122),"",IF(ROUND(B2122,0)=ROUND(G2122,0),"Pass","Fail"))</f>
        <v>Pass</v>
      </c>
      <c r="B2122">
        <f t="shared" si="135"/>
        <v>28.579996109008789</v>
      </c>
      <c r="C2122">
        <v>20</v>
      </c>
      <c r="D2122">
        <v>50</v>
      </c>
      <c r="E2122">
        <v>50</v>
      </c>
      <c r="F2122">
        <v>16</v>
      </c>
      <c r="G2122">
        <v>28.579997247101701</v>
      </c>
    </row>
    <row r="2123" spans="1:7" x14ac:dyDescent="0.3">
      <c r="A2123" t="str">
        <f>IF(ISBLANK(B2123),"",IF(ROUND(B2123,0)=ROUND(G2123,0),"Pass","Fail"))</f>
        <v>Pass</v>
      </c>
      <c r="B2123">
        <f t="shared" si="135"/>
        <v>20.132575988769531</v>
      </c>
      <c r="C2123">
        <v>20</v>
      </c>
      <c r="D2123">
        <v>50</v>
      </c>
      <c r="E2123">
        <v>50</v>
      </c>
      <c r="F2123">
        <v>24</v>
      </c>
      <c r="G2123">
        <v>20.1325774137362</v>
      </c>
    </row>
    <row r="2124" spans="1:7" x14ac:dyDescent="0.3">
      <c r="A2124" t="str">
        <f>IF(ISBLANK(B2124),"",IF(ROUND(B2124,0)=ROUND(G2124,0),"Pass","Fail"))</f>
        <v>Pass</v>
      </c>
      <c r="B2124">
        <f t="shared" si="135"/>
        <v>15.88027286529541</v>
      </c>
      <c r="C2124">
        <v>20</v>
      </c>
      <c r="D2124">
        <v>50</v>
      </c>
      <c r="E2124">
        <v>50</v>
      </c>
      <c r="F2124">
        <v>32</v>
      </c>
      <c r="G2124">
        <v>15.880273005994599</v>
      </c>
    </row>
    <row r="2125" spans="1:7" x14ac:dyDescent="0.3">
      <c r="A2125" t="str">
        <f>IF(ISBLANK(B2125),"",IF(ROUND(B2125,0)=ROUND(G2125,0),"Pass","Fail"))</f>
        <v>Pass</v>
      </c>
      <c r="B2125">
        <f t="shared" si="135"/>
        <v>13.739727020263672</v>
      </c>
      <c r="C2125">
        <v>20</v>
      </c>
      <c r="D2125">
        <v>50</v>
      </c>
      <c r="E2125">
        <v>50</v>
      </c>
      <c r="F2125">
        <v>40</v>
      </c>
      <c r="G2125">
        <v>13.7397267643271</v>
      </c>
    </row>
    <row r="2126" spans="1:7" x14ac:dyDescent="0.3">
      <c r="A2126" t="str">
        <f>IF(ISBLANK(B2126),"",IF(ROUND(B2126,0)=ROUND(G2126,0),"Pass","Fail"))</f>
        <v>Pass</v>
      </c>
      <c r="B2126">
        <f t="shared" si="135"/>
        <v>12.66220760345459</v>
      </c>
      <c r="C2126">
        <v>20</v>
      </c>
      <c r="D2126">
        <v>50</v>
      </c>
      <c r="E2126">
        <v>50</v>
      </c>
      <c r="F2126">
        <v>48</v>
      </c>
      <c r="G2126">
        <v>12.6622079008197</v>
      </c>
    </row>
    <row r="2127" spans="1:7" x14ac:dyDescent="0.3">
      <c r="A2127" t="str">
        <f>IF(ISBLANK(B2127),"",IF(ROUND(B2127,0)=ROUND(G2127,0),"Pass","Fail"))</f>
        <v>Pass</v>
      </c>
      <c r="B2127">
        <f t="shared" si="135"/>
        <v>78.697998046875</v>
      </c>
      <c r="C2127">
        <v>20</v>
      </c>
      <c r="D2127">
        <v>50</v>
      </c>
      <c r="E2127">
        <v>60</v>
      </c>
      <c r="F2127">
        <v>0</v>
      </c>
      <c r="G2127">
        <v>78.697999999999993</v>
      </c>
    </row>
    <row r="2128" spans="1:7" x14ac:dyDescent="0.3">
      <c r="A2128" t="str">
        <f>IF(ISBLANK(B2128),"",IF(ROUND(B2128,0)=ROUND(G2128,0),"Pass","Fail"))</f>
        <v>Pass</v>
      </c>
      <c r="B2128">
        <f t="shared" si="135"/>
        <v>45.361228942871094</v>
      </c>
      <c r="C2128">
        <v>20</v>
      </c>
      <c r="D2128">
        <v>50</v>
      </c>
      <c r="E2128">
        <v>60</v>
      </c>
      <c r="F2128">
        <v>8</v>
      </c>
      <c r="G2128">
        <v>45.361228080723002</v>
      </c>
    </row>
    <row r="2129" spans="1:7" x14ac:dyDescent="0.3">
      <c r="A2129" t="str">
        <f>IF(ISBLANK(B2129),"",IF(ROUND(B2129,0)=ROUND(G2129,0),"Pass","Fail"))</f>
        <v>Pass</v>
      </c>
      <c r="B2129">
        <f t="shared" si="135"/>
        <v>28.579996109008789</v>
      </c>
      <c r="C2129">
        <v>20</v>
      </c>
      <c r="D2129">
        <v>50</v>
      </c>
      <c r="E2129">
        <v>60</v>
      </c>
      <c r="F2129">
        <v>16</v>
      </c>
      <c r="G2129">
        <v>28.579997247101701</v>
      </c>
    </row>
    <row r="2130" spans="1:7" x14ac:dyDescent="0.3">
      <c r="A2130" t="str">
        <f>IF(ISBLANK(B2130),"",IF(ROUND(B2130,0)=ROUND(G2130,0),"Pass","Fail"))</f>
        <v>Pass</v>
      </c>
      <c r="B2130">
        <f t="shared" si="135"/>
        <v>20.132575988769531</v>
      </c>
      <c r="C2130">
        <v>20</v>
      </c>
      <c r="D2130">
        <v>50</v>
      </c>
      <c r="E2130">
        <v>60</v>
      </c>
      <c r="F2130">
        <v>24</v>
      </c>
      <c r="G2130">
        <v>20.1325774137362</v>
      </c>
    </row>
    <row r="2131" spans="1:7" x14ac:dyDescent="0.3">
      <c r="A2131" t="str">
        <f>IF(ISBLANK(B2131),"",IF(ROUND(B2131,0)=ROUND(G2131,0),"Pass","Fail"))</f>
        <v>Pass</v>
      </c>
      <c r="B2131">
        <f t="shared" si="135"/>
        <v>15.88027286529541</v>
      </c>
      <c r="C2131">
        <v>20</v>
      </c>
      <c r="D2131">
        <v>50</v>
      </c>
      <c r="E2131">
        <v>60</v>
      </c>
      <c r="F2131">
        <v>32</v>
      </c>
      <c r="G2131">
        <v>15.880273005994599</v>
      </c>
    </row>
    <row r="2132" spans="1:7" x14ac:dyDescent="0.3">
      <c r="A2132" t="str">
        <f>IF(ISBLANK(B2132),"",IF(ROUND(B2132,0)=ROUND(G2132,0),"Pass","Fail"))</f>
        <v>Pass</v>
      </c>
      <c r="B2132">
        <f t="shared" si="135"/>
        <v>13.739727020263672</v>
      </c>
      <c r="C2132">
        <v>20</v>
      </c>
      <c r="D2132">
        <v>50</v>
      </c>
      <c r="E2132">
        <v>60</v>
      </c>
      <c r="F2132">
        <v>40</v>
      </c>
      <c r="G2132">
        <v>13.7397267643271</v>
      </c>
    </row>
    <row r="2133" spans="1:7" x14ac:dyDescent="0.3">
      <c r="A2133" t="str">
        <f>IF(ISBLANK(B2133),"",IF(ROUND(B2133,0)=ROUND(G2133,0),"Pass","Fail"))</f>
        <v>Pass</v>
      </c>
      <c r="B2133">
        <f t="shared" si="135"/>
        <v>12.66220760345459</v>
      </c>
      <c r="C2133">
        <v>20</v>
      </c>
      <c r="D2133">
        <v>50</v>
      </c>
      <c r="E2133">
        <v>60</v>
      </c>
      <c r="F2133">
        <v>48</v>
      </c>
      <c r="G2133">
        <v>12.6622079008197</v>
      </c>
    </row>
    <row r="2134" spans="1:7" x14ac:dyDescent="0.3">
      <c r="A2134" t="str">
        <f>IF(ISBLANK(B2134),"",IF(ROUND(B2134,0)=ROUND(G2134,0),"Pass","Fail"))</f>
        <v>Pass</v>
      </c>
      <c r="B2134">
        <f t="shared" si="135"/>
        <v>78.697998046875</v>
      </c>
      <c r="C2134">
        <v>20</v>
      </c>
      <c r="D2134">
        <v>50</v>
      </c>
      <c r="E2134">
        <v>70</v>
      </c>
      <c r="F2134">
        <v>0</v>
      </c>
      <c r="G2134">
        <v>78.697999999999993</v>
      </c>
    </row>
    <row r="2135" spans="1:7" x14ac:dyDescent="0.3">
      <c r="A2135" t="str">
        <f>IF(ISBLANK(B2135),"",IF(ROUND(B2135,0)=ROUND(G2135,0),"Pass","Fail"))</f>
        <v>Pass</v>
      </c>
      <c r="B2135">
        <f t="shared" si="135"/>
        <v>45.361228942871094</v>
      </c>
      <c r="C2135">
        <v>20</v>
      </c>
      <c r="D2135">
        <v>50</v>
      </c>
      <c r="E2135">
        <v>70</v>
      </c>
      <c r="F2135">
        <v>8</v>
      </c>
      <c r="G2135">
        <v>45.361228080723002</v>
      </c>
    </row>
    <row r="2136" spans="1:7" x14ac:dyDescent="0.3">
      <c r="A2136" t="str">
        <f>IF(ISBLANK(B2136),"",IF(ROUND(B2136,0)=ROUND(G2136,0),"Pass","Fail"))</f>
        <v>Pass</v>
      </c>
      <c r="B2136">
        <f t="shared" si="135"/>
        <v>28.579996109008789</v>
      </c>
      <c r="C2136">
        <v>20</v>
      </c>
      <c r="D2136">
        <v>50</v>
      </c>
      <c r="E2136">
        <v>70</v>
      </c>
      <c r="F2136">
        <v>16</v>
      </c>
      <c r="G2136">
        <v>28.579997247101701</v>
      </c>
    </row>
    <row r="2137" spans="1:7" x14ac:dyDescent="0.3">
      <c r="A2137" t="str">
        <f>IF(ISBLANK(B2137),"",IF(ROUND(B2137,0)=ROUND(G2137,0),"Pass","Fail"))</f>
        <v>Pass</v>
      </c>
      <c r="B2137">
        <f t="shared" si="135"/>
        <v>20.132575988769531</v>
      </c>
      <c r="C2137">
        <v>20</v>
      </c>
      <c r="D2137">
        <v>50</v>
      </c>
      <c r="E2137">
        <v>70</v>
      </c>
      <c r="F2137">
        <v>24</v>
      </c>
      <c r="G2137">
        <v>20.1325774137362</v>
      </c>
    </row>
    <row r="2138" spans="1:7" x14ac:dyDescent="0.3">
      <c r="A2138" t="str">
        <f>IF(ISBLANK(B2138),"",IF(ROUND(B2138,0)=ROUND(G2138,0),"Pass","Fail"))</f>
        <v>Pass</v>
      </c>
      <c r="B2138">
        <f t="shared" si="135"/>
        <v>15.88027286529541</v>
      </c>
      <c r="C2138">
        <v>20</v>
      </c>
      <c r="D2138">
        <v>50</v>
      </c>
      <c r="E2138">
        <v>70</v>
      </c>
      <c r="F2138">
        <v>32</v>
      </c>
      <c r="G2138">
        <v>15.880273005994599</v>
      </c>
    </row>
    <row r="2139" spans="1:7" x14ac:dyDescent="0.3">
      <c r="A2139" t="str">
        <f>IF(ISBLANK(B2139),"",IF(ROUND(B2139,0)=ROUND(G2139,0),"Pass","Fail"))</f>
        <v>Pass</v>
      </c>
      <c r="B2139">
        <f t="shared" si="135"/>
        <v>13.739727020263672</v>
      </c>
      <c r="C2139">
        <v>20</v>
      </c>
      <c r="D2139">
        <v>50</v>
      </c>
      <c r="E2139">
        <v>70</v>
      </c>
      <c r="F2139">
        <v>40</v>
      </c>
      <c r="G2139">
        <v>13.7397267643271</v>
      </c>
    </row>
    <row r="2140" spans="1:7" x14ac:dyDescent="0.3">
      <c r="A2140" t="str">
        <f>IF(ISBLANK(B2140),"",IF(ROUND(B2140,0)=ROUND(G2140,0),"Pass","Fail"))</f>
        <v>Pass</v>
      </c>
      <c r="B2140">
        <f t="shared" si="135"/>
        <v>12.66220760345459</v>
      </c>
      <c r="C2140">
        <v>20</v>
      </c>
      <c r="D2140">
        <v>50</v>
      </c>
      <c r="E2140">
        <v>70</v>
      </c>
      <c r="F2140">
        <v>48</v>
      </c>
      <c r="G2140">
        <v>12.6622079008197</v>
      </c>
    </row>
    <row r="2141" spans="1:7" x14ac:dyDescent="0.3">
      <c r="A2141" t="str">
        <f>IF(ISBLANK(B2141),"",IF(ROUND(B2141,0)=ROUND(G2141,0),"Pass","Fail"))</f>
        <v>Pass</v>
      </c>
      <c r="B2141">
        <f t="shared" si="135"/>
        <v>78.697998046875</v>
      </c>
      <c r="C2141">
        <v>20</v>
      </c>
      <c r="D2141">
        <v>50</v>
      </c>
      <c r="E2141">
        <v>80</v>
      </c>
      <c r="F2141">
        <v>0</v>
      </c>
      <c r="G2141">
        <v>78.697999999999993</v>
      </c>
    </row>
    <row r="2142" spans="1:7" x14ac:dyDescent="0.3">
      <c r="A2142" t="str">
        <f>IF(ISBLANK(B2142),"",IF(ROUND(B2142,0)=ROUND(G2142,0),"Pass","Fail"))</f>
        <v>Pass</v>
      </c>
      <c r="B2142">
        <f t="shared" si="135"/>
        <v>45.361228942871094</v>
      </c>
      <c r="C2142">
        <v>20</v>
      </c>
      <c r="D2142">
        <v>50</v>
      </c>
      <c r="E2142">
        <v>80</v>
      </c>
      <c r="F2142">
        <v>8</v>
      </c>
      <c r="G2142">
        <v>45.361228080723002</v>
      </c>
    </row>
    <row r="2143" spans="1:7" x14ac:dyDescent="0.3">
      <c r="A2143" t="str">
        <f>IF(ISBLANK(B2143),"",IF(ROUND(B2143,0)=ROUND(G2143,0),"Pass","Fail"))</f>
        <v>Pass</v>
      </c>
      <c r="B2143">
        <f t="shared" si="135"/>
        <v>28.579996109008789</v>
      </c>
      <c r="C2143">
        <v>20</v>
      </c>
      <c r="D2143">
        <v>50</v>
      </c>
      <c r="E2143">
        <v>80</v>
      </c>
      <c r="F2143">
        <v>16</v>
      </c>
      <c r="G2143">
        <v>28.579997247101701</v>
      </c>
    </row>
    <row r="2144" spans="1:7" x14ac:dyDescent="0.3">
      <c r="A2144" t="str">
        <f>IF(ISBLANK(B2144),"",IF(ROUND(B2144,0)=ROUND(G2144,0),"Pass","Fail"))</f>
        <v>Pass</v>
      </c>
      <c r="B2144">
        <f t="shared" si="135"/>
        <v>20.132575988769531</v>
      </c>
      <c r="C2144">
        <v>20</v>
      </c>
      <c r="D2144">
        <v>50</v>
      </c>
      <c r="E2144">
        <v>80</v>
      </c>
      <c r="F2144">
        <v>24</v>
      </c>
      <c r="G2144">
        <v>20.1325774137362</v>
      </c>
    </row>
    <row r="2145" spans="1:7" x14ac:dyDescent="0.3">
      <c r="A2145" t="str">
        <f>IF(ISBLANK(B2145),"",IF(ROUND(B2145,0)=ROUND(G2145,0),"Pass","Fail"))</f>
        <v>Pass</v>
      </c>
      <c r="B2145">
        <f t="shared" si="135"/>
        <v>15.88027286529541</v>
      </c>
      <c r="C2145">
        <v>20</v>
      </c>
      <c r="D2145">
        <v>50</v>
      </c>
      <c r="E2145">
        <v>80</v>
      </c>
      <c r="F2145">
        <v>32</v>
      </c>
      <c r="G2145">
        <v>15.880273005994599</v>
      </c>
    </row>
    <row r="2146" spans="1:7" x14ac:dyDescent="0.3">
      <c r="A2146" t="str">
        <f>IF(ISBLANK(B2146),"",IF(ROUND(B2146,0)=ROUND(G2146,0),"Pass","Fail"))</f>
        <v>Pass</v>
      </c>
      <c r="B2146">
        <f t="shared" si="135"/>
        <v>13.739727020263672</v>
      </c>
      <c r="C2146">
        <v>20</v>
      </c>
      <c r="D2146">
        <v>50</v>
      </c>
      <c r="E2146">
        <v>80</v>
      </c>
      <c r="F2146">
        <v>40</v>
      </c>
      <c r="G2146">
        <v>13.7397267643271</v>
      </c>
    </row>
    <row r="2147" spans="1:7" x14ac:dyDescent="0.3">
      <c r="A2147" t="str">
        <f>IF(ISBLANK(B2147),"",IF(ROUND(B2147,0)=ROUND(G2147,0),"Pass","Fail"))</f>
        <v>Pass</v>
      </c>
      <c r="B2147">
        <f t="shared" si="135"/>
        <v>12.66220760345459</v>
      </c>
      <c r="C2147">
        <v>20</v>
      </c>
      <c r="D2147">
        <v>50</v>
      </c>
      <c r="E2147">
        <v>80</v>
      </c>
      <c r="F2147">
        <v>48</v>
      </c>
      <c r="G2147">
        <v>12.6622079008197</v>
      </c>
    </row>
    <row r="2148" spans="1:7" x14ac:dyDescent="0.3">
      <c r="A2148" t="str">
        <f>IF(ISBLANK(B2148),"",IF(ROUND(B2148,0)=ROUND(G2148,0),"Pass","Fail"))</f>
        <v>Pass</v>
      </c>
      <c r="B2148">
        <f t="shared" si="135"/>
        <v>78.697998046875</v>
      </c>
      <c r="C2148">
        <v>20</v>
      </c>
      <c r="D2148">
        <v>50</v>
      </c>
      <c r="E2148">
        <v>90</v>
      </c>
      <c r="F2148">
        <v>0</v>
      </c>
      <c r="G2148">
        <v>78.697999999999993</v>
      </c>
    </row>
    <row r="2149" spans="1:7" x14ac:dyDescent="0.3">
      <c r="A2149" t="str">
        <f>IF(ISBLANK(B2149),"",IF(ROUND(B2149,0)=ROUND(G2149,0),"Pass","Fail"))</f>
        <v>Pass</v>
      </c>
      <c r="B2149">
        <f t="shared" si="135"/>
        <v>45.361228942871094</v>
      </c>
      <c r="C2149">
        <v>20</v>
      </c>
      <c r="D2149">
        <v>50</v>
      </c>
      <c r="E2149">
        <v>90</v>
      </c>
      <c r="F2149">
        <v>8</v>
      </c>
      <c r="G2149">
        <v>45.361228080723002</v>
      </c>
    </row>
    <row r="2150" spans="1:7" x14ac:dyDescent="0.3">
      <c r="A2150" t="str">
        <f>IF(ISBLANK(B2150),"",IF(ROUND(B2150,0)=ROUND(G2150,0),"Pass","Fail"))</f>
        <v>Pass</v>
      </c>
      <c r="B2150">
        <f t="shared" si="135"/>
        <v>28.579996109008789</v>
      </c>
      <c r="C2150">
        <v>20</v>
      </c>
      <c r="D2150">
        <v>50</v>
      </c>
      <c r="E2150">
        <v>90</v>
      </c>
      <c r="F2150">
        <v>16</v>
      </c>
      <c r="G2150">
        <v>28.579997247101701</v>
      </c>
    </row>
    <row r="2151" spans="1:7" x14ac:dyDescent="0.3">
      <c r="A2151" t="str">
        <f>IF(ISBLANK(B2151),"",IF(ROUND(B2151,0)=ROUND(G2151,0),"Pass","Fail"))</f>
        <v>Pass</v>
      </c>
      <c r="B2151">
        <f t="shared" si="135"/>
        <v>20.132575988769531</v>
      </c>
      <c r="C2151">
        <v>20</v>
      </c>
      <c r="D2151">
        <v>50</v>
      </c>
      <c r="E2151">
        <v>90</v>
      </c>
      <c r="F2151">
        <v>24</v>
      </c>
      <c r="G2151">
        <v>20.1325774137362</v>
      </c>
    </row>
    <row r="2152" spans="1:7" x14ac:dyDescent="0.3">
      <c r="A2152" t="str">
        <f>IF(ISBLANK(B2152),"",IF(ROUND(B2152,0)=ROUND(G2152,0),"Pass","Fail"))</f>
        <v>Pass</v>
      </c>
      <c r="B2152">
        <f t="shared" si="135"/>
        <v>15.88027286529541</v>
      </c>
      <c r="C2152">
        <v>20</v>
      </c>
      <c r="D2152">
        <v>50</v>
      </c>
      <c r="E2152">
        <v>90</v>
      </c>
      <c r="F2152">
        <v>32</v>
      </c>
      <c r="G2152">
        <v>15.880273005994599</v>
      </c>
    </row>
    <row r="2153" spans="1:7" x14ac:dyDescent="0.3">
      <c r="A2153" t="str">
        <f>IF(ISBLANK(B2153),"",IF(ROUND(B2153,0)=ROUND(G2153,0),"Pass","Fail"))</f>
        <v>Pass</v>
      </c>
      <c r="B2153">
        <f t="shared" si="135"/>
        <v>13.739727020263672</v>
      </c>
      <c r="C2153">
        <v>20</v>
      </c>
      <c r="D2153">
        <v>50</v>
      </c>
      <c r="E2153">
        <v>90</v>
      </c>
      <c r="F2153">
        <v>40</v>
      </c>
      <c r="G2153">
        <v>13.7397267643271</v>
      </c>
    </row>
    <row r="2154" spans="1:7" x14ac:dyDescent="0.3">
      <c r="A2154" t="str">
        <f>IF(ISBLANK(B2154),"",IF(ROUND(B2154,0)=ROUND(G2154,0),"Pass","Fail"))</f>
        <v>Pass</v>
      </c>
      <c r="B2154">
        <f t="shared" si="135"/>
        <v>12.66220760345459</v>
      </c>
      <c r="C2154">
        <v>20</v>
      </c>
      <c r="D2154">
        <v>50</v>
      </c>
      <c r="E2154">
        <v>90</v>
      </c>
      <c r="F2154">
        <v>48</v>
      </c>
      <c r="G2154">
        <v>12.6622079008197</v>
      </c>
    </row>
    <row r="2155" spans="1:7" x14ac:dyDescent="0.3">
      <c r="A2155" t="str">
        <f>IF(ISBLANK(B2155),"",IF(ROUND(B2155,0)=ROUND(G2155,0),"Pass","Fail"))</f>
        <v>Pass</v>
      </c>
      <c r="B2155">
        <f t="shared" si="135"/>
        <v>78.697998046875</v>
      </c>
      <c r="C2155">
        <v>20</v>
      </c>
      <c r="D2155">
        <v>50</v>
      </c>
      <c r="E2155">
        <v>100</v>
      </c>
      <c r="F2155">
        <v>0</v>
      </c>
      <c r="G2155">
        <v>78.697999999999993</v>
      </c>
    </row>
    <row r="2156" spans="1:7" x14ac:dyDescent="0.3">
      <c r="A2156" t="str">
        <f>IF(ISBLANK(B2156),"",IF(ROUND(B2156,0)=ROUND(G2156,0),"Pass","Fail"))</f>
        <v>Pass</v>
      </c>
      <c r="B2156">
        <f t="shared" si="135"/>
        <v>45.361228942871094</v>
      </c>
      <c r="C2156">
        <v>20</v>
      </c>
      <c r="D2156">
        <v>50</v>
      </c>
      <c r="E2156">
        <v>100</v>
      </c>
      <c r="F2156">
        <v>8</v>
      </c>
      <c r="G2156">
        <v>45.361228080723002</v>
      </c>
    </row>
    <row r="2157" spans="1:7" x14ac:dyDescent="0.3">
      <c r="A2157" t="str">
        <f>IF(ISBLANK(B2157),"",IF(ROUND(B2157,0)=ROUND(G2157,0),"Pass","Fail"))</f>
        <v>Pass</v>
      </c>
      <c r="B2157">
        <f t="shared" si="135"/>
        <v>28.579996109008789</v>
      </c>
      <c r="C2157">
        <v>20</v>
      </c>
      <c r="D2157">
        <v>50</v>
      </c>
      <c r="E2157">
        <v>100</v>
      </c>
      <c r="F2157">
        <v>16</v>
      </c>
      <c r="G2157">
        <v>28.579997247101701</v>
      </c>
    </row>
    <row r="2158" spans="1:7" x14ac:dyDescent="0.3">
      <c r="A2158" t="str">
        <f>IF(ISBLANK(B2158),"",IF(ROUND(B2158,0)=ROUND(G2158,0),"Pass","Fail"))</f>
        <v>Pass</v>
      </c>
      <c r="B2158">
        <f t="shared" si="135"/>
        <v>20.132575988769531</v>
      </c>
      <c r="C2158">
        <v>20</v>
      </c>
      <c r="D2158">
        <v>50</v>
      </c>
      <c r="E2158">
        <v>100</v>
      </c>
      <c r="F2158">
        <v>24</v>
      </c>
      <c r="G2158">
        <v>20.1325774137362</v>
      </c>
    </row>
    <row r="2159" spans="1:7" x14ac:dyDescent="0.3">
      <c r="A2159" t="str">
        <f>IF(ISBLANK(B2159),"",IF(ROUND(B2159,0)=ROUND(G2159,0),"Pass","Fail"))</f>
        <v>Pass</v>
      </c>
      <c r="B2159">
        <f t="shared" si="135"/>
        <v>15.88027286529541</v>
      </c>
      <c r="C2159">
        <v>20</v>
      </c>
      <c r="D2159">
        <v>50</v>
      </c>
      <c r="E2159">
        <v>100</v>
      </c>
      <c r="F2159">
        <v>32</v>
      </c>
      <c r="G2159">
        <v>15.880273005994599</v>
      </c>
    </row>
    <row r="2160" spans="1:7" x14ac:dyDescent="0.3">
      <c r="A2160" t="str">
        <f>IF(ISBLANK(B2160),"",IF(ROUND(B2160,0)=ROUND(G2160,0),"Pass","Fail"))</f>
        <v>Pass</v>
      </c>
      <c r="B2160">
        <f t="shared" si="135"/>
        <v>13.739727020263672</v>
      </c>
      <c r="C2160">
        <v>20</v>
      </c>
      <c r="D2160">
        <v>50</v>
      </c>
      <c r="E2160">
        <v>100</v>
      </c>
      <c r="F2160">
        <v>40</v>
      </c>
      <c r="G2160">
        <v>13.7397267643271</v>
      </c>
    </row>
    <row r="2161" spans="1:7" x14ac:dyDescent="0.3">
      <c r="A2161" t="str">
        <f>IF(ISBLANK(B2161),"",IF(ROUND(B2161,0)=ROUND(G2161,0),"Pass","Fail"))</f>
        <v>Pass</v>
      </c>
      <c r="B2161">
        <f t="shared" si="135"/>
        <v>12.66220760345459</v>
      </c>
      <c r="C2161">
        <v>20</v>
      </c>
      <c r="D2161">
        <v>50</v>
      </c>
      <c r="E2161">
        <v>100</v>
      </c>
      <c r="F2161">
        <v>48</v>
      </c>
      <c r="G2161">
        <v>12.6622079008197</v>
      </c>
    </row>
    <row r="2162" spans="1:7" x14ac:dyDescent="0.3">
      <c r="A2162" t="str">
        <f>IF(ISBLANK(B2162),"",IF(ROUND(B2162,0)=ROUND(G2162,0),"Pass","Fail"))</f>
        <v>Pass</v>
      </c>
      <c r="B2162">
        <f t="shared" si="135"/>
        <v>12.909999847412109</v>
      </c>
      <c r="C2162">
        <v>20</v>
      </c>
      <c r="D2162">
        <v>60</v>
      </c>
      <c r="E2162">
        <v>0</v>
      </c>
      <c r="F2162">
        <v>0</v>
      </c>
      <c r="G2162">
        <v>12.91</v>
      </c>
    </row>
    <row r="2163" spans="1:7" x14ac:dyDescent="0.3">
      <c r="A2163" t="str">
        <f>IF(ISBLANK(B2163),"",IF(ROUND(B2163,0)=ROUND(G2163,0),"Pass","Fail"))</f>
        <v>Pass</v>
      </c>
      <c r="B2163">
        <f t="shared" si="135"/>
        <v>12.909999847412109</v>
      </c>
      <c r="C2163">
        <v>20</v>
      </c>
      <c r="D2163">
        <v>60</v>
      </c>
      <c r="E2163">
        <v>0</v>
      </c>
      <c r="F2163">
        <v>8</v>
      </c>
      <c r="G2163">
        <v>12.91</v>
      </c>
    </row>
    <row r="2164" spans="1:7" x14ac:dyDescent="0.3">
      <c r="A2164" t="str">
        <f>IF(ISBLANK(B2164),"",IF(ROUND(B2164,0)=ROUND(G2164,0),"Pass","Fail"))</f>
        <v>Pass</v>
      </c>
      <c r="B2164">
        <f t="shared" si="135"/>
        <v>12.909999847412109</v>
      </c>
      <c r="C2164">
        <v>20</v>
      </c>
      <c r="D2164">
        <v>60</v>
      </c>
      <c r="E2164">
        <v>0</v>
      </c>
      <c r="F2164">
        <v>16</v>
      </c>
      <c r="G2164">
        <v>12.91</v>
      </c>
    </row>
    <row r="2165" spans="1:7" x14ac:dyDescent="0.3">
      <c r="A2165" t="str">
        <f>IF(ISBLANK(B2165),"",IF(ROUND(B2165,0)=ROUND(G2165,0),"Pass","Fail"))</f>
        <v>Pass</v>
      </c>
      <c r="B2165">
        <f t="shared" si="135"/>
        <v>12.909999847412109</v>
      </c>
      <c r="C2165">
        <v>20</v>
      </c>
      <c r="D2165">
        <v>60</v>
      </c>
      <c r="E2165">
        <v>0</v>
      </c>
      <c r="F2165">
        <v>24</v>
      </c>
      <c r="G2165">
        <v>12.91</v>
      </c>
    </row>
    <row r="2166" spans="1:7" x14ac:dyDescent="0.3">
      <c r="A2166" t="str">
        <f>IF(ISBLANK(B2166),"",IF(ROUND(B2166,0)=ROUND(G2166,0),"Pass","Fail"))</f>
        <v>Pass</v>
      </c>
      <c r="B2166">
        <f t="shared" si="135"/>
        <v>12.909999847412109</v>
      </c>
      <c r="C2166">
        <v>20</v>
      </c>
      <c r="D2166">
        <v>60</v>
      </c>
      <c r="E2166">
        <v>0</v>
      </c>
      <c r="F2166">
        <v>32</v>
      </c>
      <c r="G2166">
        <v>12.91</v>
      </c>
    </row>
    <row r="2167" spans="1:7" x14ac:dyDescent="0.3">
      <c r="A2167" t="str">
        <f>IF(ISBLANK(B2167),"",IF(ROUND(B2167,0)=ROUND(G2167,0),"Pass","Fail"))</f>
        <v>Pass</v>
      </c>
      <c r="B2167">
        <f t="shared" si="135"/>
        <v>12.909999847412109</v>
      </c>
      <c r="C2167">
        <v>20</v>
      </c>
      <c r="D2167">
        <v>60</v>
      </c>
      <c r="E2167">
        <v>0</v>
      </c>
      <c r="F2167">
        <v>40</v>
      </c>
      <c r="G2167">
        <v>12.91</v>
      </c>
    </row>
    <row r="2168" spans="1:7" x14ac:dyDescent="0.3">
      <c r="A2168" t="str">
        <f>IF(ISBLANK(B2168),"",IF(ROUND(B2168,0)=ROUND(G2168,0),"Pass","Fail"))</f>
        <v>Pass</v>
      </c>
      <c r="B2168">
        <f t="shared" si="135"/>
        <v>12.909999847412109</v>
      </c>
      <c r="C2168">
        <v>20</v>
      </c>
      <c r="D2168">
        <v>60</v>
      </c>
      <c r="E2168">
        <v>0</v>
      </c>
      <c r="F2168">
        <v>48</v>
      </c>
      <c r="G2168">
        <v>12.91</v>
      </c>
    </row>
    <row r="2169" spans="1:7" x14ac:dyDescent="0.3">
      <c r="A2169" t="str">
        <f>IF(ISBLANK(B2169),"",IF(ROUND(B2169,0)=ROUND(G2169,0),"Pass","Fail"))</f>
        <v>Pass</v>
      </c>
      <c r="B2169">
        <f t="shared" si="135"/>
        <v>80.037994384765625</v>
      </c>
      <c r="C2169">
        <v>20</v>
      </c>
      <c r="D2169">
        <v>60</v>
      </c>
      <c r="E2169">
        <v>10</v>
      </c>
      <c r="F2169">
        <v>0</v>
      </c>
      <c r="G2169">
        <v>80.037999999998306</v>
      </c>
    </row>
    <row r="2170" spans="1:7" x14ac:dyDescent="0.3">
      <c r="A2170" t="str">
        <f>IF(ISBLANK(B2170),"",IF(ROUND(B2170,0)=ROUND(G2170,0),"Pass","Fail"))</f>
        <v>Pass</v>
      </c>
      <c r="B2170">
        <f t="shared" si="135"/>
        <v>46.701229095458984</v>
      </c>
      <c r="C2170">
        <v>20</v>
      </c>
      <c r="D2170">
        <v>60</v>
      </c>
      <c r="E2170">
        <v>10</v>
      </c>
      <c r="F2170">
        <v>8</v>
      </c>
      <c r="G2170">
        <v>46.701228080722203</v>
      </c>
    </row>
    <row r="2171" spans="1:7" x14ac:dyDescent="0.3">
      <c r="A2171" t="str">
        <f>IF(ISBLANK(B2171),"",IF(ROUND(B2171,0)=ROUND(G2171,0),"Pass","Fail"))</f>
        <v>Pass</v>
      </c>
      <c r="B2171">
        <f t="shared" si="135"/>
        <v>29.91999626159668</v>
      </c>
      <c r="C2171">
        <v>20</v>
      </c>
      <c r="D2171">
        <v>60</v>
      </c>
      <c r="E2171">
        <v>10</v>
      </c>
      <c r="F2171">
        <v>16</v>
      </c>
      <c r="G2171">
        <v>29.9199972471013</v>
      </c>
    </row>
    <row r="2172" spans="1:7" x14ac:dyDescent="0.3">
      <c r="A2172" t="str">
        <f>IF(ISBLANK(B2172),"",IF(ROUND(B2172,0)=ROUND(G2172,0),"Pass","Fail"))</f>
        <v>Pass</v>
      </c>
      <c r="B2172">
        <f t="shared" si="135"/>
        <v>21.472576141357422</v>
      </c>
      <c r="C2172">
        <v>20</v>
      </c>
      <c r="D2172">
        <v>60</v>
      </c>
      <c r="E2172">
        <v>10</v>
      </c>
      <c r="F2172">
        <v>24</v>
      </c>
      <c r="G2172">
        <v>21.472577413736001</v>
      </c>
    </row>
    <row r="2173" spans="1:7" x14ac:dyDescent="0.3">
      <c r="A2173" t="str">
        <f>IF(ISBLANK(B2173),"",IF(ROUND(B2173,0)=ROUND(G2173,0),"Pass","Fail"))</f>
        <v>Pass</v>
      </c>
      <c r="B2173">
        <f t="shared" si="135"/>
        <v>17.220272064208984</v>
      </c>
      <c r="C2173">
        <v>20</v>
      </c>
      <c r="D2173">
        <v>60</v>
      </c>
      <c r="E2173">
        <v>10</v>
      </c>
      <c r="F2173">
        <v>32</v>
      </c>
      <c r="G2173">
        <v>17.2202730059945</v>
      </c>
    </row>
    <row r="2174" spans="1:7" x14ac:dyDescent="0.3">
      <c r="A2174" t="str">
        <f>IF(ISBLANK(B2174),"",IF(ROUND(B2174,0)=ROUND(G2174,0),"Pass","Fail"))</f>
        <v>Pass</v>
      </c>
      <c r="B2174">
        <f t="shared" si="135"/>
        <v>15.079727172851563</v>
      </c>
      <c r="C2174">
        <v>20</v>
      </c>
      <c r="D2174">
        <v>60</v>
      </c>
      <c r="E2174">
        <v>10</v>
      </c>
      <c r="F2174">
        <v>40</v>
      </c>
      <c r="G2174">
        <v>15.079726764327001</v>
      </c>
    </row>
    <row r="2175" spans="1:7" x14ac:dyDescent="0.3">
      <c r="A2175" t="str">
        <f>IF(ISBLANK(B2175),"",IF(ROUND(B2175,0)=ROUND(G2175,0),"Pass","Fail"))</f>
        <v>Pass</v>
      </c>
      <c r="B2175">
        <f t="shared" si="135"/>
        <v>14.00220775604248</v>
      </c>
      <c r="C2175">
        <v>20</v>
      </c>
      <c r="D2175">
        <v>60</v>
      </c>
      <c r="E2175">
        <v>10</v>
      </c>
      <c r="F2175">
        <v>48</v>
      </c>
      <c r="G2175">
        <v>14.0022079008197</v>
      </c>
    </row>
    <row r="2176" spans="1:7" x14ac:dyDescent="0.3">
      <c r="A2176" t="str">
        <f>IF(ISBLANK(B2176),"",IF(ROUND(B2176,0)=ROUND(G2176,0),"Pass","Fail"))</f>
        <v>Pass</v>
      </c>
      <c r="B2176">
        <f t="shared" si="135"/>
        <v>80.037994384765625</v>
      </c>
      <c r="C2176">
        <v>20</v>
      </c>
      <c r="D2176">
        <v>60</v>
      </c>
      <c r="E2176">
        <v>20</v>
      </c>
      <c r="F2176">
        <v>0</v>
      </c>
      <c r="G2176">
        <v>80.037999999999997</v>
      </c>
    </row>
    <row r="2177" spans="1:7" x14ac:dyDescent="0.3">
      <c r="A2177" t="str">
        <f>IF(ISBLANK(B2177),"",IF(ROUND(B2177,0)=ROUND(G2177,0),"Pass","Fail"))</f>
        <v>Pass</v>
      </c>
      <c r="B2177">
        <f t="shared" si="135"/>
        <v>46.701229095458984</v>
      </c>
      <c r="C2177">
        <v>20</v>
      </c>
      <c r="D2177">
        <v>60</v>
      </c>
      <c r="E2177">
        <v>20</v>
      </c>
      <c r="F2177">
        <v>8</v>
      </c>
      <c r="G2177">
        <v>46.701228080723098</v>
      </c>
    </row>
    <row r="2178" spans="1:7" x14ac:dyDescent="0.3">
      <c r="A2178" t="str">
        <f>IF(ISBLANK(B2178),"",IF(ROUND(B2178,0)=ROUND(G2178,0),"Pass","Fail"))</f>
        <v>Pass</v>
      </c>
      <c r="B2178">
        <f t="shared" si="135"/>
        <v>29.91999626159668</v>
      </c>
      <c r="C2178">
        <v>20</v>
      </c>
      <c r="D2178">
        <v>60</v>
      </c>
      <c r="E2178">
        <v>20</v>
      </c>
      <c r="F2178">
        <v>16</v>
      </c>
      <c r="G2178">
        <v>29.919997247101701</v>
      </c>
    </row>
    <row r="2179" spans="1:7" x14ac:dyDescent="0.3">
      <c r="A2179" t="str">
        <f>IF(ISBLANK(B2179),"",IF(ROUND(B2179,0)=ROUND(G2179,0),"Pass","Fail"))</f>
        <v>Pass</v>
      </c>
      <c r="B2179">
        <f t="shared" si="135"/>
        <v>21.472576141357422</v>
      </c>
      <c r="C2179">
        <v>20</v>
      </c>
      <c r="D2179">
        <v>60</v>
      </c>
      <c r="E2179">
        <v>20</v>
      </c>
      <c r="F2179">
        <v>24</v>
      </c>
      <c r="G2179">
        <v>21.4725774137362</v>
      </c>
    </row>
    <row r="2180" spans="1:7" x14ac:dyDescent="0.3">
      <c r="A2180" t="str">
        <f>IF(ISBLANK(B2180),"",IF(ROUND(B2180,0)=ROUND(G2180,0),"Pass","Fail"))</f>
        <v>Pass</v>
      </c>
      <c r="B2180">
        <f t="shared" si="135"/>
        <v>17.220272064208984</v>
      </c>
      <c r="C2180">
        <v>20</v>
      </c>
      <c r="D2180">
        <v>60</v>
      </c>
      <c r="E2180">
        <v>20</v>
      </c>
      <c r="F2180">
        <v>32</v>
      </c>
      <c r="G2180">
        <v>17.220273005994599</v>
      </c>
    </row>
    <row r="2181" spans="1:7" x14ac:dyDescent="0.3">
      <c r="A2181" t="str">
        <f>IF(ISBLANK(B2181),"",IF(ROUND(B2181,0)=ROUND(G2181,0),"Pass","Fail"))</f>
        <v>Pass</v>
      </c>
      <c r="B2181">
        <f t="shared" si="135"/>
        <v>15.079727172851563</v>
      </c>
      <c r="C2181">
        <v>20</v>
      </c>
      <c r="D2181">
        <v>60</v>
      </c>
      <c r="E2181">
        <v>20</v>
      </c>
      <c r="F2181">
        <v>40</v>
      </c>
      <c r="G2181">
        <v>15.0797267643271</v>
      </c>
    </row>
    <row r="2182" spans="1:7" x14ac:dyDescent="0.3">
      <c r="A2182" t="str">
        <f>IF(ISBLANK(B2182),"",IF(ROUND(B2182,0)=ROUND(G2182,0),"Pass","Fail"))</f>
        <v>Pass</v>
      </c>
      <c r="B2182">
        <f t="shared" si="135"/>
        <v>14.00220775604248</v>
      </c>
      <c r="C2182">
        <v>20</v>
      </c>
      <c r="D2182">
        <v>60</v>
      </c>
      <c r="E2182">
        <v>20</v>
      </c>
      <c r="F2182">
        <v>48</v>
      </c>
      <c r="G2182">
        <v>14.0022079008197</v>
      </c>
    </row>
    <row r="2183" spans="1:7" x14ac:dyDescent="0.3">
      <c r="A2183" t="str">
        <f>IF(ISBLANK(B2183),"",IF(ROUND(B2183,0)=ROUND(G2183,0),"Pass","Fail"))</f>
        <v>Pass</v>
      </c>
      <c r="B2183">
        <f t="shared" ref="B2183:B2246" si="136">FMC_heath(C2183,D2183,E2183,F2183)</f>
        <v>80.037994384765625</v>
      </c>
      <c r="C2183">
        <v>20</v>
      </c>
      <c r="D2183">
        <v>60</v>
      </c>
      <c r="E2183">
        <v>30</v>
      </c>
      <c r="F2183">
        <v>0</v>
      </c>
      <c r="G2183">
        <v>80.037999999999997</v>
      </c>
    </row>
    <row r="2184" spans="1:7" x14ac:dyDescent="0.3">
      <c r="A2184" t="str">
        <f>IF(ISBLANK(B2184),"",IF(ROUND(B2184,0)=ROUND(G2184,0),"Pass","Fail"))</f>
        <v>Pass</v>
      </c>
      <c r="B2184">
        <f t="shared" si="136"/>
        <v>46.701229095458984</v>
      </c>
      <c r="C2184">
        <v>20</v>
      </c>
      <c r="D2184">
        <v>60</v>
      </c>
      <c r="E2184">
        <v>30</v>
      </c>
      <c r="F2184">
        <v>8</v>
      </c>
      <c r="G2184">
        <v>46.701228080723098</v>
      </c>
    </row>
    <row r="2185" spans="1:7" x14ac:dyDescent="0.3">
      <c r="A2185" t="str">
        <f>IF(ISBLANK(B2185),"",IF(ROUND(B2185,0)=ROUND(G2185,0),"Pass","Fail"))</f>
        <v>Pass</v>
      </c>
      <c r="B2185">
        <f t="shared" si="136"/>
        <v>29.91999626159668</v>
      </c>
      <c r="C2185">
        <v>20</v>
      </c>
      <c r="D2185">
        <v>60</v>
      </c>
      <c r="E2185">
        <v>30</v>
      </c>
      <c r="F2185">
        <v>16</v>
      </c>
      <c r="G2185">
        <v>29.919997247101701</v>
      </c>
    </row>
    <row r="2186" spans="1:7" x14ac:dyDescent="0.3">
      <c r="A2186" t="str">
        <f>IF(ISBLANK(B2186),"",IF(ROUND(B2186,0)=ROUND(G2186,0),"Pass","Fail"))</f>
        <v>Pass</v>
      </c>
      <c r="B2186">
        <f t="shared" si="136"/>
        <v>21.472576141357422</v>
      </c>
      <c r="C2186">
        <v>20</v>
      </c>
      <c r="D2186">
        <v>60</v>
      </c>
      <c r="E2186">
        <v>30</v>
      </c>
      <c r="F2186">
        <v>24</v>
      </c>
      <c r="G2186">
        <v>21.4725774137362</v>
      </c>
    </row>
    <row r="2187" spans="1:7" x14ac:dyDescent="0.3">
      <c r="A2187" t="str">
        <f>IF(ISBLANK(B2187),"",IF(ROUND(B2187,0)=ROUND(G2187,0),"Pass","Fail"))</f>
        <v>Pass</v>
      </c>
      <c r="B2187">
        <f t="shared" si="136"/>
        <v>17.220272064208984</v>
      </c>
      <c r="C2187">
        <v>20</v>
      </c>
      <c r="D2187">
        <v>60</v>
      </c>
      <c r="E2187">
        <v>30</v>
      </c>
      <c r="F2187">
        <v>32</v>
      </c>
      <c r="G2187">
        <v>17.220273005994599</v>
      </c>
    </row>
    <row r="2188" spans="1:7" x14ac:dyDescent="0.3">
      <c r="A2188" t="str">
        <f>IF(ISBLANK(B2188),"",IF(ROUND(B2188,0)=ROUND(G2188,0),"Pass","Fail"))</f>
        <v>Pass</v>
      </c>
      <c r="B2188">
        <f t="shared" si="136"/>
        <v>15.079727172851563</v>
      </c>
      <c r="C2188">
        <v>20</v>
      </c>
      <c r="D2188">
        <v>60</v>
      </c>
      <c r="E2188">
        <v>30</v>
      </c>
      <c r="F2188">
        <v>40</v>
      </c>
      <c r="G2188">
        <v>15.0797267643271</v>
      </c>
    </row>
    <row r="2189" spans="1:7" x14ac:dyDescent="0.3">
      <c r="A2189" t="str">
        <f>IF(ISBLANK(B2189),"",IF(ROUND(B2189,0)=ROUND(G2189,0),"Pass","Fail"))</f>
        <v>Pass</v>
      </c>
      <c r="B2189">
        <f t="shared" si="136"/>
        <v>14.00220775604248</v>
      </c>
      <c r="C2189">
        <v>20</v>
      </c>
      <c r="D2189">
        <v>60</v>
      </c>
      <c r="E2189">
        <v>30</v>
      </c>
      <c r="F2189">
        <v>48</v>
      </c>
      <c r="G2189">
        <v>14.0022079008197</v>
      </c>
    </row>
    <row r="2190" spans="1:7" x14ac:dyDescent="0.3">
      <c r="A2190" t="str">
        <f>IF(ISBLANK(B2190),"",IF(ROUND(B2190,0)=ROUND(G2190,0),"Pass","Fail"))</f>
        <v>Pass</v>
      </c>
      <c r="B2190">
        <f t="shared" si="136"/>
        <v>80.037994384765625</v>
      </c>
      <c r="C2190">
        <v>20</v>
      </c>
      <c r="D2190">
        <v>60</v>
      </c>
      <c r="E2190">
        <v>40</v>
      </c>
      <c r="F2190">
        <v>0</v>
      </c>
      <c r="G2190">
        <v>80.037999999999997</v>
      </c>
    </row>
    <row r="2191" spans="1:7" x14ac:dyDescent="0.3">
      <c r="A2191" t="str">
        <f>IF(ISBLANK(B2191),"",IF(ROUND(B2191,0)=ROUND(G2191,0),"Pass","Fail"))</f>
        <v>Pass</v>
      </c>
      <c r="B2191">
        <f t="shared" si="136"/>
        <v>46.701229095458984</v>
      </c>
      <c r="C2191">
        <v>20</v>
      </c>
      <c r="D2191">
        <v>60</v>
      </c>
      <c r="E2191">
        <v>40</v>
      </c>
      <c r="F2191">
        <v>8</v>
      </c>
      <c r="G2191">
        <v>46.701228080723098</v>
      </c>
    </row>
    <row r="2192" spans="1:7" x14ac:dyDescent="0.3">
      <c r="A2192" t="str">
        <f>IF(ISBLANK(B2192),"",IF(ROUND(B2192,0)=ROUND(G2192,0),"Pass","Fail"))</f>
        <v>Pass</v>
      </c>
      <c r="B2192">
        <f t="shared" si="136"/>
        <v>29.91999626159668</v>
      </c>
      <c r="C2192">
        <v>20</v>
      </c>
      <c r="D2192">
        <v>60</v>
      </c>
      <c r="E2192">
        <v>40</v>
      </c>
      <c r="F2192">
        <v>16</v>
      </c>
      <c r="G2192">
        <v>29.919997247101701</v>
      </c>
    </row>
    <row r="2193" spans="1:7" x14ac:dyDescent="0.3">
      <c r="A2193" t="str">
        <f>IF(ISBLANK(B2193),"",IF(ROUND(B2193,0)=ROUND(G2193,0),"Pass","Fail"))</f>
        <v>Pass</v>
      </c>
      <c r="B2193">
        <f t="shared" si="136"/>
        <v>21.472576141357422</v>
      </c>
      <c r="C2193">
        <v>20</v>
      </c>
      <c r="D2193">
        <v>60</v>
      </c>
      <c r="E2193">
        <v>40</v>
      </c>
      <c r="F2193">
        <v>24</v>
      </c>
      <c r="G2193">
        <v>21.4725774137362</v>
      </c>
    </row>
    <row r="2194" spans="1:7" x14ac:dyDescent="0.3">
      <c r="A2194" t="str">
        <f>IF(ISBLANK(B2194),"",IF(ROUND(B2194,0)=ROUND(G2194,0),"Pass","Fail"))</f>
        <v>Pass</v>
      </c>
      <c r="B2194">
        <f t="shared" si="136"/>
        <v>17.220272064208984</v>
      </c>
      <c r="C2194">
        <v>20</v>
      </c>
      <c r="D2194">
        <v>60</v>
      </c>
      <c r="E2194">
        <v>40</v>
      </c>
      <c r="F2194">
        <v>32</v>
      </c>
      <c r="G2194">
        <v>17.220273005994599</v>
      </c>
    </row>
    <row r="2195" spans="1:7" x14ac:dyDescent="0.3">
      <c r="A2195" t="str">
        <f>IF(ISBLANK(B2195),"",IF(ROUND(B2195,0)=ROUND(G2195,0),"Pass","Fail"))</f>
        <v>Pass</v>
      </c>
      <c r="B2195">
        <f t="shared" si="136"/>
        <v>15.079727172851563</v>
      </c>
      <c r="C2195">
        <v>20</v>
      </c>
      <c r="D2195">
        <v>60</v>
      </c>
      <c r="E2195">
        <v>40</v>
      </c>
      <c r="F2195">
        <v>40</v>
      </c>
      <c r="G2195">
        <v>15.0797267643271</v>
      </c>
    </row>
    <row r="2196" spans="1:7" x14ac:dyDescent="0.3">
      <c r="A2196" t="str">
        <f>IF(ISBLANK(B2196),"",IF(ROUND(B2196,0)=ROUND(G2196,0),"Pass","Fail"))</f>
        <v>Pass</v>
      </c>
      <c r="B2196">
        <f t="shared" si="136"/>
        <v>14.00220775604248</v>
      </c>
      <c r="C2196">
        <v>20</v>
      </c>
      <c r="D2196">
        <v>60</v>
      </c>
      <c r="E2196">
        <v>40</v>
      </c>
      <c r="F2196">
        <v>48</v>
      </c>
      <c r="G2196">
        <v>14.0022079008197</v>
      </c>
    </row>
    <row r="2197" spans="1:7" x14ac:dyDescent="0.3">
      <c r="A2197" t="str">
        <f>IF(ISBLANK(B2197),"",IF(ROUND(B2197,0)=ROUND(G2197,0),"Pass","Fail"))</f>
        <v>Pass</v>
      </c>
      <c r="B2197">
        <f t="shared" si="136"/>
        <v>80.037994384765625</v>
      </c>
      <c r="C2197">
        <v>20</v>
      </c>
      <c r="D2197">
        <v>60</v>
      </c>
      <c r="E2197">
        <v>50</v>
      </c>
      <c r="F2197">
        <v>0</v>
      </c>
      <c r="G2197">
        <v>80.037999999999997</v>
      </c>
    </row>
    <row r="2198" spans="1:7" x14ac:dyDescent="0.3">
      <c r="A2198" t="str">
        <f>IF(ISBLANK(B2198),"",IF(ROUND(B2198,0)=ROUND(G2198,0),"Pass","Fail"))</f>
        <v>Pass</v>
      </c>
      <c r="B2198">
        <f t="shared" si="136"/>
        <v>46.701229095458984</v>
      </c>
      <c r="C2198">
        <v>20</v>
      </c>
      <c r="D2198">
        <v>60</v>
      </c>
      <c r="E2198">
        <v>50</v>
      </c>
      <c r="F2198">
        <v>8</v>
      </c>
      <c r="G2198">
        <v>46.701228080723098</v>
      </c>
    </row>
    <row r="2199" spans="1:7" x14ac:dyDescent="0.3">
      <c r="A2199" t="str">
        <f>IF(ISBLANK(B2199),"",IF(ROUND(B2199,0)=ROUND(G2199,0),"Pass","Fail"))</f>
        <v>Pass</v>
      </c>
      <c r="B2199">
        <f t="shared" si="136"/>
        <v>29.91999626159668</v>
      </c>
      <c r="C2199">
        <v>20</v>
      </c>
      <c r="D2199">
        <v>60</v>
      </c>
      <c r="E2199">
        <v>50</v>
      </c>
      <c r="F2199">
        <v>16</v>
      </c>
      <c r="G2199">
        <v>29.919997247101701</v>
      </c>
    </row>
    <row r="2200" spans="1:7" x14ac:dyDescent="0.3">
      <c r="A2200" t="str">
        <f>IF(ISBLANK(B2200),"",IF(ROUND(B2200,0)=ROUND(G2200,0),"Pass","Fail"))</f>
        <v>Pass</v>
      </c>
      <c r="B2200">
        <f t="shared" si="136"/>
        <v>21.472576141357422</v>
      </c>
      <c r="C2200">
        <v>20</v>
      </c>
      <c r="D2200">
        <v>60</v>
      </c>
      <c r="E2200">
        <v>50</v>
      </c>
      <c r="F2200">
        <v>24</v>
      </c>
      <c r="G2200">
        <v>21.4725774137362</v>
      </c>
    </row>
    <row r="2201" spans="1:7" x14ac:dyDescent="0.3">
      <c r="A2201" t="str">
        <f>IF(ISBLANK(B2201),"",IF(ROUND(B2201,0)=ROUND(G2201,0),"Pass","Fail"))</f>
        <v>Pass</v>
      </c>
      <c r="B2201">
        <f t="shared" si="136"/>
        <v>17.220272064208984</v>
      </c>
      <c r="C2201">
        <v>20</v>
      </c>
      <c r="D2201">
        <v>60</v>
      </c>
      <c r="E2201">
        <v>50</v>
      </c>
      <c r="F2201">
        <v>32</v>
      </c>
      <c r="G2201">
        <v>17.220273005994599</v>
      </c>
    </row>
    <row r="2202" spans="1:7" x14ac:dyDescent="0.3">
      <c r="A2202" t="str">
        <f>IF(ISBLANK(B2202),"",IF(ROUND(B2202,0)=ROUND(G2202,0),"Pass","Fail"))</f>
        <v>Pass</v>
      </c>
      <c r="B2202">
        <f t="shared" si="136"/>
        <v>15.079727172851563</v>
      </c>
      <c r="C2202">
        <v>20</v>
      </c>
      <c r="D2202">
        <v>60</v>
      </c>
      <c r="E2202">
        <v>50</v>
      </c>
      <c r="F2202">
        <v>40</v>
      </c>
      <c r="G2202">
        <v>15.0797267643271</v>
      </c>
    </row>
    <row r="2203" spans="1:7" x14ac:dyDescent="0.3">
      <c r="A2203" t="str">
        <f>IF(ISBLANK(B2203),"",IF(ROUND(B2203,0)=ROUND(G2203,0),"Pass","Fail"))</f>
        <v>Pass</v>
      </c>
      <c r="B2203">
        <f t="shared" si="136"/>
        <v>14.00220775604248</v>
      </c>
      <c r="C2203">
        <v>20</v>
      </c>
      <c r="D2203">
        <v>60</v>
      </c>
      <c r="E2203">
        <v>50</v>
      </c>
      <c r="F2203">
        <v>48</v>
      </c>
      <c r="G2203">
        <v>14.0022079008197</v>
      </c>
    </row>
    <row r="2204" spans="1:7" x14ac:dyDescent="0.3">
      <c r="A2204" t="str">
        <f>IF(ISBLANK(B2204),"",IF(ROUND(B2204,0)=ROUND(G2204,0),"Pass","Fail"))</f>
        <v>Pass</v>
      </c>
      <c r="B2204">
        <f t="shared" si="136"/>
        <v>80.037994384765625</v>
      </c>
      <c r="C2204">
        <v>20</v>
      </c>
      <c r="D2204">
        <v>60</v>
      </c>
      <c r="E2204">
        <v>60</v>
      </c>
      <c r="F2204">
        <v>0</v>
      </c>
      <c r="G2204">
        <v>80.037999999999997</v>
      </c>
    </row>
    <row r="2205" spans="1:7" x14ac:dyDescent="0.3">
      <c r="A2205" t="str">
        <f>IF(ISBLANK(B2205),"",IF(ROUND(B2205,0)=ROUND(G2205,0),"Pass","Fail"))</f>
        <v>Pass</v>
      </c>
      <c r="B2205">
        <f t="shared" si="136"/>
        <v>46.701229095458984</v>
      </c>
      <c r="C2205">
        <v>20</v>
      </c>
      <c r="D2205">
        <v>60</v>
      </c>
      <c r="E2205">
        <v>60</v>
      </c>
      <c r="F2205">
        <v>8</v>
      </c>
      <c r="G2205">
        <v>46.701228080723098</v>
      </c>
    </row>
    <row r="2206" spans="1:7" x14ac:dyDescent="0.3">
      <c r="A2206" t="str">
        <f>IF(ISBLANK(B2206),"",IF(ROUND(B2206,0)=ROUND(G2206,0),"Pass","Fail"))</f>
        <v>Pass</v>
      </c>
      <c r="B2206">
        <f t="shared" si="136"/>
        <v>29.91999626159668</v>
      </c>
      <c r="C2206">
        <v>20</v>
      </c>
      <c r="D2206">
        <v>60</v>
      </c>
      <c r="E2206">
        <v>60</v>
      </c>
      <c r="F2206">
        <v>16</v>
      </c>
      <c r="G2206">
        <v>29.919997247101701</v>
      </c>
    </row>
    <row r="2207" spans="1:7" x14ac:dyDescent="0.3">
      <c r="A2207" t="str">
        <f>IF(ISBLANK(B2207),"",IF(ROUND(B2207,0)=ROUND(G2207,0),"Pass","Fail"))</f>
        <v>Pass</v>
      </c>
      <c r="B2207">
        <f t="shared" si="136"/>
        <v>21.472576141357422</v>
      </c>
      <c r="C2207">
        <v>20</v>
      </c>
      <c r="D2207">
        <v>60</v>
      </c>
      <c r="E2207">
        <v>60</v>
      </c>
      <c r="F2207">
        <v>24</v>
      </c>
      <c r="G2207">
        <v>21.4725774137362</v>
      </c>
    </row>
    <row r="2208" spans="1:7" x14ac:dyDescent="0.3">
      <c r="A2208" t="str">
        <f>IF(ISBLANK(B2208),"",IF(ROUND(B2208,0)=ROUND(G2208,0),"Pass","Fail"))</f>
        <v>Pass</v>
      </c>
      <c r="B2208">
        <f t="shared" si="136"/>
        <v>17.220272064208984</v>
      </c>
      <c r="C2208">
        <v>20</v>
      </c>
      <c r="D2208">
        <v>60</v>
      </c>
      <c r="E2208">
        <v>60</v>
      </c>
      <c r="F2208">
        <v>32</v>
      </c>
      <c r="G2208">
        <v>17.220273005994599</v>
      </c>
    </row>
    <row r="2209" spans="1:7" x14ac:dyDescent="0.3">
      <c r="A2209" t="str">
        <f>IF(ISBLANK(B2209),"",IF(ROUND(B2209,0)=ROUND(G2209,0),"Pass","Fail"))</f>
        <v>Pass</v>
      </c>
      <c r="B2209">
        <f t="shared" si="136"/>
        <v>15.079727172851563</v>
      </c>
      <c r="C2209">
        <v>20</v>
      </c>
      <c r="D2209">
        <v>60</v>
      </c>
      <c r="E2209">
        <v>60</v>
      </c>
      <c r="F2209">
        <v>40</v>
      </c>
      <c r="G2209">
        <v>15.0797267643271</v>
      </c>
    </row>
    <row r="2210" spans="1:7" x14ac:dyDescent="0.3">
      <c r="A2210" t="str">
        <f>IF(ISBLANK(B2210),"",IF(ROUND(B2210,0)=ROUND(G2210,0),"Pass","Fail"))</f>
        <v>Pass</v>
      </c>
      <c r="B2210">
        <f t="shared" si="136"/>
        <v>14.00220775604248</v>
      </c>
      <c r="C2210">
        <v>20</v>
      </c>
      <c r="D2210">
        <v>60</v>
      </c>
      <c r="E2210">
        <v>60</v>
      </c>
      <c r="F2210">
        <v>48</v>
      </c>
      <c r="G2210">
        <v>14.0022079008197</v>
      </c>
    </row>
    <row r="2211" spans="1:7" x14ac:dyDescent="0.3">
      <c r="A2211" t="str">
        <f>IF(ISBLANK(B2211),"",IF(ROUND(B2211,0)=ROUND(G2211,0),"Pass","Fail"))</f>
        <v>Pass</v>
      </c>
      <c r="B2211">
        <f t="shared" si="136"/>
        <v>80.037994384765625</v>
      </c>
      <c r="C2211">
        <v>20</v>
      </c>
      <c r="D2211">
        <v>60</v>
      </c>
      <c r="E2211">
        <v>70</v>
      </c>
      <c r="F2211">
        <v>0</v>
      </c>
      <c r="G2211">
        <v>80.037999999999997</v>
      </c>
    </row>
    <row r="2212" spans="1:7" x14ac:dyDescent="0.3">
      <c r="A2212" t="str">
        <f>IF(ISBLANK(B2212),"",IF(ROUND(B2212,0)=ROUND(G2212,0),"Pass","Fail"))</f>
        <v>Pass</v>
      </c>
      <c r="B2212">
        <f t="shared" si="136"/>
        <v>46.701229095458984</v>
      </c>
      <c r="C2212">
        <v>20</v>
      </c>
      <c r="D2212">
        <v>60</v>
      </c>
      <c r="E2212">
        <v>70</v>
      </c>
      <c r="F2212">
        <v>8</v>
      </c>
      <c r="G2212">
        <v>46.701228080723098</v>
      </c>
    </row>
    <row r="2213" spans="1:7" x14ac:dyDescent="0.3">
      <c r="A2213" t="str">
        <f>IF(ISBLANK(B2213),"",IF(ROUND(B2213,0)=ROUND(G2213,0),"Pass","Fail"))</f>
        <v>Pass</v>
      </c>
      <c r="B2213">
        <f t="shared" si="136"/>
        <v>29.91999626159668</v>
      </c>
      <c r="C2213">
        <v>20</v>
      </c>
      <c r="D2213">
        <v>60</v>
      </c>
      <c r="E2213">
        <v>70</v>
      </c>
      <c r="F2213">
        <v>16</v>
      </c>
      <c r="G2213">
        <v>29.919997247101701</v>
      </c>
    </row>
    <row r="2214" spans="1:7" x14ac:dyDescent="0.3">
      <c r="A2214" t="str">
        <f>IF(ISBLANK(B2214),"",IF(ROUND(B2214,0)=ROUND(G2214,0),"Pass","Fail"))</f>
        <v>Pass</v>
      </c>
      <c r="B2214">
        <f t="shared" si="136"/>
        <v>21.472576141357422</v>
      </c>
      <c r="C2214">
        <v>20</v>
      </c>
      <c r="D2214">
        <v>60</v>
      </c>
      <c r="E2214">
        <v>70</v>
      </c>
      <c r="F2214">
        <v>24</v>
      </c>
      <c r="G2214">
        <v>21.4725774137362</v>
      </c>
    </row>
    <row r="2215" spans="1:7" x14ac:dyDescent="0.3">
      <c r="A2215" t="str">
        <f>IF(ISBLANK(B2215),"",IF(ROUND(B2215,0)=ROUND(G2215,0),"Pass","Fail"))</f>
        <v>Pass</v>
      </c>
      <c r="B2215">
        <f t="shared" si="136"/>
        <v>17.220272064208984</v>
      </c>
      <c r="C2215">
        <v>20</v>
      </c>
      <c r="D2215">
        <v>60</v>
      </c>
      <c r="E2215">
        <v>70</v>
      </c>
      <c r="F2215">
        <v>32</v>
      </c>
      <c r="G2215">
        <v>17.220273005994599</v>
      </c>
    </row>
    <row r="2216" spans="1:7" x14ac:dyDescent="0.3">
      <c r="A2216" t="str">
        <f>IF(ISBLANK(B2216),"",IF(ROUND(B2216,0)=ROUND(G2216,0),"Pass","Fail"))</f>
        <v>Pass</v>
      </c>
      <c r="B2216">
        <f t="shared" si="136"/>
        <v>15.079727172851563</v>
      </c>
      <c r="C2216">
        <v>20</v>
      </c>
      <c r="D2216">
        <v>60</v>
      </c>
      <c r="E2216">
        <v>70</v>
      </c>
      <c r="F2216">
        <v>40</v>
      </c>
      <c r="G2216">
        <v>15.0797267643271</v>
      </c>
    </row>
    <row r="2217" spans="1:7" x14ac:dyDescent="0.3">
      <c r="A2217" t="str">
        <f>IF(ISBLANK(B2217),"",IF(ROUND(B2217,0)=ROUND(G2217,0),"Pass","Fail"))</f>
        <v>Pass</v>
      </c>
      <c r="B2217">
        <f t="shared" si="136"/>
        <v>14.00220775604248</v>
      </c>
      <c r="C2217">
        <v>20</v>
      </c>
      <c r="D2217">
        <v>60</v>
      </c>
      <c r="E2217">
        <v>70</v>
      </c>
      <c r="F2217">
        <v>48</v>
      </c>
      <c r="G2217">
        <v>14.0022079008197</v>
      </c>
    </row>
    <row r="2218" spans="1:7" x14ac:dyDescent="0.3">
      <c r="A2218" t="str">
        <f>IF(ISBLANK(B2218),"",IF(ROUND(B2218,0)=ROUND(G2218,0),"Pass","Fail"))</f>
        <v>Pass</v>
      </c>
      <c r="B2218">
        <f t="shared" si="136"/>
        <v>80.037994384765625</v>
      </c>
      <c r="C2218">
        <v>20</v>
      </c>
      <c r="D2218">
        <v>60</v>
      </c>
      <c r="E2218">
        <v>80</v>
      </c>
      <c r="F2218">
        <v>0</v>
      </c>
      <c r="G2218">
        <v>80.037999999999997</v>
      </c>
    </row>
    <row r="2219" spans="1:7" x14ac:dyDescent="0.3">
      <c r="A2219" t="str">
        <f>IF(ISBLANK(B2219),"",IF(ROUND(B2219,0)=ROUND(G2219,0),"Pass","Fail"))</f>
        <v>Pass</v>
      </c>
      <c r="B2219">
        <f t="shared" si="136"/>
        <v>46.701229095458984</v>
      </c>
      <c r="C2219">
        <v>20</v>
      </c>
      <c r="D2219">
        <v>60</v>
      </c>
      <c r="E2219">
        <v>80</v>
      </c>
      <c r="F2219">
        <v>8</v>
      </c>
      <c r="G2219">
        <v>46.701228080723098</v>
      </c>
    </row>
    <row r="2220" spans="1:7" x14ac:dyDescent="0.3">
      <c r="A2220" t="str">
        <f>IF(ISBLANK(B2220),"",IF(ROUND(B2220,0)=ROUND(G2220,0),"Pass","Fail"))</f>
        <v>Pass</v>
      </c>
      <c r="B2220">
        <f t="shared" si="136"/>
        <v>29.91999626159668</v>
      </c>
      <c r="C2220">
        <v>20</v>
      </c>
      <c r="D2220">
        <v>60</v>
      </c>
      <c r="E2220">
        <v>80</v>
      </c>
      <c r="F2220">
        <v>16</v>
      </c>
      <c r="G2220">
        <v>29.919997247101701</v>
      </c>
    </row>
    <row r="2221" spans="1:7" x14ac:dyDescent="0.3">
      <c r="A2221" t="str">
        <f>IF(ISBLANK(B2221),"",IF(ROUND(B2221,0)=ROUND(G2221,0),"Pass","Fail"))</f>
        <v>Pass</v>
      </c>
      <c r="B2221">
        <f t="shared" si="136"/>
        <v>21.472576141357422</v>
      </c>
      <c r="C2221">
        <v>20</v>
      </c>
      <c r="D2221">
        <v>60</v>
      </c>
      <c r="E2221">
        <v>80</v>
      </c>
      <c r="F2221">
        <v>24</v>
      </c>
      <c r="G2221">
        <v>21.4725774137362</v>
      </c>
    </row>
    <row r="2222" spans="1:7" x14ac:dyDescent="0.3">
      <c r="A2222" t="str">
        <f>IF(ISBLANK(B2222),"",IF(ROUND(B2222,0)=ROUND(G2222,0),"Pass","Fail"))</f>
        <v>Pass</v>
      </c>
      <c r="B2222">
        <f t="shared" si="136"/>
        <v>17.220272064208984</v>
      </c>
      <c r="C2222">
        <v>20</v>
      </c>
      <c r="D2222">
        <v>60</v>
      </c>
      <c r="E2222">
        <v>80</v>
      </c>
      <c r="F2222">
        <v>32</v>
      </c>
      <c r="G2222">
        <v>17.220273005994599</v>
      </c>
    </row>
    <row r="2223" spans="1:7" x14ac:dyDescent="0.3">
      <c r="A2223" t="str">
        <f>IF(ISBLANK(B2223),"",IF(ROUND(B2223,0)=ROUND(G2223,0),"Pass","Fail"))</f>
        <v>Pass</v>
      </c>
      <c r="B2223">
        <f t="shared" si="136"/>
        <v>15.079727172851563</v>
      </c>
      <c r="C2223">
        <v>20</v>
      </c>
      <c r="D2223">
        <v>60</v>
      </c>
      <c r="E2223">
        <v>80</v>
      </c>
      <c r="F2223">
        <v>40</v>
      </c>
      <c r="G2223">
        <v>15.0797267643271</v>
      </c>
    </row>
    <row r="2224" spans="1:7" x14ac:dyDescent="0.3">
      <c r="A2224" t="str">
        <f>IF(ISBLANK(B2224),"",IF(ROUND(B2224,0)=ROUND(G2224,0),"Pass","Fail"))</f>
        <v>Pass</v>
      </c>
      <c r="B2224">
        <f t="shared" si="136"/>
        <v>14.00220775604248</v>
      </c>
      <c r="C2224">
        <v>20</v>
      </c>
      <c r="D2224">
        <v>60</v>
      </c>
      <c r="E2224">
        <v>80</v>
      </c>
      <c r="F2224">
        <v>48</v>
      </c>
      <c r="G2224">
        <v>14.0022079008197</v>
      </c>
    </row>
    <row r="2225" spans="1:7" x14ac:dyDescent="0.3">
      <c r="A2225" t="str">
        <f>IF(ISBLANK(B2225),"",IF(ROUND(B2225,0)=ROUND(G2225,0),"Pass","Fail"))</f>
        <v>Pass</v>
      </c>
      <c r="B2225">
        <f t="shared" si="136"/>
        <v>80.037994384765625</v>
      </c>
      <c r="C2225">
        <v>20</v>
      </c>
      <c r="D2225">
        <v>60</v>
      </c>
      <c r="E2225">
        <v>90</v>
      </c>
      <c r="F2225">
        <v>0</v>
      </c>
      <c r="G2225">
        <v>80.037999999999997</v>
      </c>
    </row>
    <row r="2226" spans="1:7" x14ac:dyDescent="0.3">
      <c r="A2226" t="str">
        <f>IF(ISBLANK(B2226),"",IF(ROUND(B2226,0)=ROUND(G2226,0),"Pass","Fail"))</f>
        <v>Pass</v>
      </c>
      <c r="B2226">
        <f t="shared" si="136"/>
        <v>46.701229095458984</v>
      </c>
      <c r="C2226">
        <v>20</v>
      </c>
      <c r="D2226">
        <v>60</v>
      </c>
      <c r="E2226">
        <v>90</v>
      </c>
      <c r="F2226">
        <v>8</v>
      </c>
      <c r="G2226">
        <v>46.701228080723098</v>
      </c>
    </row>
    <row r="2227" spans="1:7" x14ac:dyDescent="0.3">
      <c r="A2227" t="str">
        <f>IF(ISBLANK(B2227),"",IF(ROUND(B2227,0)=ROUND(G2227,0),"Pass","Fail"))</f>
        <v>Pass</v>
      </c>
      <c r="B2227">
        <f t="shared" si="136"/>
        <v>29.91999626159668</v>
      </c>
      <c r="C2227">
        <v>20</v>
      </c>
      <c r="D2227">
        <v>60</v>
      </c>
      <c r="E2227">
        <v>90</v>
      </c>
      <c r="F2227">
        <v>16</v>
      </c>
      <c r="G2227">
        <v>29.919997247101701</v>
      </c>
    </row>
    <row r="2228" spans="1:7" x14ac:dyDescent="0.3">
      <c r="A2228" t="str">
        <f>IF(ISBLANK(B2228),"",IF(ROUND(B2228,0)=ROUND(G2228,0),"Pass","Fail"))</f>
        <v>Pass</v>
      </c>
      <c r="B2228">
        <f t="shared" si="136"/>
        <v>21.472576141357422</v>
      </c>
      <c r="C2228">
        <v>20</v>
      </c>
      <c r="D2228">
        <v>60</v>
      </c>
      <c r="E2228">
        <v>90</v>
      </c>
      <c r="F2228">
        <v>24</v>
      </c>
      <c r="G2228">
        <v>21.4725774137362</v>
      </c>
    </row>
    <row r="2229" spans="1:7" x14ac:dyDescent="0.3">
      <c r="A2229" t="str">
        <f>IF(ISBLANK(B2229),"",IF(ROUND(B2229,0)=ROUND(G2229,0),"Pass","Fail"))</f>
        <v>Pass</v>
      </c>
      <c r="B2229">
        <f t="shared" si="136"/>
        <v>17.220272064208984</v>
      </c>
      <c r="C2229">
        <v>20</v>
      </c>
      <c r="D2229">
        <v>60</v>
      </c>
      <c r="E2229">
        <v>90</v>
      </c>
      <c r="F2229">
        <v>32</v>
      </c>
      <c r="G2229">
        <v>17.220273005994599</v>
      </c>
    </row>
    <row r="2230" spans="1:7" x14ac:dyDescent="0.3">
      <c r="A2230" t="str">
        <f>IF(ISBLANK(B2230),"",IF(ROUND(B2230,0)=ROUND(G2230,0),"Pass","Fail"))</f>
        <v>Pass</v>
      </c>
      <c r="B2230">
        <f t="shared" si="136"/>
        <v>15.079727172851563</v>
      </c>
      <c r="C2230">
        <v>20</v>
      </c>
      <c r="D2230">
        <v>60</v>
      </c>
      <c r="E2230">
        <v>90</v>
      </c>
      <c r="F2230">
        <v>40</v>
      </c>
      <c r="G2230">
        <v>15.0797267643271</v>
      </c>
    </row>
    <row r="2231" spans="1:7" x14ac:dyDescent="0.3">
      <c r="A2231" t="str">
        <f>IF(ISBLANK(B2231),"",IF(ROUND(B2231,0)=ROUND(G2231,0),"Pass","Fail"))</f>
        <v>Pass</v>
      </c>
      <c r="B2231">
        <f t="shared" si="136"/>
        <v>14.00220775604248</v>
      </c>
      <c r="C2231">
        <v>20</v>
      </c>
      <c r="D2231">
        <v>60</v>
      </c>
      <c r="E2231">
        <v>90</v>
      </c>
      <c r="F2231">
        <v>48</v>
      </c>
      <c r="G2231">
        <v>14.0022079008197</v>
      </c>
    </row>
    <row r="2232" spans="1:7" x14ac:dyDescent="0.3">
      <c r="A2232" t="str">
        <f>IF(ISBLANK(B2232),"",IF(ROUND(B2232,0)=ROUND(G2232,0),"Pass","Fail"))</f>
        <v>Pass</v>
      </c>
      <c r="B2232">
        <f t="shared" si="136"/>
        <v>80.037994384765625</v>
      </c>
      <c r="C2232">
        <v>20</v>
      </c>
      <c r="D2232">
        <v>60</v>
      </c>
      <c r="E2232">
        <v>100</v>
      </c>
      <c r="F2232">
        <v>0</v>
      </c>
      <c r="G2232">
        <v>80.037999999999997</v>
      </c>
    </row>
    <row r="2233" spans="1:7" x14ac:dyDescent="0.3">
      <c r="A2233" t="str">
        <f>IF(ISBLANK(B2233),"",IF(ROUND(B2233,0)=ROUND(G2233,0),"Pass","Fail"))</f>
        <v>Pass</v>
      </c>
      <c r="B2233">
        <f t="shared" si="136"/>
        <v>46.701229095458984</v>
      </c>
      <c r="C2233">
        <v>20</v>
      </c>
      <c r="D2233">
        <v>60</v>
      </c>
      <c r="E2233">
        <v>100</v>
      </c>
      <c r="F2233">
        <v>8</v>
      </c>
      <c r="G2233">
        <v>46.701228080723098</v>
      </c>
    </row>
    <row r="2234" spans="1:7" x14ac:dyDescent="0.3">
      <c r="A2234" t="str">
        <f>IF(ISBLANK(B2234),"",IF(ROUND(B2234,0)=ROUND(G2234,0),"Pass","Fail"))</f>
        <v>Pass</v>
      </c>
      <c r="B2234">
        <f t="shared" si="136"/>
        <v>29.91999626159668</v>
      </c>
      <c r="C2234">
        <v>20</v>
      </c>
      <c r="D2234">
        <v>60</v>
      </c>
      <c r="E2234">
        <v>100</v>
      </c>
      <c r="F2234">
        <v>16</v>
      </c>
      <c r="G2234">
        <v>29.919997247101701</v>
      </c>
    </row>
    <row r="2235" spans="1:7" x14ac:dyDescent="0.3">
      <c r="A2235" t="str">
        <f>IF(ISBLANK(B2235),"",IF(ROUND(B2235,0)=ROUND(G2235,0),"Pass","Fail"))</f>
        <v>Pass</v>
      </c>
      <c r="B2235">
        <f t="shared" si="136"/>
        <v>21.472576141357422</v>
      </c>
      <c r="C2235">
        <v>20</v>
      </c>
      <c r="D2235">
        <v>60</v>
      </c>
      <c r="E2235">
        <v>100</v>
      </c>
      <c r="F2235">
        <v>24</v>
      </c>
      <c r="G2235">
        <v>21.4725774137362</v>
      </c>
    </row>
    <row r="2236" spans="1:7" x14ac:dyDescent="0.3">
      <c r="A2236" t="str">
        <f>IF(ISBLANK(B2236),"",IF(ROUND(B2236,0)=ROUND(G2236,0),"Pass","Fail"))</f>
        <v>Pass</v>
      </c>
      <c r="B2236">
        <f t="shared" si="136"/>
        <v>17.220272064208984</v>
      </c>
      <c r="C2236">
        <v>20</v>
      </c>
      <c r="D2236">
        <v>60</v>
      </c>
      <c r="E2236">
        <v>100</v>
      </c>
      <c r="F2236">
        <v>32</v>
      </c>
      <c r="G2236">
        <v>17.220273005994599</v>
      </c>
    </row>
    <row r="2237" spans="1:7" x14ac:dyDescent="0.3">
      <c r="A2237" t="str">
        <f>IF(ISBLANK(B2237),"",IF(ROUND(B2237,0)=ROUND(G2237,0),"Pass","Fail"))</f>
        <v>Pass</v>
      </c>
      <c r="B2237">
        <f t="shared" si="136"/>
        <v>15.079727172851563</v>
      </c>
      <c r="C2237">
        <v>20</v>
      </c>
      <c r="D2237">
        <v>60</v>
      </c>
      <c r="E2237">
        <v>100</v>
      </c>
      <c r="F2237">
        <v>40</v>
      </c>
      <c r="G2237">
        <v>15.0797267643271</v>
      </c>
    </row>
    <row r="2238" spans="1:7" x14ac:dyDescent="0.3">
      <c r="A2238" t="str">
        <f>IF(ISBLANK(B2238),"",IF(ROUND(B2238,0)=ROUND(G2238,0),"Pass","Fail"))</f>
        <v>Pass</v>
      </c>
      <c r="B2238">
        <f t="shared" si="136"/>
        <v>14.00220775604248</v>
      </c>
      <c r="C2238">
        <v>20</v>
      </c>
      <c r="D2238">
        <v>60</v>
      </c>
      <c r="E2238">
        <v>100</v>
      </c>
      <c r="F2238">
        <v>48</v>
      </c>
      <c r="G2238">
        <v>14.0022079008197</v>
      </c>
    </row>
    <row r="2239" spans="1:7" x14ac:dyDescent="0.3">
      <c r="A2239" t="str">
        <f>IF(ISBLANK(B2239),"",IF(ROUND(B2239,0)=ROUND(G2239,0),"Pass","Fail"))</f>
        <v>Pass</v>
      </c>
      <c r="B2239">
        <f t="shared" si="136"/>
        <v>16.139999389648438</v>
      </c>
      <c r="C2239">
        <v>20</v>
      </c>
      <c r="D2239">
        <v>70</v>
      </c>
      <c r="E2239">
        <v>0</v>
      </c>
      <c r="F2239">
        <v>0</v>
      </c>
      <c r="G2239">
        <v>16.14</v>
      </c>
    </row>
    <row r="2240" spans="1:7" x14ac:dyDescent="0.3">
      <c r="A2240" t="str">
        <f>IF(ISBLANK(B2240),"",IF(ROUND(B2240,0)=ROUND(G2240,0),"Pass","Fail"))</f>
        <v>Pass</v>
      </c>
      <c r="B2240">
        <f t="shared" si="136"/>
        <v>16.139999389648438</v>
      </c>
      <c r="C2240">
        <v>20</v>
      </c>
      <c r="D2240">
        <v>70</v>
      </c>
      <c r="E2240">
        <v>0</v>
      </c>
      <c r="F2240">
        <v>8</v>
      </c>
      <c r="G2240">
        <v>16.14</v>
      </c>
    </row>
    <row r="2241" spans="1:7" x14ac:dyDescent="0.3">
      <c r="A2241" t="str">
        <f>IF(ISBLANK(B2241),"",IF(ROUND(B2241,0)=ROUND(G2241,0),"Pass","Fail"))</f>
        <v>Pass</v>
      </c>
      <c r="B2241">
        <f t="shared" si="136"/>
        <v>16.139999389648438</v>
      </c>
      <c r="C2241">
        <v>20</v>
      </c>
      <c r="D2241">
        <v>70</v>
      </c>
      <c r="E2241">
        <v>0</v>
      </c>
      <c r="F2241">
        <v>16</v>
      </c>
      <c r="G2241">
        <v>16.14</v>
      </c>
    </row>
    <row r="2242" spans="1:7" x14ac:dyDescent="0.3">
      <c r="A2242" t="str">
        <f>IF(ISBLANK(B2242),"",IF(ROUND(B2242,0)=ROUND(G2242,0),"Pass","Fail"))</f>
        <v>Pass</v>
      </c>
      <c r="B2242">
        <f t="shared" si="136"/>
        <v>16.139999389648438</v>
      </c>
      <c r="C2242">
        <v>20</v>
      </c>
      <c r="D2242">
        <v>70</v>
      </c>
      <c r="E2242">
        <v>0</v>
      </c>
      <c r="F2242">
        <v>24</v>
      </c>
      <c r="G2242">
        <v>16.14</v>
      </c>
    </row>
    <row r="2243" spans="1:7" x14ac:dyDescent="0.3">
      <c r="A2243" t="str">
        <f>IF(ISBLANK(B2243),"",IF(ROUND(B2243,0)=ROUND(G2243,0),"Pass","Fail"))</f>
        <v>Pass</v>
      </c>
      <c r="B2243">
        <f t="shared" si="136"/>
        <v>16.139999389648438</v>
      </c>
      <c r="C2243">
        <v>20</v>
      </c>
      <c r="D2243">
        <v>70</v>
      </c>
      <c r="E2243">
        <v>0</v>
      </c>
      <c r="F2243">
        <v>32</v>
      </c>
      <c r="G2243">
        <v>16.14</v>
      </c>
    </row>
    <row r="2244" spans="1:7" x14ac:dyDescent="0.3">
      <c r="A2244" t="str">
        <f>IF(ISBLANK(B2244),"",IF(ROUND(B2244,0)=ROUND(G2244,0),"Pass","Fail"))</f>
        <v>Pass</v>
      </c>
      <c r="B2244">
        <f t="shared" si="136"/>
        <v>16.139999389648438</v>
      </c>
      <c r="C2244">
        <v>20</v>
      </c>
      <c r="D2244">
        <v>70</v>
      </c>
      <c r="E2244">
        <v>0</v>
      </c>
      <c r="F2244">
        <v>40</v>
      </c>
      <c r="G2244">
        <v>16.14</v>
      </c>
    </row>
    <row r="2245" spans="1:7" x14ac:dyDescent="0.3">
      <c r="A2245" t="str">
        <f>IF(ISBLANK(B2245),"",IF(ROUND(B2245,0)=ROUND(G2245,0),"Pass","Fail"))</f>
        <v>Pass</v>
      </c>
      <c r="B2245">
        <f t="shared" si="136"/>
        <v>16.139999389648438</v>
      </c>
      <c r="C2245">
        <v>20</v>
      </c>
      <c r="D2245">
        <v>70</v>
      </c>
      <c r="E2245">
        <v>0</v>
      </c>
      <c r="F2245">
        <v>48</v>
      </c>
      <c r="G2245">
        <v>16.14</v>
      </c>
    </row>
    <row r="2246" spans="1:7" x14ac:dyDescent="0.3">
      <c r="A2246" t="str">
        <f>IF(ISBLANK(B2246),"",IF(ROUND(B2246,0)=ROUND(G2246,0),"Pass","Fail"))</f>
        <v>Pass</v>
      </c>
      <c r="B2246">
        <f t="shared" si="136"/>
        <v>83.267997741699219</v>
      </c>
      <c r="C2246">
        <v>20</v>
      </c>
      <c r="D2246">
        <v>70</v>
      </c>
      <c r="E2246">
        <v>10</v>
      </c>
      <c r="F2246">
        <v>0</v>
      </c>
      <c r="G2246">
        <v>83.267999999998295</v>
      </c>
    </row>
    <row r="2247" spans="1:7" x14ac:dyDescent="0.3">
      <c r="A2247" t="str">
        <f>IF(ISBLANK(B2247),"",IF(ROUND(B2247,0)=ROUND(G2247,0),"Pass","Fail"))</f>
        <v>Pass</v>
      </c>
      <c r="B2247">
        <f t="shared" ref="B2247:B2310" si="137">FMC_heath(C2247,D2247,E2247,F2247)</f>
        <v>49.931228637695313</v>
      </c>
      <c r="C2247">
        <v>20</v>
      </c>
      <c r="D2247">
        <v>70</v>
      </c>
      <c r="E2247">
        <v>10</v>
      </c>
      <c r="F2247">
        <v>8</v>
      </c>
      <c r="G2247">
        <v>49.9312280807222</v>
      </c>
    </row>
    <row r="2248" spans="1:7" x14ac:dyDescent="0.3">
      <c r="A2248" t="str">
        <f>IF(ISBLANK(B2248),"",IF(ROUND(B2248,0)=ROUND(G2248,0),"Pass","Fail"))</f>
        <v>Pass</v>
      </c>
      <c r="B2248">
        <f t="shared" si="137"/>
        <v>33.149993896484375</v>
      </c>
      <c r="C2248">
        <v>20</v>
      </c>
      <c r="D2248">
        <v>70</v>
      </c>
      <c r="E2248">
        <v>10</v>
      </c>
      <c r="F2248">
        <v>16</v>
      </c>
      <c r="G2248">
        <v>33.149997247101297</v>
      </c>
    </row>
    <row r="2249" spans="1:7" x14ac:dyDescent="0.3">
      <c r="A2249" t="str">
        <f>IF(ISBLANK(B2249),"",IF(ROUND(B2249,0)=ROUND(G2249,0),"Pass","Fail"))</f>
        <v>Pass</v>
      </c>
      <c r="B2249">
        <f t="shared" si="137"/>
        <v>24.70257568359375</v>
      </c>
      <c r="C2249">
        <v>20</v>
      </c>
      <c r="D2249">
        <v>70</v>
      </c>
      <c r="E2249">
        <v>10</v>
      </c>
      <c r="F2249">
        <v>24</v>
      </c>
      <c r="G2249">
        <v>24.702577413736002</v>
      </c>
    </row>
    <row r="2250" spans="1:7" x14ac:dyDescent="0.3">
      <c r="A2250" t="str">
        <f>IF(ISBLANK(B2250),"",IF(ROUND(B2250,0)=ROUND(G2250,0),"Pass","Fail"))</f>
        <v>Pass</v>
      </c>
      <c r="B2250">
        <f t="shared" si="137"/>
        <v>20.450271606445313</v>
      </c>
      <c r="C2250">
        <v>20</v>
      </c>
      <c r="D2250">
        <v>70</v>
      </c>
      <c r="E2250">
        <v>10</v>
      </c>
      <c r="F2250">
        <v>32</v>
      </c>
      <c r="G2250">
        <v>20.4502730059945</v>
      </c>
    </row>
    <row r="2251" spans="1:7" x14ac:dyDescent="0.3">
      <c r="A2251" t="str">
        <f>IF(ISBLANK(B2251),"",IF(ROUND(B2251,0)=ROUND(G2251,0),"Pass","Fail"))</f>
        <v>Pass</v>
      </c>
      <c r="B2251">
        <f t="shared" si="137"/>
        <v>18.309726715087891</v>
      </c>
      <c r="C2251">
        <v>20</v>
      </c>
      <c r="D2251">
        <v>70</v>
      </c>
      <c r="E2251">
        <v>10</v>
      </c>
      <c r="F2251">
        <v>40</v>
      </c>
      <c r="G2251">
        <v>18.309726764326999</v>
      </c>
    </row>
    <row r="2252" spans="1:7" x14ac:dyDescent="0.3">
      <c r="A2252" t="str">
        <f>IF(ISBLANK(B2252),"",IF(ROUND(B2252,0)=ROUND(G2252,0),"Pass","Fail"))</f>
        <v>Pass</v>
      </c>
      <c r="B2252">
        <f t="shared" si="137"/>
        <v>17.232208251953125</v>
      </c>
      <c r="C2252">
        <v>20</v>
      </c>
      <c r="D2252">
        <v>70</v>
      </c>
      <c r="E2252">
        <v>10</v>
      </c>
      <c r="F2252">
        <v>48</v>
      </c>
      <c r="G2252">
        <v>17.232207900819699</v>
      </c>
    </row>
    <row r="2253" spans="1:7" x14ac:dyDescent="0.3">
      <c r="A2253" t="str">
        <f>IF(ISBLANK(B2253),"",IF(ROUND(B2253,0)=ROUND(G2253,0),"Pass","Fail"))</f>
        <v>Pass</v>
      </c>
      <c r="B2253">
        <f t="shared" si="137"/>
        <v>83.267997741699219</v>
      </c>
      <c r="C2253">
        <v>20</v>
      </c>
      <c r="D2253">
        <v>70</v>
      </c>
      <c r="E2253">
        <v>20</v>
      </c>
      <c r="F2253">
        <v>0</v>
      </c>
      <c r="G2253">
        <v>83.268000000000001</v>
      </c>
    </row>
    <row r="2254" spans="1:7" x14ac:dyDescent="0.3">
      <c r="A2254" t="str">
        <f>IF(ISBLANK(B2254),"",IF(ROUND(B2254,0)=ROUND(G2254,0),"Pass","Fail"))</f>
        <v>Pass</v>
      </c>
      <c r="B2254">
        <f t="shared" si="137"/>
        <v>49.931228637695313</v>
      </c>
      <c r="C2254">
        <v>20</v>
      </c>
      <c r="D2254">
        <v>70</v>
      </c>
      <c r="E2254">
        <v>20</v>
      </c>
      <c r="F2254">
        <v>8</v>
      </c>
      <c r="G2254">
        <v>49.931228080723002</v>
      </c>
    </row>
    <row r="2255" spans="1:7" x14ac:dyDescent="0.3">
      <c r="A2255" t="str">
        <f>IF(ISBLANK(B2255),"",IF(ROUND(B2255,0)=ROUND(G2255,0),"Pass","Fail"))</f>
        <v>Pass</v>
      </c>
      <c r="B2255">
        <f t="shared" si="137"/>
        <v>33.149993896484375</v>
      </c>
      <c r="C2255">
        <v>20</v>
      </c>
      <c r="D2255">
        <v>70</v>
      </c>
      <c r="E2255">
        <v>20</v>
      </c>
      <c r="F2255">
        <v>16</v>
      </c>
      <c r="G2255">
        <v>33.149997247101702</v>
      </c>
    </row>
    <row r="2256" spans="1:7" x14ac:dyDescent="0.3">
      <c r="A2256" t="str">
        <f>IF(ISBLANK(B2256),"",IF(ROUND(B2256,0)=ROUND(G2256,0),"Pass","Fail"))</f>
        <v>Pass</v>
      </c>
      <c r="B2256">
        <f t="shared" si="137"/>
        <v>24.70257568359375</v>
      </c>
      <c r="C2256">
        <v>20</v>
      </c>
      <c r="D2256">
        <v>70</v>
      </c>
      <c r="E2256">
        <v>20</v>
      </c>
      <c r="F2256">
        <v>24</v>
      </c>
      <c r="G2256">
        <v>24.702577413736201</v>
      </c>
    </row>
    <row r="2257" spans="1:7" x14ac:dyDescent="0.3">
      <c r="A2257" t="str">
        <f>IF(ISBLANK(B2257),"",IF(ROUND(B2257,0)=ROUND(G2257,0),"Pass","Fail"))</f>
        <v>Pass</v>
      </c>
      <c r="B2257">
        <f t="shared" si="137"/>
        <v>20.450271606445313</v>
      </c>
      <c r="C2257">
        <v>20</v>
      </c>
      <c r="D2257">
        <v>70</v>
      </c>
      <c r="E2257">
        <v>20</v>
      </c>
      <c r="F2257">
        <v>32</v>
      </c>
      <c r="G2257">
        <v>20.4502730059946</v>
      </c>
    </row>
    <row r="2258" spans="1:7" x14ac:dyDescent="0.3">
      <c r="A2258" t="str">
        <f>IF(ISBLANK(B2258),"",IF(ROUND(B2258,0)=ROUND(G2258,0),"Pass","Fail"))</f>
        <v>Pass</v>
      </c>
      <c r="B2258">
        <f t="shared" si="137"/>
        <v>18.309726715087891</v>
      </c>
      <c r="C2258">
        <v>20</v>
      </c>
      <c r="D2258">
        <v>70</v>
      </c>
      <c r="E2258">
        <v>20</v>
      </c>
      <c r="F2258">
        <v>40</v>
      </c>
      <c r="G2258">
        <v>18.309726764327099</v>
      </c>
    </row>
    <row r="2259" spans="1:7" x14ac:dyDescent="0.3">
      <c r="A2259" t="str">
        <f>IF(ISBLANK(B2259),"",IF(ROUND(B2259,0)=ROUND(G2259,0),"Pass","Fail"))</f>
        <v>Pass</v>
      </c>
      <c r="B2259">
        <f t="shared" si="137"/>
        <v>17.232208251953125</v>
      </c>
      <c r="C2259">
        <v>20</v>
      </c>
      <c r="D2259">
        <v>70</v>
      </c>
      <c r="E2259">
        <v>20</v>
      </c>
      <c r="F2259">
        <v>48</v>
      </c>
      <c r="G2259">
        <v>17.232207900819699</v>
      </c>
    </row>
    <row r="2260" spans="1:7" x14ac:dyDescent="0.3">
      <c r="A2260" t="str">
        <f>IF(ISBLANK(B2260),"",IF(ROUND(B2260,0)=ROUND(G2260,0),"Pass","Fail"))</f>
        <v>Pass</v>
      </c>
      <c r="B2260">
        <f t="shared" si="137"/>
        <v>83.267997741699219</v>
      </c>
      <c r="C2260">
        <v>20</v>
      </c>
      <c r="D2260">
        <v>70</v>
      </c>
      <c r="E2260">
        <v>30</v>
      </c>
      <c r="F2260">
        <v>0</v>
      </c>
      <c r="G2260">
        <v>83.268000000000001</v>
      </c>
    </row>
    <row r="2261" spans="1:7" x14ac:dyDescent="0.3">
      <c r="A2261" t="str">
        <f>IF(ISBLANK(B2261),"",IF(ROUND(B2261,0)=ROUND(G2261,0),"Pass","Fail"))</f>
        <v>Pass</v>
      </c>
      <c r="B2261">
        <f t="shared" si="137"/>
        <v>49.931228637695313</v>
      </c>
      <c r="C2261">
        <v>20</v>
      </c>
      <c r="D2261">
        <v>70</v>
      </c>
      <c r="E2261">
        <v>30</v>
      </c>
      <c r="F2261">
        <v>8</v>
      </c>
      <c r="G2261">
        <v>49.931228080723002</v>
      </c>
    </row>
    <row r="2262" spans="1:7" x14ac:dyDescent="0.3">
      <c r="A2262" t="str">
        <f>IF(ISBLANK(B2262),"",IF(ROUND(B2262,0)=ROUND(G2262,0),"Pass","Fail"))</f>
        <v>Pass</v>
      </c>
      <c r="B2262">
        <f t="shared" si="137"/>
        <v>33.149993896484375</v>
      </c>
      <c r="C2262">
        <v>20</v>
      </c>
      <c r="D2262">
        <v>70</v>
      </c>
      <c r="E2262">
        <v>30</v>
      </c>
      <c r="F2262">
        <v>16</v>
      </c>
      <c r="G2262">
        <v>33.149997247101702</v>
      </c>
    </row>
    <row r="2263" spans="1:7" x14ac:dyDescent="0.3">
      <c r="A2263" t="str">
        <f>IF(ISBLANK(B2263),"",IF(ROUND(B2263,0)=ROUND(G2263,0),"Pass","Fail"))</f>
        <v>Pass</v>
      </c>
      <c r="B2263">
        <f t="shared" si="137"/>
        <v>24.70257568359375</v>
      </c>
      <c r="C2263">
        <v>20</v>
      </c>
      <c r="D2263">
        <v>70</v>
      </c>
      <c r="E2263">
        <v>30</v>
      </c>
      <c r="F2263">
        <v>24</v>
      </c>
      <c r="G2263">
        <v>24.702577413736201</v>
      </c>
    </row>
    <row r="2264" spans="1:7" x14ac:dyDescent="0.3">
      <c r="A2264" t="str">
        <f>IF(ISBLANK(B2264),"",IF(ROUND(B2264,0)=ROUND(G2264,0),"Pass","Fail"))</f>
        <v>Pass</v>
      </c>
      <c r="B2264">
        <f t="shared" si="137"/>
        <v>20.450271606445313</v>
      </c>
      <c r="C2264">
        <v>20</v>
      </c>
      <c r="D2264">
        <v>70</v>
      </c>
      <c r="E2264">
        <v>30</v>
      </c>
      <c r="F2264">
        <v>32</v>
      </c>
      <c r="G2264">
        <v>20.4502730059946</v>
      </c>
    </row>
    <row r="2265" spans="1:7" x14ac:dyDescent="0.3">
      <c r="A2265" t="str">
        <f>IF(ISBLANK(B2265),"",IF(ROUND(B2265,0)=ROUND(G2265,0),"Pass","Fail"))</f>
        <v>Pass</v>
      </c>
      <c r="B2265">
        <f t="shared" si="137"/>
        <v>18.309726715087891</v>
      </c>
      <c r="C2265">
        <v>20</v>
      </c>
      <c r="D2265">
        <v>70</v>
      </c>
      <c r="E2265">
        <v>30</v>
      </c>
      <c r="F2265">
        <v>40</v>
      </c>
      <c r="G2265">
        <v>18.309726764327099</v>
      </c>
    </row>
    <row r="2266" spans="1:7" x14ac:dyDescent="0.3">
      <c r="A2266" t="str">
        <f>IF(ISBLANK(B2266),"",IF(ROUND(B2266,0)=ROUND(G2266,0),"Pass","Fail"))</f>
        <v>Pass</v>
      </c>
      <c r="B2266">
        <f t="shared" si="137"/>
        <v>17.232208251953125</v>
      </c>
      <c r="C2266">
        <v>20</v>
      </c>
      <c r="D2266">
        <v>70</v>
      </c>
      <c r="E2266">
        <v>30</v>
      </c>
      <c r="F2266">
        <v>48</v>
      </c>
      <c r="G2266">
        <v>17.232207900819699</v>
      </c>
    </row>
    <row r="2267" spans="1:7" x14ac:dyDescent="0.3">
      <c r="A2267" t="str">
        <f>IF(ISBLANK(B2267),"",IF(ROUND(B2267,0)=ROUND(G2267,0),"Pass","Fail"))</f>
        <v>Pass</v>
      </c>
      <c r="B2267">
        <f t="shared" si="137"/>
        <v>83.267997741699219</v>
      </c>
      <c r="C2267">
        <v>20</v>
      </c>
      <c r="D2267">
        <v>70</v>
      </c>
      <c r="E2267">
        <v>40</v>
      </c>
      <c r="F2267">
        <v>0</v>
      </c>
      <c r="G2267">
        <v>83.268000000000001</v>
      </c>
    </row>
    <row r="2268" spans="1:7" x14ac:dyDescent="0.3">
      <c r="A2268" t="str">
        <f>IF(ISBLANK(B2268),"",IF(ROUND(B2268,0)=ROUND(G2268,0),"Pass","Fail"))</f>
        <v>Pass</v>
      </c>
      <c r="B2268">
        <f t="shared" si="137"/>
        <v>49.931228637695313</v>
      </c>
      <c r="C2268">
        <v>20</v>
      </c>
      <c r="D2268">
        <v>70</v>
      </c>
      <c r="E2268">
        <v>40</v>
      </c>
      <c r="F2268">
        <v>8</v>
      </c>
      <c r="G2268">
        <v>49.931228080723002</v>
      </c>
    </row>
    <row r="2269" spans="1:7" x14ac:dyDescent="0.3">
      <c r="A2269" t="str">
        <f>IF(ISBLANK(B2269),"",IF(ROUND(B2269,0)=ROUND(G2269,0),"Pass","Fail"))</f>
        <v>Pass</v>
      </c>
      <c r="B2269">
        <f t="shared" si="137"/>
        <v>33.149993896484375</v>
      </c>
      <c r="C2269">
        <v>20</v>
      </c>
      <c r="D2269">
        <v>70</v>
      </c>
      <c r="E2269">
        <v>40</v>
      </c>
      <c r="F2269">
        <v>16</v>
      </c>
      <c r="G2269">
        <v>33.149997247101702</v>
      </c>
    </row>
    <row r="2270" spans="1:7" x14ac:dyDescent="0.3">
      <c r="A2270" t="str">
        <f>IF(ISBLANK(B2270),"",IF(ROUND(B2270,0)=ROUND(G2270,0),"Pass","Fail"))</f>
        <v>Pass</v>
      </c>
      <c r="B2270">
        <f t="shared" si="137"/>
        <v>24.70257568359375</v>
      </c>
      <c r="C2270">
        <v>20</v>
      </c>
      <c r="D2270">
        <v>70</v>
      </c>
      <c r="E2270">
        <v>40</v>
      </c>
      <c r="F2270">
        <v>24</v>
      </c>
      <c r="G2270">
        <v>24.702577413736201</v>
      </c>
    </row>
    <row r="2271" spans="1:7" x14ac:dyDescent="0.3">
      <c r="A2271" t="str">
        <f>IF(ISBLANK(B2271),"",IF(ROUND(B2271,0)=ROUND(G2271,0),"Pass","Fail"))</f>
        <v>Pass</v>
      </c>
      <c r="B2271">
        <f t="shared" si="137"/>
        <v>20.450271606445313</v>
      </c>
      <c r="C2271">
        <v>20</v>
      </c>
      <c r="D2271">
        <v>70</v>
      </c>
      <c r="E2271">
        <v>40</v>
      </c>
      <c r="F2271">
        <v>32</v>
      </c>
      <c r="G2271">
        <v>20.4502730059946</v>
      </c>
    </row>
    <row r="2272" spans="1:7" x14ac:dyDescent="0.3">
      <c r="A2272" t="str">
        <f>IF(ISBLANK(B2272),"",IF(ROUND(B2272,0)=ROUND(G2272,0),"Pass","Fail"))</f>
        <v>Pass</v>
      </c>
      <c r="B2272">
        <f t="shared" si="137"/>
        <v>18.309726715087891</v>
      </c>
      <c r="C2272">
        <v>20</v>
      </c>
      <c r="D2272">
        <v>70</v>
      </c>
      <c r="E2272">
        <v>40</v>
      </c>
      <c r="F2272">
        <v>40</v>
      </c>
      <c r="G2272">
        <v>18.309726764327099</v>
      </c>
    </row>
    <row r="2273" spans="1:7" x14ac:dyDescent="0.3">
      <c r="A2273" t="str">
        <f>IF(ISBLANK(B2273),"",IF(ROUND(B2273,0)=ROUND(G2273,0),"Pass","Fail"))</f>
        <v>Pass</v>
      </c>
      <c r="B2273">
        <f t="shared" si="137"/>
        <v>17.232208251953125</v>
      </c>
      <c r="C2273">
        <v>20</v>
      </c>
      <c r="D2273">
        <v>70</v>
      </c>
      <c r="E2273">
        <v>40</v>
      </c>
      <c r="F2273">
        <v>48</v>
      </c>
      <c r="G2273">
        <v>17.232207900819699</v>
      </c>
    </row>
    <row r="2274" spans="1:7" x14ac:dyDescent="0.3">
      <c r="A2274" t="str">
        <f>IF(ISBLANK(B2274),"",IF(ROUND(B2274,0)=ROUND(G2274,0),"Pass","Fail"))</f>
        <v>Pass</v>
      </c>
      <c r="B2274">
        <f t="shared" si="137"/>
        <v>83.267997741699219</v>
      </c>
      <c r="C2274">
        <v>20</v>
      </c>
      <c r="D2274">
        <v>70</v>
      </c>
      <c r="E2274">
        <v>50</v>
      </c>
      <c r="F2274">
        <v>0</v>
      </c>
      <c r="G2274">
        <v>83.268000000000001</v>
      </c>
    </row>
    <row r="2275" spans="1:7" x14ac:dyDescent="0.3">
      <c r="A2275" t="str">
        <f>IF(ISBLANK(B2275),"",IF(ROUND(B2275,0)=ROUND(G2275,0),"Pass","Fail"))</f>
        <v>Pass</v>
      </c>
      <c r="B2275">
        <f t="shared" si="137"/>
        <v>49.931228637695313</v>
      </c>
      <c r="C2275">
        <v>20</v>
      </c>
      <c r="D2275">
        <v>70</v>
      </c>
      <c r="E2275">
        <v>50</v>
      </c>
      <c r="F2275">
        <v>8</v>
      </c>
      <c r="G2275">
        <v>49.931228080723002</v>
      </c>
    </row>
    <row r="2276" spans="1:7" x14ac:dyDescent="0.3">
      <c r="A2276" t="str">
        <f>IF(ISBLANK(B2276),"",IF(ROUND(B2276,0)=ROUND(G2276,0),"Pass","Fail"))</f>
        <v>Pass</v>
      </c>
      <c r="B2276">
        <f t="shared" si="137"/>
        <v>33.149993896484375</v>
      </c>
      <c r="C2276">
        <v>20</v>
      </c>
      <c r="D2276">
        <v>70</v>
      </c>
      <c r="E2276">
        <v>50</v>
      </c>
      <c r="F2276">
        <v>16</v>
      </c>
      <c r="G2276">
        <v>33.149997247101702</v>
      </c>
    </row>
    <row r="2277" spans="1:7" x14ac:dyDescent="0.3">
      <c r="A2277" t="str">
        <f>IF(ISBLANK(B2277),"",IF(ROUND(B2277,0)=ROUND(G2277,0),"Pass","Fail"))</f>
        <v>Pass</v>
      </c>
      <c r="B2277">
        <f t="shared" si="137"/>
        <v>24.70257568359375</v>
      </c>
      <c r="C2277">
        <v>20</v>
      </c>
      <c r="D2277">
        <v>70</v>
      </c>
      <c r="E2277">
        <v>50</v>
      </c>
      <c r="F2277">
        <v>24</v>
      </c>
      <c r="G2277">
        <v>24.702577413736201</v>
      </c>
    </row>
    <row r="2278" spans="1:7" x14ac:dyDescent="0.3">
      <c r="A2278" t="str">
        <f>IF(ISBLANK(B2278),"",IF(ROUND(B2278,0)=ROUND(G2278,0),"Pass","Fail"))</f>
        <v>Pass</v>
      </c>
      <c r="B2278">
        <f t="shared" si="137"/>
        <v>20.450271606445313</v>
      </c>
      <c r="C2278">
        <v>20</v>
      </c>
      <c r="D2278">
        <v>70</v>
      </c>
      <c r="E2278">
        <v>50</v>
      </c>
      <c r="F2278">
        <v>32</v>
      </c>
      <c r="G2278">
        <v>20.4502730059946</v>
      </c>
    </row>
    <row r="2279" spans="1:7" x14ac:dyDescent="0.3">
      <c r="A2279" t="str">
        <f>IF(ISBLANK(B2279),"",IF(ROUND(B2279,0)=ROUND(G2279,0),"Pass","Fail"))</f>
        <v>Pass</v>
      </c>
      <c r="B2279">
        <f t="shared" si="137"/>
        <v>18.309726715087891</v>
      </c>
      <c r="C2279">
        <v>20</v>
      </c>
      <c r="D2279">
        <v>70</v>
      </c>
      <c r="E2279">
        <v>50</v>
      </c>
      <c r="F2279">
        <v>40</v>
      </c>
      <c r="G2279">
        <v>18.309726764327099</v>
      </c>
    </row>
    <row r="2280" spans="1:7" x14ac:dyDescent="0.3">
      <c r="A2280" t="str">
        <f>IF(ISBLANK(B2280),"",IF(ROUND(B2280,0)=ROUND(G2280,0),"Pass","Fail"))</f>
        <v>Pass</v>
      </c>
      <c r="B2280">
        <f t="shared" si="137"/>
        <v>17.232208251953125</v>
      </c>
      <c r="C2280">
        <v>20</v>
      </c>
      <c r="D2280">
        <v>70</v>
      </c>
      <c r="E2280">
        <v>50</v>
      </c>
      <c r="F2280">
        <v>48</v>
      </c>
      <c r="G2280">
        <v>17.232207900819699</v>
      </c>
    </row>
    <row r="2281" spans="1:7" x14ac:dyDescent="0.3">
      <c r="A2281" t="str">
        <f>IF(ISBLANK(B2281),"",IF(ROUND(B2281,0)=ROUND(G2281,0),"Pass","Fail"))</f>
        <v>Pass</v>
      </c>
      <c r="B2281">
        <f t="shared" si="137"/>
        <v>83.267997741699219</v>
      </c>
      <c r="C2281">
        <v>20</v>
      </c>
      <c r="D2281">
        <v>70</v>
      </c>
      <c r="E2281">
        <v>60</v>
      </c>
      <c r="F2281">
        <v>0</v>
      </c>
      <c r="G2281">
        <v>83.268000000000001</v>
      </c>
    </row>
    <row r="2282" spans="1:7" x14ac:dyDescent="0.3">
      <c r="A2282" t="str">
        <f>IF(ISBLANK(B2282),"",IF(ROUND(B2282,0)=ROUND(G2282,0),"Pass","Fail"))</f>
        <v>Pass</v>
      </c>
      <c r="B2282">
        <f t="shared" si="137"/>
        <v>49.931228637695313</v>
      </c>
      <c r="C2282">
        <v>20</v>
      </c>
      <c r="D2282">
        <v>70</v>
      </c>
      <c r="E2282">
        <v>60</v>
      </c>
      <c r="F2282">
        <v>8</v>
      </c>
      <c r="G2282">
        <v>49.931228080723002</v>
      </c>
    </row>
    <row r="2283" spans="1:7" x14ac:dyDescent="0.3">
      <c r="A2283" t="str">
        <f>IF(ISBLANK(B2283),"",IF(ROUND(B2283,0)=ROUND(G2283,0),"Pass","Fail"))</f>
        <v>Pass</v>
      </c>
      <c r="B2283">
        <f t="shared" si="137"/>
        <v>33.149993896484375</v>
      </c>
      <c r="C2283">
        <v>20</v>
      </c>
      <c r="D2283">
        <v>70</v>
      </c>
      <c r="E2283">
        <v>60</v>
      </c>
      <c r="F2283">
        <v>16</v>
      </c>
      <c r="G2283">
        <v>33.149997247101702</v>
      </c>
    </row>
    <row r="2284" spans="1:7" x14ac:dyDescent="0.3">
      <c r="A2284" t="str">
        <f>IF(ISBLANK(B2284),"",IF(ROUND(B2284,0)=ROUND(G2284,0),"Pass","Fail"))</f>
        <v>Pass</v>
      </c>
      <c r="B2284">
        <f t="shared" si="137"/>
        <v>24.70257568359375</v>
      </c>
      <c r="C2284">
        <v>20</v>
      </c>
      <c r="D2284">
        <v>70</v>
      </c>
      <c r="E2284">
        <v>60</v>
      </c>
      <c r="F2284">
        <v>24</v>
      </c>
      <c r="G2284">
        <v>24.702577413736201</v>
      </c>
    </row>
    <row r="2285" spans="1:7" x14ac:dyDescent="0.3">
      <c r="A2285" t="str">
        <f>IF(ISBLANK(B2285),"",IF(ROUND(B2285,0)=ROUND(G2285,0),"Pass","Fail"))</f>
        <v>Pass</v>
      </c>
      <c r="B2285">
        <f t="shared" si="137"/>
        <v>20.450271606445313</v>
      </c>
      <c r="C2285">
        <v>20</v>
      </c>
      <c r="D2285">
        <v>70</v>
      </c>
      <c r="E2285">
        <v>60</v>
      </c>
      <c r="F2285">
        <v>32</v>
      </c>
      <c r="G2285">
        <v>20.4502730059946</v>
      </c>
    </row>
    <row r="2286" spans="1:7" x14ac:dyDescent="0.3">
      <c r="A2286" t="str">
        <f>IF(ISBLANK(B2286),"",IF(ROUND(B2286,0)=ROUND(G2286,0),"Pass","Fail"))</f>
        <v>Pass</v>
      </c>
      <c r="B2286">
        <f t="shared" si="137"/>
        <v>18.309726715087891</v>
      </c>
      <c r="C2286">
        <v>20</v>
      </c>
      <c r="D2286">
        <v>70</v>
      </c>
      <c r="E2286">
        <v>60</v>
      </c>
      <c r="F2286">
        <v>40</v>
      </c>
      <c r="G2286">
        <v>18.309726764327099</v>
      </c>
    </row>
    <row r="2287" spans="1:7" x14ac:dyDescent="0.3">
      <c r="A2287" t="str">
        <f>IF(ISBLANK(B2287),"",IF(ROUND(B2287,0)=ROUND(G2287,0),"Pass","Fail"))</f>
        <v>Pass</v>
      </c>
      <c r="B2287">
        <f t="shared" si="137"/>
        <v>17.232208251953125</v>
      </c>
      <c r="C2287">
        <v>20</v>
      </c>
      <c r="D2287">
        <v>70</v>
      </c>
      <c r="E2287">
        <v>60</v>
      </c>
      <c r="F2287">
        <v>48</v>
      </c>
      <c r="G2287">
        <v>17.232207900819699</v>
      </c>
    </row>
    <row r="2288" spans="1:7" x14ac:dyDescent="0.3">
      <c r="A2288" t="str">
        <f>IF(ISBLANK(B2288),"",IF(ROUND(B2288,0)=ROUND(G2288,0),"Pass","Fail"))</f>
        <v>Pass</v>
      </c>
      <c r="B2288">
        <f t="shared" si="137"/>
        <v>83.267997741699219</v>
      </c>
      <c r="C2288">
        <v>20</v>
      </c>
      <c r="D2288">
        <v>70</v>
      </c>
      <c r="E2288">
        <v>70</v>
      </c>
      <c r="F2288">
        <v>0</v>
      </c>
      <c r="G2288">
        <v>83.268000000000001</v>
      </c>
    </row>
    <row r="2289" spans="1:7" x14ac:dyDescent="0.3">
      <c r="A2289" t="str">
        <f>IF(ISBLANK(B2289),"",IF(ROUND(B2289,0)=ROUND(G2289,0),"Pass","Fail"))</f>
        <v>Pass</v>
      </c>
      <c r="B2289">
        <f t="shared" si="137"/>
        <v>49.931228637695313</v>
      </c>
      <c r="C2289">
        <v>20</v>
      </c>
      <c r="D2289">
        <v>70</v>
      </c>
      <c r="E2289">
        <v>70</v>
      </c>
      <c r="F2289">
        <v>8</v>
      </c>
      <c r="G2289">
        <v>49.931228080723002</v>
      </c>
    </row>
    <row r="2290" spans="1:7" x14ac:dyDescent="0.3">
      <c r="A2290" t="str">
        <f>IF(ISBLANK(B2290),"",IF(ROUND(B2290,0)=ROUND(G2290,0),"Pass","Fail"))</f>
        <v>Pass</v>
      </c>
      <c r="B2290">
        <f t="shared" si="137"/>
        <v>33.149993896484375</v>
      </c>
      <c r="C2290">
        <v>20</v>
      </c>
      <c r="D2290">
        <v>70</v>
      </c>
      <c r="E2290">
        <v>70</v>
      </c>
      <c r="F2290">
        <v>16</v>
      </c>
      <c r="G2290">
        <v>33.149997247101702</v>
      </c>
    </row>
    <row r="2291" spans="1:7" x14ac:dyDescent="0.3">
      <c r="A2291" t="str">
        <f>IF(ISBLANK(B2291),"",IF(ROUND(B2291,0)=ROUND(G2291,0),"Pass","Fail"))</f>
        <v>Pass</v>
      </c>
      <c r="B2291">
        <f t="shared" si="137"/>
        <v>24.70257568359375</v>
      </c>
      <c r="C2291">
        <v>20</v>
      </c>
      <c r="D2291">
        <v>70</v>
      </c>
      <c r="E2291">
        <v>70</v>
      </c>
      <c r="F2291">
        <v>24</v>
      </c>
      <c r="G2291">
        <v>24.702577413736201</v>
      </c>
    </row>
    <row r="2292" spans="1:7" x14ac:dyDescent="0.3">
      <c r="A2292" t="str">
        <f>IF(ISBLANK(B2292),"",IF(ROUND(B2292,0)=ROUND(G2292,0),"Pass","Fail"))</f>
        <v>Pass</v>
      </c>
      <c r="B2292">
        <f t="shared" si="137"/>
        <v>20.450271606445313</v>
      </c>
      <c r="C2292">
        <v>20</v>
      </c>
      <c r="D2292">
        <v>70</v>
      </c>
      <c r="E2292">
        <v>70</v>
      </c>
      <c r="F2292">
        <v>32</v>
      </c>
      <c r="G2292">
        <v>20.4502730059946</v>
      </c>
    </row>
    <row r="2293" spans="1:7" x14ac:dyDescent="0.3">
      <c r="A2293" t="str">
        <f>IF(ISBLANK(B2293),"",IF(ROUND(B2293,0)=ROUND(G2293,0),"Pass","Fail"))</f>
        <v>Pass</v>
      </c>
      <c r="B2293">
        <f t="shared" si="137"/>
        <v>18.309726715087891</v>
      </c>
      <c r="C2293">
        <v>20</v>
      </c>
      <c r="D2293">
        <v>70</v>
      </c>
      <c r="E2293">
        <v>70</v>
      </c>
      <c r="F2293">
        <v>40</v>
      </c>
      <c r="G2293">
        <v>18.309726764327099</v>
      </c>
    </row>
    <row r="2294" spans="1:7" x14ac:dyDescent="0.3">
      <c r="A2294" t="str">
        <f>IF(ISBLANK(B2294),"",IF(ROUND(B2294,0)=ROUND(G2294,0),"Pass","Fail"))</f>
        <v>Pass</v>
      </c>
      <c r="B2294">
        <f t="shared" si="137"/>
        <v>17.232208251953125</v>
      </c>
      <c r="C2294">
        <v>20</v>
      </c>
      <c r="D2294">
        <v>70</v>
      </c>
      <c r="E2294">
        <v>70</v>
      </c>
      <c r="F2294">
        <v>48</v>
      </c>
      <c r="G2294">
        <v>17.232207900819699</v>
      </c>
    </row>
    <row r="2295" spans="1:7" x14ac:dyDescent="0.3">
      <c r="A2295" t="str">
        <f>IF(ISBLANK(B2295),"",IF(ROUND(B2295,0)=ROUND(G2295,0),"Pass","Fail"))</f>
        <v>Pass</v>
      </c>
      <c r="B2295">
        <f t="shared" si="137"/>
        <v>83.267997741699219</v>
      </c>
      <c r="C2295">
        <v>20</v>
      </c>
      <c r="D2295">
        <v>70</v>
      </c>
      <c r="E2295">
        <v>80</v>
      </c>
      <c r="F2295">
        <v>0</v>
      </c>
      <c r="G2295">
        <v>83.268000000000001</v>
      </c>
    </row>
    <row r="2296" spans="1:7" x14ac:dyDescent="0.3">
      <c r="A2296" t="str">
        <f>IF(ISBLANK(B2296),"",IF(ROUND(B2296,0)=ROUND(G2296,0),"Pass","Fail"))</f>
        <v>Pass</v>
      </c>
      <c r="B2296">
        <f t="shared" si="137"/>
        <v>49.931228637695313</v>
      </c>
      <c r="C2296">
        <v>20</v>
      </c>
      <c r="D2296">
        <v>70</v>
      </c>
      <c r="E2296">
        <v>80</v>
      </c>
      <c r="F2296">
        <v>8</v>
      </c>
      <c r="G2296">
        <v>49.931228080723002</v>
      </c>
    </row>
    <row r="2297" spans="1:7" x14ac:dyDescent="0.3">
      <c r="A2297" t="str">
        <f>IF(ISBLANK(B2297),"",IF(ROUND(B2297,0)=ROUND(G2297,0),"Pass","Fail"))</f>
        <v>Pass</v>
      </c>
      <c r="B2297">
        <f t="shared" si="137"/>
        <v>33.149993896484375</v>
      </c>
      <c r="C2297">
        <v>20</v>
      </c>
      <c r="D2297">
        <v>70</v>
      </c>
      <c r="E2297">
        <v>80</v>
      </c>
      <c r="F2297">
        <v>16</v>
      </c>
      <c r="G2297">
        <v>33.149997247101702</v>
      </c>
    </row>
    <row r="2298" spans="1:7" x14ac:dyDescent="0.3">
      <c r="A2298" t="str">
        <f>IF(ISBLANK(B2298),"",IF(ROUND(B2298,0)=ROUND(G2298,0),"Pass","Fail"))</f>
        <v>Pass</v>
      </c>
      <c r="B2298">
        <f t="shared" si="137"/>
        <v>24.70257568359375</v>
      </c>
      <c r="C2298">
        <v>20</v>
      </c>
      <c r="D2298">
        <v>70</v>
      </c>
      <c r="E2298">
        <v>80</v>
      </c>
      <c r="F2298">
        <v>24</v>
      </c>
      <c r="G2298">
        <v>24.702577413736201</v>
      </c>
    </row>
    <row r="2299" spans="1:7" x14ac:dyDescent="0.3">
      <c r="A2299" t="str">
        <f>IF(ISBLANK(B2299),"",IF(ROUND(B2299,0)=ROUND(G2299,0),"Pass","Fail"))</f>
        <v>Pass</v>
      </c>
      <c r="B2299">
        <f t="shared" si="137"/>
        <v>20.450271606445313</v>
      </c>
      <c r="C2299">
        <v>20</v>
      </c>
      <c r="D2299">
        <v>70</v>
      </c>
      <c r="E2299">
        <v>80</v>
      </c>
      <c r="F2299">
        <v>32</v>
      </c>
      <c r="G2299">
        <v>20.4502730059946</v>
      </c>
    </row>
    <row r="2300" spans="1:7" x14ac:dyDescent="0.3">
      <c r="A2300" t="str">
        <f>IF(ISBLANK(B2300),"",IF(ROUND(B2300,0)=ROUND(G2300,0),"Pass","Fail"))</f>
        <v>Pass</v>
      </c>
      <c r="B2300">
        <f t="shared" si="137"/>
        <v>18.309726715087891</v>
      </c>
      <c r="C2300">
        <v>20</v>
      </c>
      <c r="D2300">
        <v>70</v>
      </c>
      <c r="E2300">
        <v>80</v>
      </c>
      <c r="F2300">
        <v>40</v>
      </c>
      <c r="G2300">
        <v>18.309726764327099</v>
      </c>
    </row>
    <row r="2301" spans="1:7" x14ac:dyDescent="0.3">
      <c r="A2301" t="str">
        <f>IF(ISBLANK(B2301),"",IF(ROUND(B2301,0)=ROUND(G2301,0),"Pass","Fail"))</f>
        <v>Pass</v>
      </c>
      <c r="B2301">
        <f t="shared" si="137"/>
        <v>17.232208251953125</v>
      </c>
      <c r="C2301">
        <v>20</v>
      </c>
      <c r="D2301">
        <v>70</v>
      </c>
      <c r="E2301">
        <v>80</v>
      </c>
      <c r="F2301">
        <v>48</v>
      </c>
      <c r="G2301">
        <v>17.232207900819699</v>
      </c>
    </row>
    <row r="2302" spans="1:7" x14ac:dyDescent="0.3">
      <c r="A2302" t="str">
        <f>IF(ISBLANK(B2302),"",IF(ROUND(B2302,0)=ROUND(G2302,0),"Pass","Fail"))</f>
        <v>Pass</v>
      </c>
      <c r="B2302">
        <f t="shared" si="137"/>
        <v>83.267997741699219</v>
      </c>
      <c r="C2302">
        <v>20</v>
      </c>
      <c r="D2302">
        <v>70</v>
      </c>
      <c r="E2302">
        <v>90</v>
      </c>
      <c r="F2302">
        <v>0</v>
      </c>
      <c r="G2302">
        <v>83.268000000000001</v>
      </c>
    </row>
    <row r="2303" spans="1:7" x14ac:dyDescent="0.3">
      <c r="A2303" t="str">
        <f>IF(ISBLANK(B2303),"",IF(ROUND(B2303,0)=ROUND(G2303,0),"Pass","Fail"))</f>
        <v>Pass</v>
      </c>
      <c r="B2303">
        <f t="shared" si="137"/>
        <v>49.931228637695313</v>
      </c>
      <c r="C2303">
        <v>20</v>
      </c>
      <c r="D2303">
        <v>70</v>
      </c>
      <c r="E2303">
        <v>90</v>
      </c>
      <c r="F2303">
        <v>8</v>
      </c>
      <c r="G2303">
        <v>49.931228080723002</v>
      </c>
    </row>
    <row r="2304" spans="1:7" x14ac:dyDescent="0.3">
      <c r="A2304" t="str">
        <f>IF(ISBLANK(B2304),"",IF(ROUND(B2304,0)=ROUND(G2304,0),"Pass","Fail"))</f>
        <v>Pass</v>
      </c>
      <c r="B2304">
        <f t="shared" si="137"/>
        <v>33.149993896484375</v>
      </c>
      <c r="C2304">
        <v>20</v>
      </c>
      <c r="D2304">
        <v>70</v>
      </c>
      <c r="E2304">
        <v>90</v>
      </c>
      <c r="F2304">
        <v>16</v>
      </c>
      <c r="G2304">
        <v>33.149997247101702</v>
      </c>
    </row>
    <row r="2305" spans="1:7" x14ac:dyDescent="0.3">
      <c r="A2305" t="str">
        <f>IF(ISBLANK(B2305),"",IF(ROUND(B2305,0)=ROUND(G2305,0),"Pass","Fail"))</f>
        <v>Pass</v>
      </c>
      <c r="B2305">
        <f t="shared" si="137"/>
        <v>24.70257568359375</v>
      </c>
      <c r="C2305">
        <v>20</v>
      </c>
      <c r="D2305">
        <v>70</v>
      </c>
      <c r="E2305">
        <v>90</v>
      </c>
      <c r="F2305">
        <v>24</v>
      </c>
      <c r="G2305">
        <v>24.702577413736201</v>
      </c>
    </row>
    <row r="2306" spans="1:7" x14ac:dyDescent="0.3">
      <c r="A2306" t="str">
        <f>IF(ISBLANK(B2306),"",IF(ROUND(B2306,0)=ROUND(G2306,0),"Pass","Fail"))</f>
        <v>Pass</v>
      </c>
      <c r="B2306">
        <f t="shared" si="137"/>
        <v>20.450271606445313</v>
      </c>
      <c r="C2306">
        <v>20</v>
      </c>
      <c r="D2306">
        <v>70</v>
      </c>
      <c r="E2306">
        <v>90</v>
      </c>
      <c r="F2306">
        <v>32</v>
      </c>
      <c r="G2306">
        <v>20.4502730059946</v>
      </c>
    </row>
    <row r="2307" spans="1:7" x14ac:dyDescent="0.3">
      <c r="A2307" t="str">
        <f>IF(ISBLANK(B2307),"",IF(ROUND(B2307,0)=ROUND(G2307,0),"Pass","Fail"))</f>
        <v>Pass</v>
      </c>
      <c r="B2307">
        <f t="shared" si="137"/>
        <v>18.309726715087891</v>
      </c>
      <c r="C2307">
        <v>20</v>
      </c>
      <c r="D2307">
        <v>70</v>
      </c>
      <c r="E2307">
        <v>90</v>
      </c>
      <c r="F2307">
        <v>40</v>
      </c>
      <c r="G2307">
        <v>18.309726764327099</v>
      </c>
    </row>
    <row r="2308" spans="1:7" x14ac:dyDescent="0.3">
      <c r="A2308" t="str">
        <f>IF(ISBLANK(B2308),"",IF(ROUND(B2308,0)=ROUND(G2308,0),"Pass","Fail"))</f>
        <v>Pass</v>
      </c>
      <c r="B2308">
        <f t="shared" si="137"/>
        <v>17.232208251953125</v>
      </c>
      <c r="C2308">
        <v>20</v>
      </c>
      <c r="D2308">
        <v>70</v>
      </c>
      <c r="E2308">
        <v>90</v>
      </c>
      <c r="F2308">
        <v>48</v>
      </c>
      <c r="G2308">
        <v>17.232207900819699</v>
      </c>
    </row>
    <row r="2309" spans="1:7" x14ac:dyDescent="0.3">
      <c r="A2309" t="str">
        <f>IF(ISBLANK(B2309),"",IF(ROUND(B2309,0)=ROUND(G2309,0),"Pass","Fail"))</f>
        <v>Pass</v>
      </c>
      <c r="B2309">
        <f t="shared" si="137"/>
        <v>83.267997741699219</v>
      </c>
      <c r="C2309">
        <v>20</v>
      </c>
      <c r="D2309">
        <v>70</v>
      </c>
      <c r="E2309">
        <v>100</v>
      </c>
      <c r="F2309">
        <v>0</v>
      </c>
      <c r="G2309">
        <v>83.268000000000001</v>
      </c>
    </row>
    <row r="2310" spans="1:7" x14ac:dyDescent="0.3">
      <c r="A2310" t="str">
        <f>IF(ISBLANK(B2310),"",IF(ROUND(B2310,0)=ROUND(G2310,0),"Pass","Fail"))</f>
        <v>Pass</v>
      </c>
      <c r="B2310">
        <f t="shared" si="137"/>
        <v>49.931228637695313</v>
      </c>
      <c r="C2310">
        <v>20</v>
      </c>
      <c r="D2310">
        <v>70</v>
      </c>
      <c r="E2310">
        <v>100</v>
      </c>
      <c r="F2310">
        <v>8</v>
      </c>
      <c r="G2310">
        <v>49.931228080723002</v>
      </c>
    </row>
    <row r="2311" spans="1:7" x14ac:dyDescent="0.3">
      <c r="A2311" t="str">
        <f>IF(ISBLANK(B2311),"",IF(ROUND(B2311,0)=ROUND(G2311,0),"Pass","Fail"))</f>
        <v>Pass</v>
      </c>
      <c r="B2311">
        <f t="shared" ref="B2311:B2374" si="138">FMC_heath(C2311,D2311,E2311,F2311)</f>
        <v>33.149993896484375</v>
      </c>
      <c r="C2311">
        <v>20</v>
      </c>
      <c r="D2311">
        <v>70</v>
      </c>
      <c r="E2311">
        <v>100</v>
      </c>
      <c r="F2311">
        <v>16</v>
      </c>
      <c r="G2311">
        <v>33.149997247101702</v>
      </c>
    </row>
    <row r="2312" spans="1:7" x14ac:dyDescent="0.3">
      <c r="A2312" t="str">
        <f>IF(ISBLANK(B2312),"",IF(ROUND(B2312,0)=ROUND(G2312,0),"Pass","Fail"))</f>
        <v>Pass</v>
      </c>
      <c r="B2312">
        <f t="shared" si="138"/>
        <v>24.70257568359375</v>
      </c>
      <c r="C2312">
        <v>20</v>
      </c>
      <c r="D2312">
        <v>70</v>
      </c>
      <c r="E2312">
        <v>100</v>
      </c>
      <c r="F2312">
        <v>24</v>
      </c>
      <c r="G2312">
        <v>24.702577413736201</v>
      </c>
    </row>
    <row r="2313" spans="1:7" x14ac:dyDescent="0.3">
      <c r="A2313" t="str">
        <f>IF(ISBLANK(B2313),"",IF(ROUND(B2313,0)=ROUND(G2313,0),"Pass","Fail"))</f>
        <v>Pass</v>
      </c>
      <c r="B2313">
        <f t="shared" si="138"/>
        <v>20.450271606445313</v>
      </c>
      <c r="C2313">
        <v>20</v>
      </c>
      <c r="D2313">
        <v>70</v>
      </c>
      <c r="E2313">
        <v>100</v>
      </c>
      <c r="F2313">
        <v>32</v>
      </c>
      <c r="G2313">
        <v>20.4502730059946</v>
      </c>
    </row>
    <row r="2314" spans="1:7" x14ac:dyDescent="0.3">
      <c r="A2314" t="str">
        <f>IF(ISBLANK(B2314),"",IF(ROUND(B2314,0)=ROUND(G2314,0),"Pass","Fail"))</f>
        <v>Pass</v>
      </c>
      <c r="B2314">
        <f t="shared" si="138"/>
        <v>18.309726715087891</v>
      </c>
      <c r="C2314">
        <v>20</v>
      </c>
      <c r="D2314">
        <v>70</v>
      </c>
      <c r="E2314">
        <v>100</v>
      </c>
      <c r="F2314">
        <v>40</v>
      </c>
      <c r="G2314">
        <v>18.309726764327099</v>
      </c>
    </row>
    <row r="2315" spans="1:7" x14ac:dyDescent="0.3">
      <c r="A2315" t="str">
        <f>IF(ISBLANK(B2315),"",IF(ROUND(B2315,0)=ROUND(G2315,0),"Pass","Fail"))</f>
        <v>Pass</v>
      </c>
      <c r="B2315">
        <f t="shared" si="138"/>
        <v>17.232208251953125</v>
      </c>
      <c r="C2315">
        <v>20</v>
      </c>
      <c r="D2315">
        <v>70</v>
      </c>
      <c r="E2315">
        <v>100</v>
      </c>
      <c r="F2315">
        <v>48</v>
      </c>
      <c r="G2315">
        <v>17.232207900819699</v>
      </c>
    </row>
    <row r="2316" spans="1:7" x14ac:dyDescent="0.3">
      <c r="A2316" t="str">
        <f>IF(ISBLANK(B2316),"",IF(ROUND(B2316,0)=ROUND(G2316,0),"Pass","Fail"))</f>
        <v>Pass</v>
      </c>
      <c r="B2316">
        <f t="shared" si="138"/>
        <v>17.75</v>
      </c>
      <c r="C2316">
        <v>20</v>
      </c>
      <c r="D2316">
        <v>80</v>
      </c>
      <c r="E2316">
        <v>0</v>
      </c>
      <c r="F2316">
        <v>0</v>
      </c>
      <c r="G2316">
        <v>17.75</v>
      </c>
    </row>
    <row r="2317" spans="1:7" x14ac:dyDescent="0.3">
      <c r="A2317" t="str">
        <f>IF(ISBLANK(B2317),"",IF(ROUND(B2317,0)=ROUND(G2317,0),"Pass","Fail"))</f>
        <v>Pass</v>
      </c>
      <c r="B2317">
        <f t="shared" si="138"/>
        <v>17.75</v>
      </c>
      <c r="C2317">
        <v>20</v>
      </c>
      <c r="D2317">
        <v>80</v>
      </c>
      <c r="E2317">
        <v>0</v>
      </c>
      <c r="F2317">
        <v>8</v>
      </c>
      <c r="G2317">
        <v>17.75</v>
      </c>
    </row>
    <row r="2318" spans="1:7" x14ac:dyDescent="0.3">
      <c r="A2318" t="str">
        <f>IF(ISBLANK(B2318),"",IF(ROUND(B2318,0)=ROUND(G2318,0),"Pass","Fail"))</f>
        <v>Pass</v>
      </c>
      <c r="B2318">
        <f t="shared" si="138"/>
        <v>17.75</v>
      </c>
      <c r="C2318">
        <v>20</v>
      </c>
      <c r="D2318">
        <v>80</v>
      </c>
      <c r="E2318">
        <v>0</v>
      </c>
      <c r="F2318">
        <v>16</v>
      </c>
      <c r="G2318">
        <v>17.75</v>
      </c>
    </row>
    <row r="2319" spans="1:7" x14ac:dyDescent="0.3">
      <c r="A2319" t="str">
        <f>IF(ISBLANK(B2319),"",IF(ROUND(B2319,0)=ROUND(G2319,0),"Pass","Fail"))</f>
        <v>Pass</v>
      </c>
      <c r="B2319">
        <f t="shared" si="138"/>
        <v>17.75</v>
      </c>
      <c r="C2319">
        <v>20</v>
      </c>
      <c r="D2319">
        <v>80</v>
      </c>
      <c r="E2319">
        <v>0</v>
      </c>
      <c r="F2319">
        <v>24</v>
      </c>
      <c r="G2319">
        <v>17.75</v>
      </c>
    </row>
    <row r="2320" spans="1:7" x14ac:dyDescent="0.3">
      <c r="A2320" t="str">
        <f>IF(ISBLANK(B2320),"",IF(ROUND(B2320,0)=ROUND(G2320,0),"Pass","Fail"))</f>
        <v>Pass</v>
      </c>
      <c r="B2320">
        <f t="shared" si="138"/>
        <v>17.75</v>
      </c>
      <c r="C2320">
        <v>20</v>
      </c>
      <c r="D2320">
        <v>80</v>
      </c>
      <c r="E2320">
        <v>0</v>
      </c>
      <c r="F2320">
        <v>32</v>
      </c>
      <c r="G2320">
        <v>17.75</v>
      </c>
    </row>
    <row r="2321" spans="1:7" x14ac:dyDescent="0.3">
      <c r="A2321" t="str">
        <f>IF(ISBLANK(B2321),"",IF(ROUND(B2321,0)=ROUND(G2321,0),"Pass","Fail"))</f>
        <v>Pass</v>
      </c>
      <c r="B2321">
        <f t="shared" si="138"/>
        <v>17.75</v>
      </c>
      <c r="C2321">
        <v>20</v>
      </c>
      <c r="D2321">
        <v>80</v>
      </c>
      <c r="E2321">
        <v>0</v>
      </c>
      <c r="F2321">
        <v>40</v>
      </c>
      <c r="G2321">
        <v>17.75</v>
      </c>
    </row>
    <row r="2322" spans="1:7" x14ac:dyDescent="0.3">
      <c r="A2322" t="str">
        <f>IF(ISBLANK(B2322),"",IF(ROUND(B2322,0)=ROUND(G2322,0),"Pass","Fail"))</f>
        <v>Pass</v>
      </c>
      <c r="B2322">
        <f t="shared" si="138"/>
        <v>17.75</v>
      </c>
      <c r="C2322">
        <v>20</v>
      </c>
      <c r="D2322">
        <v>80</v>
      </c>
      <c r="E2322">
        <v>0</v>
      </c>
      <c r="F2322">
        <v>48</v>
      </c>
      <c r="G2322">
        <v>17.75</v>
      </c>
    </row>
    <row r="2323" spans="1:7" x14ac:dyDescent="0.3">
      <c r="A2323" t="str">
        <f>IF(ISBLANK(B2323),"",IF(ROUND(B2323,0)=ROUND(G2323,0),"Pass","Fail"))</f>
        <v>Pass</v>
      </c>
      <c r="B2323">
        <f t="shared" si="138"/>
        <v>84.877998352050781</v>
      </c>
      <c r="C2323">
        <v>20</v>
      </c>
      <c r="D2323">
        <v>80</v>
      </c>
      <c r="E2323">
        <v>10</v>
      </c>
      <c r="F2323">
        <v>0</v>
      </c>
      <c r="G2323">
        <v>84.877999999998295</v>
      </c>
    </row>
    <row r="2324" spans="1:7" x14ac:dyDescent="0.3">
      <c r="A2324" t="str">
        <f>IF(ISBLANK(B2324),"",IF(ROUND(B2324,0)=ROUND(G2324,0),"Pass","Fail"))</f>
        <v>Pass</v>
      </c>
      <c r="B2324">
        <f t="shared" si="138"/>
        <v>51.541229248046875</v>
      </c>
      <c r="C2324">
        <v>20</v>
      </c>
      <c r="D2324">
        <v>80</v>
      </c>
      <c r="E2324">
        <v>10</v>
      </c>
      <c r="F2324">
        <v>8</v>
      </c>
      <c r="G2324">
        <v>51.541228080722199</v>
      </c>
    </row>
    <row r="2325" spans="1:7" x14ac:dyDescent="0.3">
      <c r="A2325" t="str">
        <f>IF(ISBLANK(B2325),"",IF(ROUND(B2325,0)=ROUND(G2325,0),"Pass","Fail"))</f>
        <v>Pass</v>
      </c>
      <c r="B2325">
        <f t="shared" si="138"/>
        <v>34.759994506835938</v>
      </c>
      <c r="C2325">
        <v>20</v>
      </c>
      <c r="D2325">
        <v>80</v>
      </c>
      <c r="E2325">
        <v>10</v>
      </c>
      <c r="F2325">
        <v>16</v>
      </c>
      <c r="G2325">
        <v>34.759997247101303</v>
      </c>
    </row>
    <row r="2326" spans="1:7" x14ac:dyDescent="0.3">
      <c r="A2326" t="str">
        <f>IF(ISBLANK(B2326),"",IF(ROUND(B2326,0)=ROUND(G2326,0),"Pass","Fail"))</f>
        <v>Pass</v>
      </c>
      <c r="B2326">
        <f t="shared" si="138"/>
        <v>26.312576293945313</v>
      </c>
      <c r="C2326">
        <v>20</v>
      </c>
      <c r="D2326">
        <v>80</v>
      </c>
      <c r="E2326">
        <v>10</v>
      </c>
      <c r="F2326">
        <v>24</v>
      </c>
      <c r="G2326">
        <v>26.312577413736001</v>
      </c>
    </row>
    <row r="2327" spans="1:7" x14ac:dyDescent="0.3">
      <c r="A2327" t="str">
        <f>IF(ISBLANK(B2327),"",IF(ROUND(B2327,0)=ROUND(G2327,0),"Pass","Fail"))</f>
        <v>Pass</v>
      </c>
      <c r="B2327">
        <f t="shared" si="138"/>
        <v>22.060272216796875</v>
      </c>
      <c r="C2327">
        <v>20</v>
      </c>
      <c r="D2327">
        <v>80</v>
      </c>
      <c r="E2327">
        <v>10</v>
      </c>
      <c r="F2327">
        <v>32</v>
      </c>
      <c r="G2327">
        <v>22.0602730059945</v>
      </c>
    </row>
    <row r="2328" spans="1:7" x14ac:dyDescent="0.3">
      <c r="A2328" t="str">
        <f>IF(ISBLANK(B2328),"",IF(ROUND(B2328,0)=ROUND(G2328,0),"Pass","Fail"))</f>
        <v>Pass</v>
      </c>
      <c r="B2328">
        <f t="shared" si="138"/>
        <v>19.919727325439453</v>
      </c>
      <c r="C2328">
        <v>20</v>
      </c>
      <c r="D2328">
        <v>80</v>
      </c>
      <c r="E2328">
        <v>10</v>
      </c>
      <c r="F2328">
        <v>40</v>
      </c>
      <c r="G2328">
        <v>19.919726764326999</v>
      </c>
    </row>
    <row r="2329" spans="1:7" x14ac:dyDescent="0.3">
      <c r="A2329" t="str">
        <f>IF(ISBLANK(B2329),"",IF(ROUND(B2329,0)=ROUND(G2329,0),"Pass","Fail"))</f>
        <v>Pass</v>
      </c>
      <c r="B2329">
        <f t="shared" si="138"/>
        <v>18.842208862304688</v>
      </c>
      <c r="C2329">
        <v>20</v>
      </c>
      <c r="D2329">
        <v>80</v>
      </c>
      <c r="E2329">
        <v>10</v>
      </c>
      <c r="F2329">
        <v>48</v>
      </c>
      <c r="G2329">
        <v>18.842207900819599</v>
      </c>
    </row>
    <row r="2330" spans="1:7" x14ac:dyDescent="0.3">
      <c r="A2330" t="str">
        <f>IF(ISBLANK(B2330),"",IF(ROUND(B2330,0)=ROUND(G2330,0),"Pass","Fail"))</f>
        <v>Pass</v>
      </c>
      <c r="B2330">
        <f t="shared" si="138"/>
        <v>84.877998352050781</v>
      </c>
      <c r="C2330">
        <v>20</v>
      </c>
      <c r="D2330">
        <v>80</v>
      </c>
      <c r="E2330">
        <v>20</v>
      </c>
      <c r="F2330">
        <v>0</v>
      </c>
      <c r="G2330">
        <v>84.878</v>
      </c>
    </row>
    <row r="2331" spans="1:7" x14ac:dyDescent="0.3">
      <c r="A2331" t="str">
        <f>IF(ISBLANK(B2331),"",IF(ROUND(B2331,0)=ROUND(G2331,0),"Pass","Fail"))</f>
        <v>Pass</v>
      </c>
      <c r="B2331">
        <f t="shared" si="138"/>
        <v>51.541229248046875</v>
      </c>
      <c r="C2331">
        <v>20</v>
      </c>
      <c r="D2331">
        <v>80</v>
      </c>
      <c r="E2331">
        <v>20</v>
      </c>
      <c r="F2331">
        <v>8</v>
      </c>
      <c r="G2331">
        <v>51.541228080723002</v>
      </c>
    </row>
    <row r="2332" spans="1:7" x14ac:dyDescent="0.3">
      <c r="A2332" t="str">
        <f>IF(ISBLANK(B2332),"",IF(ROUND(B2332,0)=ROUND(G2332,0),"Pass","Fail"))</f>
        <v>Pass</v>
      </c>
      <c r="B2332">
        <f t="shared" si="138"/>
        <v>34.759994506835938</v>
      </c>
      <c r="C2332">
        <v>20</v>
      </c>
      <c r="D2332">
        <v>80</v>
      </c>
      <c r="E2332">
        <v>20</v>
      </c>
      <c r="F2332">
        <v>16</v>
      </c>
      <c r="G2332">
        <v>34.759997247101701</v>
      </c>
    </row>
    <row r="2333" spans="1:7" x14ac:dyDescent="0.3">
      <c r="A2333" t="str">
        <f>IF(ISBLANK(B2333),"",IF(ROUND(B2333,0)=ROUND(G2333,0),"Pass","Fail"))</f>
        <v>Pass</v>
      </c>
      <c r="B2333">
        <f t="shared" si="138"/>
        <v>26.312576293945313</v>
      </c>
      <c r="C2333">
        <v>20</v>
      </c>
      <c r="D2333">
        <v>80</v>
      </c>
      <c r="E2333">
        <v>20</v>
      </c>
      <c r="F2333">
        <v>24</v>
      </c>
      <c r="G2333">
        <v>26.3125774137362</v>
      </c>
    </row>
    <row r="2334" spans="1:7" x14ac:dyDescent="0.3">
      <c r="A2334" t="str">
        <f>IF(ISBLANK(B2334),"",IF(ROUND(B2334,0)=ROUND(G2334,0),"Pass","Fail"))</f>
        <v>Pass</v>
      </c>
      <c r="B2334">
        <f t="shared" si="138"/>
        <v>22.060272216796875</v>
      </c>
      <c r="C2334">
        <v>20</v>
      </c>
      <c r="D2334">
        <v>80</v>
      </c>
      <c r="E2334">
        <v>20</v>
      </c>
      <c r="F2334">
        <v>32</v>
      </c>
      <c r="G2334">
        <v>22.060273005994599</v>
      </c>
    </row>
    <row r="2335" spans="1:7" x14ac:dyDescent="0.3">
      <c r="A2335" t="str">
        <f>IF(ISBLANK(B2335),"",IF(ROUND(B2335,0)=ROUND(G2335,0),"Pass","Fail"))</f>
        <v>Pass</v>
      </c>
      <c r="B2335">
        <f t="shared" si="138"/>
        <v>19.919727325439453</v>
      </c>
      <c r="C2335">
        <v>20</v>
      </c>
      <c r="D2335">
        <v>80</v>
      </c>
      <c r="E2335">
        <v>20</v>
      </c>
      <c r="F2335">
        <v>40</v>
      </c>
      <c r="G2335">
        <v>19.919726764327098</v>
      </c>
    </row>
    <row r="2336" spans="1:7" x14ac:dyDescent="0.3">
      <c r="A2336" t="str">
        <f>IF(ISBLANK(B2336),"",IF(ROUND(B2336,0)=ROUND(G2336,0),"Pass","Fail"))</f>
        <v>Pass</v>
      </c>
      <c r="B2336">
        <f t="shared" si="138"/>
        <v>18.842208862304688</v>
      </c>
      <c r="C2336">
        <v>20</v>
      </c>
      <c r="D2336">
        <v>80</v>
      </c>
      <c r="E2336">
        <v>20</v>
      </c>
      <c r="F2336">
        <v>48</v>
      </c>
      <c r="G2336">
        <v>18.842207900819702</v>
      </c>
    </row>
    <row r="2337" spans="1:7" x14ac:dyDescent="0.3">
      <c r="A2337" t="str">
        <f>IF(ISBLANK(B2337),"",IF(ROUND(B2337,0)=ROUND(G2337,0),"Pass","Fail"))</f>
        <v>Pass</v>
      </c>
      <c r="B2337">
        <f t="shared" si="138"/>
        <v>84.877998352050781</v>
      </c>
      <c r="C2337">
        <v>20</v>
      </c>
      <c r="D2337">
        <v>80</v>
      </c>
      <c r="E2337">
        <v>30</v>
      </c>
      <c r="F2337">
        <v>0</v>
      </c>
      <c r="G2337">
        <v>84.878</v>
      </c>
    </row>
    <row r="2338" spans="1:7" x14ac:dyDescent="0.3">
      <c r="A2338" t="str">
        <f>IF(ISBLANK(B2338),"",IF(ROUND(B2338,0)=ROUND(G2338,0),"Pass","Fail"))</f>
        <v>Pass</v>
      </c>
      <c r="B2338">
        <f t="shared" si="138"/>
        <v>51.541229248046875</v>
      </c>
      <c r="C2338">
        <v>20</v>
      </c>
      <c r="D2338">
        <v>80</v>
      </c>
      <c r="E2338">
        <v>30</v>
      </c>
      <c r="F2338">
        <v>8</v>
      </c>
      <c r="G2338">
        <v>51.541228080723002</v>
      </c>
    </row>
    <row r="2339" spans="1:7" x14ac:dyDescent="0.3">
      <c r="A2339" t="str">
        <f>IF(ISBLANK(B2339),"",IF(ROUND(B2339,0)=ROUND(G2339,0),"Pass","Fail"))</f>
        <v>Pass</v>
      </c>
      <c r="B2339">
        <f t="shared" si="138"/>
        <v>34.759994506835938</v>
      </c>
      <c r="C2339">
        <v>20</v>
      </c>
      <c r="D2339">
        <v>80</v>
      </c>
      <c r="E2339">
        <v>30</v>
      </c>
      <c r="F2339">
        <v>16</v>
      </c>
      <c r="G2339">
        <v>34.759997247101701</v>
      </c>
    </row>
    <row r="2340" spans="1:7" x14ac:dyDescent="0.3">
      <c r="A2340" t="str">
        <f>IF(ISBLANK(B2340),"",IF(ROUND(B2340,0)=ROUND(G2340,0),"Pass","Fail"))</f>
        <v>Pass</v>
      </c>
      <c r="B2340">
        <f t="shared" si="138"/>
        <v>26.312576293945313</v>
      </c>
      <c r="C2340">
        <v>20</v>
      </c>
      <c r="D2340">
        <v>80</v>
      </c>
      <c r="E2340">
        <v>30</v>
      </c>
      <c r="F2340">
        <v>24</v>
      </c>
      <c r="G2340">
        <v>26.3125774137362</v>
      </c>
    </row>
    <row r="2341" spans="1:7" x14ac:dyDescent="0.3">
      <c r="A2341" t="str">
        <f>IF(ISBLANK(B2341),"",IF(ROUND(B2341,0)=ROUND(G2341,0),"Pass","Fail"))</f>
        <v>Pass</v>
      </c>
      <c r="B2341">
        <f t="shared" si="138"/>
        <v>22.060272216796875</v>
      </c>
      <c r="C2341">
        <v>20</v>
      </c>
      <c r="D2341">
        <v>80</v>
      </c>
      <c r="E2341">
        <v>30</v>
      </c>
      <c r="F2341">
        <v>32</v>
      </c>
      <c r="G2341">
        <v>22.060273005994599</v>
      </c>
    </row>
    <row r="2342" spans="1:7" x14ac:dyDescent="0.3">
      <c r="A2342" t="str">
        <f>IF(ISBLANK(B2342),"",IF(ROUND(B2342,0)=ROUND(G2342,0),"Pass","Fail"))</f>
        <v>Pass</v>
      </c>
      <c r="B2342">
        <f t="shared" si="138"/>
        <v>19.919727325439453</v>
      </c>
      <c r="C2342">
        <v>20</v>
      </c>
      <c r="D2342">
        <v>80</v>
      </c>
      <c r="E2342">
        <v>30</v>
      </c>
      <c r="F2342">
        <v>40</v>
      </c>
      <c r="G2342">
        <v>19.919726764327098</v>
      </c>
    </row>
    <row r="2343" spans="1:7" x14ac:dyDescent="0.3">
      <c r="A2343" t="str">
        <f>IF(ISBLANK(B2343),"",IF(ROUND(B2343,0)=ROUND(G2343,0),"Pass","Fail"))</f>
        <v>Pass</v>
      </c>
      <c r="B2343">
        <f t="shared" si="138"/>
        <v>18.842208862304688</v>
      </c>
      <c r="C2343">
        <v>20</v>
      </c>
      <c r="D2343">
        <v>80</v>
      </c>
      <c r="E2343">
        <v>30</v>
      </c>
      <c r="F2343">
        <v>48</v>
      </c>
      <c r="G2343">
        <v>18.842207900819702</v>
      </c>
    </row>
    <row r="2344" spans="1:7" x14ac:dyDescent="0.3">
      <c r="A2344" t="str">
        <f>IF(ISBLANK(B2344),"",IF(ROUND(B2344,0)=ROUND(G2344,0),"Pass","Fail"))</f>
        <v>Pass</v>
      </c>
      <c r="B2344">
        <f t="shared" si="138"/>
        <v>84.877998352050781</v>
      </c>
      <c r="C2344">
        <v>20</v>
      </c>
      <c r="D2344">
        <v>80</v>
      </c>
      <c r="E2344">
        <v>40</v>
      </c>
      <c r="F2344">
        <v>0</v>
      </c>
      <c r="G2344">
        <v>84.878</v>
      </c>
    </row>
    <row r="2345" spans="1:7" x14ac:dyDescent="0.3">
      <c r="A2345" t="str">
        <f>IF(ISBLANK(B2345),"",IF(ROUND(B2345,0)=ROUND(G2345,0),"Pass","Fail"))</f>
        <v>Pass</v>
      </c>
      <c r="B2345">
        <f t="shared" si="138"/>
        <v>51.541229248046875</v>
      </c>
      <c r="C2345">
        <v>20</v>
      </c>
      <c r="D2345">
        <v>80</v>
      </c>
      <c r="E2345">
        <v>40</v>
      </c>
      <c r="F2345">
        <v>8</v>
      </c>
      <c r="G2345">
        <v>51.541228080723002</v>
      </c>
    </row>
    <row r="2346" spans="1:7" x14ac:dyDescent="0.3">
      <c r="A2346" t="str">
        <f>IF(ISBLANK(B2346),"",IF(ROUND(B2346,0)=ROUND(G2346,0),"Pass","Fail"))</f>
        <v>Pass</v>
      </c>
      <c r="B2346">
        <f t="shared" si="138"/>
        <v>34.759994506835938</v>
      </c>
      <c r="C2346">
        <v>20</v>
      </c>
      <c r="D2346">
        <v>80</v>
      </c>
      <c r="E2346">
        <v>40</v>
      </c>
      <c r="F2346">
        <v>16</v>
      </c>
      <c r="G2346">
        <v>34.759997247101701</v>
      </c>
    </row>
    <row r="2347" spans="1:7" x14ac:dyDescent="0.3">
      <c r="A2347" t="str">
        <f>IF(ISBLANK(B2347),"",IF(ROUND(B2347,0)=ROUND(G2347,0),"Pass","Fail"))</f>
        <v>Pass</v>
      </c>
      <c r="B2347">
        <f t="shared" si="138"/>
        <v>26.312576293945313</v>
      </c>
      <c r="C2347">
        <v>20</v>
      </c>
      <c r="D2347">
        <v>80</v>
      </c>
      <c r="E2347">
        <v>40</v>
      </c>
      <c r="F2347">
        <v>24</v>
      </c>
      <c r="G2347">
        <v>26.3125774137362</v>
      </c>
    </row>
    <row r="2348" spans="1:7" x14ac:dyDescent="0.3">
      <c r="A2348" t="str">
        <f>IF(ISBLANK(B2348),"",IF(ROUND(B2348,0)=ROUND(G2348,0),"Pass","Fail"))</f>
        <v>Pass</v>
      </c>
      <c r="B2348">
        <f t="shared" si="138"/>
        <v>22.060272216796875</v>
      </c>
      <c r="C2348">
        <v>20</v>
      </c>
      <c r="D2348">
        <v>80</v>
      </c>
      <c r="E2348">
        <v>40</v>
      </c>
      <c r="F2348">
        <v>32</v>
      </c>
      <c r="G2348">
        <v>22.060273005994599</v>
      </c>
    </row>
    <row r="2349" spans="1:7" x14ac:dyDescent="0.3">
      <c r="A2349" t="str">
        <f>IF(ISBLANK(B2349),"",IF(ROUND(B2349,0)=ROUND(G2349,0),"Pass","Fail"))</f>
        <v>Pass</v>
      </c>
      <c r="B2349">
        <f t="shared" si="138"/>
        <v>19.919727325439453</v>
      </c>
      <c r="C2349">
        <v>20</v>
      </c>
      <c r="D2349">
        <v>80</v>
      </c>
      <c r="E2349">
        <v>40</v>
      </c>
      <c r="F2349">
        <v>40</v>
      </c>
      <c r="G2349">
        <v>19.919726764327098</v>
      </c>
    </row>
    <row r="2350" spans="1:7" x14ac:dyDescent="0.3">
      <c r="A2350" t="str">
        <f>IF(ISBLANK(B2350),"",IF(ROUND(B2350,0)=ROUND(G2350,0),"Pass","Fail"))</f>
        <v>Pass</v>
      </c>
      <c r="B2350">
        <f t="shared" si="138"/>
        <v>18.842208862304688</v>
      </c>
      <c r="C2350">
        <v>20</v>
      </c>
      <c r="D2350">
        <v>80</v>
      </c>
      <c r="E2350">
        <v>40</v>
      </c>
      <c r="F2350">
        <v>48</v>
      </c>
      <c r="G2350">
        <v>18.842207900819702</v>
      </c>
    </row>
    <row r="2351" spans="1:7" x14ac:dyDescent="0.3">
      <c r="A2351" t="str">
        <f>IF(ISBLANK(B2351),"",IF(ROUND(B2351,0)=ROUND(G2351,0),"Pass","Fail"))</f>
        <v>Pass</v>
      </c>
      <c r="B2351">
        <f t="shared" si="138"/>
        <v>84.877998352050781</v>
      </c>
      <c r="C2351">
        <v>20</v>
      </c>
      <c r="D2351">
        <v>80</v>
      </c>
      <c r="E2351">
        <v>50</v>
      </c>
      <c r="F2351">
        <v>0</v>
      </c>
      <c r="G2351">
        <v>84.878</v>
      </c>
    </row>
    <row r="2352" spans="1:7" x14ac:dyDescent="0.3">
      <c r="A2352" t="str">
        <f>IF(ISBLANK(B2352),"",IF(ROUND(B2352,0)=ROUND(G2352,0),"Pass","Fail"))</f>
        <v>Pass</v>
      </c>
      <c r="B2352">
        <f t="shared" si="138"/>
        <v>51.541229248046875</v>
      </c>
      <c r="C2352">
        <v>20</v>
      </c>
      <c r="D2352">
        <v>80</v>
      </c>
      <c r="E2352">
        <v>50</v>
      </c>
      <c r="F2352">
        <v>8</v>
      </c>
      <c r="G2352">
        <v>51.541228080723002</v>
      </c>
    </row>
    <row r="2353" spans="1:7" x14ac:dyDescent="0.3">
      <c r="A2353" t="str">
        <f>IF(ISBLANK(B2353),"",IF(ROUND(B2353,0)=ROUND(G2353,0),"Pass","Fail"))</f>
        <v>Pass</v>
      </c>
      <c r="B2353">
        <f t="shared" si="138"/>
        <v>34.759994506835938</v>
      </c>
      <c r="C2353">
        <v>20</v>
      </c>
      <c r="D2353">
        <v>80</v>
      </c>
      <c r="E2353">
        <v>50</v>
      </c>
      <c r="F2353">
        <v>16</v>
      </c>
      <c r="G2353">
        <v>34.759997247101701</v>
      </c>
    </row>
    <row r="2354" spans="1:7" x14ac:dyDescent="0.3">
      <c r="A2354" t="str">
        <f>IF(ISBLANK(B2354),"",IF(ROUND(B2354,0)=ROUND(G2354,0),"Pass","Fail"))</f>
        <v>Pass</v>
      </c>
      <c r="B2354">
        <f t="shared" si="138"/>
        <v>26.312576293945313</v>
      </c>
      <c r="C2354">
        <v>20</v>
      </c>
      <c r="D2354">
        <v>80</v>
      </c>
      <c r="E2354">
        <v>50</v>
      </c>
      <c r="F2354">
        <v>24</v>
      </c>
      <c r="G2354">
        <v>26.3125774137362</v>
      </c>
    </row>
    <row r="2355" spans="1:7" x14ac:dyDescent="0.3">
      <c r="A2355" t="str">
        <f>IF(ISBLANK(B2355),"",IF(ROUND(B2355,0)=ROUND(G2355,0),"Pass","Fail"))</f>
        <v>Pass</v>
      </c>
      <c r="B2355">
        <f t="shared" si="138"/>
        <v>22.060272216796875</v>
      </c>
      <c r="C2355">
        <v>20</v>
      </c>
      <c r="D2355">
        <v>80</v>
      </c>
      <c r="E2355">
        <v>50</v>
      </c>
      <c r="F2355">
        <v>32</v>
      </c>
      <c r="G2355">
        <v>22.060273005994599</v>
      </c>
    </row>
    <row r="2356" spans="1:7" x14ac:dyDescent="0.3">
      <c r="A2356" t="str">
        <f>IF(ISBLANK(B2356),"",IF(ROUND(B2356,0)=ROUND(G2356,0),"Pass","Fail"))</f>
        <v>Pass</v>
      </c>
      <c r="B2356">
        <f t="shared" si="138"/>
        <v>19.919727325439453</v>
      </c>
      <c r="C2356">
        <v>20</v>
      </c>
      <c r="D2356">
        <v>80</v>
      </c>
      <c r="E2356">
        <v>50</v>
      </c>
      <c r="F2356">
        <v>40</v>
      </c>
      <c r="G2356">
        <v>19.919726764327098</v>
      </c>
    </row>
    <row r="2357" spans="1:7" x14ac:dyDescent="0.3">
      <c r="A2357" t="str">
        <f>IF(ISBLANK(B2357),"",IF(ROUND(B2357,0)=ROUND(G2357,0),"Pass","Fail"))</f>
        <v>Pass</v>
      </c>
      <c r="B2357">
        <f t="shared" si="138"/>
        <v>18.842208862304688</v>
      </c>
      <c r="C2357">
        <v>20</v>
      </c>
      <c r="D2357">
        <v>80</v>
      </c>
      <c r="E2357">
        <v>50</v>
      </c>
      <c r="F2357">
        <v>48</v>
      </c>
      <c r="G2357">
        <v>18.842207900819702</v>
      </c>
    </row>
    <row r="2358" spans="1:7" x14ac:dyDescent="0.3">
      <c r="A2358" t="str">
        <f>IF(ISBLANK(B2358),"",IF(ROUND(B2358,0)=ROUND(G2358,0),"Pass","Fail"))</f>
        <v>Pass</v>
      </c>
      <c r="B2358">
        <f t="shared" si="138"/>
        <v>84.877998352050781</v>
      </c>
      <c r="C2358">
        <v>20</v>
      </c>
      <c r="D2358">
        <v>80</v>
      </c>
      <c r="E2358">
        <v>60</v>
      </c>
      <c r="F2358">
        <v>0</v>
      </c>
      <c r="G2358">
        <v>84.878</v>
      </c>
    </row>
    <row r="2359" spans="1:7" x14ac:dyDescent="0.3">
      <c r="A2359" t="str">
        <f>IF(ISBLANK(B2359),"",IF(ROUND(B2359,0)=ROUND(G2359,0),"Pass","Fail"))</f>
        <v>Pass</v>
      </c>
      <c r="B2359">
        <f t="shared" si="138"/>
        <v>51.541229248046875</v>
      </c>
      <c r="C2359">
        <v>20</v>
      </c>
      <c r="D2359">
        <v>80</v>
      </c>
      <c r="E2359">
        <v>60</v>
      </c>
      <c r="F2359">
        <v>8</v>
      </c>
      <c r="G2359">
        <v>51.541228080723002</v>
      </c>
    </row>
    <row r="2360" spans="1:7" x14ac:dyDescent="0.3">
      <c r="A2360" t="str">
        <f>IF(ISBLANK(B2360),"",IF(ROUND(B2360,0)=ROUND(G2360,0),"Pass","Fail"))</f>
        <v>Pass</v>
      </c>
      <c r="B2360">
        <f t="shared" si="138"/>
        <v>34.759994506835938</v>
      </c>
      <c r="C2360">
        <v>20</v>
      </c>
      <c r="D2360">
        <v>80</v>
      </c>
      <c r="E2360">
        <v>60</v>
      </c>
      <c r="F2360">
        <v>16</v>
      </c>
      <c r="G2360">
        <v>34.759997247101701</v>
      </c>
    </row>
    <row r="2361" spans="1:7" x14ac:dyDescent="0.3">
      <c r="A2361" t="str">
        <f>IF(ISBLANK(B2361),"",IF(ROUND(B2361,0)=ROUND(G2361,0),"Pass","Fail"))</f>
        <v>Pass</v>
      </c>
      <c r="B2361">
        <f t="shared" si="138"/>
        <v>26.312576293945313</v>
      </c>
      <c r="C2361">
        <v>20</v>
      </c>
      <c r="D2361">
        <v>80</v>
      </c>
      <c r="E2361">
        <v>60</v>
      </c>
      <c r="F2361">
        <v>24</v>
      </c>
      <c r="G2361">
        <v>26.3125774137362</v>
      </c>
    </row>
    <row r="2362" spans="1:7" x14ac:dyDescent="0.3">
      <c r="A2362" t="str">
        <f>IF(ISBLANK(B2362),"",IF(ROUND(B2362,0)=ROUND(G2362,0),"Pass","Fail"))</f>
        <v>Pass</v>
      </c>
      <c r="B2362">
        <f t="shared" si="138"/>
        <v>22.060272216796875</v>
      </c>
      <c r="C2362">
        <v>20</v>
      </c>
      <c r="D2362">
        <v>80</v>
      </c>
      <c r="E2362">
        <v>60</v>
      </c>
      <c r="F2362">
        <v>32</v>
      </c>
      <c r="G2362">
        <v>22.060273005994599</v>
      </c>
    </row>
    <row r="2363" spans="1:7" x14ac:dyDescent="0.3">
      <c r="A2363" t="str">
        <f>IF(ISBLANK(B2363),"",IF(ROUND(B2363,0)=ROUND(G2363,0),"Pass","Fail"))</f>
        <v>Pass</v>
      </c>
      <c r="B2363">
        <f t="shared" si="138"/>
        <v>19.919727325439453</v>
      </c>
      <c r="C2363">
        <v>20</v>
      </c>
      <c r="D2363">
        <v>80</v>
      </c>
      <c r="E2363">
        <v>60</v>
      </c>
      <c r="F2363">
        <v>40</v>
      </c>
      <c r="G2363">
        <v>19.919726764327098</v>
      </c>
    </row>
    <row r="2364" spans="1:7" x14ac:dyDescent="0.3">
      <c r="A2364" t="str">
        <f>IF(ISBLANK(B2364),"",IF(ROUND(B2364,0)=ROUND(G2364,0),"Pass","Fail"))</f>
        <v>Pass</v>
      </c>
      <c r="B2364">
        <f t="shared" si="138"/>
        <v>18.842208862304688</v>
      </c>
      <c r="C2364">
        <v>20</v>
      </c>
      <c r="D2364">
        <v>80</v>
      </c>
      <c r="E2364">
        <v>60</v>
      </c>
      <c r="F2364">
        <v>48</v>
      </c>
      <c r="G2364">
        <v>18.842207900819702</v>
      </c>
    </row>
    <row r="2365" spans="1:7" x14ac:dyDescent="0.3">
      <c r="A2365" t="str">
        <f>IF(ISBLANK(B2365),"",IF(ROUND(B2365,0)=ROUND(G2365,0),"Pass","Fail"))</f>
        <v>Pass</v>
      </c>
      <c r="B2365">
        <f t="shared" si="138"/>
        <v>84.877998352050781</v>
      </c>
      <c r="C2365">
        <v>20</v>
      </c>
      <c r="D2365">
        <v>80</v>
      </c>
      <c r="E2365">
        <v>70</v>
      </c>
      <c r="F2365">
        <v>0</v>
      </c>
      <c r="G2365">
        <v>84.878</v>
      </c>
    </row>
    <row r="2366" spans="1:7" x14ac:dyDescent="0.3">
      <c r="A2366" t="str">
        <f>IF(ISBLANK(B2366),"",IF(ROUND(B2366,0)=ROUND(G2366,0),"Pass","Fail"))</f>
        <v>Pass</v>
      </c>
      <c r="B2366">
        <f t="shared" si="138"/>
        <v>51.541229248046875</v>
      </c>
      <c r="C2366">
        <v>20</v>
      </c>
      <c r="D2366">
        <v>80</v>
      </c>
      <c r="E2366">
        <v>70</v>
      </c>
      <c r="F2366">
        <v>8</v>
      </c>
      <c r="G2366">
        <v>51.541228080723002</v>
      </c>
    </row>
    <row r="2367" spans="1:7" x14ac:dyDescent="0.3">
      <c r="A2367" t="str">
        <f>IF(ISBLANK(B2367),"",IF(ROUND(B2367,0)=ROUND(G2367,0),"Pass","Fail"))</f>
        <v>Pass</v>
      </c>
      <c r="B2367">
        <f t="shared" si="138"/>
        <v>34.759994506835938</v>
      </c>
      <c r="C2367">
        <v>20</v>
      </c>
      <c r="D2367">
        <v>80</v>
      </c>
      <c r="E2367">
        <v>70</v>
      </c>
      <c r="F2367">
        <v>16</v>
      </c>
      <c r="G2367">
        <v>34.759997247101701</v>
      </c>
    </row>
    <row r="2368" spans="1:7" x14ac:dyDescent="0.3">
      <c r="A2368" t="str">
        <f>IF(ISBLANK(B2368),"",IF(ROUND(B2368,0)=ROUND(G2368,0),"Pass","Fail"))</f>
        <v>Pass</v>
      </c>
      <c r="B2368">
        <f t="shared" si="138"/>
        <v>26.312576293945313</v>
      </c>
      <c r="C2368">
        <v>20</v>
      </c>
      <c r="D2368">
        <v>80</v>
      </c>
      <c r="E2368">
        <v>70</v>
      </c>
      <c r="F2368">
        <v>24</v>
      </c>
      <c r="G2368">
        <v>26.3125774137362</v>
      </c>
    </row>
    <row r="2369" spans="1:7" x14ac:dyDescent="0.3">
      <c r="A2369" t="str">
        <f>IF(ISBLANK(B2369),"",IF(ROUND(B2369,0)=ROUND(G2369,0),"Pass","Fail"))</f>
        <v>Pass</v>
      </c>
      <c r="B2369">
        <f t="shared" si="138"/>
        <v>22.060272216796875</v>
      </c>
      <c r="C2369">
        <v>20</v>
      </c>
      <c r="D2369">
        <v>80</v>
      </c>
      <c r="E2369">
        <v>70</v>
      </c>
      <c r="F2369">
        <v>32</v>
      </c>
      <c r="G2369">
        <v>22.060273005994599</v>
      </c>
    </row>
    <row r="2370" spans="1:7" x14ac:dyDescent="0.3">
      <c r="A2370" t="str">
        <f>IF(ISBLANK(B2370),"",IF(ROUND(B2370,0)=ROUND(G2370,0),"Pass","Fail"))</f>
        <v>Pass</v>
      </c>
      <c r="B2370">
        <f t="shared" si="138"/>
        <v>19.919727325439453</v>
      </c>
      <c r="C2370">
        <v>20</v>
      </c>
      <c r="D2370">
        <v>80</v>
      </c>
      <c r="E2370">
        <v>70</v>
      </c>
      <c r="F2370">
        <v>40</v>
      </c>
      <c r="G2370">
        <v>19.919726764327098</v>
      </c>
    </row>
    <row r="2371" spans="1:7" x14ac:dyDescent="0.3">
      <c r="A2371" t="str">
        <f>IF(ISBLANK(B2371),"",IF(ROUND(B2371,0)=ROUND(G2371,0),"Pass","Fail"))</f>
        <v>Pass</v>
      </c>
      <c r="B2371">
        <f t="shared" si="138"/>
        <v>18.842208862304688</v>
      </c>
      <c r="C2371">
        <v>20</v>
      </c>
      <c r="D2371">
        <v>80</v>
      </c>
      <c r="E2371">
        <v>70</v>
      </c>
      <c r="F2371">
        <v>48</v>
      </c>
      <c r="G2371">
        <v>18.842207900819702</v>
      </c>
    </row>
    <row r="2372" spans="1:7" x14ac:dyDescent="0.3">
      <c r="A2372" t="str">
        <f>IF(ISBLANK(B2372),"",IF(ROUND(B2372,0)=ROUND(G2372,0),"Pass","Fail"))</f>
        <v>Pass</v>
      </c>
      <c r="B2372">
        <f t="shared" si="138"/>
        <v>84.877998352050781</v>
      </c>
      <c r="C2372">
        <v>20</v>
      </c>
      <c r="D2372">
        <v>80</v>
      </c>
      <c r="E2372">
        <v>80</v>
      </c>
      <c r="F2372">
        <v>0</v>
      </c>
      <c r="G2372">
        <v>84.878</v>
      </c>
    </row>
    <row r="2373" spans="1:7" x14ac:dyDescent="0.3">
      <c r="A2373" t="str">
        <f>IF(ISBLANK(B2373),"",IF(ROUND(B2373,0)=ROUND(G2373,0),"Pass","Fail"))</f>
        <v>Pass</v>
      </c>
      <c r="B2373">
        <f t="shared" si="138"/>
        <v>51.541229248046875</v>
      </c>
      <c r="C2373">
        <v>20</v>
      </c>
      <c r="D2373">
        <v>80</v>
      </c>
      <c r="E2373">
        <v>80</v>
      </c>
      <c r="F2373">
        <v>8</v>
      </c>
      <c r="G2373">
        <v>51.541228080723002</v>
      </c>
    </row>
    <row r="2374" spans="1:7" x14ac:dyDescent="0.3">
      <c r="A2374" t="str">
        <f>IF(ISBLANK(B2374),"",IF(ROUND(B2374,0)=ROUND(G2374,0),"Pass","Fail"))</f>
        <v>Pass</v>
      </c>
      <c r="B2374">
        <f t="shared" si="138"/>
        <v>34.759994506835938</v>
      </c>
      <c r="C2374">
        <v>20</v>
      </c>
      <c r="D2374">
        <v>80</v>
      </c>
      <c r="E2374">
        <v>80</v>
      </c>
      <c r="F2374">
        <v>16</v>
      </c>
      <c r="G2374">
        <v>34.759997247101701</v>
      </c>
    </row>
    <row r="2375" spans="1:7" x14ac:dyDescent="0.3">
      <c r="A2375" t="str">
        <f>IF(ISBLANK(B2375),"",IF(ROUND(B2375,0)=ROUND(G2375,0),"Pass","Fail"))</f>
        <v>Pass</v>
      </c>
      <c r="B2375">
        <f t="shared" ref="B2375:B2438" si="139">FMC_heath(C2375,D2375,E2375,F2375)</f>
        <v>26.312576293945313</v>
      </c>
      <c r="C2375">
        <v>20</v>
      </c>
      <c r="D2375">
        <v>80</v>
      </c>
      <c r="E2375">
        <v>80</v>
      </c>
      <c r="F2375">
        <v>24</v>
      </c>
      <c r="G2375">
        <v>26.3125774137362</v>
      </c>
    </row>
    <row r="2376" spans="1:7" x14ac:dyDescent="0.3">
      <c r="A2376" t="str">
        <f>IF(ISBLANK(B2376),"",IF(ROUND(B2376,0)=ROUND(G2376,0),"Pass","Fail"))</f>
        <v>Pass</v>
      </c>
      <c r="B2376">
        <f t="shared" si="139"/>
        <v>22.060272216796875</v>
      </c>
      <c r="C2376">
        <v>20</v>
      </c>
      <c r="D2376">
        <v>80</v>
      </c>
      <c r="E2376">
        <v>80</v>
      </c>
      <c r="F2376">
        <v>32</v>
      </c>
      <c r="G2376">
        <v>22.060273005994599</v>
      </c>
    </row>
    <row r="2377" spans="1:7" x14ac:dyDescent="0.3">
      <c r="A2377" t="str">
        <f>IF(ISBLANK(B2377),"",IF(ROUND(B2377,0)=ROUND(G2377,0),"Pass","Fail"))</f>
        <v>Pass</v>
      </c>
      <c r="B2377">
        <f t="shared" si="139"/>
        <v>19.919727325439453</v>
      </c>
      <c r="C2377">
        <v>20</v>
      </c>
      <c r="D2377">
        <v>80</v>
      </c>
      <c r="E2377">
        <v>80</v>
      </c>
      <c r="F2377">
        <v>40</v>
      </c>
      <c r="G2377">
        <v>19.919726764327098</v>
      </c>
    </row>
    <row r="2378" spans="1:7" x14ac:dyDescent="0.3">
      <c r="A2378" t="str">
        <f>IF(ISBLANK(B2378),"",IF(ROUND(B2378,0)=ROUND(G2378,0),"Pass","Fail"))</f>
        <v>Pass</v>
      </c>
      <c r="B2378">
        <f t="shared" si="139"/>
        <v>18.842208862304688</v>
      </c>
      <c r="C2378">
        <v>20</v>
      </c>
      <c r="D2378">
        <v>80</v>
      </c>
      <c r="E2378">
        <v>80</v>
      </c>
      <c r="F2378">
        <v>48</v>
      </c>
      <c r="G2378">
        <v>18.842207900819702</v>
      </c>
    </row>
    <row r="2379" spans="1:7" x14ac:dyDescent="0.3">
      <c r="A2379" t="str">
        <f>IF(ISBLANK(B2379),"",IF(ROUND(B2379,0)=ROUND(G2379,0),"Pass","Fail"))</f>
        <v>Pass</v>
      </c>
      <c r="B2379">
        <f t="shared" si="139"/>
        <v>84.877998352050781</v>
      </c>
      <c r="C2379">
        <v>20</v>
      </c>
      <c r="D2379">
        <v>80</v>
      </c>
      <c r="E2379">
        <v>90</v>
      </c>
      <c r="F2379">
        <v>0</v>
      </c>
      <c r="G2379">
        <v>84.878</v>
      </c>
    </row>
    <row r="2380" spans="1:7" x14ac:dyDescent="0.3">
      <c r="A2380" t="str">
        <f>IF(ISBLANK(B2380),"",IF(ROUND(B2380,0)=ROUND(G2380,0),"Pass","Fail"))</f>
        <v>Pass</v>
      </c>
      <c r="B2380">
        <f t="shared" si="139"/>
        <v>51.541229248046875</v>
      </c>
      <c r="C2380">
        <v>20</v>
      </c>
      <c r="D2380">
        <v>80</v>
      </c>
      <c r="E2380">
        <v>90</v>
      </c>
      <c r="F2380">
        <v>8</v>
      </c>
      <c r="G2380">
        <v>51.541228080723002</v>
      </c>
    </row>
    <row r="2381" spans="1:7" x14ac:dyDescent="0.3">
      <c r="A2381" t="str">
        <f>IF(ISBLANK(B2381),"",IF(ROUND(B2381,0)=ROUND(G2381,0),"Pass","Fail"))</f>
        <v>Pass</v>
      </c>
      <c r="B2381">
        <f t="shared" si="139"/>
        <v>34.759994506835938</v>
      </c>
      <c r="C2381">
        <v>20</v>
      </c>
      <c r="D2381">
        <v>80</v>
      </c>
      <c r="E2381">
        <v>90</v>
      </c>
      <c r="F2381">
        <v>16</v>
      </c>
      <c r="G2381">
        <v>34.759997247101701</v>
      </c>
    </row>
    <row r="2382" spans="1:7" x14ac:dyDescent="0.3">
      <c r="A2382" t="str">
        <f>IF(ISBLANK(B2382),"",IF(ROUND(B2382,0)=ROUND(G2382,0),"Pass","Fail"))</f>
        <v>Pass</v>
      </c>
      <c r="B2382">
        <f t="shared" si="139"/>
        <v>26.312576293945313</v>
      </c>
      <c r="C2382">
        <v>20</v>
      </c>
      <c r="D2382">
        <v>80</v>
      </c>
      <c r="E2382">
        <v>90</v>
      </c>
      <c r="F2382">
        <v>24</v>
      </c>
      <c r="G2382">
        <v>26.3125774137362</v>
      </c>
    </row>
    <row r="2383" spans="1:7" x14ac:dyDescent="0.3">
      <c r="A2383" t="str">
        <f>IF(ISBLANK(B2383),"",IF(ROUND(B2383,0)=ROUND(G2383,0),"Pass","Fail"))</f>
        <v>Pass</v>
      </c>
      <c r="B2383">
        <f t="shared" si="139"/>
        <v>22.060272216796875</v>
      </c>
      <c r="C2383">
        <v>20</v>
      </c>
      <c r="D2383">
        <v>80</v>
      </c>
      <c r="E2383">
        <v>90</v>
      </c>
      <c r="F2383">
        <v>32</v>
      </c>
      <c r="G2383">
        <v>22.060273005994599</v>
      </c>
    </row>
    <row r="2384" spans="1:7" x14ac:dyDescent="0.3">
      <c r="A2384" t="str">
        <f>IF(ISBLANK(B2384),"",IF(ROUND(B2384,0)=ROUND(G2384,0),"Pass","Fail"))</f>
        <v>Pass</v>
      </c>
      <c r="B2384">
        <f t="shared" si="139"/>
        <v>19.919727325439453</v>
      </c>
      <c r="C2384">
        <v>20</v>
      </c>
      <c r="D2384">
        <v>80</v>
      </c>
      <c r="E2384">
        <v>90</v>
      </c>
      <c r="F2384">
        <v>40</v>
      </c>
      <c r="G2384">
        <v>19.919726764327098</v>
      </c>
    </row>
    <row r="2385" spans="1:7" x14ac:dyDescent="0.3">
      <c r="A2385" t="str">
        <f>IF(ISBLANK(B2385),"",IF(ROUND(B2385,0)=ROUND(G2385,0),"Pass","Fail"))</f>
        <v>Pass</v>
      </c>
      <c r="B2385">
        <f t="shared" si="139"/>
        <v>18.842208862304688</v>
      </c>
      <c r="C2385">
        <v>20</v>
      </c>
      <c r="D2385">
        <v>80</v>
      </c>
      <c r="E2385">
        <v>90</v>
      </c>
      <c r="F2385">
        <v>48</v>
      </c>
      <c r="G2385">
        <v>18.842207900819702</v>
      </c>
    </row>
    <row r="2386" spans="1:7" x14ac:dyDescent="0.3">
      <c r="A2386" t="str">
        <f>IF(ISBLANK(B2386),"",IF(ROUND(B2386,0)=ROUND(G2386,0),"Pass","Fail"))</f>
        <v>Pass</v>
      </c>
      <c r="B2386">
        <f t="shared" si="139"/>
        <v>84.877998352050781</v>
      </c>
      <c r="C2386">
        <v>20</v>
      </c>
      <c r="D2386">
        <v>80</v>
      </c>
      <c r="E2386">
        <v>100</v>
      </c>
      <c r="F2386">
        <v>0</v>
      </c>
      <c r="G2386">
        <v>84.878</v>
      </c>
    </row>
    <row r="2387" spans="1:7" x14ac:dyDescent="0.3">
      <c r="A2387" t="str">
        <f>IF(ISBLANK(B2387),"",IF(ROUND(B2387,0)=ROUND(G2387,0),"Pass","Fail"))</f>
        <v>Pass</v>
      </c>
      <c r="B2387">
        <f t="shared" si="139"/>
        <v>51.541229248046875</v>
      </c>
      <c r="C2387">
        <v>20</v>
      </c>
      <c r="D2387">
        <v>80</v>
      </c>
      <c r="E2387">
        <v>100</v>
      </c>
      <c r="F2387">
        <v>8</v>
      </c>
      <c r="G2387">
        <v>51.541228080723002</v>
      </c>
    </row>
    <row r="2388" spans="1:7" x14ac:dyDescent="0.3">
      <c r="A2388" t="str">
        <f>IF(ISBLANK(B2388),"",IF(ROUND(B2388,0)=ROUND(G2388,0),"Pass","Fail"))</f>
        <v>Pass</v>
      </c>
      <c r="B2388">
        <f t="shared" si="139"/>
        <v>34.759994506835938</v>
      </c>
      <c r="C2388">
        <v>20</v>
      </c>
      <c r="D2388">
        <v>80</v>
      </c>
      <c r="E2388">
        <v>100</v>
      </c>
      <c r="F2388">
        <v>16</v>
      </c>
      <c r="G2388">
        <v>34.759997247101701</v>
      </c>
    </row>
    <row r="2389" spans="1:7" x14ac:dyDescent="0.3">
      <c r="A2389" t="str">
        <f>IF(ISBLANK(B2389),"",IF(ROUND(B2389,0)=ROUND(G2389,0),"Pass","Fail"))</f>
        <v>Pass</v>
      </c>
      <c r="B2389">
        <f t="shared" si="139"/>
        <v>26.312576293945313</v>
      </c>
      <c r="C2389">
        <v>20</v>
      </c>
      <c r="D2389">
        <v>80</v>
      </c>
      <c r="E2389">
        <v>100</v>
      </c>
      <c r="F2389">
        <v>24</v>
      </c>
      <c r="G2389">
        <v>26.3125774137362</v>
      </c>
    </row>
    <row r="2390" spans="1:7" x14ac:dyDescent="0.3">
      <c r="A2390" t="str">
        <f>IF(ISBLANK(B2390),"",IF(ROUND(B2390,0)=ROUND(G2390,0),"Pass","Fail"))</f>
        <v>Pass</v>
      </c>
      <c r="B2390">
        <f t="shared" si="139"/>
        <v>22.060272216796875</v>
      </c>
      <c r="C2390">
        <v>20</v>
      </c>
      <c r="D2390">
        <v>80</v>
      </c>
      <c r="E2390">
        <v>100</v>
      </c>
      <c r="F2390">
        <v>32</v>
      </c>
      <c r="G2390">
        <v>22.060273005994599</v>
      </c>
    </row>
    <row r="2391" spans="1:7" x14ac:dyDescent="0.3">
      <c r="A2391" t="str">
        <f>IF(ISBLANK(B2391),"",IF(ROUND(B2391,0)=ROUND(G2391,0),"Pass","Fail"))</f>
        <v>Pass</v>
      </c>
      <c r="B2391">
        <f t="shared" si="139"/>
        <v>19.919727325439453</v>
      </c>
      <c r="C2391">
        <v>20</v>
      </c>
      <c r="D2391">
        <v>80</v>
      </c>
      <c r="E2391">
        <v>100</v>
      </c>
      <c r="F2391">
        <v>40</v>
      </c>
      <c r="G2391">
        <v>19.919726764327098</v>
      </c>
    </row>
    <row r="2392" spans="1:7" x14ac:dyDescent="0.3">
      <c r="A2392" t="str">
        <f>IF(ISBLANK(B2392),"",IF(ROUND(B2392,0)=ROUND(G2392,0),"Pass","Fail"))</f>
        <v>Pass</v>
      </c>
      <c r="B2392">
        <f t="shared" si="139"/>
        <v>18.842208862304688</v>
      </c>
      <c r="C2392">
        <v>20</v>
      </c>
      <c r="D2392">
        <v>80</v>
      </c>
      <c r="E2392">
        <v>100</v>
      </c>
      <c r="F2392">
        <v>48</v>
      </c>
      <c r="G2392">
        <v>18.842207900819702</v>
      </c>
    </row>
    <row r="2393" spans="1:7" x14ac:dyDescent="0.3">
      <c r="A2393" t="str">
        <f>IF(ISBLANK(B2393),"",IF(ROUND(B2393,0)=ROUND(G2393,0),"Pass","Fail"))</f>
        <v>Pass</v>
      </c>
      <c r="B2393">
        <f t="shared" si="139"/>
        <v>19.360000610351563</v>
      </c>
      <c r="C2393">
        <v>20</v>
      </c>
      <c r="D2393">
        <v>90</v>
      </c>
      <c r="E2393">
        <v>0</v>
      </c>
      <c r="F2393">
        <v>0</v>
      </c>
      <c r="G2393">
        <v>19.36</v>
      </c>
    </row>
    <row r="2394" spans="1:7" x14ac:dyDescent="0.3">
      <c r="A2394" t="str">
        <f>IF(ISBLANK(B2394),"",IF(ROUND(B2394,0)=ROUND(G2394,0),"Pass","Fail"))</f>
        <v>Pass</v>
      </c>
      <c r="B2394">
        <f t="shared" si="139"/>
        <v>19.360000610351563</v>
      </c>
      <c r="C2394">
        <v>20</v>
      </c>
      <c r="D2394">
        <v>90</v>
      </c>
      <c r="E2394">
        <v>0</v>
      </c>
      <c r="F2394">
        <v>8</v>
      </c>
      <c r="G2394">
        <v>19.36</v>
      </c>
    </row>
    <row r="2395" spans="1:7" x14ac:dyDescent="0.3">
      <c r="A2395" t="str">
        <f>IF(ISBLANK(B2395),"",IF(ROUND(B2395,0)=ROUND(G2395,0),"Pass","Fail"))</f>
        <v>Pass</v>
      </c>
      <c r="B2395">
        <f t="shared" si="139"/>
        <v>19.360000610351563</v>
      </c>
      <c r="C2395">
        <v>20</v>
      </c>
      <c r="D2395">
        <v>90</v>
      </c>
      <c r="E2395">
        <v>0</v>
      </c>
      <c r="F2395">
        <v>16</v>
      </c>
      <c r="G2395">
        <v>19.36</v>
      </c>
    </row>
    <row r="2396" spans="1:7" x14ac:dyDescent="0.3">
      <c r="A2396" t="str">
        <f>IF(ISBLANK(B2396),"",IF(ROUND(B2396,0)=ROUND(G2396,0),"Pass","Fail"))</f>
        <v>Pass</v>
      </c>
      <c r="B2396">
        <f t="shared" si="139"/>
        <v>19.360000610351563</v>
      </c>
      <c r="C2396">
        <v>20</v>
      </c>
      <c r="D2396">
        <v>90</v>
      </c>
      <c r="E2396">
        <v>0</v>
      </c>
      <c r="F2396">
        <v>24</v>
      </c>
      <c r="G2396">
        <v>19.36</v>
      </c>
    </row>
    <row r="2397" spans="1:7" x14ac:dyDescent="0.3">
      <c r="A2397" t="str">
        <f>IF(ISBLANK(B2397),"",IF(ROUND(B2397,0)=ROUND(G2397,0),"Pass","Fail"))</f>
        <v>Pass</v>
      </c>
      <c r="B2397">
        <f t="shared" si="139"/>
        <v>19.360000610351563</v>
      </c>
      <c r="C2397">
        <v>20</v>
      </c>
      <c r="D2397">
        <v>90</v>
      </c>
      <c r="E2397">
        <v>0</v>
      </c>
      <c r="F2397">
        <v>32</v>
      </c>
      <c r="G2397">
        <v>19.36</v>
      </c>
    </row>
    <row r="2398" spans="1:7" x14ac:dyDescent="0.3">
      <c r="A2398" t="str">
        <f>IF(ISBLANK(B2398),"",IF(ROUND(B2398,0)=ROUND(G2398,0),"Pass","Fail"))</f>
        <v>Pass</v>
      </c>
      <c r="B2398">
        <f t="shared" si="139"/>
        <v>19.360000610351563</v>
      </c>
      <c r="C2398">
        <v>20</v>
      </c>
      <c r="D2398">
        <v>90</v>
      </c>
      <c r="E2398">
        <v>0</v>
      </c>
      <c r="F2398">
        <v>40</v>
      </c>
      <c r="G2398">
        <v>19.36</v>
      </c>
    </row>
    <row r="2399" spans="1:7" x14ac:dyDescent="0.3">
      <c r="A2399" t="str">
        <f>IF(ISBLANK(B2399),"",IF(ROUND(B2399,0)=ROUND(G2399,0),"Pass","Fail"))</f>
        <v>Pass</v>
      </c>
      <c r="B2399">
        <f t="shared" si="139"/>
        <v>19.360000610351563</v>
      </c>
      <c r="C2399">
        <v>20</v>
      </c>
      <c r="D2399">
        <v>90</v>
      </c>
      <c r="E2399">
        <v>0</v>
      </c>
      <c r="F2399">
        <v>48</v>
      </c>
      <c r="G2399">
        <v>19.36</v>
      </c>
    </row>
    <row r="2400" spans="1:7" x14ac:dyDescent="0.3">
      <c r="A2400" t="str">
        <f>IF(ISBLANK(B2400),"",IF(ROUND(B2400,0)=ROUND(G2400,0),"Pass","Fail"))</f>
        <v>Pass</v>
      </c>
      <c r="B2400">
        <f t="shared" si="139"/>
        <v>86.487998962402344</v>
      </c>
      <c r="C2400">
        <v>20</v>
      </c>
      <c r="D2400">
        <v>90</v>
      </c>
      <c r="E2400">
        <v>10</v>
      </c>
      <c r="F2400">
        <v>0</v>
      </c>
      <c r="G2400">
        <v>86.487999999998294</v>
      </c>
    </row>
    <row r="2401" spans="1:7" x14ac:dyDescent="0.3">
      <c r="A2401" t="str">
        <f>IF(ISBLANK(B2401),"",IF(ROUND(B2401,0)=ROUND(G2401,0),"Pass","Fail"))</f>
        <v>Pass</v>
      </c>
      <c r="B2401">
        <f t="shared" si="139"/>
        <v>53.151229858398438</v>
      </c>
      <c r="C2401">
        <v>20</v>
      </c>
      <c r="D2401">
        <v>90</v>
      </c>
      <c r="E2401">
        <v>10</v>
      </c>
      <c r="F2401">
        <v>8</v>
      </c>
      <c r="G2401">
        <v>53.151228080722198</v>
      </c>
    </row>
    <row r="2402" spans="1:7" x14ac:dyDescent="0.3">
      <c r="A2402" t="str">
        <f>IF(ISBLANK(B2402),"",IF(ROUND(B2402,0)=ROUND(G2402,0),"Pass","Fail"))</f>
        <v>Pass</v>
      </c>
      <c r="B2402">
        <f t="shared" si="139"/>
        <v>36.3699951171875</v>
      </c>
      <c r="C2402">
        <v>20</v>
      </c>
      <c r="D2402">
        <v>90</v>
      </c>
      <c r="E2402">
        <v>10</v>
      </c>
      <c r="F2402">
        <v>16</v>
      </c>
      <c r="G2402">
        <v>36.369997247101303</v>
      </c>
    </row>
    <row r="2403" spans="1:7" x14ac:dyDescent="0.3">
      <c r="A2403" t="str">
        <f>IF(ISBLANK(B2403),"",IF(ROUND(B2403,0)=ROUND(G2403,0),"Pass","Fail"))</f>
        <v>Pass</v>
      </c>
      <c r="B2403">
        <f t="shared" si="139"/>
        <v>27.922576904296875</v>
      </c>
      <c r="C2403">
        <v>20</v>
      </c>
      <c r="D2403">
        <v>90</v>
      </c>
      <c r="E2403">
        <v>10</v>
      </c>
      <c r="F2403">
        <v>24</v>
      </c>
      <c r="G2403">
        <v>27.922577413736001</v>
      </c>
    </row>
    <row r="2404" spans="1:7" x14ac:dyDescent="0.3">
      <c r="A2404" t="str">
        <f>IF(ISBLANK(B2404),"",IF(ROUND(B2404,0)=ROUND(G2404,0),"Pass","Fail"))</f>
        <v>Pass</v>
      </c>
      <c r="B2404">
        <f t="shared" si="139"/>
        <v>23.670272827148438</v>
      </c>
      <c r="C2404">
        <v>20</v>
      </c>
      <c r="D2404">
        <v>90</v>
      </c>
      <c r="E2404">
        <v>10</v>
      </c>
      <c r="F2404">
        <v>32</v>
      </c>
      <c r="G2404">
        <v>23.670273005994499</v>
      </c>
    </row>
    <row r="2405" spans="1:7" x14ac:dyDescent="0.3">
      <c r="A2405" t="str">
        <f>IF(ISBLANK(B2405),"",IF(ROUND(B2405,0)=ROUND(G2405,0),"Pass","Fail"))</f>
        <v>Pass</v>
      </c>
      <c r="B2405">
        <f t="shared" si="139"/>
        <v>21.529727935791016</v>
      </c>
      <c r="C2405">
        <v>20</v>
      </c>
      <c r="D2405">
        <v>90</v>
      </c>
      <c r="E2405">
        <v>10</v>
      </c>
      <c r="F2405">
        <v>40</v>
      </c>
      <c r="G2405">
        <v>21.529726764326998</v>
      </c>
    </row>
    <row r="2406" spans="1:7" x14ac:dyDescent="0.3">
      <c r="A2406" t="str">
        <f>IF(ISBLANK(B2406),"",IF(ROUND(B2406,0)=ROUND(G2406,0),"Pass","Fail"))</f>
        <v>Pass</v>
      </c>
      <c r="B2406">
        <f t="shared" si="139"/>
        <v>20.45220947265625</v>
      </c>
      <c r="C2406">
        <v>20</v>
      </c>
      <c r="D2406">
        <v>90</v>
      </c>
      <c r="E2406">
        <v>10</v>
      </c>
      <c r="F2406">
        <v>48</v>
      </c>
      <c r="G2406">
        <v>20.452207900819602</v>
      </c>
    </row>
    <row r="2407" spans="1:7" x14ac:dyDescent="0.3">
      <c r="A2407" t="str">
        <f>IF(ISBLANK(B2407),"",IF(ROUND(B2407,0)=ROUND(G2407,0),"Pass","Fail"))</f>
        <v>Pass</v>
      </c>
      <c r="B2407">
        <f t="shared" si="139"/>
        <v>86.487998962402344</v>
      </c>
      <c r="C2407">
        <v>20</v>
      </c>
      <c r="D2407">
        <v>90</v>
      </c>
      <c r="E2407">
        <v>20</v>
      </c>
      <c r="F2407">
        <v>0</v>
      </c>
      <c r="G2407">
        <v>86.488</v>
      </c>
    </row>
    <row r="2408" spans="1:7" x14ac:dyDescent="0.3">
      <c r="A2408" t="str">
        <f>IF(ISBLANK(B2408),"",IF(ROUND(B2408,0)=ROUND(G2408,0),"Pass","Fail"))</f>
        <v>Pass</v>
      </c>
      <c r="B2408">
        <f t="shared" si="139"/>
        <v>53.151229858398438</v>
      </c>
      <c r="C2408">
        <v>20</v>
      </c>
      <c r="D2408">
        <v>90</v>
      </c>
      <c r="E2408">
        <v>20</v>
      </c>
      <c r="F2408">
        <v>8</v>
      </c>
      <c r="G2408">
        <v>53.151228080723001</v>
      </c>
    </row>
    <row r="2409" spans="1:7" x14ac:dyDescent="0.3">
      <c r="A2409" t="str">
        <f>IF(ISBLANK(B2409),"",IF(ROUND(B2409,0)=ROUND(G2409,0),"Pass","Fail"))</f>
        <v>Pass</v>
      </c>
      <c r="B2409">
        <f t="shared" si="139"/>
        <v>36.3699951171875</v>
      </c>
      <c r="C2409">
        <v>20</v>
      </c>
      <c r="D2409">
        <v>90</v>
      </c>
      <c r="E2409">
        <v>20</v>
      </c>
      <c r="F2409">
        <v>16</v>
      </c>
      <c r="G2409">
        <v>36.369997247101701</v>
      </c>
    </row>
    <row r="2410" spans="1:7" x14ac:dyDescent="0.3">
      <c r="A2410" t="str">
        <f>IF(ISBLANK(B2410),"",IF(ROUND(B2410,0)=ROUND(G2410,0),"Pass","Fail"))</f>
        <v>Pass</v>
      </c>
      <c r="B2410">
        <f t="shared" si="139"/>
        <v>27.922576904296875</v>
      </c>
      <c r="C2410">
        <v>20</v>
      </c>
      <c r="D2410">
        <v>90</v>
      </c>
      <c r="E2410">
        <v>20</v>
      </c>
      <c r="F2410">
        <v>24</v>
      </c>
      <c r="G2410">
        <v>27.9225774137362</v>
      </c>
    </row>
    <row r="2411" spans="1:7" x14ac:dyDescent="0.3">
      <c r="A2411" t="str">
        <f>IF(ISBLANK(B2411),"",IF(ROUND(B2411,0)=ROUND(G2411,0),"Pass","Fail"))</f>
        <v>Pass</v>
      </c>
      <c r="B2411">
        <f t="shared" si="139"/>
        <v>23.670272827148438</v>
      </c>
      <c r="C2411">
        <v>20</v>
      </c>
      <c r="D2411">
        <v>90</v>
      </c>
      <c r="E2411">
        <v>20</v>
      </c>
      <c r="F2411">
        <v>32</v>
      </c>
      <c r="G2411">
        <v>23.670273005994598</v>
      </c>
    </row>
    <row r="2412" spans="1:7" x14ac:dyDescent="0.3">
      <c r="A2412" t="str">
        <f>IF(ISBLANK(B2412),"",IF(ROUND(B2412,0)=ROUND(G2412,0),"Pass","Fail"))</f>
        <v>Pass</v>
      </c>
      <c r="B2412">
        <f t="shared" si="139"/>
        <v>21.529727935791016</v>
      </c>
      <c r="C2412">
        <v>20</v>
      </c>
      <c r="D2412">
        <v>90</v>
      </c>
      <c r="E2412">
        <v>20</v>
      </c>
      <c r="F2412">
        <v>40</v>
      </c>
      <c r="G2412">
        <v>21.529726764327101</v>
      </c>
    </row>
    <row r="2413" spans="1:7" x14ac:dyDescent="0.3">
      <c r="A2413" t="str">
        <f>IF(ISBLANK(B2413),"",IF(ROUND(B2413,0)=ROUND(G2413,0),"Pass","Fail"))</f>
        <v>Pass</v>
      </c>
      <c r="B2413">
        <f t="shared" si="139"/>
        <v>20.45220947265625</v>
      </c>
      <c r="C2413">
        <v>20</v>
      </c>
      <c r="D2413">
        <v>90</v>
      </c>
      <c r="E2413">
        <v>20</v>
      </c>
      <c r="F2413">
        <v>48</v>
      </c>
      <c r="G2413">
        <v>20.452207900819701</v>
      </c>
    </row>
    <row r="2414" spans="1:7" x14ac:dyDescent="0.3">
      <c r="A2414" t="str">
        <f>IF(ISBLANK(B2414),"",IF(ROUND(B2414,0)=ROUND(G2414,0),"Pass","Fail"))</f>
        <v>Pass</v>
      </c>
      <c r="B2414">
        <f t="shared" si="139"/>
        <v>86.487998962402344</v>
      </c>
      <c r="C2414">
        <v>20</v>
      </c>
      <c r="D2414">
        <v>90</v>
      </c>
      <c r="E2414">
        <v>30</v>
      </c>
      <c r="F2414">
        <v>0</v>
      </c>
      <c r="G2414">
        <v>86.488</v>
      </c>
    </row>
    <row r="2415" spans="1:7" x14ac:dyDescent="0.3">
      <c r="A2415" t="str">
        <f>IF(ISBLANK(B2415),"",IF(ROUND(B2415,0)=ROUND(G2415,0),"Pass","Fail"))</f>
        <v>Pass</v>
      </c>
      <c r="B2415">
        <f t="shared" si="139"/>
        <v>53.151229858398438</v>
      </c>
      <c r="C2415">
        <v>20</v>
      </c>
      <c r="D2415">
        <v>90</v>
      </c>
      <c r="E2415">
        <v>30</v>
      </c>
      <c r="F2415">
        <v>8</v>
      </c>
      <c r="G2415">
        <v>53.151228080723001</v>
      </c>
    </row>
    <row r="2416" spans="1:7" x14ac:dyDescent="0.3">
      <c r="A2416" t="str">
        <f>IF(ISBLANK(B2416),"",IF(ROUND(B2416,0)=ROUND(G2416,0),"Pass","Fail"))</f>
        <v>Pass</v>
      </c>
      <c r="B2416">
        <f t="shared" si="139"/>
        <v>36.3699951171875</v>
      </c>
      <c r="C2416">
        <v>20</v>
      </c>
      <c r="D2416">
        <v>90</v>
      </c>
      <c r="E2416">
        <v>30</v>
      </c>
      <c r="F2416">
        <v>16</v>
      </c>
      <c r="G2416">
        <v>36.369997247101701</v>
      </c>
    </row>
    <row r="2417" spans="1:7" x14ac:dyDescent="0.3">
      <c r="A2417" t="str">
        <f>IF(ISBLANK(B2417),"",IF(ROUND(B2417,0)=ROUND(G2417,0),"Pass","Fail"))</f>
        <v>Pass</v>
      </c>
      <c r="B2417">
        <f t="shared" si="139"/>
        <v>27.922576904296875</v>
      </c>
      <c r="C2417">
        <v>20</v>
      </c>
      <c r="D2417">
        <v>90</v>
      </c>
      <c r="E2417">
        <v>30</v>
      </c>
      <c r="F2417">
        <v>24</v>
      </c>
      <c r="G2417">
        <v>27.9225774137362</v>
      </c>
    </row>
    <row r="2418" spans="1:7" x14ac:dyDescent="0.3">
      <c r="A2418" t="str">
        <f>IF(ISBLANK(B2418),"",IF(ROUND(B2418,0)=ROUND(G2418,0),"Pass","Fail"))</f>
        <v>Pass</v>
      </c>
      <c r="B2418">
        <f t="shared" si="139"/>
        <v>23.670272827148438</v>
      </c>
      <c r="C2418">
        <v>20</v>
      </c>
      <c r="D2418">
        <v>90</v>
      </c>
      <c r="E2418">
        <v>30</v>
      </c>
      <c r="F2418">
        <v>32</v>
      </c>
      <c r="G2418">
        <v>23.670273005994598</v>
      </c>
    </row>
    <row r="2419" spans="1:7" x14ac:dyDescent="0.3">
      <c r="A2419" t="str">
        <f>IF(ISBLANK(B2419),"",IF(ROUND(B2419,0)=ROUND(G2419,0),"Pass","Fail"))</f>
        <v>Pass</v>
      </c>
      <c r="B2419">
        <f t="shared" si="139"/>
        <v>21.529727935791016</v>
      </c>
      <c r="C2419">
        <v>20</v>
      </c>
      <c r="D2419">
        <v>90</v>
      </c>
      <c r="E2419">
        <v>30</v>
      </c>
      <c r="F2419">
        <v>40</v>
      </c>
      <c r="G2419">
        <v>21.529726764327101</v>
      </c>
    </row>
    <row r="2420" spans="1:7" x14ac:dyDescent="0.3">
      <c r="A2420" t="str">
        <f>IF(ISBLANK(B2420),"",IF(ROUND(B2420,0)=ROUND(G2420,0),"Pass","Fail"))</f>
        <v>Pass</v>
      </c>
      <c r="B2420">
        <f t="shared" si="139"/>
        <v>20.45220947265625</v>
      </c>
      <c r="C2420">
        <v>20</v>
      </c>
      <c r="D2420">
        <v>90</v>
      </c>
      <c r="E2420">
        <v>30</v>
      </c>
      <c r="F2420">
        <v>48</v>
      </c>
      <c r="G2420">
        <v>20.452207900819701</v>
      </c>
    </row>
    <row r="2421" spans="1:7" x14ac:dyDescent="0.3">
      <c r="A2421" t="str">
        <f>IF(ISBLANK(B2421),"",IF(ROUND(B2421,0)=ROUND(G2421,0),"Pass","Fail"))</f>
        <v>Pass</v>
      </c>
      <c r="B2421">
        <f t="shared" si="139"/>
        <v>86.487998962402344</v>
      </c>
      <c r="C2421">
        <v>20</v>
      </c>
      <c r="D2421">
        <v>90</v>
      </c>
      <c r="E2421">
        <v>40</v>
      </c>
      <c r="F2421">
        <v>0</v>
      </c>
      <c r="G2421">
        <v>86.488</v>
      </c>
    </row>
    <row r="2422" spans="1:7" x14ac:dyDescent="0.3">
      <c r="A2422" t="str">
        <f>IF(ISBLANK(B2422),"",IF(ROUND(B2422,0)=ROUND(G2422,0),"Pass","Fail"))</f>
        <v>Pass</v>
      </c>
      <c r="B2422">
        <f t="shared" si="139"/>
        <v>53.151229858398438</v>
      </c>
      <c r="C2422">
        <v>20</v>
      </c>
      <c r="D2422">
        <v>90</v>
      </c>
      <c r="E2422">
        <v>40</v>
      </c>
      <c r="F2422">
        <v>8</v>
      </c>
      <c r="G2422">
        <v>53.151228080723001</v>
      </c>
    </row>
    <row r="2423" spans="1:7" x14ac:dyDescent="0.3">
      <c r="A2423" t="str">
        <f>IF(ISBLANK(B2423),"",IF(ROUND(B2423,0)=ROUND(G2423,0),"Pass","Fail"))</f>
        <v>Pass</v>
      </c>
      <c r="B2423">
        <f t="shared" si="139"/>
        <v>36.3699951171875</v>
      </c>
      <c r="C2423">
        <v>20</v>
      </c>
      <c r="D2423">
        <v>90</v>
      </c>
      <c r="E2423">
        <v>40</v>
      </c>
      <c r="F2423">
        <v>16</v>
      </c>
      <c r="G2423">
        <v>36.369997247101701</v>
      </c>
    </row>
    <row r="2424" spans="1:7" x14ac:dyDescent="0.3">
      <c r="A2424" t="str">
        <f>IF(ISBLANK(B2424),"",IF(ROUND(B2424,0)=ROUND(G2424,0),"Pass","Fail"))</f>
        <v>Pass</v>
      </c>
      <c r="B2424">
        <f t="shared" si="139"/>
        <v>27.922576904296875</v>
      </c>
      <c r="C2424">
        <v>20</v>
      </c>
      <c r="D2424">
        <v>90</v>
      </c>
      <c r="E2424">
        <v>40</v>
      </c>
      <c r="F2424">
        <v>24</v>
      </c>
      <c r="G2424">
        <v>27.9225774137362</v>
      </c>
    </row>
    <row r="2425" spans="1:7" x14ac:dyDescent="0.3">
      <c r="A2425" t="str">
        <f>IF(ISBLANK(B2425),"",IF(ROUND(B2425,0)=ROUND(G2425,0),"Pass","Fail"))</f>
        <v>Pass</v>
      </c>
      <c r="B2425">
        <f t="shared" si="139"/>
        <v>23.670272827148438</v>
      </c>
      <c r="C2425">
        <v>20</v>
      </c>
      <c r="D2425">
        <v>90</v>
      </c>
      <c r="E2425">
        <v>40</v>
      </c>
      <c r="F2425">
        <v>32</v>
      </c>
      <c r="G2425">
        <v>23.670273005994598</v>
      </c>
    </row>
    <row r="2426" spans="1:7" x14ac:dyDescent="0.3">
      <c r="A2426" t="str">
        <f>IF(ISBLANK(B2426),"",IF(ROUND(B2426,0)=ROUND(G2426,0),"Pass","Fail"))</f>
        <v>Pass</v>
      </c>
      <c r="B2426">
        <f t="shared" si="139"/>
        <v>21.529727935791016</v>
      </c>
      <c r="C2426">
        <v>20</v>
      </c>
      <c r="D2426">
        <v>90</v>
      </c>
      <c r="E2426">
        <v>40</v>
      </c>
      <c r="F2426">
        <v>40</v>
      </c>
      <c r="G2426">
        <v>21.529726764327101</v>
      </c>
    </row>
    <row r="2427" spans="1:7" x14ac:dyDescent="0.3">
      <c r="A2427" t="str">
        <f>IF(ISBLANK(B2427),"",IF(ROUND(B2427,0)=ROUND(G2427,0),"Pass","Fail"))</f>
        <v>Pass</v>
      </c>
      <c r="B2427">
        <f t="shared" si="139"/>
        <v>20.45220947265625</v>
      </c>
      <c r="C2427">
        <v>20</v>
      </c>
      <c r="D2427">
        <v>90</v>
      </c>
      <c r="E2427">
        <v>40</v>
      </c>
      <c r="F2427">
        <v>48</v>
      </c>
      <c r="G2427">
        <v>20.452207900819701</v>
      </c>
    </row>
    <row r="2428" spans="1:7" x14ac:dyDescent="0.3">
      <c r="A2428" t="str">
        <f>IF(ISBLANK(B2428),"",IF(ROUND(B2428,0)=ROUND(G2428,0),"Pass","Fail"))</f>
        <v>Pass</v>
      </c>
      <c r="B2428">
        <f t="shared" si="139"/>
        <v>86.487998962402344</v>
      </c>
      <c r="C2428">
        <v>20</v>
      </c>
      <c r="D2428">
        <v>90</v>
      </c>
      <c r="E2428">
        <v>50</v>
      </c>
      <c r="F2428">
        <v>0</v>
      </c>
      <c r="G2428">
        <v>86.488</v>
      </c>
    </row>
    <row r="2429" spans="1:7" x14ac:dyDescent="0.3">
      <c r="A2429" t="str">
        <f>IF(ISBLANK(B2429),"",IF(ROUND(B2429,0)=ROUND(G2429,0),"Pass","Fail"))</f>
        <v>Pass</v>
      </c>
      <c r="B2429">
        <f t="shared" si="139"/>
        <v>53.151229858398438</v>
      </c>
      <c r="C2429">
        <v>20</v>
      </c>
      <c r="D2429">
        <v>90</v>
      </c>
      <c r="E2429">
        <v>50</v>
      </c>
      <c r="F2429">
        <v>8</v>
      </c>
      <c r="G2429">
        <v>53.151228080723001</v>
      </c>
    </row>
    <row r="2430" spans="1:7" x14ac:dyDescent="0.3">
      <c r="A2430" t="str">
        <f>IF(ISBLANK(B2430),"",IF(ROUND(B2430,0)=ROUND(G2430,0),"Pass","Fail"))</f>
        <v>Pass</v>
      </c>
      <c r="B2430">
        <f t="shared" si="139"/>
        <v>36.3699951171875</v>
      </c>
      <c r="C2430">
        <v>20</v>
      </c>
      <c r="D2430">
        <v>90</v>
      </c>
      <c r="E2430">
        <v>50</v>
      </c>
      <c r="F2430">
        <v>16</v>
      </c>
      <c r="G2430">
        <v>36.369997247101701</v>
      </c>
    </row>
    <row r="2431" spans="1:7" x14ac:dyDescent="0.3">
      <c r="A2431" t="str">
        <f>IF(ISBLANK(B2431),"",IF(ROUND(B2431,0)=ROUND(G2431,0),"Pass","Fail"))</f>
        <v>Pass</v>
      </c>
      <c r="B2431">
        <f t="shared" si="139"/>
        <v>27.922576904296875</v>
      </c>
      <c r="C2431">
        <v>20</v>
      </c>
      <c r="D2431">
        <v>90</v>
      </c>
      <c r="E2431">
        <v>50</v>
      </c>
      <c r="F2431">
        <v>24</v>
      </c>
      <c r="G2431">
        <v>27.9225774137362</v>
      </c>
    </row>
    <row r="2432" spans="1:7" x14ac:dyDescent="0.3">
      <c r="A2432" t="str">
        <f>IF(ISBLANK(B2432),"",IF(ROUND(B2432,0)=ROUND(G2432,0),"Pass","Fail"))</f>
        <v>Pass</v>
      </c>
      <c r="B2432">
        <f t="shared" si="139"/>
        <v>23.670272827148438</v>
      </c>
      <c r="C2432">
        <v>20</v>
      </c>
      <c r="D2432">
        <v>90</v>
      </c>
      <c r="E2432">
        <v>50</v>
      </c>
      <c r="F2432">
        <v>32</v>
      </c>
      <c r="G2432">
        <v>23.670273005994598</v>
      </c>
    </row>
    <row r="2433" spans="1:7" x14ac:dyDescent="0.3">
      <c r="A2433" t="str">
        <f>IF(ISBLANK(B2433),"",IF(ROUND(B2433,0)=ROUND(G2433,0),"Pass","Fail"))</f>
        <v>Pass</v>
      </c>
      <c r="B2433">
        <f t="shared" si="139"/>
        <v>21.529727935791016</v>
      </c>
      <c r="C2433">
        <v>20</v>
      </c>
      <c r="D2433">
        <v>90</v>
      </c>
      <c r="E2433">
        <v>50</v>
      </c>
      <c r="F2433">
        <v>40</v>
      </c>
      <c r="G2433">
        <v>21.529726764327101</v>
      </c>
    </row>
    <row r="2434" spans="1:7" x14ac:dyDescent="0.3">
      <c r="A2434" t="str">
        <f>IF(ISBLANK(B2434),"",IF(ROUND(B2434,0)=ROUND(G2434,0),"Pass","Fail"))</f>
        <v>Pass</v>
      </c>
      <c r="B2434">
        <f t="shared" si="139"/>
        <v>20.45220947265625</v>
      </c>
      <c r="C2434">
        <v>20</v>
      </c>
      <c r="D2434">
        <v>90</v>
      </c>
      <c r="E2434">
        <v>50</v>
      </c>
      <c r="F2434">
        <v>48</v>
      </c>
      <c r="G2434">
        <v>20.452207900819701</v>
      </c>
    </row>
    <row r="2435" spans="1:7" x14ac:dyDescent="0.3">
      <c r="A2435" t="str">
        <f>IF(ISBLANK(B2435),"",IF(ROUND(B2435,0)=ROUND(G2435,0),"Pass","Fail"))</f>
        <v>Pass</v>
      </c>
      <c r="B2435">
        <f t="shared" si="139"/>
        <v>86.487998962402344</v>
      </c>
      <c r="C2435">
        <v>20</v>
      </c>
      <c r="D2435">
        <v>90</v>
      </c>
      <c r="E2435">
        <v>60</v>
      </c>
      <c r="F2435">
        <v>0</v>
      </c>
      <c r="G2435">
        <v>86.488</v>
      </c>
    </row>
    <row r="2436" spans="1:7" x14ac:dyDescent="0.3">
      <c r="A2436" t="str">
        <f>IF(ISBLANK(B2436),"",IF(ROUND(B2436,0)=ROUND(G2436,0),"Pass","Fail"))</f>
        <v>Pass</v>
      </c>
      <c r="B2436">
        <f t="shared" si="139"/>
        <v>53.151229858398438</v>
      </c>
      <c r="C2436">
        <v>20</v>
      </c>
      <c r="D2436">
        <v>90</v>
      </c>
      <c r="E2436">
        <v>60</v>
      </c>
      <c r="F2436">
        <v>8</v>
      </c>
      <c r="G2436">
        <v>53.151228080723001</v>
      </c>
    </row>
    <row r="2437" spans="1:7" x14ac:dyDescent="0.3">
      <c r="A2437" t="str">
        <f>IF(ISBLANK(B2437),"",IF(ROUND(B2437,0)=ROUND(G2437,0),"Pass","Fail"))</f>
        <v>Pass</v>
      </c>
      <c r="B2437">
        <f t="shared" si="139"/>
        <v>36.3699951171875</v>
      </c>
      <c r="C2437">
        <v>20</v>
      </c>
      <c r="D2437">
        <v>90</v>
      </c>
      <c r="E2437">
        <v>60</v>
      </c>
      <c r="F2437">
        <v>16</v>
      </c>
      <c r="G2437">
        <v>36.369997247101701</v>
      </c>
    </row>
    <row r="2438" spans="1:7" x14ac:dyDescent="0.3">
      <c r="A2438" t="str">
        <f>IF(ISBLANK(B2438),"",IF(ROUND(B2438,0)=ROUND(G2438,0),"Pass","Fail"))</f>
        <v>Pass</v>
      </c>
      <c r="B2438">
        <f t="shared" si="139"/>
        <v>27.922576904296875</v>
      </c>
      <c r="C2438">
        <v>20</v>
      </c>
      <c r="D2438">
        <v>90</v>
      </c>
      <c r="E2438">
        <v>60</v>
      </c>
      <c r="F2438">
        <v>24</v>
      </c>
      <c r="G2438">
        <v>27.9225774137362</v>
      </c>
    </row>
    <row r="2439" spans="1:7" x14ac:dyDescent="0.3">
      <c r="A2439" t="str">
        <f>IF(ISBLANK(B2439),"",IF(ROUND(B2439,0)=ROUND(G2439,0),"Pass","Fail"))</f>
        <v>Pass</v>
      </c>
      <c r="B2439">
        <f t="shared" ref="B2439:B2502" si="140">FMC_heath(C2439,D2439,E2439,F2439)</f>
        <v>23.670272827148438</v>
      </c>
      <c r="C2439">
        <v>20</v>
      </c>
      <c r="D2439">
        <v>90</v>
      </c>
      <c r="E2439">
        <v>60</v>
      </c>
      <c r="F2439">
        <v>32</v>
      </c>
      <c r="G2439">
        <v>23.670273005994598</v>
      </c>
    </row>
    <row r="2440" spans="1:7" x14ac:dyDescent="0.3">
      <c r="A2440" t="str">
        <f>IF(ISBLANK(B2440),"",IF(ROUND(B2440,0)=ROUND(G2440,0),"Pass","Fail"))</f>
        <v>Pass</v>
      </c>
      <c r="B2440">
        <f t="shared" si="140"/>
        <v>21.529727935791016</v>
      </c>
      <c r="C2440">
        <v>20</v>
      </c>
      <c r="D2440">
        <v>90</v>
      </c>
      <c r="E2440">
        <v>60</v>
      </c>
      <c r="F2440">
        <v>40</v>
      </c>
      <c r="G2440">
        <v>21.529726764327101</v>
      </c>
    </row>
    <row r="2441" spans="1:7" x14ac:dyDescent="0.3">
      <c r="A2441" t="str">
        <f>IF(ISBLANK(B2441),"",IF(ROUND(B2441,0)=ROUND(G2441,0),"Pass","Fail"))</f>
        <v>Pass</v>
      </c>
      <c r="B2441">
        <f t="shared" si="140"/>
        <v>20.45220947265625</v>
      </c>
      <c r="C2441">
        <v>20</v>
      </c>
      <c r="D2441">
        <v>90</v>
      </c>
      <c r="E2441">
        <v>60</v>
      </c>
      <c r="F2441">
        <v>48</v>
      </c>
      <c r="G2441">
        <v>20.452207900819701</v>
      </c>
    </row>
    <row r="2442" spans="1:7" x14ac:dyDescent="0.3">
      <c r="A2442" t="str">
        <f>IF(ISBLANK(B2442),"",IF(ROUND(B2442,0)=ROUND(G2442,0),"Pass","Fail"))</f>
        <v>Pass</v>
      </c>
      <c r="B2442">
        <f t="shared" si="140"/>
        <v>86.487998962402344</v>
      </c>
      <c r="C2442">
        <v>20</v>
      </c>
      <c r="D2442">
        <v>90</v>
      </c>
      <c r="E2442">
        <v>70</v>
      </c>
      <c r="F2442">
        <v>0</v>
      </c>
      <c r="G2442">
        <v>86.488</v>
      </c>
    </row>
    <row r="2443" spans="1:7" x14ac:dyDescent="0.3">
      <c r="A2443" t="str">
        <f>IF(ISBLANK(B2443),"",IF(ROUND(B2443,0)=ROUND(G2443,0),"Pass","Fail"))</f>
        <v>Pass</v>
      </c>
      <c r="B2443">
        <f t="shared" si="140"/>
        <v>53.151229858398438</v>
      </c>
      <c r="C2443">
        <v>20</v>
      </c>
      <c r="D2443">
        <v>90</v>
      </c>
      <c r="E2443">
        <v>70</v>
      </c>
      <c r="F2443">
        <v>8</v>
      </c>
      <c r="G2443">
        <v>53.151228080723001</v>
      </c>
    </row>
    <row r="2444" spans="1:7" x14ac:dyDescent="0.3">
      <c r="A2444" t="str">
        <f>IF(ISBLANK(B2444),"",IF(ROUND(B2444,0)=ROUND(G2444,0),"Pass","Fail"))</f>
        <v>Pass</v>
      </c>
      <c r="B2444">
        <f t="shared" si="140"/>
        <v>36.3699951171875</v>
      </c>
      <c r="C2444">
        <v>20</v>
      </c>
      <c r="D2444">
        <v>90</v>
      </c>
      <c r="E2444">
        <v>70</v>
      </c>
      <c r="F2444">
        <v>16</v>
      </c>
      <c r="G2444">
        <v>36.369997247101701</v>
      </c>
    </row>
    <row r="2445" spans="1:7" x14ac:dyDescent="0.3">
      <c r="A2445" t="str">
        <f>IF(ISBLANK(B2445),"",IF(ROUND(B2445,0)=ROUND(G2445,0),"Pass","Fail"))</f>
        <v>Pass</v>
      </c>
      <c r="B2445">
        <f t="shared" si="140"/>
        <v>27.922576904296875</v>
      </c>
      <c r="C2445">
        <v>20</v>
      </c>
      <c r="D2445">
        <v>90</v>
      </c>
      <c r="E2445">
        <v>70</v>
      </c>
      <c r="F2445">
        <v>24</v>
      </c>
      <c r="G2445">
        <v>27.9225774137362</v>
      </c>
    </row>
    <row r="2446" spans="1:7" x14ac:dyDescent="0.3">
      <c r="A2446" t="str">
        <f>IF(ISBLANK(B2446),"",IF(ROUND(B2446,0)=ROUND(G2446,0),"Pass","Fail"))</f>
        <v>Pass</v>
      </c>
      <c r="B2446">
        <f t="shared" si="140"/>
        <v>23.670272827148438</v>
      </c>
      <c r="C2446">
        <v>20</v>
      </c>
      <c r="D2446">
        <v>90</v>
      </c>
      <c r="E2446">
        <v>70</v>
      </c>
      <c r="F2446">
        <v>32</v>
      </c>
      <c r="G2446">
        <v>23.670273005994598</v>
      </c>
    </row>
    <row r="2447" spans="1:7" x14ac:dyDescent="0.3">
      <c r="A2447" t="str">
        <f>IF(ISBLANK(B2447),"",IF(ROUND(B2447,0)=ROUND(G2447,0),"Pass","Fail"))</f>
        <v>Pass</v>
      </c>
      <c r="B2447">
        <f t="shared" si="140"/>
        <v>21.529727935791016</v>
      </c>
      <c r="C2447">
        <v>20</v>
      </c>
      <c r="D2447">
        <v>90</v>
      </c>
      <c r="E2447">
        <v>70</v>
      </c>
      <c r="F2447">
        <v>40</v>
      </c>
      <c r="G2447">
        <v>21.529726764327101</v>
      </c>
    </row>
    <row r="2448" spans="1:7" x14ac:dyDescent="0.3">
      <c r="A2448" t="str">
        <f>IF(ISBLANK(B2448),"",IF(ROUND(B2448,0)=ROUND(G2448,0),"Pass","Fail"))</f>
        <v>Pass</v>
      </c>
      <c r="B2448">
        <f t="shared" si="140"/>
        <v>20.45220947265625</v>
      </c>
      <c r="C2448">
        <v>20</v>
      </c>
      <c r="D2448">
        <v>90</v>
      </c>
      <c r="E2448">
        <v>70</v>
      </c>
      <c r="F2448">
        <v>48</v>
      </c>
      <c r="G2448">
        <v>20.452207900819701</v>
      </c>
    </row>
    <row r="2449" spans="1:7" x14ac:dyDescent="0.3">
      <c r="A2449" t="str">
        <f>IF(ISBLANK(B2449),"",IF(ROUND(B2449,0)=ROUND(G2449,0),"Pass","Fail"))</f>
        <v>Pass</v>
      </c>
      <c r="B2449">
        <f t="shared" si="140"/>
        <v>86.487998962402344</v>
      </c>
      <c r="C2449">
        <v>20</v>
      </c>
      <c r="D2449">
        <v>90</v>
      </c>
      <c r="E2449">
        <v>80</v>
      </c>
      <c r="F2449">
        <v>0</v>
      </c>
      <c r="G2449">
        <v>86.488</v>
      </c>
    </row>
    <row r="2450" spans="1:7" x14ac:dyDescent="0.3">
      <c r="A2450" t="str">
        <f>IF(ISBLANK(B2450),"",IF(ROUND(B2450,0)=ROUND(G2450,0),"Pass","Fail"))</f>
        <v>Pass</v>
      </c>
      <c r="B2450">
        <f t="shared" si="140"/>
        <v>53.151229858398438</v>
      </c>
      <c r="C2450">
        <v>20</v>
      </c>
      <c r="D2450">
        <v>90</v>
      </c>
      <c r="E2450">
        <v>80</v>
      </c>
      <c r="F2450">
        <v>8</v>
      </c>
      <c r="G2450">
        <v>53.151228080723001</v>
      </c>
    </row>
    <row r="2451" spans="1:7" x14ac:dyDescent="0.3">
      <c r="A2451" t="str">
        <f>IF(ISBLANK(B2451),"",IF(ROUND(B2451,0)=ROUND(G2451,0),"Pass","Fail"))</f>
        <v>Pass</v>
      </c>
      <c r="B2451">
        <f t="shared" si="140"/>
        <v>36.3699951171875</v>
      </c>
      <c r="C2451">
        <v>20</v>
      </c>
      <c r="D2451">
        <v>90</v>
      </c>
      <c r="E2451">
        <v>80</v>
      </c>
      <c r="F2451">
        <v>16</v>
      </c>
      <c r="G2451">
        <v>36.369997247101701</v>
      </c>
    </row>
    <row r="2452" spans="1:7" x14ac:dyDescent="0.3">
      <c r="A2452" t="str">
        <f>IF(ISBLANK(B2452),"",IF(ROUND(B2452,0)=ROUND(G2452,0),"Pass","Fail"))</f>
        <v>Pass</v>
      </c>
      <c r="B2452">
        <f t="shared" si="140"/>
        <v>27.922576904296875</v>
      </c>
      <c r="C2452">
        <v>20</v>
      </c>
      <c r="D2452">
        <v>90</v>
      </c>
      <c r="E2452">
        <v>80</v>
      </c>
      <c r="F2452">
        <v>24</v>
      </c>
      <c r="G2452">
        <v>27.9225774137362</v>
      </c>
    </row>
    <row r="2453" spans="1:7" x14ac:dyDescent="0.3">
      <c r="A2453" t="str">
        <f>IF(ISBLANK(B2453),"",IF(ROUND(B2453,0)=ROUND(G2453,0),"Pass","Fail"))</f>
        <v>Pass</v>
      </c>
      <c r="B2453">
        <f t="shared" si="140"/>
        <v>23.670272827148438</v>
      </c>
      <c r="C2453">
        <v>20</v>
      </c>
      <c r="D2453">
        <v>90</v>
      </c>
      <c r="E2453">
        <v>80</v>
      </c>
      <c r="F2453">
        <v>32</v>
      </c>
      <c r="G2453">
        <v>23.670273005994598</v>
      </c>
    </row>
    <row r="2454" spans="1:7" x14ac:dyDescent="0.3">
      <c r="A2454" t="str">
        <f>IF(ISBLANK(B2454),"",IF(ROUND(B2454,0)=ROUND(G2454,0),"Pass","Fail"))</f>
        <v>Pass</v>
      </c>
      <c r="B2454">
        <f t="shared" si="140"/>
        <v>21.529727935791016</v>
      </c>
      <c r="C2454">
        <v>20</v>
      </c>
      <c r="D2454">
        <v>90</v>
      </c>
      <c r="E2454">
        <v>80</v>
      </c>
      <c r="F2454">
        <v>40</v>
      </c>
      <c r="G2454">
        <v>21.529726764327101</v>
      </c>
    </row>
    <row r="2455" spans="1:7" x14ac:dyDescent="0.3">
      <c r="A2455" t="str">
        <f>IF(ISBLANK(B2455),"",IF(ROUND(B2455,0)=ROUND(G2455,0),"Pass","Fail"))</f>
        <v>Pass</v>
      </c>
      <c r="B2455">
        <f t="shared" si="140"/>
        <v>20.45220947265625</v>
      </c>
      <c r="C2455">
        <v>20</v>
      </c>
      <c r="D2455">
        <v>90</v>
      </c>
      <c r="E2455">
        <v>80</v>
      </c>
      <c r="F2455">
        <v>48</v>
      </c>
      <c r="G2455">
        <v>20.452207900819701</v>
      </c>
    </row>
    <row r="2456" spans="1:7" x14ac:dyDescent="0.3">
      <c r="A2456" t="str">
        <f>IF(ISBLANK(B2456),"",IF(ROUND(B2456,0)=ROUND(G2456,0),"Pass","Fail"))</f>
        <v>Pass</v>
      </c>
      <c r="B2456">
        <f t="shared" si="140"/>
        <v>86.487998962402344</v>
      </c>
      <c r="C2456">
        <v>20</v>
      </c>
      <c r="D2456">
        <v>90</v>
      </c>
      <c r="E2456">
        <v>90</v>
      </c>
      <c r="F2456">
        <v>0</v>
      </c>
      <c r="G2456">
        <v>86.488</v>
      </c>
    </row>
    <row r="2457" spans="1:7" x14ac:dyDescent="0.3">
      <c r="A2457" t="str">
        <f>IF(ISBLANK(B2457),"",IF(ROUND(B2457,0)=ROUND(G2457,0),"Pass","Fail"))</f>
        <v>Pass</v>
      </c>
      <c r="B2457">
        <f t="shared" si="140"/>
        <v>53.151229858398438</v>
      </c>
      <c r="C2457">
        <v>20</v>
      </c>
      <c r="D2457">
        <v>90</v>
      </c>
      <c r="E2457">
        <v>90</v>
      </c>
      <c r="F2457">
        <v>8</v>
      </c>
      <c r="G2457">
        <v>53.151228080723001</v>
      </c>
    </row>
    <row r="2458" spans="1:7" x14ac:dyDescent="0.3">
      <c r="A2458" t="str">
        <f>IF(ISBLANK(B2458),"",IF(ROUND(B2458,0)=ROUND(G2458,0),"Pass","Fail"))</f>
        <v>Pass</v>
      </c>
      <c r="B2458">
        <f t="shared" si="140"/>
        <v>36.3699951171875</v>
      </c>
      <c r="C2458">
        <v>20</v>
      </c>
      <c r="D2458">
        <v>90</v>
      </c>
      <c r="E2458">
        <v>90</v>
      </c>
      <c r="F2458">
        <v>16</v>
      </c>
      <c r="G2458">
        <v>36.369997247101701</v>
      </c>
    </row>
    <row r="2459" spans="1:7" x14ac:dyDescent="0.3">
      <c r="A2459" t="str">
        <f>IF(ISBLANK(B2459),"",IF(ROUND(B2459,0)=ROUND(G2459,0),"Pass","Fail"))</f>
        <v>Pass</v>
      </c>
      <c r="B2459">
        <f t="shared" si="140"/>
        <v>27.922576904296875</v>
      </c>
      <c r="C2459">
        <v>20</v>
      </c>
      <c r="D2459">
        <v>90</v>
      </c>
      <c r="E2459">
        <v>90</v>
      </c>
      <c r="F2459">
        <v>24</v>
      </c>
      <c r="G2459">
        <v>27.9225774137362</v>
      </c>
    </row>
    <row r="2460" spans="1:7" x14ac:dyDescent="0.3">
      <c r="A2460" t="str">
        <f>IF(ISBLANK(B2460),"",IF(ROUND(B2460,0)=ROUND(G2460,0),"Pass","Fail"))</f>
        <v>Pass</v>
      </c>
      <c r="B2460">
        <f t="shared" si="140"/>
        <v>23.670272827148438</v>
      </c>
      <c r="C2460">
        <v>20</v>
      </c>
      <c r="D2460">
        <v>90</v>
      </c>
      <c r="E2460">
        <v>90</v>
      </c>
      <c r="F2460">
        <v>32</v>
      </c>
      <c r="G2460">
        <v>23.670273005994598</v>
      </c>
    </row>
    <row r="2461" spans="1:7" x14ac:dyDescent="0.3">
      <c r="A2461" t="str">
        <f>IF(ISBLANK(B2461),"",IF(ROUND(B2461,0)=ROUND(G2461,0),"Pass","Fail"))</f>
        <v>Pass</v>
      </c>
      <c r="B2461">
        <f t="shared" si="140"/>
        <v>21.529727935791016</v>
      </c>
      <c r="C2461">
        <v>20</v>
      </c>
      <c r="D2461">
        <v>90</v>
      </c>
      <c r="E2461">
        <v>90</v>
      </c>
      <c r="F2461">
        <v>40</v>
      </c>
      <c r="G2461">
        <v>21.529726764327101</v>
      </c>
    </row>
    <row r="2462" spans="1:7" x14ac:dyDescent="0.3">
      <c r="A2462" t="str">
        <f>IF(ISBLANK(B2462),"",IF(ROUND(B2462,0)=ROUND(G2462,0),"Pass","Fail"))</f>
        <v>Pass</v>
      </c>
      <c r="B2462">
        <f t="shared" si="140"/>
        <v>20.45220947265625</v>
      </c>
      <c r="C2462">
        <v>20</v>
      </c>
      <c r="D2462">
        <v>90</v>
      </c>
      <c r="E2462">
        <v>90</v>
      </c>
      <c r="F2462">
        <v>48</v>
      </c>
      <c r="G2462">
        <v>20.452207900819701</v>
      </c>
    </row>
    <row r="2463" spans="1:7" x14ac:dyDescent="0.3">
      <c r="A2463" t="str">
        <f>IF(ISBLANK(B2463),"",IF(ROUND(B2463,0)=ROUND(G2463,0),"Pass","Fail"))</f>
        <v>Pass</v>
      </c>
      <c r="B2463">
        <f t="shared" si="140"/>
        <v>86.487998962402344</v>
      </c>
      <c r="C2463">
        <v>20</v>
      </c>
      <c r="D2463">
        <v>90</v>
      </c>
      <c r="E2463">
        <v>100</v>
      </c>
      <c r="F2463">
        <v>0</v>
      </c>
      <c r="G2463">
        <v>86.488</v>
      </c>
    </row>
    <row r="2464" spans="1:7" x14ac:dyDescent="0.3">
      <c r="A2464" t="str">
        <f>IF(ISBLANK(B2464),"",IF(ROUND(B2464,0)=ROUND(G2464,0),"Pass","Fail"))</f>
        <v>Pass</v>
      </c>
      <c r="B2464">
        <f t="shared" si="140"/>
        <v>53.151229858398438</v>
      </c>
      <c r="C2464">
        <v>20</v>
      </c>
      <c r="D2464">
        <v>90</v>
      </c>
      <c r="E2464">
        <v>100</v>
      </c>
      <c r="F2464">
        <v>8</v>
      </c>
      <c r="G2464">
        <v>53.151228080723001</v>
      </c>
    </row>
    <row r="2465" spans="1:7" x14ac:dyDescent="0.3">
      <c r="A2465" t="str">
        <f>IF(ISBLANK(B2465),"",IF(ROUND(B2465,0)=ROUND(G2465,0),"Pass","Fail"))</f>
        <v>Pass</v>
      </c>
      <c r="B2465">
        <f t="shared" si="140"/>
        <v>36.3699951171875</v>
      </c>
      <c r="C2465">
        <v>20</v>
      </c>
      <c r="D2465">
        <v>90</v>
      </c>
      <c r="E2465">
        <v>100</v>
      </c>
      <c r="F2465">
        <v>16</v>
      </c>
      <c r="G2465">
        <v>36.369997247101701</v>
      </c>
    </row>
    <row r="2466" spans="1:7" x14ac:dyDescent="0.3">
      <c r="A2466" t="str">
        <f>IF(ISBLANK(B2466),"",IF(ROUND(B2466,0)=ROUND(G2466,0),"Pass","Fail"))</f>
        <v>Pass</v>
      </c>
      <c r="B2466">
        <f t="shared" si="140"/>
        <v>27.922576904296875</v>
      </c>
      <c r="C2466">
        <v>20</v>
      </c>
      <c r="D2466">
        <v>90</v>
      </c>
      <c r="E2466">
        <v>100</v>
      </c>
      <c r="F2466">
        <v>24</v>
      </c>
      <c r="G2466">
        <v>27.9225774137362</v>
      </c>
    </row>
    <row r="2467" spans="1:7" x14ac:dyDescent="0.3">
      <c r="A2467" t="str">
        <f>IF(ISBLANK(B2467),"",IF(ROUND(B2467,0)=ROUND(G2467,0),"Pass","Fail"))</f>
        <v>Pass</v>
      </c>
      <c r="B2467">
        <f t="shared" si="140"/>
        <v>23.670272827148438</v>
      </c>
      <c r="C2467">
        <v>20</v>
      </c>
      <c r="D2467">
        <v>90</v>
      </c>
      <c r="E2467">
        <v>100</v>
      </c>
      <c r="F2467">
        <v>32</v>
      </c>
      <c r="G2467">
        <v>23.670273005994598</v>
      </c>
    </row>
    <row r="2468" spans="1:7" x14ac:dyDescent="0.3">
      <c r="A2468" t="str">
        <f>IF(ISBLANK(B2468),"",IF(ROUND(B2468,0)=ROUND(G2468,0),"Pass","Fail"))</f>
        <v>Pass</v>
      </c>
      <c r="B2468">
        <f t="shared" si="140"/>
        <v>21.529727935791016</v>
      </c>
      <c r="C2468">
        <v>20</v>
      </c>
      <c r="D2468">
        <v>90</v>
      </c>
      <c r="E2468">
        <v>100</v>
      </c>
      <c r="F2468">
        <v>40</v>
      </c>
      <c r="G2468">
        <v>21.529726764327101</v>
      </c>
    </row>
    <row r="2469" spans="1:7" x14ac:dyDescent="0.3">
      <c r="A2469" t="str">
        <f>IF(ISBLANK(B2469),"",IF(ROUND(B2469,0)=ROUND(G2469,0),"Pass","Fail"))</f>
        <v>Pass</v>
      </c>
      <c r="B2469">
        <f t="shared" si="140"/>
        <v>20.45220947265625</v>
      </c>
      <c r="C2469">
        <v>20</v>
      </c>
      <c r="D2469">
        <v>90</v>
      </c>
      <c r="E2469">
        <v>100</v>
      </c>
      <c r="F2469">
        <v>48</v>
      </c>
      <c r="G2469">
        <v>20.452207900819701</v>
      </c>
    </row>
    <row r="2470" spans="1:7" x14ac:dyDescent="0.3">
      <c r="A2470" t="str">
        <f>IF(ISBLANK(B2470),"",IF(ROUND(B2470,0)=ROUND(G2470,0),"Pass","Fail"))</f>
        <v>Pass</v>
      </c>
      <c r="B2470">
        <f t="shared" si="140"/>
        <v>20.969999313354492</v>
      </c>
      <c r="C2470">
        <v>20</v>
      </c>
      <c r="D2470">
        <v>100</v>
      </c>
      <c r="E2470">
        <v>0</v>
      </c>
      <c r="F2470">
        <v>0</v>
      </c>
      <c r="G2470">
        <v>20.97</v>
      </c>
    </row>
    <row r="2471" spans="1:7" x14ac:dyDescent="0.3">
      <c r="A2471" t="str">
        <f>IF(ISBLANK(B2471),"",IF(ROUND(B2471,0)=ROUND(G2471,0),"Pass","Fail"))</f>
        <v>Pass</v>
      </c>
      <c r="B2471">
        <f t="shared" si="140"/>
        <v>20.969999313354492</v>
      </c>
      <c r="C2471">
        <v>20</v>
      </c>
      <c r="D2471">
        <v>100</v>
      </c>
      <c r="E2471">
        <v>0</v>
      </c>
      <c r="F2471">
        <v>8</v>
      </c>
      <c r="G2471">
        <v>20.97</v>
      </c>
    </row>
    <row r="2472" spans="1:7" x14ac:dyDescent="0.3">
      <c r="A2472" t="str">
        <f>IF(ISBLANK(B2472),"",IF(ROUND(B2472,0)=ROUND(G2472,0),"Pass","Fail"))</f>
        <v>Pass</v>
      </c>
      <c r="B2472">
        <f t="shared" si="140"/>
        <v>20.969999313354492</v>
      </c>
      <c r="C2472">
        <v>20</v>
      </c>
      <c r="D2472">
        <v>100</v>
      </c>
      <c r="E2472">
        <v>0</v>
      </c>
      <c r="F2472">
        <v>16</v>
      </c>
      <c r="G2472">
        <v>20.97</v>
      </c>
    </row>
    <row r="2473" spans="1:7" x14ac:dyDescent="0.3">
      <c r="A2473" t="str">
        <f>IF(ISBLANK(B2473),"",IF(ROUND(B2473,0)=ROUND(G2473,0),"Pass","Fail"))</f>
        <v>Pass</v>
      </c>
      <c r="B2473">
        <f t="shared" si="140"/>
        <v>20.969999313354492</v>
      </c>
      <c r="C2473">
        <v>20</v>
      </c>
      <c r="D2473">
        <v>100</v>
      </c>
      <c r="E2473">
        <v>0</v>
      </c>
      <c r="F2473">
        <v>24</v>
      </c>
      <c r="G2473">
        <v>20.97</v>
      </c>
    </row>
    <row r="2474" spans="1:7" x14ac:dyDescent="0.3">
      <c r="A2474" t="str">
        <f>IF(ISBLANK(B2474),"",IF(ROUND(B2474,0)=ROUND(G2474,0),"Pass","Fail"))</f>
        <v>Pass</v>
      </c>
      <c r="B2474">
        <f t="shared" si="140"/>
        <v>20.969999313354492</v>
      </c>
      <c r="C2474">
        <v>20</v>
      </c>
      <c r="D2474">
        <v>100</v>
      </c>
      <c r="E2474">
        <v>0</v>
      </c>
      <c r="F2474">
        <v>32</v>
      </c>
      <c r="G2474">
        <v>20.97</v>
      </c>
    </row>
    <row r="2475" spans="1:7" x14ac:dyDescent="0.3">
      <c r="A2475" t="str">
        <f>IF(ISBLANK(B2475),"",IF(ROUND(B2475,0)=ROUND(G2475,0),"Pass","Fail"))</f>
        <v>Pass</v>
      </c>
      <c r="B2475">
        <f t="shared" si="140"/>
        <v>20.969999313354492</v>
      </c>
      <c r="C2475">
        <v>20</v>
      </c>
      <c r="D2475">
        <v>100</v>
      </c>
      <c r="E2475">
        <v>0</v>
      </c>
      <c r="F2475">
        <v>40</v>
      </c>
      <c r="G2475">
        <v>20.97</v>
      </c>
    </row>
    <row r="2476" spans="1:7" x14ac:dyDescent="0.3">
      <c r="A2476" t="str">
        <f>IF(ISBLANK(B2476),"",IF(ROUND(B2476,0)=ROUND(G2476,0),"Pass","Fail"))</f>
        <v>Pass</v>
      </c>
      <c r="B2476">
        <f t="shared" si="140"/>
        <v>20.969999313354492</v>
      </c>
      <c r="C2476">
        <v>20</v>
      </c>
      <c r="D2476">
        <v>100</v>
      </c>
      <c r="E2476">
        <v>0</v>
      </c>
      <c r="F2476">
        <v>48</v>
      </c>
      <c r="G2476">
        <v>20.97</v>
      </c>
    </row>
    <row r="2477" spans="1:7" x14ac:dyDescent="0.3">
      <c r="A2477" t="str">
        <f>IF(ISBLANK(B2477),"",IF(ROUND(B2477,0)=ROUND(G2477,0),"Pass","Fail"))</f>
        <v>Pass</v>
      </c>
      <c r="B2477">
        <f t="shared" si="140"/>
        <v>88.097999572753906</v>
      </c>
      <c r="C2477">
        <v>20</v>
      </c>
      <c r="D2477">
        <v>100</v>
      </c>
      <c r="E2477">
        <v>10</v>
      </c>
      <c r="F2477">
        <v>0</v>
      </c>
      <c r="G2477">
        <v>88.097999999998294</v>
      </c>
    </row>
    <row r="2478" spans="1:7" x14ac:dyDescent="0.3">
      <c r="A2478" t="str">
        <f>IF(ISBLANK(B2478),"",IF(ROUND(B2478,0)=ROUND(G2478,0),"Pass","Fail"))</f>
        <v>Pass</v>
      </c>
      <c r="B2478">
        <f t="shared" si="140"/>
        <v>54.76123046875</v>
      </c>
      <c r="C2478">
        <v>20</v>
      </c>
      <c r="D2478">
        <v>100</v>
      </c>
      <c r="E2478">
        <v>10</v>
      </c>
      <c r="F2478">
        <v>8</v>
      </c>
      <c r="G2478">
        <v>54.761228080722198</v>
      </c>
    </row>
    <row r="2479" spans="1:7" x14ac:dyDescent="0.3">
      <c r="A2479" t="str">
        <f>IF(ISBLANK(B2479),"",IF(ROUND(B2479,0)=ROUND(G2479,0),"Pass","Fail"))</f>
        <v>Pass</v>
      </c>
      <c r="B2479">
        <f t="shared" si="140"/>
        <v>37.979995727539063</v>
      </c>
      <c r="C2479">
        <v>20</v>
      </c>
      <c r="D2479">
        <v>100</v>
      </c>
      <c r="E2479">
        <v>10</v>
      </c>
      <c r="F2479">
        <v>16</v>
      </c>
      <c r="G2479">
        <v>37.979997247101302</v>
      </c>
    </row>
    <row r="2480" spans="1:7" x14ac:dyDescent="0.3">
      <c r="A2480" t="str">
        <f>IF(ISBLANK(B2480),"",IF(ROUND(B2480,0)=ROUND(G2480,0),"Pass","Fail"))</f>
        <v>Pass</v>
      </c>
      <c r="B2480">
        <f t="shared" si="140"/>
        <v>29.532577514648438</v>
      </c>
      <c r="C2480">
        <v>20</v>
      </c>
      <c r="D2480">
        <v>100</v>
      </c>
      <c r="E2480">
        <v>10</v>
      </c>
      <c r="F2480">
        <v>24</v>
      </c>
      <c r="G2480">
        <v>29.532577413736</v>
      </c>
    </row>
    <row r="2481" spans="1:7" x14ac:dyDescent="0.3">
      <c r="A2481" t="str">
        <f>IF(ISBLANK(B2481),"",IF(ROUND(B2481,0)=ROUND(G2481,0),"Pass","Fail"))</f>
        <v>Pass</v>
      </c>
      <c r="B2481">
        <f t="shared" si="140"/>
        <v>25.2802734375</v>
      </c>
      <c r="C2481">
        <v>20</v>
      </c>
      <c r="D2481">
        <v>100</v>
      </c>
      <c r="E2481">
        <v>10</v>
      </c>
      <c r="F2481">
        <v>32</v>
      </c>
      <c r="G2481">
        <v>25.280273005994498</v>
      </c>
    </row>
    <row r="2482" spans="1:7" x14ac:dyDescent="0.3">
      <c r="A2482" t="str">
        <f>IF(ISBLANK(B2482),"",IF(ROUND(B2482,0)=ROUND(G2482,0),"Pass","Fail"))</f>
        <v>Pass</v>
      </c>
      <c r="B2482">
        <f t="shared" si="140"/>
        <v>23.139726638793945</v>
      </c>
      <c r="C2482">
        <v>20</v>
      </c>
      <c r="D2482">
        <v>100</v>
      </c>
      <c r="E2482">
        <v>10</v>
      </c>
      <c r="F2482">
        <v>40</v>
      </c>
      <c r="G2482">
        <v>23.139726764327001</v>
      </c>
    </row>
    <row r="2483" spans="1:7" x14ac:dyDescent="0.3">
      <c r="A2483" t="str">
        <f>IF(ISBLANK(B2483),"",IF(ROUND(B2483,0)=ROUND(G2483,0),"Pass","Fail"))</f>
        <v>Pass</v>
      </c>
      <c r="B2483">
        <f t="shared" si="140"/>
        <v>22.062206268310547</v>
      </c>
      <c r="C2483">
        <v>20</v>
      </c>
      <c r="D2483">
        <v>100</v>
      </c>
      <c r="E2483">
        <v>10</v>
      </c>
      <c r="F2483">
        <v>48</v>
      </c>
      <c r="G2483">
        <v>22.062207900819701</v>
      </c>
    </row>
    <row r="2484" spans="1:7" x14ac:dyDescent="0.3">
      <c r="A2484" t="str">
        <f>IF(ISBLANK(B2484),"",IF(ROUND(B2484,0)=ROUND(G2484,0),"Pass","Fail"))</f>
        <v>Pass</v>
      </c>
      <c r="B2484">
        <f t="shared" si="140"/>
        <v>88.097999572753906</v>
      </c>
      <c r="C2484">
        <v>20</v>
      </c>
      <c r="D2484">
        <v>100</v>
      </c>
      <c r="E2484">
        <v>20</v>
      </c>
      <c r="F2484">
        <v>0</v>
      </c>
      <c r="G2484">
        <v>88.097999999999999</v>
      </c>
    </row>
    <row r="2485" spans="1:7" x14ac:dyDescent="0.3">
      <c r="A2485" t="str">
        <f>IF(ISBLANK(B2485),"",IF(ROUND(B2485,0)=ROUND(G2485,0),"Pass","Fail"))</f>
        <v>Pass</v>
      </c>
      <c r="B2485">
        <f t="shared" si="140"/>
        <v>54.76123046875</v>
      </c>
      <c r="C2485">
        <v>20</v>
      </c>
      <c r="D2485">
        <v>100</v>
      </c>
      <c r="E2485">
        <v>20</v>
      </c>
      <c r="F2485">
        <v>8</v>
      </c>
      <c r="G2485">
        <v>54.7612280807231</v>
      </c>
    </row>
    <row r="2486" spans="1:7" x14ac:dyDescent="0.3">
      <c r="A2486" t="str">
        <f>IF(ISBLANK(B2486),"",IF(ROUND(B2486,0)=ROUND(G2486,0),"Pass","Fail"))</f>
        <v>Pass</v>
      </c>
      <c r="B2486">
        <f t="shared" si="140"/>
        <v>37.979995727539063</v>
      </c>
      <c r="C2486">
        <v>20</v>
      </c>
      <c r="D2486">
        <v>100</v>
      </c>
      <c r="E2486">
        <v>20</v>
      </c>
      <c r="F2486">
        <v>16</v>
      </c>
      <c r="G2486">
        <v>37.9799972471017</v>
      </c>
    </row>
    <row r="2487" spans="1:7" x14ac:dyDescent="0.3">
      <c r="A2487" t="str">
        <f>IF(ISBLANK(B2487),"",IF(ROUND(B2487,0)=ROUND(G2487,0),"Pass","Fail"))</f>
        <v>Pass</v>
      </c>
      <c r="B2487">
        <f t="shared" si="140"/>
        <v>29.532577514648438</v>
      </c>
      <c r="C2487">
        <v>20</v>
      </c>
      <c r="D2487">
        <v>100</v>
      </c>
      <c r="E2487">
        <v>20</v>
      </c>
      <c r="F2487">
        <v>24</v>
      </c>
      <c r="G2487">
        <v>29.532577413736199</v>
      </c>
    </row>
    <row r="2488" spans="1:7" x14ac:dyDescent="0.3">
      <c r="A2488" t="str">
        <f>IF(ISBLANK(B2488),"",IF(ROUND(B2488,0)=ROUND(G2488,0),"Pass","Fail"))</f>
        <v>Pass</v>
      </c>
      <c r="B2488">
        <f t="shared" si="140"/>
        <v>25.2802734375</v>
      </c>
      <c r="C2488">
        <v>20</v>
      </c>
      <c r="D2488">
        <v>100</v>
      </c>
      <c r="E2488">
        <v>20</v>
      </c>
      <c r="F2488">
        <v>32</v>
      </c>
      <c r="G2488">
        <v>25.280273005994601</v>
      </c>
    </row>
    <row r="2489" spans="1:7" x14ac:dyDescent="0.3">
      <c r="A2489" t="str">
        <f>IF(ISBLANK(B2489),"",IF(ROUND(B2489,0)=ROUND(G2489,0),"Pass","Fail"))</f>
        <v>Pass</v>
      </c>
      <c r="B2489">
        <f t="shared" si="140"/>
        <v>23.139726638793945</v>
      </c>
      <c r="C2489">
        <v>20</v>
      </c>
      <c r="D2489">
        <v>100</v>
      </c>
      <c r="E2489">
        <v>20</v>
      </c>
      <c r="F2489">
        <v>40</v>
      </c>
      <c r="G2489">
        <v>23.139726764327101</v>
      </c>
    </row>
    <row r="2490" spans="1:7" x14ac:dyDescent="0.3">
      <c r="A2490" t="str">
        <f>IF(ISBLANK(B2490),"",IF(ROUND(B2490,0)=ROUND(G2490,0),"Pass","Fail"))</f>
        <v>Pass</v>
      </c>
      <c r="B2490">
        <f t="shared" si="140"/>
        <v>22.062206268310547</v>
      </c>
      <c r="C2490">
        <v>20</v>
      </c>
      <c r="D2490">
        <v>100</v>
      </c>
      <c r="E2490">
        <v>20</v>
      </c>
      <c r="F2490">
        <v>48</v>
      </c>
      <c r="G2490">
        <v>22.062207900819701</v>
      </c>
    </row>
    <row r="2491" spans="1:7" x14ac:dyDescent="0.3">
      <c r="A2491" t="str">
        <f>IF(ISBLANK(B2491),"",IF(ROUND(B2491,0)=ROUND(G2491,0),"Pass","Fail"))</f>
        <v>Pass</v>
      </c>
      <c r="B2491">
        <f t="shared" si="140"/>
        <v>88.097999572753906</v>
      </c>
      <c r="C2491">
        <v>20</v>
      </c>
      <c r="D2491">
        <v>100</v>
      </c>
      <c r="E2491">
        <v>30</v>
      </c>
      <c r="F2491">
        <v>0</v>
      </c>
      <c r="G2491">
        <v>88.097999999999999</v>
      </c>
    </row>
    <row r="2492" spans="1:7" x14ac:dyDescent="0.3">
      <c r="A2492" t="str">
        <f>IF(ISBLANK(B2492),"",IF(ROUND(B2492,0)=ROUND(G2492,0),"Pass","Fail"))</f>
        <v>Pass</v>
      </c>
      <c r="B2492">
        <f t="shared" si="140"/>
        <v>54.76123046875</v>
      </c>
      <c r="C2492">
        <v>20</v>
      </c>
      <c r="D2492">
        <v>100</v>
      </c>
      <c r="E2492">
        <v>30</v>
      </c>
      <c r="F2492">
        <v>8</v>
      </c>
      <c r="G2492">
        <v>54.7612280807231</v>
      </c>
    </row>
    <row r="2493" spans="1:7" x14ac:dyDescent="0.3">
      <c r="A2493" t="str">
        <f>IF(ISBLANK(B2493),"",IF(ROUND(B2493,0)=ROUND(G2493,0),"Pass","Fail"))</f>
        <v>Pass</v>
      </c>
      <c r="B2493">
        <f t="shared" si="140"/>
        <v>37.979995727539063</v>
      </c>
      <c r="C2493">
        <v>20</v>
      </c>
      <c r="D2493">
        <v>100</v>
      </c>
      <c r="E2493">
        <v>30</v>
      </c>
      <c r="F2493">
        <v>16</v>
      </c>
      <c r="G2493">
        <v>37.9799972471017</v>
      </c>
    </row>
    <row r="2494" spans="1:7" x14ac:dyDescent="0.3">
      <c r="A2494" t="str">
        <f>IF(ISBLANK(B2494),"",IF(ROUND(B2494,0)=ROUND(G2494,0),"Pass","Fail"))</f>
        <v>Pass</v>
      </c>
      <c r="B2494">
        <f t="shared" si="140"/>
        <v>29.532577514648438</v>
      </c>
      <c r="C2494">
        <v>20</v>
      </c>
      <c r="D2494">
        <v>100</v>
      </c>
      <c r="E2494">
        <v>30</v>
      </c>
      <c r="F2494">
        <v>24</v>
      </c>
      <c r="G2494">
        <v>29.532577413736199</v>
      </c>
    </row>
    <row r="2495" spans="1:7" x14ac:dyDescent="0.3">
      <c r="A2495" t="str">
        <f>IF(ISBLANK(B2495),"",IF(ROUND(B2495,0)=ROUND(G2495,0),"Pass","Fail"))</f>
        <v>Pass</v>
      </c>
      <c r="B2495">
        <f t="shared" si="140"/>
        <v>25.2802734375</v>
      </c>
      <c r="C2495">
        <v>20</v>
      </c>
      <c r="D2495">
        <v>100</v>
      </c>
      <c r="E2495">
        <v>30</v>
      </c>
      <c r="F2495">
        <v>32</v>
      </c>
      <c r="G2495">
        <v>25.280273005994601</v>
      </c>
    </row>
    <row r="2496" spans="1:7" x14ac:dyDescent="0.3">
      <c r="A2496" t="str">
        <f>IF(ISBLANK(B2496),"",IF(ROUND(B2496,0)=ROUND(G2496,0),"Pass","Fail"))</f>
        <v>Pass</v>
      </c>
      <c r="B2496">
        <f t="shared" si="140"/>
        <v>23.139726638793945</v>
      </c>
      <c r="C2496">
        <v>20</v>
      </c>
      <c r="D2496">
        <v>100</v>
      </c>
      <c r="E2496">
        <v>30</v>
      </c>
      <c r="F2496">
        <v>40</v>
      </c>
      <c r="G2496">
        <v>23.139726764327101</v>
      </c>
    </row>
    <row r="2497" spans="1:7" x14ac:dyDescent="0.3">
      <c r="A2497" t="str">
        <f>IF(ISBLANK(B2497),"",IF(ROUND(B2497,0)=ROUND(G2497,0),"Pass","Fail"))</f>
        <v>Pass</v>
      </c>
      <c r="B2497">
        <f t="shared" si="140"/>
        <v>22.062206268310547</v>
      </c>
      <c r="C2497">
        <v>20</v>
      </c>
      <c r="D2497">
        <v>100</v>
      </c>
      <c r="E2497">
        <v>30</v>
      </c>
      <c r="F2497">
        <v>48</v>
      </c>
      <c r="G2497">
        <v>22.062207900819701</v>
      </c>
    </row>
    <row r="2498" spans="1:7" x14ac:dyDescent="0.3">
      <c r="A2498" t="str">
        <f>IF(ISBLANK(B2498),"",IF(ROUND(B2498,0)=ROUND(G2498,0),"Pass","Fail"))</f>
        <v>Pass</v>
      </c>
      <c r="B2498">
        <f t="shared" si="140"/>
        <v>88.097999572753906</v>
      </c>
      <c r="C2498">
        <v>20</v>
      </c>
      <c r="D2498">
        <v>100</v>
      </c>
      <c r="E2498">
        <v>40</v>
      </c>
      <c r="F2498">
        <v>0</v>
      </c>
      <c r="G2498">
        <v>88.097999999999999</v>
      </c>
    </row>
    <row r="2499" spans="1:7" x14ac:dyDescent="0.3">
      <c r="A2499" t="str">
        <f>IF(ISBLANK(B2499),"",IF(ROUND(B2499,0)=ROUND(G2499,0),"Pass","Fail"))</f>
        <v>Pass</v>
      </c>
      <c r="B2499">
        <f t="shared" si="140"/>
        <v>54.76123046875</v>
      </c>
      <c r="C2499">
        <v>20</v>
      </c>
      <c r="D2499">
        <v>100</v>
      </c>
      <c r="E2499">
        <v>40</v>
      </c>
      <c r="F2499">
        <v>8</v>
      </c>
      <c r="G2499">
        <v>54.7612280807231</v>
      </c>
    </row>
    <row r="2500" spans="1:7" x14ac:dyDescent="0.3">
      <c r="A2500" t="str">
        <f>IF(ISBLANK(B2500),"",IF(ROUND(B2500,0)=ROUND(G2500,0),"Pass","Fail"))</f>
        <v>Pass</v>
      </c>
      <c r="B2500">
        <f t="shared" si="140"/>
        <v>37.979995727539063</v>
      </c>
      <c r="C2500">
        <v>20</v>
      </c>
      <c r="D2500">
        <v>100</v>
      </c>
      <c r="E2500">
        <v>40</v>
      </c>
      <c r="F2500">
        <v>16</v>
      </c>
      <c r="G2500">
        <v>37.9799972471017</v>
      </c>
    </row>
    <row r="2501" spans="1:7" x14ac:dyDescent="0.3">
      <c r="A2501" t="str">
        <f>IF(ISBLANK(B2501),"",IF(ROUND(B2501,0)=ROUND(G2501,0),"Pass","Fail"))</f>
        <v>Pass</v>
      </c>
      <c r="B2501">
        <f t="shared" si="140"/>
        <v>29.532577514648438</v>
      </c>
      <c r="C2501">
        <v>20</v>
      </c>
      <c r="D2501">
        <v>100</v>
      </c>
      <c r="E2501">
        <v>40</v>
      </c>
      <c r="F2501">
        <v>24</v>
      </c>
      <c r="G2501">
        <v>29.532577413736199</v>
      </c>
    </row>
    <row r="2502" spans="1:7" x14ac:dyDescent="0.3">
      <c r="A2502" t="str">
        <f>IF(ISBLANK(B2502),"",IF(ROUND(B2502,0)=ROUND(G2502,0),"Pass","Fail"))</f>
        <v>Pass</v>
      </c>
      <c r="B2502">
        <f t="shared" si="140"/>
        <v>25.2802734375</v>
      </c>
      <c r="C2502">
        <v>20</v>
      </c>
      <c r="D2502">
        <v>100</v>
      </c>
      <c r="E2502">
        <v>40</v>
      </c>
      <c r="F2502">
        <v>32</v>
      </c>
      <c r="G2502">
        <v>25.280273005994601</v>
      </c>
    </row>
    <row r="2503" spans="1:7" x14ac:dyDescent="0.3">
      <c r="A2503" t="str">
        <f>IF(ISBLANK(B2503),"",IF(ROUND(B2503,0)=ROUND(G2503,0),"Pass","Fail"))</f>
        <v>Pass</v>
      </c>
      <c r="B2503">
        <f t="shared" ref="B2503:B2566" si="141">FMC_heath(C2503,D2503,E2503,F2503)</f>
        <v>23.139726638793945</v>
      </c>
      <c r="C2503">
        <v>20</v>
      </c>
      <c r="D2503">
        <v>100</v>
      </c>
      <c r="E2503">
        <v>40</v>
      </c>
      <c r="F2503">
        <v>40</v>
      </c>
      <c r="G2503">
        <v>23.139726764327101</v>
      </c>
    </row>
    <row r="2504" spans="1:7" x14ac:dyDescent="0.3">
      <c r="A2504" t="str">
        <f>IF(ISBLANK(B2504),"",IF(ROUND(B2504,0)=ROUND(G2504,0),"Pass","Fail"))</f>
        <v>Pass</v>
      </c>
      <c r="B2504">
        <f t="shared" si="141"/>
        <v>22.062206268310547</v>
      </c>
      <c r="C2504">
        <v>20</v>
      </c>
      <c r="D2504">
        <v>100</v>
      </c>
      <c r="E2504">
        <v>40</v>
      </c>
      <c r="F2504">
        <v>48</v>
      </c>
      <c r="G2504">
        <v>22.062207900819701</v>
      </c>
    </row>
    <row r="2505" spans="1:7" x14ac:dyDescent="0.3">
      <c r="A2505" t="str">
        <f>IF(ISBLANK(B2505),"",IF(ROUND(B2505,0)=ROUND(G2505,0),"Pass","Fail"))</f>
        <v>Pass</v>
      </c>
      <c r="B2505">
        <f t="shared" si="141"/>
        <v>88.097999572753906</v>
      </c>
      <c r="C2505">
        <v>20</v>
      </c>
      <c r="D2505">
        <v>100</v>
      </c>
      <c r="E2505">
        <v>50</v>
      </c>
      <c r="F2505">
        <v>0</v>
      </c>
      <c r="G2505">
        <v>88.097999999999999</v>
      </c>
    </row>
    <row r="2506" spans="1:7" x14ac:dyDescent="0.3">
      <c r="A2506" t="str">
        <f>IF(ISBLANK(B2506),"",IF(ROUND(B2506,0)=ROUND(G2506,0),"Pass","Fail"))</f>
        <v>Pass</v>
      </c>
      <c r="B2506">
        <f t="shared" si="141"/>
        <v>54.76123046875</v>
      </c>
      <c r="C2506">
        <v>20</v>
      </c>
      <c r="D2506">
        <v>100</v>
      </c>
      <c r="E2506">
        <v>50</v>
      </c>
      <c r="F2506">
        <v>8</v>
      </c>
      <c r="G2506">
        <v>54.7612280807231</v>
      </c>
    </row>
    <row r="2507" spans="1:7" x14ac:dyDescent="0.3">
      <c r="A2507" t="str">
        <f>IF(ISBLANK(B2507),"",IF(ROUND(B2507,0)=ROUND(G2507,0),"Pass","Fail"))</f>
        <v>Pass</v>
      </c>
      <c r="B2507">
        <f t="shared" si="141"/>
        <v>37.979995727539063</v>
      </c>
      <c r="C2507">
        <v>20</v>
      </c>
      <c r="D2507">
        <v>100</v>
      </c>
      <c r="E2507">
        <v>50</v>
      </c>
      <c r="F2507">
        <v>16</v>
      </c>
      <c r="G2507">
        <v>37.9799972471017</v>
      </c>
    </row>
    <row r="2508" spans="1:7" x14ac:dyDescent="0.3">
      <c r="A2508" t="str">
        <f>IF(ISBLANK(B2508),"",IF(ROUND(B2508,0)=ROUND(G2508,0),"Pass","Fail"))</f>
        <v>Pass</v>
      </c>
      <c r="B2508">
        <f t="shared" si="141"/>
        <v>29.532577514648438</v>
      </c>
      <c r="C2508">
        <v>20</v>
      </c>
      <c r="D2508">
        <v>100</v>
      </c>
      <c r="E2508">
        <v>50</v>
      </c>
      <c r="F2508">
        <v>24</v>
      </c>
      <c r="G2508">
        <v>29.532577413736199</v>
      </c>
    </row>
    <row r="2509" spans="1:7" x14ac:dyDescent="0.3">
      <c r="A2509" t="str">
        <f>IF(ISBLANK(B2509),"",IF(ROUND(B2509,0)=ROUND(G2509,0),"Pass","Fail"))</f>
        <v>Pass</v>
      </c>
      <c r="B2509">
        <f t="shared" si="141"/>
        <v>25.2802734375</v>
      </c>
      <c r="C2509">
        <v>20</v>
      </c>
      <c r="D2509">
        <v>100</v>
      </c>
      <c r="E2509">
        <v>50</v>
      </c>
      <c r="F2509">
        <v>32</v>
      </c>
      <c r="G2509">
        <v>25.280273005994601</v>
      </c>
    </row>
    <row r="2510" spans="1:7" x14ac:dyDescent="0.3">
      <c r="A2510" t="str">
        <f>IF(ISBLANK(B2510),"",IF(ROUND(B2510,0)=ROUND(G2510,0),"Pass","Fail"))</f>
        <v>Pass</v>
      </c>
      <c r="B2510">
        <f t="shared" si="141"/>
        <v>23.139726638793945</v>
      </c>
      <c r="C2510">
        <v>20</v>
      </c>
      <c r="D2510">
        <v>100</v>
      </c>
      <c r="E2510">
        <v>50</v>
      </c>
      <c r="F2510">
        <v>40</v>
      </c>
      <c r="G2510">
        <v>23.139726764327101</v>
      </c>
    </row>
    <row r="2511" spans="1:7" x14ac:dyDescent="0.3">
      <c r="A2511" t="str">
        <f>IF(ISBLANK(B2511),"",IF(ROUND(B2511,0)=ROUND(G2511,0),"Pass","Fail"))</f>
        <v>Pass</v>
      </c>
      <c r="B2511">
        <f t="shared" si="141"/>
        <v>22.062206268310547</v>
      </c>
      <c r="C2511">
        <v>20</v>
      </c>
      <c r="D2511">
        <v>100</v>
      </c>
      <c r="E2511">
        <v>50</v>
      </c>
      <c r="F2511">
        <v>48</v>
      </c>
      <c r="G2511">
        <v>22.062207900819701</v>
      </c>
    </row>
    <row r="2512" spans="1:7" x14ac:dyDescent="0.3">
      <c r="A2512" t="str">
        <f>IF(ISBLANK(B2512),"",IF(ROUND(B2512,0)=ROUND(G2512,0),"Pass","Fail"))</f>
        <v>Pass</v>
      </c>
      <c r="B2512">
        <f t="shared" si="141"/>
        <v>88.097999572753906</v>
      </c>
      <c r="C2512">
        <v>20</v>
      </c>
      <c r="D2512">
        <v>100</v>
      </c>
      <c r="E2512">
        <v>60</v>
      </c>
      <c r="F2512">
        <v>0</v>
      </c>
      <c r="G2512">
        <v>88.097999999999999</v>
      </c>
    </row>
    <row r="2513" spans="1:7" x14ac:dyDescent="0.3">
      <c r="A2513" t="str">
        <f>IF(ISBLANK(B2513),"",IF(ROUND(B2513,0)=ROUND(G2513,0),"Pass","Fail"))</f>
        <v>Pass</v>
      </c>
      <c r="B2513">
        <f t="shared" si="141"/>
        <v>54.76123046875</v>
      </c>
      <c r="C2513">
        <v>20</v>
      </c>
      <c r="D2513">
        <v>100</v>
      </c>
      <c r="E2513">
        <v>60</v>
      </c>
      <c r="F2513">
        <v>8</v>
      </c>
      <c r="G2513">
        <v>54.7612280807231</v>
      </c>
    </row>
    <row r="2514" spans="1:7" x14ac:dyDescent="0.3">
      <c r="A2514" t="str">
        <f>IF(ISBLANK(B2514),"",IF(ROUND(B2514,0)=ROUND(G2514,0),"Pass","Fail"))</f>
        <v>Pass</v>
      </c>
      <c r="B2514">
        <f t="shared" si="141"/>
        <v>37.979995727539063</v>
      </c>
      <c r="C2514">
        <v>20</v>
      </c>
      <c r="D2514">
        <v>100</v>
      </c>
      <c r="E2514">
        <v>60</v>
      </c>
      <c r="F2514">
        <v>16</v>
      </c>
      <c r="G2514">
        <v>37.9799972471017</v>
      </c>
    </row>
    <row r="2515" spans="1:7" x14ac:dyDescent="0.3">
      <c r="A2515" t="str">
        <f>IF(ISBLANK(B2515),"",IF(ROUND(B2515,0)=ROUND(G2515,0),"Pass","Fail"))</f>
        <v>Pass</v>
      </c>
      <c r="B2515">
        <f t="shared" si="141"/>
        <v>29.532577514648438</v>
      </c>
      <c r="C2515">
        <v>20</v>
      </c>
      <c r="D2515">
        <v>100</v>
      </c>
      <c r="E2515">
        <v>60</v>
      </c>
      <c r="F2515">
        <v>24</v>
      </c>
      <c r="G2515">
        <v>29.532577413736199</v>
      </c>
    </row>
    <row r="2516" spans="1:7" x14ac:dyDescent="0.3">
      <c r="A2516" t="str">
        <f>IF(ISBLANK(B2516),"",IF(ROUND(B2516,0)=ROUND(G2516,0),"Pass","Fail"))</f>
        <v>Pass</v>
      </c>
      <c r="B2516">
        <f t="shared" si="141"/>
        <v>25.2802734375</v>
      </c>
      <c r="C2516">
        <v>20</v>
      </c>
      <c r="D2516">
        <v>100</v>
      </c>
      <c r="E2516">
        <v>60</v>
      </c>
      <c r="F2516">
        <v>32</v>
      </c>
      <c r="G2516">
        <v>25.280273005994601</v>
      </c>
    </row>
    <row r="2517" spans="1:7" x14ac:dyDescent="0.3">
      <c r="A2517" t="str">
        <f>IF(ISBLANK(B2517),"",IF(ROUND(B2517,0)=ROUND(G2517,0),"Pass","Fail"))</f>
        <v>Pass</v>
      </c>
      <c r="B2517">
        <f t="shared" si="141"/>
        <v>23.139726638793945</v>
      </c>
      <c r="C2517">
        <v>20</v>
      </c>
      <c r="D2517">
        <v>100</v>
      </c>
      <c r="E2517">
        <v>60</v>
      </c>
      <c r="F2517">
        <v>40</v>
      </c>
      <c r="G2517">
        <v>23.139726764327101</v>
      </c>
    </row>
    <row r="2518" spans="1:7" x14ac:dyDescent="0.3">
      <c r="A2518" t="str">
        <f>IF(ISBLANK(B2518),"",IF(ROUND(B2518,0)=ROUND(G2518,0),"Pass","Fail"))</f>
        <v>Pass</v>
      </c>
      <c r="B2518">
        <f t="shared" si="141"/>
        <v>22.062206268310547</v>
      </c>
      <c r="C2518">
        <v>20</v>
      </c>
      <c r="D2518">
        <v>100</v>
      </c>
      <c r="E2518">
        <v>60</v>
      </c>
      <c r="F2518">
        <v>48</v>
      </c>
      <c r="G2518">
        <v>22.062207900819701</v>
      </c>
    </row>
    <row r="2519" spans="1:7" x14ac:dyDescent="0.3">
      <c r="A2519" t="str">
        <f>IF(ISBLANK(B2519),"",IF(ROUND(B2519,0)=ROUND(G2519,0),"Pass","Fail"))</f>
        <v>Pass</v>
      </c>
      <c r="B2519">
        <f t="shared" si="141"/>
        <v>88.097999572753906</v>
      </c>
      <c r="C2519">
        <v>20</v>
      </c>
      <c r="D2519">
        <v>100</v>
      </c>
      <c r="E2519">
        <v>70</v>
      </c>
      <c r="F2519">
        <v>0</v>
      </c>
      <c r="G2519">
        <v>88.097999999999999</v>
      </c>
    </row>
    <row r="2520" spans="1:7" x14ac:dyDescent="0.3">
      <c r="A2520" t="str">
        <f>IF(ISBLANK(B2520),"",IF(ROUND(B2520,0)=ROUND(G2520,0),"Pass","Fail"))</f>
        <v>Pass</v>
      </c>
      <c r="B2520">
        <f t="shared" si="141"/>
        <v>54.76123046875</v>
      </c>
      <c r="C2520">
        <v>20</v>
      </c>
      <c r="D2520">
        <v>100</v>
      </c>
      <c r="E2520">
        <v>70</v>
      </c>
      <c r="F2520">
        <v>8</v>
      </c>
      <c r="G2520">
        <v>54.7612280807231</v>
      </c>
    </row>
    <row r="2521" spans="1:7" x14ac:dyDescent="0.3">
      <c r="A2521" t="str">
        <f>IF(ISBLANK(B2521),"",IF(ROUND(B2521,0)=ROUND(G2521,0),"Pass","Fail"))</f>
        <v>Pass</v>
      </c>
      <c r="B2521">
        <f t="shared" si="141"/>
        <v>37.979995727539063</v>
      </c>
      <c r="C2521">
        <v>20</v>
      </c>
      <c r="D2521">
        <v>100</v>
      </c>
      <c r="E2521">
        <v>70</v>
      </c>
      <c r="F2521">
        <v>16</v>
      </c>
      <c r="G2521">
        <v>37.9799972471017</v>
      </c>
    </row>
    <row r="2522" spans="1:7" x14ac:dyDescent="0.3">
      <c r="A2522" t="str">
        <f>IF(ISBLANK(B2522),"",IF(ROUND(B2522,0)=ROUND(G2522,0),"Pass","Fail"))</f>
        <v>Pass</v>
      </c>
      <c r="B2522">
        <f t="shared" si="141"/>
        <v>29.532577514648438</v>
      </c>
      <c r="C2522">
        <v>20</v>
      </c>
      <c r="D2522">
        <v>100</v>
      </c>
      <c r="E2522">
        <v>70</v>
      </c>
      <c r="F2522">
        <v>24</v>
      </c>
      <c r="G2522">
        <v>29.532577413736199</v>
      </c>
    </row>
    <row r="2523" spans="1:7" x14ac:dyDescent="0.3">
      <c r="A2523" t="str">
        <f>IF(ISBLANK(B2523),"",IF(ROUND(B2523,0)=ROUND(G2523,0),"Pass","Fail"))</f>
        <v>Pass</v>
      </c>
      <c r="B2523">
        <f t="shared" si="141"/>
        <v>25.2802734375</v>
      </c>
      <c r="C2523">
        <v>20</v>
      </c>
      <c r="D2523">
        <v>100</v>
      </c>
      <c r="E2523">
        <v>70</v>
      </c>
      <c r="F2523">
        <v>32</v>
      </c>
      <c r="G2523">
        <v>25.280273005994601</v>
      </c>
    </row>
    <row r="2524" spans="1:7" x14ac:dyDescent="0.3">
      <c r="A2524" t="str">
        <f>IF(ISBLANK(B2524),"",IF(ROUND(B2524,0)=ROUND(G2524,0),"Pass","Fail"))</f>
        <v>Pass</v>
      </c>
      <c r="B2524">
        <f t="shared" si="141"/>
        <v>23.139726638793945</v>
      </c>
      <c r="C2524">
        <v>20</v>
      </c>
      <c r="D2524">
        <v>100</v>
      </c>
      <c r="E2524">
        <v>70</v>
      </c>
      <c r="F2524">
        <v>40</v>
      </c>
      <c r="G2524">
        <v>23.139726764327101</v>
      </c>
    </row>
    <row r="2525" spans="1:7" x14ac:dyDescent="0.3">
      <c r="A2525" t="str">
        <f>IF(ISBLANK(B2525),"",IF(ROUND(B2525,0)=ROUND(G2525,0),"Pass","Fail"))</f>
        <v>Pass</v>
      </c>
      <c r="B2525">
        <f t="shared" si="141"/>
        <v>22.062206268310547</v>
      </c>
      <c r="C2525">
        <v>20</v>
      </c>
      <c r="D2525">
        <v>100</v>
      </c>
      <c r="E2525">
        <v>70</v>
      </c>
      <c r="F2525">
        <v>48</v>
      </c>
      <c r="G2525">
        <v>22.062207900819701</v>
      </c>
    </row>
    <row r="2526" spans="1:7" x14ac:dyDescent="0.3">
      <c r="A2526" t="str">
        <f>IF(ISBLANK(B2526),"",IF(ROUND(B2526,0)=ROUND(G2526,0),"Pass","Fail"))</f>
        <v>Pass</v>
      </c>
      <c r="B2526">
        <f t="shared" si="141"/>
        <v>88.097999572753906</v>
      </c>
      <c r="C2526">
        <v>20</v>
      </c>
      <c r="D2526">
        <v>100</v>
      </c>
      <c r="E2526">
        <v>80</v>
      </c>
      <c r="F2526">
        <v>0</v>
      </c>
      <c r="G2526">
        <v>88.097999999999999</v>
      </c>
    </row>
    <row r="2527" spans="1:7" x14ac:dyDescent="0.3">
      <c r="A2527" t="str">
        <f>IF(ISBLANK(B2527),"",IF(ROUND(B2527,0)=ROUND(G2527,0),"Pass","Fail"))</f>
        <v>Pass</v>
      </c>
      <c r="B2527">
        <f t="shared" si="141"/>
        <v>54.76123046875</v>
      </c>
      <c r="C2527">
        <v>20</v>
      </c>
      <c r="D2527">
        <v>100</v>
      </c>
      <c r="E2527">
        <v>80</v>
      </c>
      <c r="F2527">
        <v>8</v>
      </c>
      <c r="G2527">
        <v>54.7612280807231</v>
      </c>
    </row>
    <row r="2528" spans="1:7" x14ac:dyDescent="0.3">
      <c r="A2528" t="str">
        <f>IF(ISBLANK(B2528),"",IF(ROUND(B2528,0)=ROUND(G2528,0),"Pass","Fail"))</f>
        <v>Pass</v>
      </c>
      <c r="B2528">
        <f t="shared" si="141"/>
        <v>37.979995727539063</v>
      </c>
      <c r="C2528">
        <v>20</v>
      </c>
      <c r="D2528">
        <v>100</v>
      </c>
      <c r="E2528">
        <v>80</v>
      </c>
      <c r="F2528">
        <v>16</v>
      </c>
      <c r="G2528">
        <v>37.9799972471017</v>
      </c>
    </row>
    <row r="2529" spans="1:7" x14ac:dyDescent="0.3">
      <c r="A2529" t="str">
        <f>IF(ISBLANK(B2529),"",IF(ROUND(B2529,0)=ROUND(G2529,0),"Pass","Fail"))</f>
        <v>Pass</v>
      </c>
      <c r="B2529">
        <f t="shared" si="141"/>
        <v>29.532577514648438</v>
      </c>
      <c r="C2529">
        <v>20</v>
      </c>
      <c r="D2529">
        <v>100</v>
      </c>
      <c r="E2529">
        <v>80</v>
      </c>
      <c r="F2529">
        <v>24</v>
      </c>
      <c r="G2529">
        <v>29.532577413736199</v>
      </c>
    </row>
    <row r="2530" spans="1:7" x14ac:dyDescent="0.3">
      <c r="A2530" t="str">
        <f>IF(ISBLANK(B2530),"",IF(ROUND(B2530,0)=ROUND(G2530,0),"Pass","Fail"))</f>
        <v>Pass</v>
      </c>
      <c r="B2530">
        <f t="shared" si="141"/>
        <v>25.2802734375</v>
      </c>
      <c r="C2530">
        <v>20</v>
      </c>
      <c r="D2530">
        <v>100</v>
      </c>
      <c r="E2530">
        <v>80</v>
      </c>
      <c r="F2530">
        <v>32</v>
      </c>
      <c r="G2530">
        <v>25.280273005994601</v>
      </c>
    </row>
    <row r="2531" spans="1:7" x14ac:dyDescent="0.3">
      <c r="A2531" t="str">
        <f>IF(ISBLANK(B2531),"",IF(ROUND(B2531,0)=ROUND(G2531,0),"Pass","Fail"))</f>
        <v>Pass</v>
      </c>
      <c r="B2531">
        <f t="shared" si="141"/>
        <v>23.139726638793945</v>
      </c>
      <c r="C2531">
        <v>20</v>
      </c>
      <c r="D2531">
        <v>100</v>
      </c>
      <c r="E2531">
        <v>80</v>
      </c>
      <c r="F2531">
        <v>40</v>
      </c>
      <c r="G2531">
        <v>23.139726764327101</v>
      </c>
    </row>
    <row r="2532" spans="1:7" x14ac:dyDescent="0.3">
      <c r="A2532" t="str">
        <f>IF(ISBLANK(B2532),"",IF(ROUND(B2532,0)=ROUND(G2532,0),"Pass","Fail"))</f>
        <v>Pass</v>
      </c>
      <c r="B2532">
        <f t="shared" si="141"/>
        <v>22.062206268310547</v>
      </c>
      <c r="C2532">
        <v>20</v>
      </c>
      <c r="D2532">
        <v>100</v>
      </c>
      <c r="E2532">
        <v>80</v>
      </c>
      <c r="F2532">
        <v>48</v>
      </c>
      <c r="G2532">
        <v>22.062207900819701</v>
      </c>
    </row>
    <row r="2533" spans="1:7" x14ac:dyDescent="0.3">
      <c r="A2533" t="str">
        <f>IF(ISBLANK(B2533),"",IF(ROUND(B2533,0)=ROUND(G2533,0),"Pass","Fail"))</f>
        <v>Pass</v>
      </c>
      <c r="B2533">
        <f t="shared" si="141"/>
        <v>88.097999572753906</v>
      </c>
      <c r="C2533">
        <v>20</v>
      </c>
      <c r="D2533">
        <v>100</v>
      </c>
      <c r="E2533">
        <v>90</v>
      </c>
      <c r="F2533">
        <v>0</v>
      </c>
      <c r="G2533">
        <v>88.097999999999999</v>
      </c>
    </row>
    <row r="2534" spans="1:7" x14ac:dyDescent="0.3">
      <c r="A2534" t="str">
        <f>IF(ISBLANK(B2534),"",IF(ROUND(B2534,0)=ROUND(G2534,0),"Pass","Fail"))</f>
        <v>Pass</v>
      </c>
      <c r="B2534">
        <f t="shared" si="141"/>
        <v>54.76123046875</v>
      </c>
      <c r="C2534">
        <v>20</v>
      </c>
      <c r="D2534">
        <v>100</v>
      </c>
      <c r="E2534">
        <v>90</v>
      </c>
      <c r="F2534">
        <v>8</v>
      </c>
      <c r="G2534">
        <v>54.7612280807231</v>
      </c>
    </row>
    <row r="2535" spans="1:7" x14ac:dyDescent="0.3">
      <c r="A2535" t="str">
        <f>IF(ISBLANK(B2535),"",IF(ROUND(B2535,0)=ROUND(G2535,0),"Pass","Fail"))</f>
        <v>Pass</v>
      </c>
      <c r="B2535">
        <f t="shared" si="141"/>
        <v>37.979995727539063</v>
      </c>
      <c r="C2535">
        <v>20</v>
      </c>
      <c r="D2535">
        <v>100</v>
      </c>
      <c r="E2535">
        <v>90</v>
      </c>
      <c r="F2535">
        <v>16</v>
      </c>
      <c r="G2535">
        <v>37.9799972471017</v>
      </c>
    </row>
    <row r="2536" spans="1:7" x14ac:dyDescent="0.3">
      <c r="A2536" t="str">
        <f>IF(ISBLANK(B2536),"",IF(ROUND(B2536,0)=ROUND(G2536,0),"Pass","Fail"))</f>
        <v>Pass</v>
      </c>
      <c r="B2536">
        <f t="shared" si="141"/>
        <v>29.532577514648438</v>
      </c>
      <c r="C2536">
        <v>20</v>
      </c>
      <c r="D2536">
        <v>100</v>
      </c>
      <c r="E2536">
        <v>90</v>
      </c>
      <c r="F2536">
        <v>24</v>
      </c>
      <c r="G2536">
        <v>29.532577413736199</v>
      </c>
    </row>
    <row r="2537" spans="1:7" x14ac:dyDescent="0.3">
      <c r="A2537" t="str">
        <f>IF(ISBLANK(B2537),"",IF(ROUND(B2537,0)=ROUND(G2537,0),"Pass","Fail"))</f>
        <v>Pass</v>
      </c>
      <c r="B2537">
        <f t="shared" si="141"/>
        <v>25.2802734375</v>
      </c>
      <c r="C2537">
        <v>20</v>
      </c>
      <c r="D2537">
        <v>100</v>
      </c>
      <c r="E2537">
        <v>90</v>
      </c>
      <c r="F2537">
        <v>32</v>
      </c>
      <c r="G2537">
        <v>25.280273005994601</v>
      </c>
    </row>
    <row r="2538" spans="1:7" x14ac:dyDescent="0.3">
      <c r="A2538" t="str">
        <f>IF(ISBLANK(B2538),"",IF(ROUND(B2538,0)=ROUND(G2538,0),"Pass","Fail"))</f>
        <v>Pass</v>
      </c>
      <c r="B2538">
        <f t="shared" si="141"/>
        <v>23.139726638793945</v>
      </c>
      <c r="C2538">
        <v>20</v>
      </c>
      <c r="D2538">
        <v>100</v>
      </c>
      <c r="E2538">
        <v>90</v>
      </c>
      <c r="F2538">
        <v>40</v>
      </c>
      <c r="G2538">
        <v>23.139726764327101</v>
      </c>
    </row>
    <row r="2539" spans="1:7" x14ac:dyDescent="0.3">
      <c r="A2539" t="str">
        <f>IF(ISBLANK(B2539),"",IF(ROUND(B2539,0)=ROUND(G2539,0),"Pass","Fail"))</f>
        <v>Pass</v>
      </c>
      <c r="B2539">
        <f t="shared" si="141"/>
        <v>22.062206268310547</v>
      </c>
      <c r="C2539">
        <v>20</v>
      </c>
      <c r="D2539">
        <v>100</v>
      </c>
      <c r="E2539">
        <v>90</v>
      </c>
      <c r="F2539">
        <v>48</v>
      </c>
      <c r="G2539">
        <v>22.062207900819701</v>
      </c>
    </row>
    <row r="2540" spans="1:7" x14ac:dyDescent="0.3">
      <c r="A2540" t="str">
        <f>IF(ISBLANK(B2540),"",IF(ROUND(B2540,0)=ROUND(G2540,0),"Pass","Fail"))</f>
        <v>Pass</v>
      </c>
      <c r="B2540">
        <f t="shared" si="141"/>
        <v>88.097999572753906</v>
      </c>
      <c r="C2540">
        <v>20</v>
      </c>
      <c r="D2540">
        <v>100</v>
      </c>
      <c r="E2540">
        <v>100</v>
      </c>
      <c r="F2540">
        <v>0</v>
      </c>
      <c r="G2540">
        <v>88.097999999999999</v>
      </c>
    </row>
    <row r="2541" spans="1:7" x14ac:dyDescent="0.3">
      <c r="A2541" t="str">
        <f>IF(ISBLANK(B2541),"",IF(ROUND(B2541,0)=ROUND(G2541,0),"Pass","Fail"))</f>
        <v>Pass</v>
      </c>
      <c r="B2541">
        <f t="shared" si="141"/>
        <v>54.76123046875</v>
      </c>
      <c r="C2541">
        <v>20</v>
      </c>
      <c r="D2541">
        <v>100</v>
      </c>
      <c r="E2541">
        <v>100</v>
      </c>
      <c r="F2541">
        <v>8</v>
      </c>
      <c r="G2541">
        <v>54.7612280807231</v>
      </c>
    </row>
    <row r="2542" spans="1:7" x14ac:dyDescent="0.3">
      <c r="A2542" t="str">
        <f>IF(ISBLANK(B2542),"",IF(ROUND(B2542,0)=ROUND(G2542,0),"Pass","Fail"))</f>
        <v>Pass</v>
      </c>
      <c r="B2542">
        <f t="shared" si="141"/>
        <v>37.979995727539063</v>
      </c>
      <c r="C2542">
        <v>20</v>
      </c>
      <c r="D2542">
        <v>100</v>
      </c>
      <c r="E2542">
        <v>100</v>
      </c>
      <c r="F2542">
        <v>16</v>
      </c>
      <c r="G2542">
        <v>37.9799972471017</v>
      </c>
    </row>
    <row r="2543" spans="1:7" x14ac:dyDescent="0.3">
      <c r="A2543" t="str">
        <f>IF(ISBLANK(B2543),"",IF(ROUND(B2543,0)=ROUND(G2543,0),"Pass","Fail"))</f>
        <v>Pass</v>
      </c>
      <c r="B2543">
        <f t="shared" si="141"/>
        <v>29.532577514648438</v>
      </c>
      <c r="C2543">
        <v>20</v>
      </c>
      <c r="D2543">
        <v>100</v>
      </c>
      <c r="E2543">
        <v>100</v>
      </c>
      <c r="F2543">
        <v>24</v>
      </c>
      <c r="G2543">
        <v>29.532577413736199</v>
      </c>
    </row>
    <row r="2544" spans="1:7" x14ac:dyDescent="0.3">
      <c r="A2544" t="str">
        <f>IF(ISBLANK(B2544),"",IF(ROUND(B2544,0)=ROUND(G2544,0),"Pass","Fail"))</f>
        <v>Pass</v>
      </c>
      <c r="B2544">
        <f t="shared" si="141"/>
        <v>25.2802734375</v>
      </c>
      <c r="C2544">
        <v>20</v>
      </c>
      <c r="D2544">
        <v>100</v>
      </c>
      <c r="E2544">
        <v>100</v>
      </c>
      <c r="F2544">
        <v>32</v>
      </c>
      <c r="G2544">
        <v>25.280273005994601</v>
      </c>
    </row>
    <row r="2545" spans="1:7" x14ac:dyDescent="0.3">
      <c r="A2545" t="str">
        <f>IF(ISBLANK(B2545),"",IF(ROUND(B2545,0)=ROUND(G2545,0),"Pass","Fail"))</f>
        <v>Pass</v>
      </c>
      <c r="B2545">
        <f t="shared" si="141"/>
        <v>23.139726638793945</v>
      </c>
      <c r="C2545">
        <v>20</v>
      </c>
      <c r="D2545">
        <v>100</v>
      </c>
      <c r="E2545">
        <v>100</v>
      </c>
      <c r="F2545">
        <v>40</v>
      </c>
      <c r="G2545">
        <v>23.139726764327101</v>
      </c>
    </row>
    <row r="2546" spans="1:7" x14ac:dyDescent="0.3">
      <c r="A2546" t="str">
        <f>IF(ISBLANK(B2546),"",IF(ROUND(B2546,0)=ROUND(G2546,0),"Pass","Fail"))</f>
        <v>Pass</v>
      </c>
      <c r="B2546">
        <f t="shared" si="141"/>
        <v>22.062206268310547</v>
      </c>
      <c r="C2546">
        <v>20</v>
      </c>
      <c r="D2546">
        <v>100</v>
      </c>
      <c r="E2546">
        <v>100</v>
      </c>
      <c r="F2546">
        <v>48</v>
      </c>
      <c r="G2546">
        <v>22.062207900819701</v>
      </c>
    </row>
    <row r="2547" spans="1:7" x14ac:dyDescent="0.3">
      <c r="A2547" t="str">
        <f>IF(ISBLANK(B2547),"",IF(ROUND(B2547,0)=ROUND(G2547,0),"Pass","Fail"))</f>
        <v>Pass</v>
      </c>
      <c r="B2547">
        <f t="shared" si="141"/>
        <v>3.869999885559082</v>
      </c>
      <c r="C2547">
        <v>30</v>
      </c>
      <c r="D2547">
        <v>0</v>
      </c>
      <c r="E2547">
        <v>0</v>
      </c>
      <c r="F2547">
        <v>0</v>
      </c>
      <c r="G2547">
        <v>3.87</v>
      </c>
    </row>
    <row r="2548" spans="1:7" x14ac:dyDescent="0.3">
      <c r="A2548" t="str">
        <f>IF(ISBLANK(B2548),"",IF(ROUND(B2548,0)=ROUND(G2548,0),"Pass","Fail"))</f>
        <v>Pass</v>
      </c>
      <c r="B2548">
        <f t="shared" si="141"/>
        <v>3.869999885559082</v>
      </c>
      <c r="C2548">
        <v>30</v>
      </c>
      <c r="D2548">
        <v>0</v>
      </c>
      <c r="E2548">
        <v>0</v>
      </c>
      <c r="F2548">
        <v>8</v>
      </c>
      <c r="G2548">
        <v>3.87</v>
      </c>
    </row>
    <row r="2549" spans="1:7" x14ac:dyDescent="0.3">
      <c r="A2549" t="str">
        <f>IF(ISBLANK(B2549),"",IF(ROUND(B2549,0)=ROUND(G2549,0),"Pass","Fail"))</f>
        <v>Pass</v>
      </c>
      <c r="B2549">
        <f t="shared" si="141"/>
        <v>3.869999885559082</v>
      </c>
      <c r="C2549">
        <v>30</v>
      </c>
      <c r="D2549">
        <v>0</v>
      </c>
      <c r="E2549">
        <v>0</v>
      </c>
      <c r="F2549">
        <v>16</v>
      </c>
      <c r="G2549">
        <v>3.87</v>
      </c>
    </row>
    <row r="2550" spans="1:7" x14ac:dyDescent="0.3">
      <c r="A2550" t="str">
        <f>IF(ISBLANK(B2550),"",IF(ROUND(B2550,0)=ROUND(G2550,0),"Pass","Fail"))</f>
        <v>Pass</v>
      </c>
      <c r="B2550">
        <f t="shared" si="141"/>
        <v>3.869999885559082</v>
      </c>
      <c r="C2550">
        <v>30</v>
      </c>
      <c r="D2550">
        <v>0</v>
      </c>
      <c r="E2550">
        <v>0</v>
      </c>
      <c r="F2550">
        <v>24</v>
      </c>
      <c r="G2550">
        <v>3.87</v>
      </c>
    </row>
    <row r="2551" spans="1:7" x14ac:dyDescent="0.3">
      <c r="A2551" t="str">
        <f>IF(ISBLANK(B2551),"",IF(ROUND(B2551,0)=ROUND(G2551,0),"Pass","Fail"))</f>
        <v>Pass</v>
      </c>
      <c r="B2551">
        <f t="shared" si="141"/>
        <v>3.869999885559082</v>
      </c>
      <c r="C2551">
        <v>30</v>
      </c>
      <c r="D2551">
        <v>0</v>
      </c>
      <c r="E2551">
        <v>0</v>
      </c>
      <c r="F2551">
        <v>32</v>
      </c>
      <c r="G2551">
        <v>3.87</v>
      </c>
    </row>
    <row r="2552" spans="1:7" x14ac:dyDescent="0.3">
      <c r="A2552" t="str">
        <f>IF(ISBLANK(B2552),"",IF(ROUND(B2552,0)=ROUND(G2552,0),"Pass","Fail"))</f>
        <v>Pass</v>
      </c>
      <c r="B2552">
        <f t="shared" si="141"/>
        <v>3.869999885559082</v>
      </c>
      <c r="C2552">
        <v>30</v>
      </c>
      <c r="D2552">
        <v>0</v>
      </c>
      <c r="E2552">
        <v>0</v>
      </c>
      <c r="F2552">
        <v>40</v>
      </c>
      <c r="G2552">
        <v>3.87</v>
      </c>
    </row>
    <row r="2553" spans="1:7" x14ac:dyDescent="0.3">
      <c r="A2553" t="str">
        <f>IF(ISBLANK(B2553),"",IF(ROUND(B2553,0)=ROUND(G2553,0),"Pass","Fail"))</f>
        <v>Pass</v>
      </c>
      <c r="B2553">
        <f t="shared" si="141"/>
        <v>3.869999885559082</v>
      </c>
      <c r="C2553">
        <v>30</v>
      </c>
      <c r="D2553">
        <v>0</v>
      </c>
      <c r="E2553">
        <v>0</v>
      </c>
      <c r="F2553">
        <v>48</v>
      </c>
      <c r="G2553">
        <v>3.87</v>
      </c>
    </row>
    <row r="2554" spans="1:7" x14ac:dyDescent="0.3">
      <c r="A2554" t="str">
        <f>IF(ISBLANK(B2554),"",IF(ROUND(B2554,0)=ROUND(G2554,0),"Pass","Fail"))</f>
        <v>Pass</v>
      </c>
      <c r="B2554">
        <f t="shared" si="141"/>
        <v>70.998001098632813</v>
      </c>
      <c r="C2554">
        <v>30</v>
      </c>
      <c r="D2554">
        <v>0</v>
      </c>
      <c r="E2554">
        <v>10</v>
      </c>
      <c r="F2554">
        <v>0</v>
      </c>
      <c r="G2554">
        <v>70.997999999998299</v>
      </c>
    </row>
    <row r="2555" spans="1:7" x14ac:dyDescent="0.3">
      <c r="A2555" t="str">
        <f>IF(ISBLANK(B2555),"",IF(ROUND(B2555,0)=ROUND(G2555,0),"Pass","Fail"))</f>
        <v>Pass</v>
      </c>
      <c r="B2555">
        <f t="shared" si="141"/>
        <v>37.661228179931641</v>
      </c>
      <c r="C2555">
        <v>30</v>
      </c>
      <c r="D2555">
        <v>0</v>
      </c>
      <c r="E2555">
        <v>10</v>
      </c>
      <c r="F2555">
        <v>8</v>
      </c>
      <c r="G2555">
        <v>37.661228080722204</v>
      </c>
    </row>
    <row r="2556" spans="1:7" x14ac:dyDescent="0.3">
      <c r="A2556" t="str">
        <f>IF(ISBLANK(B2556),"",IF(ROUND(B2556,0)=ROUND(G2556,0),"Pass","Fail"))</f>
        <v>Pass</v>
      </c>
      <c r="B2556">
        <f t="shared" si="141"/>
        <v>20.879997253417969</v>
      </c>
      <c r="C2556">
        <v>30</v>
      </c>
      <c r="D2556">
        <v>0</v>
      </c>
      <c r="E2556">
        <v>10</v>
      </c>
      <c r="F2556">
        <v>16</v>
      </c>
      <c r="G2556">
        <v>20.879997247101301</v>
      </c>
    </row>
    <row r="2557" spans="1:7" x14ac:dyDescent="0.3">
      <c r="A2557" t="str">
        <f>IF(ISBLANK(B2557),"",IF(ROUND(B2557,0)=ROUND(G2557,0),"Pass","Fail"))</f>
        <v>Pass</v>
      </c>
      <c r="B2557">
        <f t="shared" si="141"/>
        <v>12.432577133178711</v>
      </c>
      <c r="C2557">
        <v>30</v>
      </c>
      <c r="D2557">
        <v>0</v>
      </c>
      <c r="E2557">
        <v>10</v>
      </c>
      <c r="F2557">
        <v>24</v>
      </c>
      <c r="G2557">
        <v>12.432577413736</v>
      </c>
    </row>
    <row r="2558" spans="1:7" x14ac:dyDescent="0.3">
      <c r="A2558" t="str">
        <f>IF(ISBLANK(B2558),"",IF(ROUND(B2558,0)=ROUND(G2558,0),"Pass","Fail"))</f>
        <v>Pass</v>
      </c>
      <c r="B2558">
        <f t="shared" si="141"/>
        <v>8.1802730560302734</v>
      </c>
      <c r="C2558">
        <v>30</v>
      </c>
      <c r="D2558">
        <v>0</v>
      </c>
      <c r="E2558">
        <v>10</v>
      </c>
      <c r="F2558">
        <v>32</v>
      </c>
      <c r="G2558">
        <v>8.1802730059945592</v>
      </c>
    </row>
    <row r="2559" spans="1:7" x14ac:dyDescent="0.3">
      <c r="A2559" t="str">
        <f>IF(ISBLANK(B2559),"",IF(ROUND(B2559,0)=ROUND(G2559,0),"Pass","Fail"))</f>
        <v>Pass</v>
      </c>
      <c r="B2559">
        <f t="shared" si="141"/>
        <v>6.039726734161377</v>
      </c>
      <c r="C2559">
        <v>30</v>
      </c>
      <c r="D2559">
        <v>0</v>
      </c>
      <c r="E2559">
        <v>10</v>
      </c>
      <c r="F2559">
        <v>40</v>
      </c>
      <c r="G2559">
        <v>6.0397267643270496</v>
      </c>
    </row>
    <row r="2560" spans="1:7" x14ac:dyDescent="0.3">
      <c r="A2560" t="str">
        <f>IF(ISBLANK(B2560),"",IF(ROUND(B2560,0)=ROUND(G2560,0),"Pass","Fail"))</f>
        <v>Pass</v>
      </c>
      <c r="B2560">
        <f t="shared" si="141"/>
        <v>4.9622077941894531</v>
      </c>
      <c r="C2560">
        <v>30</v>
      </c>
      <c r="D2560">
        <v>0</v>
      </c>
      <c r="E2560">
        <v>10</v>
      </c>
      <c r="F2560">
        <v>48</v>
      </c>
      <c r="G2560">
        <v>4.9622079008196902</v>
      </c>
    </row>
    <row r="2561" spans="1:7" x14ac:dyDescent="0.3">
      <c r="A2561" t="str">
        <f>IF(ISBLANK(B2561),"",IF(ROUND(B2561,0)=ROUND(G2561,0),"Pass","Fail"))</f>
        <v>Pass</v>
      </c>
      <c r="B2561">
        <f t="shared" si="141"/>
        <v>70.998001098632813</v>
      </c>
      <c r="C2561">
        <v>30</v>
      </c>
      <c r="D2561">
        <v>0</v>
      </c>
      <c r="E2561">
        <v>20</v>
      </c>
      <c r="F2561">
        <v>0</v>
      </c>
      <c r="G2561">
        <v>70.998000000000005</v>
      </c>
    </row>
    <row r="2562" spans="1:7" x14ac:dyDescent="0.3">
      <c r="A2562" t="str">
        <f>IF(ISBLANK(B2562),"",IF(ROUND(B2562,0)=ROUND(G2562,0),"Pass","Fail"))</f>
        <v>Pass</v>
      </c>
      <c r="B2562">
        <f t="shared" si="141"/>
        <v>37.661228179931641</v>
      </c>
      <c r="C2562">
        <v>30</v>
      </c>
      <c r="D2562">
        <v>0</v>
      </c>
      <c r="E2562">
        <v>20</v>
      </c>
      <c r="F2562">
        <v>8</v>
      </c>
      <c r="G2562">
        <v>37.661228080722999</v>
      </c>
    </row>
    <row r="2563" spans="1:7" x14ac:dyDescent="0.3">
      <c r="A2563" t="str">
        <f>IF(ISBLANK(B2563),"",IF(ROUND(B2563,0)=ROUND(G2563,0),"Pass","Fail"))</f>
        <v>Pass</v>
      </c>
      <c r="B2563">
        <f t="shared" si="141"/>
        <v>20.879997253417969</v>
      </c>
      <c r="C2563">
        <v>30</v>
      </c>
      <c r="D2563">
        <v>0</v>
      </c>
      <c r="E2563">
        <v>20</v>
      </c>
      <c r="F2563">
        <v>16</v>
      </c>
      <c r="G2563">
        <v>20.879997247101699</v>
      </c>
    </row>
    <row r="2564" spans="1:7" x14ac:dyDescent="0.3">
      <c r="A2564" t="str">
        <f>IF(ISBLANK(B2564),"",IF(ROUND(B2564,0)=ROUND(G2564,0),"Pass","Fail"))</f>
        <v>Pass</v>
      </c>
      <c r="B2564">
        <f t="shared" si="141"/>
        <v>12.432577133178711</v>
      </c>
      <c r="C2564">
        <v>30</v>
      </c>
      <c r="D2564">
        <v>0</v>
      </c>
      <c r="E2564">
        <v>20</v>
      </c>
      <c r="F2564">
        <v>24</v>
      </c>
      <c r="G2564">
        <v>12.432577413736199</v>
      </c>
    </row>
    <row r="2565" spans="1:7" x14ac:dyDescent="0.3">
      <c r="A2565" t="str">
        <f>IF(ISBLANK(B2565),"",IF(ROUND(B2565,0)=ROUND(G2565,0),"Pass","Fail"))</f>
        <v>Pass</v>
      </c>
      <c r="B2565">
        <f t="shared" si="141"/>
        <v>8.1802730560302734</v>
      </c>
      <c r="C2565">
        <v>30</v>
      </c>
      <c r="D2565">
        <v>0</v>
      </c>
      <c r="E2565">
        <v>20</v>
      </c>
      <c r="F2565">
        <v>32</v>
      </c>
      <c r="G2565">
        <v>8.1802730059946693</v>
      </c>
    </row>
    <row r="2566" spans="1:7" x14ac:dyDescent="0.3">
      <c r="A2566" t="str">
        <f>IF(ISBLANK(B2566),"",IF(ROUND(B2566,0)=ROUND(G2566,0),"Pass","Fail"))</f>
        <v>Pass</v>
      </c>
      <c r="B2566">
        <f t="shared" si="141"/>
        <v>6.039726734161377</v>
      </c>
      <c r="C2566">
        <v>30</v>
      </c>
      <c r="D2566">
        <v>0</v>
      </c>
      <c r="E2566">
        <v>20</v>
      </c>
      <c r="F2566">
        <v>40</v>
      </c>
      <c r="G2566">
        <v>6.0397267643271002</v>
      </c>
    </row>
    <row r="2567" spans="1:7" x14ac:dyDescent="0.3">
      <c r="A2567" t="str">
        <f>IF(ISBLANK(B2567),"",IF(ROUND(B2567,0)=ROUND(G2567,0),"Pass","Fail"))</f>
        <v>Pass</v>
      </c>
      <c r="B2567">
        <f t="shared" ref="B2567:B2630" si="142">FMC_heath(C2567,D2567,E2567,F2567)</f>
        <v>4.9622077941894531</v>
      </c>
      <c r="C2567">
        <v>30</v>
      </c>
      <c r="D2567">
        <v>0</v>
      </c>
      <c r="E2567">
        <v>20</v>
      </c>
      <c r="F2567">
        <v>48</v>
      </c>
      <c r="G2567">
        <v>4.9622079008197204</v>
      </c>
    </row>
    <row r="2568" spans="1:7" x14ac:dyDescent="0.3">
      <c r="A2568" t="str">
        <f>IF(ISBLANK(B2568),"",IF(ROUND(B2568,0)=ROUND(G2568,0),"Pass","Fail"))</f>
        <v>Pass</v>
      </c>
      <c r="B2568">
        <f t="shared" si="142"/>
        <v>70.998001098632813</v>
      </c>
      <c r="C2568">
        <v>30</v>
      </c>
      <c r="D2568">
        <v>0</v>
      </c>
      <c r="E2568">
        <v>30</v>
      </c>
      <c r="F2568">
        <v>0</v>
      </c>
      <c r="G2568">
        <v>70.998000000000005</v>
      </c>
    </row>
    <row r="2569" spans="1:7" x14ac:dyDescent="0.3">
      <c r="A2569" t="str">
        <f>IF(ISBLANK(B2569),"",IF(ROUND(B2569,0)=ROUND(G2569,0),"Pass","Fail"))</f>
        <v>Pass</v>
      </c>
      <c r="B2569">
        <f t="shared" si="142"/>
        <v>37.661228179931641</v>
      </c>
      <c r="C2569">
        <v>30</v>
      </c>
      <c r="D2569">
        <v>0</v>
      </c>
      <c r="E2569">
        <v>30</v>
      </c>
      <c r="F2569">
        <v>8</v>
      </c>
      <c r="G2569">
        <v>37.661228080722999</v>
      </c>
    </row>
    <row r="2570" spans="1:7" x14ac:dyDescent="0.3">
      <c r="A2570" t="str">
        <f>IF(ISBLANK(B2570),"",IF(ROUND(B2570,0)=ROUND(G2570,0),"Pass","Fail"))</f>
        <v>Pass</v>
      </c>
      <c r="B2570">
        <f t="shared" si="142"/>
        <v>20.879997253417969</v>
      </c>
      <c r="C2570">
        <v>30</v>
      </c>
      <c r="D2570">
        <v>0</v>
      </c>
      <c r="E2570">
        <v>30</v>
      </c>
      <c r="F2570">
        <v>16</v>
      </c>
      <c r="G2570">
        <v>20.879997247101699</v>
      </c>
    </row>
    <row r="2571" spans="1:7" x14ac:dyDescent="0.3">
      <c r="A2571" t="str">
        <f>IF(ISBLANK(B2571),"",IF(ROUND(B2571,0)=ROUND(G2571,0),"Pass","Fail"))</f>
        <v>Pass</v>
      </c>
      <c r="B2571">
        <f t="shared" si="142"/>
        <v>12.432577133178711</v>
      </c>
      <c r="C2571">
        <v>30</v>
      </c>
      <c r="D2571">
        <v>0</v>
      </c>
      <c r="E2571">
        <v>30</v>
      </c>
      <c r="F2571">
        <v>24</v>
      </c>
      <c r="G2571">
        <v>12.432577413736199</v>
      </c>
    </row>
    <row r="2572" spans="1:7" x14ac:dyDescent="0.3">
      <c r="A2572" t="str">
        <f>IF(ISBLANK(B2572),"",IF(ROUND(B2572,0)=ROUND(G2572,0),"Pass","Fail"))</f>
        <v>Pass</v>
      </c>
      <c r="B2572">
        <f t="shared" si="142"/>
        <v>8.1802730560302734</v>
      </c>
      <c r="C2572">
        <v>30</v>
      </c>
      <c r="D2572">
        <v>0</v>
      </c>
      <c r="E2572">
        <v>30</v>
      </c>
      <c r="F2572">
        <v>32</v>
      </c>
      <c r="G2572">
        <v>8.1802730059946693</v>
      </c>
    </row>
    <row r="2573" spans="1:7" x14ac:dyDescent="0.3">
      <c r="A2573" t="str">
        <f>IF(ISBLANK(B2573),"",IF(ROUND(B2573,0)=ROUND(G2573,0),"Pass","Fail"))</f>
        <v>Pass</v>
      </c>
      <c r="B2573">
        <f t="shared" si="142"/>
        <v>6.039726734161377</v>
      </c>
      <c r="C2573">
        <v>30</v>
      </c>
      <c r="D2573">
        <v>0</v>
      </c>
      <c r="E2573">
        <v>30</v>
      </c>
      <c r="F2573">
        <v>40</v>
      </c>
      <c r="G2573">
        <v>6.0397267643271002</v>
      </c>
    </row>
    <row r="2574" spans="1:7" x14ac:dyDescent="0.3">
      <c r="A2574" t="str">
        <f>IF(ISBLANK(B2574),"",IF(ROUND(B2574,0)=ROUND(G2574,0),"Pass","Fail"))</f>
        <v>Pass</v>
      </c>
      <c r="B2574">
        <f t="shared" si="142"/>
        <v>4.9622077941894531</v>
      </c>
      <c r="C2574">
        <v>30</v>
      </c>
      <c r="D2574">
        <v>0</v>
      </c>
      <c r="E2574">
        <v>30</v>
      </c>
      <c r="F2574">
        <v>48</v>
      </c>
      <c r="G2574">
        <v>4.9622079008197204</v>
      </c>
    </row>
    <row r="2575" spans="1:7" x14ac:dyDescent="0.3">
      <c r="A2575" t="str">
        <f>IF(ISBLANK(B2575),"",IF(ROUND(B2575,0)=ROUND(G2575,0),"Pass","Fail"))</f>
        <v>Pass</v>
      </c>
      <c r="B2575">
        <f t="shared" si="142"/>
        <v>70.998001098632813</v>
      </c>
      <c r="C2575">
        <v>30</v>
      </c>
      <c r="D2575">
        <v>0</v>
      </c>
      <c r="E2575">
        <v>40</v>
      </c>
      <c r="F2575">
        <v>0</v>
      </c>
      <c r="G2575">
        <v>70.998000000000005</v>
      </c>
    </row>
    <row r="2576" spans="1:7" x14ac:dyDescent="0.3">
      <c r="A2576" t="str">
        <f>IF(ISBLANK(B2576),"",IF(ROUND(B2576,0)=ROUND(G2576,0),"Pass","Fail"))</f>
        <v>Pass</v>
      </c>
      <c r="B2576">
        <f t="shared" si="142"/>
        <v>37.661228179931641</v>
      </c>
      <c r="C2576">
        <v>30</v>
      </c>
      <c r="D2576">
        <v>0</v>
      </c>
      <c r="E2576">
        <v>40</v>
      </c>
      <c r="F2576">
        <v>8</v>
      </c>
      <c r="G2576">
        <v>37.661228080722999</v>
      </c>
    </row>
    <row r="2577" spans="1:7" x14ac:dyDescent="0.3">
      <c r="A2577" t="str">
        <f>IF(ISBLANK(B2577),"",IF(ROUND(B2577,0)=ROUND(G2577,0),"Pass","Fail"))</f>
        <v>Pass</v>
      </c>
      <c r="B2577">
        <f t="shared" si="142"/>
        <v>20.879997253417969</v>
      </c>
      <c r="C2577">
        <v>30</v>
      </c>
      <c r="D2577">
        <v>0</v>
      </c>
      <c r="E2577">
        <v>40</v>
      </c>
      <c r="F2577">
        <v>16</v>
      </c>
      <c r="G2577">
        <v>20.879997247101699</v>
      </c>
    </row>
    <row r="2578" spans="1:7" x14ac:dyDescent="0.3">
      <c r="A2578" t="str">
        <f>IF(ISBLANK(B2578),"",IF(ROUND(B2578,0)=ROUND(G2578,0),"Pass","Fail"))</f>
        <v>Pass</v>
      </c>
      <c r="B2578">
        <f t="shared" si="142"/>
        <v>12.432577133178711</v>
      </c>
      <c r="C2578">
        <v>30</v>
      </c>
      <c r="D2578">
        <v>0</v>
      </c>
      <c r="E2578">
        <v>40</v>
      </c>
      <c r="F2578">
        <v>24</v>
      </c>
      <c r="G2578">
        <v>12.432577413736199</v>
      </c>
    </row>
    <row r="2579" spans="1:7" x14ac:dyDescent="0.3">
      <c r="A2579" t="str">
        <f>IF(ISBLANK(B2579),"",IF(ROUND(B2579,0)=ROUND(G2579,0),"Pass","Fail"))</f>
        <v>Pass</v>
      </c>
      <c r="B2579">
        <f t="shared" si="142"/>
        <v>8.1802730560302734</v>
      </c>
      <c r="C2579">
        <v>30</v>
      </c>
      <c r="D2579">
        <v>0</v>
      </c>
      <c r="E2579">
        <v>40</v>
      </c>
      <c r="F2579">
        <v>32</v>
      </c>
      <c r="G2579">
        <v>8.1802730059946693</v>
      </c>
    </row>
    <row r="2580" spans="1:7" x14ac:dyDescent="0.3">
      <c r="A2580" t="str">
        <f>IF(ISBLANK(B2580),"",IF(ROUND(B2580,0)=ROUND(G2580,0),"Pass","Fail"))</f>
        <v>Pass</v>
      </c>
      <c r="B2580">
        <f t="shared" si="142"/>
        <v>6.039726734161377</v>
      </c>
      <c r="C2580">
        <v>30</v>
      </c>
      <c r="D2580">
        <v>0</v>
      </c>
      <c r="E2580">
        <v>40</v>
      </c>
      <c r="F2580">
        <v>40</v>
      </c>
      <c r="G2580">
        <v>6.0397267643271002</v>
      </c>
    </row>
    <row r="2581" spans="1:7" x14ac:dyDescent="0.3">
      <c r="A2581" t="str">
        <f>IF(ISBLANK(B2581),"",IF(ROUND(B2581,0)=ROUND(G2581,0),"Pass","Fail"))</f>
        <v>Pass</v>
      </c>
      <c r="B2581">
        <f t="shared" si="142"/>
        <v>4.9622077941894531</v>
      </c>
      <c r="C2581">
        <v>30</v>
      </c>
      <c r="D2581">
        <v>0</v>
      </c>
      <c r="E2581">
        <v>40</v>
      </c>
      <c r="F2581">
        <v>48</v>
      </c>
      <c r="G2581">
        <v>4.9622079008197204</v>
      </c>
    </row>
    <row r="2582" spans="1:7" x14ac:dyDescent="0.3">
      <c r="A2582" t="str">
        <f>IF(ISBLANK(B2582),"",IF(ROUND(B2582,0)=ROUND(G2582,0),"Pass","Fail"))</f>
        <v>Pass</v>
      </c>
      <c r="B2582">
        <f t="shared" si="142"/>
        <v>70.998001098632813</v>
      </c>
      <c r="C2582">
        <v>30</v>
      </c>
      <c r="D2582">
        <v>0</v>
      </c>
      <c r="E2582">
        <v>50</v>
      </c>
      <c r="F2582">
        <v>0</v>
      </c>
      <c r="G2582">
        <v>70.998000000000005</v>
      </c>
    </row>
    <row r="2583" spans="1:7" x14ac:dyDescent="0.3">
      <c r="A2583" t="str">
        <f>IF(ISBLANK(B2583),"",IF(ROUND(B2583,0)=ROUND(G2583,0),"Pass","Fail"))</f>
        <v>Pass</v>
      </c>
      <c r="B2583">
        <f t="shared" si="142"/>
        <v>37.661228179931641</v>
      </c>
      <c r="C2583">
        <v>30</v>
      </c>
      <c r="D2583">
        <v>0</v>
      </c>
      <c r="E2583">
        <v>50</v>
      </c>
      <c r="F2583">
        <v>8</v>
      </c>
      <c r="G2583">
        <v>37.661228080722999</v>
      </c>
    </row>
    <row r="2584" spans="1:7" x14ac:dyDescent="0.3">
      <c r="A2584" t="str">
        <f>IF(ISBLANK(B2584),"",IF(ROUND(B2584,0)=ROUND(G2584,0),"Pass","Fail"))</f>
        <v>Pass</v>
      </c>
      <c r="B2584">
        <f t="shared" si="142"/>
        <v>20.879997253417969</v>
      </c>
      <c r="C2584">
        <v>30</v>
      </c>
      <c r="D2584">
        <v>0</v>
      </c>
      <c r="E2584">
        <v>50</v>
      </c>
      <c r="F2584">
        <v>16</v>
      </c>
      <c r="G2584">
        <v>20.879997247101699</v>
      </c>
    </row>
    <row r="2585" spans="1:7" x14ac:dyDescent="0.3">
      <c r="A2585" t="str">
        <f>IF(ISBLANK(B2585),"",IF(ROUND(B2585,0)=ROUND(G2585,0),"Pass","Fail"))</f>
        <v>Pass</v>
      </c>
      <c r="B2585">
        <f t="shared" si="142"/>
        <v>12.432577133178711</v>
      </c>
      <c r="C2585">
        <v>30</v>
      </c>
      <c r="D2585">
        <v>0</v>
      </c>
      <c r="E2585">
        <v>50</v>
      </c>
      <c r="F2585">
        <v>24</v>
      </c>
      <c r="G2585">
        <v>12.432577413736199</v>
      </c>
    </row>
    <row r="2586" spans="1:7" x14ac:dyDescent="0.3">
      <c r="A2586" t="str">
        <f>IF(ISBLANK(B2586),"",IF(ROUND(B2586,0)=ROUND(G2586,0),"Pass","Fail"))</f>
        <v>Pass</v>
      </c>
      <c r="B2586">
        <f t="shared" si="142"/>
        <v>8.1802730560302734</v>
      </c>
      <c r="C2586">
        <v>30</v>
      </c>
      <c r="D2586">
        <v>0</v>
      </c>
      <c r="E2586">
        <v>50</v>
      </c>
      <c r="F2586">
        <v>32</v>
      </c>
      <c r="G2586">
        <v>8.1802730059946693</v>
      </c>
    </row>
    <row r="2587" spans="1:7" x14ac:dyDescent="0.3">
      <c r="A2587" t="str">
        <f>IF(ISBLANK(B2587),"",IF(ROUND(B2587,0)=ROUND(G2587,0),"Pass","Fail"))</f>
        <v>Pass</v>
      </c>
      <c r="B2587">
        <f t="shared" si="142"/>
        <v>6.039726734161377</v>
      </c>
      <c r="C2587">
        <v>30</v>
      </c>
      <c r="D2587">
        <v>0</v>
      </c>
      <c r="E2587">
        <v>50</v>
      </c>
      <c r="F2587">
        <v>40</v>
      </c>
      <c r="G2587">
        <v>6.0397267643271002</v>
      </c>
    </row>
    <row r="2588" spans="1:7" x14ac:dyDescent="0.3">
      <c r="A2588" t="str">
        <f>IF(ISBLANK(B2588),"",IF(ROUND(B2588,0)=ROUND(G2588,0),"Pass","Fail"))</f>
        <v>Pass</v>
      </c>
      <c r="B2588">
        <f t="shared" si="142"/>
        <v>4.9622077941894531</v>
      </c>
      <c r="C2588">
        <v>30</v>
      </c>
      <c r="D2588">
        <v>0</v>
      </c>
      <c r="E2588">
        <v>50</v>
      </c>
      <c r="F2588">
        <v>48</v>
      </c>
      <c r="G2588">
        <v>4.9622079008197204</v>
      </c>
    </row>
    <row r="2589" spans="1:7" x14ac:dyDescent="0.3">
      <c r="A2589" t="str">
        <f>IF(ISBLANK(B2589),"",IF(ROUND(B2589,0)=ROUND(G2589,0),"Pass","Fail"))</f>
        <v>Pass</v>
      </c>
      <c r="B2589">
        <f t="shared" si="142"/>
        <v>70.998001098632813</v>
      </c>
      <c r="C2589">
        <v>30</v>
      </c>
      <c r="D2589">
        <v>0</v>
      </c>
      <c r="E2589">
        <v>60</v>
      </c>
      <c r="F2589">
        <v>0</v>
      </c>
      <c r="G2589">
        <v>70.998000000000005</v>
      </c>
    </row>
    <row r="2590" spans="1:7" x14ac:dyDescent="0.3">
      <c r="A2590" t="str">
        <f>IF(ISBLANK(B2590),"",IF(ROUND(B2590,0)=ROUND(G2590,0),"Pass","Fail"))</f>
        <v>Pass</v>
      </c>
      <c r="B2590">
        <f t="shared" si="142"/>
        <v>37.661228179931641</v>
      </c>
      <c r="C2590">
        <v>30</v>
      </c>
      <c r="D2590">
        <v>0</v>
      </c>
      <c r="E2590">
        <v>60</v>
      </c>
      <c r="F2590">
        <v>8</v>
      </c>
      <c r="G2590">
        <v>37.661228080722999</v>
      </c>
    </row>
    <row r="2591" spans="1:7" x14ac:dyDescent="0.3">
      <c r="A2591" t="str">
        <f>IF(ISBLANK(B2591),"",IF(ROUND(B2591,0)=ROUND(G2591,0),"Pass","Fail"))</f>
        <v>Pass</v>
      </c>
      <c r="B2591">
        <f t="shared" si="142"/>
        <v>20.879997253417969</v>
      </c>
      <c r="C2591">
        <v>30</v>
      </c>
      <c r="D2591">
        <v>0</v>
      </c>
      <c r="E2591">
        <v>60</v>
      </c>
      <c r="F2591">
        <v>16</v>
      </c>
      <c r="G2591">
        <v>20.879997247101699</v>
      </c>
    </row>
    <row r="2592" spans="1:7" x14ac:dyDescent="0.3">
      <c r="A2592" t="str">
        <f>IF(ISBLANK(B2592),"",IF(ROUND(B2592,0)=ROUND(G2592,0),"Pass","Fail"))</f>
        <v>Pass</v>
      </c>
      <c r="B2592">
        <f t="shared" si="142"/>
        <v>12.432577133178711</v>
      </c>
      <c r="C2592">
        <v>30</v>
      </c>
      <c r="D2592">
        <v>0</v>
      </c>
      <c r="E2592">
        <v>60</v>
      </c>
      <c r="F2592">
        <v>24</v>
      </c>
      <c r="G2592">
        <v>12.432577413736199</v>
      </c>
    </row>
    <row r="2593" spans="1:7" x14ac:dyDescent="0.3">
      <c r="A2593" t="str">
        <f>IF(ISBLANK(B2593),"",IF(ROUND(B2593,0)=ROUND(G2593,0),"Pass","Fail"))</f>
        <v>Pass</v>
      </c>
      <c r="B2593">
        <f t="shared" si="142"/>
        <v>8.1802730560302734</v>
      </c>
      <c r="C2593">
        <v>30</v>
      </c>
      <c r="D2593">
        <v>0</v>
      </c>
      <c r="E2593">
        <v>60</v>
      </c>
      <c r="F2593">
        <v>32</v>
      </c>
      <c r="G2593">
        <v>8.1802730059946693</v>
      </c>
    </row>
    <row r="2594" spans="1:7" x14ac:dyDescent="0.3">
      <c r="A2594" t="str">
        <f>IF(ISBLANK(B2594),"",IF(ROUND(B2594,0)=ROUND(G2594,0),"Pass","Fail"))</f>
        <v>Pass</v>
      </c>
      <c r="B2594">
        <f t="shared" si="142"/>
        <v>6.039726734161377</v>
      </c>
      <c r="C2594">
        <v>30</v>
      </c>
      <c r="D2594">
        <v>0</v>
      </c>
      <c r="E2594">
        <v>60</v>
      </c>
      <c r="F2594">
        <v>40</v>
      </c>
      <c r="G2594">
        <v>6.0397267643271002</v>
      </c>
    </row>
    <row r="2595" spans="1:7" x14ac:dyDescent="0.3">
      <c r="A2595" t="str">
        <f>IF(ISBLANK(B2595),"",IF(ROUND(B2595,0)=ROUND(G2595,0),"Pass","Fail"))</f>
        <v>Pass</v>
      </c>
      <c r="B2595">
        <f t="shared" si="142"/>
        <v>4.9622077941894531</v>
      </c>
      <c r="C2595">
        <v>30</v>
      </c>
      <c r="D2595">
        <v>0</v>
      </c>
      <c r="E2595">
        <v>60</v>
      </c>
      <c r="F2595">
        <v>48</v>
      </c>
      <c r="G2595">
        <v>4.9622079008197204</v>
      </c>
    </row>
    <row r="2596" spans="1:7" x14ac:dyDescent="0.3">
      <c r="A2596" t="str">
        <f>IF(ISBLANK(B2596),"",IF(ROUND(B2596,0)=ROUND(G2596,0),"Pass","Fail"))</f>
        <v>Pass</v>
      </c>
      <c r="B2596">
        <f t="shared" si="142"/>
        <v>70.998001098632813</v>
      </c>
      <c r="C2596">
        <v>30</v>
      </c>
      <c r="D2596">
        <v>0</v>
      </c>
      <c r="E2596">
        <v>70</v>
      </c>
      <c r="F2596">
        <v>0</v>
      </c>
      <c r="G2596">
        <v>70.998000000000005</v>
      </c>
    </row>
    <row r="2597" spans="1:7" x14ac:dyDescent="0.3">
      <c r="A2597" t="str">
        <f>IF(ISBLANK(B2597),"",IF(ROUND(B2597,0)=ROUND(G2597,0),"Pass","Fail"))</f>
        <v>Pass</v>
      </c>
      <c r="B2597">
        <f t="shared" si="142"/>
        <v>37.661228179931641</v>
      </c>
      <c r="C2597">
        <v>30</v>
      </c>
      <c r="D2597">
        <v>0</v>
      </c>
      <c r="E2597">
        <v>70</v>
      </c>
      <c r="F2597">
        <v>8</v>
      </c>
      <c r="G2597">
        <v>37.661228080722999</v>
      </c>
    </row>
    <row r="2598" spans="1:7" x14ac:dyDescent="0.3">
      <c r="A2598" t="str">
        <f>IF(ISBLANK(B2598),"",IF(ROUND(B2598,0)=ROUND(G2598,0),"Pass","Fail"))</f>
        <v>Pass</v>
      </c>
      <c r="B2598">
        <f t="shared" si="142"/>
        <v>20.879997253417969</v>
      </c>
      <c r="C2598">
        <v>30</v>
      </c>
      <c r="D2598">
        <v>0</v>
      </c>
      <c r="E2598">
        <v>70</v>
      </c>
      <c r="F2598">
        <v>16</v>
      </c>
      <c r="G2598">
        <v>20.879997247101699</v>
      </c>
    </row>
    <row r="2599" spans="1:7" x14ac:dyDescent="0.3">
      <c r="A2599" t="str">
        <f>IF(ISBLANK(B2599),"",IF(ROUND(B2599,0)=ROUND(G2599,0),"Pass","Fail"))</f>
        <v>Pass</v>
      </c>
      <c r="B2599">
        <f t="shared" si="142"/>
        <v>12.432577133178711</v>
      </c>
      <c r="C2599">
        <v>30</v>
      </c>
      <c r="D2599">
        <v>0</v>
      </c>
      <c r="E2599">
        <v>70</v>
      </c>
      <c r="F2599">
        <v>24</v>
      </c>
      <c r="G2599">
        <v>12.432577413736199</v>
      </c>
    </row>
    <row r="2600" spans="1:7" x14ac:dyDescent="0.3">
      <c r="A2600" t="str">
        <f>IF(ISBLANK(B2600),"",IF(ROUND(B2600,0)=ROUND(G2600,0),"Pass","Fail"))</f>
        <v>Pass</v>
      </c>
      <c r="B2600">
        <f t="shared" si="142"/>
        <v>8.1802730560302734</v>
      </c>
      <c r="C2600">
        <v>30</v>
      </c>
      <c r="D2600">
        <v>0</v>
      </c>
      <c r="E2600">
        <v>70</v>
      </c>
      <c r="F2600">
        <v>32</v>
      </c>
      <c r="G2600">
        <v>8.1802730059946693</v>
      </c>
    </row>
    <row r="2601" spans="1:7" x14ac:dyDescent="0.3">
      <c r="A2601" t="str">
        <f>IF(ISBLANK(B2601),"",IF(ROUND(B2601,0)=ROUND(G2601,0),"Pass","Fail"))</f>
        <v>Pass</v>
      </c>
      <c r="B2601">
        <f t="shared" si="142"/>
        <v>6.039726734161377</v>
      </c>
      <c r="C2601">
        <v>30</v>
      </c>
      <c r="D2601">
        <v>0</v>
      </c>
      <c r="E2601">
        <v>70</v>
      </c>
      <c r="F2601">
        <v>40</v>
      </c>
      <c r="G2601">
        <v>6.0397267643271002</v>
      </c>
    </row>
    <row r="2602" spans="1:7" x14ac:dyDescent="0.3">
      <c r="A2602" t="str">
        <f>IF(ISBLANK(B2602),"",IF(ROUND(B2602,0)=ROUND(G2602,0),"Pass","Fail"))</f>
        <v>Pass</v>
      </c>
      <c r="B2602">
        <f t="shared" si="142"/>
        <v>4.9622077941894531</v>
      </c>
      <c r="C2602">
        <v>30</v>
      </c>
      <c r="D2602">
        <v>0</v>
      </c>
      <c r="E2602">
        <v>70</v>
      </c>
      <c r="F2602">
        <v>48</v>
      </c>
      <c r="G2602">
        <v>4.9622079008197204</v>
      </c>
    </row>
    <row r="2603" spans="1:7" x14ac:dyDescent="0.3">
      <c r="A2603" t="str">
        <f>IF(ISBLANK(B2603),"",IF(ROUND(B2603,0)=ROUND(G2603,0),"Pass","Fail"))</f>
        <v>Pass</v>
      </c>
      <c r="B2603">
        <f t="shared" si="142"/>
        <v>70.998001098632813</v>
      </c>
      <c r="C2603">
        <v>30</v>
      </c>
      <c r="D2603">
        <v>0</v>
      </c>
      <c r="E2603">
        <v>80</v>
      </c>
      <c r="F2603">
        <v>0</v>
      </c>
      <c r="G2603">
        <v>70.998000000000005</v>
      </c>
    </row>
    <row r="2604" spans="1:7" x14ac:dyDescent="0.3">
      <c r="A2604" t="str">
        <f>IF(ISBLANK(B2604),"",IF(ROUND(B2604,0)=ROUND(G2604,0),"Pass","Fail"))</f>
        <v>Pass</v>
      </c>
      <c r="B2604">
        <f t="shared" si="142"/>
        <v>37.661228179931641</v>
      </c>
      <c r="C2604">
        <v>30</v>
      </c>
      <c r="D2604">
        <v>0</v>
      </c>
      <c r="E2604">
        <v>80</v>
      </c>
      <c r="F2604">
        <v>8</v>
      </c>
      <c r="G2604">
        <v>37.661228080722999</v>
      </c>
    </row>
    <row r="2605" spans="1:7" x14ac:dyDescent="0.3">
      <c r="A2605" t="str">
        <f>IF(ISBLANK(B2605),"",IF(ROUND(B2605,0)=ROUND(G2605,0),"Pass","Fail"))</f>
        <v>Pass</v>
      </c>
      <c r="B2605">
        <f t="shared" si="142"/>
        <v>20.879997253417969</v>
      </c>
      <c r="C2605">
        <v>30</v>
      </c>
      <c r="D2605">
        <v>0</v>
      </c>
      <c r="E2605">
        <v>80</v>
      </c>
      <c r="F2605">
        <v>16</v>
      </c>
      <c r="G2605">
        <v>20.879997247101699</v>
      </c>
    </row>
    <row r="2606" spans="1:7" x14ac:dyDescent="0.3">
      <c r="A2606" t="str">
        <f>IF(ISBLANK(B2606),"",IF(ROUND(B2606,0)=ROUND(G2606,0),"Pass","Fail"))</f>
        <v>Pass</v>
      </c>
      <c r="B2606">
        <f t="shared" si="142"/>
        <v>12.432577133178711</v>
      </c>
      <c r="C2606">
        <v>30</v>
      </c>
      <c r="D2606">
        <v>0</v>
      </c>
      <c r="E2606">
        <v>80</v>
      </c>
      <c r="F2606">
        <v>24</v>
      </c>
      <c r="G2606">
        <v>12.432577413736199</v>
      </c>
    </row>
    <row r="2607" spans="1:7" x14ac:dyDescent="0.3">
      <c r="A2607" t="str">
        <f>IF(ISBLANK(B2607),"",IF(ROUND(B2607,0)=ROUND(G2607,0),"Pass","Fail"))</f>
        <v>Pass</v>
      </c>
      <c r="B2607">
        <f t="shared" si="142"/>
        <v>8.1802730560302734</v>
      </c>
      <c r="C2607">
        <v>30</v>
      </c>
      <c r="D2607">
        <v>0</v>
      </c>
      <c r="E2607">
        <v>80</v>
      </c>
      <c r="F2607">
        <v>32</v>
      </c>
      <c r="G2607">
        <v>8.1802730059946693</v>
      </c>
    </row>
    <row r="2608" spans="1:7" x14ac:dyDescent="0.3">
      <c r="A2608" t="str">
        <f>IF(ISBLANK(B2608),"",IF(ROUND(B2608,0)=ROUND(G2608,0),"Pass","Fail"))</f>
        <v>Pass</v>
      </c>
      <c r="B2608">
        <f t="shared" si="142"/>
        <v>6.039726734161377</v>
      </c>
      <c r="C2608">
        <v>30</v>
      </c>
      <c r="D2608">
        <v>0</v>
      </c>
      <c r="E2608">
        <v>80</v>
      </c>
      <c r="F2608">
        <v>40</v>
      </c>
      <c r="G2608">
        <v>6.0397267643271002</v>
      </c>
    </row>
    <row r="2609" spans="1:7" x14ac:dyDescent="0.3">
      <c r="A2609" t="str">
        <f>IF(ISBLANK(B2609),"",IF(ROUND(B2609,0)=ROUND(G2609,0),"Pass","Fail"))</f>
        <v>Pass</v>
      </c>
      <c r="B2609">
        <f t="shared" si="142"/>
        <v>4.9622077941894531</v>
      </c>
      <c r="C2609">
        <v>30</v>
      </c>
      <c r="D2609">
        <v>0</v>
      </c>
      <c r="E2609">
        <v>80</v>
      </c>
      <c r="F2609">
        <v>48</v>
      </c>
      <c r="G2609">
        <v>4.9622079008197204</v>
      </c>
    </row>
    <row r="2610" spans="1:7" x14ac:dyDescent="0.3">
      <c r="A2610" t="str">
        <f>IF(ISBLANK(B2610),"",IF(ROUND(B2610,0)=ROUND(G2610,0),"Pass","Fail"))</f>
        <v>Pass</v>
      </c>
      <c r="B2610">
        <f t="shared" si="142"/>
        <v>70.998001098632813</v>
      </c>
      <c r="C2610">
        <v>30</v>
      </c>
      <c r="D2610">
        <v>0</v>
      </c>
      <c r="E2610">
        <v>90</v>
      </c>
      <c r="F2610">
        <v>0</v>
      </c>
      <c r="G2610">
        <v>70.998000000000005</v>
      </c>
    </row>
    <row r="2611" spans="1:7" x14ac:dyDescent="0.3">
      <c r="A2611" t="str">
        <f>IF(ISBLANK(B2611),"",IF(ROUND(B2611,0)=ROUND(G2611,0),"Pass","Fail"))</f>
        <v>Pass</v>
      </c>
      <c r="B2611">
        <f t="shared" si="142"/>
        <v>37.661228179931641</v>
      </c>
      <c r="C2611">
        <v>30</v>
      </c>
      <c r="D2611">
        <v>0</v>
      </c>
      <c r="E2611">
        <v>90</v>
      </c>
      <c r="F2611">
        <v>8</v>
      </c>
      <c r="G2611">
        <v>37.661228080722999</v>
      </c>
    </row>
    <row r="2612" spans="1:7" x14ac:dyDescent="0.3">
      <c r="A2612" t="str">
        <f>IF(ISBLANK(B2612),"",IF(ROUND(B2612,0)=ROUND(G2612,0),"Pass","Fail"))</f>
        <v>Pass</v>
      </c>
      <c r="B2612">
        <f t="shared" si="142"/>
        <v>20.879997253417969</v>
      </c>
      <c r="C2612">
        <v>30</v>
      </c>
      <c r="D2612">
        <v>0</v>
      </c>
      <c r="E2612">
        <v>90</v>
      </c>
      <c r="F2612">
        <v>16</v>
      </c>
      <c r="G2612">
        <v>20.879997247101699</v>
      </c>
    </row>
    <row r="2613" spans="1:7" x14ac:dyDescent="0.3">
      <c r="A2613" t="str">
        <f>IF(ISBLANK(B2613),"",IF(ROUND(B2613,0)=ROUND(G2613,0),"Pass","Fail"))</f>
        <v>Pass</v>
      </c>
      <c r="B2613">
        <f t="shared" si="142"/>
        <v>12.432577133178711</v>
      </c>
      <c r="C2613">
        <v>30</v>
      </c>
      <c r="D2613">
        <v>0</v>
      </c>
      <c r="E2613">
        <v>90</v>
      </c>
      <c r="F2613">
        <v>24</v>
      </c>
      <c r="G2613">
        <v>12.432577413736199</v>
      </c>
    </row>
    <row r="2614" spans="1:7" x14ac:dyDescent="0.3">
      <c r="A2614" t="str">
        <f>IF(ISBLANK(B2614),"",IF(ROUND(B2614,0)=ROUND(G2614,0),"Pass","Fail"))</f>
        <v>Pass</v>
      </c>
      <c r="B2614">
        <f t="shared" si="142"/>
        <v>8.1802730560302734</v>
      </c>
      <c r="C2614">
        <v>30</v>
      </c>
      <c r="D2614">
        <v>0</v>
      </c>
      <c r="E2614">
        <v>90</v>
      </c>
      <c r="F2614">
        <v>32</v>
      </c>
      <c r="G2614">
        <v>8.1802730059946693</v>
      </c>
    </row>
    <row r="2615" spans="1:7" x14ac:dyDescent="0.3">
      <c r="A2615" t="str">
        <f>IF(ISBLANK(B2615),"",IF(ROUND(B2615,0)=ROUND(G2615,0),"Pass","Fail"))</f>
        <v>Pass</v>
      </c>
      <c r="B2615">
        <f t="shared" si="142"/>
        <v>6.039726734161377</v>
      </c>
      <c r="C2615">
        <v>30</v>
      </c>
      <c r="D2615">
        <v>0</v>
      </c>
      <c r="E2615">
        <v>90</v>
      </c>
      <c r="F2615">
        <v>40</v>
      </c>
      <c r="G2615">
        <v>6.0397267643271002</v>
      </c>
    </row>
    <row r="2616" spans="1:7" x14ac:dyDescent="0.3">
      <c r="A2616" t="str">
        <f>IF(ISBLANK(B2616),"",IF(ROUND(B2616,0)=ROUND(G2616,0),"Pass","Fail"))</f>
        <v>Pass</v>
      </c>
      <c r="B2616">
        <f t="shared" si="142"/>
        <v>4.9622077941894531</v>
      </c>
      <c r="C2616">
        <v>30</v>
      </c>
      <c r="D2616">
        <v>0</v>
      </c>
      <c r="E2616">
        <v>90</v>
      </c>
      <c r="F2616">
        <v>48</v>
      </c>
      <c r="G2616">
        <v>4.9622079008197204</v>
      </c>
    </row>
    <row r="2617" spans="1:7" x14ac:dyDescent="0.3">
      <c r="A2617" t="str">
        <f>IF(ISBLANK(B2617),"",IF(ROUND(B2617,0)=ROUND(G2617,0),"Pass","Fail"))</f>
        <v>Pass</v>
      </c>
      <c r="B2617">
        <f t="shared" si="142"/>
        <v>70.998001098632813</v>
      </c>
      <c r="C2617">
        <v>30</v>
      </c>
      <c r="D2617">
        <v>0</v>
      </c>
      <c r="E2617">
        <v>100</v>
      </c>
      <c r="F2617">
        <v>0</v>
      </c>
      <c r="G2617">
        <v>70.998000000000005</v>
      </c>
    </row>
    <row r="2618" spans="1:7" x14ac:dyDescent="0.3">
      <c r="A2618" t="str">
        <f>IF(ISBLANK(B2618),"",IF(ROUND(B2618,0)=ROUND(G2618,0),"Pass","Fail"))</f>
        <v>Pass</v>
      </c>
      <c r="B2618">
        <f t="shared" si="142"/>
        <v>37.661228179931641</v>
      </c>
      <c r="C2618">
        <v>30</v>
      </c>
      <c r="D2618">
        <v>0</v>
      </c>
      <c r="E2618">
        <v>100</v>
      </c>
      <c r="F2618">
        <v>8</v>
      </c>
      <c r="G2618">
        <v>37.661228080722999</v>
      </c>
    </row>
    <row r="2619" spans="1:7" x14ac:dyDescent="0.3">
      <c r="A2619" t="str">
        <f>IF(ISBLANK(B2619),"",IF(ROUND(B2619,0)=ROUND(G2619,0),"Pass","Fail"))</f>
        <v>Pass</v>
      </c>
      <c r="B2619">
        <f t="shared" si="142"/>
        <v>20.879997253417969</v>
      </c>
      <c r="C2619">
        <v>30</v>
      </c>
      <c r="D2619">
        <v>0</v>
      </c>
      <c r="E2619">
        <v>100</v>
      </c>
      <c r="F2619">
        <v>16</v>
      </c>
      <c r="G2619">
        <v>20.879997247101699</v>
      </c>
    </row>
    <row r="2620" spans="1:7" x14ac:dyDescent="0.3">
      <c r="A2620" t="str">
        <f>IF(ISBLANK(B2620),"",IF(ROUND(B2620,0)=ROUND(G2620,0),"Pass","Fail"))</f>
        <v>Pass</v>
      </c>
      <c r="B2620">
        <f t="shared" si="142"/>
        <v>12.432577133178711</v>
      </c>
      <c r="C2620">
        <v>30</v>
      </c>
      <c r="D2620">
        <v>0</v>
      </c>
      <c r="E2620">
        <v>100</v>
      </c>
      <c r="F2620">
        <v>24</v>
      </c>
      <c r="G2620">
        <v>12.432577413736199</v>
      </c>
    </row>
    <row r="2621" spans="1:7" x14ac:dyDescent="0.3">
      <c r="A2621" t="str">
        <f>IF(ISBLANK(B2621),"",IF(ROUND(B2621,0)=ROUND(G2621,0),"Pass","Fail"))</f>
        <v>Pass</v>
      </c>
      <c r="B2621">
        <f t="shared" si="142"/>
        <v>8.1802730560302734</v>
      </c>
      <c r="C2621">
        <v>30</v>
      </c>
      <c r="D2621">
        <v>0</v>
      </c>
      <c r="E2621">
        <v>100</v>
      </c>
      <c r="F2621">
        <v>32</v>
      </c>
      <c r="G2621">
        <v>8.1802730059946693</v>
      </c>
    </row>
    <row r="2622" spans="1:7" x14ac:dyDescent="0.3">
      <c r="A2622" t="str">
        <f>IF(ISBLANK(B2622),"",IF(ROUND(B2622,0)=ROUND(G2622,0),"Pass","Fail"))</f>
        <v>Pass</v>
      </c>
      <c r="B2622">
        <f t="shared" si="142"/>
        <v>6.039726734161377</v>
      </c>
      <c r="C2622">
        <v>30</v>
      </c>
      <c r="D2622">
        <v>0</v>
      </c>
      <c r="E2622">
        <v>100</v>
      </c>
      <c r="F2622">
        <v>40</v>
      </c>
      <c r="G2622">
        <v>6.0397267643271002</v>
      </c>
    </row>
    <row r="2623" spans="1:7" x14ac:dyDescent="0.3">
      <c r="A2623" t="str">
        <f>IF(ISBLANK(B2623),"",IF(ROUND(B2623,0)=ROUND(G2623,0),"Pass","Fail"))</f>
        <v>Pass</v>
      </c>
      <c r="B2623">
        <f t="shared" si="142"/>
        <v>4.9622077941894531</v>
      </c>
      <c r="C2623">
        <v>30</v>
      </c>
      <c r="D2623">
        <v>0</v>
      </c>
      <c r="E2623">
        <v>100</v>
      </c>
      <c r="F2623">
        <v>48</v>
      </c>
      <c r="G2623">
        <v>4.9622079008197204</v>
      </c>
    </row>
    <row r="2624" spans="1:7" x14ac:dyDescent="0.3">
      <c r="A2624" t="str">
        <f>IF(ISBLANK(B2624),"",IF(ROUND(B2624,0)=ROUND(G2624,0),"Pass","Fail"))</f>
        <v>Pass</v>
      </c>
      <c r="B2624">
        <f t="shared" si="142"/>
        <v>5.2100000381469727</v>
      </c>
      <c r="C2624">
        <v>30</v>
      </c>
      <c r="D2624">
        <v>10</v>
      </c>
      <c r="E2624">
        <v>0</v>
      </c>
      <c r="F2624">
        <v>0</v>
      </c>
      <c r="G2624">
        <v>5.21</v>
      </c>
    </row>
    <row r="2625" spans="1:7" x14ac:dyDescent="0.3">
      <c r="A2625" t="str">
        <f>IF(ISBLANK(B2625),"",IF(ROUND(B2625,0)=ROUND(G2625,0),"Pass","Fail"))</f>
        <v>Pass</v>
      </c>
      <c r="B2625">
        <f t="shared" si="142"/>
        <v>5.2100000381469727</v>
      </c>
      <c r="C2625">
        <v>30</v>
      </c>
      <c r="D2625">
        <v>10</v>
      </c>
      <c r="E2625">
        <v>0</v>
      </c>
      <c r="F2625">
        <v>8</v>
      </c>
      <c r="G2625">
        <v>5.21</v>
      </c>
    </row>
    <row r="2626" spans="1:7" x14ac:dyDescent="0.3">
      <c r="A2626" t="str">
        <f>IF(ISBLANK(B2626),"",IF(ROUND(B2626,0)=ROUND(G2626,0),"Pass","Fail"))</f>
        <v>Pass</v>
      </c>
      <c r="B2626">
        <f t="shared" si="142"/>
        <v>5.2100000381469727</v>
      </c>
      <c r="C2626">
        <v>30</v>
      </c>
      <c r="D2626">
        <v>10</v>
      </c>
      <c r="E2626">
        <v>0</v>
      </c>
      <c r="F2626">
        <v>16</v>
      </c>
      <c r="G2626">
        <v>5.21</v>
      </c>
    </row>
    <row r="2627" spans="1:7" x14ac:dyDescent="0.3">
      <c r="A2627" t="str">
        <f>IF(ISBLANK(B2627),"",IF(ROUND(B2627,0)=ROUND(G2627,0),"Pass","Fail"))</f>
        <v>Pass</v>
      </c>
      <c r="B2627">
        <f t="shared" si="142"/>
        <v>5.2100000381469727</v>
      </c>
      <c r="C2627">
        <v>30</v>
      </c>
      <c r="D2627">
        <v>10</v>
      </c>
      <c r="E2627">
        <v>0</v>
      </c>
      <c r="F2627">
        <v>24</v>
      </c>
      <c r="G2627">
        <v>5.21</v>
      </c>
    </row>
    <row r="2628" spans="1:7" x14ac:dyDescent="0.3">
      <c r="A2628" t="str">
        <f>IF(ISBLANK(B2628),"",IF(ROUND(B2628,0)=ROUND(G2628,0),"Pass","Fail"))</f>
        <v>Pass</v>
      </c>
      <c r="B2628">
        <f t="shared" si="142"/>
        <v>5.2100000381469727</v>
      </c>
      <c r="C2628">
        <v>30</v>
      </c>
      <c r="D2628">
        <v>10</v>
      </c>
      <c r="E2628">
        <v>0</v>
      </c>
      <c r="F2628">
        <v>32</v>
      </c>
      <c r="G2628">
        <v>5.21</v>
      </c>
    </row>
    <row r="2629" spans="1:7" x14ac:dyDescent="0.3">
      <c r="A2629" t="str">
        <f>IF(ISBLANK(B2629),"",IF(ROUND(B2629,0)=ROUND(G2629,0),"Pass","Fail"))</f>
        <v>Pass</v>
      </c>
      <c r="B2629">
        <f t="shared" si="142"/>
        <v>5.2100000381469727</v>
      </c>
      <c r="C2629">
        <v>30</v>
      </c>
      <c r="D2629">
        <v>10</v>
      </c>
      <c r="E2629">
        <v>0</v>
      </c>
      <c r="F2629">
        <v>40</v>
      </c>
      <c r="G2629">
        <v>5.21</v>
      </c>
    </row>
    <row r="2630" spans="1:7" x14ac:dyDescent="0.3">
      <c r="A2630" t="str">
        <f>IF(ISBLANK(B2630),"",IF(ROUND(B2630,0)=ROUND(G2630,0),"Pass","Fail"))</f>
        <v>Pass</v>
      </c>
      <c r="B2630">
        <f t="shared" si="142"/>
        <v>5.2100000381469727</v>
      </c>
      <c r="C2630">
        <v>30</v>
      </c>
      <c r="D2630">
        <v>10</v>
      </c>
      <c r="E2630">
        <v>0</v>
      </c>
      <c r="F2630">
        <v>48</v>
      </c>
      <c r="G2630">
        <v>5.21</v>
      </c>
    </row>
    <row r="2631" spans="1:7" x14ac:dyDescent="0.3">
      <c r="A2631" t="str">
        <f>IF(ISBLANK(B2631),"",IF(ROUND(B2631,0)=ROUND(G2631,0),"Pass","Fail"))</f>
        <v>Pass</v>
      </c>
      <c r="B2631">
        <f t="shared" ref="B2631:B2694" si="143">FMC_heath(C2631,D2631,E2631,F2631)</f>
        <v>72.337997436523438</v>
      </c>
      <c r="C2631">
        <v>30</v>
      </c>
      <c r="D2631">
        <v>10</v>
      </c>
      <c r="E2631">
        <v>10</v>
      </c>
      <c r="F2631">
        <v>0</v>
      </c>
      <c r="G2631">
        <v>72.337999999998303</v>
      </c>
    </row>
    <row r="2632" spans="1:7" x14ac:dyDescent="0.3">
      <c r="A2632" t="str">
        <f>IF(ISBLANK(B2632),"",IF(ROUND(B2632,0)=ROUND(G2632,0),"Pass","Fail"))</f>
        <v>Pass</v>
      </c>
      <c r="B2632">
        <f t="shared" si="143"/>
        <v>39.001228332519531</v>
      </c>
      <c r="C2632">
        <v>30</v>
      </c>
      <c r="D2632">
        <v>10</v>
      </c>
      <c r="E2632">
        <v>10</v>
      </c>
      <c r="F2632">
        <v>8</v>
      </c>
      <c r="G2632">
        <v>39.0012280807222</v>
      </c>
    </row>
    <row r="2633" spans="1:7" x14ac:dyDescent="0.3">
      <c r="A2633" t="str">
        <f>IF(ISBLANK(B2633),"",IF(ROUND(B2633,0)=ROUND(G2633,0),"Pass","Fail"))</f>
        <v>Pass</v>
      </c>
      <c r="B2633">
        <f t="shared" si="143"/>
        <v>22.219997406005859</v>
      </c>
      <c r="C2633">
        <v>30</v>
      </c>
      <c r="D2633">
        <v>10</v>
      </c>
      <c r="E2633">
        <v>10</v>
      </c>
      <c r="F2633">
        <v>16</v>
      </c>
      <c r="G2633">
        <v>22.219997247101301</v>
      </c>
    </row>
    <row r="2634" spans="1:7" x14ac:dyDescent="0.3">
      <c r="A2634" t="str">
        <f>IF(ISBLANK(B2634),"",IF(ROUND(B2634,0)=ROUND(G2634,0),"Pass","Fail"))</f>
        <v>Pass</v>
      </c>
      <c r="B2634">
        <f t="shared" si="143"/>
        <v>13.772577285766602</v>
      </c>
      <c r="C2634">
        <v>30</v>
      </c>
      <c r="D2634">
        <v>10</v>
      </c>
      <c r="E2634">
        <v>10</v>
      </c>
      <c r="F2634">
        <v>24</v>
      </c>
      <c r="G2634">
        <v>13.772577413736</v>
      </c>
    </row>
    <row r="2635" spans="1:7" x14ac:dyDescent="0.3">
      <c r="A2635" t="str">
        <f>IF(ISBLANK(B2635),"",IF(ROUND(B2635,0)=ROUND(G2635,0),"Pass","Fail"))</f>
        <v>Pass</v>
      </c>
      <c r="B2635">
        <f t="shared" si="143"/>
        <v>9.5202732086181641</v>
      </c>
      <c r="C2635">
        <v>30</v>
      </c>
      <c r="D2635">
        <v>10</v>
      </c>
      <c r="E2635">
        <v>10</v>
      </c>
      <c r="F2635">
        <v>32</v>
      </c>
      <c r="G2635">
        <v>9.5202730059945608</v>
      </c>
    </row>
    <row r="2636" spans="1:7" x14ac:dyDescent="0.3">
      <c r="A2636" t="str">
        <f>IF(ISBLANK(B2636),"",IF(ROUND(B2636,0)=ROUND(G2636,0),"Pass","Fail"))</f>
        <v>Pass</v>
      </c>
      <c r="B2636">
        <f t="shared" si="143"/>
        <v>7.3797268867492676</v>
      </c>
      <c r="C2636">
        <v>30</v>
      </c>
      <c r="D2636">
        <v>10</v>
      </c>
      <c r="E2636">
        <v>10</v>
      </c>
      <c r="F2636">
        <v>40</v>
      </c>
      <c r="G2636">
        <v>7.3797267643270503</v>
      </c>
    </row>
    <row r="2637" spans="1:7" x14ac:dyDescent="0.3">
      <c r="A2637" t="str">
        <f>IF(ISBLANK(B2637),"",IF(ROUND(B2637,0)=ROUND(G2637,0),"Pass","Fail"))</f>
        <v>Pass</v>
      </c>
      <c r="B2637">
        <f t="shared" si="143"/>
        <v>6.3022079467773438</v>
      </c>
      <c r="C2637">
        <v>30</v>
      </c>
      <c r="D2637">
        <v>10</v>
      </c>
      <c r="E2637">
        <v>10</v>
      </c>
      <c r="F2637">
        <v>48</v>
      </c>
      <c r="G2637">
        <v>6.3022079008196901</v>
      </c>
    </row>
    <row r="2638" spans="1:7" x14ac:dyDescent="0.3">
      <c r="A2638" t="str">
        <f>IF(ISBLANK(B2638),"",IF(ROUND(B2638,0)=ROUND(G2638,0),"Pass","Fail"))</f>
        <v>Pass</v>
      </c>
      <c r="B2638">
        <f t="shared" si="143"/>
        <v>72.337997436523438</v>
      </c>
      <c r="C2638">
        <v>30</v>
      </c>
      <c r="D2638">
        <v>10</v>
      </c>
      <c r="E2638">
        <v>20</v>
      </c>
      <c r="F2638">
        <v>0</v>
      </c>
      <c r="G2638">
        <v>72.337999999999994</v>
      </c>
    </row>
    <row r="2639" spans="1:7" x14ac:dyDescent="0.3">
      <c r="A2639" t="str">
        <f>IF(ISBLANK(B2639),"",IF(ROUND(B2639,0)=ROUND(G2639,0),"Pass","Fail"))</f>
        <v>Pass</v>
      </c>
      <c r="B2639">
        <f t="shared" si="143"/>
        <v>39.001228332519531</v>
      </c>
      <c r="C2639">
        <v>30</v>
      </c>
      <c r="D2639">
        <v>10</v>
      </c>
      <c r="E2639">
        <v>20</v>
      </c>
      <c r="F2639">
        <v>8</v>
      </c>
      <c r="G2639">
        <v>39.001228080723003</v>
      </c>
    </row>
    <row r="2640" spans="1:7" x14ac:dyDescent="0.3">
      <c r="A2640" t="str">
        <f>IF(ISBLANK(B2640),"",IF(ROUND(B2640,0)=ROUND(G2640,0),"Pass","Fail"))</f>
        <v>Pass</v>
      </c>
      <c r="B2640">
        <f t="shared" si="143"/>
        <v>22.219997406005859</v>
      </c>
      <c r="C2640">
        <v>30</v>
      </c>
      <c r="D2640">
        <v>10</v>
      </c>
      <c r="E2640">
        <v>20</v>
      </c>
      <c r="F2640">
        <v>16</v>
      </c>
      <c r="G2640">
        <v>22.219997247101698</v>
      </c>
    </row>
    <row r="2641" spans="1:7" x14ac:dyDescent="0.3">
      <c r="A2641" t="str">
        <f>IF(ISBLANK(B2641),"",IF(ROUND(B2641,0)=ROUND(G2641,0),"Pass","Fail"))</f>
        <v>Pass</v>
      </c>
      <c r="B2641">
        <f t="shared" si="143"/>
        <v>13.772577285766602</v>
      </c>
      <c r="C2641">
        <v>30</v>
      </c>
      <c r="D2641">
        <v>10</v>
      </c>
      <c r="E2641">
        <v>20</v>
      </c>
      <c r="F2641">
        <v>24</v>
      </c>
      <c r="G2641">
        <v>13.772577413736199</v>
      </c>
    </row>
    <row r="2642" spans="1:7" x14ac:dyDescent="0.3">
      <c r="A2642" t="str">
        <f>IF(ISBLANK(B2642),"",IF(ROUND(B2642,0)=ROUND(G2642,0),"Pass","Fail"))</f>
        <v>Pass</v>
      </c>
      <c r="B2642">
        <f t="shared" si="143"/>
        <v>9.5202732086181641</v>
      </c>
      <c r="C2642">
        <v>30</v>
      </c>
      <c r="D2642">
        <v>10</v>
      </c>
      <c r="E2642">
        <v>20</v>
      </c>
      <c r="F2642">
        <v>32</v>
      </c>
      <c r="G2642">
        <v>9.5202730059946692</v>
      </c>
    </row>
    <row r="2643" spans="1:7" x14ac:dyDescent="0.3">
      <c r="A2643" t="str">
        <f>IF(ISBLANK(B2643),"",IF(ROUND(B2643,0)=ROUND(G2643,0),"Pass","Fail"))</f>
        <v>Pass</v>
      </c>
      <c r="B2643">
        <f t="shared" si="143"/>
        <v>7.3797268867492676</v>
      </c>
      <c r="C2643">
        <v>30</v>
      </c>
      <c r="D2643">
        <v>10</v>
      </c>
      <c r="E2643">
        <v>20</v>
      </c>
      <c r="F2643">
        <v>40</v>
      </c>
      <c r="G2643">
        <v>7.3797267643271001</v>
      </c>
    </row>
    <row r="2644" spans="1:7" x14ac:dyDescent="0.3">
      <c r="A2644" t="str">
        <f>IF(ISBLANK(B2644),"",IF(ROUND(B2644,0)=ROUND(G2644,0),"Pass","Fail"))</f>
        <v>Pass</v>
      </c>
      <c r="B2644">
        <f t="shared" si="143"/>
        <v>6.3022079467773438</v>
      </c>
      <c r="C2644">
        <v>30</v>
      </c>
      <c r="D2644">
        <v>10</v>
      </c>
      <c r="E2644">
        <v>20</v>
      </c>
      <c r="F2644">
        <v>48</v>
      </c>
      <c r="G2644">
        <v>6.3022079008197203</v>
      </c>
    </row>
    <row r="2645" spans="1:7" x14ac:dyDescent="0.3">
      <c r="A2645" t="str">
        <f>IF(ISBLANK(B2645),"",IF(ROUND(B2645,0)=ROUND(G2645,0),"Pass","Fail"))</f>
        <v>Pass</v>
      </c>
      <c r="B2645">
        <f t="shared" si="143"/>
        <v>72.337997436523438</v>
      </c>
      <c r="C2645">
        <v>30</v>
      </c>
      <c r="D2645">
        <v>10</v>
      </c>
      <c r="E2645">
        <v>30</v>
      </c>
      <c r="F2645">
        <v>0</v>
      </c>
      <c r="G2645">
        <v>72.337999999999994</v>
      </c>
    </row>
    <row r="2646" spans="1:7" x14ac:dyDescent="0.3">
      <c r="A2646" t="str">
        <f>IF(ISBLANK(B2646),"",IF(ROUND(B2646,0)=ROUND(G2646,0),"Pass","Fail"))</f>
        <v>Pass</v>
      </c>
      <c r="B2646">
        <f t="shared" si="143"/>
        <v>39.001228332519531</v>
      </c>
      <c r="C2646">
        <v>30</v>
      </c>
      <c r="D2646">
        <v>10</v>
      </c>
      <c r="E2646">
        <v>30</v>
      </c>
      <c r="F2646">
        <v>8</v>
      </c>
      <c r="G2646">
        <v>39.001228080723003</v>
      </c>
    </row>
    <row r="2647" spans="1:7" x14ac:dyDescent="0.3">
      <c r="A2647" t="str">
        <f>IF(ISBLANK(B2647),"",IF(ROUND(B2647,0)=ROUND(G2647,0),"Pass","Fail"))</f>
        <v>Pass</v>
      </c>
      <c r="B2647">
        <f t="shared" si="143"/>
        <v>22.219997406005859</v>
      </c>
      <c r="C2647">
        <v>30</v>
      </c>
      <c r="D2647">
        <v>10</v>
      </c>
      <c r="E2647">
        <v>30</v>
      </c>
      <c r="F2647">
        <v>16</v>
      </c>
      <c r="G2647">
        <v>22.219997247101698</v>
      </c>
    </row>
    <row r="2648" spans="1:7" x14ac:dyDescent="0.3">
      <c r="A2648" t="str">
        <f>IF(ISBLANK(B2648),"",IF(ROUND(B2648,0)=ROUND(G2648,0),"Pass","Fail"))</f>
        <v>Pass</v>
      </c>
      <c r="B2648">
        <f t="shared" si="143"/>
        <v>13.772577285766602</v>
      </c>
      <c r="C2648">
        <v>30</v>
      </c>
      <c r="D2648">
        <v>10</v>
      </c>
      <c r="E2648">
        <v>30</v>
      </c>
      <c r="F2648">
        <v>24</v>
      </c>
      <c r="G2648">
        <v>13.772577413736199</v>
      </c>
    </row>
    <row r="2649" spans="1:7" x14ac:dyDescent="0.3">
      <c r="A2649" t="str">
        <f>IF(ISBLANK(B2649),"",IF(ROUND(B2649,0)=ROUND(G2649,0),"Pass","Fail"))</f>
        <v>Pass</v>
      </c>
      <c r="B2649">
        <f t="shared" si="143"/>
        <v>9.5202732086181641</v>
      </c>
      <c r="C2649">
        <v>30</v>
      </c>
      <c r="D2649">
        <v>10</v>
      </c>
      <c r="E2649">
        <v>30</v>
      </c>
      <c r="F2649">
        <v>32</v>
      </c>
      <c r="G2649">
        <v>9.5202730059946692</v>
      </c>
    </row>
    <row r="2650" spans="1:7" x14ac:dyDescent="0.3">
      <c r="A2650" t="str">
        <f>IF(ISBLANK(B2650),"",IF(ROUND(B2650,0)=ROUND(G2650,0),"Pass","Fail"))</f>
        <v>Pass</v>
      </c>
      <c r="B2650">
        <f t="shared" si="143"/>
        <v>7.3797268867492676</v>
      </c>
      <c r="C2650">
        <v>30</v>
      </c>
      <c r="D2650">
        <v>10</v>
      </c>
      <c r="E2650">
        <v>30</v>
      </c>
      <c r="F2650">
        <v>40</v>
      </c>
      <c r="G2650">
        <v>7.3797267643271001</v>
      </c>
    </row>
    <row r="2651" spans="1:7" x14ac:dyDescent="0.3">
      <c r="A2651" t="str">
        <f>IF(ISBLANK(B2651),"",IF(ROUND(B2651,0)=ROUND(G2651,0),"Pass","Fail"))</f>
        <v>Pass</v>
      </c>
      <c r="B2651">
        <f t="shared" si="143"/>
        <v>6.3022079467773438</v>
      </c>
      <c r="C2651">
        <v>30</v>
      </c>
      <c r="D2651">
        <v>10</v>
      </c>
      <c r="E2651">
        <v>30</v>
      </c>
      <c r="F2651">
        <v>48</v>
      </c>
      <c r="G2651">
        <v>6.3022079008197203</v>
      </c>
    </row>
    <row r="2652" spans="1:7" x14ac:dyDescent="0.3">
      <c r="A2652" t="str">
        <f>IF(ISBLANK(B2652),"",IF(ROUND(B2652,0)=ROUND(G2652,0),"Pass","Fail"))</f>
        <v>Pass</v>
      </c>
      <c r="B2652">
        <f t="shared" si="143"/>
        <v>72.337997436523438</v>
      </c>
      <c r="C2652">
        <v>30</v>
      </c>
      <c r="D2652">
        <v>10</v>
      </c>
      <c r="E2652">
        <v>40</v>
      </c>
      <c r="F2652">
        <v>0</v>
      </c>
      <c r="G2652">
        <v>72.337999999999994</v>
      </c>
    </row>
    <row r="2653" spans="1:7" x14ac:dyDescent="0.3">
      <c r="A2653" t="str">
        <f>IF(ISBLANK(B2653),"",IF(ROUND(B2653,0)=ROUND(G2653,0),"Pass","Fail"))</f>
        <v>Pass</v>
      </c>
      <c r="B2653">
        <f t="shared" si="143"/>
        <v>39.001228332519531</v>
      </c>
      <c r="C2653">
        <v>30</v>
      </c>
      <c r="D2653">
        <v>10</v>
      </c>
      <c r="E2653">
        <v>40</v>
      </c>
      <c r="F2653">
        <v>8</v>
      </c>
      <c r="G2653">
        <v>39.001228080723003</v>
      </c>
    </row>
    <row r="2654" spans="1:7" x14ac:dyDescent="0.3">
      <c r="A2654" t="str">
        <f>IF(ISBLANK(B2654),"",IF(ROUND(B2654,0)=ROUND(G2654,0),"Pass","Fail"))</f>
        <v>Pass</v>
      </c>
      <c r="B2654">
        <f t="shared" si="143"/>
        <v>22.219997406005859</v>
      </c>
      <c r="C2654">
        <v>30</v>
      </c>
      <c r="D2654">
        <v>10</v>
      </c>
      <c r="E2654">
        <v>40</v>
      </c>
      <c r="F2654">
        <v>16</v>
      </c>
      <c r="G2654">
        <v>22.219997247101698</v>
      </c>
    </row>
    <row r="2655" spans="1:7" x14ac:dyDescent="0.3">
      <c r="A2655" t="str">
        <f>IF(ISBLANK(B2655),"",IF(ROUND(B2655,0)=ROUND(G2655,0),"Pass","Fail"))</f>
        <v>Pass</v>
      </c>
      <c r="B2655">
        <f t="shared" si="143"/>
        <v>13.772577285766602</v>
      </c>
      <c r="C2655">
        <v>30</v>
      </c>
      <c r="D2655">
        <v>10</v>
      </c>
      <c r="E2655">
        <v>40</v>
      </c>
      <c r="F2655">
        <v>24</v>
      </c>
      <c r="G2655">
        <v>13.772577413736199</v>
      </c>
    </row>
    <row r="2656" spans="1:7" x14ac:dyDescent="0.3">
      <c r="A2656" t="str">
        <f>IF(ISBLANK(B2656),"",IF(ROUND(B2656,0)=ROUND(G2656,0),"Pass","Fail"))</f>
        <v>Pass</v>
      </c>
      <c r="B2656">
        <f t="shared" si="143"/>
        <v>9.5202732086181641</v>
      </c>
      <c r="C2656">
        <v>30</v>
      </c>
      <c r="D2656">
        <v>10</v>
      </c>
      <c r="E2656">
        <v>40</v>
      </c>
      <c r="F2656">
        <v>32</v>
      </c>
      <c r="G2656">
        <v>9.5202730059946692</v>
      </c>
    </row>
    <row r="2657" spans="1:7" x14ac:dyDescent="0.3">
      <c r="A2657" t="str">
        <f>IF(ISBLANK(B2657),"",IF(ROUND(B2657,0)=ROUND(G2657,0),"Pass","Fail"))</f>
        <v>Pass</v>
      </c>
      <c r="B2657">
        <f t="shared" si="143"/>
        <v>7.3797268867492676</v>
      </c>
      <c r="C2657">
        <v>30</v>
      </c>
      <c r="D2657">
        <v>10</v>
      </c>
      <c r="E2657">
        <v>40</v>
      </c>
      <c r="F2657">
        <v>40</v>
      </c>
      <c r="G2657">
        <v>7.3797267643271001</v>
      </c>
    </row>
    <row r="2658" spans="1:7" x14ac:dyDescent="0.3">
      <c r="A2658" t="str">
        <f>IF(ISBLANK(B2658),"",IF(ROUND(B2658,0)=ROUND(G2658,0),"Pass","Fail"))</f>
        <v>Pass</v>
      </c>
      <c r="B2658">
        <f t="shared" si="143"/>
        <v>6.3022079467773438</v>
      </c>
      <c r="C2658">
        <v>30</v>
      </c>
      <c r="D2658">
        <v>10</v>
      </c>
      <c r="E2658">
        <v>40</v>
      </c>
      <c r="F2658">
        <v>48</v>
      </c>
      <c r="G2658">
        <v>6.3022079008197203</v>
      </c>
    </row>
    <row r="2659" spans="1:7" x14ac:dyDescent="0.3">
      <c r="A2659" t="str">
        <f>IF(ISBLANK(B2659),"",IF(ROUND(B2659,0)=ROUND(G2659,0),"Pass","Fail"))</f>
        <v>Pass</v>
      </c>
      <c r="B2659">
        <f t="shared" si="143"/>
        <v>72.337997436523438</v>
      </c>
      <c r="C2659">
        <v>30</v>
      </c>
      <c r="D2659">
        <v>10</v>
      </c>
      <c r="E2659">
        <v>50</v>
      </c>
      <c r="F2659">
        <v>0</v>
      </c>
      <c r="G2659">
        <v>72.337999999999994</v>
      </c>
    </row>
    <row r="2660" spans="1:7" x14ac:dyDescent="0.3">
      <c r="A2660" t="str">
        <f>IF(ISBLANK(B2660),"",IF(ROUND(B2660,0)=ROUND(G2660,0),"Pass","Fail"))</f>
        <v>Pass</v>
      </c>
      <c r="B2660">
        <f t="shared" si="143"/>
        <v>39.001228332519531</v>
      </c>
      <c r="C2660">
        <v>30</v>
      </c>
      <c r="D2660">
        <v>10</v>
      </c>
      <c r="E2660">
        <v>50</v>
      </c>
      <c r="F2660">
        <v>8</v>
      </c>
      <c r="G2660">
        <v>39.001228080723003</v>
      </c>
    </row>
    <row r="2661" spans="1:7" x14ac:dyDescent="0.3">
      <c r="A2661" t="str">
        <f>IF(ISBLANK(B2661),"",IF(ROUND(B2661,0)=ROUND(G2661,0),"Pass","Fail"))</f>
        <v>Pass</v>
      </c>
      <c r="B2661">
        <f t="shared" si="143"/>
        <v>22.219997406005859</v>
      </c>
      <c r="C2661">
        <v>30</v>
      </c>
      <c r="D2661">
        <v>10</v>
      </c>
      <c r="E2661">
        <v>50</v>
      </c>
      <c r="F2661">
        <v>16</v>
      </c>
      <c r="G2661">
        <v>22.219997247101698</v>
      </c>
    </row>
    <row r="2662" spans="1:7" x14ac:dyDescent="0.3">
      <c r="A2662" t="str">
        <f>IF(ISBLANK(B2662),"",IF(ROUND(B2662,0)=ROUND(G2662,0),"Pass","Fail"))</f>
        <v>Pass</v>
      </c>
      <c r="B2662">
        <f t="shared" si="143"/>
        <v>13.772577285766602</v>
      </c>
      <c r="C2662">
        <v>30</v>
      </c>
      <c r="D2662">
        <v>10</v>
      </c>
      <c r="E2662">
        <v>50</v>
      </c>
      <c r="F2662">
        <v>24</v>
      </c>
      <c r="G2662">
        <v>13.772577413736199</v>
      </c>
    </row>
    <row r="2663" spans="1:7" x14ac:dyDescent="0.3">
      <c r="A2663" t="str">
        <f>IF(ISBLANK(B2663),"",IF(ROUND(B2663,0)=ROUND(G2663,0),"Pass","Fail"))</f>
        <v>Pass</v>
      </c>
      <c r="B2663">
        <f t="shared" si="143"/>
        <v>9.5202732086181641</v>
      </c>
      <c r="C2663">
        <v>30</v>
      </c>
      <c r="D2663">
        <v>10</v>
      </c>
      <c r="E2663">
        <v>50</v>
      </c>
      <c r="F2663">
        <v>32</v>
      </c>
      <c r="G2663">
        <v>9.5202730059946692</v>
      </c>
    </row>
    <row r="2664" spans="1:7" x14ac:dyDescent="0.3">
      <c r="A2664" t="str">
        <f>IF(ISBLANK(B2664),"",IF(ROUND(B2664,0)=ROUND(G2664,0),"Pass","Fail"))</f>
        <v>Pass</v>
      </c>
      <c r="B2664">
        <f t="shared" si="143"/>
        <v>7.3797268867492676</v>
      </c>
      <c r="C2664">
        <v>30</v>
      </c>
      <c r="D2664">
        <v>10</v>
      </c>
      <c r="E2664">
        <v>50</v>
      </c>
      <c r="F2664">
        <v>40</v>
      </c>
      <c r="G2664">
        <v>7.3797267643271001</v>
      </c>
    </row>
    <row r="2665" spans="1:7" x14ac:dyDescent="0.3">
      <c r="A2665" t="str">
        <f>IF(ISBLANK(B2665),"",IF(ROUND(B2665,0)=ROUND(G2665,0),"Pass","Fail"))</f>
        <v>Pass</v>
      </c>
      <c r="B2665">
        <f t="shared" si="143"/>
        <v>6.3022079467773438</v>
      </c>
      <c r="C2665">
        <v>30</v>
      </c>
      <c r="D2665">
        <v>10</v>
      </c>
      <c r="E2665">
        <v>50</v>
      </c>
      <c r="F2665">
        <v>48</v>
      </c>
      <c r="G2665">
        <v>6.3022079008197203</v>
      </c>
    </row>
    <row r="2666" spans="1:7" x14ac:dyDescent="0.3">
      <c r="A2666" t="str">
        <f>IF(ISBLANK(B2666),"",IF(ROUND(B2666,0)=ROUND(G2666,0),"Pass","Fail"))</f>
        <v>Pass</v>
      </c>
      <c r="B2666">
        <f t="shared" si="143"/>
        <v>72.337997436523438</v>
      </c>
      <c r="C2666">
        <v>30</v>
      </c>
      <c r="D2666">
        <v>10</v>
      </c>
      <c r="E2666">
        <v>60</v>
      </c>
      <c r="F2666">
        <v>0</v>
      </c>
      <c r="G2666">
        <v>72.337999999999994</v>
      </c>
    </row>
    <row r="2667" spans="1:7" x14ac:dyDescent="0.3">
      <c r="A2667" t="str">
        <f>IF(ISBLANK(B2667),"",IF(ROUND(B2667,0)=ROUND(G2667,0),"Pass","Fail"))</f>
        <v>Pass</v>
      </c>
      <c r="B2667">
        <f t="shared" si="143"/>
        <v>39.001228332519531</v>
      </c>
      <c r="C2667">
        <v>30</v>
      </c>
      <c r="D2667">
        <v>10</v>
      </c>
      <c r="E2667">
        <v>60</v>
      </c>
      <c r="F2667">
        <v>8</v>
      </c>
      <c r="G2667">
        <v>39.001228080723003</v>
      </c>
    </row>
    <row r="2668" spans="1:7" x14ac:dyDescent="0.3">
      <c r="A2668" t="str">
        <f>IF(ISBLANK(B2668),"",IF(ROUND(B2668,0)=ROUND(G2668,0),"Pass","Fail"))</f>
        <v>Pass</v>
      </c>
      <c r="B2668">
        <f t="shared" si="143"/>
        <v>22.219997406005859</v>
      </c>
      <c r="C2668">
        <v>30</v>
      </c>
      <c r="D2668">
        <v>10</v>
      </c>
      <c r="E2668">
        <v>60</v>
      </c>
      <c r="F2668">
        <v>16</v>
      </c>
      <c r="G2668">
        <v>22.219997247101698</v>
      </c>
    </row>
    <row r="2669" spans="1:7" x14ac:dyDescent="0.3">
      <c r="A2669" t="str">
        <f>IF(ISBLANK(B2669),"",IF(ROUND(B2669,0)=ROUND(G2669,0),"Pass","Fail"))</f>
        <v>Pass</v>
      </c>
      <c r="B2669">
        <f t="shared" si="143"/>
        <v>13.772577285766602</v>
      </c>
      <c r="C2669">
        <v>30</v>
      </c>
      <c r="D2669">
        <v>10</v>
      </c>
      <c r="E2669">
        <v>60</v>
      </c>
      <c r="F2669">
        <v>24</v>
      </c>
      <c r="G2669">
        <v>13.772577413736199</v>
      </c>
    </row>
    <row r="2670" spans="1:7" x14ac:dyDescent="0.3">
      <c r="A2670" t="str">
        <f>IF(ISBLANK(B2670),"",IF(ROUND(B2670,0)=ROUND(G2670,0),"Pass","Fail"))</f>
        <v>Pass</v>
      </c>
      <c r="B2670">
        <f t="shared" si="143"/>
        <v>9.5202732086181641</v>
      </c>
      <c r="C2670">
        <v>30</v>
      </c>
      <c r="D2670">
        <v>10</v>
      </c>
      <c r="E2670">
        <v>60</v>
      </c>
      <c r="F2670">
        <v>32</v>
      </c>
      <c r="G2670">
        <v>9.5202730059946692</v>
      </c>
    </row>
    <row r="2671" spans="1:7" x14ac:dyDescent="0.3">
      <c r="A2671" t="str">
        <f>IF(ISBLANK(B2671),"",IF(ROUND(B2671,0)=ROUND(G2671,0),"Pass","Fail"))</f>
        <v>Pass</v>
      </c>
      <c r="B2671">
        <f t="shared" si="143"/>
        <v>7.3797268867492676</v>
      </c>
      <c r="C2671">
        <v>30</v>
      </c>
      <c r="D2671">
        <v>10</v>
      </c>
      <c r="E2671">
        <v>60</v>
      </c>
      <c r="F2671">
        <v>40</v>
      </c>
      <c r="G2671">
        <v>7.3797267643271001</v>
      </c>
    </row>
    <row r="2672" spans="1:7" x14ac:dyDescent="0.3">
      <c r="A2672" t="str">
        <f>IF(ISBLANK(B2672),"",IF(ROUND(B2672,0)=ROUND(G2672,0),"Pass","Fail"))</f>
        <v>Pass</v>
      </c>
      <c r="B2672">
        <f t="shared" si="143"/>
        <v>6.3022079467773438</v>
      </c>
      <c r="C2672">
        <v>30</v>
      </c>
      <c r="D2672">
        <v>10</v>
      </c>
      <c r="E2672">
        <v>60</v>
      </c>
      <c r="F2672">
        <v>48</v>
      </c>
      <c r="G2672">
        <v>6.3022079008197203</v>
      </c>
    </row>
    <row r="2673" spans="1:7" x14ac:dyDescent="0.3">
      <c r="A2673" t="str">
        <f>IF(ISBLANK(B2673),"",IF(ROUND(B2673,0)=ROUND(G2673,0),"Pass","Fail"))</f>
        <v>Pass</v>
      </c>
      <c r="B2673">
        <f t="shared" si="143"/>
        <v>72.337997436523438</v>
      </c>
      <c r="C2673">
        <v>30</v>
      </c>
      <c r="D2673">
        <v>10</v>
      </c>
      <c r="E2673">
        <v>70</v>
      </c>
      <c r="F2673">
        <v>0</v>
      </c>
      <c r="G2673">
        <v>72.337999999999994</v>
      </c>
    </row>
    <row r="2674" spans="1:7" x14ac:dyDescent="0.3">
      <c r="A2674" t="str">
        <f>IF(ISBLANK(B2674),"",IF(ROUND(B2674,0)=ROUND(G2674,0),"Pass","Fail"))</f>
        <v>Pass</v>
      </c>
      <c r="B2674">
        <f t="shared" si="143"/>
        <v>39.001228332519531</v>
      </c>
      <c r="C2674">
        <v>30</v>
      </c>
      <c r="D2674">
        <v>10</v>
      </c>
      <c r="E2674">
        <v>70</v>
      </c>
      <c r="F2674">
        <v>8</v>
      </c>
      <c r="G2674">
        <v>39.001228080723003</v>
      </c>
    </row>
    <row r="2675" spans="1:7" x14ac:dyDescent="0.3">
      <c r="A2675" t="str">
        <f>IF(ISBLANK(B2675),"",IF(ROUND(B2675,0)=ROUND(G2675,0),"Pass","Fail"))</f>
        <v>Pass</v>
      </c>
      <c r="B2675">
        <f t="shared" si="143"/>
        <v>22.219997406005859</v>
      </c>
      <c r="C2675">
        <v>30</v>
      </c>
      <c r="D2675">
        <v>10</v>
      </c>
      <c r="E2675">
        <v>70</v>
      </c>
      <c r="F2675">
        <v>16</v>
      </c>
      <c r="G2675">
        <v>22.219997247101698</v>
      </c>
    </row>
    <row r="2676" spans="1:7" x14ac:dyDescent="0.3">
      <c r="A2676" t="str">
        <f>IF(ISBLANK(B2676),"",IF(ROUND(B2676,0)=ROUND(G2676,0),"Pass","Fail"))</f>
        <v>Pass</v>
      </c>
      <c r="B2676">
        <f t="shared" si="143"/>
        <v>13.772577285766602</v>
      </c>
      <c r="C2676">
        <v>30</v>
      </c>
      <c r="D2676">
        <v>10</v>
      </c>
      <c r="E2676">
        <v>70</v>
      </c>
      <c r="F2676">
        <v>24</v>
      </c>
      <c r="G2676">
        <v>13.772577413736199</v>
      </c>
    </row>
    <row r="2677" spans="1:7" x14ac:dyDescent="0.3">
      <c r="A2677" t="str">
        <f>IF(ISBLANK(B2677),"",IF(ROUND(B2677,0)=ROUND(G2677,0),"Pass","Fail"))</f>
        <v>Pass</v>
      </c>
      <c r="B2677">
        <f t="shared" si="143"/>
        <v>9.5202732086181641</v>
      </c>
      <c r="C2677">
        <v>30</v>
      </c>
      <c r="D2677">
        <v>10</v>
      </c>
      <c r="E2677">
        <v>70</v>
      </c>
      <c r="F2677">
        <v>32</v>
      </c>
      <c r="G2677">
        <v>9.5202730059946692</v>
      </c>
    </row>
    <row r="2678" spans="1:7" x14ac:dyDescent="0.3">
      <c r="A2678" t="str">
        <f>IF(ISBLANK(B2678),"",IF(ROUND(B2678,0)=ROUND(G2678,0),"Pass","Fail"))</f>
        <v>Pass</v>
      </c>
      <c r="B2678">
        <f t="shared" si="143"/>
        <v>7.3797268867492676</v>
      </c>
      <c r="C2678">
        <v>30</v>
      </c>
      <c r="D2678">
        <v>10</v>
      </c>
      <c r="E2678">
        <v>70</v>
      </c>
      <c r="F2678">
        <v>40</v>
      </c>
      <c r="G2678">
        <v>7.3797267643271001</v>
      </c>
    </row>
    <row r="2679" spans="1:7" x14ac:dyDescent="0.3">
      <c r="A2679" t="str">
        <f>IF(ISBLANK(B2679),"",IF(ROUND(B2679,0)=ROUND(G2679,0),"Pass","Fail"))</f>
        <v>Pass</v>
      </c>
      <c r="B2679">
        <f t="shared" si="143"/>
        <v>6.3022079467773438</v>
      </c>
      <c r="C2679">
        <v>30</v>
      </c>
      <c r="D2679">
        <v>10</v>
      </c>
      <c r="E2679">
        <v>70</v>
      </c>
      <c r="F2679">
        <v>48</v>
      </c>
      <c r="G2679">
        <v>6.3022079008197203</v>
      </c>
    </row>
    <row r="2680" spans="1:7" x14ac:dyDescent="0.3">
      <c r="A2680" t="str">
        <f>IF(ISBLANK(B2680),"",IF(ROUND(B2680,0)=ROUND(G2680,0),"Pass","Fail"))</f>
        <v>Pass</v>
      </c>
      <c r="B2680">
        <f t="shared" si="143"/>
        <v>72.337997436523438</v>
      </c>
      <c r="C2680">
        <v>30</v>
      </c>
      <c r="D2680">
        <v>10</v>
      </c>
      <c r="E2680">
        <v>80</v>
      </c>
      <c r="F2680">
        <v>0</v>
      </c>
      <c r="G2680">
        <v>72.337999999999994</v>
      </c>
    </row>
    <row r="2681" spans="1:7" x14ac:dyDescent="0.3">
      <c r="A2681" t="str">
        <f>IF(ISBLANK(B2681),"",IF(ROUND(B2681,0)=ROUND(G2681,0),"Pass","Fail"))</f>
        <v>Pass</v>
      </c>
      <c r="B2681">
        <f t="shared" si="143"/>
        <v>39.001228332519531</v>
      </c>
      <c r="C2681">
        <v>30</v>
      </c>
      <c r="D2681">
        <v>10</v>
      </c>
      <c r="E2681">
        <v>80</v>
      </c>
      <c r="F2681">
        <v>8</v>
      </c>
      <c r="G2681">
        <v>39.001228080723003</v>
      </c>
    </row>
    <row r="2682" spans="1:7" x14ac:dyDescent="0.3">
      <c r="A2682" t="str">
        <f>IF(ISBLANK(B2682),"",IF(ROUND(B2682,0)=ROUND(G2682,0),"Pass","Fail"))</f>
        <v>Pass</v>
      </c>
      <c r="B2682">
        <f t="shared" si="143"/>
        <v>22.219997406005859</v>
      </c>
      <c r="C2682">
        <v>30</v>
      </c>
      <c r="D2682">
        <v>10</v>
      </c>
      <c r="E2682">
        <v>80</v>
      </c>
      <c r="F2682">
        <v>16</v>
      </c>
      <c r="G2682">
        <v>22.219997247101698</v>
      </c>
    </row>
    <row r="2683" spans="1:7" x14ac:dyDescent="0.3">
      <c r="A2683" t="str">
        <f>IF(ISBLANK(B2683),"",IF(ROUND(B2683,0)=ROUND(G2683,0),"Pass","Fail"))</f>
        <v>Pass</v>
      </c>
      <c r="B2683">
        <f t="shared" si="143"/>
        <v>13.772577285766602</v>
      </c>
      <c r="C2683">
        <v>30</v>
      </c>
      <c r="D2683">
        <v>10</v>
      </c>
      <c r="E2683">
        <v>80</v>
      </c>
      <c r="F2683">
        <v>24</v>
      </c>
      <c r="G2683">
        <v>13.772577413736199</v>
      </c>
    </row>
    <row r="2684" spans="1:7" x14ac:dyDescent="0.3">
      <c r="A2684" t="str">
        <f>IF(ISBLANK(B2684),"",IF(ROUND(B2684,0)=ROUND(G2684,0),"Pass","Fail"))</f>
        <v>Pass</v>
      </c>
      <c r="B2684">
        <f t="shared" si="143"/>
        <v>9.5202732086181641</v>
      </c>
      <c r="C2684">
        <v>30</v>
      </c>
      <c r="D2684">
        <v>10</v>
      </c>
      <c r="E2684">
        <v>80</v>
      </c>
      <c r="F2684">
        <v>32</v>
      </c>
      <c r="G2684">
        <v>9.5202730059946692</v>
      </c>
    </row>
    <row r="2685" spans="1:7" x14ac:dyDescent="0.3">
      <c r="A2685" t="str">
        <f>IF(ISBLANK(B2685),"",IF(ROUND(B2685,0)=ROUND(G2685,0),"Pass","Fail"))</f>
        <v>Pass</v>
      </c>
      <c r="B2685">
        <f t="shared" si="143"/>
        <v>7.3797268867492676</v>
      </c>
      <c r="C2685">
        <v>30</v>
      </c>
      <c r="D2685">
        <v>10</v>
      </c>
      <c r="E2685">
        <v>80</v>
      </c>
      <c r="F2685">
        <v>40</v>
      </c>
      <c r="G2685">
        <v>7.3797267643271001</v>
      </c>
    </row>
    <row r="2686" spans="1:7" x14ac:dyDescent="0.3">
      <c r="A2686" t="str">
        <f>IF(ISBLANK(B2686),"",IF(ROUND(B2686,0)=ROUND(G2686,0),"Pass","Fail"))</f>
        <v>Pass</v>
      </c>
      <c r="B2686">
        <f t="shared" si="143"/>
        <v>6.3022079467773438</v>
      </c>
      <c r="C2686">
        <v>30</v>
      </c>
      <c r="D2686">
        <v>10</v>
      </c>
      <c r="E2686">
        <v>80</v>
      </c>
      <c r="F2686">
        <v>48</v>
      </c>
      <c r="G2686">
        <v>6.3022079008197203</v>
      </c>
    </row>
    <row r="2687" spans="1:7" x14ac:dyDescent="0.3">
      <c r="A2687" t="str">
        <f>IF(ISBLANK(B2687),"",IF(ROUND(B2687,0)=ROUND(G2687,0),"Pass","Fail"))</f>
        <v>Pass</v>
      </c>
      <c r="B2687">
        <f t="shared" si="143"/>
        <v>72.337997436523438</v>
      </c>
      <c r="C2687">
        <v>30</v>
      </c>
      <c r="D2687">
        <v>10</v>
      </c>
      <c r="E2687">
        <v>90</v>
      </c>
      <c r="F2687">
        <v>0</v>
      </c>
      <c r="G2687">
        <v>72.337999999999994</v>
      </c>
    </row>
    <row r="2688" spans="1:7" x14ac:dyDescent="0.3">
      <c r="A2688" t="str">
        <f>IF(ISBLANK(B2688),"",IF(ROUND(B2688,0)=ROUND(G2688,0),"Pass","Fail"))</f>
        <v>Pass</v>
      </c>
      <c r="B2688">
        <f t="shared" si="143"/>
        <v>39.001228332519531</v>
      </c>
      <c r="C2688">
        <v>30</v>
      </c>
      <c r="D2688">
        <v>10</v>
      </c>
      <c r="E2688">
        <v>90</v>
      </c>
      <c r="F2688">
        <v>8</v>
      </c>
      <c r="G2688">
        <v>39.001228080723003</v>
      </c>
    </row>
    <row r="2689" spans="1:7" x14ac:dyDescent="0.3">
      <c r="A2689" t="str">
        <f>IF(ISBLANK(B2689),"",IF(ROUND(B2689,0)=ROUND(G2689,0),"Pass","Fail"))</f>
        <v>Pass</v>
      </c>
      <c r="B2689">
        <f t="shared" si="143"/>
        <v>22.219997406005859</v>
      </c>
      <c r="C2689">
        <v>30</v>
      </c>
      <c r="D2689">
        <v>10</v>
      </c>
      <c r="E2689">
        <v>90</v>
      </c>
      <c r="F2689">
        <v>16</v>
      </c>
      <c r="G2689">
        <v>22.219997247101698</v>
      </c>
    </row>
    <row r="2690" spans="1:7" x14ac:dyDescent="0.3">
      <c r="A2690" t="str">
        <f>IF(ISBLANK(B2690),"",IF(ROUND(B2690,0)=ROUND(G2690,0),"Pass","Fail"))</f>
        <v>Pass</v>
      </c>
      <c r="B2690">
        <f t="shared" si="143"/>
        <v>13.772577285766602</v>
      </c>
      <c r="C2690">
        <v>30</v>
      </c>
      <c r="D2690">
        <v>10</v>
      </c>
      <c r="E2690">
        <v>90</v>
      </c>
      <c r="F2690">
        <v>24</v>
      </c>
      <c r="G2690">
        <v>13.772577413736199</v>
      </c>
    </row>
    <row r="2691" spans="1:7" x14ac:dyDescent="0.3">
      <c r="A2691" t="str">
        <f>IF(ISBLANK(B2691),"",IF(ROUND(B2691,0)=ROUND(G2691,0),"Pass","Fail"))</f>
        <v>Pass</v>
      </c>
      <c r="B2691">
        <f t="shared" si="143"/>
        <v>9.5202732086181641</v>
      </c>
      <c r="C2691">
        <v>30</v>
      </c>
      <c r="D2691">
        <v>10</v>
      </c>
      <c r="E2691">
        <v>90</v>
      </c>
      <c r="F2691">
        <v>32</v>
      </c>
      <c r="G2691">
        <v>9.5202730059946692</v>
      </c>
    </row>
    <row r="2692" spans="1:7" x14ac:dyDescent="0.3">
      <c r="A2692" t="str">
        <f>IF(ISBLANK(B2692),"",IF(ROUND(B2692,0)=ROUND(G2692,0),"Pass","Fail"))</f>
        <v>Pass</v>
      </c>
      <c r="B2692">
        <f t="shared" si="143"/>
        <v>7.3797268867492676</v>
      </c>
      <c r="C2692">
        <v>30</v>
      </c>
      <c r="D2692">
        <v>10</v>
      </c>
      <c r="E2692">
        <v>90</v>
      </c>
      <c r="F2692">
        <v>40</v>
      </c>
      <c r="G2692">
        <v>7.3797267643271001</v>
      </c>
    </row>
    <row r="2693" spans="1:7" x14ac:dyDescent="0.3">
      <c r="A2693" t="str">
        <f>IF(ISBLANK(B2693),"",IF(ROUND(B2693,0)=ROUND(G2693,0),"Pass","Fail"))</f>
        <v>Pass</v>
      </c>
      <c r="B2693">
        <f t="shared" si="143"/>
        <v>6.3022079467773438</v>
      </c>
      <c r="C2693">
        <v>30</v>
      </c>
      <c r="D2693">
        <v>10</v>
      </c>
      <c r="E2693">
        <v>90</v>
      </c>
      <c r="F2693">
        <v>48</v>
      </c>
      <c r="G2693">
        <v>6.3022079008197203</v>
      </c>
    </row>
    <row r="2694" spans="1:7" x14ac:dyDescent="0.3">
      <c r="A2694" t="str">
        <f>IF(ISBLANK(B2694),"",IF(ROUND(B2694,0)=ROUND(G2694,0),"Pass","Fail"))</f>
        <v>Pass</v>
      </c>
      <c r="B2694">
        <f t="shared" si="143"/>
        <v>72.337997436523438</v>
      </c>
      <c r="C2694">
        <v>30</v>
      </c>
      <c r="D2694">
        <v>10</v>
      </c>
      <c r="E2694">
        <v>100</v>
      </c>
      <c r="F2694">
        <v>0</v>
      </c>
      <c r="G2694">
        <v>72.337999999999994</v>
      </c>
    </row>
    <row r="2695" spans="1:7" x14ac:dyDescent="0.3">
      <c r="A2695" t="str">
        <f>IF(ISBLANK(B2695),"",IF(ROUND(B2695,0)=ROUND(G2695,0),"Pass","Fail"))</f>
        <v>Pass</v>
      </c>
      <c r="B2695">
        <f t="shared" ref="B2695:B2758" si="144">FMC_heath(C2695,D2695,E2695,F2695)</f>
        <v>39.001228332519531</v>
      </c>
      <c r="C2695">
        <v>30</v>
      </c>
      <c r="D2695">
        <v>10</v>
      </c>
      <c r="E2695">
        <v>100</v>
      </c>
      <c r="F2695">
        <v>8</v>
      </c>
      <c r="G2695">
        <v>39.001228080723003</v>
      </c>
    </row>
    <row r="2696" spans="1:7" x14ac:dyDescent="0.3">
      <c r="A2696" t="str">
        <f>IF(ISBLANK(B2696),"",IF(ROUND(B2696,0)=ROUND(G2696,0),"Pass","Fail"))</f>
        <v>Pass</v>
      </c>
      <c r="B2696">
        <f t="shared" si="144"/>
        <v>22.219997406005859</v>
      </c>
      <c r="C2696">
        <v>30</v>
      </c>
      <c r="D2696">
        <v>10</v>
      </c>
      <c r="E2696">
        <v>100</v>
      </c>
      <c r="F2696">
        <v>16</v>
      </c>
      <c r="G2696">
        <v>22.219997247101698</v>
      </c>
    </row>
    <row r="2697" spans="1:7" x14ac:dyDescent="0.3">
      <c r="A2697" t="str">
        <f>IF(ISBLANK(B2697),"",IF(ROUND(B2697,0)=ROUND(G2697,0),"Pass","Fail"))</f>
        <v>Pass</v>
      </c>
      <c r="B2697">
        <f t="shared" si="144"/>
        <v>13.772577285766602</v>
      </c>
      <c r="C2697">
        <v>30</v>
      </c>
      <c r="D2697">
        <v>10</v>
      </c>
      <c r="E2697">
        <v>100</v>
      </c>
      <c r="F2697">
        <v>24</v>
      </c>
      <c r="G2697">
        <v>13.772577413736199</v>
      </c>
    </row>
    <row r="2698" spans="1:7" x14ac:dyDescent="0.3">
      <c r="A2698" t="str">
        <f>IF(ISBLANK(B2698),"",IF(ROUND(B2698,0)=ROUND(G2698,0),"Pass","Fail"))</f>
        <v>Pass</v>
      </c>
      <c r="B2698">
        <f t="shared" si="144"/>
        <v>9.5202732086181641</v>
      </c>
      <c r="C2698">
        <v>30</v>
      </c>
      <c r="D2698">
        <v>10</v>
      </c>
      <c r="E2698">
        <v>100</v>
      </c>
      <c r="F2698">
        <v>32</v>
      </c>
      <c r="G2698">
        <v>9.5202730059946692</v>
      </c>
    </row>
    <row r="2699" spans="1:7" x14ac:dyDescent="0.3">
      <c r="A2699" t="str">
        <f>IF(ISBLANK(B2699),"",IF(ROUND(B2699,0)=ROUND(G2699,0),"Pass","Fail"))</f>
        <v>Pass</v>
      </c>
      <c r="B2699">
        <f t="shared" si="144"/>
        <v>7.3797268867492676</v>
      </c>
      <c r="C2699">
        <v>30</v>
      </c>
      <c r="D2699">
        <v>10</v>
      </c>
      <c r="E2699">
        <v>100</v>
      </c>
      <c r="F2699">
        <v>40</v>
      </c>
      <c r="G2699">
        <v>7.3797267643271001</v>
      </c>
    </row>
    <row r="2700" spans="1:7" x14ac:dyDescent="0.3">
      <c r="A2700" t="str">
        <f>IF(ISBLANK(B2700),"",IF(ROUND(B2700,0)=ROUND(G2700,0),"Pass","Fail"))</f>
        <v>Pass</v>
      </c>
      <c r="B2700">
        <f t="shared" si="144"/>
        <v>6.3022079467773438</v>
      </c>
      <c r="C2700">
        <v>30</v>
      </c>
      <c r="D2700">
        <v>10</v>
      </c>
      <c r="E2700">
        <v>100</v>
      </c>
      <c r="F2700">
        <v>48</v>
      </c>
      <c r="G2700">
        <v>6.3022079008197203</v>
      </c>
    </row>
    <row r="2701" spans="1:7" x14ac:dyDescent="0.3">
      <c r="A2701" t="str">
        <f>IF(ISBLANK(B2701),"",IF(ROUND(B2701,0)=ROUND(G2701,0),"Pass","Fail"))</f>
        <v>Pass</v>
      </c>
      <c r="B2701">
        <f t="shared" si="144"/>
        <v>6.5500001907348633</v>
      </c>
      <c r="C2701">
        <v>30</v>
      </c>
      <c r="D2701">
        <v>20</v>
      </c>
      <c r="E2701">
        <v>0</v>
      </c>
      <c r="F2701">
        <v>0</v>
      </c>
      <c r="G2701">
        <v>6.55</v>
      </c>
    </row>
    <row r="2702" spans="1:7" x14ac:dyDescent="0.3">
      <c r="A2702" t="str">
        <f>IF(ISBLANK(B2702),"",IF(ROUND(B2702,0)=ROUND(G2702,0),"Pass","Fail"))</f>
        <v>Pass</v>
      </c>
      <c r="B2702">
        <f t="shared" si="144"/>
        <v>6.5500001907348633</v>
      </c>
      <c r="C2702">
        <v>30</v>
      </c>
      <c r="D2702">
        <v>20</v>
      </c>
      <c r="E2702">
        <v>0</v>
      </c>
      <c r="F2702">
        <v>8</v>
      </c>
      <c r="G2702">
        <v>6.55</v>
      </c>
    </row>
    <row r="2703" spans="1:7" x14ac:dyDescent="0.3">
      <c r="A2703" t="str">
        <f>IF(ISBLANK(B2703),"",IF(ROUND(B2703,0)=ROUND(G2703,0),"Pass","Fail"))</f>
        <v>Pass</v>
      </c>
      <c r="B2703">
        <f t="shared" si="144"/>
        <v>6.5500001907348633</v>
      </c>
      <c r="C2703">
        <v>30</v>
      </c>
      <c r="D2703">
        <v>20</v>
      </c>
      <c r="E2703">
        <v>0</v>
      </c>
      <c r="F2703">
        <v>16</v>
      </c>
      <c r="G2703">
        <v>6.55</v>
      </c>
    </row>
    <row r="2704" spans="1:7" x14ac:dyDescent="0.3">
      <c r="A2704" t="str">
        <f>IF(ISBLANK(B2704),"",IF(ROUND(B2704,0)=ROUND(G2704,0),"Pass","Fail"))</f>
        <v>Pass</v>
      </c>
      <c r="B2704">
        <f t="shared" si="144"/>
        <v>6.5500001907348633</v>
      </c>
      <c r="C2704">
        <v>30</v>
      </c>
      <c r="D2704">
        <v>20</v>
      </c>
      <c r="E2704">
        <v>0</v>
      </c>
      <c r="F2704">
        <v>24</v>
      </c>
      <c r="G2704">
        <v>6.55</v>
      </c>
    </row>
    <row r="2705" spans="1:7" x14ac:dyDescent="0.3">
      <c r="A2705" t="str">
        <f>IF(ISBLANK(B2705),"",IF(ROUND(B2705,0)=ROUND(G2705,0),"Pass","Fail"))</f>
        <v>Pass</v>
      </c>
      <c r="B2705">
        <f t="shared" si="144"/>
        <v>6.5500001907348633</v>
      </c>
      <c r="C2705">
        <v>30</v>
      </c>
      <c r="D2705">
        <v>20</v>
      </c>
      <c r="E2705">
        <v>0</v>
      </c>
      <c r="F2705">
        <v>32</v>
      </c>
      <c r="G2705">
        <v>6.55</v>
      </c>
    </row>
    <row r="2706" spans="1:7" x14ac:dyDescent="0.3">
      <c r="A2706" t="str">
        <f>IF(ISBLANK(B2706),"",IF(ROUND(B2706,0)=ROUND(G2706,0),"Pass","Fail"))</f>
        <v>Pass</v>
      </c>
      <c r="B2706">
        <f t="shared" si="144"/>
        <v>6.5500001907348633</v>
      </c>
      <c r="C2706">
        <v>30</v>
      </c>
      <c r="D2706">
        <v>20</v>
      </c>
      <c r="E2706">
        <v>0</v>
      </c>
      <c r="F2706">
        <v>40</v>
      </c>
      <c r="G2706">
        <v>6.55</v>
      </c>
    </row>
    <row r="2707" spans="1:7" x14ac:dyDescent="0.3">
      <c r="A2707" t="str">
        <f>IF(ISBLANK(B2707),"",IF(ROUND(B2707,0)=ROUND(G2707,0),"Pass","Fail"))</f>
        <v>Pass</v>
      </c>
      <c r="B2707">
        <f t="shared" si="144"/>
        <v>6.5500001907348633</v>
      </c>
      <c r="C2707">
        <v>30</v>
      </c>
      <c r="D2707">
        <v>20</v>
      </c>
      <c r="E2707">
        <v>0</v>
      </c>
      <c r="F2707">
        <v>48</v>
      </c>
      <c r="G2707">
        <v>6.55</v>
      </c>
    </row>
    <row r="2708" spans="1:7" x14ac:dyDescent="0.3">
      <c r="A2708" t="str">
        <f>IF(ISBLANK(B2708),"",IF(ROUND(B2708,0)=ROUND(G2708,0),"Pass","Fail"))</f>
        <v>Pass</v>
      </c>
      <c r="B2708">
        <f t="shared" si="144"/>
        <v>73.678001403808594</v>
      </c>
      <c r="C2708">
        <v>30</v>
      </c>
      <c r="D2708">
        <v>20</v>
      </c>
      <c r="E2708">
        <v>10</v>
      </c>
      <c r="F2708">
        <v>0</v>
      </c>
      <c r="G2708">
        <v>73.677999999998306</v>
      </c>
    </row>
    <row r="2709" spans="1:7" x14ac:dyDescent="0.3">
      <c r="A2709" t="str">
        <f>IF(ISBLANK(B2709),"",IF(ROUND(B2709,0)=ROUND(G2709,0),"Pass","Fail"))</f>
        <v>Pass</v>
      </c>
      <c r="B2709">
        <f t="shared" si="144"/>
        <v>40.341228485107422</v>
      </c>
      <c r="C2709">
        <v>30</v>
      </c>
      <c r="D2709">
        <v>20</v>
      </c>
      <c r="E2709">
        <v>10</v>
      </c>
      <c r="F2709">
        <v>8</v>
      </c>
      <c r="G2709">
        <v>40.341228080722203</v>
      </c>
    </row>
    <row r="2710" spans="1:7" x14ac:dyDescent="0.3">
      <c r="A2710" t="str">
        <f>IF(ISBLANK(B2710),"",IF(ROUND(B2710,0)=ROUND(G2710,0),"Pass","Fail"))</f>
        <v>Pass</v>
      </c>
      <c r="B2710">
        <f t="shared" si="144"/>
        <v>23.55999755859375</v>
      </c>
      <c r="C2710">
        <v>30</v>
      </c>
      <c r="D2710">
        <v>20</v>
      </c>
      <c r="E2710">
        <v>10</v>
      </c>
      <c r="F2710">
        <v>16</v>
      </c>
      <c r="G2710">
        <v>23.5599972471013</v>
      </c>
    </row>
    <row r="2711" spans="1:7" x14ac:dyDescent="0.3">
      <c r="A2711" t="str">
        <f>IF(ISBLANK(B2711),"",IF(ROUND(B2711,0)=ROUND(G2711,0),"Pass","Fail"))</f>
        <v>Pass</v>
      </c>
      <c r="B2711">
        <f t="shared" si="144"/>
        <v>15.112577438354492</v>
      </c>
      <c r="C2711">
        <v>30</v>
      </c>
      <c r="D2711">
        <v>20</v>
      </c>
      <c r="E2711">
        <v>10</v>
      </c>
      <c r="F2711">
        <v>24</v>
      </c>
      <c r="G2711">
        <v>15.112577413736</v>
      </c>
    </row>
    <row r="2712" spans="1:7" x14ac:dyDescent="0.3">
      <c r="A2712" t="str">
        <f>IF(ISBLANK(B2712),"",IF(ROUND(B2712,0)=ROUND(G2712,0),"Pass","Fail"))</f>
        <v>Pass</v>
      </c>
      <c r="B2712">
        <f t="shared" si="144"/>
        <v>10.860273361206055</v>
      </c>
      <c r="C2712">
        <v>30</v>
      </c>
      <c r="D2712">
        <v>20</v>
      </c>
      <c r="E2712">
        <v>10</v>
      </c>
      <c r="F2712">
        <v>32</v>
      </c>
      <c r="G2712">
        <v>10.8602730059945</v>
      </c>
    </row>
    <row r="2713" spans="1:7" x14ac:dyDescent="0.3">
      <c r="A2713" t="str">
        <f>IF(ISBLANK(B2713),"",IF(ROUND(B2713,0)=ROUND(G2713,0),"Pass","Fail"))</f>
        <v>Pass</v>
      </c>
      <c r="B2713">
        <f t="shared" si="144"/>
        <v>8.7197265625</v>
      </c>
      <c r="C2713">
        <v>30</v>
      </c>
      <c r="D2713">
        <v>20</v>
      </c>
      <c r="E2713">
        <v>10</v>
      </c>
      <c r="F2713">
        <v>40</v>
      </c>
      <c r="G2713">
        <v>8.7197267643270493</v>
      </c>
    </row>
    <row r="2714" spans="1:7" x14ac:dyDescent="0.3">
      <c r="A2714" t="str">
        <f>IF(ISBLANK(B2714),"",IF(ROUND(B2714,0)=ROUND(G2714,0),"Pass","Fail"))</f>
        <v>Pass</v>
      </c>
      <c r="B2714">
        <f t="shared" si="144"/>
        <v>7.6422080993652344</v>
      </c>
      <c r="C2714">
        <v>30</v>
      </c>
      <c r="D2714">
        <v>20</v>
      </c>
      <c r="E2714">
        <v>10</v>
      </c>
      <c r="F2714">
        <v>48</v>
      </c>
      <c r="G2714">
        <v>7.6422079008196899</v>
      </c>
    </row>
    <row r="2715" spans="1:7" x14ac:dyDescent="0.3">
      <c r="A2715" t="str">
        <f>IF(ISBLANK(B2715),"",IF(ROUND(B2715,0)=ROUND(G2715,0),"Pass","Fail"))</f>
        <v>Pass</v>
      </c>
      <c r="B2715">
        <f t="shared" si="144"/>
        <v>73.678001403808594</v>
      </c>
      <c r="C2715">
        <v>30</v>
      </c>
      <c r="D2715">
        <v>20</v>
      </c>
      <c r="E2715">
        <v>20</v>
      </c>
      <c r="F2715">
        <v>0</v>
      </c>
      <c r="G2715">
        <v>73.677999999999997</v>
      </c>
    </row>
    <row r="2716" spans="1:7" x14ac:dyDescent="0.3">
      <c r="A2716" t="str">
        <f>IF(ISBLANK(B2716),"",IF(ROUND(B2716,0)=ROUND(G2716,0),"Pass","Fail"))</f>
        <v>Pass</v>
      </c>
      <c r="B2716">
        <f t="shared" si="144"/>
        <v>40.341228485107422</v>
      </c>
      <c r="C2716">
        <v>30</v>
      </c>
      <c r="D2716">
        <v>20</v>
      </c>
      <c r="E2716">
        <v>20</v>
      </c>
      <c r="F2716">
        <v>8</v>
      </c>
      <c r="G2716">
        <v>40.341228080722999</v>
      </c>
    </row>
    <row r="2717" spans="1:7" x14ac:dyDescent="0.3">
      <c r="A2717" t="str">
        <f>IF(ISBLANK(B2717),"",IF(ROUND(B2717,0)=ROUND(G2717,0),"Pass","Fail"))</f>
        <v>Pass</v>
      </c>
      <c r="B2717">
        <f t="shared" si="144"/>
        <v>23.55999755859375</v>
      </c>
      <c r="C2717">
        <v>30</v>
      </c>
      <c r="D2717">
        <v>20</v>
      </c>
      <c r="E2717">
        <v>20</v>
      </c>
      <c r="F2717">
        <v>16</v>
      </c>
      <c r="G2717">
        <v>23.559997247101698</v>
      </c>
    </row>
    <row r="2718" spans="1:7" x14ac:dyDescent="0.3">
      <c r="A2718" t="str">
        <f>IF(ISBLANK(B2718),"",IF(ROUND(B2718,0)=ROUND(G2718,0),"Pass","Fail"))</f>
        <v>Pass</v>
      </c>
      <c r="B2718">
        <f t="shared" si="144"/>
        <v>15.112577438354492</v>
      </c>
      <c r="C2718">
        <v>30</v>
      </c>
      <c r="D2718">
        <v>20</v>
      </c>
      <c r="E2718">
        <v>20</v>
      </c>
      <c r="F2718">
        <v>24</v>
      </c>
      <c r="G2718">
        <v>15.112577413736201</v>
      </c>
    </row>
    <row r="2719" spans="1:7" x14ac:dyDescent="0.3">
      <c r="A2719" t="str">
        <f>IF(ISBLANK(B2719),"",IF(ROUND(B2719,0)=ROUND(G2719,0),"Pass","Fail"))</f>
        <v>Pass</v>
      </c>
      <c r="B2719">
        <f t="shared" si="144"/>
        <v>10.860273361206055</v>
      </c>
      <c r="C2719">
        <v>30</v>
      </c>
      <c r="D2719">
        <v>20</v>
      </c>
      <c r="E2719">
        <v>20</v>
      </c>
      <c r="F2719">
        <v>32</v>
      </c>
      <c r="G2719">
        <v>10.8602730059946</v>
      </c>
    </row>
    <row r="2720" spans="1:7" x14ac:dyDescent="0.3">
      <c r="A2720" t="str">
        <f>IF(ISBLANK(B2720),"",IF(ROUND(B2720,0)=ROUND(G2720,0),"Pass","Fail"))</f>
        <v>Pass</v>
      </c>
      <c r="B2720">
        <f t="shared" si="144"/>
        <v>8.7197265625</v>
      </c>
      <c r="C2720">
        <v>30</v>
      </c>
      <c r="D2720">
        <v>20</v>
      </c>
      <c r="E2720">
        <v>20</v>
      </c>
      <c r="F2720">
        <v>40</v>
      </c>
      <c r="G2720">
        <v>8.7197267643271008</v>
      </c>
    </row>
    <row r="2721" spans="1:7" x14ac:dyDescent="0.3">
      <c r="A2721" t="str">
        <f>IF(ISBLANK(B2721),"",IF(ROUND(B2721,0)=ROUND(G2721,0),"Pass","Fail"))</f>
        <v>Pass</v>
      </c>
      <c r="B2721">
        <f t="shared" si="144"/>
        <v>7.6422080993652344</v>
      </c>
      <c r="C2721">
        <v>30</v>
      </c>
      <c r="D2721">
        <v>20</v>
      </c>
      <c r="E2721">
        <v>20</v>
      </c>
      <c r="F2721">
        <v>48</v>
      </c>
      <c r="G2721">
        <v>7.6422079008197201</v>
      </c>
    </row>
    <row r="2722" spans="1:7" x14ac:dyDescent="0.3">
      <c r="A2722" t="str">
        <f>IF(ISBLANK(B2722),"",IF(ROUND(B2722,0)=ROUND(G2722,0),"Pass","Fail"))</f>
        <v>Pass</v>
      </c>
      <c r="B2722">
        <f t="shared" si="144"/>
        <v>73.678001403808594</v>
      </c>
      <c r="C2722">
        <v>30</v>
      </c>
      <c r="D2722">
        <v>20</v>
      </c>
      <c r="E2722">
        <v>30</v>
      </c>
      <c r="F2722">
        <v>0</v>
      </c>
      <c r="G2722">
        <v>73.677999999999997</v>
      </c>
    </row>
    <row r="2723" spans="1:7" x14ac:dyDescent="0.3">
      <c r="A2723" t="str">
        <f>IF(ISBLANK(B2723),"",IF(ROUND(B2723,0)=ROUND(G2723,0),"Pass","Fail"))</f>
        <v>Pass</v>
      </c>
      <c r="B2723">
        <f t="shared" si="144"/>
        <v>40.341228485107422</v>
      </c>
      <c r="C2723">
        <v>30</v>
      </c>
      <c r="D2723">
        <v>20</v>
      </c>
      <c r="E2723">
        <v>30</v>
      </c>
      <c r="F2723">
        <v>8</v>
      </c>
      <c r="G2723">
        <v>40.341228080722999</v>
      </c>
    </row>
    <row r="2724" spans="1:7" x14ac:dyDescent="0.3">
      <c r="A2724" t="str">
        <f>IF(ISBLANK(B2724),"",IF(ROUND(B2724,0)=ROUND(G2724,0),"Pass","Fail"))</f>
        <v>Pass</v>
      </c>
      <c r="B2724">
        <f t="shared" si="144"/>
        <v>23.55999755859375</v>
      </c>
      <c r="C2724">
        <v>30</v>
      </c>
      <c r="D2724">
        <v>20</v>
      </c>
      <c r="E2724">
        <v>30</v>
      </c>
      <c r="F2724">
        <v>16</v>
      </c>
      <c r="G2724">
        <v>23.559997247101698</v>
      </c>
    </row>
    <row r="2725" spans="1:7" x14ac:dyDescent="0.3">
      <c r="A2725" t="str">
        <f>IF(ISBLANK(B2725),"",IF(ROUND(B2725,0)=ROUND(G2725,0),"Pass","Fail"))</f>
        <v>Pass</v>
      </c>
      <c r="B2725">
        <f t="shared" si="144"/>
        <v>15.112577438354492</v>
      </c>
      <c r="C2725">
        <v>30</v>
      </c>
      <c r="D2725">
        <v>20</v>
      </c>
      <c r="E2725">
        <v>30</v>
      </c>
      <c r="F2725">
        <v>24</v>
      </c>
      <c r="G2725">
        <v>15.112577413736201</v>
      </c>
    </row>
    <row r="2726" spans="1:7" x14ac:dyDescent="0.3">
      <c r="A2726" t="str">
        <f>IF(ISBLANK(B2726),"",IF(ROUND(B2726,0)=ROUND(G2726,0),"Pass","Fail"))</f>
        <v>Pass</v>
      </c>
      <c r="B2726">
        <f t="shared" si="144"/>
        <v>10.860273361206055</v>
      </c>
      <c r="C2726">
        <v>30</v>
      </c>
      <c r="D2726">
        <v>20</v>
      </c>
      <c r="E2726">
        <v>30</v>
      </c>
      <c r="F2726">
        <v>32</v>
      </c>
      <c r="G2726">
        <v>10.8602730059946</v>
      </c>
    </row>
    <row r="2727" spans="1:7" x14ac:dyDescent="0.3">
      <c r="A2727" t="str">
        <f>IF(ISBLANK(B2727),"",IF(ROUND(B2727,0)=ROUND(G2727,0),"Pass","Fail"))</f>
        <v>Pass</v>
      </c>
      <c r="B2727">
        <f t="shared" si="144"/>
        <v>8.7197265625</v>
      </c>
      <c r="C2727">
        <v>30</v>
      </c>
      <c r="D2727">
        <v>20</v>
      </c>
      <c r="E2727">
        <v>30</v>
      </c>
      <c r="F2727">
        <v>40</v>
      </c>
      <c r="G2727">
        <v>8.7197267643271008</v>
      </c>
    </row>
    <row r="2728" spans="1:7" x14ac:dyDescent="0.3">
      <c r="A2728" t="str">
        <f>IF(ISBLANK(B2728),"",IF(ROUND(B2728,0)=ROUND(G2728,0),"Pass","Fail"))</f>
        <v>Pass</v>
      </c>
      <c r="B2728">
        <f t="shared" si="144"/>
        <v>7.6422080993652344</v>
      </c>
      <c r="C2728">
        <v>30</v>
      </c>
      <c r="D2728">
        <v>20</v>
      </c>
      <c r="E2728">
        <v>30</v>
      </c>
      <c r="F2728">
        <v>48</v>
      </c>
      <c r="G2728">
        <v>7.6422079008197201</v>
      </c>
    </row>
    <row r="2729" spans="1:7" x14ac:dyDescent="0.3">
      <c r="A2729" t="str">
        <f>IF(ISBLANK(B2729),"",IF(ROUND(B2729,0)=ROUND(G2729,0),"Pass","Fail"))</f>
        <v>Pass</v>
      </c>
      <c r="B2729">
        <f t="shared" si="144"/>
        <v>73.678001403808594</v>
      </c>
      <c r="C2729">
        <v>30</v>
      </c>
      <c r="D2729">
        <v>20</v>
      </c>
      <c r="E2729">
        <v>40</v>
      </c>
      <c r="F2729">
        <v>0</v>
      </c>
      <c r="G2729">
        <v>73.677999999999997</v>
      </c>
    </row>
    <row r="2730" spans="1:7" x14ac:dyDescent="0.3">
      <c r="A2730" t="str">
        <f>IF(ISBLANK(B2730),"",IF(ROUND(B2730,0)=ROUND(G2730,0),"Pass","Fail"))</f>
        <v>Pass</v>
      </c>
      <c r="B2730">
        <f t="shared" si="144"/>
        <v>40.341228485107422</v>
      </c>
      <c r="C2730">
        <v>30</v>
      </c>
      <c r="D2730">
        <v>20</v>
      </c>
      <c r="E2730">
        <v>40</v>
      </c>
      <c r="F2730">
        <v>8</v>
      </c>
      <c r="G2730">
        <v>40.341228080722999</v>
      </c>
    </row>
    <row r="2731" spans="1:7" x14ac:dyDescent="0.3">
      <c r="A2731" t="str">
        <f>IF(ISBLANK(B2731),"",IF(ROUND(B2731,0)=ROUND(G2731,0),"Pass","Fail"))</f>
        <v>Pass</v>
      </c>
      <c r="B2731">
        <f t="shared" si="144"/>
        <v>23.55999755859375</v>
      </c>
      <c r="C2731">
        <v>30</v>
      </c>
      <c r="D2731">
        <v>20</v>
      </c>
      <c r="E2731">
        <v>40</v>
      </c>
      <c r="F2731">
        <v>16</v>
      </c>
      <c r="G2731">
        <v>23.559997247101698</v>
      </c>
    </row>
    <row r="2732" spans="1:7" x14ac:dyDescent="0.3">
      <c r="A2732" t="str">
        <f>IF(ISBLANK(B2732),"",IF(ROUND(B2732,0)=ROUND(G2732,0),"Pass","Fail"))</f>
        <v>Pass</v>
      </c>
      <c r="B2732">
        <f t="shared" si="144"/>
        <v>15.112577438354492</v>
      </c>
      <c r="C2732">
        <v>30</v>
      </c>
      <c r="D2732">
        <v>20</v>
      </c>
      <c r="E2732">
        <v>40</v>
      </c>
      <c r="F2732">
        <v>24</v>
      </c>
      <c r="G2732">
        <v>15.112577413736201</v>
      </c>
    </row>
    <row r="2733" spans="1:7" x14ac:dyDescent="0.3">
      <c r="A2733" t="str">
        <f>IF(ISBLANK(B2733),"",IF(ROUND(B2733,0)=ROUND(G2733,0),"Pass","Fail"))</f>
        <v>Pass</v>
      </c>
      <c r="B2733">
        <f t="shared" si="144"/>
        <v>10.860273361206055</v>
      </c>
      <c r="C2733">
        <v>30</v>
      </c>
      <c r="D2733">
        <v>20</v>
      </c>
      <c r="E2733">
        <v>40</v>
      </c>
      <c r="F2733">
        <v>32</v>
      </c>
      <c r="G2733">
        <v>10.8602730059946</v>
      </c>
    </row>
    <row r="2734" spans="1:7" x14ac:dyDescent="0.3">
      <c r="A2734" t="str">
        <f>IF(ISBLANK(B2734),"",IF(ROUND(B2734,0)=ROUND(G2734,0),"Pass","Fail"))</f>
        <v>Pass</v>
      </c>
      <c r="B2734">
        <f t="shared" si="144"/>
        <v>8.7197265625</v>
      </c>
      <c r="C2734">
        <v>30</v>
      </c>
      <c r="D2734">
        <v>20</v>
      </c>
      <c r="E2734">
        <v>40</v>
      </c>
      <c r="F2734">
        <v>40</v>
      </c>
      <c r="G2734">
        <v>8.7197267643271008</v>
      </c>
    </row>
    <row r="2735" spans="1:7" x14ac:dyDescent="0.3">
      <c r="A2735" t="str">
        <f>IF(ISBLANK(B2735),"",IF(ROUND(B2735,0)=ROUND(G2735,0),"Pass","Fail"))</f>
        <v>Pass</v>
      </c>
      <c r="B2735">
        <f t="shared" si="144"/>
        <v>7.6422080993652344</v>
      </c>
      <c r="C2735">
        <v>30</v>
      </c>
      <c r="D2735">
        <v>20</v>
      </c>
      <c r="E2735">
        <v>40</v>
      </c>
      <c r="F2735">
        <v>48</v>
      </c>
      <c r="G2735">
        <v>7.6422079008197201</v>
      </c>
    </row>
    <row r="2736" spans="1:7" x14ac:dyDescent="0.3">
      <c r="A2736" t="str">
        <f>IF(ISBLANK(B2736),"",IF(ROUND(B2736,0)=ROUND(G2736,0),"Pass","Fail"))</f>
        <v>Pass</v>
      </c>
      <c r="B2736">
        <f t="shared" si="144"/>
        <v>73.678001403808594</v>
      </c>
      <c r="C2736">
        <v>30</v>
      </c>
      <c r="D2736">
        <v>20</v>
      </c>
      <c r="E2736">
        <v>50</v>
      </c>
      <c r="F2736">
        <v>0</v>
      </c>
      <c r="G2736">
        <v>73.677999999999997</v>
      </c>
    </row>
    <row r="2737" spans="1:7" x14ac:dyDescent="0.3">
      <c r="A2737" t="str">
        <f>IF(ISBLANK(B2737),"",IF(ROUND(B2737,0)=ROUND(G2737,0),"Pass","Fail"))</f>
        <v>Pass</v>
      </c>
      <c r="B2737">
        <f t="shared" si="144"/>
        <v>40.341228485107422</v>
      </c>
      <c r="C2737">
        <v>30</v>
      </c>
      <c r="D2737">
        <v>20</v>
      </c>
      <c r="E2737">
        <v>50</v>
      </c>
      <c r="F2737">
        <v>8</v>
      </c>
      <c r="G2737">
        <v>40.341228080722999</v>
      </c>
    </row>
    <row r="2738" spans="1:7" x14ac:dyDescent="0.3">
      <c r="A2738" t="str">
        <f>IF(ISBLANK(B2738),"",IF(ROUND(B2738,0)=ROUND(G2738,0),"Pass","Fail"))</f>
        <v>Pass</v>
      </c>
      <c r="B2738">
        <f t="shared" si="144"/>
        <v>23.55999755859375</v>
      </c>
      <c r="C2738">
        <v>30</v>
      </c>
      <c r="D2738">
        <v>20</v>
      </c>
      <c r="E2738">
        <v>50</v>
      </c>
      <c r="F2738">
        <v>16</v>
      </c>
      <c r="G2738">
        <v>23.559997247101698</v>
      </c>
    </row>
    <row r="2739" spans="1:7" x14ac:dyDescent="0.3">
      <c r="A2739" t="str">
        <f>IF(ISBLANK(B2739),"",IF(ROUND(B2739,0)=ROUND(G2739,0),"Pass","Fail"))</f>
        <v>Pass</v>
      </c>
      <c r="B2739">
        <f t="shared" si="144"/>
        <v>15.112577438354492</v>
      </c>
      <c r="C2739">
        <v>30</v>
      </c>
      <c r="D2739">
        <v>20</v>
      </c>
      <c r="E2739">
        <v>50</v>
      </c>
      <c r="F2739">
        <v>24</v>
      </c>
      <c r="G2739">
        <v>15.112577413736201</v>
      </c>
    </row>
    <row r="2740" spans="1:7" x14ac:dyDescent="0.3">
      <c r="A2740" t="str">
        <f>IF(ISBLANK(B2740),"",IF(ROUND(B2740,0)=ROUND(G2740,0),"Pass","Fail"))</f>
        <v>Pass</v>
      </c>
      <c r="B2740">
        <f t="shared" si="144"/>
        <v>10.860273361206055</v>
      </c>
      <c r="C2740">
        <v>30</v>
      </c>
      <c r="D2740">
        <v>20</v>
      </c>
      <c r="E2740">
        <v>50</v>
      </c>
      <c r="F2740">
        <v>32</v>
      </c>
      <c r="G2740">
        <v>10.8602730059946</v>
      </c>
    </row>
    <row r="2741" spans="1:7" x14ac:dyDescent="0.3">
      <c r="A2741" t="str">
        <f>IF(ISBLANK(B2741),"",IF(ROUND(B2741,0)=ROUND(G2741,0),"Pass","Fail"))</f>
        <v>Pass</v>
      </c>
      <c r="B2741">
        <f t="shared" si="144"/>
        <v>8.7197265625</v>
      </c>
      <c r="C2741">
        <v>30</v>
      </c>
      <c r="D2741">
        <v>20</v>
      </c>
      <c r="E2741">
        <v>50</v>
      </c>
      <c r="F2741">
        <v>40</v>
      </c>
      <c r="G2741">
        <v>8.7197267643271008</v>
      </c>
    </row>
    <row r="2742" spans="1:7" x14ac:dyDescent="0.3">
      <c r="A2742" t="str">
        <f>IF(ISBLANK(B2742),"",IF(ROUND(B2742,0)=ROUND(G2742,0),"Pass","Fail"))</f>
        <v>Pass</v>
      </c>
      <c r="B2742">
        <f t="shared" si="144"/>
        <v>7.6422080993652344</v>
      </c>
      <c r="C2742">
        <v>30</v>
      </c>
      <c r="D2742">
        <v>20</v>
      </c>
      <c r="E2742">
        <v>50</v>
      </c>
      <c r="F2742">
        <v>48</v>
      </c>
      <c r="G2742">
        <v>7.6422079008197201</v>
      </c>
    </row>
    <row r="2743" spans="1:7" x14ac:dyDescent="0.3">
      <c r="A2743" t="str">
        <f>IF(ISBLANK(B2743),"",IF(ROUND(B2743,0)=ROUND(G2743,0),"Pass","Fail"))</f>
        <v>Pass</v>
      </c>
      <c r="B2743">
        <f t="shared" si="144"/>
        <v>73.678001403808594</v>
      </c>
      <c r="C2743">
        <v>30</v>
      </c>
      <c r="D2743">
        <v>20</v>
      </c>
      <c r="E2743">
        <v>60</v>
      </c>
      <c r="F2743">
        <v>0</v>
      </c>
      <c r="G2743">
        <v>73.677999999999997</v>
      </c>
    </row>
    <row r="2744" spans="1:7" x14ac:dyDescent="0.3">
      <c r="A2744" t="str">
        <f>IF(ISBLANK(B2744),"",IF(ROUND(B2744,0)=ROUND(G2744,0),"Pass","Fail"))</f>
        <v>Pass</v>
      </c>
      <c r="B2744">
        <f t="shared" si="144"/>
        <v>40.341228485107422</v>
      </c>
      <c r="C2744">
        <v>30</v>
      </c>
      <c r="D2744">
        <v>20</v>
      </c>
      <c r="E2744">
        <v>60</v>
      </c>
      <c r="F2744">
        <v>8</v>
      </c>
      <c r="G2744">
        <v>40.341228080722999</v>
      </c>
    </row>
    <row r="2745" spans="1:7" x14ac:dyDescent="0.3">
      <c r="A2745" t="str">
        <f>IF(ISBLANK(B2745),"",IF(ROUND(B2745,0)=ROUND(G2745,0),"Pass","Fail"))</f>
        <v>Pass</v>
      </c>
      <c r="B2745">
        <f t="shared" si="144"/>
        <v>23.55999755859375</v>
      </c>
      <c r="C2745">
        <v>30</v>
      </c>
      <c r="D2745">
        <v>20</v>
      </c>
      <c r="E2745">
        <v>60</v>
      </c>
      <c r="F2745">
        <v>16</v>
      </c>
      <c r="G2745">
        <v>23.559997247101698</v>
      </c>
    </row>
    <row r="2746" spans="1:7" x14ac:dyDescent="0.3">
      <c r="A2746" t="str">
        <f>IF(ISBLANK(B2746),"",IF(ROUND(B2746,0)=ROUND(G2746,0),"Pass","Fail"))</f>
        <v>Pass</v>
      </c>
      <c r="B2746">
        <f t="shared" si="144"/>
        <v>15.112577438354492</v>
      </c>
      <c r="C2746">
        <v>30</v>
      </c>
      <c r="D2746">
        <v>20</v>
      </c>
      <c r="E2746">
        <v>60</v>
      </c>
      <c r="F2746">
        <v>24</v>
      </c>
      <c r="G2746">
        <v>15.112577413736201</v>
      </c>
    </row>
    <row r="2747" spans="1:7" x14ac:dyDescent="0.3">
      <c r="A2747" t="str">
        <f>IF(ISBLANK(B2747),"",IF(ROUND(B2747,0)=ROUND(G2747,0),"Pass","Fail"))</f>
        <v>Pass</v>
      </c>
      <c r="B2747">
        <f t="shared" si="144"/>
        <v>10.860273361206055</v>
      </c>
      <c r="C2747">
        <v>30</v>
      </c>
      <c r="D2747">
        <v>20</v>
      </c>
      <c r="E2747">
        <v>60</v>
      </c>
      <c r="F2747">
        <v>32</v>
      </c>
      <c r="G2747">
        <v>10.8602730059946</v>
      </c>
    </row>
    <row r="2748" spans="1:7" x14ac:dyDescent="0.3">
      <c r="A2748" t="str">
        <f>IF(ISBLANK(B2748),"",IF(ROUND(B2748,0)=ROUND(G2748,0),"Pass","Fail"))</f>
        <v>Pass</v>
      </c>
      <c r="B2748">
        <f t="shared" si="144"/>
        <v>8.7197265625</v>
      </c>
      <c r="C2748">
        <v>30</v>
      </c>
      <c r="D2748">
        <v>20</v>
      </c>
      <c r="E2748">
        <v>60</v>
      </c>
      <c r="F2748">
        <v>40</v>
      </c>
      <c r="G2748">
        <v>8.7197267643271008</v>
      </c>
    </row>
    <row r="2749" spans="1:7" x14ac:dyDescent="0.3">
      <c r="A2749" t="str">
        <f>IF(ISBLANK(B2749),"",IF(ROUND(B2749,0)=ROUND(G2749,0),"Pass","Fail"))</f>
        <v>Pass</v>
      </c>
      <c r="B2749">
        <f t="shared" si="144"/>
        <v>7.6422080993652344</v>
      </c>
      <c r="C2749">
        <v>30</v>
      </c>
      <c r="D2749">
        <v>20</v>
      </c>
      <c r="E2749">
        <v>60</v>
      </c>
      <c r="F2749">
        <v>48</v>
      </c>
      <c r="G2749">
        <v>7.6422079008197201</v>
      </c>
    </row>
    <row r="2750" spans="1:7" x14ac:dyDescent="0.3">
      <c r="A2750" t="str">
        <f>IF(ISBLANK(B2750),"",IF(ROUND(B2750,0)=ROUND(G2750,0),"Pass","Fail"))</f>
        <v>Pass</v>
      </c>
      <c r="B2750">
        <f t="shared" si="144"/>
        <v>73.678001403808594</v>
      </c>
      <c r="C2750">
        <v>30</v>
      </c>
      <c r="D2750">
        <v>20</v>
      </c>
      <c r="E2750">
        <v>70</v>
      </c>
      <c r="F2750">
        <v>0</v>
      </c>
      <c r="G2750">
        <v>73.677999999999997</v>
      </c>
    </row>
    <row r="2751" spans="1:7" x14ac:dyDescent="0.3">
      <c r="A2751" t="str">
        <f>IF(ISBLANK(B2751),"",IF(ROUND(B2751,0)=ROUND(G2751,0),"Pass","Fail"))</f>
        <v>Pass</v>
      </c>
      <c r="B2751">
        <f t="shared" si="144"/>
        <v>40.341228485107422</v>
      </c>
      <c r="C2751">
        <v>30</v>
      </c>
      <c r="D2751">
        <v>20</v>
      </c>
      <c r="E2751">
        <v>70</v>
      </c>
      <c r="F2751">
        <v>8</v>
      </c>
      <c r="G2751">
        <v>40.341228080722999</v>
      </c>
    </row>
    <row r="2752" spans="1:7" x14ac:dyDescent="0.3">
      <c r="A2752" t="str">
        <f>IF(ISBLANK(B2752),"",IF(ROUND(B2752,0)=ROUND(G2752,0),"Pass","Fail"))</f>
        <v>Pass</v>
      </c>
      <c r="B2752">
        <f t="shared" si="144"/>
        <v>23.55999755859375</v>
      </c>
      <c r="C2752">
        <v>30</v>
      </c>
      <c r="D2752">
        <v>20</v>
      </c>
      <c r="E2752">
        <v>70</v>
      </c>
      <c r="F2752">
        <v>16</v>
      </c>
      <c r="G2752">
        <v>23.559997247101698</v>
      </c>
    </row>
    <row r="2753" spans="1:7" x14ac:dyDescent="0.3">
      <c r="A2753" t="str">
        <f>IF(ISBLANK(B2753),"",IF(ROUND(B2753,0)=ROUND(G2753,0),"Pass","Fail"))</f>
        <v>Pass</v>
      </c>
      <c r="B2753">
        <f t="shared" si="144"/>
        <v>15.112577438354492</v>
      </c>
      <c r="C2753">
        <v>30</v>
      </c>
      <c r="D2753">
        <v>20</v>
      </c>
      <c r="E2753">
        <v>70</v>
      </c>
      <c r="F2753">
        <v>24</v>
      </c>
      <c r="G2753">
        <v>15.112577413736201</v>
      </c>
    </row>
    <row r="2754" spans="1:7" x14ac:dyDescent="0.3">
      <c r="A2754" t="str">
        <f>IF(ISBLANK(B2754),"",IF(ROUND(B2754,0)=ROUND(G2754,0),"Pass","Fail"))</f>
        <v>Pass</v>
      </c>
      <c r="B2754">
        <f t="shared" si="144"/>
        <v>10.860273361206055</v>
      </c>
      <c r="C2754">
        <v>30</v>
      </c>
      <c r="D2754">
        <v>20</v>
      </c>
      <c r="E2754">
        <v>70</v>
      </c>
      <c r="F2754">
        <v>32</v>
      </c>
      <c r="G2754">
        <v>10.8602730059946</v>
      </c>
    </row>
    <row r="2755" spans="1:7" x14ac:dyDescent="0.3">
      <c r="A2755" t="str">
        <f>IF(ISBLANK(B2755),"",IF(ROUND(B2755,0)=ROUND(G2755,0),"Pass","Fail"))</f>
        <v>Pass</v>
      </c>
      <c r="B2755">
        <f t="shared" si="144"/>
        <v>8.7197265625</v>
      </c>
      <c r="C2755">
        <v>30</v>
      </c>
      <c r="D2755">
        <v>20</v>
      </c>
      <c r="E2755">
        <v>70</v>
      </c>
      <c r="F2755">
        <v>40</v>
      </c>
      <c r="G2755">
        <v>8.7197267643271008</v>
      </c>
    </row>
    <row r="2756" spans="1:7" x14ac:dyDescent="0.3">
      <c r="A2756" t="str">
        <f>IF(ISBLANK(B2756),"",IF(ROUND(B2756,0)=ROUND(G2756,0),"Pass","Fail"))</f>
        <v>Pass</v>
      </c>
      <c r="B2756">
        <f t="shared" si="144"/>
        <v>7.6422080993652344</v>
      </c>
      <c r="C2756">
        <v>30</v>
      </c>
      <c r="D2756">
        <v>20</v>
      </c>
      <c r="E2756">
        <v>70</v>
      </c>
      <c r="F2756">
        <v>48</v>
      </c>
      <c r="G2756">
        <v>7.6422079008197201</v>
      </c>
    </row>
    <row r="2757" spans="1:7" x14ac:dyDescent="0.3">
      <c r="A2757" t="str">
        <f>IF(ISBLANK(B2757),"",IF(ROUND(B2757,0)=ROUND(G2757,0),"Pass","Fail"))</f>
        <v>Pass</v>
      </c>
      <c r="B2757">
        <f t="shared" si="144"/>
        <v>73.678001403808594</v>
      </c>
      <c r="C2757">
        <v>30</v>
      </c>
      <c r="D2757">
        <v>20</v>
      </c>
      <c r="E2757">
        <v>80</v>
      </c>
      <c r="F2757">
        <v>0</v>
      </c>
      <c r="G2757">
        <v>73.677999999999997</v>
      </c>
    </row>
    <row r="2758" spans="1:7" x14ac:dyDescent="0.3">
      <c r="A2758" t="str">
        <f>IF(ISBLANK(B2758),"",IF(ROUND(B2758,0)=ROUND(G2758,0),"Pass","Fail"))</f>
        <v>Pass</v>
      </c>
      <c r="B2758">
        <f t="shared" si="144"/>
        <v>40.341228485107422</v>
      </c>
      <c r="C2758">
        <v>30</v>
      </c>
      <c r="D2758">
        <v>20</v>
      </c>
      <c r="E2758">
        <v>80</v>
      </c>
      <c r="F2758">
        <v>8</v>
      </c>
      <c r="G2758">
        <v>40.341228080722999</v>
      </c>
    </row>
    <row r="2759" spans="1:7" x14ac:dyDescent="0.3">
      <c r="A2759" t="str">
        <f>IF(ISBLANK(B2759),"",IF(ROUND(B2759,0)=ROUND(G2759,0),"Pass","Fail"))</f>
        <v>Pass</v>
      </c>
      <c r="B2759">
        <f t="shared" ref="B2759:B2822" si="145">FMC_heath(C2759,D2759,E2759,F2759)</f>
        <v>23.55999755859375</v>
      </c>
      <c r="C2759">
        <v>30</v>
      </c>
      <c r="D2759">
        <v>20</v>
      </c>
      <c r="E2759">
        <v>80</v>
      </c>
      <c r="F2759">
        <v>16</v>
      </c>
      <c r="G2759">
        <v>23.559997247101698</v>
      </c>
    </row>
    <row r="2760" spans="1:7" x14ac:dyDescent="0.3">
      <c r="A2760" t="str">
        <f>IF(ISBLANK(B2760),"",IF(ROUND(B2760,0)=ROUND(G2760,0),"Pass","Fail"))</f>
        <v>Pass</v>
      </c>
      <c r="B2760">
        <f t="shared" si="145"/>
        <v>15.112577438354492</v>
      </c>
      <c r="C2760">
        <v>30</v>
      </c>
      <c r="D2760">
        <v>20</v>
      </c>
      <c r="E2760">
        <v>80</v>
      </c>
      <c r="F2760">
        <v>24</v>
      </c>
      <c r="G2760">
        <v>15.112577413736201</v>
      </c>
    </row>
    <row r="2761" spans="1:7" x14ac:dyDescent="0.3">
      <c r="A2761" t="str">
        <f>IF(ISBLANK(B2761),"",IF(ROUND(B2761,0)=ROUND(G2761,0),"Pass","Fail"))</f>
        <v>Pass</v>
      </c>
      <c r="B2761">
        <f t="shared" si="145"/>
        <v>10.860273361206055</v>
      </c>
      <c r="C2761">
        <v>30</v>
      </c>
      <c r="D2761">
        <v>20</v>
      </c>
      <c r="E2761">
        <v>80</v>
      </c>
      <c r="F2761">
        <v>32</v>
      </c>
      <c r="G2761">
        <v>10.8602730059946</v>
      </c>
    </row>
    <row r="2762" spans="1:7" x14ac:dyDescent="0.3">
      <c r="A2762" t="str">
        <f>IF(ISBLANK(B2762),"",IF(ROUND(B2762,0)=ROUND(G2762,0),"Pass","Fail"))</f>
        <v>Pass</v>
      </c>
      <c r="B2762">
        <f t="shared" si="145"/>
        <v>8.7197265625</v>
      </c>
      <c r="C2762">
        <v>30</v>
      </c>
      <c r="D2762">
        <v>20</v>
      </c>
      <c r="E2762">
        <v>80</v>
      </c>
      <c r="F2762">
        <v>40</v>
      </c>
      <c r="G2762">
        <v>8.7197267643271008</v>
      </c>
    </row>
    <row r="2763" spans="1:7" x14ac:dyDescent="0.3">
      <c r="A2763" t="str">
        <f>IF(ISBLANK(B2763),"",IF(ROUND(B2763,0)=ROUND(G2763,0),"Pass","Fail"))</f>
        <v>Pass</v>
      </c>
      <c r="B2763">
        <f t="shared" si="145"/>
        <v>7.6422080993652344</v>
      </c>
      <c r="C2763">
        <v>30</v>
      </c>
      <c r="D2763">
        <v>20</v>
      </c>
      <c r="E2763">
        <v>80</v>
      </c>
      <c r="F2763">
        <v>48</v>
      </c>
      <c r="G2763">
        <v>7.6422079008197201</v>
      </c>
    </row>
    <row r="2764" spans="1:7" x14ac:dyDescent="0.3">
      <c r="A2764" t="str">
        <f>IF(ISBLANK(B2764),"",IF(ROUND(B2764,0)=ROUND(G2764,0),"Pass","Fail"))</f>
        <v>Pass</v>
      </c>
      <c r="B2764">
        <f t="shared" si="145"/>
        <v>73.678001403808594</v>
      </c>
      <c r="C2764">
        <v>30</v>
      </c>
      <c r="D2764">
        <v>20</v>
      </c>
      <c r="E2764">
        <v>90</v>
      </c>
      <c r="F2764">
        <v>0</v>
      </c>
      <c r="G2764">
        <v>73.677999999999997</v>
      </c>
    </row>
    <row r="2765" spans="1:7" x14ac:dyDescent="0.3">
      <c r="A2765" t="str">
        <f>IF(ISBLANK(B2765),"",IF(ROUND(B2765,0)=ROUND(G2765,0),"Pass","Fail"))</f>
        <v>Pass</v>
      </c>
      <c r="B2765">
        <f t="shared" si="145"/>
        <v>40.341228485107422</v>
      </c>
      <c r="C2765">
        <v>30</v>
      </c>
      <c r="D2765">
        <v>20</v>
      </c>
      <c r="E2765">
        <v>90</v>
      </c>
      <c r="F2765">
        <v>8</v>
      </c>
      <c r="G2765">
        <v>40.341228080722999</v>
      </c>
    </row>
    <row r="2766" spans="1:7" x14ac:dyDescent="0.3">
      <c r="A2766" t="str">
        <f>IF(ISBLANK(B2766),"",IF(ROUND(B2766,0)=ROUND(G2766,0),"Pass","Fail"))</f>
        <v>Pass</v>
      </c>
      <c r="B2766">
        <f t="shared" si="145"/>
        <v>23.55999755859375</v>
      </c>
      <c r="C2766">
        <v>30</v>
      </c>
      <c r="D2766">
        <v>20</v>
      </c>
      <c r="E2766">
        <v>90</v>
      </c>
      <c r="F2766">
        <v>16</v>
      </c>
      <c r="G2766">
        <v>23.559997247101698</v>
      </c>
    </row>
    <row r="2767" spans="1:7" x14ac:dyDescent="0.3">
      <c r="A2767" t="str">
        <f>IF(ISBLANK(B2767),"",IF(ROUND(B2767,0)=ROUND(G2767,0),"Pass","Fail"))</f>
        <v>Pass</v>
      </c>
      <c r="B2767">
        <f t="shared" si="145"/>
        <v>15.112577438354492</v>
      </c>
      <c r="C2767">
        <v>30</v>
      </c>
      <c r="D2767">
        <v>20</v>
      </c>
      <c r="E2767">
        <v>90</v>
      </c>
      <c r="F2767">
        <v>24</v>
      </c>
      <c r="G2767">
        <v>15.112577413736201</v>
      </c>
    </row>
    <row r="2768" spans="1:7" x14ac:dyDescent="0.3">
      <c r="A2768" t="str">
        <f>IF(ISBLANK(B2768),"",IF(ROUND(B2768,0)=ROUND(G2768,0),"Pass","Fail"))</f>
        <v>Pass</v>
      </c>
      <c r="B2768">
        <f t="shared" si="145"/>
        <v>10.860273361206055</v>
      </c>
      <c r="C2768">
        <v>30</v>
      </c>
      <c r="D2768">
        <v>20</v>
      </c>
      <c r="E2768">
        <v>90</v>
      </c>
      <c r="F2768">
        <v>32</v>
      </c>
      <c r="G2768">
        <v>10.8602730059946</v>
      </c>
    </row>
    <row r="2769" spans="1:7" x14ac:dyDescent="0.3">
      <c r="A2769" t="str">
        <f>IF(ISBLANK(B2769),"",IF(ROUND(B2769,0)=ROUND(G2769,0),"Pass","Fail"))</f>
        <v>Pass</v>
      </c>
      <c r="B2769">
        <f t="shared" si="145"/>
        <v>8.7197265625</v>
      </c>
      <c r="C2769">
        <v>30</v>
      </c>
      <c r="D2769">
        <v>20</v>
      </c>
      <c r="E2769">
        <v>90</v>
      </c>
      <c r="F2769">
        <v>40</v>
      </c>
      <c r="G2769">
        <v>8.7197267643271008</v>
      </c>
    </row>
    <row r="2770" spans="1:7" x14ac:dyDescent="0.3">
      <c r="A2770" t="str">
        <f>IF(ISBLANK(B2770),"",IF(ROUND(B2770,0)=ROUND(G2770,0),"Pass","Fail"))</f>
        <v>Pass</v>
      </c>
      <c r="B2770">
        <f t="shared" si="145"/>
        <v>7.6422080993652344</v>
      </c>
      <c r="C2770">
        <v>30</v>
      </c>
      <c r="D2770">
        <v>20</v>
      </c>
      <c r="E2770">
        <v>90</v>
      </c>
      <c r="F2770">
        <v>48</v>
      </c>
      <c r="G2770">
        <v>7.6422079008197201</v>
      </c>
    </row>
    <row r="2771" spans="1:7" x14ac:dyDescent="0.3">
      <c r="A2771" t="str">
        <f>IF(ISBLANK(B2771),"",IF(ROUND(B2771,0)=ROUND(G2771,0),"Pass","Fail"))</f>
        <v>Pass</v>
      </c>
      <c r="B2771">
        <f t="shared" si="145"/>
        <v>73.678001403808594</v>
      </c>
      <c r="C2771">
        <v>30</v>
      </c>
      <c r="D2771">
        <v>20</v>
      </c>
      <c r="E2771">
        <v>100</v>
      </c>
      <c r="F2771">
        <v>0</v>
      </c>
      <c r="G2771">
        <v>73.677999999999997</v>
      </c>
    </row>
    <row r="2772" spans="1:7" x14ac:dyDescent="0.3">
      <c r="A2772" t="str">
        <f>IF(ISBLANK(B2772),"",IF(ROUND(B2772,0)=ROUND(G2772,0),"Pass","Fail"))</f>
        <v>Pass</v>
      </c>
      <c r="B2772">
        <f t="shared" si="145"/>
        <v>40.341228485107422</v>
      </c>
      <c r="C2772">
        <v>30</v>
      </c>
      <c r="D2772">
        <v>20</v>
      </c>
      <c r="E2772">
        <v>100</v>
      </c>
      <c r="F2772">
        <v>8</v>
      </c>
      <c r="G2772">
        <v>40.341228080722999</v>
      </c>
    </row>
    <row r="2773" spans="1:7" x14ac:dyDescent="0.3">
      <c r="A2773" t="str">
        <f>IF(ISBLANK(B2773),"",IF(ROUND(B2773,0)=ROUND(G2773,0),"Pass","Fail"))</f>
        <v>Pass</v>
      </c>
      <c r="B2773">
        <f t="shared" si="145"/>
        <v>23.55999755859375</v>
      </c>
      <c r="C2773">
        <v>30</v>
      </c>
      <c r="D2773">
        <v>20</v>
      </c>
      <c r="E2773">
        <v>100</v>
      </c>
      <c r="F2773">
        <v>16</v>
      </c>
      <c r="G2773">
        <v>23.559997247101698</v>
      </c>
    </row>
    <row r="2774" spans="1:7" x14ac:dyDescent="0.3">
      <c r="A2774" t="str">
        <f>IF(ISBLANK(B2774),"",IF(ROUND(B2774,0)=ROUND(G2774,0),"Pass","Fail"))</f>
        <v>Pass</v>
      </c>
      <c r="B2774">
        <f t="shared" si="145"/>
        <v>15.112577438354492</v>
      </c>
      <c r="C2774">
        <v>30</v>
      </c>
      <c r="D2774">
        <v>20</v>
      </c>
      <c r="E2774">
        <v>100</v>
      </c>
      <c r="F2774">
        <v>24</v>
      </c>
      <c r="G2774">
        <v>15.112577413736201</v>
      </c>
    </row>
    <row r="2775" spans="1:7" x14ac:dyDescent="0.3">
      <c r="A2775" t="str">
        <f>IF(ISBLANK(B2775),"",IF(ROUND(B2775,0)=ROUND(G2775,0),"Pass","Fail"))</f>
        <v>Pass</v>
      </c>
      <c r="B2775">
        <f t="shared" si="145"/>
        <v>10.860273361206055</v>
      </c>
      <c r="C2775">
        <v>30</v>
      </c>
      <c r="D2775">
        <v>20</v>
      </c>
      <c r="E2775">
        <v>100</v>
      </c>
      <c r="F2775">
        <v>32</v>
      </c>
      <c r="G2775">
        <v>10.8602730059946</v>
      </c>
    </row>
    <row r="2776" spans="1:7" x14ac:dyDescent="0.3">
      <c r="A2776" t="str">
        <f>IF(ISBLANK(B2776),"",IF(ROUND(B2776,0)=ROUND(G2776,0),"Pass","Fail"))</f>
        <v>Pass</v>
      </c>
      <c r="B2776">
        <f t="shared" si="145"/>
        <v>8.7197265625</v>
      </c>
      <c r="C2776">
        <v>30</v>
      </c>
      <c r="D2776">
        <v>20</v>
      </c>
      <c r="E2776">
        <v>100</v>
      </c>
      <c r="F2776">
        <v>40</v>
      </c>
      <c r="G2776">
        <v>8.7197267643271008</v>
      </c>
    </row>
    <row r="2777" spans="1:7" x14ac:dyDescent="0.3">
      <c r="A2777" t="str">
        <f>IF(ISBLANK(B2777),"",IF(ROUND(B2777,0)=ROUND(G2777,0),"Pass","Fail"))</f>
        <v>Pass</v>
      </c>
      <c r="B2777">
        <f t="shared" si="145"/>
        <v>7.6422080993652344</v>
      </c>
      <c r="C2777">
        <v>30</v>
      </c>
      <c r="D2777">
        <v>20</v>
      </c>
      <c r="E2777">
        <v>100</v>
      </c>
      <c r="F2777">
        <v>48</v>
      </c>
      <c r="G2777">
        <v>7.6422079008197201</v>
      </c>
    </row>
    <row r="2778" spans="1:7" x14ac:dyDescent="0.3">
      <c r="A2778" t="str">
        <f>IF(ISBLANK(B2778),"",IF(ROUND(B2778,0)=ROUND(G2778,0),"Pass","Fail"))</f>
        <v>Pass</v>
      </c>
      <c r="B2778">
        <f t="shared" si="145"/>
        <v>7.8899998664855957</v>
      </c>
      <c r="C2778">
        <v>30</v>
      </c>
      <c r="D2778">
        <v>30</v>
      </c>
      <c r="E2778">
        <v>0</v>
      </c>
      <c r="F2778">
        <v>0</v>
      </c>
      <c r="G2778">
        <v>7.89</v>
      </c>
    </row>
    <row r="2779" spans="1:7" x14ac:dyDescent="0.3">
      <c r="A2779" t="str">
        <f>IF(ISBLANK(B2779),"",IF(ROUND(B2779,0)=ROUND(G2779,0),"Pass","Fail"))</f>
        <v>Pass</v>
      </c>
      <c r="B2779">
        <f t="shared" si="145"/>
        <v>7.8899998664855957</v>
      </c>
      <c r="C2779">
        <v>30</v>
      </c>
      <c r="D2779">
        <v>30</v>
      </c>
      <c r="E2779">
        <v>0</v>
      </c>
      <c r="F2779">
        <v>8</v>
      </c>
      <c r="G2779">
        <v>7.89</v>
      </c>
    </row>
    <row r="2780" spans="1:7" x14ac:dyDescent="0.3">
      <c r="A2780" t="str">
        <f>IF(ISBLANK(B2780),"",IF(ROUND(B2780,0)=ROUND(G2780,0),"Pass","Fail"))</f>
        <v>Pass</v>
      </c>
      <c r="B2780">
        <f t="shared" si="145"/>
        <v>7.8899998664855957</v>
      </c>
      <c r="C2780">
        <v>30</v>
      </c>
      <c r="D2780">
        <v>30</v>
      </c>
      <c r="E2780">
        <v>0</v>
      </c>
      <c r="F2780">
        <v>16</v>
      </c>
      <c r="G2780">
        <v>7.89</v>
      </c>
    </row>
    <row r="2781" spans="1:7" x14ac:dyDescent="0.3">
      <c r="A2781" t="str">
        <f>IF(ISBLANK(B2781),"",IF(ROUND(B2781,0)=ROUND(G2781,0),"Pass","Fail"))</f>
        <v>Pass</v>
      </c>
      <c r="B2781">
        <f t="shared" si="145"/>
        <v>7.8899998664855957</v>
      </c>
      <c r="C2781">
        <v>30</v>
      </c>
      <c r="D2781">
        <v>30</v>
      </c>
      <c r="E2781">
        <v>0</v>
      </c>
      <c r="F2781">
        <v>24</v>
      </c>
      <c r="G2781">
        <v>7.89</v>
      </c>
    </row>
    <row r="2782" spans="1:7" x14ac:dyDescent="0.3">
      <c r="A2782" t="str">
        <f>IF(ISBLANK(B2782),"",IF(ROUND(B2782,0)=ROUND(G2782,0),"Pass","Fail"))</f>
        <v>Pass</v>
      </c>
      <c r="B2782">
        <f t="shared" si="145"/>
        <v>7.8899998664855957</v>
      </c>
      <c r="C2782">
        <v>30</v>
      </c>
      <c r="D2782">
        <v>30</v>
      </c>
      <c r="E2782">
        <v>0</v>
      </c>
      <c r="F2782">
        <v>32</v>
      </c>
      <c r="G2782">
        <v>7.89</v>
      </c>
    </row>
    <row r="2783" spans="1:7" x14ac:dyDescent="0.3">
      <c r="A2783" t="str">
        <f>IF(ISBLANK(B2783),"",IF(ROUND(B2783,0)=ROUND(G2783,0),"Pass","Fail"))</f>
        <v>Pass</v>
      </c>
      <c r="B2783">
        <f t="shared" si="145"/>
        <v>7.8899998664855957</v>
      </c>
      <c r="C2783">
        <v>30</v>
      </c>
      <c r="D2783">
        <v>30</v>
      </c>
      <c r="E2783">
        <v>0</v>
      </c>
      <c r="F2783">
        <v>40</v>
      </c>
      <c r="G2783">
        <v>7.89</v>
      </c>
    </row>
    <row r="2784" spans="1:7" x14ac:dyDescent="0.3">
      <c r="A2784" t="str">
        <f>IF(ISBLANK(B2784),"",IF(ROUND(B2784,0)=ROUND(G2784,0),"Pass","Fail"))</f>
        <v>Pass</v>
      </c>
      <c r="B2784">
        <f t="shared" si="145"/>
        <v>7.8899998664855957</v>
      </c>
      <c r="C2784">
        <v>30</v>
      </c>
      <c r="D2784">
        <v>30</v>
      </c>
      <c r="E2784">
        <v>0</v>
      </c>
      <c r="F2784">
        <v>48</v>
      </c>
      <c r="G2784">
        <v>7.89</v>
      </c>
    </row>
    <row r="2785" spans="1:7" x14ac:dyDescent="0.3">
      <c r="A2785" t="str">
        <f>IF(ISBLANK(B2785),"",IF(ROUND(B2785,0)=ROUND(G2785,0),"Pass","Fail"))</f>
        <v>Pass</v>
      </c>
      <c r="B2785">
        <f t="shared" si="145"/>
        <v>75.017997741699219</v>
      </c>
      <c r="C2785">
        <v>30</v>
      </c>
      <c r="D2785">
        <v>30</v>
      </c>
      <c r="E2785">
        <v>10</v>
      </c>
      <c r="F2785">
        <v>0</v>
      </c>
      <c r="G2785">
        <v>75.017999999998295</v>
      </c>
    </row>
    <row r="2786" spans="1:7" x14ac:dyDescent="0.3">
      <c r="A2786" t="str">
        <f>IF(ISBLANK(B2786),"",IF(ROUND(B2786,0)=ROUND(G2786,0),"Pass","Fail"))</f>
        <v>Pass</v>
      </c>
      <c r="B2786">
        <f t="shared" si="145"/>
        <v>41.681228637695313</v>
      </c>
      <c r="C2786">
        <v>30</v>
      </c>
      <c r="D2786">
        <v>30</v>
      </c>
      <c r="E2786">
        <v>10</v>
      </c>
      <c r="F2786">
        <v>8</v>
      </c>
      <c r="G2786">
        <v>41.6812280807222</v>
      </c>
    </row>
    <row r="2787" spans="1:7" x14ac:dyDescent="0.3">
      <c r="A2787" t="str">
        <f>IF(ISBLANK(B2787),"",IF(ROUND(B2787,0)=ROUND(G2787,0),"Pass","Fail"))</f>
        <v>Pass</v>
      </c>
      <c r="B2787">
        <f t="shared" si="145"/>
        <v>24.899995803833008</v>
      </c>
      <c r="C2787">
        <v>30</v>
      </c>
      <c r="D2787">
        <v>30</v>
      </c>
      <c r="E2787">
        <v>10</v>
      </c>
      <c r="F2787">
        <v>16</v>
      </c>
      <c r="G2787">
        <v>24.8999972471013</v>
      </c>
    </row>
    <row r="2788" spans="1:7" x14ac:dyDescent="0.3">
      <c r="A2788" t="str">
        <f>IF(ISBLANK(B2788),"",IF(ROUND(B2788,0)=ROUND(G2788,0),"Pass","Fail"))</f>
        <v>Pass</v>
      </c>
      <c r="B2788">
        <f t="shared" si="145"/>
        <v>16.452577590942383</v>
      </c>
      <c r="C2788">
        <v>30</v>
      </c>
      <c r="D2788">
        <v>30</v>
      </c>
      <c r="E2788">
        <v>10</v>
      </c>
      <c r="F2788">
        <v>24</v>
      </c>
      <c r="G2788">
        <v>16.452577413736002</v>
      </c>
    </row>
    <row r="2789" spans="1:7" x14ac:dyDescent="0.3">
      <c r="A2789" t="str">
        <f>IF(ISBLANK(B2789),"",IF(ROUND(B2789,0)=ROUND(G2789,0),"Pass","Fail"))</f>
        <v>Pass</v>
      </c>
      <c r="B2789">
        <f t="shared" si="145"/>
        <v>12.200273513793945</v>
      </c>
      <c r="C2789">
        <v>30</v>
      </c>
      <c r="D2789">
        <v>30</v>
      </c>
      <c r="E2789">
        <v>10</v>
      </c>
      <c r="F2789">
        <v>32</v>
      </c>
      <c r="G2789">
        <v>12.2002730059945</v>
      </c>
    </row>
    <row r="2790" spans="1:7" x14ac:dyDescent="0.3">
      <c r="A2790" t="str">
        <f>IF(ISBLANK(B2790),"",IF(ROUND(B2790,0)=ROUND(G2790,0),"Pass","Fail"))</f>
        <v>Pass</v>
      </c>
      <c r="B2790">
        <f t="shared" si="145"/>
        <v>10.059726715087891</v>
      </c>
      <c r="C2790">
        <v>30</v>
      </c>
      <c r="D2790">
        <v>30</v>
      </c>
      <c r="E2790">
        <v>10</v>
      </c>
      <c r="F2790">
        <v>40</v>
      </c>
      <c r="G2790">
        <v>10.059726764326999</v>
      </c>
    </row>
    <row r="2791" spans="1:7" x14ac:dyDescent="0.3">
      <c r="A2791" t="str">
        <f>IF(ISBLANK(B2791),"",IF(ROUND(B2791,0)=ROUND(G2791,0),"Pass","Fail"))</f>
        <v>Pass</v>
      </c>
      <c r="B2791">
        <f t="shared" si="145"/>
        <v>8.982208251953125</v>
      </c>
      <c r="C2791">
        <v>30</v>
      </c>
      <c r="D2791">
        <v>30</v>
      </c>
      <c r="E2791">
        <v>10</v>
      </c>
      <c r="F2791">
        <v>48</v>
      </c>
      <c r="G2791">
        <v>8.9822079008196898</v>
      </c>
    </row>
    <row r="2792" spans="1:7" x14ac:dyDescent="0.3">
      <c r="A2792" t="str">
        <f>IF(ISBLANK(B2792),"",IF(ROUND(B2792,0)=ROUND(G2792,0),"Pass","Fail"))</f>
        <v>Pass</v>
      </c>
      <c r="B2792">
        <f t="shared" si="145"/>
        <v>75.017997741699219</v>
      </c>
      <c r="C2792">
        <v>30</v>
      </c>
      <c r="D2792">
        <v>30</v>
      </c>
      <c r="E2792">
        <v>20</v>
      </c>
      <c r="F2792">
        <v>0</v>
      </c>
      <c r="G2792">
        <v>75.018000000000001</v>
      </c>
    </row>
    <row r="2793" spans="1:7" x14ac:dyDescent="0.3">
      <c r="A2793" t="str">
        <f>IF(ISBLANK(B2793),"",IF(ROUND(B2793,0)=ROUND(G2793,0),"Pass","Fail"))</f>
        <v>Pass</v>
      </c>
      <c r="B2793">
        <f t="shared" si="145"/>
        <v>41.681228637695313</v>
      </c>
      <c r="C2793">
        <v>30</v>
      </c>
      <c r="D2793">
        <v>30</v>
      </c>
      <c r="E2793">
        <v>20</v>
      </c>
      <c r="F2793">
        <v>8</v>
      </c>
      <c r="G2793">
        <v>41.681228080723002</v>
      </c>
    </row>
    <row r="2794" spans="1:7" x14ac:dyDescent="0.3">
      <c r="A2794" t="str">
        <f>IF(ISBLANK(B2794),"",IF(ROUND(B2794,0)=ROUND(G2794,0),"Pass","Fail"))</f>
        <v>Pass</v>
      </c>
      <c r="B2794">
        <f t="shared" si="145"/>
        <v>24.899995803833008</v>
      </c>
      <c r="C2794">
        <v>30</v>
      </c>
      <c r="D2794">
        <v>30</v>
      </c>
      <c r="E2794">
        <v>20</v>
      </c>
      <c r="F2794">
        <v>16</v>
      </c>
      <c r="G2794">
        <v>24.899997247101702</v>
      </c>
    </row>
    <row r="2795" spans="1:7" x14ac:dyDescent="0.3">
      <c r="A2795" t="str">
        <f>IF(ISBLANK(B2795),"",IF(ROUND(B2795,0)=ROUND(G2795,0),"Pass","Fail"))</f>
        <v>Pass</v>
      </c>
      <c r="B2795">
        <f t="shared" si="145"/>
        <v>16.452577590942383</v>
      </c>
      <c r="C2795">
        <v>30</v>
      </c>
      <c r="D2795">
        <v>30</v>
      </c>
      <c r="E2795">
        <v>20</v>
      </c>
      <c r="F2795">
        <v>24</v>
      </c>
      <c r="G2795">
        <v>16.452577413736201</v>
      </c>
    </row>
    <row r="2796" spans="1:7" x14ac:dyDescent="0.3">
      <c r="A2796" t="str">
        <f>IF(ISBLANK(B2796),"",IF(ROUND(B2796,0)=ROUND(G2796,0),"Pass","Fail"))</f>
        <v>Pass</v>
      </c>
      <c r="B2796">
        <f t="shared" si="145"/>
        <v>12.200273513793945</v>
      </c>
      <c r="C2796">
        <v>30</v>
      </c>
      <c r="D2796">
        <v>30</v>
      </c>
      <c r="E2796">
        <v>20</v>
      </c>
      <c r="F2796">
        <v>32</v>
      </c>
      <c r="G2796">
        <v>12.2002730059946</v>
      </c>
    </row>
    <row r="2797" spans="1:7" x14ac:dyDescent="0.3">
      <c r="A2797" t="str">
        <f>IF(ISBLANK(B2797),"",IF(ROUND(B2797,0)=ROUND(G2797,0),"Pass","Fail"))</f>
        <v>Pass</v>
      </c>
      <c r="B2797">
        <f t="shared" si="145"/>
        <v>10.059726715087891</v>
      </c>
      <c r="C2797">
        <v>30</v>
      </c>
      <c r="D2797">
        <v>30</v>
      </c>
      <c r="E2797">
        <v>20</v>
      </c>
      <c r="F2797">
        <v>40</v>
      </c>
      <c r="G2797">
        <v>10.059726764327101</v>
      </c>
    </row>
    <row r="2798" spans="1:7" x14ac:dyDescent="0.3">
      <c r="A2798" t="str">
        <f>IF(ISBLANK(B2798),"",IF(ROUND(B2798,0)=ROUND(G2798,0),"Pass","Fail"))</f>
        <v>Pass</v>
      </c>
      <c r="B2798">
        <f t="shared" si="145"/>
        <v>8.982208251953125</v>
      </c>
      <c r="C2798">
        <v>30</v>
      </c>
      <c r="D2798">
        <v>30</v>
      </c>
      <c r="E2798">
        <v>20</v>
      </c>
      <c r="F2798">
        <v>48</v>
      </c>
      <c r="G2798">
        <v>8.98220790081972</v>
      </c>
    </row>
    <row r="2799" spans="1:7" x14ac:dyDescent="0.3">
      <c r="A2799" t="str">
        <f>IF(ISBLANK(B2799),"",IF(ROUND(B2799,0)=ROUND(G2799,0),"Pass","Fail"))</f>
        <v>Pass</v>
      </c>
      <c r="B2799">
        <f t="shared" si="145"/>
        <v>75.017997741699219</v>
      </c>
      <c r="C2799">
        <v>30</v>
      </c>
      <c r="D2799">
        <v>30</v>
      </c>
      <c r="E2799">
        <v>30</v>
      </c>
      <c r="F2799">
        <v>0</v>
      </c>
      <c r="G2799">
        <v>75.018000000000001</v>
      </c>
    </row>
    <row r="2800" spans="1:7" x14ac:dyDescent="0.3">
      <c r="A2800" t="str">
        <f>IF(ISBLANK(B2800),"",IF(ROUND(B2800,0)=ROUND(G2800,0),"Pass","Fail"))</f>
        <v>Pass</v>
      </c>
      <c r="B2800">
        <f t="shared" si="145"/>
        <v>41.681228637695313</v>
      </c>
      <c r="C2800">
        <v>30</v>
      </c>
      <c r="D2800">
        <v>30</v>
      </c>
      <c r="E2800">
        <v>30</v>
      </c>
      <c r="F2800">
        <v>8</v>
      </c>
      <c r="G2800">
        <v>41.681228080723002</v>
      </c>
    </row>
    <row r="2801" spans="1:7" x14ac:dyDescent="0.3">
      <c r="A2801" t="str">
        <f>IF(ISBLANK(B2801),"",IF(ROUND(B2801,0)=ROUND(G2801,0),"Pass","Fail"))</f>
        <v>Pass</v>
      </c>
      <c r="B2801">
        <f t="shared" si="145"/>
        <v>24.899995803833008</v>
      </c>
      <c r="C2801">
        <v>30</v>
      </c>
      <c r="D2801">
        <v>30</v>
      </c>
      <c r="E2801">
        <v>30</v>
      </c>
      <c r="F2801">
        <v>16</v>
      </c>
      <c r="G2801">
        <v>24.899997247101702</v>
      </c>
    </row>
    <row r="2802" spans="1:7" x14ac:dyDescent="0.3">
      <c r="A2802" t="str">
        <f>IF(ISBLANK(B2802),"",IF(ROUND(B2802,0)=ROUND(G2802,0),"Pass","Fail"))</f>
        <v>Pass</v>
      </c>
      <c r="B2802">
        <f t="shared" si="145"/>
        <v>16.452577590942383</v>
      </c>
      <c r="C2802">
        <v>30</v>
      </c>
      <c r="D2802">
        <v>30</v>
      </c>
      <c r="E2802">
        <v>30</v>
      </c>
      <c r="F2802">
        <v>24</v>
      </c>
      <c r="G2802">
        <v>16.452577413736201</v>
      </c>
    </row>
    <row r="2803" spans="1:7" x14ac:dyDescent="0.3">
      <c r="A2803" t="str">
        <f>IF(ISBLANK(B2803),"",IF(ROUND(B2803,0)=ROUND(G2803,0),"Pass","Fail"))</f>
        <v>Pass</v>
      </c>
      <c r="B2803">
        <f t="shared" si="145"/>
        <v>12.200273513793945</v>
      </c>
      <c r="C2803">
        <v>30</v>
      </c>
      <c r="D2803">
        <v>30</v>
      </c>
      <c r="E2803">
        <v>30</v>
      </c>
      <c r="F2803">
        <v>32</v>
      </c>
      <c r="G2803">
        <v>12.2002730059946</v>
      </c>
    </row>
    <row r="2804" spans="1:7" x14ac:dyDescent="0.3">
      <c r="A2804" t="str">
        <f>IF(ISBLANK(B2804),"",IF(ROUND(B2804,0)=ROUND(G2804,0),"Pass","Fail"))</f>
        <v>Pass</v>
      </c>
      <c r="B2804">
        <f t="shared" si="145"/>
        <v>10.059726715087891</v>
      </c>
      <c r="C2804">
        <v>30</v>
      </c>
      <c r="D2804">
        <v>30</v>
      </c>
      <c r="E2804">
        <v>30</v>
      </c>
      <c r="F2804">
        <v>40</v>
      </c>
      <c r="G2804">
        <v>10.059726764327101</v>
      </c>
    </row>
    <row r="2805" spans="1:7" x14ac:dyDescent="0.3">
      <c r="A2805" t="str">
        <f>IF(ISBLANK(B2805),"",IF(ROUND(B2805,0)=ROUND(G2805,0),"Pass","Fail"))</f>
        <v>Pass</v>
      </c>
      <c r="B2805">
        <f t="shared" si="145"/>
        <v>8.982208251953125</v>
      </c>
      <c r="C2805">
        <v>30</v>
      </c>
      <c r="D2805">
        <v>30</v>
      </c>
      <c r="E2805">
        <v>30</v>
      </c>
      <c r="F2805">
        <v>48</v>
      </c>
      <c r="G2805">
        <v>8.98220790081972</v>
      </c>
    </row>
    <row r="2806" spans="1:7" x14ac:dyDescent="0.3">
      <c r="A2806" t="str">
        <f>IF(ISBLANK(B2806),"",IF(ROUND(B2806,0)=ROUND(G2806,0),"Pass","Fail"))</f>
        <v>Pass</v>
      </c>
      <c r="B2806">
        <f t="shared" si="145"/>
        <v>75.017997741699219</v>
      </c>
      <c r="C2806">
        <v>30</v>
      </c>
      <c r="D2806">
        <v>30</v>
      </c>
      <c r="E2806">
        <v>40</v>
      </c>
      <c r="F2806">
        <v>0</v>
      </c>
      <c r="G2806">
        <v>75.018000000000001</v>
      </c>
    </row>
    <row r="2807" spans="1:7" x14ac:dyDescent="0.3">
      <c r="A2807" t="str">
        <f>IF(ISBLANK(B2807),"",IF(ROUND(B2807,0)=ROUND(G2807,0),"Pass","Fail"))</f>
        <v>Pass</v>
      </c>
      <c r="B2807">
        <f t="shared" si="145"/>
        <v>41.681228637695313</v>
      </c>
      <c r="C2807">
        <v>30</v>
      </c>
      <c r="D2807">
        <v>30</v>
      </c>
      <c r="E2807">
        <v>40</v>
      </c>
      <c r="F2807">
        <v>8</v>
      </c>
      <c r="G2807">
        <v>41.681228080723002</v>
      </c>
    </row>
    <row r="2808" spans="1:7" x14ac:dyDescent="0.3">
      <c r="A2808" t="str">
        <f>IF(ISBLANK(B2808),"",IF(ROUND(B2808,0)=ROUND(G2808,0),"Pass","Fail"))</f>
        <v>Pass</v>
      </c>
      <c r="B2808">
        <f t="shared" si="145"/>
        <v>24.899995803833008</v>
      </c>
      <c r="C2808">
        <v>30</v>
      </c>
      <c r="D2808">
        <v>30</v>
      </c>
      <c r="E2808">
        <v>40</v>
      </c>
      <c r="F2808">
        <v>16</v>
      </c>
      <c r="G2808">
        <v>24.899997247101702</v>
      </c>
    </row>
    <row r="2809" spans="1:7" x14ac:dyDescent="0.3">
      <c r="A2809" t="str">
        <f>IF(ISBLANK(B2809),"",IF(ROUND(B2809,0)=ROUND(G2809,0),"Pass","Fail"))</f>
        <v>Pass</v>
      </c>
      <c r="B2809">
        <f t="shared" si="145"/>
        <v>16.452577590942383</v>
      </c>
      <c r="C2809">
        <v>30</v>
      </c>
      <c r="D2809">
        <v>30</v>
      </c>
      <c r="E2809">
        <v>40</v>
      </c>
      <c r="F2809">
        <v>24</v>
      </c>
      <c r="G2809">
        <v>16.452577413736201</v>
      </c>
    </row>
    <row r="2810" spans="1:7" x14ac:dyDescent="0.3">
      <c r="A2810" t="str">
        <f>IF(ISBLANK(B2810),"",IF(ROUND(B2810,0)=ROUND(G2810,0),"Pass","Fail"))</f>
        <v>Pass</v>
      </c>
      <c r="B2810">
        <f t="shared" si="145"/>
        <v>12.200273513793945</v>
      </c>
      <c r="C2810">
        <v>30</v>
      </c>
      <c r="D2810">
        <v>30</v>
      </c>
      <c r="E2810">
        <v>40</v>
      </c>
      <c r="F2810">
        <v>32</v>
      </c>
      <c r="G2810">
        <v>12.2002730059946</v>
      </c>
    </row>
    <row r="2811" spans="1:7" x14ac:dyDescent="0.3">
      <c r="A2811" t="str">
        <f>IF(ISBLANK(B2811),"",IF(ROUND(B2811,0)=ROUND(G2811,0),"Pass","Fail"))</f>
        <v>Pass</v>
      </c>
      <c r="B2811">
        <f t="shared" si="145"/>
        <v>10.059726715087891</v>
      </c>
      <c r="C2811">
        <v>30</v>
      </c>
      <c r="D2811">
        <v>30</v>
      </c>
      <c r="E2811">
        <v>40</v>
      </c>
      <c r="F2811">
        <v>40</v>
      </c>
      <c r="G2811">
        <v>10.059726764327101</v>
      </c>
    </row>
    <row r="2812" spans="1:7" x14ac:dyDescent="0.3">
      <c r="A2812" t="str">
        <f>IF(ISBLANK(B2812),"",IF(ROUND(B2812,0)=ROUND(G2812,0),"Pass","Fail"))</f>
        <v>Pass</v>
      </c>
      <c r="B2812">
        <f t="shared" si="145"/>
        <v>8.982208251953125</v>
      </c>
      <c r="C2812">
        <v>30</v>
      </c>
      <c r="D2812">
        <v>30</v>
      </c>
      <c r="E2812">
        <v>40</v>
      </c>
      <c r="F2812">
        <v>48</v>
      </c>
      <c r="G2812">
        <v>8.98220790081972</v>
      </c>
    </row>
    <row r="2813" spans="1:7" x14ac:dyDescent="0.3">
      <c r="A2813" t="str">
        <f>IF(ISBLANK(B2813),"",IF(ROUND(B2813,0)=ROUND(G2813,0),"Pass","Fail"))</f>
        <v>Pass</v>
      </c>
      <c r="B2813">
        <f t="shared" si="145"/>
        <v>75.017997741699219</v>
      </c>
      <c r="C2813">
        <v>30</v>
      </c>
      <c r="D2813">
        <v>30</v>
      </c>
      <c r="E2813">
        <v>50</v>
      </c>
      <c r="F2813">
        <v>0</v>
      </c>
      <c r="G2813">
        <v>75.018000000000001</v>
      </c>
    </row>
    <row r="2814" spans="1:7" x14ac:dyDescent="0.3">
      <c r="A2814" t="str">
        <f>IF(ISBLANK(B2814),"",IF(ROUND(B2814,0)=ROUND(G2814,0),"Pass","Fail"))</f>
        <v>Pass</v>
      </c>
      <c r="B2814">
        <f t="shared" si="145"/>
        <v>41.681228637695313</v>
      </c>
      <c r="C2814">
        <v>30</v>
      </c>
      <c r="D2814">
        <v>30</v>
      </c>
      <c r="E2814">
        <v>50</v>
      </c>
      <c r="F2814">
        <v>8</v>
      </c>
      <c r="G2814">
        <v>41.681228080723002</v>
      </c>
    </row>
    <row r="2815" spans="1:7" x14ac:dyDescent="0.3">
      <c r="A2815" t="str">
        <f>IF(ISBLANK(B2815),"",IF(ROUND(B2815,0)=ROUND(G2815,0),"Pass","Fail"))</f>
        <v>Pass</v>
      </c>
      <c r="B2815">
        <f t="shared" si="145"/>
        <v>24.899995803833008</v>
      </c>
      <c r="C2815">
        <v>30</v>
      </c>
      <c r="D2815">
        <v>30</v>
      </c>
      <c r="E2815">
        <v>50</v>
      </c>
      <c r="F2815">
        <v>16</v>
      </c>
      <c r="G2815">
        <v>24.899997247101702</v>
      </c>
    </row>
    <row r="2816" spans="1:7" x14ac:dyDescent="0.3">
      <c r="A2816" t="str">
        <f>IF(ISBLANK(B2816),"",IF(ROUND(B2816,0)=ROUND(G2816,0),"Pass","Fail"))</f>
        <v>Pass</v>
      </c>
      <c r="B2816">
        <f t="shared" si="145"/>
        <v>16.452577590942383</v>
      </c>
      <c r="C2816">
        <v>30</v>
      </c>
      <c r="D2816">
        <v>30</v>
      </c>
      <c r="E2816">
        <v>50</v>
      </c>
      <c r="F2816">
        <v>24</v>
      </c>
      <c r="G2816">
        <v>16.452577413736201</v>
      </c>
    </row>
    <row r="2817" spans="1:7" x14ac:dyDescent="0.3">
      <c r="A2817" t="str">
        <f>IF(ISBLANK(B2817),"",IF(ROUND(B2817,0)=ROUND(G2817,0),"Pass","Fail"))</f>
        <v>Pass</v>
      </c>
      <c r="B2817">
        <f t="shared" si="145"/>
        <v>12.200273513793945</v>
      </c>
      <c r="C2817">
        <v>30</v>
      </c>
      <c r="D2817">
        <v>30</v>
      </c>
      <c r="E2817">
        <v>50</v>
      </c>
      <c r="F2817">
        <v>32</v>
      </c>
      <c r="G2817">
        <v>12.2002730059946</v>
      </c>
    </row>
    <row r="2818" spans="1:7" x14ac:dyDescent="0.3">
      <c r="A2818" t="str">
        <f>IF(ISBLANK(B2818),"",IF(ROUND(B2818,0)=ROUND(G2818,0),"Pass","Fail"))</f>
        <v>Pass</v>
      </c>
      <c r="B2818">
        <f t="shared" si="145"/>
        <v>10.059726715087891</v>
      </c>
      <c r="C2818">
        <v>30</v>
      </c>
      <c r="D2818">
        <v>30</v>
      </c>
      <c r="E2818">
        <v>50</v>
      </c>
      <c r="F2818">
        <v>40</v>
      </c>
      <c r="G2818">
        <v>10.059726764327101</v>
      </c>
    </row>
    <row r="2819" spans="1:7" x14ac:dyDescent="0.3">
      <c r="A2819" t="str">
        <f>IF(ISBLANK(B2819),"",IF(ROUND(B2819,0)=ROUND(G2819,0),"Pass","Fail"))</f>
        <v>Pass</v>
      </c>
      <c r="B2819">
        <f t="shared" si="145"/>
        <v>8.982208251953125</v>
      </c>
      <c r="C2819">
        <v>30</v>
      </c>
      <c r="D2819">
        <v>30</v>
      </c>
      <c r="E2819">
        <v>50</v>
      </c>
      <c r="F2819">
        <v>48</v>
      </c>
      <c r="G2819">
        <v>8.98220790081972</v>
      </c>
    </row>
    <row r="2820" spans="1:7" x14ac:dyDescent="0.3">
      <c r="A2820" t="str">
        <f>IF(ISBLANK(B2820),"",IF(ROUND(B2820,0)=ROUND(G2820,0),"Pass","Fail"))</f>
        <v>Pass</v>
      </c>
      <c r="B2820">
        <f t="shared" si="145"/>
        <v>75.017997741699219</v>
      </c>
      <c r="C2820">
        <v>30</v>
      </c>
      <c r="D2820">
        <v>30</v>
      </c>
      <c r="E2820">
        <v>60</v>
      </c>
      <c r="F2820">
        <v>0</v>
      </c>
      <c r="G2820">
        <v>75.018000000000001</v>
      </c>
    </row>
    <row r="2821" spans="1:7" x14ac:dyDescent="0.3">
      <c r="A2821" t="str">
        <f>IF(ISBLANK(B2821),"",IF(ROUND(B2821,0)=ROUND(G2821,0),"Pass","Fail"))</f>
        <v>Pass</v>
      </c>
      <c r="B2821">
        <f t="shared" si="145"/>
        <v>41.681228637695313</v>
      </c>
      <c r="C2821">
        <v>30</v>
      </c>
      <c r="D2821">
        <v>30</v>
      </c>
      <c r="E2821">
        <v>60</v>
      </c>
      <c r="F2821">
        <v>8</v>
      </c>
      <c r="G2821">
        <v>41.681228080723002</v>
      </c>
    </row>
    <row r="2822" spans="1:7" x14ac:dyDescent="0.3">
      <c r="A2822" t="str">
        <f>IF(ISBLANK(B2822),"",IF(ROUND(B2822,0)=ROUND(G2822,0),"Pass","Fail"))</f>
        <v>Pass</v>
      </c>
      <c r="B2822">
        <f t="shared" si="145"/>
        <v>24.899995803833008</v>
      </c>
      <c r="C2822">
        <v>30</v>
      </c>
      <c r="D2822">
        <v>30</v>
      </c>
      <c r="E2822">
        <v>60</v>
      </c>
      <c r="F2822">
        <v>16</v>
      </c>
      <c r="G2822">
        <v>24.899997247101702</v>
      </c>
    </row>
    <row r="2823" spans="1:7" x14ac:dyDescent="0.3">
      <c r="A2823" t="str">
        <f>IF(ISBLANK(B2823),"",IF(ROUND(B2823,0)=ROUND(G2823,0),"Pass","Fail"))</f>
        <v>Pass</v>
      </c>
      <c r="B2823">
        <f t="shared" ref="B2823:B2886" si="146">FMC_heath(C2823,D2823,E2823,F2823)</f>
        <v>16.452577590942383</v>
      </c>
      <c r="C2823">
        <v>30</v>
      </c>
      <c r="D2823">
        <v>30</v>
      </c>
      <c r="E2823">
        <v>60</v>
      </c>
      <c r="F2823">
        <v>24</v>
      </c>
      <c r="G2823">
        <v>16.452577413736201</v>
      </c>
    </row>
    <row r="2824" spans="1:7" x14ac:dyDescent="0.3">
      <c r="A2824" t="str">
        <f>IF(ISBLANK(B2824),"",IF(ROUND(B2824,0)=ROUND(G2824,0),"Pass","Fail"))</f>
        <v>Pass</v>
      </c>
      <c r="B2824">
        <f t="shared" si="146"/>
        <v>12.200273513793945</v>
      </c>
      <c r="C2824">
        <v>30</v>
      </c>
      <c r="D2824">
        <v>30</v>
      </c>
      <c r="E2824">
        <v>60</v>
      </c>
      <c r="F2824">
        <v>32</v>
      </c>
      <c r="G2824">
        <v>12.2002730059946</v>
      </c>
    </row>
    <row r="2825" spans="1:7" x14ac:dyDescent="0.3">
      <c r="A2825" t="str">
        <f>IF(ISBLANK(B2825),"",IF(ROUND(B2825,0)=ROUND(G2825,0),"Pass","Fail"))</f>
        <v>Pass</v>
      </c>
      <c r="B2825">
        <f t="shared" si="146"/>
        <v>10.059726715087891</v>
      </c>
      <c r="C2825">
        <v>30</v>
      </c>
      <c r="D2825">
        <v>30</v>
      </c>
      <c r="E2825">
        <v>60</v>
      </c>
      <c r="F2825">
        <v>40</v>
      </c>
      <c r="G2825">
        <v>10.059726764327101</v>
      </c>
    </row>
    <row r="2826" spans="1:7" x14ac:dyDescent="0.3">
      <c r="A2826" t="str">
        <f>IF(ISBLANK(B2826),"",IF(ROUND(B2826,0)=ROUND(G2826,0),"Pass","Fail"))</f>
        <v>Pass</v>
      </c>
      <c r="B2826">
        <f t="shared" si="146"/>
        <v>8.982208251953125</v>
      </c>
      <c r="C2826">
        <v>30</v>
      </c>
      <c r="D2826">
        <v>30</v>
      </c>
      <c r="E2826">
        <v>60</v>
      </c>
      <c r="F2826">
        <v>48</v>
      </c>
      <c r="G2826">
        <v>8.98220790081972</v>
      </c>
    </row>
    <row r="2827" spans="1:7" x14ac:dyDescent="0.3">
      <c r="A2827" t="str">
        <f>IF(ISBLANK(B2827),"",IF(ROUND(B2827,0)=ROUND(G2827,0),"Pass","Fail"))</f>
        <v>Pass</v>
      </c>
      <c r="B2827">
        <f t="shared" si="146"/>
        <v>75.017997741699219</v>
      </c>
      <c r="C2827">
        <v>30</v>
      </c>
      <c r="D2827">
        <v>30</v>
      </c>
      <c r="E2827">
        <v>70</v>
      </c>
      <c r="F2827">
        <v>0</v>
      </c>
      <c r="G2827">
        <v>75.018000000000001</v>
      </c>
    </row>
    <row r="2828" spans="1:7" x14ac:dyDescent="0.3">
      <c r="A2828" t="str">
        <f>IF(ISBLANK(B2828),"",IF(ROUND(B2828,0)=ROUND(G2828,0),"Pass","Fail"))</f>
        <v>Pass</v>
      </c>
      <c r="B2828">
        <f t="shared" si="146"/>
        <v>41.681228637695313</v>
      </c>
      <c r="C2828">
        <v>30</v>
      </c>
      <c r="D2828">
        <v>30</v>
      </c>
      <c r="E2828">
        <v>70</v>
      </c>
      <c r="F2828">
        <v>8</v>
      </c>
      <c r="G2828">
        <v>41.681228080723002</v>
      </c>
    </row>
    <row r="2829" spans="1:7" x14ac:dyDescent="0.3">
      <c r="A2829" t="str">
        <f>IF(ISBLANK(B2829),"",IF(ROUND(B2829,0)=ROUND(G2829,0),"Pass","Fail"))</f>
        <v>Pass</v>
      </c>
      <c r="B2829">
        <f t="shared" si="146"/>
        <v>24.899995803833008</v>
      </c>
      <c r="C2829">
        <v>30</v>
      </c>
      <c r="D2829">
        <v>30</v>
      </c>
      <c r="E2829">
        <v>70</v>
      </c>
      <c r="F2829">
        <v>16</v>
      </c>
      <c r="G2829">
        <v>24.899997247101702</v>
      </c>
    </row>
    <row r="2830" spans="1:7" x14ac:dyDescent="0.3">
      <c r="A2830" t="str">
        <f>IF(ISBLANK(B2830),"",IF(ROUND(B2830,0)=ROUND(G2830,0),"Pass","Fail"))</f>
        <v>Pass</v>
      </c>
      <c r="B2830">
        <f t="shared" si="146"/>
        <v>16.452577590942383</v>
      </c>
      <c r="C2830">
        <v>30</v>
      </c>
      <c r="D2830">
        <v>30</v>
      </c>
      <c r="E2830">
        <v>70</v>
      </c>
      <c r="F2830">
        <v>24</v>
      </c>
      <c r="G2830">
        <v>16.452577413736201</v>
      </c>
    </row>
    <row r="2831" spans="1:7" x14ac:dyDescent="0.3">
      <c r="A2831" t="str">
        <f>IF(ISBLANK(B2831),"",IF(ROUND(B2831,0)=ROUND(G2831,0),"Pass","Fail"))</f>
        <v>Pass</v>
      </c>
      <c r="B2831">
        <f t="shared" si="146"/>
        <v>12.200273513793945</v>
      </c>
      <c r="C2831">
        <v>30</v>
      </c>
      <c r="D2831">
        <v>30</v>
      </c>
      <c r="E2831">
        <v>70</v>
      </c>
      <c r="F2831">
        <v>32</v>
      </c>
      <c r="G2831">
        <v>12.2002730059946</v>
      </c>
    </row>
    <row r="2832" spans="1:7" x14ac:dyDescent="0.3">
      <c r="A2832" t="str">
        <f>IF(ISBLANK(B2832),"",IF(ROUND(B2832,0)=ROUND(G2832,0),"Pass","Fail"))</f>
        <v>Pass</v>
      </c>
      <c r="B2832">
        <f t="shared" si="146"/>
        <v>10.059726715087891</v>
      </c>
      <c r="C2832">
        <v>30</v>
      </c>
      <c r="D2832">
        <v>30</v>
      </c>
      <c r="E2832">
        <v>70</v>
      </c>
      <c r="F2832">
        <v>40</v>
      </c>
      <c r="G2832">
        <v>10.059726764327101</v>
      </c>
    </row>
    <row r="2833" spans="1:7" x14ac:dyDescent="0.3">
      <c r="A2833" t="str">
        <f>IF(ISBLANK(B2833),"",IF(ROUND(B2833,0)=ROUND(G2833,0),"Pass","Fail"))</f>
        <v>Pass</v>
      </c>
      <c r="B2833">
        <f t="shared" si="146"/>
        <v>8.982208251953125</v>
      </c>
      <c r="C2833">
        <v>30</v>
      </c>
      <c r="D2833">
        <v>30</v>
      </c>
      <c r="E2833">
        <v>70</v>
      </c>
      <c r="F2833">
        <v>48</v>
      </c>
      <c r="G2833">
        <v>8.98220790081972</v>
      </c>
    </row>
    <row r="2834" spans="1:7" x14ac:dyDescent="0.3">
      <c r="A2834" t="str">
        <f>IF(ISBLANK(B2834),"",IF(ROUND(B2834,0)=ROUND(G2834,0),"Pass","Fail"))</f>
        <v>Pass</v>
      </c>
      <c r="B2834">
        <f t="shared" si="146"/>
        <v>75.017997741699219</v>
      </c>
      <c r="C2834">
        <v>30</v>
      </c>
      <c r="D2834">
        <v>30</v>
      </c>
      <c r="E2834">
        <v>80</v>
      </c>
      <c r="F2834">
        <v>0</v>
      </c>
      <c r="G2834">
        <v>75.018000000000001</v>
      </c>
    </row>
    <row r="2835" spans="1:7" x14ac:dyDescent="0.3">
      <c r="A2835" t="str">
        <f>IF(ISBLANK(B2835),"",IF(ROUND(B2835,0)=ROUND(G2835,0),"Pass","Fail"))</f>
        <v>Pass</v>
      </c>
      <c r="B2835">
        <f t="shared" si="146"/>
        <v>41.681228637695313</v>
      </c>
      <c r="C2835">
        <v>30</v>
      </c>
      <c r="D2835">
        <v>30</v>
      </c>
      <c r="E2835">
        <v>80</v>
      </c>
      <c r="F2835">
        <v>8</v>
      </c>
      <c r="G2835">
        <v>41.681228080723002</v>
      </c>
    </row>
    <row r="2836" spans="1:7" x14ac:dyDescent="0.3">
      <c r="A2836" t="str">
        <f>IF(ISBLANK(B2836),"",IF(ROUND(B2836,0)=ROUND(G2836,0),"Pass","Fail"))</f>
        <v>Pass</v>
      </c>
      <c r="B2836">
        <f t="shared" si="146"/>
        <v>24.899995803833008</v>
      </c>
      <c r="C2836">
        <v>30</v>
      </c>
      <c r="D2836">
        <v>30</v>
      </c>
      <c r="E2836">
        <v>80</v>
      </c>
      <c r="F2836">
        <v>16</v>
      </c>
      <c r="G2836">
        <v>24.899997247101702</v>
      </c>
    </row>
    <row r="2837" spans="1:7" x14ac:dyDescent="0.3">
      <c r="A2837" t="str">
        <f>IF(ISBLANK(B2837),"",IF(ROUND(B2837,0)=ROUND(G2837,0),"Pass","Fail"))</f>
        <v>Pass</v>
      </c>
      <c r="B2837">
        <f t="shared" si="146"/>
        <v>16.452577590942383</v>
      </c>
      <c r="C2837">
        <v>30</v>
      </c>
      <c r="D2837">
        <v>30</v>
      </c>
      <c r="E2837">
        <v>80</v>
      </c>
      <c r="F2837">
        <v>24</v>
      </c>
      <c r="G2837">
        <v>16.452577413736201</v>
      </c>
    </row>
    <row r="2838" spans="1:7" x14ac:dyDescent="0.3">
      <c r="A2838" t="str">
        <f>IF(ISBLANK(B2838),"",IF(ROUND(B2838,0)=ROUND(G2838,0),"Pass","Fail"))</f>
        <v>Pass</v>
      </c>
      <c r="B2838">
        <f t="shared" si="146"/>
        <v>12.200273513793945</v>
      </c>
      <c r="C2838">
        <v>30</v>
      </c>
      <c r="D2838">
        <v>30</v>
      </c>
      <c r="E2838">
        <v>80</v>
      </c>
      <c r="F2838">
        <v>32</v>
      </c>
      <c r="G2838">
        <v>12.2002730059946</v>
      </c>
    </row>
    <row r="2839" spans="1:7" x14ac:dyDescent="0.3">
      <c r="A2839" t="str">
        <f>IF(ISBLANK(B2839),"",IF(ROUND(B2839,0)=ROUND(G2839,0),"Pass","Fail"))</f>
        <v>Pass</v>
      </c>
      <c r="B2839">
        <f t="shared" si="146"/>
        <v>10.059726715087891</v>
      </c>
      <c r="C2839">
        <v>30</v>
      </c>
      <c r="D2839">
        <v>30</v>
      </c>
      <c r="E2839">
        <v>80</v>
      </c>
      <c r="F2839">
        <v>40</v>
      </c>
      <c r="G2839">
        <v>10.059726764327101</v>
      </c>
    </row>
    <row r="2840" spans="1:7" x14ac:dyDescent="0.3">
      <c r="A2840" t="str">
        <f>IF(ISBLANK(B2840),"",IF(ROUND(B2840,0)=ROUND(G2840,0),"Pass","Fail"))</f>
        <v>Pass</v>
      </c>
      <c r="B2840">
        <f t="shared" si="146"/>
        <v>8.982208251953125</v>
      </c>
      <c r="C2840">
        <v>30</v>
      </c>
      <c r="D2840">
        <v>30</v>
      </c>
      <c r="E2840">
        <v>80</v>
      </c>
      <c r="F2840">
        <v>48</v>
      </c>
      <c r="G2840">
        <v>8.98220790081972</v>
      </c>
    </row>
    <row r="2841" spans="1:7" x14ac:dyDescent="0.3">
      <c r="A2841" t="str">
        <f>IF(ISBLANK(B2841),"",IF(ROUND(B2841,0)=ROUND(G2841,0),"Pass","Fail"))</f>
        <v>Pass</v>
      </c>
      <c r="B2841">
        <f t="shared" si="146"/>
        <v>75.017997741699219</v>
      </c>
      <c r="C2841">
        <v>30</v>
      </c>
      <c r="D2841">
        <v>30</v>
      </c>
      <c r="E2841">
        <v>90</v>
      </c>
      <c r="F2841">
        <v>0</v>
      </c>
      <c r="G2841">
        <v>75.018000000000001</v>
      </c>
    </row>
    <row r="2842" spans="1:7" x14ac:dyDescent="0.3">
      <c r="A2842" t="str">
        <f>IF(ISBLANK(B2842),"",IF(ROUND(B2842,0)=ROUND(G2842,0),"Pass","Fail"))</f>
        <v>Pass</v>
      </c>
      <c r="B2842">
        <f t="shared" si="146"/>
        <v>41.681228637695313</v>
      </c>
      <c r="C2842">
        <v>30</v>
      </c>
      <c r="D2842">
        <v>30</v>
      </c>
      <c r="E2842">
        <v>90</v>
      </c>
      <c r="F2842">
        <v>8</v>
      </c>
      <c r="G2842">
        <v>41.681228080723002</v>
      </c>
    </row>
    <row r="2843" spans="1:7" x14ac:dyDescent="0.3">
      <c r="A2843" t="str">
        <f>IF(ISBLANK(B2843),"",IF(ROUND(B2843,0)=ROUND(G2843,0),"Pass","Fail"))</f>
        <v>Pass</v>
      </c>
      <c r="B2843">
        <f t="shared" si="146"/>
        <v>24.899995803833008</v>
      </c>
      <c r="C2843">
        <v>30</v>
      </c>
      <c r="D2843">
        <v>30</v>
      </c>
      <c r="E2843">
        <v>90</v>
      </c>
      <c r="F2843">
        <v>16</v>
      </c>
      <c r="G2843">
        <v>24.899997247101702</v>
      </c>
    </row>
    <row r="2844" spans="1:7" x14ac:dyDescent="0.3">
      <c r="A2844" t="str">
        <f>IF(ISBLANK(B2844),"",IF(ROUND(B2844,0)=ROUND(G2844,0),"Pass","Fail"))</f>
        <v>Pass</v>
      </c>
      <c r="B2844">
        <f t="shared" si="146"/>
        <v>16.452577590942383</v>
      </c>
      <c r="C2844">
        <v>30</v>
      </c>
      <c r="D2844">
        <v>30</v>
      </c>
      <c r="E2844">
        <v>90</v>
      </c>
      <c r="F2844">
        <v>24</v>
      </c>
      <c r="G2844">
        <v>16.452577413736201</v>
      </c>
    </row>
    <row r="2845" spans="1:7" x14ac:dyDescent="0.3">
      <c r="A2845" t="str">
        <f>IF(ISBLANK(B2845),"",IF(ROUND(B2845,0)=ROUND(G2845,0),"Pass","Fail"))</f>
        <v>Pass</v>
      </c>
      <c r="B2845">
        <f t="shared" si="146"/>
        <v>12.200273513793945</v>
      </c>
      <c r="C2845">
        <v>30</v>
      </c>
      <c r="D2845">
        <v>30</v>
      </c>
      <c r="E2845">
        <v>90</v>
      </c>
      <c r="F2845">
        <v>32</v>
      </c>
      <c r="G2845">
        <v>12.2002730059946</v>
      </c>
    </row>
    <row r="2846" spans="1:7" x14ac:dyDescent="0.3">
      <c r="A2846" t="str">
        <f>IF(ISBLANK(B2846),"",IF(ROUND(B2846,0)=ROUND(G2846,0),"Pass","Fail"))</f>
        <v>Pass</v>
      </c>
      <c r="B2846">
        <f t="shared" si="146"/>
        <v>10.059726715087891</v>
      </c>
      <c r="C2846">
        <v>30</v>
      </c>
      <c r="D2846">
        <v>30</v>
      </c>
      <c r="E2846">
        <v>90</v>
      </c>
      <c r="F2846">
        <v>40</v>
      </c>
      <c r="G2846">
        <v>10.059726764327101</v>
      </c>
    </row>
    <row r="2847" spans="1:7" x14ac:dyDescent="0.3">
      <c r="A2847" t="str">
        <f>IF(ISBLANK(B2847),"",IF(ROUND(B2847,0)=ROUND(G2847,0),"Pass","Fail"))</f>
        <v>Pass</v>
      </c>
      <c r="B2847">
        <f t="shared" si="146"/>
        <v>8.982208251953125</v>
      </c>
      <c r="C2847">
        <v>30</v>
      </c>
      <c r="D2847">
        <v>30</v>
      </c>
      <c r="E2847">
        <v>90</v>
      </c>
      <c r="F2847">
        <v>48</v>
      </c>
      <c r="G2847">
        <v>8.98220790081972</v>
      </c>
    </row>
    <row r="2848" spans="1:7" x14ac:dyDescent="0.3">
      <c r="A2848" t="str">
        <f>IF(ISBLANK(B2848),"",IF(ROUND(B2848,0)=ROUND(G2848,0),"Pass","Fail"))</f>
        <v>Pass</v>
      </c>
      <c r="B2848">
        <f t="shared" si="146"/>
        <v>75.017997741699219</v>
      </c>
      <c r="C2848">
        <v>30</v>
      </c>
      <c r="D2848">
        <v>30</v>
      </c>
      <c r="E2848">
        <v>100</v>
      </c>
      <c r="F2848">
        <v>0</v>
      </c>
      <c r="G2848">
        <v>75.018000000000001</v>
      </c>
    </row>
    <row r="2849" spans="1:7" x14ac:dyDescent="0.3">
      <c r="A2849" t="str">
        <f>IF(ISBLANK(B2849),"",IF(ROUND(B2849,0)=ROUND(G2849,0),"Pass","Fail"))</f>
        <v>Pass</v>
      </c>
      <c r="B2849">
        <f t="shared" si="146"/>
        <v>41.681228637695313</v>
      </c>
      <c r="C2849">
        <v>30</v>
      </c>
      <c r="D2849">
        <v>30</v>
      </c>
      <c r="E2849">
        <v>100</v>
      </c>
      <c r="F2849">
        <v>8</v>
      </c>
      <c r="G2849">
        <v>41.681228080723002</v>
      </c>
    </row>
    <row r="2850" spans="1:7" x14ac:dyDescent="0.3">
      <c r="A2850" t="str">
        <f>IF(ISBLANK(B2850),"",IF(ROUND(B2850,0)=ROUND(G2850,0),"Pass","Fail"))</f>
        <v>Pass</v>
      </c>
      <c r="B2850">
        <f t="shared" si="146"/>
        <v>24.899995803833008</v>
      </c>
      <c r="C2850">
        <v>30</v>
      </c>
      <c r="D2850">
        <v>30</v>
      </c>
      <c r="E2850">
        <v>100</v>
      </c>
      <c r="F2850">
        <v>16</v>
      </c>
      <c r="G2850">
        <v>24.899997247101702</v>
      </c>
    </row>
    <row r="2851" spans="1:7" x14ac:dyDescent="0.3">
      <c r="A2851" t="str">
        <f>IF(ISBLANK(B2851),"",IF(ROUND(B2851,0)=ROUND(G2851,0),"Pass","Fail"))</f>
        <v>Pass</v>
      </c>
      <c r="B2851">
        <f t="shared" si="146"/>
        <v>16.452577590942383</v>
      </c>
      <c r="C2851">
        <v>30</v>
      </c>
      <c r="D2851">
        <v>30</v>
      </c>
      <c r="E2851">
        <v>100</v>
      </c>
      <c r="F2851">
        <v>24</v>
      </c>
      <c r="G2851">
        <v>16.452577413736201</v>
      </c>
    </row>
    <row r="2852" spans="1:7" x14ac:dyDescent="0.3">
      <c r="A2852" t="str">
        <f>IF(ISBLANK(B2852),"",IF(ROUND(B2852,0)=ROUND(G2852,0),"Pass","Fail"))</f>
        <v>Pass</v>
      </c>
      <c r="B2852">
        <f t="shared" si="146"/>
        <v>12.200273513793945</v>
      </c>
      <c r="C2852">
        <v>30</v>
      </c>
      <c r="D2852">
        <v>30</v>
      </c>
      <c r="E2852">
        <v>100</v>
      </c>
      <c r="F2852">
        <v>32</v>
      </c>
      <c r="G2852">
        <v>12.2002730059946</v>
      </c>
    </row>
    <row r="2853" spans="1:7" x14ac:dyDescent="0.3">
      <c r="A2853" t="str">
        <f>IF(ISBLANK(B2853),"",IF(ROUND(B2853,0)=ROUND(G2853,0),"Pass","Fail"))</f>
        <v>Pass</v>
      </c>
      <c r="B2853">
        <f t="shared" si="146"/>
        <v>10.059726715087891</v>
      </c>
      <c r="C2853">
        <v>30</v>
      </c>
      <c r="D2853">
        <v>30</v>
      </c>
      <c r="E2853">
        <v>100</v>
      </c>
      <c r="F2853">
        <v>40</v>
      </c>
      <c r="G2853">
        <v>10.059726764327101</v>
      </c>
    </row>
    <row r="2854" spans="1:7" x14ac:dyDescent="0.3">
      <c r="A2854" t="str">
        <f>IF(ISBLANK(B2854),"",IF(ROUND(B2854,0)=ROUND(G2854,0),"Pass","Fail"))</f>
        <v>Pass</v>
      </c>
      <c r="B2854">
        <f t="shared" si="146"/>
        <v>8.982208251953125</v>
      </c>
      <c r="C2854">
        <v>30</v>
      </c>
      <c r="D2854">
        <v>30</v>
      </c>
      <c r="E2854">
        <v>100</v>
      </c>
      <c r="F2854">
        <v>48</v>
      </c>
      <c r="G2854">
        <v>8.98220790081972</v>
      </c>
    </row>
    <row r="2855" spans="1:7" x14ac:dyDescent="0.3">
      <c r="A2855" t="str">
        <f>IF(ISBLANK(B2855),"",IF(ROUND(B2855,0)=ROUND(G2855,0),"Pass","Fail"))</f>
        <v>Pass</v>
      </c>
      <c r="B2855">
        <f t="shared" si="146"/>
        <v>9.2300004959106445</v>
      </c>
      <c r="C2855">
        <v>30</v>
      </c>
      <c r="D2855">
        <v>40</v>
      </c>
      <c r="E2855">
        <v>0</v>
      </c>
      <c r="F2855">
        <v>0</v>
      </c>
      <c r="G2855">
        <v>9.23</v>
      </c>
    </row>
    <row r="2856" spans="1:7" x14ac:dyDescent="0.3">
      <c r="A2856" t="str">
        <f>IF(ISBLANK(B2856),"",IF(ROUND(B2856,0)=ROUND(G2856,0),"Pass","Fail"))</f>
        <v>Pass</v>
      </c>
      <c r="B2856">
        <f t="shared" si="146"/>
        <v>9.2300004959106445</v>
      </c>
      <c r="C2856">
        <v>30</v>
      </c>
      <c r="D2856">
        <v>40</v>
      </c>
      <c r="E2856">
        <v>0</v>
      </c>
      <c r="F2856">
        <v>8</v>
      </c>
      <c r="G2856">
        <v>9.23</v>
      </c>
    </row>
    <row r="2857" spans="1:7" x14ac:dyDescent="0.3">
      <c r="A2857" t="str">
        <f>IF(ISBLANK(B2857),"",IF(ROUND(B2857,0)=ROUND(G2857,0),"Pass","Fail"))</f>
        <v>Pass</v>
      </c>
      <c r="B2857">
        <f t="shared" si="146"/>
        <v>9.2300004959106445</v>
      </c>
      <c r="C2857">
        <v>30</v>
      </c>
      <c r="D2857">
        <v>40</v>
      </c>
      <c r="E2857">
        <v>0</v>
      </c>
      <c r="F2857">
        <v>16</v>
      </c>
      <c r="G2857">
        <v>9.23</v>
      </c>
    </row>
    <row r="2858" spans="1:7" x14ac:dyDescent="0.3">
      <c r="A2858" t="str">
        <f>IF(ISBLANK(B2858),"",IF(ROUND(B2858,0)=ROUND(G2858,0),"Pass","Fail"))</f>
        <v>Pass</v>
      </c>
      <c r="B2858">
        <f t="shared" si="146"/>
        <v>9.2300004959106445</v>
      </c>
      <c r="C2858">
        <v>30</v>
      </c>
      <c r="D2858">
        <v>40</v>
      </c>
      <c r="E2858">
        <v>0</v>
      </c>
      <c r="F2858">
        <v>24</v>
      </c>
      <c r="G2858">
        <v>9.23</v>
      </c>
    </row>
    <row r="2859" spans="1:7" x14ac:dyDescent="0.3">
      <c r="A2859" t="str">
        <f>IF(ISBLANK(B2859),"",IF(ROUND(B2859,0)=ROUND(G2859,0),"Pass","Fail"))</f>
        <v>Pass</v>
      </c>
      <c r="B2859">
        <f t="shared" si="146"/>
        <v>9.2300004959106445</v>
      </c>
      <c r="C2859">
        <v>30</v>
      </c>
      <c r="D2859">
        <v>40</v>
      </c>
      <c r="E2859">
        <v>0</v>
      </c>
      <c r="F2859">
        <v>32</v>
      </c>
      <c r="G2859">
        <v>9.23</v>
      </c>
    </row>
    <row r="2860" spans="1:7" x14ac:dyDescent="0.3">
      <c r="A2860" t="str">
        <f>IF(ISBLANK(B2860),"",IF(ROUND(B2860,0)=ROUND(G2860,0),"Pass","Fail"))</f>
        <v>Pass</v>
      </c>
      <c r="B2860">
        <f t="shared" si="146"/>
        <v>9.2300004959106445</v>
      </c>
      <c r="C2860">
        <v>30</v>
      </c>
      <c r="D2860">
        <v>40</v>
      </c>
      <c r="E2860">
        <v>0</v>
      </c>
      <c r="F2860">
        <v>40</v>
      </c>
      <c r="G2860">
        <v>9.23</v>
      </c>
    </row>
    <row r="2861" spans="1:7" x14ac:dyDescent="0.3">
      <c r="A2861" t="str">
        <f>IF(ISBLANK(B2861),"",IF(ROUND(B2861,0)=ROUND(G2861,0),"Pass","Fail"))</f>
        <v>Pass</v>
      </c>
      <c r="B2861">
        <f t="shared" si="146"/>
        <v>9.2300004959106445</v>
      </c>
      <c r="C2861">
        <v>30</v>
      </c>
      <c r="D2861">
        <v>40</v>
      </c>
      <c r="E2861">
        <v>0</v>
      </c>
      <c r="F2861">
        <v>48</v>
      </c>
      <c r="G2861">
        <v>9.23</v>
      </c>
    </row>
    <row r="2862" spans="1:7" x14ac:dyDescent="0.3">
      <c r="A2862" t="str">
        <f>IF(ISBLANK(B2862),"",IF(ROUND(B2862,0)=ROUND(G2862,0),"Pass","Fail"))</f>
        <v>Pass</v>
      </c>
      <c r="B2862">
        <f t="shared" si="146"/>
        <v>76.358001708984375</v>
      </c>
      <c r="C2862">
        <v>30</v>
      </c>
      <c r="D2862">
        <v>40</v>
      </c>
      <c r="E2862">
        <v>10</v>
      </c>
      <c r="F2862">
        <v>0</v>
      </c>
      <c r="G2862">
        <v>76.357999999998299</v>
      </c>
    </row>
    <row r="2863" spans="1:7" x14ac:dyDescent="0.3">
      <c r="A2863" t="str">
        <f>IF(ISBLANK(B2863),"",IF(ROUND(B2863,0)=ROUND(G2863,0),"Pass","Fail"))</f>
        <v>Pass</v>
      </c>
      <c r="B2863">
        <f t="shared" si="146"/>
        <v>43.021228790283203</v>
      </c>
      <c r="C2863">
        <v>30</v>
      </c>
      <c r="D2863">
        <v>40</v>
      </c>
      <c r="E2863">
        <v>10</v>
      </c>
      <c r="F2863">
        <v>8</v>
      </c>
      <c r="G2863">
        <v>43.021228080722203</v>
      </c>
    </row>
    <row r="2864" spans="1:7" x14ac:dyDescent="0.3">
      <c r="A2864" t="str">
        <f>IF(ISBLANK(B2864),"",IF(ROUND(B2864,0)=ROUND(G2864,0),"Pass","Fail"))</f>
        <v>Pass</v>
      </c>
      <c r="B2864">
        <f t="shared" si="146"/>
        <v>26.239997863769531</v>
      </c>
      <c r="C2864">
        <v>30</v>
      </c>
      <c r="D2864">
        <v>40</v>
      </c>
      <c r="E2864">
        <v>10</v>
      </c>
      <c r="F2864">
        <v>16</v>
      </c>
      <c r="G2864">
        <v>26.2399972471013</v>
      </c>
    </row>
    <row r="2865" spans="1:7" x14ac:dyDescent="0.3">
      <c r="A2865" t="str">
        <f>IF(ISBLANK(B2865),"",IF(ROUND(B2865,0)=ROUND(G2865,0),"Pass","Fail"))</f>
        <v>Pass</v>
      </c>
      <c r="B2865">
        <f t="shared" si="146"/>
        <v>17.792577743530273</v>
      </c>
      <c r="C2865">
        <v>30</v>
      </c>
      <c r="D2865">
        <v>40</v>
      </c>
      <c r="E2865">
        <v>10</v>
      </c>
      <c r="F2865">
        <v>24</v>
      </c>
      <c r="G2865">
        <v>17.792577413736002</v>
      </c>
    </row>
    <row r="2866" spans="1:7" x14ac:dyDescent="0.3">
      <c r="A2866" t="str">
        <f>IF(ISBLANK(B2866),"",IF(ROUND(B2866,0)=ROUND(G2866,0),"Pass","Fail"))</f>
        <v>Pass</v>
      </c>
      <c r="B2866">
        <f t="shared" si="146"/>
        <v>13.540273666381836</v>
      </c>
      <c r="C2866">
        <v>30</v>
      </c>
      <c r="D2866">
        <v>40</v>
      </c>
      <c r="E2866">
        <v>10</v>
      </c>
      <c r="F2866">
        <v>32</v>
      </c>
      <c r="G2866">
        <v>13.5402730059945</v>
      </c>
    </row>
    <row r="2867" spans="1:7" x14ac:dyDescent="0.3">
      <c r="A2867" t="str">
        <f>IF(ISBLANK(B2867),"",IF(ROUND(B2867,0)=ROUND(G2867,0),"Pass","Fail"))</f>
        <v>Pass</v>
      </c>
      <c r="B2867">
        <f t="shared" si="146"/>
        <v>11.399726867675781</v>
      </c>
      <c r="C2867">
        <v>30</v>
      </c>
      <c r="D2867">
        <v>40</v>
      </c>
      <c r="E2867">
        <v>10</v>
      </c>
      <c r="F2867">
        <v>40</v>
      </c>
      <c r="G2867">
        <v>11.399726764326999</v>
      </c>
    </row>
    <row r="2868" spans="1:7" x14ac:dyDescent="0.3">
      <c r="A2868" t="str">
        <f>IF(ISBLANK(B2868),"",IF(ROUND(B2868,0)=ROUND(G2868,0),"Pass","Fail"))</f>
        <v>Pass</v>
      </c>
      <c r="B2868">
        <f t="shared" si="146"/>
        <v>10.322208404541016</v>
      </c>
      <c r="C2868">
        <v>30</v>
      </c>
      <c r="D2868">
        <v>40</v>
      </c>
      <c r="E2868">
        <v>10</v>
      </c>
      <c r="F2868">
        <v>48</v>
      </c>
      <c r="G2868">
        <v>10.322207900819601</v>
      </c>
    </row>
    <row r="2869" spans="1:7" x14ac:dyDescent="0.3">
      <c r="A2869" t="str">
        <f>IF(ISBLANK(B2869),"",IF(ROUND(B2869,0)=ROUND(G2869,0),"Pass","Fail"))</f>
        <v>Pass</v>
      </c>
      <c r="B2869">
        <f t="shared" si="146"/>
        <v>76.358001708984375</v>
      </c>
      <c r="C2869">
        <v>30</v>
      </c>
      <c r="D2869">
        <v>40</v>
      </c>
      <c r="E2869">
        <v>20</v>
      </c>
      <c r="F2869">
        <v>0</v>
      </c>
      <c r="G2869">
        <v>76.358000000000004</v>
      </c>
    </row>
    <row r="2870" spans="1:7" x14ac:dyDescent="0.3">
      <c r="A2870" t="str">
        <f>IF(ISBLANK(B2870),"",IF(ROUND(B2870,0)=ROUND(G2870,0),"Pass","Fail"))</f>
        <v>Pass</v>
      </c>
      <c r="B2870">
        <f t="shared" si="146"/>
        <v>43.021228790283203</v>
      </c>
      <c r="C2870">
        <v>30</v>
      </c>
      <c r="D2870">
        <v>40</v>
      </c>
      <c r="E2870">
        <v>20</v>
      </c>
      <c r="F2870">
        <v>8</v>
      </c>
      <c r="G2870">
        <v>43.021228080722999</v>
      </c>
    </row>
    <row r="2871" spans="1:7" x14ac:dyDescent="0.3">
      <c r="A2871" t="str">
        <f>IF(ISBLANK(B2871),"",IF(ROUND(B2871,0)=ROUND(G2871,0),"Pass","Fail"))</f>
        <v>Pass</v>
      </c>
      <c r="B2871">
        <f t="shared" si="146"/>
        <v>26.239997863769531</v>
      </c>
      <c r="C2871">
        <v>30</v>
      </c>
      <c r="D2871">
        <v>40</v>
      </c>
      <c r="E2871">
        <v>20</v>
      </c>
      <c r="F2871">
        <v>16</v>
      </c>
      <c r="G2871">
        <v>26.239997247101702</v>
      </c>
    </row>
    <row r="2872" spans="1:7" x14ac:dyDescent="0.3">
      <c r="A2872" t="str">
        <f>IF(ISBLANK(B2872),"",IF(ROUND(B2872,0)=ROUND(G2872,0),"Pass","Fail"))</f>
        <v>Pass</v>
      </c>
      <c r="B2872">
        <f t="shared" si="146"/>
        <v>17.792577743530273</v>
      </c>
      <c r="C2872">
        <v>30</v>
      </c>
      <c r="D2872">
        <v>40</v>
      </c>
      <c r="E2872">
        <v>20</v>
      </c>
      <c r="F2872">
        <v>24</v>
      </c>
      <c r="G2872">
        <v>17.7925774137362</v>
      </c>
    </row>
    <row r="2873" spans="1:7" x14ac:dyDescent="0.3">
      <c r="A2873" t="str">
        <f>IF(ISBLANK(B2873),"",IF(ROUND(B2873,0)=ROUND(G2873,0),"Pass","Fail"))</f>
        <v>Pass</v>
      </c>
      <c r="B2873">
        <f t="shared" si="146"/>
        <v>13.540273666381836</v>
      </c>
      <c r="C2873">
        <v>30</v>
      </c>
      <c r="D2873">
        <v>40</v>
      </c>
      <c r="E2873">
        <v>20</v>
      </c>
      <c r="F2873">
        <v>32</v>
      </c>
      <c r="G2873">
        <v>13.540273005994599</v>
      </c>
    </row>
    <row r="2874" spans="1:7" x14ac:dyDescent="0.3">
      <c r="A2874" t="str">
        <f>IF(ISBLANK(B2874),"",IF(ROUND(B2874,0)=ROUND(G2874,0),"Pass","Fail"))</f>
        <v>Pass</v>
      </c>
      <c r="B2874">
        <f t="shared" si="146"/>
        <v>11.399726867675781</v>
      </c>
      <c r="C2874">
        <v>30</v>
      </c>
      <c r="D2874">
        <v>40</v>
      </c>
      <c r="E2874">
        <v>20</v>
      </c>
      <c r="F2874">
        <v>40</v>
      </c>
      <c r="G2874">
        <v>11.399726764327101</v>
      </c>
    </row>
    <row r="2875" spans="1:7" x14ac:dyDescent="0.3">
      <c r="A2875" t="str">
        <f>IF(ISBLANK(B2875),"",IF(ROUND(B2875,0)=ROUND(G2875,0),"Pass","Fail"))</f>
        <v>Pass</v>
      </c>
      <c r="B2875">
        <f t="shared" si="146"/>
        <v>10.322208404541016</v>
      </c>
      <c r="C2875">
        <v>30</v>
      </c>
      <c r="D2875">
        <v>40</v>
      </c>
      <c r="E2875">
        <v>20</v>
      </c>
      <c r="F2875">
        <v>48</v>
      </c>
      <c r="G2875">
        <v>10.3222079008197</v>
      </c>
    </row>
    <row r="2876" spans="1:7" x14ac:dyDescent="0.3">
      <c r="A2876" t="str">
        <f>IF(ISBLANK(B2876),"",IF(ROUND(B2876,0)=ROUND(G2876,0),"Pass","Fail"))</f>
        <v>Pass</v>
      </c>
      <c r="B2876">
        <f t="shared" si="146"/>
        <v>76.358001708984375</v>
      </c>
      <c r="C2876">
        <v>30</v>
      </c>
      <c r="D2876">
        <v>40</v>
      </c>
      <c r="E2876">
        <v>30</v>
      </c>
      <c r="F2876">
        <v>0</v>
      </c>
      <c r="G2876">
        <v>76.358000000000004</v>
      </c>
    </row>
    <row r="2877" spans="1:7" x14ac:dyDescent="0.3">
      <c r="A2877" t="str">
        <f>IF(ISBLANK(B2877),"",IF(ROUND(B2877,0)=ROUND(G2877,0),"Pass","Fail"))</f>
        <v>Pass</v>
      </c>
      <c r="B2877">
        <f t="shared" si="146"/>
        <v>43.021228790283203</v>
      </c>
      <c r="C2877">
        <v>30</v>
      </c>
      <c r="D2877">
        <v>40</v>
      </c>
      <c r="E2877">
        <v>30</v>
      </c>
      <c r="F2877">
        <v>8</v>
      </c>
      <c r="G2877">
        <v>43.021228080722999</v>
      </c>
    </row>
    <row r="2878" spans="1:7" x14ac:dyDescent="0.3">
      <c r="A2878" t="str">
        <f>IF(ISBLANK(B2878),"",IF(ROUND(B2878,0)=ROUND(G2878,0),"Pass","Fail"))</f>
        <v>Pass</v>
      </c>
      <c r="B2878">
        <f t="shared" si="146"/>
        <v>26.239997863769531</v>
      </c>
      <c r="C2878">
        <v>30</v>
      </c>
      <c r="D2878">
        <v>40</v>
      </c>
      <c r="E2878">
        <v>30</v>
      </c>
      <c r="F2878">
        <v>16</v>
      </c>
      <c r="G2878">
        <v>26.239997247101702</v>
      </c>
    </row>
    <row r="2879" spans="1:7" x14ac:dyDescent="0.3">
      <c r="A2879" t="str">
        <f>IF(ISBLANK(B2879),"",IF(ROUND(B2879,0)=ROUND(G2879,0),"Pass","Fail"))</f>
        <v>Pass</v>
      </c>
      <c r="B2879">
        <f t="shared" si="146"/>
        <v>17.792577743530273</v>
      </c>
      <c r="C2879">
        <v>30</v>
      </c>
      <c r="D2879">
        <v>40</v>
      </c>
      <c r="E2879">
        <v>30</v>
      </c>
      <c r="F2879">
        <v>24</v>
      </c>
      <c r="G2879">
        <v>17.7925774137362</v>
      </c>
    </row>
    <row r="2880" spans="1:7" x14ac:dyDescent="0.3">
      <c r="A2880" t="str">
        <f>IF(ISBLANK(B2880),"",IF(ROUND(B2880,0)=ROUND(G2880,0),"Pass","Fail"))</f>
        <v>Pass</v>
      </c>
      <c r="B2880">
        <f t="shared" si="146"/>
        <v>13.540273666381836</v>
      </c>
      <c r="C2880">
        <v>30</v>
      </c>
      <c r="D2880">
        <v>40</v>
      </c>
      <c r="E2880">
        <v>30</v>
      </c>
      <c r="F2880">
        <v>32</v>
      </c>
      <c r="G2880">
        <v>13.540273005994599</v>
      </c>
    </row>
    <row r="2881" spans="1:7" x14ac:dyDescent="0.3">
      <c r="A2881" t="str">
        <f>IF(ISBLANK(B2881),"",IF(ROUND(B2881,0)=ROUND(G2881,0),"Pass","Fail"))</f>
        <v>Pass</v>
      </c>
      <c r="B2881">
        <f t="shared" si="146"/>
        <v>11.399726867675781</v>
      </c>
      <c r="C2881">
        <v>30</v>
      </c>
      <c r="D2881">
        <v>40</v>
      </c>
      <c r="E2881">
        <v>30</v>
      </c>
      <c r="F2881">
        <v>40</v>
      </c>
      <c r="G2881">
        <v>11.399726764327101</v>
      </c>
    </row>
    <row r="2882" spans="1:7" x14ac:dyDescent="0.3">
      <c r="A2882" t="str">
        <f>IF(ISBLANK(B2882),"",IF(ROUND(B2882,0)=ROUND(G2882,0),"Pass","Fail"))</f>
        <v>Pass</v>
      </c>
      <c r="B2882">
        <f t="shared" si="146"/>
        <v>10.322208404541016</v>
      </c>
      <c r="C2882">
        <v>30</v>
      </c>
      <c r="D2882">
        <v>40</v>
      </c>
      <c r="E2882">
        <v>30</v>
      </c>
      <c r="F2882">
        <v>48</v>
      </c>
      <c r="G2882">
        <v>10.3222079008197</v>
      </c>
    </row>
    <row r="2883" spans="1:7" x14ac:dyDescent="0.3">
      <c r="A2883" t="str">
        <f>IF(ISBLANK(B2883),"",IF(ROUND(B2883,0)=ROUND(G2883,0),"Pass","Fail"))</f>
        <v>Pass</v>
      </c>
      <c r="B2883">
        <f t="shared" si="146"/>
        <v>76.358001708984375</v>
      </c>
      <c r="C2883">
        <v>30</v>
      </c>
      <c r="D2883">
        <v>40</v>
      </c>
      <c r="E2883">
        <v>40</v>
      </c>
      <c r="F2883">
        <v>0</v>
      </c>
      <c r="G2883">
        <v>76.358000000000004</v>
      </c>
    </row>
    <row r="2884" spans="1:7" x14ac:dyDescent="0.3">
      <c r="A2884" t="str">
        <f>IF(ISBLANK(B2884),"",IF(ROUND(B2884,0)=ROUND(G2884,0),"Pass","Fail"))</f>
        <v>Pass</v>
      </c>
      <c r="B2884">
        <f t="shared" si="146"/>
        <v>43.021228790283203</v>
      </c>
      <c r="C2884">
        <v>30</v>
      </c>
      <c r="D2884">
        <v>40</v>
      </c>
      <c r="E2884">
        <v>40</v>
      </c>
      <c r="F2884">
        <v>8</v>
      </c>
      <c r="G2884">
        <v>43.021228080722999</v>
      </c>
    </row>
    <row r="2885" spans="1:7" x14ac:dyDescent="0.3">
      <c r="A2885" t="str">
        <f>IF(ISBLANK(B2885),"",IF(ROUND(B2885,0)=ROUND(G2885,0),"Pass","Fail"))</f>
        <v>Pass</v>
      </c>
      <c r="B2885">
        <f t="shared" si="146"/>
        <v>26.239997863769531</v>
      </c>
      <c r="C2885">
        <v>30</v>
      </c>
      <c r="D2885">
        <v>40</v>
      </c>
      <c r="E2885">
        <v>40</v>
      </c>
      <c r="F2885">
        <v>16</v>
      </c>
      <c r="G2885">
        <v>26.239997247101702</v>
      </c>
    </row>
    <row r="2886" spans="1:7" x14ac:dyDescent="0.3">
      <c r="A2886" t="str">
        <f>IF(ISBLANK(B2886),"",IF(ROUND(B2886,0)=ROUND(G2886,0),"Pass","Fail"))</f>
        <v>Pass</v>
      </c>
      <c r="B2886">
        <f t="shared" si="146"/>
        <v>17.792577743530273</v>
      </c>
      <c r="C2886">
        <v>30</v>
      </c>
      <c r="D2886">
        <v>40</v>
      </c>
      <c r="E2886">
        <v>40</v>
      </c>
      <c r="F2886">
        <v>24</v>
      </c>
      <c r="G2886">
        <v>17.7925774137362</v>
      </c>
    </row>
    <row r="2887" spans="1:7" x14ac:dyDescent="0.3">
      <c r="A2887" t="str">
        <f>IF(ISBLANK(B2887),"",IF(ROUND(B2887,0)=ROUND(G2887,0),"Pass","Fail"))</f>
        <v>Pass</v>
      </c>
      <c r="B2887">
        <f t="shared" ref="B2887:B2950" si="147">FMC_heath(C2887,D2887,E2887,F2887)</f>
        <v>13.540273666381836</v>
      </c>
      <c r="C2887">
        <v>30</v>
      </c>
      <c r="D2887">
        <v>40</v>
      </c>
      <c r="E2887">
        <v>40</v>
      </c>
      <c r="F2887">
        <v>32</v>
      </c>
      <c r="G2887">
        <v>13.540273005994599</v>
      </c>
    </row>
    <row r="2888" spans="1:7" x14ac:dyDescent="0.3">
      <c r="A2888" t="str">
        <f>IF(ISBLANK(B2888),"",IF(ROUND(B2888,0)=ROUND(G2888,0),"Pass","Fail"))</f>
        <v>Pass</v>
      </c>
      <c r="B2888">
        <f t="shared" si="147"/>
        <v>11.399726867675781</v>
      </c>
      <c r="C2888">
        <v>30</v>
      </c>
      <c r="D2888">
        <v>40</v>
      </c>
      <c r="E2888">
        <v>40</v>
      </c>
      <c r="F2888">
        <v>40</v>
      </c>
      <c r="G2888">
        <v>11.399726764327101</v>
      </c>
    </row>
    <row r="2889" spans="1:7" x14ac:dyDescent="0.3">
      <c r="A2889" t="str">
        <f>IF(ISBLANK(B2889),"",IF(ROUND(B2889,0)=ROUND(G2889,0),"Pass","Fail"))</f>
        <v>Pass</v>
      </c>
      <c r="B2889">
        <f t="shared" si="147"/>
        <v>10.322208404541016</v>
      </c>
      <c r="C2889">
        <v>30</v>
      </c>
      <c r="D2889">
        <v>40</v>
      </c>
      <c r="E2889">
        <v>40</v>
      </c>
      <c r="F2889">
        <v>48</v>
      </c>
      <c r="G2889">
        <v>10.3222079008197</v>
      </c>
    </row>
    <row r="2890" spans="1:7" x14ac:dyDescent="0.3">
      <c r="A2890" t="str">
        <f>IF(ISBLANK(B2890),"",IF(ROUND(B2890,0)=ROUND(G2890,0),"Pass","Fail"))</f>
        <v>Pass</v>
      </c>
      <c r="B2890">
        <f t="shared" si="147"/>
        <v>76.358001708984375</v>
      </c>
      <c r="C2890">
        <v>30</v>
      </c>
      <c r="D2890">
        <v>40</v>
      </c>
      <c r="E2890">
        <v>50</v>
      </c>
      <c r="F2890">
        <v>0</v>
      </c>
      <c r="G2890">
        <v>76.358000000000004</v>
      </c>
    </row>
    <row r="2891" spans="1:7" x14ac:dyDescent="0.3">
      <c r="A2891" t="str">
        <f>IF(ISBLANK(B2891),"",IF(ROUND(B2891,0)=ROUND(G2891,0),"Pass","Fail"))</f>
        <v>Pass</v>
      </c>
      <c r="B2891">
        <f t="shared" si="147"/>
        <v>43.021228790283203</v>
      </c>
      <c r="C2891">
        <v>30</v>
      </c>
      <c r="D2891">
        <v>40</v>
      </c>
      <c r="E2891">
        <v>50</v>
      </c>
      <c r="F2891">
        <v>8</v>
      </c>
      <c r="G2891">
        <v>43.021228080722999</v>
      </c>
    </row>
    <row r="2892" spans="1:7" x14ac:dyDescent="0.3">
      <c r="A2892" t="str">
        <f>IF(ISBLANK(B2892),"",IF(ROUND(B2892,0)=ROUND(G2892,0),"Pass","Fail"))</f>
        <v>Pass</v>
      </c>
      <c r="B2892">
        <f t="shared" si="147"/>
        <v>26.239997863769531</v>
      </c>
      <c r="C2892">
        <v>30</v>
      </c>
      <c r="D2892">
        <v>40</v>
      </c>
      <c r="E2892">
        <v>50</v>
      </c>
      <c r="F2892">
        <v>16</v>
      </c>
      <c r="G2892">
        <v>26.239997247101702</v>
      </c>
    </row>
    <row r="2893" spans="1:7" x14ac:dyDescent="0.3">
      <c r="A2893" t="str">
        <f>IF(ISBLANK(B2893),"",IF(ROUND(B2893,0)=ROUND(G2893,0),"Pass","Fail"))</f>
        <v>Pass</v>
      </c>
      <c r="B2893">
        <f t="shared" si="147"/>
        <v>17.792577743530273</v>
      </c>
      <c r="C2893">
        <v>30</v>
      </c>
      <c r="D2893">
        <v>40</v>
      </c>
      <c r="E2893">
        <v>50</v>
      </c>
      <c r="F2893">
        <v>24</v>
      </c>
      <c r="G2893">
        <v>17.7925774137362</v>
      </c>
    </row>
    <row r="2894" spans="1:7" x14ac:dyDescent="0.3">
      <c r="A2894" t="str">
        <f>IF(ISBLANK(B2894),"",IF(ROUND(B2894,0)=ROUND(G2894,0),"Pass","Fail"))</f>
        <v>Pass</v>
      </c>
      <c r="B2894">
        <f t="shared" si="147"/>
        <v>13.540273666381836</v>
      </c>
      <c r="C2894">
        <v>30</v>
      </c>
      <c r="D2894">
        <v>40</v>
      </c>
      <c r="E2894">
        <v>50</v>
      </c>
      <c r="F2894">
        <v>32</v>
      </c>
      <c r="G2894">
        <v>13.540273005994599</v>
      </c>
    </row>
    <row r="2895" spans="1:7" x14ac:dyDescent="0.3">
      <c r="A2895" t="str">
        <f>IF(ISBLANK(B2895),"",IF(ROUND(B2895,0)=ROUND(G2895,0),"Pass","Fail"))</f>
        <v>Pass</v>
      </c>
      <c r="B2895">
        <f t="shared" si="147"/>
        <v>11.399726867675781</v>
      </c>
      <c r="C2895">
        <v>30</v>
      </c>
      <c r="D2895">
        <v>40</v>
      </c>
      <c r="E2895">
        <v>50</v>
      </c>
      <c r="F2895">
        <v>40</v>
      </c>
      <c r="G2895">
        <v>11.399726764327101</v>
      </c>
    </row>
    <row r="2896" spans="1:7" x14ac:dyDescent="0.3">
      <c r="A2896" t="str">
        <f>IF(ISBLANK(B2896),"",IF(ROUND(B2896,0)=ROUND(G2896,0),"Pass","Fail"))</f>
        <v>Pass</v>
      </c>
      <c r="B2896">
        <f t="shared" si="147"/>
        <v>10.322208404541016</v>
      </c>
      <c r="C2896">
        <v>30</v>
      </c>
      <c r="D2896">
        <v>40</v>
      </c>
      <c r="E2896">
        <v>50</v>
      </c>
      <c r="F2896">
        <v>48</v>
      </c>
      <c r="G2896">
        <v>10.3222079008197</v>
      </c>
    </row>
    <row r="2897" spans="1:7" x14ac:dyDescent="0.3">
      <c r="A2897" t="str">
        <f>IF(ISBLANK(B2897),"",IF(ROUND(B2897,0)=ROUND(G2897,0),"Pass","Fail"))</f>
        <v>Pass</v>
      </c>
      <c r="B2897">
        <f t="shared" si="147"/>
        <v>76.358001708984375</v>
      </c>
      <c r="C2897">
        <v>30</v>
      </c>
      <c r="D2897">
        <v>40</v>
      </c>
      <c r="E2897">
        <v>60</v>
      </c>
      <c r="F2897">
        <v>0</v>
      </c>
      <c r="G2897">
        <v>76.358000000000004</v>
      </c>
    </row>
    <row r="2898" spans="1:7" x14ac:dyDescent="0.3">
      <c r="A2898" t="str">
        <f>IF(ISBLANK(B2898),"",IF(ROUND(B2898,0)=ROUND(G2898,0),"Pass","Fail"))</f>
        <v>Pass</v>
      </c>
      <c r="B2898">
        <f t="shared" si="147"/>
        <v>43.021228790283203</v>
      </c>
      <c r="C2898">
        <v>30</v>
      </c>
      <c r="D2898">
        <v>40</v>
      </c>
      <c r="E2898">
        <v>60</v>
      </c>
      <c r="F2898">
        <v>8</v>
      </c>
      <c r="G2898">
        <v>43.021228080722999</v>
      </c>
    </row>
    <row r="2899" spans="1:7" x14ac:dyDescent="0.3">
      <c r="A2899" t="str">
        <f>IF(ISBLANK(B2899),"",IF(ROUND(B2899,0)=ROUND(G2899,0),"Pass","Fail"))</f>
        <v>Pass</v>
      </c>
      <c r="B2899">
        <f t="shared" si="147"/>
        <v>26.239997863769531</v>
      </c>
      <c r="C2899">
        <v>30</v>
      </c>
      <c r="D2899">
        <v>40</v>
      </c>
      <c r="E2899">
        <v>60</v>
      </c>
      <c r="F2899">
        <v>16</v>
      </c>
      <c r="G2899">
        <v>26.239997247101702</v>
      </c>
    </row>
    <row r="2900" spans="1:7" x14ac:dyDescent="0.3">
      <c r="A2900" t="str">
        <f>IF(ISBLANK(B2900),"",IF(ROUND(B2900,0)=ROUND(G2900,0),"Pass","Fail"))</f>
        <v>Pass</v>
      </c>
      <c r="B2900">
        <f t="shared" si="147"/>
        <v>17.792577743530273</v>
      </c>
      <c r="C2900">
        <v>30</v>
      </c>
      <c r="D2900">
        <v>40</v>
      </c>
      <c r="E2900">
        <v>60</v>
      </c>
      <c r="F2900">
        <v>24</v>
      </c>
      <c r="G2900">
        <v>17.7925774137362</v>
      </c>
    </row>
    <row r="2901" spans="1:7" x14ac:dyDescent="0.3">
      <c r="A2901" t="str">
        <f>IF(ISBLANK(B2901),"",IF(ROUND(B2901,0)=ROUND(G2901,0),"Pass","Fail"))</f>
        <v>Pass</v>
      </c>
      <c r="B2901">
        <f t="shared" si="147"/>
        <v>13.540273666381836</v>
      </c>
      <c r="C2901">
        <v>30</v>
      </c>
      <c r="D2901">
        <v>40</v>
      </c>
      <c r="E2901">
        <v>60</v>
      </c>
      <c r="F2901">
        <v>32</v>
      </c>
      <c r="G2901">
        <v>13.540273005994599</v>
      </c>
    </row>
    <row r="2902" spans="1:7" x14ac:dyDescent="0.3">
      <c r="A2902" t="str">
        <f>IF(ISBLANK(B2902),"",IF(ROUND(B2902,0)=ROUND(G2902,0),"Pass","Fail"))</f>
        <v>Pass</v>
      </c>
      <c r="B2902">
        <f t="shared" si="147"/>
        <v>11.399726867675781</v>
      </c>
      <c r="C2902">
        <v>30</v>
      </c>
      <c r="D2902">
        <v>40</v>
      </c>
      <c r="E2902">
        <v>60</v>
      </c>
      <c r="F2902">
        <v>40</v>
      </c>
      <c r="G2902">
        <v>11.399726764327101</v>
      </c>
    </row>
    <row r="2903" spans="1:7" x14ac:dyDescent="0.3">
      <c r="A2903" t="str">
        <f>IF(ISBLANK(B2903),"",IF(ROUND(B2903,0)=ROUND(G2903,0),"Pass","Fail"))</f>
        <v>Pass</v>
      </c>
      <c r="B2903">
        <f t="shared" si="147"/>
        <v>10.322208404541016</v>
      </c>
      <c r="C2903">
        <v>30</v>
      </c>
      <c r="D2903">
        <v>40</v>
      </c>
      <c r="E2903">
        <v>60</v>
      </c>
      <c r="F2903">
        <v>48</v>
      </c>
      <c r="G2903">
        <v>10.3222079008197</v>
      </c>
    </row>
    <row r="2904" spans="1:7" x14ac:dyDescent="0.3">
      <c r="A2904" t="str">
        <f>IF(ISBLANK(B2904),"",IF(ROUND(B2904,0)=ROUND(G2904,0),"Pass","Fail"))</f>
        <v>Pass</v>
      </c>
      <c r="B2904">
        <f t="shared" si="147"/>
        <v>76.358001708984375</v>
      </c>
      <c r="C2904">
        <v>30</v>
      </c>
      <c r="D2904">
        <v>40</v>
      </c>
      <c r="E2904">
        <v>70</v>
      </c>
      <c r="F2904">
        <v>0</v>
      </c>
      <c r="G2904">
        <v>76.358000000000004</v>
      </c>
    </row>
    <row r="2905" spans="1:7" x14ac:dyDescent="0.3">
      <c r="A2905" t="str">
        <f>IF(ISBLANK(B2905),"",IF(ROUND(B2905,0)=ROUND(G2905,0),"Pass","Fail"))</f>
        <v>Pass</v>
      </c>
      <c r="B2905">
        <f t="shared" si="147"/>
        <v>43.021228790283203</v>
      </c>
      <c r="C2905">
        <v>30</v>
      </c>
      <c r="D2905">
        <v>40</v>
      </c>
      <c r="E2905">
        <v>70</v>
      </c>
      <c r="F2905">
        <v>8</v>
      </c>
      <c r="G2905">
        <v>43.021228080722999</v>
      </c>
    </row>
    <row r="2906" spans="1:7" x14ac:dyDescent="0.3">
      <c r="A2906" t="str">
        <f>IF(ISBLANK(B2906),"",IF(ROUND(B2906,0)=ROUND(G2906,0),"Pass","Fail"))</f>
        <v>Pass</v>
      </c>
      <c r="B2906">
        <f t="shared" si="147"/>
        <v>26.239997863769531</v>
      </c>
      <c r="C2906">
        <v>30</v>
      </c>
      <c r="D2906">
        <v>40</v>
      </c>
      <c r="E2906">
        <v>70</v>
      </c>
      <c r="F2906">
        <v>16</v>
      </c>
      <c r="G2906">
        <v>26.239997247101702</v>
      </c>
    </row>
    <row r="2907" spans="1:7" x14ac:dyDescent="0.3">
      <c r="A2907" t="str">
        <f>IF(ISBLANK(B2907),"",IF(ROUND(B2907,0)=ROUND(G2907,0),"Pass","Fail"))</f>
        <v>Pass</v>
      </c>
      <c r="B2907">
        <f t="shared" si="147"/>
        <v>17.792577743530273</v>
      </c>
      <c r="C2907">
        <v>30</v>
      </c>
      <c r="D2907">
        <v>40</v>
      </c>
      <c r="E2907">
        <v>70</v>
      </c>
      <c r="F2907">
        <v>24</v>
      </c>
      <c r="G2907">
        <v>17.7925774137362</v>
      </c>
    </row>
    <row r="2908" spans="1:7" x14ac:dyDescent="0.3">
      <c r="A2908" t="str">
        <f>IF(ISBLANK(B2908),"",IF(ROUND(B2908,0)=ROUND(G2908,0),"Pass","Fail"))</f>
        <v>Pass</v>
      </c>
      <c r="B2908">
        <f t="shared" si="147"/>
        <v>13.540273666381836</v>
      </c>
      <c r="C2908">
        <v>30</v>
      </c>
      <c r="D2908">
        <v>40</v>
      </c>
      <c r="E2908">
        <v>70</v>
      </c>
      <c r="F2908">
        <v>32</v>
      </c>
      <c r="G2908">
        <v>13.540273005994599</v>
      </c>
    </row>
    <row r="2909" spans="1:7" x14ac:dyDescent="0.3">
      <c r="A2909" t="str">
        <f>IF(ISBLANK(B2909),"",IF(ROUND(B2909,0)=ROUND(G2909,0),"Pass","Fail"))</f>
        <v>Pass</v>
      </c>
      <c r="B2909">
        <f t="shared" si="147"/>
        <v>11.399726867675781</v>
      </c>
      <c r="C2909">
        <v>30</v>
      </c>
      <c r="D2909">
        <v>40</v>
      </c>
      <c r="E2909">
        <v>70</v>
      </c>
      <c r="F2909">
        <v>40</v>
      </c>
      <c r="G2909">
        <v>11.399726764327101</v>
      </c>
    </row>
    <row r="2910" spans="1:7" x14ac:dyDescent="0.3">
      <c r="A2910" t="str">
        <f>IF(ISBLANK(B2910),"",IF(ROUND(B2910,0)=ROUND(G2910,0),"Pass","Fail"))</f>
        <v>Pass</v>
      </c>
      <c r="B2910">
        <f t="shared" si="147"/>
        <v>10.322208404541016</v>
      </c>
      <c r="C2910">
        <v>30</v>
      </c>
      <c r="D2910">
        <v>40</v>
      </c>
      <c r="E2910">
        <v>70</v>
      </c>
      <c r="F2910">
        <v>48</v>
      </c>
      <c r="G2910">
        <v>10.3222079008197</v>
      </c>
    </row>
    <row r="2911" spans="1:7" x14ac:dyDescent="0.3">
      <c r="A2911" t="str">
        <f>IF(ISBLANK(B2911),"",IF(ROUND(B2911,0)=ROUND(G2911,0),"Pass","Fail"))</f>
        <v>Pass</v>
      </c>
      <c r="B2911">
        <f t="shared" si="147"/>
        <v>76.358001708984375</v>
      </c>
      <c r="C2911">
        <v>30</v>
      </c>
      <c r="D2911">
        <v>40</v>
      </c>
      <c r="E2911">
        <v>80</v>
      </c>
      <c r="F2911">
        <v>0</v>
      </c>
      <c r="G2911">
        <v>76.358000000000004</v>
      </c>
    </row>
    <row r="2912" spans="1:7" x14ac:dyDescent="0.3">
      <c r="A2912" t="str">
        <f>IF(ISBLANK(B2912),"",IF(ROUND(B2912,0)=ROUND(G2912,0),"Pass","Fail"))</f>
        <v>Pass</v>
      </c>
      <c r="B2912">
        <f t="shared" si="147"/>
        <v>43.021228790283203</v>
      </c>
      <c r="C2912">
        <v>30</v>
      </c>
      <c r="D2912">
        <v>40</v>
      </c>
      <c r="E2912">
        <v>80</v>
      </c>
      <c r="F2912">
        <v>8</v>
      </c>
      <c r="G2912">
        <v>43.021228080722999</v>
      </c>
    </row>
    <row r="2913" spans="1:7" x14ac:dyDescent="0.3">
      <c r="A2913" t="str">
        <f>IF(ISBLANK(B2913),"",IF(ROUND(B2913,0)=ROUND(G2913,0),"Pass","Fail"))</f>
        <v>Pass</v>
      </c>
      <c r="B2913">
        <f t="shared" si="147"/>
        <v>26.239997863769531</v>
      </c>
      <c r="C2913">
        <v>30</v>
      </c>
      <c r="D2913">
        <v>40</v>
      </c>
      <c r="E2913">
        <v>80</v>
      </c>
      <c r="F2913">
        <v>16</v>
      </c>
      <c r="G2913">
        <v>26.239997247101702</v>
      </c>
    </row>
    <row r="2914" spans="1:7" x14ac:dyDescent="0.3">
      <c r="A2914" t="str">
        <f>IF(ISBLANK(B2914),"",IF(ROUND(B2914,0)=ROUND(G2914,0),"Pass","Fail"))</f>
        <v>Pass</v>
      </c>
      <c r="B2914">
        <f t="shared" si="147"/>
        <v>17.792577743530273</v>
      </c>
      <c r="C2914">
        <v>30</v>
      </c>
      <c r="D2914">
        <v>40</v>
      </c>
      <c r="E2914">
        <v>80</v>
      </c>
      <c r="F2914">
        <v>24</v>
      </c>
      <c r="G2914">
        <v>17.7925774137362</v>
      </c>
    </row>
    <row r="2915" spans="1:7" x14ac:dyDescent="0.3">
      <c r="A2915" t="str">
        <f>IF(ISBLANK(B2915),"",IF(ROUND(B2915,0)=ROUND(G2915,0),"Pass","Fail"))</f>
        <v>Pass</v>
      </c>
      <c r="B2915">
        <f t="shared" si="147"/>
        <v>13.540273666381836</v>
      </c>
      <c r="C2915">
        <v>30</v>
      </c>
      <c r="D2915">
        <v>40</v>
      </c>
      <c r="E2915">
        <v>80</v>
      </c>
      <c r="F2915">
        <v>32</v>
      </c>
      <c r="G2915">
        <v>13.540273005994599</v>
      </c>
    </row>
    <row r="2916" spans="1:7" x14ac:dyDescent="0.3">
      <c r="A2916" t="str">
        <f>IF(ISBLANK(B2916),"",IF(ROUND(B2916,0)=ROUND(G2916,0),"Pass","Fail"))</f>
        <v>Pass</v>
      </c>
      <c r="B2916">
        <f t="shared" si="147"/>
        <v>11.399726867675781</v>
      </c>
      <c r="C2916">
        <v>30</v>
      </c>
      <c r="D2916">
        <v>40</v>
      </c>
      <c r="E2916">
        <v>80</v>
      </c>
      <c r="F2916">
        <v>40</v>
      </c>
      <c r="G2916">
        <v>11.399726764327101</v>
      </c>
    </row>
    <row r="2917" spans="1:7" x14ac:dyDescent="0.3">
      <c r="A2917" t="str">
        <f>IF(ISBLANK(B2917),"",IF(ROUND(B2917,0)=ROUND(G2917,0),"Pass","Fail"))</f>
        <v>Pass</v>
      </c>
      <c r="B2917">
        <f t="shared" si="147"/>
        <v>10.322208404541016</v>
      </c>
      <c r="C2917">
        <v>30</v>
      </c>
      <c r="D2917">
        <v>40</v>
      </c>
      <c r="E2917">
        <v>80</v>
      </c>
      <c r="F2917">
        <v>48</v>
      </c>
      <c r="G2917">
        <v>10.3222079008197</v>
      </c>
    </row>
    <row r="2918" spans="1:7" x14ac:dyDescent="0.3">
      <c r="A2918" t="str">
        <f>IF(ISBLANK(B2918),"",IF(ROUND(B2918,0)=ROUND(G2918,0),"Pass","Fail"))</f>
        <v>Pass</v>
      </c>
      <c r="B2918">
        <f t="shared" si="147"/>
        <v>76.358001708984375</v>
      </c>
      <c r="C2918">
        <v>30</v>
      </c>
      <c r="D2918">
        <v>40</v>
      </c>
      <c r="E2918">
        <v>90</v>
      </c>
      <c r="F2918">
        <v>0</v>
      </c>
      <c r="G2918">
        <v>76.358000000000004</v>
      </c>
    </row>
    <row r="2919" spans="1:7" x14ac:dyDescent="0.3">
      <c r="A2919" t="str">
        <f>IF(ISBLANK(B2919),"",IF(ROUND(B2919,0)=ROUND(G2919,0),"Pass","Fail"))</f>
        <v>Pass</v>
      </c>
      <c r="B2919">
        <f t="shared" si="147"/>
        <v>43.021228790283203</v>
      </c>
      <c r="C2919">
        <v>30</v>
      </c>
      <c r="D2919">
        <v>40</v>
      </c>
      <c r="E2919">
        <v>90</v>
      </c>
      <c r="F2919">
        <v>8</v>
      </c>
      <c r="G2919">
        <v>43.021228080722999</v>
      </c>
    </row>
    <row r="2920" spans="1:7" x14ac:dyDescent="0.3">
      <c r="A2920" t="str">
        <f>IF(ISBLANK(B2920),"",IF(ROUND(B2920,0)=ROUND(G2920,0),"Pass","Fail"))</f>
        <v>Pass</v>
      </c>
      <c r="B2920">
        <f t="shared" si="147"/>
        <v>26.239997863769531</v>
      </c>
      <c r="C2920">
        <v>30</v>
      </c>
      <c r="D2920">
        <v>40</v>
      </c>
      <c r="E2920">
        <v>90</v>
      </c>
      <c r="F2920">
        <v>16</v>
      </c>
      <c r="G2920">
        <v>26.239997247101702</v>
      </c>
    </row>
    <row r="2921" spans="1:7" x14ac:dyDescent="0.3">
      <c r="A2921" t="str">
        <f>IF(ISBLANK(B2921),"",IF(ROUND(B2921,0)=ROUND(G2921,0),"Pass","Fail"))</f>
        <v>Pass</v>
      </c>
      <c r="B2921">
        <f t="shared" si="147"/>
        <v>17.792577743530273</v>
      </c>
      <c r="C2921">
        <v>30</v>
      </c>
      <c r="D2921">
        <v>40</v>
      </c>
      <c r="E2921">
        <v>90</v>
      </c>
      <c r="F2921">
        <v>24</v>
      </c>
      <c r="G2921">
        <v>17.7925774137362</v>
      </c>
    </row>
    <row r="2922" spans="1:7" x14ac:dyDescent="0.3">
      <c r="A2922" t="str">
        <f>IF(ISBLANK(B2922),"",IF(ROUND(B2922,0)=ROUND(G2922,0),"Pass","Fail"))</f>
        <v>Pass</v>
      </c>
      <c r="B2922">
        <f t="shared" si="147"/>
        <v>13.540273666381836</v>
      </c>
      <c r="C2922">
        <v>30</v>
      </c>
      <c r="D2922">
        <v>40</v>
      </c>
      <c r="E2922">
        <v>90</v>
      </c>
      <c r="F2922">
        <v>32</v>
      </c>
      <c r="G2922">
        <v>13.540273005994599</v>
      </c>
    </row>
    <row r="2923" spans="1:7" x14ac:dyDescent="0.3">
      <c r="A2923" t="str">
        <f>IF(ISBLANK(B2923),"",IF(ROUND(B2923,0)=ROUND(G2923,0),"Pass","Fail"))</f>
        <v>Pass</v>
      </c>
      <c r="B2923">
        <f t="shared" si="147"/>
        <v>11.399726867675781</v>
      </c>
      <c r="C2923">
        <v>30</v>
      </c>
      <c r="D2923">
        <v>40</v>
      </c>
      <c r="E2923">
        <v>90</v>
      </c>
      <c r="F2923">
        <v>40</v>
      </c>
      <c r="G2923">
        <v>11.399726764327101</v>
      </c>
    </row>
    <row r="2924" spans="1:7" x14ac:dyDescent="0.3">
      <c r="A2924" t="str">
        <f>IF(ISBLANK(B2924),"",IF(ROUND(B2924,0)=ROUND(G2924,0),"Pass","Fail"))</f>
        <v>Pass</v>
      </c>
      <c r="B2924">
        <f t="shared" si="147"/>
        <v>10.322208404541016</v>
      </c>
      <c r="C2924">
        <v>30</v>
      </c>
      <c r="D2924">
        <v>40</v>
      </c>
      <c r="E2924">
        <v>90</v>
      </c>
      <c r="F2924">
        <v>48</v>
      </c>
      <c r="G2924">
        <v>10.3222079008197</v>
      </c>
    </row>
    <row r="2925" spans="1:7" x14ac:dyDescent="0.3">
      <c r="A2925" t="str">
        <f>IF(ISBLANK(B2925),"",IF(ROUND(B2925,0)=ROUND(G2925,0),"Pass","Fail"))</f>
        <v>Pass</v>
      </c>
      <c r="B2925">
        <f t="shared" si="147"/>
        <v>76.358001708984375</v>
      </c>
      <c r="C2925">
        <v>30</v>
      </c>
      <c r="D2925">
        <v>40</v>
      </c>
      <c r="E2925">
        <v>100</v>
      </c>
      <c r="F2925">
        <v>0</v>
      </c>
      <c r="G2925">
        <v>76.358000000000004</v>
      </c>
    </row>
    <row r="2926" spans="1:7" x14ac:dyDescent="0.3">
      <c r="A2926" t="str">
        <f>IF(ISBLANK(B2926),"",IF(ROUND(B2926,0)=ROUND(G2926,0),"Pass","Fail"))</f>
        <v>Pass</v>
      </c>
      <c r="B2926">
        <f t="shared" si="147"/>
        <v>43.021228790283203</v>
      </c>
      <c r="C2926">
        <v>30</v>
      </c>
      <c r="D2926">
        <v>40</v>
      </c>
      <c r="E2926">
        <v>100</v>
      </c>
      <c r="F2926">
        <v>8</v>
      </c>
      <c r="G2926">
        <v>43.021228080722999</v>
      </c>
    </row>
    <row r="2927" spans="1:7" x14ac:dyDescent="0.3">
      <c r="A2927" t="str">
        <f>IF(ISBLANK(B2927),"",IF(ROUND(B2927,0)=ROUND(G2927,0),"Pass","Fail"))</f>
        <v>Pass</v>
      </c>
      <c r="B2927">
        <f t="shared" si="147"/>
        <v>26.239997863769531</v>
      </c>
      <c r="C2927">
        <v>30</v>
      </c>
      <c r="D2927">
        <v>40</v>
      </c>
      <c r="E2927">
        <v>100</v>
      </c>
      <c r="F2927">
        <v>16</v>
      </c>
      <c r="G2927">
        <v>26.239997247101702</v>
      </c>
    </row>
    <row r="2928" spans="1:7" x14ac:dyDescent="0.3">
      <c r="A2928" t="str">
        <f>IF(ISBLANK(B2928),"",IF(ROUND(B2928,0)=ROUND(G2928,0),"Pass","Fail"))</f>
        <v>Pass</v>
      </c>
      <c r="B2928">
        <f t="shared" si="147"/>
        <v>17.792577743530273</v>
      </c>
      <c r="C2928">
        <v>30</v>
      </c>
      <c r="D2928">
        <v>40</v>
      </c>
      <c r="E2928">
        <v>100</v>
      </c>
      <c r="F2928">
        <v>24</v>
      </c>
      <c r="G2928">
        <v>17.7925774137362</v>
      </c>
    </row>
    <row r="2929" spans="1:7" x14ac:dyDescent="0.3">
      <c r="A2929" t="str">
        <f>IF(ISBLANK(B2929),"",IF(ROUND(B2929,0)=ROUND(G2929,0),"Pass","Fail"))</f>
        <v>Pass</v>
      </c>
      <c r="B2929">
        <f t="shared" si="147"/>
        <v>13.540273666381836</v>
      </c>
      <c r="C2929">
        <v>30</v>
      </c>
      <c r="D2929">
        <v>40</v>
      </c>
      <c r="E2929">
        <v>100</v>
      </c>
      <c r="F2929">
        <v>32</v>
      </c>
      <c r="G2929">
        <v>13.540273005994599</v>
      </c>
    </row>
    <row r="2930" spans="1:7" x14ac:dyDescent="0.3">
      <c r="A2930" t="str">
        <f>IF(ISBLANK(B2930),"",IF(ROUND(B2930,0)=ROUND(G2930,0),"Pass","Fail"))</f>
        <v>Pass</v>
      </c>
      <c r="B2930">
        <f t="shared" si="147"/>
        <v>11.399726867675781</v>
      </c>
      <c r="C2930">
        <v>30</v>
      </c>
      <c r="D2930">
        <v>40</v>
      </c>
      <c r="E2930">
        <v>100</v>
      </c>
      <c r="F2930">
        <v>40</v>
      </c>
      <c r="G2930">
        <v>11.399726764327101</v>
      </c>
    </row>
    <row r="2931" spans="1:7" x14ac:dyDescent="0.3">
      <c r="A2931" t="str">
        <f>IF(ISBLANK(B2931),"",IF(ROUND(B2931,0)=ROUND(G2931,0),"Pass","Fail"))</f>
        <v>Pass</v>
      </c>
      <c r="B2931">
        <f t="shared" si="147"/>
        <v>10.322208404541016</v>
      </c>
      <c r="C2931">
        <v>30</v>
      </c>
      <c r="D2931">
        <v>40</v>
      </c>
      <c r="E2931">
        <v>100</v>
      </c>
      <c r="F2931">
        <v>48</v>
      </c>
      <c r="G2931">
        <v>10.3222079008197</v>
      </c>
    </row>
    <row r="2932" spans="1:7" x14ac:dyDescent="0.3">
      <c r="A2932" t="str">
        <f>IF(ISBLANK(B2932),"",IF(ROUND(B2932,0)=ROUND(G2932,0),"Pass","Fail"))</f>
        <v>Pass</v>
      </c>
      <c r="B2932">
        <f t="shared" si="147"/>
        <v>10.569999694824219</v>
      </c>
      <c r="C2932">
        <v>30</v>
      </c>
      <c r="D2932">
        <v>50</v>
      </c>
      <c r="E2932">
        <v>0</v>
      </c>
      <c r="F2932">
        <v>0</v>
      </c>
      <c r="G2932">
        <v>10.57</v>
      </c>
    </row>
    <row r="2933" spans="1:7" x14ac:dyDescent="0.3">
      <c r="A2933" t="str">
        <f>IF(ISBLANK(B2933),"",IF(ROUND(B2933,0)=ROUND(G2933,0),"Pass","Fail"))</f>
        <v>Pass</v>
      </c>
      <c r="B2933">
        <f t="shared" si="147"/>
        <v>10.569999694824219</v>
      </c>
      <c r="C2933">
        <v>30</v>
      </c>
      <c r="D2933">
        <v>50</v>
      </c>
      <c r="E2933">
        <v>0</v>
      </c>
      <c r="F2933">
        <v>8</v>
      </c>
      <c r="G2933">
        <v>10.57</v>
      </c>
    </row>
    <row r="2934" spans="1:7" x14ac:dyDescent="0.3">
      <c r="A2934" t="str">
        <f>IF(ISBLANK(B2934),"",IF(ROUND(B2934,0)=ROUND(G2934,0),"Pass","Fail"))</f>
        <v>Pass</v>
      </c>
      <c r="B2934">
        <f t="shared" si="147"/>
        <v>10.569999694824219</v>
      </c>
      <c r="C2934">
        <v>30</v>
      </c>
      <c r="D2934">
        <v>50</v>
      </c>
      <c r="E2934">
        <v>0</v>
      </c>
      <c r="F2934">
        <v>16</v>
      </c>
      <c r="G2934">
        <v>10.57</v>
      </c>
    </row>
    <row r="2935" spans="1:7" x14ac:dyDescent="0.3">
      <c r="A2935" t="str">
        <f>IF(ISBLANK(B2935),"",IF(ROUND(B2935,0)=ROUND(G2935,0),"Pass","Fail"))</f>
        <v>Pass</v>
      </c>
      <c r="B2935">
        <f t="shared" si="147"/>
        <v>10.569999694824219</v>
      </c>
      <c r="C2935">
        <v>30</v>
      </c>
      <c r="D2935">
        <v>50</v>
      </c>
      <c r="E2935">
        <v>0</v>
      </c>
      <c r="F2935">
        <v>24</v>
      </c>
      <c r="G2935">
        <v>10.57</v>
      </c>
    </row>
    <row r="2936" spans="1:7" x14ac:dyDescent="0.3">
      <c r="A2936" t="str">
        <f>IF(ISBLANK(B2936),"",IF(ROUND(B2936,0)=ROUND(G2936,0),"Pass","Fail"))</f>
        <v>Pass</v>
      </c>
      <c r="B2936">
        <f t="shared" si="147"/>
        <v>10.569999694824219</v>
      </c>
      <c r="C2936">
        <v>30</v>
      </c>
      <c r="D2936">
        <v>50</v>
      </c>
      <c r="E2936">
        <v>0</v>
      </c>
      <c r="F2936">
        <v>32</v>
      </c>
      <c r="G2936">
        <v>10.57</v>
      </c>
    </row>
    <row r="2937" spans="1:7" x14ac:dyDescent="0.3">
      <c r="A2937" t="str">
        <f>IF(ISBLANK(B2937),"",IF(ROUND(B2937,0)=ROUND(G2937,0),"Pass","Fail"))</f>
        <v>Pass</v>
      </c>
      <c r="B2937">
        <f t="shared" si="147"/>
        <v>10.569999694824219</v>
      </c>
      <c r="C2937">
        <v>30</v>
      </c>
      <c r="D2937">
        <v>50</v>
      </c>
      <c r="E2937">
        <v>0</v>
      </c>
      <c r="F2937">
        <v>40</v>
      </c>
      <c r="G2937">
        <v>10.57</v>
      </c>
    </row>
    <row r="2938" spans="1:7" x14ac:dyDescent="0.3">
      <c r="A2938" t="str">
        <f>IF(ISBLANK(B2938),"",IF(ROUND(B2938,0)=ROUND(G2938,0),"Pass","Fail"))</f>
        <v>Pass</v>
      </c>
      <c r="B2938">
        <f t="shared" si="147"/>
        <v>10.569999694824219</v>
      </c>
      <c r="C2938">
        <v>30</v>
      </c>
      <c r="D2938">
        <v>50</v>
      </c>
      <c r="E2938">
        <v>0</v>
      </c>
      <c r="F2938">
        <v>48</v>
      </c>
      <c r="G2938">
        <v>10.57</v>
      </c>
    </row>
    <row r="2939" spans="1:7" x14ac:dyDescent="0.3">
      <c r="A2939" t="str">
        <f>IF(ISBLANK(B2939),"",IF(ROUND(B2939,0)=ROUND(G2939,0),"Pass","Fail"))</f>
        <v>Pass</v>
      </c>
      <c r="B2939">
        <f t="shared" si="147"/>
        <v>77.697998046875</v>
      </c>
      <c r="C2939">
        <v>30</v>
      </c>
      <c r="D2939">
        <v>50</v>
      </c>
      <c r="E2939">
        <v>10</v>
      </c>
      <c r="F2939">
        <v>0</v>
      </c>
      <c r="G2939">
        <v>77.697999999998302</v>
      </c>
    </row>
    <row r="2940" spans="1:7" x14ac:dyDescent="0.3">
      <c r="A2940" t="str">
        <f>IF(ISBLANK(B2940),"",IF(ROUND(B2940,0)=ROUND(G2940,0),"Pass","Fail"))</f>
        <v>Pass</v>
      </c>
      <c r="B2940">
        <f t="shared" si="147"/>
        <v>44.361228942871094</v>
      </c>
      <c r="C2940">
        <v>30</v>
      </c>
      <c r="D2940">
        <v>50</v>
      </c>
      <c r="E2940">
        <v>10</v>
      </c>
      <c r="F2940">
        <v>8</v>
      </c>
      <c r="G2940">
        <v>44.361228080722199</v>
      </c>
    </row>
    <row r="2941" spans="1:7" x14ac:dyDescent="0.3">
      <c r="A2941" t="str">
        <f>IF(ISBLANK(B2941),"",IF(ROUND(B2941,0)=ROUND(G2941,0),"Pass","Fail"))</f>
        <v>Pass</v>
      </c>
      <c r="B2941">
        <f t="shared" si="147"/>
        <v>27.579996109008789</v>
      </c>
      <c r="C2941">
        <v>30</v>
      </c>
      <c r="D2941">
        <v>50</v>
      </c>
      <c r="E2941">
        <v>10</v>
      </c>
      <c r="F2941">
        <v>16</v>
      </c>
      <c r="G2941">
        <v>27.5799972471013</v>
      </c>
    </row>
    <row r="2942" spans="1:7" x14ac:dyDescent="0.3">
      <c r="A2942" t="str">
        <f>IF(ISBLANK(B2942),"",IF(ROUND(B2942,0)=ROUND(G2942,0),"Pass","Fail"))</f>
        <v>Pass</v>
      </c>
      <c r="B2942">
        <f t="shared" si="147"/>
        <v>19.132575988769531</v>
      </c>
      <c r="C2942">
        <v>30</v>
      </c>
      <c r="D2942">
        <v>50</v>
      </c>
      <c r="E2942">
        <v>10</v>
      </c>
      <c r="F2942">
        <v>24</v>
      </c>
      <c r="G2942">
        <v>19.132577413736001</v>
      </c>
    </row>
    <row r="2943" spans="1:7" x14ac:dyDescent="0.3">
      <c r="A2943" t="str">
        <f>IF(ISBLANK(B2943),"",IF(ROUND(B2943,0)=ROUND(G2943,0),"Pass","Fail"))</f>
        <v>Pass</v>
      </c>
      <c r="B2943">
        <f t="shared" si="147"/>
        <v>14.88027286529541</v>
      </c>
      <c r="C2943">
        <v>30</v>
      </c>
      <c r="D2943">
        <v>50</v>
      </c>
      <c r="E2943">
        <v>10</v>
      </c>
      <c r="F2943">
        <v>32</v>
      </c>
      <c r="G2943">
        <v>14.8802730059945</v>
      </c>
    </row>
    <row r="2944" spans="1:7" x14ac:dyDescent="0.3">
      <c r="A2944" t="str">
        <f>IF(ISBLANK(B2944),"",IF(ROUND(B2944,0)=ROUND(G2944,0),"Pass","Fail"))</f>
        <v>Pass</v>
      </c>
      <c r="B2944">
        <f t="shared" si="147"/>
        <v>12.739727020263672</v>
      </c>
      <c r="C2944">
        <v>30</v>
      </c>
      <c r="D2944">
        <v>50</v>
      </c>
      <c r="E2944">
        <v>10</v>
      </c>
      <c r="F2944">
        <v>40</v>
      </c>
      <c r="G2944">
        <v>12.739726764326999</v>
      </c>
    </row>
    <row r="2945" spans="1:7" x14ac:dyDescent="0.3">
      <c r="A2945" t="str">
        <f>IF(ISBLANK(B2945),"",IF(ROUND(B2945,0)=ROUND(G2945,0),"Pass","Fail"))</f>
        <v>Pass</v>
      </c>
      <c r="B2945">
        <f t="shared" si="147"/>
        <v>11.66220760345459</v>
      </c>
      <c r="C2945">
        <v>30</v>
      </c>
      <c r="D2945">
        <v>50</v>
      </c>
      <c r="E2945">
        <v>10</v>
      </c>
      <c r="F2945">
        <v>48</v>
      </c>
      <c r="G2945">
        <v>11.6622079008197</v>
      </c>
    </row>
    <row r="2946" spans="1:7" x14ac:dyDescent="0.3">
      <c r="A2946" t="str">
        <f>IF(ISBLANK(B2946),"",IF(ROUND(B2946,0)=ROUND(G2946,0),"Pass","Fail"))</f>
        <v>Pass</v>
      </c>
      <c r="B2946">
        <f t="shared" si="147"/>
        <v>77.697998046875</v>
      </c>
      <c r="C2946">
        <v>30</v>
      </c>
      <c r="D2946">
        <v>50</v>
      </c>
      <c r="E2946">
        <v>20</v>
      </c>
      <c r="F2946">
        <v>0</v>
      </c>
      <c r="G2946">
        <v>77.697999999999993</v>
      </c>
    </row>
    <row r="2947" spans="1:7" x14ac:dyDescent="0.3">
      <c r="A2947" t="str">
        <f>IF(ISBLANK(B2947),"",IF(ROUND(B2947,0)=ROUND(G2947,0),"Pass","Fail"))</f>
        <v>Pass</v>
      </c>
      <c r="B2947">
        <f t="shared" si="147"/>
        <v>44.361228942871094</v>
      </c>
      <c r="C2947">
        <v>30</v>
      </c>
      <c r="D2947">
        <v>50</v>
      </c>
      <c r="E2947">
        <v>20</v>
      </c>
      <c r="F2947">
        <v>8</v>
      </c>
      <c r="G2947">
        <v>44.361228080723002</v>
      </c>
    </row>
    <row r="2948" spans="1:7" x14ac:dyDescent="0.3">
      <c r="A2948" t="str">
        <f>IF(ISBLANK(B2948),"",IF(ROUND(B2948,0)=ROUND(G2948,0),"Pass","Fail"))</f>
        <v>Pass</v>
      </c>
      <c r="B2948">
        <f t="shared" si="147"/>
        <v>27.579996109008789</v>
      </c>
      <c r="C2948">
        <v>30</v>
      </c>
      <c r="D2948">
        <v>50</v>
      </c>
      <c r="E2948">
        <v>20</v>
      </c>
      <c r="F2948">
        <v>16</v>
      </c>
      <c r="G2948">
        <v>27.579997247101701</v>
      </c>
    </row>
    <row r="2949" spans="1:7" x14ac:dyDescent="0.3">
      <c r="A2949" t="str">
        <f>IF(ISBLANK(B2949),"",IF(ROUND(B2949,0)=ROUND(G2949,0),"Pass","Fail"))</f>
        <v>Pass</v>
      </c>
      <c r="B2949">
        <f t="shared" si="147"/>
        <v>19.132575988769531</v>
      </c>
      <c r="C2949">
        <v>30</v>
      </c>
      <c r="D2949">
        <v>50</v>
      </c>
      <c r="E2949">
        <v>20</v>
      </c>
      <c r="F2949">
        <v>24</v>
      </c>
      <c r="G2949">
        <v>19.1325774137362</v>
      </c>
    </row>
    <row r="2950" spans="1:7" x14ac:dyDescent="0.3">
      <c r="A2950" t="str">
        <f>IF(ISBLANK(B2950),"",IF(ROUND(B2950,0)=ROUND(G2950,0),"Pass","Fail"))</f>
        <v>Pass</v>
      </c>
      <c r="B2950">
        <f t="shared" si="147"/>
        <v>14.88027286529541</v>
      </c>
      <c r="C2950">
        <v>30</v>
      </c>
      <c r="D2950">
        <v>50</v>
      </c>
      <c r="E2950">
        <v>20</v>
      </c>
      <c r="F2950">
        <v>32</v>
      </c>
      <c r="G2950">
        <v>14.880273005994599</v>
      </c>
    </row>
    <row r="2951" spans="1:7" x14ac:dyDescent="0.3">
      <c r="A2951" t="str">
        <f>IF(ISBLANK(B2951),"",IF(ROUND(B2951,0)=ROUND(G2951,0),"Pass","Fail"))</f>
        <v>Pass</v>
      </c>
      <c r="B2951">
        <f t="shared" ref="B2951:B3014" si="148">FMC_heath(C2951,D2951,E2951,F2951)</f>
        <v>12.739727020263672</v>
      </c>
      <c r="C2951">
        <v>30</v>
      </c>
      <c r="D2951">
        <v>50</v>
      </c>
      <c r="E2951">
        <v>20</v>
      </c>
      <c r="F2951">
        <v>40</v>
      </c>
      <c r="G2951">
        <v>12.7397267643271</v>
      </c>
    </row>
    <row r="2952" spans="1:7" x14ac:dyDescent="0.3">
      <c r="A2952" t="str">
        <f>IF(ISBLANK(B2952),"",IF(ROUND(B2952,0)=ROUND(G2952,0),"Pass","Fail"))</f>
        <v>Pass</v>
      </c>
      <c r="B2952">
        <f t="shared" si="148"/>
        <v>11.66220760345459</v>
      </c>
      <c r="C2952">
        <v>30</v>
      </c>
      <c r="D2952">
        <v>50</v>
      </c>
      <c r="E2952">
        <v>20</v>
      </c>
      <c r="F2952">
        <v>48</v>
      </c>
      <c r="G2952">
        <v>11.6622079008197</v>
      </c>
    </row>
    <row r="2953" spans="1:7" x14ac:dyDescent="0.3">
      <c r="A2953" t="str">
        <f>IF(ISBLANK(B2953),"",IF(ROUND(B2953,0)=ROUND(G2953,0),"Pass","Fail"))</f>
        <v>Pass</v>
      </c>
      <c r="B2953">
        <f t="shared" si="148"/>
        <v>77.697998046875</v>
      </c>
      <c r="C2953">
        <v>30</v>
      </c>
      <c r="D2953">
        <v>50</v>
      </c>
      <c r="E2953">
        <v>30</v>
      </c>
      <c r="F2953">
        <v>0</v>
      </c>
      <c r="G2953">
        <v>77.697999999999993</v>
      </c>
    </row>
    <row r="2954" spans="1:7" x14ac:dyDescent="0.3">
      <c r="A2954" t="str">
        <f>IF(ISBLANK(B2954),"",IF(ROUND(B2954,0)=ROUND(G2954,0),"Pass","Fail"))</f>
        <v>Pass</v>
      </c>
      <c r="B2954">
        <f t="shared" si="148"/>
        <v>44.361228942871094</v>
      </c>
      <c r="C2954">
        <v>30</v>
      </c>
      <c r="D2954">
        <v>50</v>
      </c>
      <c r="E2954">
        <v>30</v>
      </c>
      <c r="F2954">
        <v>8</v>
      </c>
      <c r="G2954">
        <v>44.361228080723002</v>
      </c>
    </row>
    <row r="2955" spans="1:7" x14ac:dyDescent="0.3">
      <c r="A2955" t="str">
        <f>IF(ISBLANK(B2955),"",IF(ROUND(B2955,0)=ROUND(G2955,0),"Pass","Fail"))</f>
        <v>Pass</v>
      </c>
      <c r="B2955">
        <f t="shared" si="148"/>
        <v>27.579996109008789</v>
      </c>
      <c r="C2955">
        <v>30</v>
      </c>
      <c r="D2955">
        <v>50</v>
      </c>
      <c r="E2955">
        <v>30</v>
      </c>
      <c r="F2955">
        <v>16</v>
      </c>
      <c r="G2955">
        <v>27.579997247101701</v>
      </c>
    </row>
    <row r="2956" spans="1:7" x14ac:dyDescent="0.3">
      <c r="A2956" t="str">
        <f>IF(ISBLANK(B2956),"",IF(ROUND(B2956,0)=ROUND(G2956,0),"Pass","Fail"))</f>
        <v>Pass</v>
      </c>
      <c r="B2956">
        <f t="shared" si="148"/>
        <v>19.132575988769531</v>
      </c>
      <c r="C2956">
        <v>30</v>
      </c>
      <c r="D2956">
        <v>50</v>
      </c>
      <c r="E2956">
        <v>30</v>
      </c>
      <c r="F2956">
        <v>24</v>
      </c>
      <c r="G2956">
        <v>19.1325774137362</v>
      </c>
    </row>
    <row r="2957" spans="1:7" x14ac:dyDescent="0.3">
      <c r="A2957" t="str">
        <f>IF(ISBLANK(B2957),"",IF(ROUND(B2957,0)=ROUND(G2957,0),"Pass","Fail"))</f>
        <v>Pass</v>
      </c>
      <c r="B2957">
        <f t="shared" si="148"/>
        <v>14.88027286529541</v>
      </c>
      <c r="C2957">
        <v>30</v>
      </c>
      <c r="D2957">
        <v>50</v>
      </c>
      <c r="E2957">
        <v>30</v>
      </c>
      <c r="F2957">
        <v>32</v>
      </c>
      <c r="G2957">
        <v>14.880273005994599</v>
      </c>
    </row>
    <row r="2958" spans="1:7" x14ac:dyDescent="0.3">
      <c r="A2958" t="str">
        <f>IF(ISBLANK(B2958),"",IF(ROUND(B2958,0)=ROUND(G2958,0),"Pass","Fail"))</f>
        <v>Pass</v>
      </c>
      <c r="B2958">
        <f t="shared" si="148"/>
        <v>12.739727020263672</v>
      </c>
      <c r="C2958">
        <v>30</v>
      </c>
      <c r="D2958">
        <v>50</v>
      </c>
      <c r="E2958">
        <v>30</v>
      </c>
      <c r="F2958">
        <v>40</v>
      </c>
      <c r="G2958">
        <v>12.7397267643271</v>
      </c>
    </row>
    <row r="2959" spans="1:7" x14ac:dyDescent="0.3">
      <c r="A2959" t="str">
        <f>IF(ISBLANK(B2959),"",IF(ROUND(B2959,0)=ROUND(G2959,0),"Pass","Fail"))</f>
        <v>Pass</v>
      </c>
      <c r="B2959">
        <f t="shared" si="148"/>
        <v>11.66220760345459</v>
      </c>
      <c r="C2959">
        <v>30</v>
      </c>
      <c r="D2959">
        <v>50</v>
      </c>
      <c r="E2959">
        <v>30</v>
      </c>
      <c r="F2959">
        <v>48</v>
      </c>
      <c r="G2959">
        <v>11.6622079008197</v>
      </c>
    </row>
    <row r="2960" spans="1:7" x14ac:dyDescent="0.3">
      <c r="A2960" t="str">
        <f>IF(ISBLANK(B2960),"",IF(ROUND(B2960,0)=ROUND(G2960,0),"Pass","Fail"))</f>
        <v>Pass</v>
      </c>
      <c r="B2960">
        <f t="shared" si="148"/>
        <v>77.697998046875</v>
      </c>
      <c r="C2960">
        <v>30</v>
      </c>
      <c r="D2960">
        <v>50</v>
      </c>
      <c r="E2960">
        <v>40</v>
      </c>
      <c r="F2960">
        <v>0</v>
      </c>
      <c r="G2960">
        <v>77.697999999999993</v>
      </c>
    </row>
    <row r="2961" spans="1:7" x14ac:dyDescent="0.3">
      <c r="A2961" t="str">
        <f>IF(ISBLANK(B2961),"",IF(ROUND(B2961,0)=ROUND(G2961,0),"Pass","Fail"))</f>
        <v>Pass</v>
      </c>
      <c r="B2961">
        <f t="shared" si="148"/>
        <v>44.361228942871094</v>
      </c>
      <c r="C2961">
        <v>30</v>
      </c>
      <c r="D2961">
        <v>50</v>
      </c>
      <c r="E2961">
        <v>40</v>
      </c>
      <c r="F2961">
        <v>8</v>
      </c>
      <c r="G2961">
        <v>44.361228080723002</v>
      </c>
    </row>
    <row r="2962" spans="1:7" x14ac:dyDescent="0.3">
      <c r="A2962" t="str">
        <f>IF(ISBLANK(B2962),"",IF(ROUND(B2962,0)=ROUND(G2962,0),"Pass","Fail"))</f>
        <v>Pass</v>
      </c>
      <c r="B2962">
        <f t="shared" si="148"/>
        <v>27.579996109008789</v>
      </c>
      <c r="C2962">
        <v>30</v>
      </c>
      <c r="D2962">
        <v>50</v>
      </c>
      <c r="E2962">
        <v>40</v>
      </c>
      <c r="F2962">
        <v>16</v>
      </c>
      <c r="G2962">
        <v>27.579997247101701</v>
      </c>
    </row>
    <row r="2963" spans="1:7" x14ac:dyDescent="0.3">
      <c r="A2963" t="str">
        <f>IF(ISBLANK(B2963),"",IF(ROUND(B2963,0)=ROUND(G2963,0),"Pass","Fail"))</f>
        <v>Pass</v>
      </c>
      <c r="B2963">
        <f t="shared" si="148"/>
        <v>19.132575988769531</v>
      </c>
      <c r="C2963">
        <v>30</v>
      </c>
      <c r="D2963">
        <v>50</v>
      </c>
      <c r="E2963">
        <v>40</v>
      </c>
      <c r="F2963">
        <v>24</v>
      </c>
      <c r="G2963">
        <v>19.1325774137362</v>
      </c>
    </row>
    <row r="2964" spans="1:7" x14ac:dyDescent="0.3">
      <c r="A2964" t="str">
        <f>IF(ISBLANK(B2964),"",IF(ROUND(B2964,0)=ROUND(G2964,0),"Pass","Fail"))</f>
        <v>Pass</v>
      </c>
      <c r="B2964">
        <f t="shared" si="148"/>
        <v>14.88027286529541</v>
      </c>
      <c r="C2964">
        <v>30</v>
      </c>
      <c r="D2964">
        <v>50</v>
      </c>
      <c r="E2964">
        <v>40</v>
      </c>
      <c r="F2964">
        <v>32</v>
      </c>
      <c r="G2964">
        <v>14.880273005994599</v>
      </c>
    </row>
    <row r="2965" spans="1:7" x14ac:dyDescent="0.3">
      <c r="A2965" t="str">
        <f>IF(ISBLANK(B2965),"",IF(ROUND(B2965,0)=ROUND(G2965,0),"Pass","Fail"))</f>
        <v>Pass</v>
      </c>
      <c r="B2965">
        <f t="shared" si="148"/>
        <v>12.739727020263672</v>
      </c>
      <c r="C2965">
        <v>30</v>
      </c>
      <c r="D2965">
        <v>50</v>
      </c>
      <c r="E2965">
        <v>40</v>
      </c>
      <c r="F2965">
        <v>40</v>
      </c>
      <c r="G2965">
        <v>12.7397267643271</v>
      </c>
    </row>
    <row r="2966" spans="1:7" x14ac:dyDescent="0.3">
      <c r="A2966" t="str">
        <f>IF(ISBLANK(B2966),"",IF(ROUND(B2966,0)=ROUND(G2966,0),"Pass","Fail"))</f>
        <v>Pass</v>
      </c>
      <c r="B2966">
        <f t="shared" si="148"/>
        <v>11.66220760345459</v>
      </c>
      <c r="C2966">
        <v>30</v>
      </c>
      <c r="D2966">
        <v>50</v>
      </c>
      <c r="E2966">
        <v>40</v>
      </c>
      <c r="F2966">
        <v>48</v>
      </c>
      <c r="G2966">
        <v>11.6622079008197</v>
      </c>
    </row>
    <row r="2967" spans="1:7" x14ac:dyDescent="0.3">
      <c r="A2967" t="str">
        <f>IF(ISBLANK(B2967),"",IF(ROUND(B2967,0)=ROUND(G2967,0),"Pass","Fail"))</f>
        <v>Pass</v>
      </c>
      <c r="B2967">
        <f t="shared" si="148"/>
        <v>77.697998046875</v>
      </c>
      <c r="C2967">
        <v>30</v>
      </c>
      <c r="D2967">
        <v>50</v>
      </c>
      <c r="E2967">
        <v>50</v>
      </c>
      <c r="F2967">
        <v>0</v>
      </c>
      <c r="G2967">
        <v>77.697999999999993</v>
      </c>
    </row>
    <row r="2968" spans="1:7" x14ac:dyDescent="0.3">
      <c r="A2968" t="str">
        <f>IF(ISBLANK(B2968),"",IF(ROUND(B2968,0)=ROUND(G2968,0),"Pass","Fail"))</f>
        <v>Pass</v>
      </c>
      <c r="B2968">
        <f t="shared" si="148"/>
        <v>44.361228942871094</v>
      </c>
      <c r="C2968">
        <v>30</v>
      </c>
      <c r="D2968">
        <v>50</v>
      </c>
      <c r="E2968">
        <v>50</v>
      </c>
      <c r="F2968">
        <v>8</v>
      </c>
      <c r="G2968">
        <v>44.361228080723002</v>
      </c>
    </row>
    <row r="2969" spans="1:7" x14ac:dyDescent="0.3">
      <c r="A2969" t="str">
        <f>IF(ISBLANK(B2969),"",IF(ROUND(B2969,0)=ROUND(G2969,0),"Pass","Fail"))</f>
        <v>Pass</v>
      </c>
      <c r="B2969">
        <f t="shared" si="148"/>
        <v>27.579996109008789</v>
      </c>
      <c r="C2969">
        <v>30</v>
      </c>
      <c r="D2969">
        <v>50</v>
      </c>
      <c r="E2969">
        <v>50</v>
      </c>
      <c r="F2969">
        <v>16</v>
      </c>
      <c r="G2969">
        <v>27.579997247101701</v>
      </c>
    </row>
    <row r="2970" spans="1:7" x14ac:dyDescent="0.3">
      <c r="A2970" t="str">
        <f>IF(ISBLANK(B2970),"",IF(ROUND(B2970,0)=ROUND(G2970,0),"Pass","Fail"))</f>
        <v>Pass</v>
      </c>
      <c r="B2970">
        <f t="shared" si="148"/>
        <v>19.132575988769531</v>
      </c>
      <c r="C2970">
        <v>30</v>
      </c>
      <c r="D2970">
        <v>50</v>
      </c>
      <c r="E2970">
        <v>50</v>
      </c>
      <c r="F2970">
        <v>24</v>
      </c>
      <c r="G2970">
        <v>19.1325774137362</v>
      </c>
    </row>
    <row r="2971" spans="1:7" x14ac:dyDescent="0.3">
      <c r="A2971" t="str">
        <f>IF(ISBLANK(B2971),"",IF(ROUND(B2971,0)=ROUND(G2971,0),"Pass","Fail"))</f>
        <v>Pass</v>
      </c>
      <c r="B2971">
        <f t="shared" si="148"/>
        <v>14.88027286529541</v>
      </c>
      <c r="C2971">
        <v>30</v>
      </c>
      <c r="D2971">
        <v>50</v>
      </c>
      <c r="E2971">
        <v>50</v>
      </c>
      <c r="F2971">
        <v>32</v>
      </c>
      <c r="G2971">
        <v>14.880273005994599</v>
      </c>
    </row>
    <row r="2972" spans="1:7" x14ac:dyDescent="0.3">
      <c r="A2972" t="str">
        <f>IF(ISBLANK(B2972),"",IF(ROUND(B2972,0)=ROUND(G2972,0),"Pass","Fail"))</f>
        <v>Pass</v>
      </c>
      <c r="B2972">
        <f t="shared" si="148"/>
        <v>12.739727020263672</v>
      </c>
      <c r="C2972">
        <v>30</v>
      </c>
      <c r="D2972">
        <v>50</v>
      </c>
      <c r="E2972">
        <v>50</v>
      </c>
      <c r="F2972">
        <v>40</v>
      </c>
      <c r="G2972">
        <v>12.7397267643271</v>
      </c>
    </row>
    <row r="2973" spans="1:7" x14ac:dyDescent="0.3">
      <c r="A2973" t="str">
        <f>IF(ISBLANK(B2973),"",IF(ROUND(B2973,0)=ROUND(G2973,0),"Pass","Fail"))</f>
        <v>Pass</v>
      </c>
      <c r="B2973">
        <f t="shared" si="148"/>
        <v>11.66220760345459</v>
      </c>
      <c r="C2973">
        <v>30</v>
      </c>
      <c r="D2973">
        <v>50</v>
      </c>
      <c r="E2973">
        <v>50</v>
      </c>
      <c r="F2973">
        <v>48</v>
      </c>
      <c r="G2973">
        <v>11.6622079008197</v>
      </c>
    </row>
    <row r="2974" spans="1:7" x14ac:dyDescent="0.3">
      <c r="A2974" t="str">
        <f>IF(ISBLANK(B2974),"",IF(ROUND(B2974,0)=ROUND(G2974,0),"Pass","Fail"))</f>
        <v>Pass</v>
      </c>
      <c r="B2974">
        <f t="shared" si="148"/>
        <v>77.697998046875</v>
      </c>
      <c r="C2974">
        <v>30</v>
      </c>
      <c r="D2974">
        <v>50</v>
      </c>
      <c r="E2974">
        <v>60</v>
      </c>
      <c r="F2974">
        <v>0</v>
      </c>
      <c r="G2974">
        <v>77.697999999999993</v>
      </c>
    </row>
    <row r="2975" spans="1:7" x14ac:dyDescent="0.3">
      <c r="A2975" t="str">
        <f>IF(ISBLANK(B2975),"",IF(ROUND(B2975,0)=ROUND(G2975,0),"Pass","Fail"))</f>
        <v>Pass</v>
      </c>
      <c r="B2975">
        <f t="shared" si="148"/>
        <v>44.361228942871094</v>
      </c>
      <c r="C2975">
        <v>30</v>
      </c>
      <c r="D2975">
        <v>50</v>
      </c>
      <c r="E2975">
        <v>60</v>
      </c>
      <c r="F2975">
        <v>8</v>
      </c>
      <c r="G2975">
        <v>44.361228080723002</v>
      </c>
    </row>
    <row r="2976" spans="1:7" x14ac:dyDescent="0.3">
      <c r="A2976" t="str">
        <f>IF(ISBLANK(B2976),"",IF(ROUND(B2976,0)=ROUND(G2976,0),"Pass","Fail"))</f>
        <v>Pass</v>
      </c>
      <c r="B2976">
        <f t="shared" si="148"/>
        <v>27.579996109008789</v>
      </c>
      <c r="C2976">
        <v>30</v>
      </c>
      <c r="D2976">
        <v>50</v>
      </c>
      <c r="E2976">
        <v>60</v>
      </c>
      <c r="F2976">
        <v>16</v>
      </c>
      <c r="G2976">
        <v>27.579997247101701</v>
      </c>
    </row>
    <row r="2977" spans="1:7" x14ac:dyDescent="0.3">
      <c r="A2977" t="str">
        <f>IF(ISBLANK(B2977),"",IF(ROUND(B2977,0)=ROUND(G2977,0),"Pass","Fail"))</f>
        <v>Pass</v>
      </c>
      <c r="B2977">
        <f t="shared" si="148"/>
        <v>19.132575988769531</v>
      </c>
      <c r="C2977">
        <v>30</v>
      </c>
      <c r="D2977">
        <v>50</v>
      </c>
      <c r="E2977">
        <v>60</v>
      </c>
      <c r="F2977">
        <v>24</v>
      </c>
      <c r="G2977">
        <v>19.1325774137362</v>
      </c>
    </row>
    <row r="2978" spans="1:7" x14ac:dyDescent="0.3">
      <c r="A2978" t="str">
        <f>IF(ISBLANK(B2978),"",IF(ROUND(B2978,0)=ROUND(G2978,0),"Pass","Fail"))</f>
        <v>Pass</v>
      </c>
      <c r="B2978">
        <f t="shared" si="148"/>
        <v>14.88027286529541</v>
      </c>
      <c r="C2978">
        <v>30</v>
      </c>
      <c r="D2978">
        <v>50</v>
      </c>
      <c r="E2978">
        <v>60</v>
      </c>
      <c r="F2978">
        <v>32</v>
      </c>
      <c r="G2978">
        <v>14.880273005994599</v>
      </c>
    </row>
    <row r="2979" spans="1:7" x14ac:dyDescent="0.3">
      <c r="A2979" t="str">
        <f>IF(ISBLANK(B2979),"",IF(ROUND(B2979,0)=ROUND(G2979,0),"Pass","Fail"))</f>
        <v>Pass</v>
      </c>
      <c r="B2979">
        <f t="shared" si="148"/>
        <v>12.739727020263672</v>
      </c>
      <c r="C2979">
        <v>30</v>
      </c>
      <c r="D2979">
        <v>50</v>
      </c>
      <c r="E2979">
        <v>60</v>
      </c>
      <c r="F2979">
        <v>40</v>
      </c>
      <c r="G2979">
        <v>12.7397267643271</v>
      </c>
    </row>
    <row r="2980" spans="1:7" x14ac:dyDescent="0.3">
      <c r="A2980" t="str">
        <f>IF(ISBLANK(B2980),"",IF(ROUND(B2980,0)=ROUND(G2980,0),"Pass","Fail"))</f>
        <v>Pass</v>
      </c>
      <c r="B2980">
        <f t="shared" si="148"/>
        <v>11.66220760345459</v>
      </c>
      <c r="C2980">
        <v>30</v>
      </c>
      <c r="D2980">
        <v>50</v>
      </c>
      <c r="E2980">
        <v>60</v>
      </c>
      <c r="F2980">
        <v>48</v>
      </c>
      <c r="G2980">
        <v>11.6622079008197</v>
      </c>
    </row>
    <row r="2981" spans="1:7" x14ac:dyDescent="0.3">
      <c r="A2981" t="str">
        <f>IF(ISBLANK(B2981),"",IF(ROUND(B2981,0)=ROUND(G2981,0),"Pass","Fail"))</f>
        <v>Pass</v>
      </c>
      <c r="B2981">
        <f t="shared" si="148"/>
        <v>77.697998046875</v>
      </c>
      <c r="C2981">
        <v>30</v>
      </c>
      <c r="D2981">
        <v>50</v>
      </c>
      <c r="E2981">
        <v>70</v>
      </c>
      <c r="F2981">
        <v>0</v>
      </c>
      <c r="G2981">
        <v>77.697999999999993</v>
      </c>
    </row>
    <row r="2982" spans="1:7" x14ac:dyDescent="0.3">
      <c r="A2982" t="str">
        <f>IF(ISBLANK(B2982),"",IF(ROUND(B2982,0)=ROUND(G2982,0),"Pass","Fail"))</f>
        <v>Pass</v>
      </c>
      <c r="B2982">
        <f t="shared" si="148"/>
        <v>44.361228942871094</v>
      </c>
      <c r="C2982">
        <v>30</v>
      </c>
      <c r="D2982">
        <v>50</v>
      </c>
      <c r="E2982">
        <v>70</v>
      </c>
      <c r="F2982">
        <v>8</v>
      </c>
      <c r="G2982">
        <v>44.361228080723002</v>
      </c>
    </row>
    <row r="2983" spans="1:7" x14ac:dyDescent="0.3">
      <c r="A2983" t="str">
        <f>IF(ISBLANK(B2983),"",IF(ROUND(B2983,0)=ROUND(G2983,0),"Pass","Fail"))</f>
        <v>Pass</v>
      </c>
      <c r="B2983">
        <f t="shared" si="148"/>
        <v>27.579996109008789</v>
      </c>
      <c r="C2983">
        <v>30</v>
      </c>
      <c r="D2983">
        <v>50</v>
      </c>
      <c r="E2983">
        <v>70</v>
      </c>
      <c r="F2983">
        <v>16</v>
      </c>
      <c r="G2983">
        <v>27.579997247101701</v>
      </c>
    </row>
    <row r="2984" spans="1:7" x14ac:dyDescent="0.3">
      <c r="A2984" t="str">
        <f>IF(ISBLANK(B2984),"",IF(ROUND(B2984,0)=ROUND(G2984,0),"Pass","Fail"))</f>
        <v>Pass</v>
      </c>
      <c r="B2984">
        <f t="shared" si="148"/>
        <v>19.132575988769531</v>
      </c>
      <c r="C2984">
        <v>30</v>
      </c>
      <c r="D2984">
        <v>50</v>
      </c>
      <c r="E2984">
        <v>70</v>
      </c>
      <c r="F2984">
        <v>24</v>
      </c>
      <c r="G2984">
        <v>19.1325774137362</v>
      </c>
    </row>
    <row r="2985" spans="1:7" x14ac:dyDescent="0.3">
      <c r="A2985" t="str">
        <f>IF(ISBLANK(B2985),"",IF(ROUND(B2985,0)=ROUND(G2985,0),"Pass","Fail"))</f>
        <v>Pass</v>
      </c>
      <c r="B2985">
        <f t="shared" si="148"/>
        <v>14.88027286529541</v>
      </c>
      <c r="C2985">
        <v>30</v>
      </c>
      <c r="D2985">
        <v>50</v>
      </c>
      <c r="E2985">
        <v>70</v>
      </c>
      <c r="F2985">
        <v>32</v>
      </c>
      <c r="G2985">
        <v>14.880273005994599</v>
      </c>
    </row>
    <row r="2986" spans="1:7" x14ac:dyDescent="0.3">
      <c r="A2986" t="str">
        <f>IF(ISBLANK(B2986),"",IF(ROUND(B2986,0)=ROUND(G2986,0),"Pass","Fail"))</f>
        <v>Pass</v>
      </c>
      <c r="B2986">
        <f t="shared" si="148"/>
        <v>12.739727020263672</v>
      </c>
      <c r="C2986">
        <v>30</v>
      </c>
      <c r="D2986">
        <v>50</v>
      </c>
      <c r="E2986">
        <v>70</v>
      </c>
      <c r="F2986">
        <v>40</v>
      </c>
      <c r="G2986">
        <v>12.7397267643271</v>
      </c>
    </row>
    <row r="2987" spans="1:7" x14ac:dyDescent="0.3">
      <c r="A2987" t="str">
        <f>IF(ISBLANK(B2987),"",IF(ROUND(B2987,0)=ROUND(G2987,0),"Pass","Fail"))</f>
        <v>Pass</v>
      </c>
      <c r="B2987">
        <f t="shared" si="148"/>
        <v>11.66220760345459</v>
      </c>
      <c r="C2987">
        <v>30</v>
      </c>
      <c r="D2987">
        <v>50</v>
      </c>
      <c r="E2987">
        <v>70</v>
      </c>
      <c r="F2987">
        <v>48</v>
      </c>
      <c r="G2987">
        <v>11.6622079008197</v>
      </c>
    </row>
    <row r="2988" spans="1:7" x14ac:dyDescent="0.3">
      <c r="A2988" t="str">
        <f>IF(ISBLANK(B2988),"",IF(ROUND(B2988,0)=ROUND(G2988,0),"Pass","Fail"))</f>
        <v>Pass</v>
      </c>
      <c r="B2988">
        <f t="shared" si="148"/>
        <v>77.697998046875</v>
      </c>
      <c r="C2988">
        <v>30</v>
      </c>
      <c r="D2988">
        <v>50</v>
      </c>
      <c r="E2988">
        <v>80</v>
      </c>
      <c r="F2988">
        <v>0</v>
      </c>
      <c r="G2988">
        <v>77.697999999999993</v>
      </c>
    </row>
    <row r="2989" spans="1:7" x14ac:dyDescent="0.3">
      <c r="A2989" t="str">
        <f>IF(ISBLANK(B2989),"",IF(ROUND(B2989,0)=ROUND(G2989,0),"Pass","Fail"))</f>
        <v>Pass</v>
      </c>
      <c r="B2989">
        <f t="shared" si="148"/>
        <v>44.361228942871094</v>
      </c>
      <c r="C2989">
        <v>30</v>
      </c>
      <c r="D2989">
        <v>50</v>
      </c>
      <c r="E2989">
        <v>80</v>
      </c>
      <c r="F2989">
        <v>8</v>
      </c>
      <c r="G2989">
        <v>44.361228080723002</v>
      </c>
    </row>
    <row r="2990" spans="1:7" x14ac:dyDescent="0.3">
      <c r="A2990" t="str">
        <f>IF(ISBLANK(B2990),"",IF(ROUND(B2990,0)=ROUND(G2990,0),"Pass","Fail"))</f>
        <v>Pass</v>
      </c>
      <c r="B2990">
        <f t="shared" si="148"/>
        <v>27.579996109008789</v>
      </c>
      <c r="C2990">
        <v>30</v>
      </c>
      <c r="D2990">
        <v>50</v>
      </c>
      <c r="E2990">
        <v>80</v>
      </c>
      <c r="F2990">
        <v>16</v>
      </c>
      <c r="G2990">
        <v>27.579997247101701</v>
      </c>
    </row>
    <row r="2991" spans="1:7" x14ac:dyDescent="0.3">
      <c r="A2991" t="str">
        <f>IF(ISBLANK(B2991),"",IF(ROUND(B2991,0)=ROUND(G2991,0),"Pass","Fail"))</f>
        <v>Pass</v>
      </c>
      <c r="B2991">
        <f t="shared" si="148"/>
        <v>19.132575988769531</v>
      </c>
      <c r="C2991">
        <v>30</v>
      </c>
      <c r="D2991">
        <v>50</v>
      </c>
      <c r="E2991">
        <v>80</v>
      </c>
      <c r="F2991">
        <v>24</v>
      </c>
      <c r="G2991">
        <v>19.1325774137362</v>
      </c>
    </row>
    <row r="2992" spans="1:7" x14ac:dyDescent="0.3">
      <c r="A2992" t="str">
        <f>IF(ISBLANK(B2992),"",IF(ROUND(B2992,0)=ROUND(G2992,0),"Pass","Fail"))</f>
        <v>Pass</v>
      </c>
      <c r="B2992">
        <f t="shared" si="148"/>
        <v>14.88027286529541</v>
      </c>
      <c r="C2992">
        <v>30</v>
      </c>
      <c r="D2992">
        <v>50</v>
      </c>
      <c r="E2992">
        <v>80</v>
      </c>
      <c r="F2992">
        <v>32</v>
      </c>
      <c r="G2992">
        <v>14.880273005994599</v>
      </c>
    </row>
    <row r="2993" spans="1:7" x14ac:dyDescent="0.3">
      <c r="A2993" t="str">
        <f>IF(ISBLANK(B2993),"",IF(ROUND(B2993,0)=ROUND(G2993,0),"Pass","Fail"))</f>
        <v>Pass</v>
      </c>
      <c r="B2993">
        <f t="shared" si="148"/>
        <v>12.739727020263672</v>
      </c>
      <c r="C2993">
        <v>30</v>
      </c>
      <c r="D2993">
        <v>50</v>
      </c>
      <c r="E2993">
        <v>80</v>
      </c>
      <c r="F2993">
        <v>40</v>
      </c>
      <c r="G2993">
        <v>12.7397267643271</v>
      </c>
    </row>
    <row r="2994" spans="1:7" x14ac:dyDescent="0.3">
      <c r="A2994" t="str">
        <f>IF(ISBLANK(B2994),"",IF(ROUND(B2994,0)=ROUND(G2994,0),"Pass","Fail"))</f>
        <v>Pass</v>
      </c>
      <c r="B2994">
        <f t="shared" si="148"/>
        <v>11.66220760345459</v>
      </c>
      <c r="C2994">
        <v>30</v>
      </c>
      <c r="D2994">
        <v>50</v>
      </c>
      <c r="E2994">
        <v>80</v>
      </c>
      <c r="F2994">
        <v>48</v>
      </c>
      <c r="G2994">
        <v>11.6622079008197</v>
      </c>
    </row>
    <row r="2995" spans="1:7" x14ac:dyDescent="0.3">
      <c r="A2995" t="str">
        <f>IF(ISBLANK(B2995),"",IF(ROUND(B2995,0)=ROUND(G2995,0),"Pass","Fail"))</f>
        <v>Pass</v>
      </c>
      <c r="B2995">
        <f t="shared" si="148"/>
        <v>77.697998046875</v>
      </c>
      <c r="C2995">
        <v>30</v>
      </c>
      <c r="D2995">
        <v>50</v>
      </c>
      <c r="E2995">
        <v>90</v>
      </c>
      <c r="F2995">
        <v>0</v>
      </c>
      <c r="G2995">
        <v>77.697999999999993</v>
      </c>
    </row>
    <row r="2996" spans="1:7" x14ac:dyDescent="0.3">
      <c r="A2996" t="str">
        <f>IF(ISBLANK(B2996),"",IF(ROUND(B2996,0)=ROUND(G2996,0),"Pass","Fail"))</f>
        <v>Pass</v>
      </c>
      <c r="B2996">
        <f t="shared" si="148"/>
        <v>44.361228942871094</v>
      </c>
      <c r="C2996">
        <v>30</v>
      </c>
      <c r="D2996">
        <v>50</v>
      </c>
      <c r="E2996">
        <v>90</v>
      </c>
      <c r="F2996">
        <v>8</v>
      </c>
      <c r="G2996">
        <v>44.361228080723002</v>
      </c>
    </row>
    <row r="2997" spans="1:7" x14ac:dyDescent="0.3">
      <c r="A2997" t="str">
        <f>IF(ISBLANK(B2997),"",IF(ROUND(B2997,0)=ROUND(G2997,0),"Pass","Fail"))</f>
        <v>Pass</v>
      </c>
      <c r="B2997">
        <f t="shared" si="148"/>
        <v>27.579996109008789</v>
      </c>
      <c r="C2997">
        <v>30</v>
      </c>
      <c r="D2997">
        <v>50</v>
      </c>
      <c r="E2997">
        <v>90</v>
      </c>
      <c r="F2997">
        <v>16</v>
      </c>
      <c r="G2997">
        <v>27.579997247101701</v>
      </c>
    </row>
    <row r="2998" spans="1:7" x14ac:dyDescent="0.3">
      <c r="A2998" t="str">
        <f>IF(ISBLANK(B2998),"",IF(ROUND(B2998,0)=ROUND(G2998,0),"Pass","Fail"))</f>
        <v>Pass</v>
      </c>
      <c r="B2998">
        <f t="shared" si="148"/>
        <v>19.132575988769531</v>
      </c>
      <c r="C2998">
        <v>30</v>
      </c>
      <c r="D2998">
        <v>50</v>
      </c>
      <c r="E2998">
        <v>90</v>
      </c>
      <c r="F2998">
        <v>24</v>
      </c>
      <c r="G2998">
        <v>19.1325774137362</v>
      </c>
    </row>
    <row r="2999" spans="1:7" x14ac:dyDescent="0.3">
      <c r="A2999" t="str">
        <f>IF(ISBLANK(B2999),"",IF(ROUND(B2999,0)=ROUND(G2999,0),"Pass","Fail"))</f>
        <v>Pass</v>
      </c>
      <c r="B2999">
        <f t="shared" si="148"/>
        <v>14.88027286529541</v>
      </c>
      <c r="C2999">
        <v>30</v>
      </c>
      <c r="D2999">
        <v>50</v>
      </c>
      <c r="E2999">
        <v>90</v>
      </c>
      <c r="F2999">
        <v>32</v>
      </c>
      <c r="G2999">
        <v>14.880273005994599</v>
      </c>
    </row>
    <row r="3000" spans="1:7" x14ac:dyDescent="0.3">
      <c r="A3000" t="str">
        <f>IF(ISBLANK(B3000),"",IF(ROUND(B3000,0)=ROUND(G3000,0),"Pass","Fail"))</f>
        <v>Pass</v>
      </c>
      <c r="B3000">
        <f t="shared" si="148"/>
        <v>12.739727020263672</v>
      </c>
      <c r="C3000">
        <v>30</v>
      </c>
      <c r="D3000">
        <v>50</v>
      </c>
      <c r="E3000">
        <v>90</v>
      </c>
      <c r="F3000">
        <v>40</v>
      </c>
      <c r="G3000">
        <v>12.7397267643271</v>
      </c>
    </row>
    <row r="3001" spans="1:7" x14ac:dyDescent="0.3">
      <c r="A3001" t="str">
        <f>IF(ISBLANK(B3001),"",IF(ROUND(B3001,0)=ROUND(G3001,0),"Pass","Fail"))</f>
        <v>Pass</v>
      </c>
      <c r="B3001">
        <f t="shared" si="148"/>
        <v>11.66220760345459</v>
      </c>
      <c r="C3001">
        <v>30</v>
      </c>
      <c r="D3001">
        <v>50</v>
      </c>
      <c r="E3001">
        <v>90</v>
      </c>
      <c r="F3001">
        <v>48</v>
      </c>
      <c r="G3001">
        <v>11.6622079008197</v>
      </c>
    </row>
    <row r="3002" spans="1:7" x14ac:dyDescent="0.3">
      <c r="A3002" t="str">
        <f>IF(ISBLANK(B3002),"",IF(ROUND(B3002,0)=ROUND(G3002,0),"Pass","Fail"))</f>
        <v>Pass</v>
      </c>
      <c r="B3002">
        <f t="shared" si="148"/>
        <v>77.697998046875</v>
      </c>
      <c r="C3002">
        <v>30</v>
      </c>
      <c r="D3002">
        <v>50</v>
      </c>
      <c r="E3002">
        <v>100</v>
      </c>
      <c r="F3002">
        <v>0</v>
      </c>
      <c r="G3002">
        <v>77.697999999999993</v>
      </c>
    </row>
    <row r="3003" spans="1:7" x14ac:dyDescent="0.3">
      <c r="A3003" t="str">
        <f>IF(ISBLANK(B3003),"",IF(ROUND(B3003,0)=ROUND(G3003,0),"Pass","Fail"))</f>
        <v>Pass</v>
      </c>
      <c r="B3003">
        <f t="shared" si="148"/>
        <v>44.361228942871094</v>
      </c>
      <c r="C3003">
        <v>30</v>
      </c>
      <c r="D3003">
        <v>50</v>
      </c>
      <c r="E3003">
        <v>100</v>
      </c>
      <c r="F3003">
        <v>8</v>
      </c>
      <c r="G3003">
        <v>44.361228080723002</v>
      </c>
    </row>
    <row r="3004" spans="1:7" x14ac:dyDescent="0.3">
      <c r="A3004" t="str">
        <f>IF(ISBLANK(B3004),"",IF(ROUND(B3004,0)=ROUND(G3004,0),"Pass","Fail"))</f>
        <v>Pass</v>
      </c>
      <c r="B3004">
        <f t="shared" si="148"/>
        <v>27.579996109008789</v>
      </c>
      <c r="C3004">
        <v>30</v>
      </c>
      <c r="D3004">
        <v>50</v>
      </c>
      <c r="E3004">
        <v>100</v>
      </c>
      <c r="F3004">
        <v>16</v>
      </c>
      <c r="G3004">
        <v>27.579997247101701</v>
      </c>
    </row>
    <row r="3005" spans="1:7" x14ac:dyDescent="0.3">
      <c r="A3005" t="str">
        <f>IF(ISBLANK(B3005),"",IF(ROUND(B3005,0)=ROUND(G3005,0),"Pass","Fail"))</f>
        <v>Pass</v>
      </c>
      <c r="B3005">
        <f t="shared" si="148"/>
        <v>19.132575988769531</v>
      </c>
      <c r="C3005">
        <v>30</v>
      </c>
      <c r="D3005">
        <v>50</v>
      </c>
      <c r="E3005">
        <v>100</v>
      </c>
      <c r="F3005">
        <v>24</v>
      </c>
      <c r="G3005">
        <v>19.1325774137362</v>
      </c>
    </row>
    <row r="3006" spans="1:7" x14ac:dyDescent="0.3">
      <c r="A3006" t="str">
        <f>IF(ISBLANK(B3006),"",IF(ROUND(B3006,0)=ROUND(G3006,0),"Pass","Fail"))</f>
        <v>Pass</v>
      </c>
      <c r="B3006">
        <f t="shared" si="148"/>
        <v>14.88027286529541</v>
      </c>
      <c r="C3006">
        <v>30</v>
      </c>
      <c r="D3006">
        <v>50</v>
      </c>
      <c r="E3006">
        <v>100</v>
      </c>
      <c r="F3006">
        <v>32</v>
      </c>
      <c r="G3006">
        <v>14.880273005994599</v>
      </c>
    </row>
    <row r="3007" spans="1:7" x14ac:dyDescent="0.3">
      <c r="A3007" t="str">
        <f>IF(ISBLANK(B3007),"",IF(ROUND(B3007,0)=ROUND(G3007,0),"Pass","Fail"))</f>
        <v>Pass</v>
      </c>
      <c r="B3007">
        <f t="shared" si="148"/>
        <v>12.739727020263672</v>
      </c>
      <c r="C3007">
        <v>30</v>
      </c>
      <c r="D3007">
        <v>50</v>
      </c>
      <c r="E3007">
        <v>100</v>
      </c>
      <c r="F3007">
        <v>40</v>
      </c>
      <c r="G3007">
        <v>12.7397267643271</v>
      </c>
    </row>
    <row r="3008" spans="1:7" x14ac:dyDescent="0.3">
      <c r="A3008" t="str">
        <f>IF(ISBLANK(B3008),"",IF(ROUND(B3008,0)=ROUND(G3008,0),"Pass","Fail"))</f>
        <v>Pass</v>
      </c>
      <c r="B3008">
        <f t="shared" si="148"/>
        <v>11.66220760345459</v>
      </c>
      <c r="C3008">
        <v>30</v>
      </c>
      <c r="D3008">
        <v>50</v>
      </c>
      <c r="E3008">
        <v>100</v>
      </c>
      <c r="F3008">
        <v>48</v>
      </c>
      <c r="G3008">
        <v>11.6622079008197</v>
      </c>
    </row>
    <row r="3009" spans="1:7" x14ac:dyDescent="0.3">
      <c r="A3009" t="str">
        <f>IF(ISBLANK(B3009),"",IF(ROUND(B3009,0)=ROUND(G3009,0),"Pass","Fail"))</f>
        <v>Pass</v>
      </c>
      <c r="B3009">
        <f t="shared" si="148"/>
        <v>11.909999847412109</v>
      </c>
      <c r="C3009">
        <v>30</v>
      </c>
      <c r="D3009">
        <v>60</v>
      </c>
      <c r="E3009">
        <v>0</v>
      </c>
      <c r="F3009">
        <v>0</v>
      </c>
      <c r="G3009">
        <v>11.91</v>
      </c>
    </row>
    <row r="3010" spans="1:7" x14ac:dyDescent="0.3">
      <c r="A3010" t="str">
        <f>IF(ISBLANK(B3010),"",IF(ROUND(B3010,0)=ROUND(G3010,0),"Pass","Fail"))</f>
        <v>Pass</v>
      </c>
      <c r="B3010">
        <f t="shared" si="148"/>
        <v>11.909999847412109</v>
      </c>
      <c r="C3010">
        <v>30</v>
      </c>
      <c r="D3010">
        <v>60</v>
      </c>
      <c r="E3010">
        <v>0</v>
      </c>
      <c r="F3010">
        <v>8</v>
      </c>
      <c r="G3010">
        <v>11.91</v>
      </c>
    </row>
    <row r="3011" spans="1:7" x14ac:dyDescent="0.3">
      <c r="A3011" t="str">
        <f>IF(ISBLANK(B3011),"",IF(ROUND(B3011,0)=ROUND(G3011,0),"Pass","Fail"))</f>
        <v>Pass</v>
      </c>
      <c r="B3011">
        <f t="shared" si="148"/>
        <v>11.909999847412109</v>
      </c>
      <c r="C3011">
        <v>30</v>
      </c>
      <c r="D3011">
        <v>60</v>
      </c>
      <c r="E3011">
        <v>0</v>
      </c>
      <c r="F3011">
        <v>16</v>
      </c>
      <c r="G3011">
        <v>11.91</v>
      </c>
    </row>
    <row r="3012" spans="1:7" x14ac:dyDescent="0.3">
      <c r="A3012" t="str">
        <f>IF(ISBLANK(B3012),"",IF(ROUND(B3012,0)=ROUND(G3012,0),"Pass","Fail"))</f>
        <v>Pass</v>
      </c>
      <c r="B3012">
        <f t="shared" si="148"/>
        <v>11.909999847412109</v>
      </c>
      <c r="C3012">
        <v>30</v>
      </c>
      <c r="D3012">
        <v>60</v>
      </c>
      <c r="E3012">
        <v>0</v>
      </c>
      <c r="F3012">
        <v>24</v>
      </c>
      <c r="G3012">
        <v>11.91</v>
      </c>
    </row>
    <row r="3013" spans="1:7" x14ac:dyDescent="0.3">
      <c r="A3013" t="str">
        <f>IF(ISBLANK(B3013),"",IF(ROUND(B3013,0)=ROUND(G3013,0),"Pass","Fail"))</f>
        <v>Pass</v>
      </c>
      <c r="B3013">
        <f t="shared" si="148"/>
        <v>11.909999847412109</v>
      </c>
      <c r="C3013">
        <v>30</v>
      </c>
      <c r="D3013">
        <v>60</v>
      </c>
      <c r="E3013">
        <v>0</v>
      </c>
      <c r="F3013">
        <v>32</v>
      </c>
      <c r="G3013">
        <v>11.91</v>
      </c>
    </row>
    <row r="3014" spans="1:7" x14ac:dyDescent="0.3">
      <c r="A3014" t="str">
        <f>IF(ISBLANK(B3014),"",IF(ROUND(B3014,0)=ROUND(G3014,0),"Pass","Fail"))</f>
        <v>Pass</v>
      </c>
      <c r="B3014">
        <f t="shared" si="148"/>
        <v>11.909999847412109</v>
      </c>
      <c r="C3014">
        <v>30</v>
      </c>
      <c r="D3014">
        <v>60</v>
      </c>
      <c r="E3014">
        <v>0</v>
      </c>
      <c r="F3014">
        <v>40</v>
      </c>
      <c r="G3014">
        <v>11.91</v>
      </c>
    </row>
    <row r="3015" spans="1:7" x14ac:dyDescent="0.3">
      <c r="A3015" t="str">
        <f>IF(ISBLANK(B3015),"",IF(ROUND(B3015,0)=ROUND(G3015,0),"Pass","Fail"))</f>
        <v>Pass</v>
      </c>
      <c r="B3015">
        <f t="shared" ref="B3015:B3078" si="149">FMC_heath(C3015,D3015,E3015,F3015)</f>
        <v>11.909999847412109</v>
      </c>
      <c r="C3015">
        <v>30</v>
      </c>
      <c r="D3015">
        <v>60</v>
      </c>
      <c r="E3015">
        <v>0</v>
      </c>
      <c r="F3015">
        <v>48</v>
      </c>
      <c r="G3015">
        <v>11.91</v>
      </c>
    </row>
    <row r="3016" spans="1:7" x14ac:dyDescent="0.3">
      <c r="A3016" t="str">
        <f>IF(ISBLANK(B3016),"",IF(ROUND(B3016,0)=ROUND(G3016,0),"Pass","Fail"))</f>
        <v>Pass</v>
      </c>
      <c r="B3016">
        <f t="shared" si="149"/>
        <v>79.037994384765625</v>
      </c>
      <c r="C3016">
        <v>30</v>
      </c>
      <c r="D3016">
        <v>60</v>
      </c>
      <c r="E3016">
        <v>10</v>
      </c>
      <c r="F3016">
        <v>0</v>
      </c>
      <c r="G3016">
        <v>79.037999999998306</v>
      </c>
    </row>
    <row r="3017" spans="1:7" x14ac:dyDescent="0.3">
      <c r="A3017" t="str">
        <f>IF(ISBLANK(B3017),"",IF(ROUND(B3017,0)=ROUND(G3017,0),"Pass","Fail"))</f>
        <v>Pass</v>
      </c>
      <c r="B3017">
        <f t="shared" si="149"/>
        <v>45.701229095458984</v>
      </c>
      <c r="C3017">
        <v>30</v>
      </c>
      <c r="D3017">
        <v>60</v>
      </c>
      <c r="E3017">
        <v>10</v>
      </c>
      <c r="F3017">
        <v>8</v>
      </c>
      <c r="G3017">
        <v>45.701228080722203</v>
      </c>
    </row>
    <row r="3018" spans="1:7" x14ac:dyDescent="0.3">
      <c r="A3018" t="str">
        <f>IF(ISBLANK(B3018),"",IF(ROUND(B3018,0)=ROUND(G3018,0),"Pass","Fail"))</f>
        <v>Pass</v>
      </c>
      <c r="B3018">
        <f t="shared" si="149"/>
        <v>28.91999626159668</v>
      </c>
      <c r="C3018">
        <v>30</v>
      </c>
      <c r="D3018">
        <v>60</v>
      </c>
      <c r="E3018">
        <v>10</v>
      </c>
      <c r="F3018">
        <v>16</v>
      </c>
      <c r="G3018">
        <v>28.9199972471013</v>
      </c>
    </row>
    <row r="3019" spans="1:7" x14ac:dyDescent="0.3">
      <c r="A3019" t="str">
        <f>IF(ISBLANK(B3019),"",IF(ROUND(B3019,0)=ROUND(G3019,0),"Pass","Fail"))</f>
        <v>Pass</v>
      </c>
      <c r="B3019">
        <f t="shared" si="149"/>
        <v>20.472576141357422</v>
      </c>
      <c r="C3019">
        <v>30</v>
      </c>
      <c r="D3019">
        <v>60</v>
      </c>
      <c r="E3019">
        <v>10</v>
      </c>
      <c r="F3019">
        <v>24</v>
      </c>
      <c r="G3019">
        <v>20.472577413736001</v>
      </c>
    </row>
    <row r="3020" spans="1:7" x14ac:dyDescent="0.3">
      <c r="A3020" t="str">
        <f>IF(ISBLANK(B3020),"",IF(ROUND(B3020,0)=ROUND(G3020,0),"Pass","Fail"))</f>
        <v>Pass</v>
      </c>
      <c r="B3020">
        <f t="shared" si="149"/>
        <v>16.220272064208984</v>
      </c>
      <c r="C3020">
        <v>30</v>
      </c>
      <c r="D3020">
        <v>60</v>
      </c>
      <c r="E3020">
        <v>10</v>
      </c>
      <c r="F3020">
        <v>32</v>
      </c>
      <c r="G3020">
        <v>16.2202730059945</v>
      </c>
    </row>
    <row r="3021" spans="1:7" x14ac:dyDescent="0.3">
      <c r="A3021" t="str">
        <f>IF(ISBLANK(B3021),"",IF(ROUND(B3021,0)=ROUND(G3021,0),"Pass","Fail"))</f>
        <v>Pass</v>
      </c>
      <c r="B3021">
        <f t="shared" si="149"/>
        <v>14.079727172851563</v>
      </c>
      <c r="C3021">
        <v>30</v>
      </c>
      <c r="D3021">
        <v>60</v>
      </c>
      <c r="E3021">
        <v>10</v>
      </c>
      <c r="F3021">
        <v>40</v>
      </c>
      <c r="G3021">
        <v>14.079726764327001</v>
      </c>
    </row>
    <row r="3022" spans="1:7" x14ac:dyDescent="0.3">
      <c r="A3022" t="str">
        <f>IF(ISBLANK(B3022),"",IF(ROUND(B3022,0)=ROUND(G3022,0),"Pass","Fail"))</f>
        <v>Pass</v>
      </c>
      <c r="B3022">
        <f t="shared" si="149"/>
        <v>13.00220775604248</v>
      </c>
      <c r="C3022">
        <v>30</v>
      </c>
      <c r="D3022">
        <v>60</v>
      </c>
      <c r="E3022">
        <v>10</v>
      </c>
      <c r="F3022">
        <v>48</v>
      </c>
      <c r="G3022">
        <v>13.0022079008197</v>
      </c>
    </row>
    <row r="3023" spans="1:7" x14ac:dyDescent="0.3">
      <c r="A3023" t="str">
        <f>IF(ISBLANK(B3023),"",IF(ROUND(B3023,0)=ROUND(G3023,0),"Pass","Fail"))</f>
        <v>Pass</v>
      </c>
      <c r="B3023">
        <f t="shared" si="149"/>
        <v>79.037994384765625</v>
      </c>
      <c r="C3023">
        <v>30</v>
      </c>
      <c r="D3023">
        <v>60</v>
      </c>
      <c r="E3023">
        <v>20</v>
      </c>
      <c r="F3023">
        <v>0</v>
      </c>
      <c r="G3023">
        <v>79.037999999999997</v>
      </c>
    </row>
    <row r="3024" spans="1:7" x14ac:dyDescent="0.3">
      <c r="A3024" t="str">
        <f>IF(ISBLANK(B3024),"",IF(ROUND(B3024,0)=ROUND(G3024,0),"Pass","Fail"))</f>
        <v>Pass</v>
      </c>
      <c r="B3024">
        <f t="shared" si="149"/>
        <v>45.701229095458984</v>
      </c>
      <c r="C3024">
        <v>30</v>
      </c>
      <c r="D3024">
        <v>60</v>
      </c>
      <c r="E3024">
        <v>20</v>
      </c>
      <c r="F3024">
        <v>8</v>
      </c>
      <c r="G3024">
        <v>45.701228080723098</v>
      </c>
    </row>
    <row r="3025" spans="1:7" x14ac:dyDescent="0.3">
      <c r="A3025" t="str">
        <f>IF(ISBLANK(B3025),"",IF(ROUND(B3025,0)=ROUND(G3025,0),"Pass","Fail"))</f>
        <v>Pass</v>
      </c>
      <c r="B3025">
        <f t="shared" si="149"/>
        <v>28.91999626159668</v>
      </c>
      <c r="C3025">
        <v>30</v>
      </c>
      <c r="D3025">
        <v>60</v>
      </c>
      <c r="E3025">
        <v>20</v>
      </c>
      <c r="F3025">
        <v>16</v>
      </c>
      <c r="G3025">
        <v>28.919997247101701</v>
      </c>
    </row>
    <row r="3026" spans="1:7" x14ac:dyDescent="0.3">
      <c r="A3026" t="str">
        <f>IF(ISBLANK(B3026),"",IF(ROUND(B3026,0)=ROUND(G3026,0),"Pass","Fail"))</f>
        <v>Pass</v>
      </c>
      <c r="B3026">
        <f t="shared" si="149"/>
        <v>20.472576141357422</v>
      </c>
      <c r="C3026">
        <v>30</v>
      </c>
      <c r="D3026">
        <v>60</v>
      </c>
      <c r="E3026">
        <v>20</v>
      </c>
      <c r="F3026">
        <v>24</v>
      </c>
      <c r="G3026">
        <v>20.4725774137362</v>
      </c>
    </row>
    <row r="3027" spans="1:7" x14ac:dyDescent="0.3">
      <c r="A3027" t="str">
        <f>IF(ISBLANK(B3027),"",IF(ROUND(B3027,0)=ROUND(G3027,0),"Pass","Fail"))</f>
        <v>Pass</v>
      </c>
      <c r="B3027">
        <f t="shared" si="149"/>
        <v>16.220272064208984</v>
      </c>
      <c r="C3027">
        <v>30</v>
      </c>
      <c r="D3027">
        <v>60</v>
      </c>
      <c r="E3027">
        <v>20</v>
      </c>
      <c r="F3027">
        <v>32</v>
      </c>
      <c r="G3027">
        <v>16.220273005994599</v>
      </c>
    </row>
    <row r="3028" spans="1:7" x14ac:dyDescent="0.3">
      <c r="A3028" t="str">
        <f>IF(ISBLANK(B3028),"",IF(ROUND(B3028,0)=ROUND(G3028,0),"Pass","Fail"))</f>
        <v>Pass</v>
      </c>
      <c r="B3028">
        <f t="shared" si="149"/>
        <v>14.079727172851563</v>
      </c>
      <c r="C3028">
        <v>30</v>
      </c>
      <c r="D3028">
        <v>60</v>
      </c>
      <c r="E3028">
        <v>20</v>
      </c>
      <c r="F3028">
        <v>40</v>
      </c>
      <c r="G3028">
        <v>14.0797267643271</v>
      </c>
    </row>
    <row r="3029" spans="1:7" x14ac:dyDescent="0.3">
      <c r="A3029" t="str">
        <f>IF(ISBLANK(B3029),"",IF(ROUND(B3029,0)=ROUND(G3029,0),"Pass","Fail"))</f>
        <v>Pass</v>
      </c>
      <c r="B3029">
        <f t="shared" si="149"/>
        <v>13.00220775604248</v>
      </c>
      <c r="C3029">
        <v>30</v>
      </c>
      <c r="D3029">
        <v>60</v>
      </c>
      <c r="E3029">
        <v>20</v>
      </c>
      <c r="F3029">
        <v>48</v>
      </c>
      <c r="G3029">
        <v>13.0022079008197</v>
      </c>
    </row>
    <row r="3030" spans="1:7" x14ac:dyDescent="0.3">
      <c r="A3030" t="str">
        <f>IF(ISBLANK(B3030),"",IF(ROUND(B3030,0)=ROUND(G3030,0),"Pass","Fail"))</f>
        <v>Pass</v>
      </c>
      <c r="B3030">
        <f t="shared" si="149"/>
        <v>79.037994384765625</v>
      </c>
      <c r="C3030">
        <v>30</v>
      </c>
      <c r="D3030">
        <v>60</v>
      </c>
      <c r="E3030">
        <v>30</v>
      </c>
      <c r="F3030">
        <v>0</v>
      </c>
      <c r="G3030">
        <v>79.037999999999997</v>
      </c>
    </row>
    <row r="3031" spans="1:7" x14ac:dyDescent="0.3">
      <c r="A3031" t="str">
        <f>IF(ISBLANK(B3031),"",IF(ROUND(B3031,0)=ROUND(G3031,0),"Pass","Fail"))</f>
        <v>Pass</v>
      </c>
      <c r="B3031">
        <f t="shared" si="149"/>
        <v>45.701229095458984</v>
      </c>
      <c r="C3031">
        <v>30</v>
      </c>
      <c r="D3031">
        <v>60</v>
      </c>
      <c r="E3031">
        <v>30</v>
      </c>
      <c r="F3031">
        <v>8</v>
      </c>
      <c r="G3031">
        <v>45.701228080723098</v>
      </c>
    </row>
    <row r="3032" spans="1:7" x14ac:dyDescent="0.3">
      <c r="A3032" t="str">
        <f>IF(ISBLANK(B3032),"",IF(ROUND(B3032,0)=ROUND(G3032,0),"Pass","Fail"))</f>
        <v>Pass</v>
      </c>
      <c r="B3032">
        <f t="shared" si="149"/>
        <v>28.91999626159668</v>
      </c>
      <c r="C3032">
        <v>30</v>
      </c>
      <c r="D3032">
        <v>60</v>
      </c>
      <c r="E3032">
        <v>30</v>
      </c>
      <c r="F3032">
        <v>16</v>
      </c>
      <c r="G3032">
        <v>28.919997247101701</v>
      </c>
    </row>
    <row r="3033" spans="1:7" x14ac:dyDescent="0.3">
      <c r="A3033" t="str">
        <f>IF(ISBLANK(B3033),"",IF(ROUND(B3033,0)=ROUND(G3033,0),"Pass","Fail"))</f>
        <v>Pass</v>
      </c>
      <c r="B3033">
        <f t="shared" si="149"/>
        <v>20.472576141357422</v>
      </c>
      <c r="C3033">
        <v>30</v>
      </c>
      <c r="D3033">
        <v>60</v>
      </c>
      <c r="E3033">
        <v>30</v>
      </c>
      <c r="F3033">
        <v>24</v>
      </c>
      <c r="G3033">
        <v>20.4725774137362</v>
      </c>
    </row>
    <row r="3034" spans="1:7" x14ac:dyDescent="0.3">
      <c r="A3034" t="str">
        <f>IF(ISBLANK(B3034),"",IF(ROUND(B3034,0)=ROUND(G3034,0),"Pass","Fail"))</f>
        <v>Pass</v>
      </c>
      <c r="B3034">
        <f t="shared" si="149"/>
        <v>16.220272064208984</v>
      </c>
      <c r="C3034">
        <v>30</v>
      </c>
      <c r="D3034">
        <v>60</v>
      </c>
      <c r="E3034">
        <v>30</v>
      </c>
      <c r="F3034">
        <v>32</v>
      </c>
      <c r="G3034">
        <v>16.220273005994599</v>
      </c>
    </row>
    <row r="3035" spans="1:7" x14ac:dyDescent="0.3">
      <c r="A3035" t="str">
        <f>IF(ISBLANK(B3035),"",IF(ROUND(B3035,0)=ROUND(G3035,0),"Pass","Fail"))</f>
        <v>Pass</v>
      </c>
      <c r="B3035">
        <f t="shared" si="149"/>
        <v>14.079727172851563</v>
      </c>
      <c r="C3035">
        <v>30</v>
      </c>
      <c r="D3035">
        <v>60</v>
      </c>
      <c r="E3035">
        <v>30</v>
      </c>
      <c r="F3035">
        <v>40</v>
      </c>
      <c r="G3035">
        <v>14.0797267643271</v>
      </c>
    </row>
    <row r="3036" spans="1:7" x14ac:dyDescent="0.3">
      <c r="A3036" t="str">
        <f>IF(ISBLANK(B3036),"",IF(ROUND(B3036,0)=ROUND(G3036,0),"Pass","Fail"))</f>
        <v>Pass</v>
      </c>
      <c r="B3036">
        <f t="shared" si="149"/>
        <v>13.00220775604248</v>
      </c>
      <c r="C3036">
        <v>30</v>
      </c>
      <c r="D3036">
        <v>60</v>
      </c>
      <c r="E3036">
        <v>30</v>
      </c>
      <c r="F3036">
        <v>48</v>
      </c>
      <c r="G3036">
        <v>13.0022079008197</v>
      </c>
    </row>
    <row r="3037" spans="1:7" x14ac:dyDescent="0.3">
      <c r="A3037" t="str">
        <f>IF(ISBLANK(B3037),"",IF(ROUND(B3037,0)=ROUND(G3037,0),"Pass","Fail"))</f>
        <v>Pass</v>
      </c>
      <c r="B3037">
        <f t="shared" si="149"/>
        <v>79.037994384765625</v>
      </c>
      <c r="C3037">
        <v>30</v>
      </c>
      <c r="D3037">
        <v>60</v>
      </c>
      <c r="E3037">
        <v>40</v>
      </c>
      <c r="F3037">
        <v>0</v>
      </c>
      <c r="G3037">
        <v>79.037999999999997</v>
      </c>
    </row>
    <row r="3038" spans="1:7" x14ac:dyDescent="0.3">
      <c r="A3038" t="str">
        <f>IF(ISBLANK(B3038),"",IF(ROUND(B3038,0)=ROUND(G3038,0),"Pass","Fail"))</f>
        <v>Pass</v>
      </c>
      <c r="B3038">
        <f t="shared" si="149"/>
        <v>45.701229095458984</v>
      </c>
      <c r="C3038">
        <v>30</v>
      </c>
      <c r="D3038">
        <v>60</v>
      </c>
      <c r="E3038">
        <v>40</v>
      </c>
      <c r="F3038">
        <v>8</v>
      </c>
      <c r="G3038">
        <v>45.701228080723098</v>
      </c>
    </row>
    <row r="3039" spans="1:7" x14ac:dyDescent="0.3">
      <c r="A3039" t="str">
        <f>IF(ISBLANK(B3039),"",IF(ROUND(B3039,0)=ROUND(G3039,0),"Pass","Fail"))</f>
        <v>Pass</v>
      </c>
      <c r="B3039">
        <f t="shared" si="149"/>
        <v>28.91999626159668</v>
      </c>
      <c r="C3039">
        <v>30</v>
      </c>
      <c r="D3039">
        <v>60</v>
      </c>
      <c r="E3039">
        <v>40</v>
      </c>
      <c r="F3039">
        <v>16</v>
      </c>
      <c r="G3039">
        <v>28.919997247101701</v>
      </c>
    </row>
    <row r="3040" spans="1:7" x14ac:dyDescent="0.3">
      <c r="A3040" t="str">
        <f>IF(ISBLANK(B3040),"",IF(ROUND(B3040,0)=ROUND(G3040,0),"Pass","Fail"))</f>
        <v>Pass</v>
      </c>
      <c r="B3040">
        <f t="shared" si="149"/>
        <v>20.472576141357422</v>
      </c>
      <c r="C3040">
        <v>30</v>
      </c>
      <c r="D3040">
        <v>60</v>
      </c>
      <c r="E3040">
        <v>40</v>
      </c>
      <c r="F3040">
        <v>24</v>
      </c>
      <c r="G3040">
        <v>20.4725774137362</v>
      </c>
    </row>
    <row r="3041" spans="1:7" x14ac:dyDescent="0.3">
      <c r="A3041" t="str">
        <f>IF(ISBLANK(B3041),"",IF(ROUND(B3041,0)=ROUND(G3041,0),"Pass","Fail"))</f>
        <v>Pass</v>
      </c>
      <c r="B3041">
        <f t="shared" si="149"/>
        <v>16.220272064208984</v>
      </c>
      <c r="C3041">
        <v>30</v>
      </c>
      <c r="D3041">
        <v>60</v>
      </c>
      <c r="E3041">
        <v>40</v>
      </c>
      <c r="F3041">
        <v>32</v>
      </c>
      <c r="G3041">
        <v>16.220273005994599</v>
      </c>
    </row>
    <row r="3042" spans="1:7" x14ac:dyDescent="0.3">
      <c r="A3042" t="str">
        <f>IF(ISBLANK(B3042),"",IF(ROUND(B3042,0)=ROUND(G3042,0),"Pass","Fail"))</f>
        <v>Pass</v>
      </c>
      <c r="B3042">
        <f t="shared" si="149"/>
        <v>14.079727172851563</v>
      </c>
      <c r="C3042">
        <v>30</v>
      </c>
      <c r="D3042">
        <v>60</v>
      </c>
      <c r="E3042">
        <v>40</v>
      </c>
      <c r="F3042">
        <v>40</v>
      </c>
      <c r="G3042">
        <v>14.0797267643271</v>
      </c>
    </row>
    <row r="3043" spans="1:7" x14ac:dyDescent="0.3">
      <c r="A3043" t="str">
        <f>IF(ISBLANK(B3043),"",IF(ROUND(B3043,0)=ROUND(G3043,0),"Pass","Fail"))</f>
        <v>Pass</v>
      </c>
      <c r="B3043">
        <f t="shared" si="149"/>
        <v>13.00220775604248</v>
      </c>
      <c r="C3043">
        <v>30</v>
      </c>
      <c r="D3043">
        <v>60</v>
      </c>
      <c r="E3043">
        <v>40</v>
      </c>
      <c r="F3043">
        <v>48</v>
      </c>
      <c r="G3043">
        <v>13.0022079008197</v>
      </c>
    </row>
    <row r="3044" spans="1:7" x14ac:dyDescent="0.3">
      <c r="A3044" t="str">
        <f>IF(ISBLANK(B3044),"",IF(ROUND(B3044,0)=ROUND(G3044,0),"Pass","Fail"))</f>
        <v>Pass</v>
      </c>
      <c r="B3044">
        <f t="shared" si="149"/>
        <v>79.037994384765625</v>
      </c>
      <c r="C3044">
        <v>30</v>
      </c>
      <c r="D3044">
        <v>60</v>
      </c>
      <c r="E3044">
        <v>50</v>
      </c>
      <c r="F3044">
        <v>0</v>
      </c>
      <c r="G3044">
        <v>79.037999999999997</v>
      </c>
    </row>
    <row r="3045" spans="1:7" x14ac:dyDescent="0.3">
      <c r="A3045" t="str">
        <f>IF(ISBLANK(B3045),"",IF(ROUND(B3045,0)=ROUND(G3045,0),"Pass","Fail"))</f>
        <v>Pass</v>
      </c>
      <c r="B3045">
        <f t="shared" si="149"/>
        <v>45.701229095458984</v>
      </c>
      <c r="C3045">
        <v>30</v>
      </c>
      <c r="D3045">
        <v>60</v>
      </c>
      <c r="E3045">
        <v>50</v>
      </c>
      <c r="F3045">
        <v>8</v>
      </c>
      <c r="G3045">
        <v>45.701228080723098</v>
      </c>
    </row>
    <row r="3046" spans="1:7" x14ac:dyDescent="0.3">
      <c r="A3046" t="str">
        <f>IF(ISBLANK(B3046),"",IF(ROUND(B3046,0)=ROUND(G3046,0),"Pass","Fail"))</f>
        <v>Pass</v>
      </c>
      <c r="B3046">
        <f t="shared" si="149"/>
        <v>28.91999626159668</v>
      </c>
      <c r="C3046">
        <v>30</v>
      </c>
      <c r="D3046">
        <v>60</v>
      </c>
      <c r="E3046">
        <v>50</v>
      </c>
      <c r="F3046">
        <v>16</v>
      </c>
      <c r="G3046">
        <v>28.919997247101701</v>
      </c>
    </row>
    <row r="3047" spans="1:7" x14ac:dyDescent="0.3">
      <c r="A3047" t="str">
        <f>IF(ISBLANK(B3047),"",IF(ROUND(B3047,0)=ROUND(G3047,0),"Pass","Fail"))</f>
        <v>Pass</v>
      </c>
      <c r="B3047">
        <f t="shared" si="149"/>
        <v>20.472576141357422</v>
      </c>
      <c r="C3047">
        <v>30</v>
      </c>
      <c r="D3047">
        <v>60</v>
      </c>
      <c r="E3047">
        <v>50</v>
      </c>
      <c r="F3047">
        <v>24</v>
      </c>
      <c r="G3047">
        <v>20.4725774137362</v>
      </c>
    </row>
    <row r="3048" spans="1:7" x14ac:dyDescent="0.3">
      <c r="A3048" t="str">
        <f>IF(ISBLANK(B3048),"",IF(ROUND(B3048,0)=ROUND(G3048,0),"Pass","Fail"))</f>
        <v>Pass</v>
      </c>
      <c r="B3048">
        <f t="shared" si="149"/>
        <v>16.220272064208984</v>
      </c>
      <c r="C3048">
        <v>30</v>
      </c>
      <c r="D3048">
        <v>60</v>
      </c>
      <c r="E3048">
        <v>50</v>
      </c>
      <c r="F3048">
        <v>32</v>
      </c>
      <c r="G3048">
        <v>16.220273005994599</v>
      </c>
    </row>
    <row r="3049" spans="1:7" x14ac:dyDescent="0.3">
      <c r="A3049" t="str">
        <f>IF(ISBLANK(B3049),"",IF(ROUND(B3049,0)=ROUND(G3049,0),"Pass","Fail"))</f>
        <v>Pass</v>
      </c>
      <c r="B3049">
        <f t="shared" si="149"/>
        <v>14.079727172851563</v>
      </c>
      <c r="C3049">
        <v>30</v>
      </c>
      <c r="D3049">
        <v>60</v>
      </c>
      <c r="E3049">
        <v>50</v>
      </c>
      <c r="F3049">
        <v>40</v>
      </c>
      <c r="G3049">
        <v>14.0797267643271</v>
      </c>
    </row>
    <row r="3050" spans="1:7" x14ac:dyDescent="0.3">
      <c r="A3050" t="str">
        <f>IF(ISBLANK(B3050),"",IF(ROUND(B3050,0)=ROUND(G3050,0),"Pass","Fail"))</f>
        <v>Pass</v>
      </c>
      <c r="B3050">
        <f t="shared" si="149"/>
        <v>13.00220775604248</v>
      </c>
      <c r="C3050">
        <v>30</v>
      </c>
      <c r="D3050">
        <v>60</v>
      </c>
      <c r="E3050">
        <v>50</v>
      </c>
      <c r="F3050">
        <v>48</v>
      </c>
      <c r="G3050">
        <v>13.0022079008197</v>
      </c>
    </row>
    <row r="3051" spans="1:7" x14ac:dyDescent="0.3">
      <c r="A3051" t="str">
        <f>IF(ISBLANK(B3051),"",IF(ROUND(B3051,0)=ROUND(G3051,0),"Pass","Fail"))</f>
        <v>Pass</v>
      </c>
      <c r="B3051">
        <f t="shared" si="149"/>
        <v>79.037994384765625</v>
      </c>
      <c r="C3051">
        <v>30</v>
      </c>
      <c r="D3051">
        <v>60</v>
      </c>
      <c r="E3051">
        <v>60</v>
      </c>
      <c r="F3051">
        <v>0</v>
      </c>
      <c r="G3051">
        <v>79.037999999999997</v>
      </c>
    </row>
    <row r="3052" spans="1:7" x14ac:dyDescent="0.3">
      <c r="A3052" t="str">
        <f>IF(ISBLANK(B3052),"",IF(ROUND(B3052,0)=ROUND(G3052,0),"Pass","Fail"))</f>
        <v>Pass</v>
      </c>
      <c r="B3052">
        <f t="shared" si="149"/>
        <v>45.701229095458984</v>
      </c>
      <c r="C3052">
        <v>30</v>
      </c>
      <c r="D3052">
        <v>60</v>
      </c>
      <c r="E3052">
        <v>60</v>
      </c>
      <c r="F3052">
        <v>8</v>
      </c>
      <c r="G3052">
        <v>45.701228080723098</v>
      </c>
    </row>
    <row r="3053" spans="1:7" x14ac:dyDescent="0.3">
      <c r="A3053" t="str">
        <f>IF(ISBLANK(B3053),"",IF(ROUND(B3053,0)=ROUND(G3053,0),"Pass","Fail"))</f>
        <v>Pass</v>
      </c>
      <c r="B3053">
        <f t="shared" si="149"/>
        <v>28.91999626159668</v>
      </c>
      <c r="C3053">
        <v>30</v>
      </c>
      <c r="D3053">
        <v>60</v>
      </c>
      <c r="E3053">
        <v>60</v>
      </c>
      <c r="F3053">
        <v>16</v>
      </c>
      <c r="G3053">
        <v>28.919997247101701</v>
      </c>
    </row>
    <row r="3054" spans="1:7" x14ac:dyDescent="0.3">
      <c r="A3054" t="str">
        <f>IF(ISBLANK(B3054),"",IF(ROUND(B3054,0)=ROUND(G3054,0),"Pass","Fail"))</f>
        <v>Pass</v>
      </c>
      <c r="B3054">
        <f t="shared" si="149"/>
        <v>20.472576141357422</v>
      </c>
      <c r="C3054">
        <v>30</v>
      </c>
      <c r="D3054">
        <v>60</v>
      </c>
      <c r="E3054">
        <v>60</v>
      </c>
      <c r="F3054">
        <v>24</v>
      </c>
      <c r="G3054">
        <v>20.4725774137362</v>
      </c>
    </row>
    <row r="3055" spans="1:7" x14ac:dyDescent="0.3">
      <c r="A3055" t="str">
        <f>IF(ISBLANK(B3055),"",IF(ROUND(B3055,0)=ROUND(G3055,0),"Pass","Fail"))</f>
        <v>Pass</v>
      </c>
      <c r="B3055">
        <f t="shared" si="149"/>
        <v>16.220272064208984</v>
      </c>
      <c r="C3055">
        <v>30</v>
      </c>
      <c r="D3055">
        <v>60</v>
      </c>
      <c r="E3055">
        <v>60</v>
      </c>
      <c r="F3055">
        <v>32</v>
      </c>
      <c r="G3055">
        <v>16.220273005994599</v>
      </c>
    </row>
    <row r="3056" spans="1:7" x14ac:dyDescent="0.3">
      <c r="A3056" t="str">
        <f>IF(ISBLANK(B3056),"",IF(ROUND(B3056,0)=ROUND(G3056,0),"Pass","Fail"))</f>
        <v>Pass</v>
      </c>
      <c r="B3056">
        <f t="shared" si="149"/>
        <v>14.079727172851563</v>
      </c>
      <c r="C3056">
        <v>30</v>
      </c>
      <c r="D3056">
        <v>60</v>
      </c>
      <c r="E3056">
        <v>60</v>
      </c>
      <c r="F3056">
        <v>40</v>
      </c>
      <c r="G3056">
        <v>14.0797267643271</v>
      </c>
    </row>
    <row r="3057" spans="1:7" x14ac:dyDescent="0.3">
      <c r="A3057" t="str">
        <f>IF(ISBLANK(B3057),"",IF(ROUND(B3057,0)=ROUND(G3057,0),"Pass","Fail"))</f>
        <v>Pass</v>
      </c>
      <c r="B3057">
        <f t="shared" si="149"/>
        <v>13.00220775604248</v>
      </c>
      <c r="C3057">
        <v>30</v>
      </c>
      <c r="D3057">
        <v>60</v>
      </c>
      <c r="E3057">
        <v>60</v>
      </c>
      <c r="F3057">
        <v>48</v>
      </c>
      <c r="G3057">
        <v>13.0022079008197</v>
      </c>
    </row>
    <row r="3058" spans="1:7" x14ac:dyDescent="0.3">
      <c r="A3058" t="str">
        <f>IF(ISBLANK(B3058),"",IF(ROUND(B3058,0)=ROUND(G3058,0),"Pass","Fail"))</f>
        <v>Pass</v>
      </c>
      <c r="B3058">
        <f t="shared" si="149"/>
        <v>79.037994384765625</v>
      </c>
      <c r="C3058">
        <v>30</v>
      </c>
      <c r="D3058">
        <v>60</v>
      </c>
      <c r="E3058">
        <v>70</v>
      </c>
      <c r="F3058">
        <v>0</v>
      </c>
      <c r="G3058">
        <v>79.037999999999997</v>
      </c>
    </row>
    <row r="3059" spans="1:7" x14ac:dyDescent="0.3">
      <c r="A3059" t="str">
        <f>IF(ISBLANK(B3059),"",IF(ROUND(B3059,0)=ROUND(G3059,0),"Pass","Fail"))</f>
        <v>Pass</v>
      </c>
      <c r="B3059">
        <f t="shared" si="149"/>
        <v>45.701229095458984</v>
      </c>
      <c r="C3059">
        <v>30</v>
      </c>
      <c r="D3059">
        <v>60</v>
      </c>
      <c r="E3059">
        <v>70</v>
      </c>
      <c r="F3059">
        <v>8</v>
      </c>
      <c r="G3059">
        <v>45.701228080723098</v>
      </c>
    </row>
    <row r="3060" spans="1:7" x14ac:dyDescent="0.3">
      <c r="A3060" t="str">
        <f>IF(ISBLANK(B3060),"",IF(ROUND(B3060,0)=ROUND(G3060,0),"Pass","Fail"))</f>
        <v>Pass</v>
      </c>
      <c r="B3060">
        <f t="shared" si="149"/>
        <v>28.91999626159668</v>
      </c>
      <c r="C3060">
        <v>30</v>
      </c>
      <c r="D3060">
        <v>60</v>
      </c>
      <c r="E3060">
        <v>70</v>
      </c>
      <c r="F3060">
        <v>16</v>
      </c>
      <c r="G3060">
        <v>28.919997247101701</v>
      </c>
    </row>
    <row r="3061" spans="1:7" x14ac:dyDescent="0.3">
      <c r="A3061" t="str">
        <f>IF(ISBLANK(B3061),"",IF(ROUND(B3061,0)=ROUND(G3061,0),"Pass","Fail"))</f>
        <v>Pass</v>
      </c>
      <c r="B3061">
        <f t="shared" si="149"/>
        <v>20.472576141357422</v>
      </c>
      <c r="C3061">
        <v>30</v>
      </c>
      <c r="D3061">
        <v>60</v>
      </c>
      <c r="E3061">
        <v>70</v>
      </c>
      <c r="F3061">
        <v>24</v>
      </c>
      <c r="G3061">
        <v>20.4725774137362</v>
      </c>
    </row>
    <row r="3062" spans="1:7" x14ac:dyDescent="0.3">
      <c r="A3062" t="str">
        <f>IF(ISBLANK(B3062),"",IF(ROUND(B3062,0)=ROUND(G3062,0),"Pass","Fail"))</f>
        <v>Pass</v>
      </c>
      <c r="B3062">
        <f t="shared" si="149"/>
        <v>16.220272064208984</v>
      </c>
      <c r="C3062">
        <v>30</v>
      </c>
      <c r="D3062">
        <v>60</v>
      </c>
      <c r="E3062">
        <v>70</v>
      </c>
      <c r="F3062">
        <v>32</v>
      </c>
      <c r="G3062">
        <v>16.220273005994599</v>
      </c>
    </row>
    <row r="3063" spans="1:7" x14ac:dyDescent="0.3">
      <c r="A3063" t="str">
        <f>IF(ISBLANK(B3063),"",IF(ROUND(B3063,0)=ROUND(G3063,0),"Pass","Fail"))</f>
        <v>Pass</v>
      </c>
      <c r="B3063">
        <f t="shared" si="149"/>
        <v>14.079727172851563</v>
      </c>
      <c r="C3063">
        <v>30</v>
      </c>
      <c r="D3063">
        <v>60</v>
      </c>
      <c r="E3063">
        <v>70</v>
      </c>
      <c r="F3063">
        <v>40</v>
      </c>
      <c r="G3063">
        <v>14.0797267643271</v>
      </c>
    </row>
    <row r="3064" spans="1:7" x14ac:dyDescent="0.3">
      <c r="A3064" t="str">
        <f>IF(ISBLANK(B3064),"",IF(ROUND(B3064,0)=ROUND(G3064,0),"Pass","Fail"))</f>
        <v>Pass</v>
      </c>
      <c r="B3064">
        <f t="shared" si="149"/>
        <v>13.00220775604248</v>
      </c>
      <c r="C3064">
        <v>30</v>
      </c>
      <c r="D3064">
        <v>60</v>
      </c>
      <c r="E3064">
        <v>70</v>
      </c>
      <c r="F3064">
        <v>48</v>
      </c>
      <c r="G3064">
        <v>13.0022079008197</v>
      </c>
    </row>
    <row r="3065" spans="1:7" x14ac:dyDescent="0.3">
      <c r="A3065" t="str">
        <f>IF(ISBLANK(B3065),"",IF(ROUND(B3065,0)=ROUND(G3065,0),"Pass","Fail"))</f>
        <v>Pass</v>
      </c>
      <c r="B3065">
        <f t="shared" si="149"/>
        <v>79.037994384765625</v>
      </c>
      <c r="C3065">
        <v>30</v>
      </c>
      <c r="D3065">
        <v>60</v>
      </c>
      <c r="E3065">
        <v>80</v>
      </c>
      <c r="F3065">
        <v>0</v>
      </c>
      <c r="G3065">
        <v>79.037999999999997</v>
      </c>
    </row>
    <row r="3066" spans="1:7" x14ac:dyDescent="0.3">
      <c r="A3066" t="str">
        <f>IF(ISBLANK(B3066),"",IF(ROUND(B3066,0)=ROUND(G3066,0),"Pass","Fail"))</f>
        <v>Pass</v>
      </c>
      <c r="B3066">
        <f t="shared" si="149"/>
        <v>45.701229095458984</v>
      </c>
      <c r="C3066">
        <v>30</v>
      </c>
      <c r="D3066">
        <v>60</v>
      </c>
      <c r="E3066">
        <v>80</v>
      </c>
      <c r="F3066">
        <v>8</v>
      </c>
      <c r="G3066">
        <v>45.701228080723098</v>
      </c>
    </row>
    <row r="3067" spans="1:7" x14ac:dyDescent="0.3">
      <c r="A3067" t="str">
        <f>IF(ISBLANK(B3067),"",IF(ROUND(B3067,0)=ROUND(G3067,0),"Pass","Fail"))</f>
        <v>Pass</v>
      </c>
      <c r="B3067">
        <f t="shared" si="149"/>
        <v>28.91999626159668</v>
      </c>
      <c r="C3067">
        <v>30</v>
      </c>
      <c r="D3067">
        <v>60</v>
      </c>
      <c r="E3067">
        <v>80</v>
      </c>
      <c r="F3067">
        <v>16</v>
      </c>
      <c r="G3067">
        <v>28.919997247101701</v>
      </c>
    </row>
    <row r="3068" spans="1:7" x14ac:dyDescent="0.3">
      <c r="A3068" t="str">
        <f>IF(ISBLANK(B3068),"",IF(ROUND(B3068,0)=ROUND(G3068,0),"Pass","Fail"))</f>
        <v>Pass</v>
      </c>
      <c r="B3068">
        <f t="shared" si="149"/>
        <v>20.472576141357422</v>
      </c>
      <c r="C3068">
        <v>30</v>
      </c>
      <c r="D3068">
        <v>60</v>
      </c>
      <c r="E3068">
        <v>80</v>
      </c>
      <c r="F3068">
        <v>24</v>
      </c>
      <c r="G3068">
        <v>20.4725774137362</v>
      </c>
    </row>
    <row r="3069" spans="1:7" x14ac:dyDescent="0.3">
      <c r="A3069" t="str">
        <f>IF(ISBLANK(B3069),"",IF(ROUND(B3069,0)=ROUND(G3069,0),"Pass","Fail"))</f>
        <v>Pass</v>
      </c>
      <c r="B3069">
        <f t="shared" si="149"/>
        <v>16.220272064208984</v>
      </c>
      <c r="C3069">
        <v>30</v>
      </c>
      <c r="D3069">
        <v>60</v>
      </c>
      <c r="E3069">
        <v>80</v>
      </c>
      <c r="F3069">
        <v>32</v>
      </c>
      <c r="G3069">
        <v>16.220273005994599</v>
      </c>
    </row>
    <row r="3070" spans="1:7" x14ac:dyDescent="0.3">
      <c r="A3070" t="str">
        <f>IF(ISBLANK(B3070),"",IF(ROUND(B3070,0)=ROUND(G3070,0),"Pass","Fail"))</f>
        <v>Pass</v>
      </c>
      <c r="B3070">
        <f t="shared" si="149"/>
        <v>14.079727172851563</v>
      </c>
      <c r="C3070">
        <v>30</v>
      </c>
      <c r="D3070">
        <v>60</v>
      </c>
      <c r="E3070">
        <v>80</v>
      </c>
      <c r="F3070">
        <v>40</v>
      </c>
      <c r="G3070">
        <v>14.0797267643271</v>
      </c>
    </row>
    <row r="3071" spans="1:7" x14ac:dyDescent="0.3">
      <c r="A3071" t="str">
        <f>IF(ISBLANK(B3071),"",IF(ROUND(B3071,0)=ROUND(G3071,0),"Pass","Fail"))</f>
        <v>Pass</v>
      </c>
      <c r="B3071">
        <f t="shared" si="149"/>
        <v>13.00220775604248</v>
      </c>
      <c r="C3071">
        <v>30</v>
      </c>
      <c r="D3071">
        <v>60</v>
      </c>
      <c r="E3071">
        <v>80</v>
      </c>
      <c r="F3071">
        <v>48</v>
      </c>
      <c r="G3071">
        <v>13.0022079008197</v>
      </c>
    </row>
    <row r="3072" spans="1:7" x14ac:dyDescent="0.3">
      <c r="A3072" t="str">
        <f>IF(ISBLANK(B3072),"",IF(ROUND(B3072,0)=ROUND(G3072,0),"Pass","Fail"))</f>
        <v>Pass</v>
      </c>
      <c r="B3072">
        <f t="shared" si="149"/>
        <v>79.037994384765625</v>
      </c>
      <c r="C3072">
        <v>30</v>
      </c>
      <c r="D3072">
        <v>60</v>
      </c>
      <c r="E3072">
        <v>90</v>
      </c>
      <c r="F3072">
        <v>0</v>
      </c>
      <c r="G3072">
        <v>79.037999999999997</v>
      </c>
    </row>
    <row r="3073" spans="1:7" x14ac:dyDescent="0.3">
      <c r="A3073" t="str">
        <f>IF(ISBLANK(B3073),"",IF(ROUND(B3073,0)=ROUND(G3073,0),"Pass","Fail"))</f>
        <v>Pass</v>
      </c>
      <c r="B3073">
        <f t="shared" si="149"/>
        <v>45.701229095458984</v>
      </c>
      <c r="C3073">
        <v>30</v>
      </c>
      <c r="D3073">
        <v>60</v>
      </c>
      <c r="E3073">
        <v>90</v>
      </c>
      <c r="F3073">
        <v>8</v>
      </c>
      <c r="G3073">
        <v>45.701228080723098</v>
      </c>
    </row>
    <row r="3074" spans="1:7" x14ac:dyDescent="0.3">
      <c r="A3074" t="str">
        <f>IF(ISBLANK(B3074),"",IF(ROUND(B3074,0)=ROUND(G3074,0),"Pass","Fail"))</f>
        <v>Pass</v>
      </c>
      <c r="B3074">
        <f t="shared" si="149"/>
        <v>28.91999626159668</v>
      </c>
      <c r="C3074">
        <v>30</v>
      </c>
      <c r="D3074">
        <v>60</v>
      </c>
      <c r="E3074">
        <v>90</v>
      </c>
      <c r="F3074">
        <v>16</v>
      </c>
      <c r="G3074">
        <v>28.919997247101701</v>
      </c>
    </row>
    <row r="3075" spans="1:7" x14ac:dyDescent="0.3">
      <c r="A3075" t="str">
        <f>IF(ISBLANK(B3075),"",IF(ROUND(B3075,0)=ROUND(G3075,0),"Pass","Fail"))</f>
        <v>Pass</v>
      </c>
      <c r="B3075">
        <f t="shared" si="149"/>
        <v>20.472576141357422</v>
      </c>
      <c r="C3075">
        <v>30</v>
      </c>
      <c r="D3075">
        <v>60</v>
      </c>
      <c r="E3075">
        <v>90</v>
      </c>
      <c r="F3075">
        <v>24</v>
      </c>
      <c r="G3075">
        <v>20.4725774137362</v>
      </c>
    </row>
    <row r="3076" spans="1:7" x14ac:dyDescent="0.3">
      <c r="A3076" t="str">
        <f>IF(ISBLANK(B3076),"",IF(ROUND(B3076,0)=ROUND(G3076,0),"Pass","Fail"))</f>
        <v>Pass</v>
      </c>
      <c r="B3076">
        <f t="shared" si="149"/>
        <v>16.220272064208984</v>
      </c>
      <c r="C3076">
        <v>30</v>
      </c>
      <c r="D3076">
        <v>60</v>
      </c>
      <c r="E3076">
        <v>90</v>
      </c>
      <c r="F3076">
        <v>32</v>
      </c>
      <c r="G3076">
        <v>16.220273005994599</v>
      </c>
    </row>
    <row r="3077" spans="1:7" x14ac:dyDescent="0.3">
      <c r="A3077" t="str">
        <f>IF(ISBLANK(B3077),"",IF(ROUND(B3077,0)=ROUND(G3077,0),"Pass","Fail"))</f>
        <v>Pass</v>
      </c>
      <c r="B3077">
        <f t="shared" si="149"/>
        <v>14.079727172851563</v>
      </c>
      <c r="C3077">
        <v>30</v>
      </c>
      <c r="D3077">
        <v>60</v>
      </c>
      <c r="E3077">
        <v>90</v>
      </c>
      <c r="F3077">
        <v>40</v>
      </c>
      <c r="G3077">
        <v>14.0797267643271</v>
      </c>
    </row>
    <row r="3078" spans="1:7" x14ac:dyDescent="0.3">
      <c r="A3078" t="str">
        <f>IF(ISBLANK(B3078),"",IF(ROUND(B3078,0)=ROUND(G3078,0),"Pass","Fail"))</f>
        <v>Pass</v>
      </c>
      <c r="B3078">
        <f t="shared" si="149"/>
        <v>13.00220775604248</v>
      </c>
      <c r="C3078">
        <v>30</v>
      </c>
      <c r="D3078">
        <v>60</v>
      </c>
      <c r="E3078">
        <v>90</v>
      </c>
      <c r="F3078">
        <v>48</v>
      </c>
      <c r="G3078">
        <v>13.0022079008197</v>
      </c>
    </row>
    <row r="3079" spans="1:7" x14ac:dyDescent="0.3">
      <c r="A3079" t="str">
        <f>IF(ISBLANK(B3079),"",IF(ROUND(B3079,0)=ROUND(G3079,0),"Pass","Fail"))</f>
        <v>Pass</v>
      </c>
      <c r="B3079">
        <f t="shared" ref="B3079:B3142" si="150">FMC_heath(C3079,D3079,E3079,F3079)</f>
        <v>79.037994384765625</v>
      </c>
      <c r="C3079">
        <v>30</v>
      </c>
      <c r="D3079">
        <v>60</v>
      </c>
      <c r="E3079">
        <v>100</v>
      </c>
      <c r="F3079">
        <v>0</v>
      </c>
      <c r="G3079">
        <v>79.037999999999997</v>
      </c>
    </row>
    <row r="3080" spans="1:7" x14ac:dyDescent="0.3">
      <c r="A3080" t="str">
        <f>IF(ISBLANK(B3080),"",IF(ROUND(B3080,0)=ROUND(G3080,0),"Pass","Fail"))</f>
        <v>Pass</v>
      </c>
      <c r="B3080">
        <f t="shared" si="150"/>
        <v>45.701229095458984</v>
      </c>
      <c r="C3080">
        <v>30</v>
      </c>
      <c r="D3080">
        <v>60</v>
      </c>
      <c r="E3080">
        <v>100</v>
      </c>
      <c r="F3080">
        <v>8</v>
      </c>
      <c r="G3080">
        <v>45.701228080723098</v>
      </c>
    </row>
    <row r="3081" spans="1:7" x14ac:dyDescent="0.3">
      <c r="A3081" t="str">
        <f>IF(ISBLANK(B3081),"",IF(ROUND(B3081,0)=ROUND(G3081,0),"Pass","Fail"))</f>
        <v>Pass</v>
      </c>
      <c r="B3081">
        <f t="shared" si="150"/>
        <v>28.91999626159668</v>
      </c>
      <c r="C3081">
        <v>30</v>
      </c>
      <c r="D3081">
        <v>60</v>
      </c>
      <c r="E3081">
        <v>100</v>
      </c>
      <c r="F3081">
        <v>16</v>
      </c>
      <c r="G3081">
        <v>28.919997247101701</v>
      </c>
    </row>
    <row r="3082" spans="1:7" x14ac:dyDescent="0.3">
      <c r="A3082" t="str">
        <f>IF(ISBLANK(B3082),"",IF(ROUND(B3082,0)=ROUND(G3082,0),"Pass","Fail"))</f>
        <v>Pass</v>
      </c>
      <c r="B3082">
        <f t="shared" si="150"/>
        <v>20.472576141357422</v>
      </c>
      <c r="C3082">
        <v>30</v>
      </c>
      <c r="D3082">
        <v>60</v>
      </c>
      <c r="E3082">
        <v>100</v>
      </c>
      <c r="F3082">
        <v>24</v>
      </c>
      <c r="G3082">
        <v>20.4725774137362</v>
      </c>
    </row>
    <row r="3083" spans="1:7" x14ac:dyDescent="0.3">
      <c r="A3083" t="str">
        <f>IF(ISBLANK(B3083),"",IF(ROUND(B3083,0)=ROUND(G3083,0),"Pass","Fail"))</f>
        <v>Pass</v>
      </c>
      <c r="B3083">
        <f t="shared" si="150"/>
        <v>16.220272064208984</v>
      </c>
      <c r="C3083">
        <v>30</v>
      </c>
      <c r="D3083">
        <v>60</v>
      </c>
      <c r="E3083">
        <v>100</v>
      </c>
      <c r="F3083">
        <v>32</v>
      </c>
      <c r="G3083">
        <v>16.220273005994599</v>
      </c>
    </row>
    <row r="3084" spans="1:7" x14ac:dyDescent="0.3">
      <c r="A3084" t="str">
        <f>IF(ISBLANK(B3084),"",IF(ROUND(B3084,0)=ROUND(G3084,0),"Pass","Fail"))</f>
        <v>Pass</v>
      </c>
      <c r="B3084">
        <f t="shared" si="150"/>
        <v>14.079727172851563</v>
      </c>
      <c r="C3084">
        <v>30</v>
      </c>
      <c r="D3084">
        <v>60</v>
      </c>
      <c r="E3084">
        <v>100</v>
      </c>
      <c r="F3084">
        <v>40</v>
      </c>
      <c r="G3084">
        <v>14.0797267643271</v>
      </c>
    </row>
    <row r="3085" spans="1:7" x14ac:dyDescent="0.3">
      <c r="A3085" t="str">
        <f>IF(ISBLANK(B3085),"",IF(ROUND(B3085,0)=ROUND(G3085,0),"Pass","Fail"))</f>
        <v>Pass</v>
      </c>
      <c r="B3085">
        <f t="shared" si="150"/>
        <v>13.00220775604248</v>
      </c>
      <c r="C3085">
        <v>30</v>
      </c>
      <c r="D3085">
        <v>60</v>
      </c>
      <c r="E3085">
        <v>100</v>
      </c>
      <c r="F3085">
        <v>48</v>
      </c>
      <c r="G3085">
        <v>13.0022079008197</v>
      </c>
    </row>
    <row r="3086" spans="1:7" x14ac:dyDescent="0.3">
      <c r="A3086" t="str">
        <f>IF(ISBLANK(B3086),"",IF(ROUND(B3086,0)=ROUND(G3086,0),"Pass","Fail"))</f>
        <v>Pass</v>
      </c>
      <c r="B3086">
        <f t="shared" si="150"/>
        <v>15.140000343322754</v>
      </c>
      <c r="C3086">
        <v>30</v>
      </c>
      <c r="D3086">
        <v>70</v>
      </c>
      <c r="E3086">
        <v>0</v>
      </c>
      <c r="F3086">
        <v>0</v>
      </c>
      <c r="G3086">
        <v>15.14</v>
      </c>
    </row>
    <row r="3087" spans="1:7" x14ac:dyDescent="0.3">
      <c r="A3087" t="str">
        <f>IF(ISBLANK(B3087),"",IF(ROUND(B3087,0)=ROUND(G3087,0),"Pass","Fail"))</f>
        <v>Pass</v>
      </c>
      <c r="B3087">
        <f t="shared" si="150"/>
        <v>15.140000343322754</v>
      </c>
      <c r="C3087">
        <v>30</v>
      </c>
      <c r="D3087">
        <v>70</v>
      </c>
      <c r="E3087">
        <v>0</v>
      </c>
      <c r="F3087">
        <v>8</v>
      </c>
      <c r="G3087">
        <v>15.14</v>
      </c>
    </row>
    <row r="3088" spans="1:7" x14ac:dyDescent="0.3">
      <c r="A3088" t="str">
        <f>IF(ISBLANK(B3088),"",IF(ROUND(B3088,0)=ROUND(G3088,0),"Pass","Fail"))</f>
        <v>Pass</v>
      </c>
      <c r="B3088">
        <f t="shared" si="150"/>
        <v>15.140000343322754</v>
      </c>
      <c r="C3088">
        <v>30</v>
      </c>
      <c r="D3088">
        <v>70</v>
      </c>
      <c r="E3088">
        <v>0</v>
      </c>
      <c r="F3088">
        <v>16</v>
      </c>
      <c r="G3088">
        <v>15.14</v>
      </c>
    </row>
    <row r="3089" spans="1:7" x14ac:dyDescent="0.3">
      <c r="A3089" t="str">
        <f>IF(ISBLANK(B3089),"",IF(ROUND(B3089,0)=ROUND(G3089,0),"Pass","Fail"))</f>
        <v>Pass</v>
      </c>
      <c r="B3089">
        <f t="shared" si="150"/>
        <v>15.140000343322754</v>
      </c>
      <c r="C3089">
        <v>30</v>
      </c>
      <c r="D3089">
        <v>70</v>
      </c>
      <c r="E3089">
        <v>0</v>
      </c>
      <c r="F3089">
        <v>24</v>
      </c>
      <c r="G3089">
        <v>15.14</v>
      </c>
    </row>
    <row r="3090" spans="1:7" x14ac:dyDescent="0.3">
      <c r="A3090" t="str">
        <f>IF(ISBLANK(B3090),"",IF(ROUND(B3090,0)=ROUND(G3090,0),"Pass","Fail"))</f>
        <v>Pass</v>
      </c>
      <c r="B3090">
        <f t="shared" si="150"/>
        <v>15.140000343322754</v>
      </c>
      <c r="C3090">
        <v>30</v>
      </c>
      <c r="D3090">
        <v>70</v>
      </c>
      <c r="E3090">
        <v>0</v>
      </c>
      <c r="F3090">
        <v>32</v>
      </c>
      <c r="G3090">
        <v>15.14</v>
      </c>
    </row>
    <row r="3091" spans="1:7" x14ac:dyDescent="0.3">
      <c r="A3091" t="str">
        <f>IF(ISBLANK(B3091),"",IF(ROUND(B3091,0)=ROUND(G3091,0),"Pass","Fail"))</f>
        <v>Pass</v>
      </c>
      <c r="B3091">
        <f t="shared" si="150"/>
        <v>15.140000343322754</v>
      </c>
      <c r="C3091">
        <v>30</v>
      </c>
      <c r="D3091">
        <v>70</v>
      </c>
      <c r="E3091">
        <v>0</v>
      </c>
      <c r="F3091">
        <v>40</v>
      </c>
      <c r="G3091">
        <v>15.14</v>
      </c>
    </row>
    <row r="3092" spans="1:7" x14ac:dyDescent="0.3">
      <c r="A3092" t="str">
        <f>IF(ISBLANK(B3092),"",IF(ROUND(B3092,0)=ROUND(G3092,0),"Pass","Fail"))</f>
        <v>Pass</v>
      </c>
      <c r="B3092">
        <f t="shared" si="150"/>
        <v>15.140000343322754</v>
      </c>
      <c r="C3092">
        <v>30</v>
      </c>
      <c r="D3092">
        <v>70</v>
      </c>
      <c r="E3092">
        <v>0</v>
      </c>
      <c r="F3092">
        <v>48</v>
      </c>
      <c r="G3092">
        <v>15.14</v>
      </c>
    </row>
    <row r="3093" spans="1:7" x14ac:dyDescent="0.3">
      <c r="A3093" t="str">
        <f>IF(ISBLANK(B3093),"",IF(ROUND(B3093,0)=ROUND(G3093,0),"Pass","Fail"))</f>
        <v>Pass</v>
      </c>
      <c r="B3093">
        <f t="shared" si="150"/>
        <v>82.267997741699219</v>
      </c>
      <c r="C3093">
        <v>30</v>
      </c>
      <c r="D3093">
        <v>70</v>
      </c>
      <c r="E3093">
        <v>10</v>
      </c>
      <c r="F3093">
        <v>0</v>
      </c>
      <c r="G3093">
        <v>82.267999999998295</v>
      </c>
    </row>
    <row r="3094" spans="1:7" x14ac:dyDescent="0.3">
      <c r="A3094" t="str">
        <f>IF(ISBLANK(B3094),"",IF(ROUND(B3094,0)=ROUND(G3094,0),"Pass","Fail"))</f>
        <v>Pass</v>
      </c>
      <c r="B3094">
        <f t="shared" si="150"/>
        <v>48.931228637695313</v>
      </c>
      <c r="C3094">
        <v>30</v>
      </c>
      <c r="D3094">
        <v>70</v>
      </c>
      <c r="E3094">
        <v>10</v>
      </c>
      <c r="F3094">
        <v>8</v>
      </c>
      <c r="G3094">
        <v>48.9312280807222</v>
      </c>
    </row>
    <row r="3095" spans="1:7" x14ac:dyDescent="0.3">
      <c r="A3095" t="str">
        <f>IF(ISBLANK(B3095),"",IF(ROUND(B3095,0)=ROUND(G3095,0),"Pass","Fail"))</f>
        <v>Pass</v>
      </c>
      <c r="B3095">
        <f t="shared" si="150"/>
        <v>32.149997711181641</v>
      </c>
      <c r="C3095">
        <v>30</v>
      </c>
      <c r="D3095">
        <v>70</v>
      </c>
      <c r="E3095">
        <v>10</v>
      </c>
      <c r="F3095">
        <v>16</v>
      </c>
      <c r="G3095">
        <v>32.149997247101297</v>
      </c>
    </row>
    <row r="3096" spans="1:7" x14ac:dyDescent="0.3">
      <c r="A3096" t="str">
        <f>IF(ISBLANK(B3096),"",IF(ROUND(B3096,0)=ROUND(G3096,0),"Pass","Fail"))</f>
        <v>Pass</v>
      </c>
      <c r="B3096">
        <f t="shared" si="150"/>
        <v>23.702577590942383</v>
      </c>
      <c r="C3096">
        <v>30</v>
      </c>
      <c r="D3096">
        <v>70</v>
      </c>
      <c r="E3096">
        <v>10</v>
      </c>
      <c r="F3096">
        <v>24</v>
      </c>
      <c r="G3096">
        <v>23.702577413736002</v>
      </c>
    </row>
    <row r="3097" spans="1:7" x14ac:dyDescent="0.3">
      <c r="A3097" t="str">
        <f>IF(ISBLANK(B3097),"",IF(ROUND(B3097,0)=ROUND(G3097,0),"Pass","Fail"))</f>
        <v>Pass</v>
      </c>
      <c r="B3097">
        <f t="shared" si="150"/>
        <v>19.450273513793945</v>
      </c>
      <c r="C3097">
        <v>30</v>
      </c>
      <c r="D3097">
        <v>70</v>
      </c>
      <c r="E3097">
        <v>10</v>
      </c>
      <c r="F3097">
        <v>32</v>
      </c>
      <c r="G3097">
        <v>19.4502730059945</v>
      </c>
    </row>
    <row r="3098" spans="1:7" x14ac:dyDescent="0.3">
      <c r="A3098" t="str">
        <f>IF(ISBLANK(B3098),"",IF(ROUND(B3098,0)=ROUND(G3098,0),"Pass","Fail"))</f>
        <v>Pass</v>
      </c>
      <c r="B3098">
        <f t="shared" si="150"/>
        <v>17.309726715087891</v>
      </c>
      <c r="C3098">
        <v>30</v>
      </c>
      <c r="D3098">
        <v>70</v>
      </c>
      <c r="E3098">
        <v>10</v>
      </c>
      <c r="F3098">
        <v>40</v>
      </c>
      <c r="G3098">
        <v>17.309726764326999</v>
      </c>
    </row>
    <row r="3099" spans="1:7" x14ac:dyDescent="0.3">
      <c r="A3099" t="str">
        <f>IF(ISBLANK(B3099),"",IF(ROUND(B3099,0)=ROUND(G3099,0),"Pass","Fail"))</f>
        <v>Pass</v>
      </c>
      <c r="B3099">
        <f t="shared" si="150"/>
        <v>16.232208251953125</v>
      </c>
      <c r="C3099">
        <v>30</v>
      </c>
      <c r="D3099">
        <v>70</v>
      </c>
      <c r="E3099">
        <v>10</v>
      </c>
      <c r="F3099">
        <v>48</v>
      </c>
      <c r="G3099">
        <v>16.232207900819699</v>
      </c>
    </row>
    <row r="3100" spans="1:7" x14ac:dyDescent="0.3">
      <c r="A3100" t="str">
        <f>IF(ISBLANK(B3100),"",IF(ROUND(B3100,0)=ROUND(G3100,0),"Pass","Fail"))</f>
        <v>Pass</v>
      </c>
      <c r="B3100">
        <f t="shared" si="150"/>
        <v>82.267997741699219</v>
      </c>
      <c r="C3100">
        <v>30</v>
      </c>
      <c r="D3100">
        <v>70</v>
      </c>
      <c r="E3100">
        <v>20</v>
      </c>
      <c r="F3100">
        <v>0</v>
      </c>
      <c r="G3100">
        <v>82.268000000000001</v>
      </c>
    </row>
    <row r="3101" spans="1:7" x14ac:dyDescent="0.3">
      <c r="A3101" t="str">
        <f>IF(ISBLANK(B3101),"",IF(ROUND(B3101,0)=ROUND(G3101,0),"Pass","Fail"))</f>
        <v>Pass</v>
      </c>
      <c r="B3101">
        <f t="shared" si="150"/>
        <v>48.931228637695313</v>
      </c>
      <c r="C3101">
        <v>30</v>
      </c>
      <c r="D3101">
        <v>70</v>
      </c>
      <c r="E3101">
        <v>20</v>
      </c>
      <c r="F3101">
        <v>8</v>
      </c>
      <c r="G3101">
        <v>48.931228080723002</v>
      </c>
    </row>
    <row r="3102" spans="1:7" x14ac:dyDescent="0.3">
      <c r="A3102" t="str">
        <f>IF(ISBLANK(B3102),"",IF(ROUND(B3102,0)=ROUND(G3102,0),"Pass","Fail"))</f>
        <v>Pass</v>
      </c>
      <c r="B3102">
        <f t="shared" si="150"/>
        <v>32.149997711181641</v>
      </c>
      <c r="C3102">
        <v>30</v>
      </c>
      <c r="D3102">
        <v>70</v>
      </c>
      <c r="E3102">
        <v>20</v>
      </c>
      <c r="F3102">
        <v>16</v>
      </c>
      <c r="G3102">
        <v>32.149997247101702</v>
      </c>
    </row>
    <row r="3103" spans="1:7" x14ac:dyDescent="0.3">
      <c r="A3103" t="str">
        <f>IF(ISBLANK(B3103),"",IF(ROUND(B3103,0)=ROUND(G3103,0),"Pass","Fail"))</f>
        <v>Pass</v>
      </c>
      <c r="B3103">
        <f t="shared" si="150"/>
        <v>23.702577590942383</v>
      </c>
      <c r="C3103">
        <v>30</v>
      </c>
      <c r="D3103">
        <v>70</v>
      </c>
      <c r="E3103">
        <v>20</v>
      </c>
      <c r="F3103">
        <v>24</v>
      </c>
      <c r="G3103">
        <v>23.702577413736201</v>
      </c>
    </row>
    <row r="3104" spans="1:7" x14ac:dyDescent="0.3">
      <c r="A3104" t="str">
        <f>IF(ISBLANK(B3104),"",IF(ROUND(B3104,0)=ROUND(G3104,0),"Pass","Fail"))</f>
        <v>Pass</v>
      </c>
      <c r="B3104">
        <f t="shared" si="150"/>
        <v>19.450273513793945</v>
      </c>
      <c r="C3104">
        <v>30</v>
      </c>
      <c r="D3104">
        <v>70</v>
      </c>
      <c r="E3104">
        <v>20</v>
      </c>
      <c r="F3104">
        <v>32</v>
      </c>
      <c r="G3104">
        <v>19.4502730059946</v>
      </c>
    </row>
    <row r="3105" spans="1:7" x14ac:dyDescent="0.3">
      <c r="A3105" t="str">
        <f>IF(ISBLANK(B3105),"",IF(ROUND(B3105,0)=ROUND(G3105,0),"Pass","Fail"))</f>
        <v>Pass</v>
      </c>
      <c r="B3105">
        <f t="shared" si="150"/>
        <v>17.309726715087891</v>
      </c>
      <c r="C3105">
        <v>30</v>
      </c>
      <c r="D3105">
        <v>70</v>
      </c>
      <c r="E3105">
        <v>20</v>
      </c>
      <c r="F3105">
        <v>40</v>
      </c>
      <c r="G3105">
        <v>17.309726764327099</v>
      </c>
    </row>
    <row r="3106" spans="1:7" x14ac:dyDescent="0.3">
      <c r="A3106" t="str">
        <f>IF(ISBLANK(B3106),"",IF(ROUND(B3106,0)=ROUND(G3106,0),"Pass","Fail"))</f>
        <v>Pass</v>
      </c>
      <c r="B3106">
        <f t="shared" si="150"/>
        <v>16.232208251953125</v>
      </c>
      <c r="C3106">
        <v>30</v>
      </c>
      <c r="D3106">
        <v>70</v>
      </c>
      <c r="E3106">
        <v>20</v>
      </c>
      <c r="F3106">
        <v>48</v>
      </c>
      <c r="G3106">
        <v>16.232207900819699</v>
      </c>
    </row>
    <row r="3107" spans="1:7" x14ac:dyDescent="0.3">
      <c r="A3107" t="str">
        <f>IF(ISBLANK(B3107),"",IF(ROUND(B3107,0)=ROUND(G3107,0),"Pass","Fail"))</f>
        <v>Pass</v>
      </c>
      <c r="B3107">
        <f t="shared" si="150"/>
        <v>82.267997741699219</v>
      </c>
      <c r="C3107">
        <v>30</v>
      </c>
      <c r="D3107">
        <v>70</v>
      </c>
      <c r="E3107">
        <v>30</v>
      </c>
      <c r="F3107">
        <v>0</v>
      </c>
      <c r="G3107">
        <v>82.268000000000001</v>
      </c>
    </row>
    <row r="3108" spans="1:7" x14ac:dyDescent="0.3">
      <c r="A3108" t="str">
        <f>IF(ISBLANK(B3108),"",IF(ROUND(B3108,0)=ROUND(G3108,0),"Pass","Fail"))</f>
        <v>Pass</v>
      </c>
      <c r="B3108">
        <f t="shared" si="150"/>
        <v>48.931228637695313</v>
      </c>
      <c r="C3108">
        <v>30</v>
      </c>
      <c r="D3108">
        <v>70</v>
      </c>
      <c r="E3108">
        <v>30</v>
      </c>
      <c r="F3108">
        <v>8</v>
      </c>
      <c r="G3108">
        <v>48.931228080723002</v>
      </c>
    </row>
    <row r="3109" spans="1:7" x14ac:dyDescent="0.3">
      <c r="A3109" t="str">
        <f>IF(ISBLANK(B3109),"",IF(ROUND(B3109,0)=ROUND(G3109,0),"Pass","Fail"))</f>
        <v>Pass</v>
      </c>
      <c r="B3109">
        <f t="shared" si="150"/>
        <v>32.149997711181641</v>
      </c>
      <c r="C3109">
        <v>30</v>
      </c>
      <c r="D3109">
        <v>70</v>
      </c>
      <c r="E3109">
        <v>30</v>
      </c>
      <c r="F3109">
        <v>16</v>
      </c>
      <c r="G3109">
        <v>32.149997247101702</v>
      </c>
    </row>
    <row r="3110" spans="1:7" x14ac:dyDescent="0.3">
      <c r="A3110" t="str">
        <f>IF(ISBLANK(B3110),"",IF(ROUND(B3110,0)=ROUND(G3110,0),"Pass","Fail"))</f>
        <v>Pass</v>
      </c>
      <c r="B3110">
        <f t="shared" si="150"/>
        <v>23.702577590942383</v>
      </c>
      <c r="C3110">
        <v>30</v>
      </c>
      <c r="D3110">
        <v>70</v>
      </c>
      <c r="E3110">
        <v>30</v>
      </c>
      <c r="F3110">
        <v>24</v>
      </c>
      <c r="G3110">
        <v>23.702577413736201</v>
      </c>
    </row>
    <row r="3111" spans="1:7" x14ac:dyDescent="0.3">
      <c r="A3111" t="str">
        <f>IF(ISBLANK(B3111),"",IF(ROUND(B3111,0)=ROUND(G3111,0),"Pass","Fail"))</f>
        <v>Pass</v>
      </c>
      <c r="B3111">
        <f t="shared" si="150"/>
        <v>19.450273513793945</v>
      </c>
      <c r="C3111">
        <v>30</v>
      </c>
      <c r="D3111">
        <v>70</v>
      </c>
      <c r="E3111">
        <v>30</v>
      </c>
      <c r="F3111">
        <v>32</v>
      </c>
      <c r="G3111">
        <v>19.4502730059946</v>
      </c>
    </row>
    <row r="3112" spans="1:7" x14ac:dyDescent="0.3">
      <c r="A3112" t="str">
        <f>IF(ISBLANK(B3112),"",IF(ROUND(B3112,0)=ROUND(G3112,0),"Pass","Fail"))</f>
        <v>Pass</v>
      </c>
      <c r="B3112">
        <f t="shared" si="150"/>
        <v>17.309726715087891</v>
      </c>
      <c r="C3112">
        <v>30</v>
      </c>
      <c r="D3112">
        <v>70</v>
      </c>
      <c r="E3112">
        <v>30</v>
      </c>
      <c r="F3112">
        <v>40</v>
      </c>
      <c r="G3112">
        <v>17.309726764327099</v>
      </c>
    </row>
    <row r="3113" spans="1:7" x14ac:dyDescent="0.3">
      <c r="A3113" t="str">
        <f>IF(ISBLANK(B3113),"",IF(ROUND(B3113,0)=ROUND(G3113,0),"Pass","Fail"))</f>
        <v>Pass</v>
      </c>
      <c r="B3113">
        <f t="shared" si="150"/>
        <v>16.232208251953125</v>
      </c>
      <c r="C3113">
        <v>30</v>
      </c>
      <c r="D3113">
        <v>70</v>
      </c>
      <c r="E3113">
        <v>30</v>
      </c>
      <c r="F3113">
        <v>48</v>
      </c>
      <c r="G3113">
        <v>16.232207900819699</v>
      </c>
    </row>
    <row r="3114" spans="1:7" x14ac:dyDescent="0.3">
      <c r="A3114" t="str">
        <f>IF(ISBLANK(B3114),"",IF(ROUND(B3114,0)=ROUND(G3114,0),"Pass","Fail"))</f>
        <v>Pass</v>
      </c>
      <c r="B3114">
        <f t="shared" si="150"/>
        <v>82.267997741699219</v>
      </c>
      <c r="C3114">
        <v>30</v>
      </c>
      <c r="D3114">
        <v>70</v>
      </c>
      <c r="E3114">
        <v>40</v>
      </c>
      <c r="F3114">
        <v>0</v>
      </c>
      <c r="G3114">
        <v>82.268000000000001</v>
      </c>
    </row>
    <row r="3115" spans="1:7" x14ac:dyDescent="0.3">
      <c r="A3115" t="str">
        <f>IF(ISBLANK(B3115),"",IF(ROUND(B3115,0)=ROUND(G3115,0),"Pass","Fail"))</f>
        <v>Pass</v>
      </c>
      <c r="B3115">
        <f t="shared" si="150"/>
        <v>48.931228637695313</v>
      </c>
      <c r="C3115">
        <v>30</v>
      </c>
      <c r="D3115">
        <v>70</v>
      </c>
      <c r="E3115">
        <v>40</v>
      </c>
      <c r="F3115">
        <v>8</v>
      </c>
      <c r="G3115">
        <v>48.931228080723002</v>
      </c>
    </row>
    <row r="3116" spans="1:7" x14ac:dyDescent="0.3">
      <c r="A3116" t="str">
        <f>IF(ISBLANK(B3116),"",IF(ROUND(B3116,0)=ROUND(G3116,0),"Pass","Fail"))</f>
        <v>Pass</v>
      </c>
      <c r="B3116">
        <f t="shared" si="150"/>
        <v>32.149997711181641</v>
      </c>
      <c r="C3116">
        <v>30</v>
      </c>
      <c r="D3116">
        <v>70</v>
      </c>
      <c r="E3116">
        <v>40</v>
      </c>
      <c r="F3116">
        <v>16</v>
      </c>
      <c r="G3116">
        <v>32.149997247101702</v>
      </c>
    </row>
    <row r="3117" spans="1:7" x14ac:dyDescent="0.3">
      <c r="A3117" t="str">
        <f>IF(ISBLANK(B3117),"",IF(ROUND(B3117,0)=ROUND(G3117,0),"Pass","Fail"))</f>
        <v>Pass</v>
      </c>
      <c r="B3117">
        <f t="shared" si="150"/>
        <v>23.702577590942383</v>
      </c>
      <c r="C3117">
        <v>30</v>
      </c>
      <c r="D3117">
        <v>70</v>
      </c>
      <c r="E3117">
        <v>40</v>
      </c>
      <c r="F3117">
        <v>24</v>
      </c>
      <c r="G3117">
        <v>23.702577413736201</v>
      </c>
    </row>
    <row r="3118" spans="1:7" x14ac:dyDescent="0.3">
      <c r="A3118" t="str">
        <f>IF(ISBLANK(B3118),"",IF(ROUND(B3118,0)=ROUND(G3118,0),"Pass","Fail"))</f>
        <v>Pass</v>
      </c>
      <c r="B3118">
        <f t="shared" si="150"/>
        <v>19.450273513793945</v>
      </c>
      <c r="C3118">
        <v>30</v>
      </c>
      <c r="D3118">
        <v>70</v>
      </c>
      <c r="E3118">
        <v>40</v>
      </c>
      <c r="F3118">
        <v>32</v>
      </c>
      <c r="G3118">
        <v>19.4502730059946</v>
      </c>
    </row>
    <row r="3119" spans="1:7" x14ac:dyDescent="0.3">
      <c r="A3119" t="str">
        <f>IF(ISBLANK(B3119),"",IF(ROUND(B3119,0)=ROUND(G3119,0),"Pass","Fail"))</f>
        <v>Pass</v>
      </c>
      <c r="B3119">
        <f t="shared" si="150"/>
        <v>17.309726715087891</v>
      </c>
      <c r="C3119">
        <v>30</v>
      </c>
      <c r="D3119">
        <v>70</v>
      </c>
      <c r="E3119">
        <v>40</v>
      </c>
      <c r="F3119">
        <v>40</v>
      </c>
      <c r="G3119">
        <v>17.309726764327099</v>
      </c>
    </row>
    <row r="3120" spans="1:7" x14ac:dyDescent="0.3">
      <c r="A3120" t="str">
        <f>IF(ISBLANK(B3120),"",IF(ROUND(B3120,0)=ROUND(G3120,0),"Pass","Fail"))</f>
        <v>Pass</v>
      </c>
      <c r="B3120">
        <f t="shared" si="150"/>
        <v>16.232208251953125</v>
      </c>
      <c r="C3120">
        <v>30</v>
      </c>
      <c r="D3120">
        <v>70</v>
      </c>
      <c r="E3120">
        <v>40</v>
      </c>
      <c r="F3120">
        <v>48</v>
      </c>
      <c r="G3120">
        <v>16.232207900819699</v>
      </c>
    </row>
    <row r="3121" spans="1:7" x14ac:dyDescent="0.3">
      <c r="A3121" t="str">
        <f>IF(ISBLANK(B3121),"",IF(ROUND(B3121,0)=ROUND(G3121,0),"Pass","Fail"))</f>
        <v>Pass</v>
      </c>
      <c r="B3121">
        <f t="shared" si="150"/>
        <v>82.267997741699219</v>
      </c>
      <c r="C3121">
        <v>30</v>
      </c>
      <c r="D3121">
        <v>70</v>
      </c>
      <c r="E3121">
        <v>50</v>
      </c>
      <c r="F3121">
        <v>0</v>
      </c>
      <c r="G3121">
        <v>82.268000000000001</v>
      </c>
    </row>
    <row r="3122" spans="1:7" x14ac:dyDescent="0.3">
      <c r="A3122" t="str">
        <f>IF(ISBLANK(B3122),"",IF(ROUND(B3122,0)=ROUND(G3122,0),"Pass","Fail"))</f>
        <v>Pass</v>
      </c>
      <c r="B3122">
        <f t="shared" si="150"/>
        <v>48.931228637695313</v>
      </c>
      <c r="C3122">
        <v>30</v>
      </c>
      <c r="D3122">
        <v>70</v>
      </c>
      <c r="E3122">
        <v>50</v>
      </c>
      <c r="F3122">
        <v>8</v>
      </c>
      <c r="G3122">
        <v>48.931228080723002</v>
      </c>
    </row>
    <row r="3123" spans="1:7" x14ac:dyDescent="0.3">
      <c r="A3123" t="str">
        <f>IF(ISBLANK(B3123),"",IF(ROUND(B3123,0)=ROUND(G3123,0),"Pass","Fail"))</f>
        <v>Pass</v>
      </c>
      <c r="B3123">
        <f t="shared" si="150"/>
        <v>32.149997711181641</v>
      </c>
      <c r="C3123">
        <v>30</v>
      </c>
      <c r="D3123">
        <v>70</v>
      </c>
      <c r="E3123">
        <v>50</v>
      </c>
      <c r="F3123">
        <v>16</v>
      </c>
      <c r="G3123">
        <v>32.149997247101702</v>
      </c>
    </row>
    <row r="3124" spans="1:7" x14ac:dyDescent="0.3">
      <c r="A3124" t="str">
        <f>IF(ISBLANK(B3124),"",IF(ROUND(B3124,0)=ROUND(G3124,0),"Pass","Fail"))</f>
        <v>Pass</v>
      </c>
      <c r="B3124">
        <f t="shared" si="150"/>
        <v>23.702577590942383</v>
      </c>
      <c r="C3124">
        <v>30</v>
      </c>
      <c r="D3124">
        <v>70</v>
      </c>
      <c r="E3124">
        <v>50</v>
      </c>
      <c r="F3124">
        <v>24</v>
      </c>
      <c r="G3124">
        <v>23.702577413736201</v>
      </c>
    </row>
    <row r="3125" spans="1:7" x14ac:dyDescent="0.3">
      <c r="A3125" t="str">
        <f>IF(ISBLANK(B3125),"",IF(ROUND(B3125,0)=ROUND(G3125,0),"Pass","Fail"))</f>
        <v>Pass</v>
      </c>
      <c r="B3125">
        <f t="shared" si="150"/>
        <v>19.450273513793945</v>
      </c>
      <c r="C3125">
        <v>30</v>
      </c>
      <c r="D3125">
        <v>70</v>
      </c>
      <c r="E3125">
        <v>50</v>
      </c>
      <c r="F3125">
        <v>32</v>
      </c>
      <c r="G3125">
        <v>19.4502730059946</v>
      </c>
    </row>
    <row r="3126" spans="1:7" x14ac:dyDescent="0.3">
      <c r="A3126" t="str">
        <f>IF(ISBLANK(B3126),"",IF(ROUND(B3126,0)=ROUND(G3126,0),"Pass","Fail"))</f>
        <v>Pass</v>
      </c>
      <c r="B3126">
        <f t="shared" si="150"/>
        <v>17.309726715087891</v>
      </c>
      <c r="C3126">
        <v>30</v>
      </c>
      <c r="D3126">
        <v>70</v>
      </c>
      <c r="E3126">
        <v>50</v>
      </c>
      <c r="F3126">
        <v>40</v>
      </c>
      <c r="G3126">
        <v>17.309726764327099</v>
      </c>
    </row>
    <row r="3127" spans="1:7" x14ac:dyDescent="0.3">
      <c r="A3127" t="str">
        <f>IF(ISBLANK(B3127),"",IF(ROUND(B3127,0)=ROUND(G3127,0),"Pass","Fail"))</f>
        <v>Pass</v>
      </c>
      <c r="B3127">
        <f t="shared" si="150"/>
        <v>16.232208251953125</v>
      </c>
      <c r="C3127">
        <v>30</v>
      </c>
      <c r="D3127">
        <v>70</v>
      </c>
      <c r="E3127">
        <v>50</v>
      </c>
      <c r="F3127">
        <v>48</v>
      </c>
      <c r="G3127">
        <v>16.232207900819699</v>
      </c>
    </row>
    <row r="3128" spans="1:7" x14ac:dyDescent="0.3">
      <c r="A3128" t="str">
        <f>IF(ISBLANK(B3128),"",IF(ROUND(B3128,0)=ROUND(G3128,0),"Pass","Fail"))</f>
        <v>Pass</v>
      </c>
      <c r="B3128">
        <f t="shared" si="150"/>
        <v>82.267997741699219</v>
      </c>
      <c r="C3128">
        <v>30</v>
      </c>
      <c r="D3128">
        <v>70</v>
      </c>
      <c r="E3128">
        <v>60</v>
      </c>
      <c r="F3128">
        <v>0</v>
      </c>
      <c r="G3128">
        <v>82.268000000000001</v>
      </c>
    </row>
    <row r="3129" spans="1:7" x14ac:dyDescent="0.3">
      <c r="A3129" t="str">
        <f>IF(ISBLANK(B3129),"",IF(ROUND(B3129,0)=ROUND(G3129,0),"Pass","Fail"))</f>
        <v>Pass</v>
      </c>
      <c r="B3129">
        <f t="shared" si="150"/>
        <v>48.931228637695313</v>
      </c>
      <c r="C3129">
        <v>30</v>
      </c>
      <c r="D3129">
        <v>70</v>
      </c>
      <c r="E3129">
        <v>60</v>
      </c>
      <c r="F3129">
        <v>8</v>
      </c>
      <c r="G3129">
        <v>48.931228080723002</v>
      </c>
    </row>
    <row r="3130" spans="1:7" x14ac:dyDescent="0.3">
      <c r="A3130" t="str">
        <f>IF(ISBLANK(B3130),"",IF(ROUND(B3130,0)=ROUND(G3130,0),"Pass","Fail"))</f>
        <v>Pass</v>
      </c>
      <c r="B3130">
        <f t="shared" si="150"/>
        <v>32.149997711181641</v>
      </c>
      <c r="C3130">
        <v>30</v>
      </c>
      <c r="D3130">
        <v>70</v>
      </c>
      <c r="E3130">
        <v>60</v>
      </c>
      <c r="F3130">
        <v>16</v>
      </c>
      <c r="G3130">
        <v>32.149997247101702</v>
      </c>
    </row>
    <row r="3131" spans="1:7" x14ac:dyDescent="0.3">
      <c r="A3131" t="str">
        <f>IF(ISBLANK(B3131),"",IF(ROUND(B3131,0)=ROUND(G3131,0),"Pass","Fail"))</f>
        <v>Pass</v>
      </c>
      <c r="B3131">
        <f t="shared" si="150"/>
        <v>23.702577590942383</v>
      </c>
      <c r="C3131">
        <v>30</v>
      </c>
      <c r="D3131">
        <v>70</v>
      </c>
      <c r="E3131">
        <v>60</v>
      </c>
      <c r="F3131">
        <v>24</v>
      </c>
      <c r="G3131">
        <v>23.702577413736201</v>
      </c>
    </row>
    <row r="3132" spans="1:7" x14ac:dyDescent="0.3">
      <c r="A3132" t="str">
        <f>IF(ISBLANK(B3132),"",IF(ROUND(B3132,0)=ROUND(G3132,0),"Pass","Fail"))</f>
        <v>Pass</v>
      </c>
      <c r="B3132">
        <f t="shared" si="150"/>
        <v>19.450273513793945</v>
      </c>
      <c r="C3132">
        <v>30</v>
      </c>
      <c r="D3132">
        <v>70</v>
      </c>
      <c r="E3132">
        <v>60</v>
      </c>
      <c r="F3132">
        <v>32</v>
      </c>
      <c r="G3132">
        <v>19.4502730059946</v>
      </c>
    </row>
    <row r="3133" spans="1:7" x14ac:dyDescent="0.3">
      <c r="A3133" t="str">
        <f>IF(ISBLANK(B3133),"",IF(ROUND(B3133,0)=ROUND(G3133,0),"Pass","Fail"))</f>
        <v>Pass</v>
      </c>
      <c r="B3133">
        <f t="shared" si="150"/>
        <v>17.309726715087891</v>
      </c>
      <c r="C3133">
        <v>30</v>
      </c>
      <c r="D3133">
        <v>70</v>
      </c>
      <c r="E3133">
        <v>60</v>
      </c>
      <c r="F3133">
        <v>40</v>
      </c>
      <c r="G3133">
        <v>17.309726764327099</v>
      </c>
    </row>
    <row r="3134" spans="1:7" x14ac:dyDescent="0.3">
      <c r="A3134" t="str">
        <f>IF(ISBLANK(B3134),"",IF(ROUND(B3134,0)=ROUND(G3134,0),"Pass","Fail"))</f>
        <v>Pass</v>
      </c>
      <c r="B3134">
        <f t="shared" si="150"/>
        <v>16.232208251953125</v>
      </c>
      <c r="C3134">
        <v>30</v>
      </c>
      <c r="D3134">
        <v>70</v>
      </c>
      <c r="E3134">
        <v>60</v>
      </c>
      <c r="F3134">
        <v>48</v>
      </c>
      <c r="G3134">
        <v>16.232207900819699</v>
      </c>
    </row>
    <row r="3135" spans="1:7" x14ac:dyDescent="0.3">
      <c r="A3135" t="str">
        <f>IF(ISBLANK(B3135),"",IF(ROUND(B3135,0)=ROUND(G3135,0),"Pass","Fail"))</f>
        <v>Pass</v>
      </c>
      <c r="B3135">
        <f t="shared" si="150"/>
        <v>82.267997741699219</v>
      </c>
      <c r="C3135">
        <v>30</v>
      </c>
      <c r="D3135">
        <v>70</v>
      </c>
      <c r="E3135">
        <v>70</v>
      </c>
      <c r="F3135">
        <v>0</v>
      </c>
      <c r="G3135">
        <v>82.268000000000001</v>
      </c>
    </row>
    <row r="3136" spans="1:7" x14ac:dyDescent="0.3">
      <c r="A3136" t="str">
        <f>IF(ISBLANK(B3136),"",IF(ROUND(B3136,0)=ROUND(G3136,0),"Pass","Fail"))</f>
        <v>Pass</v>
      </c>
      <c r="B3136">
        <f t="shared" si="150"/>
        <v>48.931228637695313</v>
      </c>
      <c r="C3136">
        <v>30</v>
      </c>
      <c r="D3136">
        <v>70</v>
      </c>
      <c r="E3136">
        <v>70</v>
      </c>
      <c r="F3136">
        <v>8</v>
      </c>
      <c r="G3136">
        <v>48.931228080723002</v>
      </c>
    </row>
    <row r="3137" spans="1:7" x14ac:dyDescent="0.3">
      <c r="A3137" t="str">
        <f>IF(ISBLANK(B3137),"",IF(ROUND(B3137,0)=ROUND(G3137,0),"Pass","Fail"))</f>
        <v>Pass</v>
      </c>
      <c r="B3137">
        <f t="shared" si="150"/>
        <v>32.149997711181641</v>
      </c>
      <c r="C3137">
        <v>30</v>
      </c>
      <c r="D3137">
        <v>70</v>
      </c>
      <c r="E3137">
        <v>70</v>
      </c>
      <c r="F3137">
        <v>16</v>
      </c>
      <c r="G3137">
        <v>32.149997247101702</v>
      </c>
    </row>
    <row r="3138" spans="1:7" x14ac:dyDescent="0.3">
      <c r="A3138" t="str">
        <f>IF(ISBLANK(B3138),"",IF(ROUND(B3138,0)=ROUND(G3138,0),"Pass","Fail"))</f>
        <v>Pass</v>
      </c>
      <c r="B3138">
        <f t="shared" si="150"/>
        <v>23.702577590942383</v>
      </c>
      <c r="C3138">
        <v>30</v>
      </c>
      <c r="D3138">
        <v>70</v>
      </c>
      <c r="E3138">
        <v>70</v>
      </c>
      <c r="F3138">
        <v>24</v>
      </c>
      <c r="G3138">
        <v>23.702577413736201</v>
      </c>
    </row>
    <row r="3139" spans="1:7" x14ac:dyDescent="0.3">
      <c r="A3139" t="str">
        <f>IF(ISBLANK(B3139),"",IF(ROUND(B3139,0)=ROUND(G3139,0),"Pass","Fail"))</f>
        <v>Pass</v>
      </c>
      <c r="B3139">
        <f t="shared" si="150"/>
        <v>19.450273513793945</v>
      </c>
      <c r="C3139">
        <v>30</v>
      </c>
      <c r="D3139">
        <v>70</v>
      </c>
      <c r="E3139">
        <v>70</v>
      </c>
      <c r="F3139">
        <v>32</v>
      </c>
      <c r="G3139">
        <v>19.4502730059946</v>
      </c>
    </row>
    <row r="3140" spans="1:7" x14ac:dyDescent="0.3">
      <c r="A3140" t="str">
        <f>IF(ISBLANK(B3140),"",IF(ROUND(B3140,0)=ROUND(G3140,0),"Pass","Fail"))</f>
        <v>Pass</v>
      </c>
      <c r="B3140">
        <f t="shared" si="150"/>
        <v>17.309726715087891</v>
      </c>
      <c r="C3140">
        <v>30</v>
      </c>
      <c r="D3140">
        <v>70</v>
      </c>
      <c r="E3140">
        <v>70</v>
      </c>
      <c r="F3140">
        <v>40</v>
      </c>
      <c r="G3140">
        <v>17.309726764327099</v>
      </c>
    </row>
    <row r="3141" spans="1:7" x14ac:dyDescent="0.3">
      <c r="A3141" t="str">
        <f>IF(ISBLANK(B3141),"",IF(ROUND(B3141,0)=ROUND(G3141,0),"Pass","Fail"))</f>
        <v>Pass</v>
      </c>
      <c r="B3141">
        <f t="shared" si="150"/>
        <v>16.232208251953125</v>
      </c>
      <c r="C3141">
        <v>30</v>
      </c>
      <c r="D3141">
        <v>70</v>
      </c>
      <c r="E3141">
        <v>70</v>
      </c>
      <c r="F3141">
        <v>48</v>
      </c>
      <c r="G3141">
        <v>16.232207900819699</v>
      </c>
    </row>
    <row r="3142" spans="1:7" x14ac:dyDescent="0.3">
      <c r="A3142" t="str">
        <f>IF(ISBLANK(B3142),"",IF(ROUND(B3142,0)=ROUND(G3142,0),"Pass","Fail"))</f>
        <v>Pass</v>
      </c>
      <c r="B3142">
        <f t="shared" si="150"/>
        <v>82.267997741699219</v>
      </c>
      <c r="C3142">
        <v>30</v>
      </c>
      <c r="D3142">
        <v>70</v>
      </c>
      <c r="E3142">
        <v>80</v>
      </c>
      <c r="F3142">
        <v>0</v>
      </c>
      <c r="G3142">
        <v>82.268000000000001</v>
      </c>
    </row>
    <row r="3143" spans="1:7" x14ac:dyDescent="0.3">
      <c r="A3143" t="str">
        <f>IF(ISBLANK(B3143),"",IF(ROUND(B3143,0)=ROUND(G3143,0),"Pass","Fail"))</f>
        <v>Pass</v>
      </c>
      <c r="B3143">
        <f t="shared" ref="B3143:B3206" si="151">FMC_heath(C3143,D3143,E3143,F3143)</f>
        <v>48.931228637695313</v>
      </c>
      <c r="C3143">
        <v>30</v>
      </c>
      <c r="D3143">
        <v>70</v>
      </c>
      <c r="E3143">
        <v>80</v>
      </c>
      <c r="F3143">
        <v>8</v>
      </c>
      <c r="G3143">
        <v>48.931228080723002</v>
      </c>
    </row>
    <row r="3144" spans="1:7" x14ac:dyDescent="0.3">
      <c r="A3144" t="str">
        <f>IF(ISBLANK(B3144),"",IF(ROUND(B3144,0)=ROUND(G3144,0),"Pass","Fail"))</f>
        <v>Pass</v>
      </c>
      <c r="B3144">
        <f t="shared" si="151"/>
        <v>32.149997711181641</v>
      </c>
      <c r="C3144">
        <v>30</v>
      </c>
      <c r="D3144">
        <v>70</v>
      </c>
      <c r="E3144">
        <v>80</v>
      </c>
      <c r="F3144">
        <v>16</v>
      </c>
      <c r="G3144">
        <v>32.149997247101702</v>
      </c>
    </row>
    <row r="3145" spans="1:7" x14ac:dyDescent="0.3">
      <c r="A3145" t="str">
        <f>IF(ISBLANK(B3145),"",IF(ROUND(B3145,0)=ROUND(G3145,0),"Pass","Fail"))</f>
        <v>Pass</v>
      </c>
      <c r="B3145">
        <f t="shared" si="151"/>
        <v>23.702577590942383</v>
      </c>
      <c r="C3145">
        <v>30</v>
      </c>
      <c r="D3145">
        <v>70</v>
      </c>
      <c r="E3145">
        <v>80</v>
      </c>
      <c r="F3145">
        <v>24</v>
      </c>
      <c r="G3145">
        <v>23.702577413736201</v>
      </c>
    </row>
    <row r="3146" spans="1:7" x14ac:dyDescent="0.3">
      <c r="A3146" t="str">
        <f>IF(ISBLANK(B3146),"",IF(ROUND(B3146,0)=ROUND(G3146,0),"Pass","Fail"))</f>
        <v>Pass</v>
      </c>
      <c r="B3146">
        <f t="shared" si="151"/>
        <v>19.450273513793945</v>
      </c>
      <c r="C3146">
        <v>30</v>
      </c>
      <c r="D3146">
        <v>70</v>
      </c>
      <c r="E3146">
        <v>80</v>
      </c>
      <c r="F3146">
        <v>32</v>
      </c>
      <c r="G3146">
        <v>19.4502730059946</v>
      </c>
    </row>
    <row r="3147" spans="1:7" x14ac:dyDescent="0.3">
      <c r="A3147" t="str">
        <f>IF(ISBLANK(B3147),"",IF(ROUND(B3147,0)=ROUND(G3147,0),"Pass","Fail"))</f>
        <v>Pass</v>
      </c>
      <c r="B3147">
        <f t="shared" si="151"/>
        <v>17.309726715087891</v>
      </c>
      <c r="C3147">
        <v>30</v>
      </c>
      <c r="D3147">
        <v>70</v>
      </c>
      <c r="E3147">
        <v>80</v>
      </c>
      <c r="F3147">
        <v>40</v>
      </c>
      <c r="G3147">
        <v>17.309726764327099</v>
      </c>
    </row>
    <row r="3148" spans="1:7" x14ac:dyDescent="0.3">
      <c r="A3148" t="str">
        <f>IF(ISBLANK(B3148),"",IF(ROUND(B3148,0)=ROUND(G3148,0),"Pass","Fail"))</f>
        <v>Pass</v>
      </c>
      <c r="B3148">
        <f t="shared" si="151"/>
        <v>16.232208251953125</v>
      </c>
      <c r="C3148">
        <v>30</v>
      </c>
      <c r="D3148">
        <v>70</v>
      </c>
      <c r="E3148">
        <v>80</v>
      </c>
      <c r="F3148">
        <v>48</v>
      </c>
      <c r="G3148">
        <v>16.232207900819699</v>
      </c>
    </row>
    <row r="3149" spans="1:7" x14ac:dyDescent="0.3">
      <c r="A3149" t="str">
        <f>IF(ISBLANK(B3149),"",IF(ROUND(B3149,0)=ROUND(G3149,0),"Pass","Fail"))</f>
        <v>Pass</v>
      </c>
      <c r="B3149">
        <f t="shared" si="151"/>
        <v>82.267997741699219</v>
      </c>
      <c r="C3149">
        <v>30</v>
      </c>
      <c r="D3149">
        <v>70</v>
      </c>
      <c r="E3149">
        <v>90</v>
      </c>
      <c r="F3149">
        <v>0</v>
      </c>
      <c r="G3149">
        <v>82.268000000000001</v>
      </c>
    </row>
    <row r="3150" spans="1:7" x14ac:dyDescent="0.3">
      <c r="A3150" t="str">
        <f>IF(ISBLANK(B3150),"",IF(ROUND(B3150,0)=ROUND(G3150,0),"Pass","Fail"))</f>
        <v>Pass</v>
      </c>
      <c r="B3150">
        <f t="shared" si="151"/>
        <v>48.931228637695313</v>
      </c>
      <c r="C3150">
        <v>30</v>
      </c>
      <c r="D3150">
        <v>70</v>
      </c>
      <c r="E3150">
        <v>90</v>
      </c>
      <c r="F3150">
        <v>8</v>
      </c>
      <c r="G3150">
        <v>48.931228080723002</v>
      </c>
    </row>
    <row r="3151" spans="1:7" x14ac:dyDescent="0.3">
      <c r="A3151" t="str">
        <f>IF(ISBLANK(B3151),"",IF(ROUND(B3151,0)=ROUND(G3151,0),"Pass","Fail"))</f>
        <v>Pass</v>
      </c>
      <c r="B3151">
        <f t="shared" si="151"/>
        <v>32.149997711181641</v>
      </c>
      <c r="C3151">
        <v>30</v>
      </c>
      <c r="D3151">
        <v>70</v>
      </c>
      <c r="E3151">
        <v>90</v>
      </c>
      <c r="F3151">
        <v>16</v>
      </c>
      <c r="G3151">
        <v>32.149997247101702</v>
      </c>
    </row>
    <row r="3152" spans="1:7" x14ac:dyDescent="0.3">
      <c r="A3152" t="str">
        <f>IF(ISBLANK(B3152),"",IF(ROUND(B3152,0)=ROUND(G3152,0),"Pass","Fail"))</f>
        <v>Pass</v>
      </c>
      <c r="B3152">
        <f t="shared" si="151"/>
        <v>23.702577590942383</v>
      </c>
      <c r="C3152">
        <v>30</v>
      </c>
      <c r="D3152">
        <v>70</v>
      </c>
      <c r="E3152">
        <v>90</v>
      </c>
      <c r="F3152">
        <v>24</v>
      </c>
      <c r="G3152">
        <v>23.702577413736201</v>
      </c>
    </row>
    <row r="3153" spans="1:7" x14ac:dyDescent="0.3">
      <c r="A3153" t="str">
        <f>IF(ISBLANK(B3153),"",IF(ROUND(B3153,0)=ROUND(G3153,0),"Pass","Fail"))</f>
        <v>Pass</v>
      </c>
      <c r="B3153">
        <f t="shared" si="151"/>
        <v>19.450273513793945</v>
      </c>
      <c r="C3153">
        <v>30</v>
      </c>
      <c r="D3153">
        <v>70</v>
      </c>
      <c r="E3153">
        <v>90</v>
      </c>
      <c r="F3153">
        <v>32</v>
      </c>
      <c r="G3153">
        <v>19.4502730059946</v>
      </c>
    </row>
    <row r="3154" spans="1:7" x14ac:dyDescent="0.3">
      <c r="A3154" t="str">
        <f>IF(ISBLANK(B3154),"",IF(ROUND(B3154,0)=ROUND(G3154,0),"Pass","Fail"))</f>
        <v>Pass</v>
      </c>
      <c r="B3154">
        <f t="shared" si="151"/>
        <v>17.309726715087891</v>
      </c>
      <c r="C3154">
        <v>30</v>
      </c>
      <c r="D3154">
        <v>70</v>
      </c>
      <c r="E3154">
        <v>90</v>
      </c>
      <c r="F3154">
        <v>40</v>
      </c>
      <c r="G3154">
        <v>17.309726764327099</v>
      </c>
    </row>
    <row r="3155" spans="1:7" x14ac:dyDescent="0.3">
      <c r="A3155" t="str">
        <f>IF(ISBLANK(B3155),"",IF(ROUND(B3155,0)=ROUND(G3155,0),"Pass","Fail"))</f>
        <v>Pass</v>
      </c>
      <c r="B3155">
        <f t="shared" si="151"/>
        <v>16.232208251953125</v>
      </c>
      <c r="C3155">
        <v>30</v>
      </c>
      <c r="D3155">
        <v>70</v>
      </c>
      <c r="E3155">
        <v>90</v>
      </c>
      <c r="F3155">
        <v>48</v>
      </c>
      <c r="G3155">
        <v>16.232207900819699</v>
      </c>
    </row>
    <row r="3156" spans="1:7" x14ac:dyDescent="0.3">
      <c r="A3156" t="str">
        <f>IF(ISBLANK(B3156),"",IF(ROUND(B3156,0)=ROUND(G3156,0),"Pass","Fail"))</f>
        <v>Pass</v>
      </c>
      <c r="B3156">
        <f t="shared" si="151"/>
        <v>82.267997741699219</v>
      </c>
      <c r="C3156">
        <v>30</v>
      </c>
      <c r="D3156">
        <v>70</v>
      </c>
      <c r="E3156">
        <v>100</v>
      </c>
      <c r="F3156">
        <v>0</v>
      </c>
      <c r="G3156">
        <v>82.268000000000001</v>
      </c>
    </row>
    <row r="3157" spans="1:7" x14ac:dyDescent="0.3">
      <c r="A3157" t="str">
        <f>IF(ISBLANK(B3157),"",IF(ROUND(B3157,0)=ROUND(G3157,0),"Pass","Fail"))</f>
        <v>Pass</v>
      </c>
      <c r="B3157">
        <f t="shared" si="151"/>
        <v>48.931228637695313</v>
      </c>
      <c r="C3157">
        <v>30</v>
      </c>
      <c r="D3157">
        <v>70</v>
      </c>
      <c r="E3157">
        <v>100</v>
      </c>
      <c r="F3157">
        <v>8</v>
      </c>
      <c r="G3157">
        <v>48.931228080723002</v>
      </c>
    </row>
    <row r="3158" spans="1:7" x14ac:dyDescent="0.3">
      <c r="A3158" t="str">
        <f>IF(ISBLANK(B3158),"",IF(ROUND(B3158,0)=ROUND(G3158,0),"Pass","Fail"))</f>
        <v>Pass</v>
      </c>
      <c r="B3158">
        <f t="shared" si="151"/>
        <v>32.149997711181641</v>
      </c>
      <c r="C3158">
        <v>30</v>
      </c>
      <c r="D3158">
        <v>70</v>
      </c>
      <c r="E3158">
        <v>100</v>
      </c>
      <c r="F3158">
        <v>16</v>
      </c>
      <c r="G3158">
        <v>32.149997247101702</v>
      </c>
    </row>
    <row r="3159" spans="1:7" x14ac:dyDescent="0.3">
      <c r="A3159" t="str">
        <f>IF(ISBLANK(B3159),"",IF(ROUND(B3159,0)=ROUND(G3159,0),"Pass","Fail"))</f>
        <v>Pass</v>
      </c>
      <c r="B3159">
        <f t="shared" si="151"/>
        <v>23.702577590942383</v>
      </c>
      <c r="C3159">
        <v>30</v>
      </c>
      <c r="D3159">
        <v>70</v>
      </c>
      <c r="E3159">
        <v>100</v>
      </c>
      <c r="F3159">
        <v>24</v>
      </c>
      <c r="G3159">
        <v>23.702577413736201</v>
      </c>
    </row>
    <row r="3160" spans="1:7" x14ac:dyDescent="0.3">
      <c r="A3160" t="str">
        <f>IF(ISBLANK(B3160),"",IF(ROUND(B3160,0)=ROUND(G3160,0),"Pass","Fail"))</f>
        <v>Pass</v>
      </c>
      <c r="B3160">
        <f t="shared" si="151"/>
        <v>19.450273513793945</v>
      </c>
      <c r="C3160">
        <v>30</v>
      </c>
      <c r="D3160">
        <v>70</v>
      </c>
      <c r="E3160">
        <v>100</v>
      </c>
      <c r="F3160">
        <v>32</v>
      </c>
      <c r="G3160">
        <v>19.4502730059946</v>
      </c>
    </row>
    <row r="3161" spans="1:7" x14ac:dyDescent="0.3">
      <c r="A3161" t="str">
        <f>IF(ISBLANK(B3161),"",IF(ROUND(B3161,0)=ROUND(G3161,0),"Pass","Fail"))</f>
        <v>Pass</v>
      </c>
      <c r="B3161">
        <f t="shared" si="151"/>
        <v>17.309726715087891</v>
      </c>
      <c r="C3161">
        <v>30</v>
      </c>
      <c r="D3161">
        <v>70</v>
      </c>
      <c r="E3161">
        <v>100</v>
      </c>
      <c r="F3161">
        <v>40</v>
      </c>
      <c r="G3161">
        <v>17.309726764327099</v>
      </c>
    </row>
    <row r="3162" spans="1:7" x14ac:dyDescent="0.3">
      <c r="A3162" t="str">
        <f>IF(ISBLANK(B3162),"",IF(ROUND(B3162,0)=ROUND(G3162,0),"Pass","Fail"))</f>
        <v>Pass</v>
      </c>
      <c r="B3162">
        <f t="shared" si="151"/>
        <v>16.232208251953125</v>
      </c>
      <c r="C3162">
        <v>30</v>
      </c>
      <c r="D3162">
        <v>70</v>
      </c>
      <c r="E3162">
        <v>100</v>
      </c>
      <c r="F3162">
        <v>48</v>
      </c>
      <c r="G3162">
        <v>16.232207900819699</v>
      </c>
    </row>
    <row r="3163" spans="1:7" x14ac:dyDescent="0.3">
      <c r="A3163" t="str">
        <f>IF(ISBLANK(B3163),"",IF(ROUND(B3163,0)=ROUND(G3163,0),"Pass","Fail"))</f>
        <v>Pass</v>
      </c>
      <c r="B3163">
        <f t="shared" si="151"/>
        <v>16.75</v>
      </c>
      <c r="C3163">
        <v>30</v>
      </c>
      <c r="D3163">
        <v>80</v>
      </c>
      <c r="E3163">
        <v>0</v>
      </c>
      <c r="F3163">
        <v>0</v>
      </c>
      <c r="G3163">
        <v>16.75</v>
      </c>
    </row>
    <row r="3164" spans="1:7" x14ac:dyDescent="0.3">
      <c r="A3164" t="str">
        <f>IF(ISBLANK(B3164),"",IF(ROUND(B3164,0)=ROUND(G3164,0),"Pass","Fail"))</f>
        <v>Pass</v>
      </c>
      <c r="B3164">
        <f t="shared" si="151"/>
        <v>16.75</v>
      </c>
      <c r="C3164">
        <v>30</v>
      </c>
      <c r="D3164">
        <v>80</v>
      </c>
      <c r="E3164">
        <v>0</v>
      </c>
      <c r="F3164">
        <v>8</v>
      </c>
      <c r="G3164">
        <v>16.75</v>
      </c>
    </row>
    <row r="3165" spans="1:7" x14ac:dyDescent="0.3">
      <c r="A3165" t="str">
        <f>IF(ISBLANK(B3165),"",IF(ROUND(B3165,0)=ROUND(G3165,0),"Pass","Fail"))</f>
        <v>Pass</v>
      </c>
      <c r="B3165">
        <f t="shared" si="151"/>
        <v>16.75</v>
      </c>
      <c r="C3165">
        <v>30</v>
      </c>
      <c r="D3165">
        <v>80</v>
      </c>
      <c r="E3165">
        <v>0</v>
      </c>
      <c r="F3165">
        <v>16</v>
      </c>
      <c r="G3165">
        <v>16.75</v>
      </c>
    </row>
    <row r="3166" spans="1:7" x14ac:dyDescent="0.3">
      <c r="A3166" t="str">
        <f>IF(ISBLANK(B3166),"",IF(ROUND(B3166,0)=ROUND(G3166,0),"Pass","Fail"))</f>
        <v>Pass</v>
      </c>
      <c r="B3166">
        <f t="shared" si="151"/>
        <v>16.75</v>
      </c>
      <c r="C3166">
        <v>30</v>
      </c>
      <c r="D3166">
        <v>80</v>
      </c>
      <c r="E3166">
        <v>0</v>
      </c>
      <c r="F3166">
        <v>24</v>
      </c>
      <c r="G3166">
        <v>16.75</v>
      </c>
    </row>
    <row r="3167" spans="1:7" x14ac:dyDescent="0.3">
      <c r="A3167" t="str">
        <f>IF(ISBLANK(B3167),"",IF(ROUND(B3167,0)=ROUND(G3167,0),"Pass","Fail"))</f>
        <v>Pass</v>
      </c>
      <c r="B3167">
        <f t="shared" si="151"/>
        <v>16.75</v>
      </c>
      <c r="C3167">
        <v>30</v>
      </c>
      <c r="D3167">
        <v>80</v>
      </c>
      <c r="E3167">
        <v>0</v>
      </c>
      <c r="F3167">
        <v>32</v>
      </c>
      <c r="G3167">
        <v>16.75</v>
      </c>
    </row>
    <row r="3168" spans="1:7" x14ac:dyDescent="0.3">
      <c r="A3168" t="str">
        <f>IF(ISBLANK(B3168),"",IF(ROUND(B3168,0)=ROUND(G3168,0),"Pass","Fail"))</f>
        <v>Pass</v>
      </c>
      <c r="B3168">
        <f t="shared" si="151"/>
        <v>16.75</v>
      </c>
      <c r="C3168">
        <v>30</v>
      </c>
      <c r="D3168">
        <v>80</v>
      </c>
      <c r="E3168">
        <v>0</v>
      </c>
      <c r="F3168">
        <v>40</v>
      </c>
      <c r="G3168">
        <v>16.75</v>
      </c>
    </row>
    <row r="3169" spans="1:7" x14ac:dyDescent="0.3">
      <c r="A3169" t="str">
        <f>IF(ISBLANK(B3169),"",IF(ROUND(B3169,0)=ROUND(G3169,0),"Pass","Fail"))</f>
        <v>Pass</v>
      </c>
      <c r="B3169">
        <f t="shared" si="151"/>
        <v>16.75</v>
      </c>
      <c r="C3169">
        <v>30</v>
      </c>
      <c r="D3169">
        <v>80</v>
      </c>
      <c r="E3169">
        <v>0</v>
      </c>
      <c r="F3169">
        <v>48</v>
      </c>
      <c r="G3169">
        <v>16.75</v>
      </c>
    </row>
    <row r="3170" spans="1:7" x14ac:dyDescent="0.3">
      <c r="A3170" t="str">
        <f>IF(ISBLANK(B3170),"",IF(ROUND(B3170,0)=ROUND(G3170,0),"Pass","Fail"))</f>
        <v>Pass</v>
      </c>
      <c r="B3170">
        <f t="shared" si="151"/>
        <v>83.877998352050781</v>
      </c>
      <c r="C3170">
        <v>30</v>
      </c>
      <c r="D3170">
        <v>80</v>
      </c>
      <c r="E3170">
        <v>10</v>
      </c>
      <c r="F3170">
        <v>0</v>
      </c>
      <c r="G3170">
        <v>83.877999999998295</v>
      </c>
    </row>
    <row r="3171" spans="1:7" x14ac:dyDescent="0.3">
      <c r="A3171" t="str">
        <f>IF(ISBLANK(B3171),"",IF(ROUND(B3171,0)=ROUND(G3171,0),"Pass","Fail"))</f>
        <v>Pass</v>
      </c>
      <c r="B3171">
        <f t="shared" si="151"/>
        <v>50.541229248046875</v>
      </c>
      <c r="C3171">
        <v>30</v>
      </c>
      <c r="D3171">
        <v>80</v>
      </c>
      <c r="E3171">
        <v>10</v>
      </c>
      <c r="F3171">
        <v>8</v>
      </c>
      <c r="G3171">
        <v>50.541228080722199</v>
      </c>
    </row>
    <row r="3172" spans="1:7" x14ac:dyDescent="0.3">
      <c r="A3172" t="str">
        <f>IF(ISBLANK(B3172),"",IF(ROUND(B3172,0)=ROUND(G3172,0),"Pass","Fail"))</f>
        <v>Pass</v>
      </c>
      <c r="B3172">
        <f t="shared" si="151"/>
        <v>33.759994506835938</v>
      </c>
      <c r="C3172">
        <v>30</v>
      </c>
      <c r="D3172">
        <v>80</v>
      </c>
      <c r="E3172">
        <v>10</v>
      </c>
      <c r="F3172">
        <v>16</v>
      </c>
      <c r="G3172">
        <v>33.759997247101303</v>
      </c>
    </row>
    <row r="3173" spans="1:7" x14ac:dyDescent="0.3">
      <c r="A3173" t="str">
        <f>IF(ISBLANK(B3173),"",IF(ROUND(B3173,0)=ROUND(G3173,0),"Pass","Fail"))</f>
        <v>Pass</v>
      </c>
      <c r="B3173">
        <f t="shared" si="151"/>
        <v>25.312576293945313</v>
      </c>
      <c r="C3173">
        <v>30</v>
      </c>
      <c r="D3173">
        <v>80</v>
      </c>
      <c r="E3173">
        <v>10</v>
      </c>
      <c r="F3173">
        <v>24</v>
      </c>
      <c r="G3173">
        <v>25.312577413736001</v>
      </c>
    </row>
    <row r="3174" spans="1:7" x14ac:dyDescent="0.3">
      <c r="A3174" t="str">
        <f>IF(ISBLANK(B3174),"",IF(ROUND(B3174,0)=ROUND(G3174,0),"Pass","Fail"))</f>
        <v>Pass</v>
      </c>
      <c r="B3174">
        <f t="shared" si="151"/>
        <v>21.060272216796875</v>
      </c>
      <c r="C3174">
        <v>30</v>
      </c>
      <c r="D3174">
        <v>80</v>
      </c>
      <c r="E3174">
        <v>10</v>
      </c>
      <c r="F3174">
        <v>32</v>
      </c>
      <c r="G3174">
        <v>21.0602730059945</v>
      </c>
    </row>
    <row r="3175" spans="1:7" x14ac:dyDescent="0.3">
      <c r="A3175" t="str">
        <f>IF(ISBLANK(B3175),"",IF(ROUND(B3175,0)=ROUND(G3175,0),"Pass","Fail"))</f>
        <v>Pass</v>
      </c>
      <c r="B3175">
        <f t="shared" si="151"/>
        <v>18.919727325439453</v>
      </c>
      <c r="C3175">
        <v>30</v>
      </c>
      <c r="D3175">
        <v>80</v>
      </c>
      <c r="E3175">
        <v>10</v>
      </c>
      <c r="F3175">
        <v>40</v>
      </c>
      <c r="G3175">
        <v>18.919726764326999</v>
      </c>
    </row>
    <row r="3176" spans="1:7" x14ac:dyDescent="0.3">
      <c r="A3176" t="str">
        <f>IF(ISBLANK(B3176),"",IF(ROUND(B3176,0)=ROUND(G3176,0),"Pass","Fail"))</f>
        <v>Pass</v>
      </c>
      <c r="B3176">
        <f t="shared" si="151"/>
        <v>17.842208862304688</v>
      </c>
      <c r="C3176">
        <v>30</v>
      </c>
      <c r="D3176">
        <v>80</v>
      </c>
      <c r="E3176">
        <v>10</v>
      </c>
      <c r="F3176">
        <v>48</v>
      </c>
      <c r="G3176">
        <v>17.842207900819599</v>
      </c>
    </row>
    <row r="3177" spans="1:7" x14ac:dyDescent="0.3">
      <c r="A3177" t="str">
        <f>IF(ISBLANK(B3177),"",IF(ROUND(B3177,0)=ROUND(G3177,0),"Pass","Fail"))</f>
        <v>Pass</v>
      </c>
      <c r="B3177">
        <f t="shared" si="151"/>
        <v>83.877998352050781</v>
      </c>
      <c r="C3177">
        <v>30</v>
      </c>
      <c r="D3177">
        <v>80</v>
      </c>
      <c r="E3177">
        <v>20</v>
      </c>
      <c r="F3177">
        <v>0</v>
      </c>
      <c r="G3177">
        <v>83.878</v>
      </c>
    </row>
    <row r="3178" spans="1:7" x14ac:dyDescent="0.3">
      <c r="A3178" t="str">
        <f>IF(ISBLANK(B3178),"",IF(ROUND(B3178,0)=ROUND(G3178,0),"Pass","Fail"))</f>
        <v>Pass</v>
      </c>
      <c r="B3178">
        <f t="shared" si="151"/>
        <v>50.541229248046875</v>
      </c>
      <c r="C3178">
        <v>30</v>
      </c>
      <c r="D3178">
        <v>80</v>
      </c>
      <c r="E3178">
        <v>20</v>
      </c>
      <c r="F3178">
        <v>8</v>
      </c>
      <c r="G3178">
        <v>50.541228080723002</v>
      </c>
    </row>
    <row r="3179" spans="1:7" x14ac:dyDescent="0.3">
      <c r="A3179" t="str">
        <f>IF(ISBLANK(B3179),"",IF(ROUND(B3179,0)=ROUND(G3179,0),"Pass","Fail"))</f>
        <v>Pass</v>
      </c>
      <c r="B3179">
        <f t="shared" si="151"/>
        <v>33.759994506835938</v>
      </c>
      <c r="C3179">
        <v>30</v>
      </c>
      <c r="D3179">
        <v>80</v>
      </c>
      <c r="E3179">
        <v>20</v>
      </c>
      <c r="F3179">
        <v>16</v>
      </c>
      <c r="G3179">
        <v>33.759997247101701</v>
      </c>
    </row>
    <row r="3180" spans="1:7" x14ac:dyDescent="0.3">
      <c r="A3180" t="str">
        <f>IF(ISBLANK(B3180),"",IF(ROUND(B3180,0)=ROUND(G3180,0),"Pass","Fail"))</f>
        <v>Pass</v>
      </c>
      <c r="B3180">
        <f t="shared" si="151"/>
        <v>25.312576293945313</v>
      </c>
      <c r="C3180">
        <v>30</v>
      </c>
      <c r="D3180">
        <v>80</v>
      </c>
      <c r="E3180">
        <v>20</v>
      </c>
      <c r="F3180">
        <v>24</v>
      </c>
      <c r="G3180">
        <v>25.3125774137362</v>
      </c>
    </row>
    <row r="3181" spans="1:7" x14ac:dyDescent="0.3">
      <c r="A3181" t="str">
        <f>IF(ISBLANK(B3181),"",IF(ROUND(B3181,0)=ROUND(G3181,0),"Pass","Fail"))</f>
        <v>Pass</v>
      </c>
      <c r="B3181">
        <f t="shared" si="151"/>
        <v>21.060272216796875</v>
      </c>
      <c r="C3181">
        <v>30</v>
      </c>
      <c r="D3181">
        <v>80</v>
      </c>
      <c r="E3181">
        <v>20</v>
      </c>
      <c r="F3181">
        <v>32</v>
      </c>
      <c r="G3181">
        <v>21.060273005994599</v>
      </c>
    </row>
    <row r="3182" spans="1:7" x14ac:dyDescent="0.3">
      <c r="A3182" t="str">
        <f>IF(ISBLANK(B3182),"",IF(ROUND(B3182,0)=ROUND(G3182,0),"Pass","Fail"))</f>
        <v>Pass</v>
      </c>
      <c r="B3182">
        <f t="shared" si="151"/>
        <v>18.919727325439453</v>
      </c>
      <c r="C3182">
        <v>30</v>
      </c>
      <c r="D3182">
        <v>80</v>
      </c>
      <c r="E3182">
        <v>20</v>
      </c>
      <c r="F3182">
        <v>40</v>
      </c>
      <c r="G3182">
        <v>18.919726764327098</v>
      </c>
    </row>
    <row r="3183" spans="1:7" x14ac:dyDescent="0.3">
      <c r="A3183" t="str">
        <f>IF(ISBLANK(B3183),"",IF(ROUND(B3183,0)=ROUND(G3183,0),"Pass","Fail"))</f>
        <v>Pass</v>
      </c>
      <c r="B3183">
        <f t="shared" si="151"/>
        <v>17.842208862304688</v>
      </c>
      <c r="C3183">
        <v>30</v>
      </c>
      <c r="D3183">
        <v>80</v>
      </c>
      <c r="E3183">
        <v>20</v>
      </c>
      <c r="F3183">
        <v>48</v>
      </c>
      <c r="G3183">
        <v>17.842207900819702</v>
      </c>
    </row>
    <row r="3184" spans="1:7" x14ac:dyDescent="0.3">
      <c r="A3184" t="str">
        <f>IF(ISBLANK(B3184),"",IF(ROUND(B3184,0)=ROUND(G3184,0),"Pass","Fail"))</f>
        <v>Pass</v>
      </c>
      <c r="B3184">
        <f t="shared" si="151"/>
        <v>83.877998352050781</v>
      </c>
      <c r="C3184">
        <v>30</v>
      </c>
      <c r="D3184">
        <v>80</v>
      </c>
      <c r="E3184">
        <v>30</v>
      </c>
      <c r="F3184">
        <v>0</v>
      </c>
      <c r="G3184">
        <v>83.878</v>
      </c>
    </row>
    <row r="3185" spans="1:7" x14ac:dyDescent="0.3">
      <c r="A3185" t="str">
        <f>IF(ISBLANK(B3185),"",IF(ROUND(B3185,0)=ROUND(G3185,0),"Pass","Fail"))</f>
        <v>Pass</v>
      </c>
      <c r="B3185">
        <f t="shared" si="151"/>
        <v>50.541229248046875</v>
      </c>
      <c r="C3185">
        <v>30</v>
      </c>
      <c r="D3185">
        <v>80</v>
      </c>
      <c r="E3185">
        <v>30</v>
      </c>
      <c r="F3185">
        <v>8</v>
      </c>
      <c r="G3185">
        <v>50.541228080723002</v>
      </c>
    </row>
    <row r="3186" spans="1:7" x14ac:dyDescent="0.3">
      <c r="A3186" t="str">
        <f>IF(ISBLANK(B3186),"",IF(ROUND(B3186,0)=ROUND(G3186,0),"Pass","Fail"))</f>
        <v>Pass</v>
      </c>
      <c r="B3186">
        <f t="shared" si="151"/>
        <v>33.759994506835938</v>
      </c>
      <c r="C3186">
        <v>30</v>
      </c>
      <c r="D3186">
        <v>80</v>
      </c>
      <c r="E3186">
        <v>30</v>
      </c>
      <c r="F3186">
        <v>16</v>
      </c>
      <c r="G3186">
        <v>33.759997247101701</v>
      </c>
    </row>
    <row r="3187" spans="1:7" x14ac:dyDescent="0.3">
      <c r="A3187" t="str">
        <f>IF(ISBLANK(B3187),"",IF(ROUND(B3187,0)=ROUND(G3187,0),"Pass","Fail"))</f>
        <v>Pass</v>
      </c>
      <c r="B3187">
        <f t="shared" si="151"/>
        <v>25.312576293945313</v>
      </c>
      <c r="C3187">
        <v>30</v>
      </c>
      <c r="D3187">
        <v>80</v>
      </c>
      <c r="E3187">
        <v>30</v>
      </c>
      <c r="F3187">
        <v>24</v>
      </c>
      <c r="G3187">
        <v>25.3125774137362</v>
      </c>
    </row>
    <row r="3188" spans="1:7" x14ac:dyDescent="0.3">
      <c r="A3188" t="str">
        <f>IF(ISBLANK(B3188),"",IF(ROUND(B3188,0)=ROUND(G3188,0),"Pass","Fail"))</f>
        <v>Pass</v>
      </c>
      <c r="B3188">
        <f t="shared" si="151"/>
        <v>21.060272216796875</v>
      </c>
      <c r="C3188">
        <v>30</v>
      </c>
      <c r="D3188">
        <v>80</v>
      </c>
      <c r="E3188">
        <v>30</v>
      </c>
      <c r="F3188">
        <v>32</v>
      </c>
      <c r="G3188">
        <v>21.060273005994599</v>
      </c>
    </row>
    <row r="3189" spans="1:7" x14ac:dyDescent="0.3">
      <c r="A3189" t="str">
        <f>IF(ISBLANK(B3189),"",IF(ROUND(B3189,0)=ROUND(G3189,0),"Pass","Fail"))</f>
        <v>Pass</v>
      </c>
      <c r="B3189">
        <f t="shared" si="151"/>
        <v>18.919727325439453</v>
      </c>
      <c r="C3189">
        <v>30</v>
      </c>
      <c r="D3189">
        <v>80</v>
      </c>
      <c r="E3189">
        <v>30</v>
      </c>
      <c r="F3189">
        <v>40</v>
      </c>
      <c r="G3189">
        <v>18.919726764327098</v>
      </c>
    </row>
    <row r="3190" spans="1:7" x14ac:dyDescent="0.3">
      <c r="A3190" t="str">
        <f>IF(ISBLANK(B3190),"",IF(ROUND(B3190,0)=ROUND(G3190,0),"Pass","Fail"))</f>
        <v>Pass</v>
      </c>
      <c r="B3190">
        <f t="shared" si="151"/>
        <v>17.842208862304688</v>
      </c>
      <c r="C3190">
        <v>30</v>
      </c>
      <c r="D3190">
        <v>80</v>
      </c>
      <c r="E3190">
        <v>30</v>
      </c>
      <c r="F3190">
        <v>48</v>
      </c>
      <c r="G3190">
        <v>17.842207900819702</v>
      </c>
    </row>
    <row r="3191" spans="1:7" x14ac:dyDescent="0.3">
      <c r="A3191" t="str">
        <f>IF(ISBLANK(B3191),"",IF(ROUND(B3191,0)=ROUND(G3191,0),"Pass","Fail"))</f>
        <v>Pass</v>
      </c>
      <c r="B3191">
        <f t="shared" si="151"/>
        <v>83.877998352050781</v>
      </c>
      <c r="C3191">
        <v>30</v>
      </c>
      <c r="D3191">
        <v>80</v>
      </c>
      <c r="E3191">
        <v>40</v>
      </c>
      <c r="F3191">
        <v>0</v>
      </c>
      <c r="G3191">
        <v>83.878</v>
      </c>
    </row>
    <row r="3192" spans="1:7" x14ac:dyDescent="0.3">
      <c r="A3192" t="str">
        <f>IF(ISBLANK(B3192),"",IF(ROUND(B3192,0)=ROUND(G3192,0),"Pass","Fail"))</f>
        <v>Pass</v>
      </c>
      <c r="B3192">
        <f t="shared" si="151"/>
        <v>50.541229248046875</v>
      </c>
      <c r="C3192">
        <v>30</v>
      </c>
      <c r="D3192">
        <v>80</v>
      </c>
      <c r="E3192">
        <v>40</v>
      </c>
      <c r="F3192">
        <v>8</v>
      </c>
      <c r="G3192">
        <v>50.541228080723002</v>
      </c>
    </row>
    <row r="3193" spans="1:7" x14ac:dyDescent="0.3">
      <c r="A3193" t="str">
        <f>IF(ISBLANK(B3193),"",IF(ROUND(B3193,0)=ROUND(G3193,0),"Pass","Fail"))</f>
        <v>Pass</v>
      </c>
      <c r="B3193">
        <f t="shared" si="151"/>
        <v>33.759994506835938</v>
      </c>
      <c r="C3193">
        <v>30</v>
      </c>
      <c r="D3193">
        <v>80</v>
      </c>
      <c r="E3193">
        <v>40</v>
      </c>
      <c r="F3193">
        <v>16</v>
      </c>
      <c r="G3193">
        <v>33.759997247101701</v>
      </c>
    </row>
    <row r="3194" spans="1:7" x14ac:dyDescent="0.3">
      <c r="A3194" t="str">
        <f>IF(ISBLANK(B3194),"",IF(ROUND(B3194,0)=ROUND(G3194,0),"Pass","Fail"))</f>
        <v>Pass</v>
      </c>
      <c r="B3194">
        <f t="shared" si="151"/>
        <v>25.312576293945313</v>
      </c>
      <c r="C3194">
        <v>30</v>
      </c>
      <c r="D3194">
        <v>80</v>
      </c>
      <c r="E3194">
        <v>40</v>
      </c>
      <c r="F3194">
        <v>24</v>
      </c>
      <c r="G3194">
        <v>25.3125774137362</v>
      </c>
    </row>
    <row r="3195" spans="1:7" x14ac:dyDescent="0.3">
      <c r="A3195" t="str">
        <f>IF(ISBLANK(B3195),"",IF(ROUND(B3195,0)=ROUND(G3195,0),"Pass","Fail"))</f>
        <v>Pass</v>
      </c>
      <c r="B3195">
        <f t="shared" si="151"/>
        <v>21.060272216796875</v>
      </c>
      <c r="C3195">
        <v>30</v>
      </c>
      <c r="D3195">
        <v>80</v>
      </c>
      <c r="E3195">
        <v>40</v>
      </c>
      <c r="F3195">
        <v>32</v>
      </c>
      <c r="G3195">
        <v>21.060273005994599</v>
      </c>
    </row>
    <row r="3196" spans="1:7" x14ac:dyDescent="0.3">
      <c r="A3196" t="str">
        <f>IF(ISBLANK(B3196),"",IF(ROUND(B3196,0)=ROUND(G3196,0),"Pass","Fail"))</f>
        <v>Pass</v>
      </c>
      <c r="B3196">
        <f t="shared" si="151"/>
        <v>18.919727325439453</v>
      </c>
      <c r="C3196">
        <v>30</v>
      </c>
      <c r="D3196">
        <v>80</v>
      </c>
      <c r="E3196">
        <v>40</v>
      </c>
      <c r="F3196">
        <v>40</v>
      </c>
      <c r="G3196">
        <v>18.919726764327098</v>
      </c>
    </row>
    <row r="3197" spans="1:7" x14ac:dyDescent="0.3">
      <c r="A3197" t="str">
        <f>IF(ISBLANK(B3197),"",IF(ROUND(B3197,0)=ROUND(G3197,0),"Pass","Fail"))</f>
        <v>Pass</v>
      </c>
      <c r="B3197">
        <f t="shared" si="151"/>
        <v>17.842208862304688</v>
      </c>
      <c r="C3197">
        <v>30</v>
      </c>
      <c r="D3197">
        <v>80</v>
      </c>
      <c r="E3197">
        <v>40</v>
      </c>
      <c r="F3197">
        <v>48</v>
      </c>
      <c r="G3197">
        <v>17.842207900819702</v>
      </c>
    </row>
    <row r="3198" spans="1:7" x14ac:dyDescent="0.3">
      <c r="A3198" t="str">
        <f>IF(ISBLANK(B3198),"",IF(ROUND(B3198,0)=ROUND(G3198,0),"Pass","Fail"))</f>
        <v>Pass</v>
      </c>
      <c r="B3198">
        <f t="shared" si="151"/>
        <v>83.877998352050781</v>
      </c>
      <c r="C3198">
        <v>30</v>
      </c>
      <c r="D3198">
        <v>80</v>
      </c>
      <c r="E3198">
        <v>50</v>
      </c>
      <c r="F3198">
        <v>0</v>
      </c>
      <c r="G3198">
        <v>83.878</v>
      </c>
    </row>
    <row r="3199" spans="1:7" x14ac:dyDescent="0.3">
      <c r="A3199" t="str">
        <f>IF(ISBLANK(B3199),"",IF(ROUND(B3199,0)=ROUND(G3199,0),"Pass","Fail"))</f>
        <v>Pass</v>
      </c>
      <c r="B3199">
        <f t="shared" si="151"/>
        <v>50.541229248046875</v>
      </c>
      <c r="C3199">
        <v>30</v>
      </c>
      <c r="D3199">
        <v>80</v>
      </c>
      <c r="E3199">
        <v>50</v>
      </c>
      <c r="F3199">
        <v>8</v>
      </c>
      <c r="G3199">
        <v>50.541228080723002</v>
      </c>
    </row>
    <row r="3200" spans="1:7" x14ac:dyDescent="0.3">
      <c r="A3200" t="str">
        <f>IF(ISBLANK(B3200),"",IF(ROUND(B3200,0)=ROUND(G3200,0),"Pass","Fail"))</f>
        <v>Pass</v>
      </c>
      <c r="B3200">
        <f t="shared" si="151"/>
        <v>33.759994506835938</v>
      </c>
      <c r="C3200">
        <v>30</v>
      </c>
      <c r="D3200">
        <v>80</v>
      </c>
      <c r="E3200">
        <v>50</v>
      </c>
      <c r="F3200">
        <v>16</v>
      </c>
      <c r="G3200">
        <v>33.759997247101701</v>
      </c>
    </row>
    <row r="3201" spans="1:7" x14ac:dyDescent="0.3">
      <c r="A3201" t="str">
        <f>IF(ISBLANK(B3201),"",IF(ROUND(B3201,0)=ROUND(G3201,0),"Pass","Fail"))</f>
        <v>Pass</v>
      </c>
      <c r="B3201">
        <f t="shared" si="151"/>
        <v>25.312576293945313</v>
      </c>
      <c r="C3201">
        <v>30</v>
      </c>
      <c r="D3201">
        <v>80</v>
      </c>
      <c r="E3201">
        <v>50</v>
      </c>
      <c r="F3201">
        <v>24</v>
      </c>
      <c r="G3201">
        <v>25.3125774137362</v>
      </c>
    </row>
    <row r="3202" spans="1:7" x14ac:dyDescent="0.3">
      <c r="A3202" t="str">
        <f>IF(ISBLANK(B3202),"",IF(ROUND(B3202,0)=ROUND(G3202,0),"Pass","Fail"))</f>
        <v>Pass</v>
      </c>
      <c r="B3202">
        <f t="shared" si="151"/>
        <v>21.060272216796875</v>
      </c>
      <c r="C3202">
        <v>30</v>
      </c>
      <c r="D3202">
        <v>80</v>
      </c>
      <c r="E3202">
        <v>50</v>
      </c>
      <c r="F3202">
        <v>32</v>
      </c>
      <c r="G3202">
        <v>21.060273005994599</v>
      </c>
    </row>
    <row r="3203" spans="1:7" x14ac:dyDescent="0.3">
      <c r="A3203" t="str">
        <f>IF(ISBLANK(B3203),"",IF(ROUND(B3203,0)=ROUND(G3203,0),"Pass","Fail"))</f>
        <v>Pass</v>
      </c>
      <c r="B3203">
        <f t="shared" si="151"/>
        <v>18.919727325439453</v>
      </c>
      <c r="C3203">
        <v>30</v>
      </c>
      <c r="D3203">
        <v>80</v>
      </c>
      <c r="E3203">
        <v>50</v>
      </c>
      <c r="F3203">
        <v>40</v>
      </c>
      <c r="G3203">
        <v>18.919726764327098</v>
      </c>
    </row>
    <row r="3204" spans="1:7" x14ac:dyDescent="0.3">
      <c r="A3204" t="str">
        <f>IF(ISBLANK(B3204),"",IF(ROUND(B3204,0)=ROUND(G3204,0),"Pass","Fail"))</f>
        <v>Pass</v>
      </c>
      <c r="B3204">
        <f t="shared" si="151"/>
        <v>17.842208862304688</v>
      </c>
      <c r="C3204">
        <v>30</v>
      </c>
      <c r="D3204">
        <v>80</v>
      </c>
      <c r="E3204">
        <v>50</v>
      </c>
      <c r="F3204">
        <v>48</v>
      </c>
      <c r="G3204">
        <v>17.842207900819702</v>
      </c>
    </row>
    <row r="3205" spans="1:7" x14ac:dyDescent="0.3">
      <c r="A3205" t="str">
        <f>IF(ISBLANK(B3205),"",IF(ROUND(B3205,0)=ROUND(G3205,0),"Pass","Fail"))</f>
        <v>Pass</v>
      </c>
      <c r="B3205">
        <f t="shared" si="151"/>
        <v>83.877998352050781</v>
      </c>
      <c r="C3205">
        <v>30</v>
      </c>
      <c r="D3205">
        <v>80</v>
      </c>
      <c r="E3205">
        <v>60</v>
      </c>
      <c r="F3205">
        <v>0</v>
      </c>
      <c r="G3205">
        <v>83.878</v>
      </c>
    </row>
    <row r="3206" spans="1:7" x14ac:dyDescent="0.3">
      <c r="A3206" t="str">
        <f>IF(ISBLANK(B3206),"",IF(ROUND(B3206,0)=ROUND(G3206,0),"Pass","Fail"))</f>
        <v>Pass</v>
      </c>
      <c r="B3206">
        <f t="shared" si="151"/>
        <v>50.541229248046875</v>
      </c>
      <c r="C3206">
        <v>30</v>
      </c>
      <c r="D3206">
        <v>80</v>
      </c>
      <c r="E3206">
        <v>60</v>
      </c>
      <c r="F3206">
        <v>8</v>
      </c>
      <c r="G3206">
        <v>50.541228080723002</v>
      </c>
    </row>
    <row r="3207" spans="1:7" x14ac:dyDescent="0.3">
      <c r="A3207" t="str">
        <f>IF(ISBLANK(B3207),"",IF(ROUND(B3207,0)=ROUND(G3207,0),"Pass","Fail"))</f>
        <v>Pass</v>
      </c>
      <c r="B3207">
        <f t="shared" ref="B3207:B3270" si="152">FMC_heath(C3207,D3207,E3207,F3207)</f>
        <v>33.759994506835938</v>
      </c>
      <c r="C3207">
        <v>30</v>
      </c>
      <c r="D3207">
        <v>80</v>
      </c>
      <c r="E3207">
        <v>60</v>
      </c>
      <c r="F3207">
        <v>16</v>
      </c>
      <c r="G3207">
        <v>33.759997247101701</v>
      </c>
    </row>
    <row r="3208" spans="1:7" x14ac:dyDescent="0.3">
      <c r="A3208" t="str">
        <f>IF(ISBLANK(B3208),"",IF(ROUND(B3208,0)=ROUND(G3208,0),"Pass","Fail"))</f>
        <v>Pass</v>
      </c>
      <c r="B3208">
        <f t="shared" si="152"/>
        <v>25.312576293945313</v>
      </c>
      <c r="C3208">
        <v>30</v>
      </c>
      <c r="D3208">
        <v>80</v>
      </c>
      <c r="E3208">
        <v>60</v>
      </c>
      <c r="F3208">
        <v>24</v>
      </c>
      <c r="G3208">
        <v>25.3125774137362</v>
      </c>
    </row>
    <row r="3209" spans="1:7" x14ac:dyDescent="0.3">
      <c r="A3209" t="str">
        <f>IF(ISBLANK(B3209),"",IF(ROUND(B3209,0)=ROUND(G3209,0),"Pass","Fail"))</f>
        <v>Pass</v>
      </c>
      <c r="B3209">
        <f t="shared" si="152"/>
        <v>21.060272216796875</v>
      </c>
      <c r="C3209">
        <v>30</v>
      </c>
      <c r="D3209">
        <v>80</v>
      </c>
      <c r="E3209">
        <v>60</v>
      </c>
      <c r="F3209">
        <v>32</v>
      </c>
      <c r="G3209">
        <v>21.060273005994599</v>
      </c>
    </row>
    <row r="3210" spans="1:7" x14ac:dyDescent="0.3">
      <c r="A3210" t="str">
        <f>IF(ISBLANK(B3210),"",IF(ROUND(B3210,0)=ROUND(G3210,0),"Pass","Fail"))</f>
        <v>Pass</v>
      </c>
      <c r="B3210">
        <f t="shared" si="152"/>
        <v>18.919727325439453</v>
      </c>
      <c r="C3210">
        <v>30</v>
      </c>
      <c r="D3210">
        <v>80</v>
      </c>
      <c r="E3210">
        <v>60</v>
      </c>
      <c r="F3210">
        <v>40</v>
      </c>
      <c r="G3210">
        <v>18.919726764327098</v>
      </c>
    </row>
    <row r="3211" spans="1:7" x14ac:dyDescent="0.3">
      <c r="A3211" t="str">
        <f>IF(ISBLANK(B3211),"",IF(ROUND(B3211,0)=ROUND(G3211,0),"Pass","Fail"))</f>
        <v>Pass</v>
      </c>
      <c r="B3211">
        <f t="shared" si="152"/>
        <v>17.842208862304688</v>
      </c>
      <c r="C3211">
        <v>30</v>
      </c>
      <c r="D3211">
        <v>80</v>
      </c>
      <c r="E3211">
        <v>60</v>
      </c>
      <c r="F3211">
        <v>48</v>
      </c>
      <c r="G3211">
        <v>17.842207900819702</v>
      </c>
    </row>
    <row r="3212" spans="1:7" x14ac:dyDescent="0.3">
      <c r="A3212" t="str">
        <f>IF(ISBLANK(B3212),"",IF(ROUND(B3212,0)=ROUND(G3212,0),"Pass","Fail"))</f>
        <v>Pass</v>
      </c>
      <c r="B3212">
        <f t="shared" si="152"/>
        <v>83.877998352050781</v>
      </c>
      <c r="C3212">
        <v>30</v>
      </c>
      <c r="D3212">
        <v>80</v>
      </c>
      <c r="E3212">
        <v>70</v>
      </c>
      <c r="F3212">
        <v>0</v>
      </c>
      <c r="G3212">
        <v>83.878</v>
      </c>
    </row>
    <row r="3213" spans="1:7" x14ac:dyDescent="0.3">
      <c r="A3213" t="str">
        <f>IF(ISBLANK(B3213),"",IF(ROUND(B3213,0)=ROUND(G3213,0),"Pass","Fail"))</f>
        <v>Pass</v>
      </c>
      <c r="B3213">
        <f t="shared" si="152"/>
        <v>50.541229248046875</v>
      </c>
      <c r="C3213">
        <v>30</v>
      </c>
      <c r="D3213">
        <v>80</v>
      </c>
      <c r="E3213">
        <v>70</v>
      </c>
      <c r="F3213">
        <v>8</v>
      </c>
      <c r="G3213">
        <v>50.541228080723002</v>
      </c>
    </row>
    <row r="3214" spans="1:7" x14ac:dyDescent="0.3">
      <c r="A3214" t="str">
        <f>IF(ISBLANK(B3214),"",IF(ROUND(B3214,0)=ROUND(G3214,0),"Pass","Fail"))</f>
        <v>Pass</v>
      </c>
      <c r="B3214">
        <f t="shared" si="152"/>
        <v>33.759994506835938</v>
      </c>
      <c r="C3214">
        <v>30</v>
      </c>
      <c r="D3214">
        <v>80</v>
      </c>
      <c r="E3214">
        <v>70</v>
      </c>
      <c r="F3214">
        <v>16</v>
      </c>
      <c r="G3214">
        <v>33.759997247101701</v>
      </c>
    </row>
    <row r="3215" spans="1:7" x14ac:dyDescent="0.3">
      <c r="A3215" t="str">
        <f>IF(ISBLANK(B3215),"",IF(ROUND(B3215,0)=ROUND(G3215,0),"Pass","Fail"))</f>
        <v>Pass</v>
      </c>
      <c r="B3215">
        <f t="shared" si="152"/>
        <v>25.312576293945313</v>
      </c>
      <c r="C3215">
        <v>30</v>
      </c>
      <c r="D3215">
        <v>80</v>
      </c>
      <c r="E3215">
        <v>70</v>
      </c>
      <c r="F3215">
        <v>24</v>
      </c>
      <c r="G3215">
        <v>25.3125774137362</v>
      </c>
    </row>
    <row r="3216" spans="1:7" x14ac:dyDescent="0.3">
      <c r="A3216" t="str">
        <f>IF(ISBLANK(B3216),"",IF(ROUND(B3216,0)=ROUND(G3216,0),"Pass","Fail"))</f>
        <v>Pass</v>
      </c>
      <c r="B3216">
        <f t="shared" si="152"/>
        <v>21.060272216796875</v>
      </c>
      <c r="C3216">
        <v>30</v>
      </c>
      <c r="D3216">
        <v>80</v>
      </c>
      <c r="E3216">
        <v>70</v>
      </c>
      <c r="F3216">
        <v>32</v>
      </c>
      <c r="G3216">
        <v>21.060273005994599</v>
      </c>
    </row>
    <row r="3217" spans="1:7" x14ac:dyDescent="0.3">
      <c r="A3217" t="str">
        <f>IF(ISBLANK(B3217),"",IF(ROUND(B3217,0)=ROUND(G3217,0),"Pass","Fail"))</f>
        <v>Pass</v>
      </c>
      <c r="B3217">
        <f t="shared" si="152"/>
        <v>18.919727325439453</v>
      </c>
      <c r="C3217">
        <v>30</v>
      </c>
      <c r="D3217">
        <v>80</v>
      </c>
      <c r="E3217">
        <v>70</v>
      </c>
      <c r="F3217">
        <v>40</v>
      </c>
      <c r="G3217">
        <v>18.919726764327098</v>
      </c>
    </row>
    <row r="3218" spans="1:7" x14ac:dyDescent="0.3">
      <c r="A3218" t="str">
        <f>IF(ISBLANK(B3218),"",IF(ROUND(B3218,0)=ROUND(G3218,0),"Pass","Fail"))</f>
        <v>Pass</v>
      </c>
      <c r="B3218">
        <f t="shared" si="152"/>
        <v>17.842208862304688</v>
      </c>
      <c r="C3218">
        <v>30</v>
      </c>
      <c r="D3218">
        <v>80</v>
      </c>
      <c r="E3218">
        <v>70</v>
      </c>
      <c r="F3218">
        <v>48</v>
      </c>
      <c r="G3218">
        <v>17.842207900819702</v>
      </c>
    </row>
    <row r="3219" spans="1:7" x14ac:dyDescent="0.3">
      <c r="A3219" t="str">
        <f>IF(ISBLANK(B3219),"",IF(ROUND(B3219,0)=ROUND(G3219,0),"Pass","Fail"))</f>
        <v>Pass</v>
      </c>
      <c r="B3219">
        <f t="shared" si="152"/>
        <v>83.877998352050781</v>
      </c>
      <c r="C3219">
        <v>30</v>
      </c>
      <c r="D3219">
        <v>80</v>
      </c>
      <c r="E3219">
        <v>80</v>
      </c>
      <c r="F3219">
        <v>0</v>
      </c>
      <c r="G3219">
        <v>83.878</v>
      </c>
    </row>
    <row r="3220" spans="1:7" x14ac:dyDescent="0.3">
      <c r="A3220" t="str">
        <f>IF(ISBLANK(B3220),"",IF(ROUND(B3220,0)=ROUND(G3220,0),"Pass","Fail"))</f>
        <v>Pass</v>
      </c>
      <c r="B3220">
        <f t="shared" si="152"/>
        <v>50.541229248046875</v>
      </c>
      <c r="C3220">
        <v>30</v>
      </c>
      <c r="D3220">
        <v>80</v>
      </c>
      <c r="E3220">
        <v>80</v>
      </c>
      <c r="F3220">
        <v>8</v>
      </c>
      <c r="G3220">
        <v>50.541228080723002</v>
      </c>
    </row>
    <row r="3221" spans="1:7" x14ac:dyDescent="0.3">
      <c r="A3221" t="str">
        <f>IF(ISBLANK(B3221),"",IF(ROUND(B3221,0)=ROUND(G3221,0),"Pass","Fail"))</f>
        <v>Pass</v>
      </c>
      <c r="B3221">
        <f t="shared" si="152"/>
        <v>33.759994506835938</v>
      </c>
      <c r="C3221">
        <v>30</v>
      </c>
      <c r="D3221">
        <v>80</v>
      </c>
      <c r="E3221">
        <v>80</v>
      </c>
      <c r="F3221">
        <v>16</v>
      </c>
      <c r="G3221">
        <v>33.759997247101701</v>
      </c>
    </row>
    <row r="3222" spans="1:7" x14ac:dyDescent="0.3">
      <c r="A3222" t="str">
        <f>IF(ISBLANK(B3222),"",IF(ROUND(B3222,0)=ROUND(G3222,0),"Pass","Fail"))</f>
        <v>Pass</v>
      </c>
      <c r="B3222">
        <f t="shared" si="152"/>
        <v>25.312576293945313</v>
      </c>
      <c r="C3222">
        <v>30</v>
      </c>
      <c r="D3222">
        <v>80</v>
      </c>
      <c r="E3222">
        <v>80</v>
      </c>
      <c r="F3222">
        <v>24</v>
      </c>
      <c r="G3222">
        <v>25.3125774137362</v>
      </c>
    </row>
    <row r="3223" spans="1:7" x14ac:dyDescent="0.3">
      <c r="A3223" t="str">
        <f>IF(ISBLANK(B3223),"",IF(ROUND(B3223,0)=ROUND(G3223,0),"Pass","Fail"))</f>
        <v>Pass</v>
      </c>
      <c r="B3223">
        <f t="shared" si="152"/>
        <v>21.060272216796875</v>
      </c>
      <c r="C3223">
        <v>30</v>
      </c>
      <c r="D3223">
        <v>80</v>
      </c>
      <c r="E3223">
        <v>80</v>
      </c>
      <c r="F3223">
        <v>32</v>
      </c>
      <c r="G3223">
        <v>21.060273005994599</v>
      </c>
    </row>
    <row r="3224" spans="1:7" x14ac:dyDescent="0.3">
      <c r="A3224" t="str">
        <f>IF(ISBLANK(B3224),"",IF(ROUND(B3224,0)=ROUND(G3224,0),"Pass","Fail"))</f>
        <v>Pass</v>
      </c>
      <c r="B3224">
        <f t="shared" si="152"/>
        <v>18.919727325439453</v>
      </c>
      <c r="C3224">
        <v>30</v>
      </c>
      <c r="D3224">
        <v>80</v>
      </c>
      <c r="E3224">
        <v>80</v>
      </c>
      <c r="F3224">
        <v>40</v>
      </c>
      <c r="G3224">
        <v>18.919726764327098</v>
      </c>
    </row>
    <row r="3225" spans="1:7" x14ac:dyDescent="0.3">
      <c r="A3225" t="str">
        <f>IF(ISBLANK(B3225),"",IF(ROUND(B3225,0)=ROUND(G3225,0),"Pass","Fail"))</f>
        <v>Pass</v>
      </c>
      <c r="B3225">
        <f t="shared" si="152"/>
        <v>17.842208862304688</v>
      </c>
      <c r="C3225">
        <v>30</v>
      </c>
      <c r="D3225">
        <v>80</v>
      </c>
      <c r="E3225">
        <v>80</v>
      </c>
      <c r="F3225">
        <v>48</v>
      </c>
      <c r="G3225">
        <v>17.842207900819702</v>
      </c>
    </row>
    <row r="3226" spans="1:7" x14ac:dyDescent="0.3">
      <c r="A3226" t="str">
        <f>IF(ISBLANK(B3226),"",IF(ROUND(B3226,0)=ROUND(G3226,0),"Pass","Fail"))</f>
        <v>Pass</v>
      </c>
      <c r="B3226">
        <f t="shared" si="152"/>
        <v>83.877998352050781</v>
      </c>
      <c r="C3226">
        <v>30</v>
      </c>
      <c r="D3226">
        <v>80</v>
      </c>
      <c r="E3226">
        <v>90</v>
      </c>
      <c r="F3226">
        <v>0</v>
      </c>
      <c r="G3226">
        <v>83.878</v>
      </c>
    </row>
    <row r="3227" spans="1:7" x14ac:dyDescent="0.3">
      <c r="A3227" t="str">
        <f>IF(ISBLANK(B3227),"",IF(ROUND(B3227,0)=ROUND(G3227,0),"Pass","Fail"))</f>
        <v>Pass</v>
      </c>
      <c r="B3227">
        <f t="shared" si="152"/>
        <v>50.541229248046875</v>
      </c>
      <c r="C3227">
        <v>30</v>
      </c>
      <c r="D3227">
        <v>80</v>
      </c>
      <c r="E3227">
        <v>90</v>
      </c>
      <c r="F3227">
        <v>8</v>
      </c>
      <c r="G3227">
        <v>50.541228080723002</v>
      </c>
    </row>
    <row r="3228" spans="1:7" x14ac:dyDescent="0.3">
      <c r="A3228" t="str">
        <f>IF(ISBLANK(B3228),"",IF(ROUND(B3228,0)=ROUND(G3228,0),"Pass","Fail"))</f>
        <v>Pass</v>
      </c>
      <c r="B3228">
        <f t="shared" si="152"/>
        <v>33.759994506835938</v>
      </c>
      <c r="C3228">
        <v>30</v>
      </c>
      <c r="D3228">
        <v>80</v>
      </c>
      <c r="E3228">
        <v>90</v>
      </c>
      <c r="F3228">
        <v>16</v>
      </c>
      <c r="G3228">
        <v>33.759997247101701</v>
      </c>
    </row>
    <row r="3229" spans="1:7" x14ac:dyDescent="0.3">
      <c r="A3229" t="str">
        <f>IF(ISBLANK(B3229),"",IF(ROUND(B3229,0)=ROUND(G3229,0),"Pass","Fail"))</f>
        <v>Pass</v>
      </c>
      <c r="B3229">
        <f t="shared" si="152"/>
        <v>25.312576293945313</v>
      </c>
      <c r="C3229">
        <v>30</v>
      </c>
      <c r="D3229">
        <v>80</v>
      </c>
      <c r="E3229">
        <v>90</v>
      </c>
      <c r="F3229">
        <v>24</v>
      </c>
      <c r="G3229">
        <v>25.3125774137362</v>
      </c>
    </row>
    <row r="3230" spans="1:7" x14ac:dyDescent="0.3">
      <c r="A3230" t="str">
        <f>IF(ISBLANK(B3230),"",IF(ROUND(B3230,0)=ROUND(G3230,0),"Pass","Fail"))</f>
        <v>Pass</v>
      </c>
      <c r="B3230">
        <f t="shared" si="152"/>
        <v>21.060272216796875</v>
      </c>
      <c r="C3230">
        <v>30</v>
      </c>
      <c r="D3230">
        <v>80</v>
      </c>
      <c r="E3230">
        <v>90</v>
      </c>
      <c r="F3230">
        <v>32</v>
      </c>
      <c r="G3230">
        <v>21.060273005994599</v>
      </c>
    </row>
    <row r="3231" spans="1:7" x14ac:dyDescent="0.3">
      <c r="A3231" t="str">
        <f>IF(ISBLANK(B3231),"",IF(ROUND(B3231,0)=ROUND(G3231,0),"Pass","Fail"))</f>
        <v>Pass</v>
      </c>
      <c r="B3231">
        <f t="shared" si="152"/>
        <v>18.919727325439453</v>
      </c>
      <c r="C3231">
        <v>30</v>
      </c>
      <c r="D3231">
        <v>80</v>
      </c>
      <c r="E3231">
        <v>90</v>
      </c>
      <c r="F3231">
        <v>40</v>
      </c>
      <c r="G3231">
        <v>18.919726764327098</v>
      </c>
    </row>
    <row r="3232" spans="1:7" x14ac:dyDescent="0.3">
      <c r="A3232" t="str">
        <f>IF(ISBLANK(B3232),"",IF(ROUND(B3232,0)=ROUND(G3232,0),"Pass","Fail"))</f>
        <v>Pass</v>
      </c>
      <c r="B3232">
        <f t="shared" si="152"/>
        <v>17.842208862304688</v>
      </c>
      <c r="C3232">
        <v>30</v>
      </c>
      <c r="D3232">
        <v>80</v>
      </c>
      <c r="E3232">
        <v>90</v>
      </c>
      <c r="F3232">
        <v>48</v>
      </c>
      <c r="G3232">
        <v>17.842207900819702</v>
      </c>
    </row>
    <row r="3233" spans="1:7" x14ac:dyDescent="0.3">
      <c r="A3233" t="str">
        <f>IF(ISBLANK(B3233),"",IF(ROUND(B3233,0)=ROUND(G3233,0),"Pass","Fail"))</f>
        <v>Pass</v>
      </c>
      <c r="B3233">
        <f t="shared" si="152"/>
        <v>83.877998352050781</v>
      </c>
      <c r="C3233">
        <v>30</v>
      </c>
      <c r="D3233">
        <v>80</v>
      </c>
      <c r="E3233">
        <v>100</v>
      </c>
      <c r="F3233">
        <v>0</v>
      </c>
      <c r="G3233">
        <v>83.878</v>
      </c>
    </row>
    <row r="3234" spans="1:7" x14ac:dyDescent="0.3">
      <c r="A3234" t="str">
        <f>IF(ISBLANK(B3234),"",IF(ROUND(B3234,0)=ROUND(G3234,0),"Pass","Fail"))</f>
        <v>Pass</v>
      </c>
      <c r="B3234">
        <f t="shared" si="152"/>
        <v>50.541229248046875</v>
      </c>
      <c r="C3234">
        <v>30</v>
      </c>
      <c r="D3234">
        <v>80</v>
      </c>
      <c r="E3234">
        <v>100</v>
      </c>
      <c r="F3234">
        <v>8</v>
      </c>
      <c r="G3234">
        <v>50.541228080723002</v>
      </c>
    </row>
    <row r="3235" spans="1:7" x14ac:dyDescent="0.3">
      <c r="A3235" t="str">
        <f>IF(ISBLANK(B3235),"",IF(ROUND(B3235,0)=ROUND(G3235,0),"Pass","Fail"))</f>
        <v>Pass</v>
      </c>
      <c r="B3235">
        <f t="shared" si="152"/>
        <v>33.759994506835938</v>
      </c>
      <c r="C3235">
        <v>30</v>
      </c>
      <c r="D3235">
        <v>80</v>
      </c>
      <c r="E3235">
        <v>100</v>
      </c>
      <c r="F3235">
        <v>16</v>
      </c>
      <c r="G3235">
        <v>33.759997247101701</v>
      </c>
    </row>
    <row r="3236" spans="1:7" x14ac:dyDescent="0.3">
      <c r="A3236" t="str">
        <f>IF(ISBLANK(B3236),"",IF(ROUND(B3236,0)=ROUND(G3236,0),"Pass","Fail"))</f>
        <v>Pass</v>
      </c>
      <c r="B3236">
        <f t="shared" si="152"/>
        <v>25.312576293945313</v>
      </c>
      <c r="C3236">
        <v>30</v>
      </c>
      <c r="D3236">
        <v>80</v>
      </c>
      <c r="E3236">
        <v>100</v>
      </c>
      <c r="F3236">
        <v>24</v>
      </c>
      <c r="G3236">
        <v>25.3125774137362</v>
      </c>
    </row>
    <row r="3237" spans="1:7" x14ac:dyDescent="0.3">
      <c r="A3237" t="str">
        <f>IF(ISBLANK(B3237),"",IF(ROUND(B3237,0)=ROUND(G3237,0),"Pass","Fail"))</f>
        <v>Pass</v>
      </c>
      <c r="B3237">
        <f t="shared" si="152"/>
        <v>21.060272216796875</v>
      </c>
      <c r="C3237">
        <v>30</v>
      </c>
      <c r="D3237">
        <v>80</v>
      </c>
      <c r="E3237">
        <v>100</v>
      </c>
      <c r="F3237">
        <v>32</v>
      </c>
      <c r="G3237">
        <v>21.060273005994599</v>
      </c>
    </row>
    <row r="3238" spans="1:7" x14ac:dyDescent="0.3">
      <c r="A3238" t="str">
        <f>IF(ISBLANK(B3238),"",IF(ROUND(B3238,0)=ROUND(G3238,0),"Pass","Fail"))</f>
        <v>Pass</v>
      </c>
      <c r="B3238">
        <f t="shared" si="152"/>
        <v>18.919727325439453</v>
      </c>
      <c r="C3238">
        <v>30</v>
      </c>
      <c r="D3238">
        <v>80</v>
      </c>
      <c r="E3238">
        <v>100</v>
      </c>
      <c r="F3238">
        <v>40</v>
      </c>
      <c r="G3238">
        <v>18.919726764327098</v>
      </c>
    </row>
    <row r="3239" spans="1:7" x14ac:dyDescent="0.3">
      <c r="A3239" t="str">
        <f>IF(ISBLANK(B3239),"",IF(ROUND(B3239,0)=ROUND(G3239,0),"Pass","Fail"))</f>
        <v>Pass</v>
      </c>
      <c r="B3239">
        <f t="shared" si="152"/>
        <v>17.842208862304688</v>
      </c>
      <c r="C3239">
        <v>30</v>
      </c>
      <c r="D3239">
        <v>80</v>
      </c>
      <c r="E3239">
        <v>100</v>
      </c>
      <c r="F3239">
        <v>48</v>
      </c>
      <c r="G3239">
        <v>17.842207900819702</v>
      </c>
    </row>
    <row r="3240" spans="1:7" x14ac:dyDescent="0.3">
      <c r="A3240" t="str">
        <f>IF(ISBLANK(B3240),"",IF(ROUND(B3240,0)=ROUND(G3240,0),"Pass","Fail"))</f>
        <v>Pass</v>
      </c>
      <c r="B3240">
        <f t="shared" si="152"/>
        <v>18.360000610351563</v>
      </c>
      <c r="C3240">
        <v>30</v>
      </c>
      <c r="D3240">
        <v>90</v>
      </c>
      <c r="E3240">
        <v>0</v>
      </c>
      <c r="F3240">
        <v>0</v>
      </c>
      <c r="G3240">
        <v>18.36</v>
      </c>
    </row>
    <row r="3241" spans="1:7" x14ac:dyDescent="0.3">
      <c r="A3241" t="str">
        <f>IF(ISBLANK(B3241),"",IF(ROUND(B3241,0)=ROUND(G3241,0),"Pass","Fail"))</f>
        <v>Pass</v>
      </c>
      <c r="B3241">
        <f t="shared" si="152"/>
        <v>18.360000610351563</v>
      </c>
      <c r="C3241">
        <v>30</v>
      </c>
      <c r="D3241">
        <v>90</v>
      </c>
      <c r="E3241">
        <v>0</v>
      </c>
      <c r="F3241">
        <v>8</v>
      </c>
      <c r="G3241">
        <v>18.36</v>
      </c>
    </row>
    <row r="3242" spans="1:7" x14ac:dyDescent="0.3">
      <c r="A3242" t="str">
        <f>IF(ISBLANK(B3242),"",IF(ROUND(B3242,0)=ROUND(G3242,0),"Pass","Fail"))</f>
        <v>Pass</v>
      </c>
      <c r="B3242">
        <f t="shared" si="152"/>
        <v>18.360000610351563</v>
      </c>
      <c r="C3242">
        <v>30</v>
      </c>
      <c r="D3242">
        <v>90</v>
      </c>
      <c r="E3242">
        <v>0</v>
      </c>
      <c r="F3242">
        <v>16</v>
      </c>
      <c r="G3242">
        <v>18.36</v>
      </c>
    </row>
    <row r="3243" spans="1:7" x14ac:dyDescent="0.3">
      <c r="A3243" t="str">
        <f>IF(ISBLANK(B3243),"",IF(ROUND(B3243,0)=ROUND(G3243,0),"Pass","Fail"))</f>
        <v>Pass</v>
      </c>
      <c r="B3243">
        <f t="shared" si="152"/>
        <v>18.360000610351563</v>
      </c>
      <c r="C3243">
        <v>30</v>
      </c>
      <c r="D3243">
        <v>90</v>
      </c>
      <c r="E3243">
        <v>0</v>
      </c>
      <c r="F3243">
        <v>24</v>
      </c>
      <c r="G3243">
        <v>18.36</v>
      </c>
    </row>
    <row r="3244" spans="1:7" x14ac:dyDescent="0.3">
      <c r="A3244" t="str">
        <f>IF(ISBLANK(B3244),"",IF(ROUND(B3244,0)=ROUND(G3244,0),"Pass","Fail"))</f>
        <v>Pass</v>
      </c>
      <c r="B3244">
        <f t="shared" si="152"/>
        <v>18.360000610351563</v>
      </c>
      <c r="C3244">
        <v>30</v>
      </c>
      <c r="D3244">
        <v>90</v>
      </c>
      <c r="E3244">
        <v>0</v>
      </c>
      <c r="F3244">
        <v>32</v>
      </c>
      <c r="G3244">
        <v>18.36</v>
      </c>
    </row>
    <row r="3245" spans="1:7" x14ac:dyDescent="0.3">
      <c r="A3245" t="str">
        <f>IF(ISBLANK(B3245),"",IF(ROUND(B3245,0)=ROUND(G3245,0),"Pass","Fail"))</f>
        <v>Pass</v>
      </c>
      <c r="B3245">
        <f t="shared" si="152"/>
        <v>18.360000610351563</v>
      </c>
      <c r="C3245">
        <v>30</v>
      </c>
      <c r="D3245">
        <v>90</v>
      </c>
      <c r="E3245">
        <v>0</v>
      </c>
      <c r="F3245">
        <v>40</v>
      </c>
      <c r="G3245">
        <v>18.36</v>
      </c>
    </row>
    <row r="3246" spans="1:7" x14ac:dyDescent="0.3">
      <c r="A3246" t="str">
        <f>IF(ISBLANK(B3246),"",IF(ROUND(B3246,0)=ROUND(G3246,0),"Pass","Fail"))</f>
        <v>Pass</v>
      </c>
      <c r="B3246">
        <f t="shared" si="152"/>
        <v>18.360000610351563</v>
      </c>
      <c r="C3246">
        <v>30</v>
      </c>
      <c r="D3246">
        <v>90</v>
      </c>
      <c r="E3246">
        <v>0</v>
      </c>
      <c r="F3246">
        <v>48</v>
      </c>
      <c r="G3246">
        <v>18.36</v>
      </c>
    </row>
    <row r="3247" spans="1:7" x14ac:dyDescent="0.3">
      <c r="A3247" t="str">
        <f>IF(ISBLANK(B3247),"",IF(ROUND(B3247,0)=ROUND(G3247,0),"Pass","Fail"))</f>
        <v>Pass</v>
      </c>
      <c r="B3247">
        <f t="shared" si="152"/>
        <v>85.487998962402344</v>
      </c>
      <c r="C3247">
        <v>30</v>
      </c>
      <c r="D3247">
        <v>90</v>
      </c>
      <c r="E3247">
        <v>10</v>
      </c>
      <c r="F3247">
        <v>0</v>
      </c>
      <c r="G3247">
        <v>85.487999999998294</v>
      </c>
    </row>
    <row r="3248" spans="1:7" x14ac:dyDescent="0.3">
      <c r="A3248" t="str">
        <f>IF(ISBLANK(B3248),"",IF(ROUND(B3248,0)=ROUND(G3248,0),"Pass","Fail"))</f>
        <v>Pass</v>
      </c>
      <c r="B3248">
        <f t="shared" si="152"/>
        <v>52.151229858398438</v>
      </c>
      <c r="C3248">
        <v>30</v>
      </c>
      <c r="D3248">
        <v>90</v>
      </c>
      <c r="E3248">
        <v>10</v>
      </c>
      <c r="F3248">
        <v>8</v>
      </c>
      <c r="G3248">
        <v>52.151228080722198</v>
      </c>
    </row>
    <row r="3249" spans="1:7" x14ac:dyDescent="0.3">
      <c r="A3249" t="str">
        <f>IF(ISBLANK(B3249),"",IF(ROUND(B3249,0)=ROUND(G3249,0),"Pass","Fail"))</f>
        <v>Pass</v>
      </c>
      <c r="B3249">
        <f t="shared" si="152"/>
        <v>35.3699951171875</v>
      </c>
      <c r="C3249">
        <v>30</v>
      </c>
      <c r="D3249">
        <v>90</v>
      </c>
      <c r="E3249">
        <v>10</v>
      </c>
      <c r="F3249">
        <v>16</v>
      </c>
      <c r="G3249">
        <v>35.369997247101303</v>
      </c>
    </row>
    <row r="3250" spans="1:7" x14ac:dyDescent="0.3">
      <c r="A3250" t="str">
        <f>IF(ISBLANK(B3250),"",IF(ROUND(B3250,0)=ROUND(G3250,0),"Pass","Fail"))</f>
        <v>Pass</v>
      </c>
      <c r="B3250">
        <f t="shared" si="152"/>
        <v>26.922576904296875</v>
      </c>
      <c r="C3250">
        <v>30</v>
      </c>
      <c r="D3250">
        <v>90</v>
      </c>
      <c r="E3250">
        <v>10</v>
      </c>
      <c r="F3250">
        <v>24</v>
      </c>
      <c r="G3250">
        <v>26.922577413736001</v>
      </c>
    </row>
    <row r="3251" spans="1:7" x14ac:dyDescent="0.3">
      <c r="A3251" t="str">
        <f>IF(ISBLANK(B3251),"",IF(ROUND(B3251,0)=ROUND(G3251,0),"Pass","Fail"))</f>
        <v>Pass</v>
      </c>
      <c r="B3251">
        <f t="shared" si="152"/>
        <v>22.670272827148438</v>
      </c>
      <c r="C3251">
        <v>30</v>
      </c>
      <c r="D3251">
        <v>90</v>
      </c>
      <c r="E3251">
        <v>10</v>
      </c>
      <c r="F3251">
        <v>32</v>
      </c>
      <c r="G3251">
        <v>22.670273005994499</v>
      </c>
    </row>
    <row r="3252" spans="1:7" x14ac:dyDescent="0.3">
      <c r="A3252" t="str">
        <f>IF(ISBLANK(B3252),"",IF(ROUND(B3252,0)=ROUND(G3252,0),"Pass","Fail"))</f>
        <v>Pass</v>
      </c>
      <c r="B3252">
        <f t="shared" si="152"/>
        <v>20.529727935791016</v>
      </c>
      <c r="C3252">
        <v>30</v>
      </c>
      <c r="D3252">
        <v>90</v>
      </c>
      <c r="E3252">
        <v>10</v>
      </c>
      <c r="F3252">
        <v>40</v>
      </c>
      <c r="G3252">
        <v>20.529726764326998</v>
      </c>
    </row>
    <row r="3253" spans="1:7" x14ac:dyDescent="0.3">
      <c r="A3253" t="str">
        <f>IF(ISBLANK(B3253),"",IF(ROUND(B3253,0)=ROUND(G3253,0),"Pass","Fail"))</f>
        <v>Pass</v>
      </c>
      <c r="B3253">
        <f t="shared" si="152"/>
        <v>19.45220947265625</v>
      </c>
      <c r="C3253">
        <v>30</v>
      </c>
      <c r="D3253">
        <v>90</v>
      </c>
      <c r="E3253">
        <v>10</v>
      </c>
      <c r="F3253">
        <v>48</v>
      </c>
      <c r="G3253">
        <v>19.452207900819602</v>
      </c>
    </row>
    <row r="3254" spans="1:7" x14ac:dyDescent="0.3">
      <c r="A3254" t="str">
        <f>IF(ISBLANK(B3254),"",IF(ROUND(B3254,0)=ROUND(G3254,0),"Pass","Fail"))</f>
        <v>Pass</v>
      </c>
      <c r="B3254">
        <f t="shared" si="152"/>
        <v>85.487998962402344</v>
      </c>
      <c r="C3254">
        <v>30</v>
      </c>
      <c r="D3254">
        <v>90</v>
      </c>
      <c r="E3254">
        <v>20</v>
      </c>
      <c r="F3254">
        <v>0</v>
      </c>
      <c r="G3254">
        <v>85.488</v>
      </c>
    </row>
    <row r="3255" spans="1:7" x14ac:dyDescent="0.3">
      <c r="A3255" t="str">
        <f>IF(ISBLANK(B3255),"",IF(ROUND(B3255,0)=ROUND(G3255,0),"Pass","Fail"))</f>
        <v>Pass</v>
      </c>
      <c r="B3255">
        <f t="shared" si="152"/>
        <v>52.151229858398438</v>
      </c>
      <c r="C3255">
        <v>30</v>
      </c>
      <c r="D3255">
        <v>90</v>
      </c>
      <c r="E3255">
        <v>20</v>
      </c>
      <c r="F3255">
        <v>8</v>
      </c>
      <c r="G3255">
        <v>52.151228080723001</v>
      </c>
    </row>
    <row r="3256" spans="1:7" x14ac:dyDescent="0.3">
      <c r="A3256" t="str">
        <f>IF(ISBLANK(B3256),"",IF(ROUND(B3256,0)=ROUND(G3256,0),"Pass","Fail"))</f>
        <v>Pass</v>
      </c>
      <c r="B3256">
        <f t="shared" si="152"/>
        <v>35.3699951171875</v>
      </c>
      <c r="C3256">
        <v>30</v>
      </c>
      <c r="D3256">
        <v>90</v>
      </c>
      <c r="E3256">
        <v>20</v>
      </c>
      <c r="F3256">
        <v>16</v>
      </c>
      <c r="G3256">
        <v>35.369997247101701</v>
      </c>
    </row>
    <row r="3257" spans="1:7" x14ac:dyDescent="0.3">
      <c r="A3257" t="str">
        <f>IF(ISBLANK(B3257),"",IF(ROUND(B3257,0)=ROUND(G3257,0),"Pass","Fail"))</f>
        <v>Pass</v>
      </c>
      <c r="B3257">
        <f t="shared" si="152"/>
        <v>26.922576904296875</v>
      </c>
      <c r="C3257">
        <v>30</v>
      </c>
      <c r="D3257">
        <v>90</v>
      </c>
      <c r="E3257">
        <v>20</v>
      </c>
      <c r="F3257">
        <v>24</v>
      </c>
      <c r="G3257">
        <v>26.9225774137362</v>
      </c>
    </row>
    <row r="3258" spans="1:7" x14ac:dyDescent="0.3">
      <c r="A3258" t="str">
        <f>IF(ISBLANK(B3258),"",IF(ROUND(B3258,0)=ROUND(G3258,0),"Pass","Fail"))</f>
        <v>Pass</v>
      </c>
      <c r="B3258">
        <f t="shared" si="152"/>
        <v>22.670272827148438</v>
      </c>
      <c r="C3258">
        <v>30</v>
      </c>
      <c r="D3258">
        <v>90</v>
      </c>
      <c r="E3258">
        <v>20</v>
      </c>
      <c r="F3258">
        <v>32</v>
      </c>
      <c r="G3258">
        <v>22.670273005994598</v>
      </c>
    </row>
    <row r="3259" spans="1:7" x14ac:dyDescent="0.3">
      <c r="A3259" t="str">
        <f>IF(ISBLANK(B3259),"",IF(ROUND(B3259,0)=ROUND(G3259,0),"Pass","Fail"))</f>
        <v>Pass</v>
      </c>
      <c r="B3259">
        <f t="shared" si="152"/>
        <v>20.529727935791016</v>
      </c>
      <c r="C3259">
        <v>30</v>
      </c>
      <c r="D3259">
        <v>90</v>
      </c>
      <c r="E3259">
        <v>20</v>
      </c>
      <c r="F3259">
        <v>40</v>
      </c>
      <c r="G3259">
        <v>20.529726764327101</v>
      </c>
    </row>
    <row r="3260" spans="1:7" x14ac:dyDescent="0.3">
      <c r="A3260" t="str">
        <f>IF(ISBLANK(B3260),"",IF(ROUND(B3260,0)=ROUND(G3260,0),"Pass","Fail"))</f>
        <v>Pass</v>
      </c>
      <c r="B3260">
        <f t="shared" si="152"/>
        <v>19.45220947265625</v>
      </c>
      <c r="C3260">
        <v>30</v>
      </c>
      <c r="D3260">
        <v>90</v>
      </c>
      <c r="E3260">
        <v>20</v>
      </c>
      <c r="F3260">
        <v>48</v>
      </c>
      <c r="G3260">
        <v>19.452207900819701</v>
      </c>
    </row>
    <row r="3261" spans="1:7" x14ac:dyDescent="0.3">
      <c r="A3261" t="str">
        <f>IF(ISBLANK(B3261),"",IF(ROUND(B3261,0)=ROUND(G3261,0),"Pass","Fail"))</f>
        <v>Pass</v>
      </c>
      <c r="B3261">
        <f t="shared" si="152"/>
        <v>85.487998962402344</v>
      </c>
      <c r="C3261">
        <v>30</v>
      </c>
      <c r="D3261">
        <v>90</v>
      </c>
      <c r="E3261">
        <v>30</v>
      </c>
      <c r="F3261">
        <v>0</v>
      </c>
      <c r="G3261">
        <v>85.488</v>
      </c>
    </row>
    <row r="3262" spans="1:7" x14ac:dyDescent="0.3">
      <c r="A3262" t="str">
        <f>IF(ISBLANK(B3262),"",IF(ROUND(B3262,0)=ROUND(G3262,0),"Pass","Fail"))</f>
        <v>Pass</v>
      </c>
      <c r="B3262">
        <f t="shared" si="152"/>
        <v>52.151229858398438</v>
      </c>
      <c r="C3262">
        <v>30</v>
      </c>
      <c r="D3262">
        <v>90</v>
      </c>
      <c r="E3262">
        <v>30</v>
      </c>
      <c r="F3262">
        <v>8</v>
      </c>
      <c r="G3262">
        <v>52.151228080723001</v>
      </c>
    </row>
    <row r="3263" spans="1:7" x14ac:dyDescent="0.3">
      <c r="A3263" t="str">
        <f>IF(ISBLANK(B3263),"",IF(ROUND(B3263,0)=ROUND(G3263,0),"Pass","Fail"))</f>
        <v>Pass</v>
      </c>
      <c r="B3263">
        <f t="shared" si="152"/>
        <v>35.3699951171875</v>
      </c>
      <c r="C3263">
        <v>30</v>
      </c>
      <c r="D3263">
        <v>90</v>
      </c>
      <c r="E3263">
        <v>30</v>
      </c>
      <c r="F3263">
        <v>16</v>
      </c>
      <c r="G3263">
        <v>35.369997247101701</v>
      </c>
    </row>
    <row r="3264" spans="1:7" x14ac:dyDescent="0.3">
      <c r="A3264" t="str">
        <f>IF(ISBLANK(B3264),"",IF(ROUND(B3264,0)=ROUND(G3264,0),"Pass","Fail"))</f>
        <v>Pass</v>
      </c>
      <c r="B3264">
        <f t="shared" si="152"/>
        <v>26.922576904296875</v>
      </c>
      <c r="C3264">
        <v>30</v>
      </c>
      <c r="D3264">
        <v>90</v>
      </c>
      <c r="E3264">
        <v>30</v>
      </c>
      <c r="F3264">
        <v>24</v>
      </c>
      <c r="G3264">
        <v>26.9225774137362</v>
      </c>
    </row>
    <row r="3265" spans="1:7" x14ac:dyDescent="0.3">
      <c r="A3265" t="str">
        <f>IF(ISBLANK(B3265),"",IF(ROUND(B3265,0)=ROUND(G3265,0),"Pass","Fail"))</f>
        <v>Pass</v>
      </c>
      <c r="B3265">
        <f t="shared" si="152"/>
        <v>22.670272827148438</v>
      </c>
      <c r="C3265">
        <v>30</v>
      </c>
      <c r="D3265">
        <v>90</v>
      </c>
      <c r="E3265">
        <v>30</v>
      </c>
      <c r="F3265">
        <v>32</v>
      </c>
      <c r="G3265">
        <v>22.670273005994598</v>
      </c>
    </row>
    <row r="3266" spans="1:7" x14ac:dyDescent="0.3">
      <c r="A3266" t="str">
        <f>IF(ISBLANK(B3266),"",IF(ROUND(B3266,0)=ROUND(G3266,0),"Pass","Fail"))</f>
        <v>Pass</v>
      </c>
      <c r="B3266">
        <f t="shared" si="152"/>
        <v>20.529727935791016</v>
      </c>
      <c r="C3266">
        <v>30</v>
      </c>
      <c r="D3266">
        <v>90</v>
      </c>
      <c r="E3266">
        <v>30</v>
      </c>
      <c r="F3266">
        <v>40</v>
      </c>
      <c r="G3266">
        <v>20.529726764327101</v>
      </c>
    </row>
    <row r="3267" spans="1:7" x14ac:dyDescent="0.3">
      <c r="A3267" t="str">
        <f>IF(ISBLANK(B3267),"",IF(ROUND(B3267,0)=ROUND(G3267,0),"Pass","Fail"))</f>
        <v>Pass</v>
      </c>
      <c r="B3267">
        <f t="shared" si="152"/>
        <v>19.45220947265625</v>
      </c>
      <c r="C3267">
        <v>30</v>
      </c>
      <c r="D3267">
        <v>90</v>
      </c>
      <c r="E3267">
        <v>30</v>
      </c>
      <c r="F3267">
        <v>48</v>
      </c>
      <c r="G3267">
        <v>19.452207900819701</v>
      </c>
    </row>
    <row r="3268" spans="1:7" x14ac:dyDescent="0.3">
      <c r="A3268" t="str">
        <f>IF(ISBLANK(B3268),"",IF(ROUND(B3268,0)=ROUND(G3268,0),"Pass","Fail"))</f>
        <v>Pass</v>
      </c>
      <c r="B3268">
        <f t="shared" si="152"/>
        <v>85.487998962402344</v>
      </c>
      <c r="C3268">
        <v>30</v>
      </c>
      <c r="D3268">
        <v>90</v>
      </c>
      <c r="E3268">
        <v>40</v>
      </c>
      <c r="F3268">
        <v>0</v>
      </c>
      <c r="G3268">
        <v>85.488</v>
      </c>
    </row>
    <row r="3269" spans="1:7" x14ac:dyDescent="0.3">
      <c r="A3269" t="str">
        <f>IF(ISBLANK(B3269),"",IF(ROUND(B3269,0)=ROUND(G3269,0),"Pass","Fail"))</f>
        <v>Pass</v>
      </c>
      <c r="B3269">
        <f t="shared" si="152"/>
        <v>52.151229858398438</v>
      </c>
      <c r="C3269">
        <v>30</v>
      </c>
      <c r="D3269">
        <v>90</v>
      </c>
      <c r="E3269">
        <v>40</v>
      </c>
      <c r="F3269">
        <v>8</v>
      </c>
      <c r="G3269">
        <v>52.151228080723001</v>
      </c>
    </row>
    <row r="3270" spans="1:7" x14ac:dyDescent="0.3">
      <c r="A3270" t="str">
        <f>IF(ISBLANK(B3270),"",IF(ROUND(B3270,0)=ROUND(G3270,0),"Pass","Fail"))</f>
        <v>Pass</v>
      </c>
      <c r="B3270">
        <f t="shared" si="152"/>
        <v>35.3699951171875</v>
      </c>
      <c r="C3270">
        <v>30</v>
      </c>
      <c r="D3270">
        <v>90</v>
      </c>
      <c r="E3270">
        <v>40</v>
      </c>
      <c r="F3270">
        <v>16</v>
      </c>
      <c r="G3270">
        <v>35.369997247101701</v>
      </c>
    </row>
    <row r="3271" spans="1:7" x14ac:dyDescent="0.3">
      <c r="A3271" t="str">
        <f>IF(ISBLANK(B3271),"",IF(ROUND(B3271,0)=ROUND(G3271,0),"Pass","Fail"))</f>
        <v>Pass</v>
      </c>
      <c r="B3271">
        <f t="shared" ref="B3271:B3334" si="153">FMC_heath(C3271,D3271,E3271,F3271)</f>
        <v>26.922576904296875</v>
      </c>
      <c r="C3271">
        <v>30</v>
      </c>
      <c r="D3271">
        <v>90</v>
      </c>
      <c r="E3271">
        <v>40</v>
      </c>
      <c r="F3271">
        <v>24</v>
      </c>
      <c r="G3271">
        <v>26.9225774137362</v>
      </c>
    </row>
    <row r="3272" spans="1:7" x14ac:dyDescent="0.3">
      <c r="A3272" t="str">
        <f>IF(ISBLANK(B3272),"",IF(ROUND(B3272,0)=ROUND(G3272,0),"Pass","Fail"))</f>
        <v>Pass</v>
      </c>
      <c r="B3272">
        <f t="shared" si="153"/>
        <v>22.670272827148438</v>
      </c>
      <c r="C3272">
        <v>30</v>
      </c>
      <c r="D3272">
        <v>90</v>
      </c>
      <c r="E3272">
        <v>40</v>
      </c>
      <c r="F3272">
        <v>32</v>
      </c>
      <c r="G3272">
        <v>22.670273005994598</v>
      </c>
    </row>
    <row r="3273" spans="1:7" x14ac:dyDescent="0.3">
      <c r="A3273" t="str">
        <f>IF(ISBLANK(B3273),"",IF(ROUND(B3273,0)=ROUND(G3273,0),"Pass","Fail"))</f>
        <v>Pass</v>
      </c>
      <c r="B3273">
        <f t="shared" si="153"/>
        <v>20.529727935791016</v>
      </c>
      <c r="C3273">
        <v>30</v>
      </c>
      <c r="D3273">
        <v>90</v>
      </c>
      <c r="E3273">
        <v>40</v>
      </c>
      <c r="F3273">
        <v>40</v>
      </c>
      <c r="G3273">
        <v>20.529726764327101</v>
      </c>
    </row>
    <row r="3274" spans="1:7" x14ac:dyDescent="0.3">
      <c r="A3274" t="str">
        <f>IF(ISBLANK(B3274),"",IF(ROUND(B3274,0)=ROUND(G3274,0),"Pass","Fail"))</f>
        <v>Pass</v>
      </c>
      <c r="B3274">
        <f t="shared" si="153"/>
        <v>19.45220947265625</v>
      </c>
      <c r="C3274">
        <v>30</v>
      </c>
      <c r="D3274">
        <v>90</v>
      </c>
      <c r="E3274">
        <v>40</v>
      </c>
      <c r="F3274">
        <v>48</v>
      </c>
      <c r="G3274">
        <v>19.452207900819701</v>
      </c>
    </row>
    <row r="3275" spans="1:7" x14ac:dyDescent="0.3">
      <c r="A3275" t="str">
        <f>IF(ISBLANK(B3275),"",IF(ROUND(B3275,0)=ROUND(G3275,0),"Pass","Fail"))</f>
        <v>Pass</v>
      </c>
      <c r="B3275">
        <f t="shared" si="153"/>
        <v>85.487998962402344</v>
      </c>
      <c r="C3275">
        <v>30</v>
      </c>
      <c r="D3275">
        <v>90</v>
      </c>
      <c r="E3275">
        <v>50</v>
      </c>
      <c r="F3275">
        <v>0</v>
      </c>
      <c r="G3275">
        <v>85.488</v>
      </c>
    </row>
    <row r="3276" spans="1:7" x14ac:dyDescent="0.3">
      <c r="A3276" t="str">
        <f>IF(ISBLANK(B3276),"",IF(ROUND(B3276,0)=ROUND(G3276,0),"Pass","Fail"))</f>
        <v>Pass</v>
      </c>
      <c r="B3276">
        <f t="shared" si="153"/>
        <v>52.151229858398438</v>
      </c>
      <c r="C3276">
        <v>30</v>
      </c>
      <c r="D3276">
        <v>90</v>
      </c>
      <c r="E3276">
        <v>50</v>
      </c>
      <c r="F3276">
        <v>8</v>
      </c>
      <c r="G3276">
        <v>52.151228080723001</v>
      </c>
    </row>
    <row r="3277" spans="1:7" x14ac:dyDescent="0.3">
      <c r="A3277" t="str">
        <f>IF(ISBLANK(B3277),"",IF(ROUND(B3277,0)=ROUND(G3277,0),"Pass","Fail"))</f>
        <v>Pass</v>
      </c>
      <c r="B3277">
        <f t="shared" si="153"/>
        <v>35.3699951171875</v>
      </c>
      <c r="C3277">
        <v>30</v>
      </c>
      <c r="D3277">
        <v>90</v>
      </c>
      <c r="E3277">
        <v>50</v>
      </c>
      <c r="F3277">
        <v>16</v>
      </c>
      <c r="G3277">
        <v>35.369997247101701</v>
      </c>
    </row>
    <row r="3278" spans="1:7" x14ac:dyDescent="0.3">
      <c r="A3278" t="str">
        <f>IF(ISBLANK(B3278),"",IF(ROUND(B3278,0)=ROUND(G3278,0),"Pass","Fail"))</f>
        <v>Pass</v>
      </c>
      <c r="B3278">
        <f t="shared" si="153"/>
        <v>26.922576904296875</v>
      </c>
      <c r="C3278">
        <v>30</v>
      </c>
      <c r="D3278">
        <v>90</v>
      </c>
      <c r="E3278">
        <v>50</v>
      </c>
      <c r="F3278">
        <v>24</v>
      </c>
      <c r="G3278">
        <v>26.9225774137362</v>
      </c>
    </row>
    <row r="3279" spans="1:7" x14ac:dyDescent="0.3">
      <c r="A3279" t="str">
        <f>IF(ISBLANK(B3279),"",IF(ROUND(B3279,0)=ROUND(G3279,0),"Pass","Fail"))</f>
        <v>Pass</v>
      </c>
      <c r="B3279">
        <f t="shared" si="153"/>
        <v>22.670272827148438</v>
      </c>
      <c r="C3279">
        <v>30</v>
      </c>
      <c r="D3279">
        <v>90</v>
      </c>
      <c r="E3279">
        <v>50</v>
      </c>
      <c r="F3279">
        <v>32</v>
      </c>
      <c r="G3279">
        <v>22.670273005994598</v>
      </c>
    </row>
    <row r="3280" spans="1:7" x14ac:dyDescent="0.3">
      <c r="A3280" t="str">
        <f>IF(ISBLANK(B3280),"",IF(ROUND(B3280,0)=ROUND(G3280,0),"Pass","Fail"))</f>
        <v>Pass</v>
      </c>
      <c r="B3280">
        <f t="shared" si="153"/>
        <v>20.529727935791016</v>
      </c>
      <c r="C3280">
        <v>30</v>
      </c>
      <c r="D3280">
        <v>90</v>
      </c>
      <c r="E3280">
        <v>50</v>
      </c>
      <c r="F3280">
        <v>40</v>
      </c>
      <c r="G3280">
        <v>20.529726764327101</v>
      </c>
    </row>
    <row r="3281" spans="1:7" x14ac:dyDescent="0.3">
      <c r="A3281" t="str">
        <f>IF(ISBLANK(B3281),"",IF(ROUND(B3281,0)=ROUND(G3281,0),"Pass","Fail"))</f>
        <v>Pass</v>
      </c>
      <c r="B3281">
        <f t="shared" si="153"/>
        <v>19.45220947265625</v>
      </c>
      <c r="C3281">
        <v>30</v>
      </c>
      <c r="D3281">
        <v>90</v>
      </c>
      <c r="E3281">
        <v>50</v>
      </c>
      <c r="F3281">
        <v>48</v>
      </c>
      <c r="G3281">
        <v>19.452207900819701</v>
      </c>
    </row>
    <row r="3282" spans="1:7" x14ac:dyDescent="0.3">
      <c r="A3282" t="str">
        <f>IF(ISBLANK(B3282),"",IF(ROUND(B3282,0)=ROUND(G3282,0),"Pass","Fail"))</f>
        <v>Pass</v>
      </c>
      <c r="B3282">
        <f t="shared" si="153"/>
        <v>85.487998962402344</v>
      </c>
      <c r="C3282">
        <v>30</v>
      </c>
      <c r="D3282">
        <v>90</v>
      </c>
      <c r="E3282">
        <v>60</v>
      </c>
      <c r="F3282">
        <v>0</v>
      </c>
      <c r="G3282">
        <v>85.488</v>
      </c>
    </row>
    <row r="3283" spans="1:7" x14ac:dyDescent="0.3">
      <c r="A3283" t="str">
        <f>IF(ISBLANK(B3283),"",IF(ROUND(B3283,0)=ROUND(G3283,0),"Pass","Fail"))</f>
        <v>Pass</v>
      </c>
      <c r="B3283">
        <f t="shared" si="153"/>
        <v>52.151229858398438</v>
      </c>
      <c r="C3283">
        <v>30</v>
      </c>
      <c r="D3283">
        <v>90</v>
      </c>
      <c r="E3283">
        <v>60</v>
      </c>
      <c r="F3283">
        <v>8</v>
      </c>
      <c r="G3283">
        <v>52.151228080723001</v>
      </c>
    </row>
    <row r="3284" spans="1:7" x14ac:dyDescent="0.3">
      <c r="A3284" t="str">
        <f>IF(ISBLANK(B3284),"",IF(ROUND(B3284,0)=ROUND(G3284,0),"Pass","Fail"))</f>
        <v>Pass</v>
      </c>
      <c r="B3284">
        <f t="shared" si="153"/>
        <v>35.3699951171875</v>
      </c>
      <c r="C3284">
        <v>30</v>
      </c>
      <c r="D3284">
        <v>90</v>
      </c>
      <c r="E3284">
        <v>60</v>
      </c>
      <c r="F3284">
        <v>16</v>
      </c>
      <c r="G3284">
        <v>35.369997247101701</v>
      </c>
    </row>
    <row r="3285" spans="1:7" x14ac:dyDescent="0.3">
      <c r="A3285" t="str">
        <f>IF(ISBLANK(B3285),"",IF(ROUND(B3285,0)=ROUND(G3285,0),"Pass","Fail"))</f>
        <v>Pass</v>
      </c>
      <c r="B3285">
        <f t="shared" si="153"/>
        <v>26.922576904296875</v>
      </c>
      <c r="C3285">
        <v>30</v>
      </c>
      <c r="D3285">
        <v>90</v>
      </c>
      <c r="E3285">
        <v>60</v>
      </c>
      <c r="F3285">
        <v>24</v>
      </c>
      <c r="G3285">
        <v>26.9225774137362</v>
      </c>
    </row>
    <row r="3286" spans="1:7" x14ac:dyDescent="0.3">
      <c r="A3286" t="str">
        <f>IF(ISBLANK(B3286),"",IF(ROUND(B3286,0)=ROUND(G3286,0),"Pass","Fail"))</f>
        <v>Pass</v>
      </c>
      <c r="B3286">
        <f t="shared" si="153"/>
        <v>22.670272827148438</v>
      </c>
      <c r="C3286">
        <v>30</v>
      </c>
      <c r="D3286">
        <v>90</v>
      </c>
      <c r="E3286">
        <v>60</v>
      </c>
      <c r="F3286">
        <v>32</v>
      </c>
      <c r="G3286">
        <v>22.670273005994598</v>
      </c>
    </row>
    <row r="3287" spans="1:7" x14ac:dyDescent="0.3">
      <c r="A3287" t="str">
        <f>IF(ISBLANK(B3287),"",IF(ROUND(B3287,0)=ROUND(G3287,0),"Pass","Fail"))</f>
        <v>Pass</v>
      </c>
      <c r="B3287">
        <f t="shared" si="153"/>
        <v>20.529727935791016</v>
      </c>
      <c r="C3287">
        <v>30</v>
      </c>
      <c r="D3287">
        <v>90</v>
      </c>
      <c r="E3287">
        <v>60</v>
      </c>
      <c r="F3287">
        <v>40</v>
      </c>
      <c r="G3287">
        <v>20.529726764327101</v>
      </c>
    </row>
    <row r="3288" spans="1:7" x14ac:dyDescent="0.3">
      <c r="A3288" t="str">
        <f>IF(ISBLANK(B3288),"",IF(ROUND(B3288,0)=ROUND(G3288,0),"Pass","Fail"))</f>
        <v>Pass</v>
      </c>
      <c r="B3288">
        <f t="shared" si="153"/>
        <v>19.45220947265625</v>
      </c>
      <c r="C3288">
        <v>30</v>
      </c>
      <c r="D3288">
        <v>90</v>
      </c>
      <c r="E3288">
        <v>60</v>
      </c>
      <c r="F3288">
        <v>48</v>
      </c>
      <c r="G3288">
        <v>19.452207900819701</v>
      </c>
    </row>
    <row r="3289" spans="1:7" x14ac:dyDescent="0.3">
      <c r="A3289" t="str">
        <f>IF(ISBLANK(B3289),"",IF(ROUND(B3289,0)=ROUND(G3289,0),"Pass","Fail"))</f>
        <v>Pass</v>
      </c>
      <c r="B3289">
        <f t="shared" si="153"/>
        <v>85.487998962402344</v>
      </c>
      <c r="C3289">
        <v>30</v>
      </c>
      <c r="D3289">
        <v>90</v>
      </c>
      <c r="E3289">
        <v>70</v>
      </c>
      <c r="F3289">
        <v>0</v>
      </c>
      <c r="G3289">
        <v>85.488</v>
      </c>
    </row>
    <row r="3290" spans="1:7" x14ac:dyDescent="0.3">
      <c r="A3290" t="str">
        <f>IF(ISBLANK(B3290),"",IF(ROUND(B3290,0)=ROUND(G3290,0),"Pass","Fail"))</f>
        <v>Pass</v>
      </c>
      <c r="B3290">
        <f t="shared" si="153"/>
        <v>52.151229858398438</v>
      </c>
      <c r="C3290">
        <v>30</v>
      </c>
      <c r="D3290">
        <v>90</v>
      </c>
      <c r="E3290">
        <v>70</v>
      </c>
      <c r="F3290">
        <v>8</v>
      </c>
      <c r="G3290">
        <v>52.151228080723001</v>
      </c>
    </row>
    <row r="3291" spans="1:7" x14ac:dyDescent="0.3">
      <c r="A3291" t="str">
        <f>IF(ISBLANK(B3291),"",IF(ROUND(B3291,0)=ROUND(G3291,0),"Pass","Fail"))</f>
        <v>Pass</v>
      </c>
      <c r="B3291">
        <f t="shared" si="153"/>
        <v>35.3699951171875</v>
      </c>
      <c r="C3291">
        <v>30</v>
      </c>
      <c r="D3291">
        <v>90</v>
      </c>
      <c r="E3291">
        <v>70</v>
      </c>
      <c r="F3291">
        <v>16</v>
      </c>
      <c r="G3291">
        <v>35.369997247101701</v>
      </c>
    </row>
    <row r="3292" spans="1:7" x14ac:dyDescent="0.3">
      <c r="A3292" t="str">
        <f>IF(ISBLANK(B3292),"",IF(ROUND(B3292,0)=ROUND(G3292,0),"Pass","Fail"))</f>
        <v>Pass</v>
      </c>
      <c r="B3292">
        <f t="shared" si="153"/>
        <v>26.922576904296875</v>
      </c>
      <c r="C3292">
        <v>30</v>
      </c>
      <c r="D3292">
        <v>90</v>
      </c>
      <c r="E3292">
        <v>70</v>
      </c>
      <c r="F3292">
        <v>24</v>
      </c>
      <c r="G3292">
        <v>26.9225774137362</v>
      </c>
    </row>
    <row r="3293" spans="1:7" x14ac:dyDescent="0.3">
      <c r="A3293" t="str">
        <f>IF(ISBLANK(B3293),"",IF(ROUND(B3293,0)=ROUND(G3293,0),"Pass","Fail"))</f>
        <v>Pass</v>
      </c>
      <c r="B3293">
        <f t="shared" si="153"/>
        <v>22.670272827148438</v>
      </c>
      <c r="C3293">
        <v>30</v>
      </c>
      <c r="D3293">
        <v>90</v>
      </c>
      <c r="E3293">
        <v>70</v>
      </c>
      <c r="F3293">
        <v>32</v>
      </c>
      <c r="G3293">
        <v>22.670273005994598</v>
      </c>
    </row>
    <row r="3294" spans="1:7" x14ac:dyDescent="0.3">
      <c r="A3294" t="str">
        <f>IF(ISBLANK(B3294),"",IF(ROUND(B3294,0)=ROUND(G3294,0),"Pass","Fail"))</f>
        <v>Pass</v>
      </c>
      <c r="B3294">
        <f t="shared" si="153"/>
        <v>20.529727935791016</v>
      </c>
      <c r="C3294">
        <v>30</v>
      </c>
      <c r="D3294">
        <v>90</v>
      </c>
      <c r="E3294">
        <v>70</v>
      </c>
      <c r="F3294">
        <v>40</v>
      </c>
      <c r="G3294">
        <v>20.529726764327101</v>
      </c>
    </row>
    <row r="3295" spans="1:7" x14ac:dyDescent="0.3">
      <c r="A3295" t="str">
        <f>IF(ISBLANK(B3295),"",IF(ROUND(B3295,0)=ROUND(G3295,0),"Pass","Fail"))</f>
        <v>Pass</v>
      </c>
      <c r="B3295">
        <f t="shared" si="153"/>
        <v>19.45220947265625</v>
      </c>
      <c r="C3295">
        <v>30</v>
      </c>
      <c r="D3295">
        <v>90</v>
      </c>
      <c r="E3295">
        <v>70</v>
      </c>
      <c r="F3295">
        <v>48</v>
      </c>
      <c r="G3295">
        <v>19.452207900819701</v>
      </c>
    </row>
    <row r="3296" spans="1:7" x14ac:dyDescent="0.3">
      <c r="A3296" t="str">
        <f>IF(ISBLANK(B3296),"",IF(ROUND(B3296,0)=ROUND(G3296,0),"Pass","Fail"))</f>
        <v>Pass</v>
      </c>
      <c r="B3296">
        <f t="shared" si="153"/>
        <v>85.487998962402344</v>
      </c>
      <c r="C3296">
        <v>30</v>
      </c>
      <c r="D3296">
        <v>90</v>
      </c>
      <c r="E3296">
        <v>80</v>
      </c>
      <c r="F3296">
        <v>0</v>
      </c>
      <c r="G3296">
        <v>85.488</v>
      </c>
    </row>
    <row r="3297" spans="1:7" x14ac:dyDescent="0.3">
      <c r="A3297" t="str">
        <f>IF(ISBLANK(B3297),"",IF(ROUND(B3297,0)=ROUND(G3297,0),"Pass","Fail"))</f>
        <v>Pass</v>
      </c>
      <c r="B3297">
        <f t="shared" si="153"/>
        <v>52.151229858398438</v>
      </c>
      <c r="C3297">
        <v>30</v>
      </c>
      <c r="D3297">
        <v>90</v>
      </c>
      <c r="E3297">
        <v>80</v>
      </c>
      <c r="F3297">
        <v>8</v>
      </c>
      <c r="G3297">
        <v>52.151228080723001</v>
      </c>
    </row>
    <row r="3298" spans="1:7" x14ac:dyDescent="0.3">
      <c r="A3298" t="str">
        <f>IF(ISBLANK(B3298),"",IF(ROUND(B3298,0)=ROUND(G3298,0),"Pass","Fail"))</f>
        <v>Pass</v>
      </c>
      <c r="B3298">
        <f t="shared" si="153"/>
        <v>35.3699951171875</v>
      </c>
      <c r="C3298">
        <v>30</v>
      </c>
      <c r="D3298">
        <v>90</v>
      </c>
      <c r="E3298">
        <v>80</v>
      </c>
      <c r="F3298">
        <v>16</v>
      </c>
      <c r="G3298">
        <v>35.369997247101701</v>
      </c>
    </row>
    <row r="3299" spans="1:7" x14ac:dyDescent="0.3">
      <c r="A3299" t="str">
        <f>IF(ISBLANK(B3299),"",IF(ROUND(B3299,0)=ROUND(G3299,0),"Pass","Fail"))</f>
        <v>Pass</v>
      </c>
      <c r="B3299">
        <f t="shared" si="153"/>
        <v>26.922576904296875</v>
      </c>
      <c r="C3299">
        <v>30</v>
      </c>
      <c r="D3299">
        <v>90</v>
      </c>
      <c r="E3299">
        <v>80</v>
      </c>
      <c r="F3299">
        <v>24</v>
      </c>
      <c r="G3299">
        <v>26.9225774137362</v>
      </c>
    </row>
    <row r="3300" spans="1:7" x14ac:dyDescent="0.3">
      <c r="A3300" t="str">
        <f>IF(ISBLANK(B3300),"",IF(ROUND(B3300,0)=ROUND(G3300,0),"Pass","Fail"))</f>
        <v>Pass</v>
      </c>
      <c r="B3300">
        <f t="shared" si="153"/>
        <v>22.670272827148438</v>
      </c>
      <c r="C3300">
        <v>30</v>
      </c>
      <c r="D3300">
        <v>90</v>
      </c>
      <c r="E3300">
        <v>80</v>
      </c>
      <c r="F3300">
        <v>32</v>
      </c>
      <c r="G3300">
        <v>22.670273005994598</v>
      </c>
    </row>
    <row r="3301" spans="1:7" x14ac:dyDescent="0.3">
      <c r="A3301" t="str">
        <f>IF(ISBLANK(B3301),"",IF(ROUND(B3301,0)=ROUND(G3301,0),"Pass","Fail"))</f>
        <v>Pass</v>
      </c>
      <c r="B3301">
        <f t="shared" si="153"/>
        <v>20.529727935791016</v>
      </c>
      <c r="C3301">
        <v>30</v>
      </c>
      <c r="D3301">
        <v>90</v>
      </c>
      <c r="E3301">
        <v>80</v>
      </c>
      <c r="F3301">
        <v>40</v>
      </c>
      <c r="G3301">
        <v>20.529726764327101</v>
      </c>
    </row>
    <row r="3302" spans="1:7" x14ac:dyDescent="0.3">
      <c r="A3302" t="str">
        <f>IF(ISBLANK(B3302),"",IF(ROUND(B3302,0)=ROUND(G3302,0),"Pass","Fail"))</f>
        <v>Pass</v>
      </c>
      <c r="B3302">
        <f t="shared" si="153"/>
        <v>19.45220947265625</v>
      </c>
      <c r="C3302">
        <v>30</v>
      </c>
      <c r="D3302">
        <v>90</v>
      </c>
      <c r="E3302">
        <v>80</v>
      </c>
      <c r="F3302">
        <v>48</v>
      </c>
      <c r="G3302">
        <v>19.452207900819701</v>
      </c>
    </row>
    <row r="3303" spans="1:7" x14ac:dyDescent="0.3">
      <c r="A3303" t="str">
        <f>IF(ISBLANK(B3303),"",IF(ROUND(B3303,0)=ROUND(G3303,0),"Pass","Fail"))</f>
        <v>Pass</v>
      </c>
      <c r="B3303">
        <f t="shared" si="153"/>
        <v>85.487998962402344</v>
      </c>
      <c r="C3303">
        <v>30</v>
      </c>
      <c r="D3303">
        <v>90</v>
      </c>
      <c r="E3303">
        <v>90</v>
      </c>
      <c r="F3303">
        <v>0</v>
      </c>
      <c r="G3303">
        <v>85.488</v>
      </c>
    </row>
    <row r="3304" spans="1:7" x14ac:dyDescent="0.3">
      <c r="A3304" t="str">
        <f>IF(ISBLANK(B3304),"",IF(ROUND(B3304,0)=ROUND(G3304,0),"Pass","Fail"))</f>
        <v>Pass</v>
      </c>
      <c r="B3304">
        <f t="shared" si="153"/>
        <v>52.151229858398438</v>
      </c>
      <c r="C3304">
        <v>30</v>
      </c>
      <c r="D3304">
        <v>90</v>
      </c>
      <c r="E3304">
        <v>90</v>
      </c>
      <c r="F3304">
        <v>8</v>
      </c>
      <c r="G3304">
        <v>52.151228080723001</v>
      </c>
    </row>
    <row r="3305" spans="1:7" x14ac:dyDescent="0.3">
      <c r="A3305" t="str">
        <f>IF(ISBLANK(B3305),"",IF(ROUND(B3305,0)=ROUND(G3305,0),"Pass","Fail"))</f>
        <v>Pass</v>
      </c>
      <c r="B3305">
        <f t="shared" si="153"/>
        <v>35.3699951171875</v>
      </c>
      <c r="C3305">
        <v>30</v>
      </c>
      <c r="D3305">
        <v>90</v>
      </c>
      <c r="E3305">
        <v>90</v>
      </c>
      <c r="F3305">
        <v>16</v>
      </c>
      <c r="G3305">
        <v>35.369997247101701</v>
      </c>
    </row>
    <row r="3306" spans="1:7" x14ac:dyDescent="0.3">
      <c r="A3306" t="str">
        <f>IF(ISBLANK(B3306),"",IF(ROUND(B3306,0)=ROUND(G3306,0),"Pass","Fail"))</f>
        <v>Pass</v>
      </c>
      <c r="B3306">
        <f t="shared" si="153"/>
        <v>26.922576904296875</v>
      </c>
      <c r="C3306">
        <v>30</v>
      </c>
      <c r="D3306">
        <v>90</v>
      </c>
      <c r="E3306">
        <v>90</v>
      </c>
      <c r="F3306">
        <v>24</v>
      </c>
      <c r="G3306">
        <v>26.9225774137362</v>
      </c>
    </row>
    <row r="3307" spans="1:7" x14ac:dyDescent="0.3">
      <c r="A3307" t="str">
        <f>IF(ISBLANK(B3307),"",IF(ROUND(B3307,0)=ROUND(G3307,0),"Pass","Fail"))</f>
        <v>Pass</v>
      </c>
      <c r="B3307">
        <f t="shared" si="153"/>
        <v>22.670272827148438</v>
      </c>
      <c r="C3307">
        <v>30</v>
      </c>
      <c r="D3307">
        <v>90</v>
      </c>
      <c r="E3307">
        <v>90</v>
      </c>
      <c r="F3307">
        <v>32</v>
      </c>
      <c r="G3307">
        <v>22.670273005994598</v>
      </c>
    </row>
    <row r="3308" spans="1:7" x14ac:dyDescent="0.3">
      <c r="A3308" t="str">
        <f>IF(ISBLANK(B3308),"",IF(ROUND(B3308,0)=ROUND(G3308,0),"Pass","Fail"))</f>
        <v>Pass</v>
      </c>
      <c r="B3308">
        <f t="shared" si="153"/>
        <v>20.529727935791016</v>
      </c>
      <c r="C3308">
        <v>30</v>
      </c>
      <c r="D3308">
        <v>90</v>
      </c>
      <c r="E3308">
        <v>90</v>
      </c>
      <c r="F3308">
        <v>40</v>
      </c>
      <c r="G3308">
        <v>20.529726764327101</v>
      </c>
    </row>
    <row r="3309" spans="1:7" x14ac:dyDescent="0.3">
      <c r="A3309" t="str">
        <f>IF(ISBLANK(B3309),"",IF(ROUND(B3309,0)=ROUND(G3309,0),"Pass","Fail"))</f>
        <v>Pass</v>
      </c>
      <c r="B3309">
        <f t="shared" si="153"/>
        <v>19.45220947265625</v>
      </c>
      <c r="C3309">
        <v>30</v>
      </c>
      <c r="D3309">
        <v>90</v>
      </c>
      <c r="E3309">
        <v>90</v>
      </c>
      <c r="F3309">
        <v>48</v>
      </c>
      <c r="G3309">
        <v>19.452207900819701</v>
      </c>
    </row>
    <row r="3310" spans="1:7" x14ac:dyDescent="0.3">
      <c r="A3310" t="str">
        <f>IF(ISBLANK(B3310),"",IF(ROUND(B3310,0)=ROUND(G3310,0),"Pass","Fail"))</f>
        <v>Pass</v>
      </c>
      <c r="B3310">
        <f t="shared" si="153"/>
        <v>85.487998962402344</v>
      </c>
      <c r="C3310">
        <v>30</v>
      </c>
      <c r="D3310">
        <v>90</v>
      </c>
      <c r="E3310">
        <v>100</v>
      </c>
      <c r="F3310">
        <v>0</v>
      </c>
      <c r="G3310">
        <v>85.488</v>
      </c>
    </row>
    <row r="3311" spans="1:7" x14ac:dyDescent="0.3">
      <c r="A3311" t="str">
        <f>IF(ISBLANK(B3311),"",IF(ROUND(B3311,0)=ROUND(G3311,0),"Pass","Fail"))</f>
        <v>Pass</v>
      </c>
      <c r="B3311">
        <f t="shared" si="153"/>
        <v>52.151229858398438</v>
      </c>
      <c r="C3311">
        <v>30</v>
      </c>
      <c r="D3311">
        <v>90</v>
      </c>
      <c r="E3311">
        <v>100</v>
      </c>
      <c r="F3311">
        <v>8</v>
      </c>
      <c r="G3311">
        <v>52.151228080723001</v>
      </c>
    </row>
    <row r="3312" spans="1:7" x14ac:dyDescent="0.3">
      <c r="A3312" t="str">
        <f>IF(ISBLANK(B3312),"",IF(ROUND(B3312,0)=ROUND(G3312,0),"Pass","Fail"))</f>
        <v>Pass</v>
      </c>
      <c r="B3312">
        <f t="shared" si="153"/>
        <v>35.3699951171875</v>
      </c>
      <c r="C3312">
        <v>30</v>
      </c>
      <c r="D3312">
        <v>90</v>
      </c>
      <c r="E3312">
        <v>100</v>
      </c>
      <c r="F3312">
        <v>16</v>
      </c>
      <c r="G3312">
        <v>35.369997247101701</v>
      </c>
    </row>
    <row r="3313" spans="1:7" x14ac:dyDescent="0.3">
      <c r="A3313" t="str">
        <f>IF(ISBLANK(B3313),"",IF(ROUND(B3313,0)=ROUND(G3313,0),"Pass","Fail"))</f>
        <v>Pass</v>
      </c>
      <c r="B3313">
        <f t="shared" si="153"/>
        <v>26.922576904296875</v>
      </c>
      <c r="C3313">
        <v>30</v>
      </c>
      <c r="D3313">
        <v>90</v>
      </c>
      <c r="E3313">
        <v>100</v>
      </c>
      <c r="F3313">
        <v>24</v>
      </c>
      <c r="G3313">
        <v>26.9225774137362</v>
      </c>
    </row>
    <row r="3314" spans="1:7" x14ac:dyDescent="0.3">
      <c r="A3314" t="str">
        <f>IF(ISBLANK(B3314),"",IF(ROUND(B3314,0)=ROUND(G3314,0),"Pass","Fail"))</f>
        <v>Pass</v>
      </c>
      <c r="B3314">
        <f t="shared" si="153"/>
        <v>22.670272827148438</v>
      </c>
      <c r="C3314">
        <v>30</v>
      </c>
      <c r="D3314">
        <v>90</v>
      </c>
      <c r="E3314">
        <v>100</v>
      </c>
      <c r="F3314">
        <v>32</v>
      </c>
      <c r="G3314">
        <v>22.670273005994598</v>
      </c>
    </row>
    <row r="3315" spans="1:7" x14ac:dyDescent="0.3">
      <c r="A3315" t="str">
        <f>IF(ISBLANK(B3315),"",IF(ROUND(B3315,0)=ROUND(G3315,0),"Pass","Fail"))</f>
        <v>Pass</v>
      </c>
      <c r="B3315">
        <f t="shared" si="153"/>
        <v>20.529727935791016</v>
      </c>
      <c r="C3315">
        <v>30</v>
      </c>
      <c r="D3315">
        <v>90</v>
      </c>
      <c r="E3315">
        <v>100</v>
      </c>
      <c r="F3315">
        <v>40</v>
      </c>
      <c r="G3315">
        <v>20.529726764327101</v>
      </c>
    </row>
    <row r="3316" spans="1:7" x14ac:dyDescent="0.3">
      <c r="A3316" t="str">
        <f>IF(ISBLANK(B3316),"",IF(ROUND(B3316,0)=ROUND(G3316,0),"Pass","Fail"))</f>
        <v>Pass</v>
      </c>
      <c r="B3316">
        <f t="shared" si="153"/>
        <v>19.45220947265625</v>
      </c>
      <c r="C3316">
        <v>30</v>
      </c>
      <c r="D3316">
        <v>90</v>
      </c>
      <c r="E3316">
        <v>100</v>
      </c>
      <c r="F3316">
        <v>48</v>
      </c>
      <c r="G3316">
        <v>19.452207900819701</v>
      </c>
    </row>
    <row r="3317" spans="1:7" x14ac:dyDescent="0.3">
      <c r="A3317" t="str">
        <f>IF(ISBLANK(B3317),"",IF(ROUND(B3317,0)=ROUND(G3317,0),"Pass","Fail"))</f>
        <v>Pass</v>
      </c>
      <c r="B3317">
        <f t="shared" si="153"/>
        <v>19.969999313354492</v>
      </c>
      <c r="C3317">
        <v>30</v>
      </c>
      <c r="D3317">
        <v>100</v>
      </c>
      <c r="E3317">
        <v>0</v>
      </c>
      <c r="F3317">
        <v>0</v>
      </c>
      <c r="G3317">
        <v>19.97</v>
      </c>
    </row>
    <row r="3318" spans="1:7" x14ac:dyDescent="0.3">
      <c r="A3318" t="str">
        <f>IF(ISBLANK(B3318),"",IF(ROUND(B3318,0)=ROUND(G3318,0),"Pass","Fail"))</f>
        <v>Pass</v>
      </c>
      <c r="B3318">
        <f t="shared" si="153"/>
        <v>19.969999313354492</v>
      </c>
      <c r="C3318">
        <v>30</v>
      </c>
      <c r="D3318">
        <v>100</v>
      </c>
      <c r="E3318">
        <v>0</v>
      </c>
      <c r="F3318">
        <v>8</v>
      </c>
      <c r="G3318">
        <v>19.97</v>
      </c>
    </row>
    <row r="3319" spans="1:7" x14ac:dyDescent="0.3">
      <c r="A3319" t="str">
        <f>IF(ISBLANK(B3319),"",IF(ROUND(B3319,0)=ROUND(G3319,0),"Pass","Fail"))</f>
        <v>Pass</v>
      </c>
      <c r="B3319">
        <f t="shared" si="153"/>
        <v>19.969999313354492</v>
      </c>
      <c r="C3319">
        <v>30</v>
      </c>
      <c r="D3319">
        <v>100</v>
      </c>
      <c r="E3319">
        <v>0</v>
      </c>
      <c r="F3319">
        <v>16</v>
      </c>
      <c r="G3319">
        <v>19.97</v>
      </c>
    </row>
    <row r="3320" spans="1:7" x14ac:dyDescent="0.3">
      <c r="A3320" t="str">
        <f>IF(ISBLANK(B3320),"",IF(ROUND(B3320,0)=ROUND(G3320,0),"Pass","Fail"))</f>
        <v>Pass</v>
      </c>
      <c r="B3320">
        <f t="shared" si="153"/>
        <v>19.969999313354492</v>
      </c>
      <c r="C3320">
        <v>30</v>
      </c>
      <c r="D3320">
        <v>100</v>
      </c>
      <c r="E3320">
        <v>0</v>
      </c>
      <c r="F3320">
        <v>24</v>
      </c>
      <c r="G3320">
        <v>19.97</v>
      </c>
    </row>
    <row r="3321" spans="1:7" x14ac:dyDescent="0.3">
      <c r="A3321" t="str">
        <f>IF(ISBLANK(B3321),"",IF(ROUND(B3321,0)=ROUND(G3321,0),"Pass","Fail"))</f>
        <v>Pass</v>
      </c>
      <c r="B3321">
        <f t="shared" si="153"/>
        <v>19.969999313354492</v>
      </c>
      <c r="C3321">
        <v>30</v>
      </c>
      <c r="D3321">
        <v>100</v>
      </c>
      <c r="E3321">
        <v>0</v>
      </c>
      <c r="F3321">
        <v>32</v>
      </c>
      <c r="G3321">
        <v>19.97</v>
      </c>
    </row>
    <row r="3322" spans="1:7" x14ac:dyDescent="0.3">
      <c r="A3322" t="str">
        <f>IF(ISBLANK(B3322),"",IF(ROUND(B3322,0)=ROUND(G3322,0),"Pass","Fail"))</f>
        <v>Pass</v>
      </c>
      <c r="B3322">
        <f t="shared" si="153"/>
        <v>19.969999313354492</v>
      </c>
      <c r="C3322">
        <v>30</v>
      </c>
      <c r="D3322">
        <v>100</v>
      </c>
      <c r="E3322">
        <v>0</v>
      </c>
      <c r="F3322">
        <v>40</v>
      </c>
      <c r="G3322">
        <v>19.97</v>
      </c>
    </row>
    <row r="3323" spans="1:7" x14ac:dyDescent="0.3">
      <c r="A3323" t="str">
        <f>IF(ISBLANK(B3323),"",IF(ROUND(B3323,0)=ROUND(G3323,0),"Pass","Fail"))</f>
        <v>Pass</v>
      </c>
      <c r="B3323">
        <f t="shared" si="153"/>
        <v>19.969999313354492</v>
      </c>
      <c r="C3323">
        <v>30</v>
      </c>
      <c r="D3323">
        <v>100</v>
      </c>
      <c r="E3323">
        <v>0</v>
      </c>
      <c r="F3323">
        <v>48</v>
      </c>
      <c r="G3323">
        <v>19.97</v>
      </c>
    </row>
    <row r="3324" spans="1:7" x14ac:dyDescent="0.3">
      <c r="A3324" t="str">
        <f>IF(ISBLANK(B3324),"",IF(ROUND(B3324,0)=ROUND(G3324,0),"Pass","Fail"))</f>
        <v>Pass</v>
      </c>
      <c r="B3324">
        <f t="shared" si="153"/>
        <v>87.097999572753906</v>
      </c>
      <c r="C3324">
        <v>30</v>
      </c>
      <c r="D3324">
        <v>100</v>
      </c>
      <c r="E3324">
        <v>10</v>
      </c>
      <c r="F3324">
        <v>0</v>
      </c>
      <c r="G3324">
        <v>87.097999999998294</v>
      </c>
    </row>
    <row r="3325" spans="1:7" x14ac:dyDescent="0.3">
      <c r="A3325" t="str">
        <f>IF(ISBLANK(B3325),"",IF(ROUND(B3325,0)=ROUND(G3325,0),"Pass","Fail"))</f>
        <v>Pass</v>
      </c>
      <c r="B3325">
        <f t="shared" si="153"/>
        <v>53.76123046875</v>
      </c>
      <c r="C3325">
        <v>30</v>
      </c>
      <c r="D3325">
        <v>100</v>
      </c>
      <c r="E3325">
        <v>10</v>
      </c>
      <c r="F3325">
        <v>8</v>
      </c>
      <c r="G3325">
        <v>53.761228080722198</v>
      </c>
    </row>
    <row r="3326" spans="1:7" x14ac:dyDescent="0.3">
      <c r="A3326" t="str">
        <f>IF(ISBLANK(B3326),"",IF(ROUND(B3326,0)=ROUND(G3326,0),"Pass","Fail"))</f>
        <v>Pass</v>
      </c>
      <c r="B3326">
        <f t="shared" si="153"/>
        <v>36.979995727539063</v>
      </c>
      <c r="C3326">
        <v>30</v>
      </c>
      <c r="D3326">
        <v>100</v>
      </c>
      <c r="E3326">
        <v>10</v>
      </c>
      <c r="F3326">
        <v>16</v>
      </c>
      <c r="G3326">
        <v>36.979997247101302</v>
      </c>
    </row>
    <row r="3327" spans="1:7" x14ac:dyDescent="0.3">
      <c r="A3327" t="str">
        <f>IF(ISBLANK(B3327),"",IF(ROUND(B3327,0)=ROUND(G3327,0),"Pass","Fail"))</f>
        <v>Pass</v>
      </c>
      <c r="B3327">
        <f t="shared" si="153"/>
        <v>28.532577514648438</v>
      </c>
      <c r="C3327">
        <v>30</v>
      </c>
      <c r="D3327">
        <v>100</v>
      </c>
      <c r="E3327">
        <v>10</v>
      </c>
      <c r="F3327">
        <v>24</v>
      </c>
      <c r="G3327">
        <v>28.532577413736</v>
      </c>
    </row>
    <row r="3328" spans="1:7" x14ac:dyDescent="0.3">
      <c r="A3328" t="str">
        <f>IF(ISBLANK(B3328),"",IF(ROUND(B3328,0)=ROUND(G3328,0),"Pass","Fail"))</f>
        <v>Pass</v>
      </c>
      <c r="B3328">
        <f t="shared" si="153"/>
        <v>24.2802734375</v>
      </c>
      <c r="C3328">
        <v>30</v>
      </c>
      <c r="D3328">
        <v>100</v>
      </c>
      <c r="E3328">
        <v>10</v>
      </c>
      <c r="F3328">
        <v>32</v>
      </c>
      <c r="G3328">
        <v>24.280273005994498</v>
      </c>
    </row>
    <row r="3329" spans="1:7" x14ac:dyDescent="0.3">
      <c r="A3329" t="str">
        <f>IF(ISBLANK(B3329),"",IF(ROUND(B3329,0)=ROUND(G3329,0),"Pass","Fail"))</f>
        <v>Pass</v>
      </c>
      <c r="B3329">
        <f t="shared" si="153"/>
        <v>22.139726638793945</v>
      </c>
      <c r="C3329">
        <v>30</v>
      </c>
      <c r="D3329">
        <v>100</v>
      </c>
      <c r="E3329">
        <v>10</v>
      </c>
      <c r="F3329">
        <v>40</v>
      </c>
      <c r="G3329">
        <v>22.139726764327001</v>
      </c>
    </row>
    <row r="3330" spans="1:7" x14ac:dyDescent="0.3">
      <c r="A3330" t="str">
        <f>IF(ISBLANK(B3330),"",IF(ROUND(B3330,0)=ROUND(G3330,0),"Pass","Fail"))</f>
        <v>Pass</v>
      </c>
      <c r="B3330">
        <f t="shared" si="153"/>
        <v>21.062206268310547</v>
      </c>
      <c r="C3330">
        <v>30</v>
      </c>
      <c r="D3330">
        <v>100</v>
      </c>
      <c r="E3330">
        <v>10</v>
      </c>
      <c r="F3330">
        <v>48</v>
      </c>
      <c r="G3330">
        <v>21.062207900819701</v>
      </c>
    </row>
    <row r="3331" spans="1:7" x14ac:dyDescent="0.3">
      <c r="A3331" t="str">
        <f>IF(ISBLANK(B3331),"",IF(ROUND(B3331,0)=ROUND(G3331,0),"Pass","Fail"))</f>
        <v>Pass</v>
      </c>
      <c r="B3331">
        <f t="shared" si="153"/>
        <v>87.097999572753906</v>
      </c>
      <c r="C3331">
        <v>30</v>
      </c>
      <c r="D3331">
        <v>100</v>
      </c>
      <c r="E3331">
        <v>20</v>
      </c>
      <c r="F3331">
        <v>0</v>
      </c>
      <c r="G3331">
        <v>87.097999999999999</v>
      </c>
    </row>
    <row r="3332" spans="1:7" x14ac:dyDescent="0.3">
      <c r="A3332" t="str">
        <f>IF(ISBLANK(B3332),"",IF(ROUND(B3332,0)=ROUND(G3332,0),"Pass","Fail"))</f>
        <v>Pass</v>
      </c>
      <c r="B3332">
        <f t="shared" si="153"/>
        <v>53.76123046875</v>
      </c>
      <c r="C3332">
        <v>30</v>
      </c>
      <c r="D3332">
        <v>100</v>
      </c>
      <c r="E3332">
        <v>20</v>
      </c>
      <c r="F3332">
        <v>8</v>
      </c>
      <c r="G3332">
        <v>53.7612280807231</v>
      </c>
    </row>
    <row r="3333" spans="1:7" x14ac:dyDescent="0.3">
      <c r="A3333" t="str">
        <f>IF(ISBLANK(B3333),"",IF(ROUND(B3333,0)=ROUND(G3333,0),"Pass","Fail"))</f>
        <v>Pass</v>
      </c>
      <c r="B3333">
        <f t="shared" si="153"/>
        <v>36.979995727539063</v>
      </c>
      <c r="C3333">
        <v>30</v>
      </c>
      <c r="D3333">
        <v>100</v>
      </c>
      <c r="E3333">
        <v>20</v>
      </c>
      <c r="F3333">
        <v>16</v>
      </c>
      <c r="G3333">
        <v>36.9799972471017</v>
      </c>
    </row>
    <row r="3334" spans="1:7" x14ac:dyDescent="0.3">
      <c r="A3334" t="str">
        <f>IF(ISBLANK(B3334),"",IF(ROUND(B3334,0)=ROUND(G3334,0),"Pass","Fail"))</f>
        <v>Pass</v>
      </c>
      <c r="B3334">
        <f t="shared" si="153"/>
        <v>28.532577514648438</v>
      </c>
      <c r="C3334">
        <v>30</v>
      </c>
      <c r="D3334">
        <v>100</v>
      </c>
      <c r="E3334">
        <v>20</v>
      </c>
      <c r="F3334">
        <v>24</v>
      </c>
      <c r="G3334">
        <v>28.532577413736199</v>
      </c>
    </row>
    <row r="3335" spans="1:7" x14ac:dyDescent="0.3">
      <c r="A3335" t="str">
        <f>IF(ISBLANK(B3335),"",IF(ROUND(B3335,0)=ROUND(G3335,0),"Pass","Fail"))</f>
        <v>Pass</v>
      </c>
      <c r="B3335">
        <f t="shared" ref="B3335:B3398" si="154">FMC_heath(C3335,D3335,E3335,F3335)</f>
        <v>24.2802734375</v>
      </c>
      <c r="C3335">
        <v>30</v>
      </c>
      <c r="D3335">
        <v>100</v>
      </c>
      <c r="E3335">
        <v>20</v>
      </c>
      <c r="F3335">
        <v>32</v>
      </c>
      <c r="G3335">
        <v>24.280273005994601</v>
      </c>
    </row>
    <row r="3336" spans="1:7" x14ac:dyDescent="0.3">
      <c r="A3336" t="str">
        <f>IF(ISBLANK(B3336),"",IF(ROUND(B3336,0)=ROUND(G3336,0),"Pass","Fail"))</f>
        <v>Pass</v>
      </c>
      <c r="B3336">
        <f t="shared" si="154"/>
        <v>22.139726638793945</v>
      </c>
      <c r="C3336">
        <v>30</v>
      </c>
      <c r="D3336">
        <v>100</v>
      </c>
      <c r="E3336">
        <v>20</v>
      </c>
      <c r="F3336">
        <v>40</v>
      </c>
      <c r="G3336">
        <v>22.139726764327101</v>
      </c>
    </row>
    <row r="3337" spans="1:7" x14ac:dyDescent="0.3">
      <c r="A3337" t="str">
        <f>IF(ISBLANK(B3337),"",IF(ROUND(B3337,0)=ROUND(G3337,0),"Pass","Fail"))</f>
        <v>Pass</v>
      </c>
      <c r="B3337">
        <f t="shared" si="154"/>
        <v>21.062206268310547</v>
      </c>
      <c r="C3337">
        <v>30</v>
      </c>
      <c r="D3337">
        <v>100</v>
      </c>
      <c r="E3337">
        <v>20</v>
      </c>
      <c r="F3337">
        <v>48</v>
      </c>
      <c r="G3337">
        <v>21.062207900819701</v>
      </c>
    </row>
    <row r="3338" spans="1:7" x14ac:dyDescent="0.3">
      <c r="A3338" t="str">
        <f>IF(ISBLANK(B3338),"",IF(ROUND(B3338,0)=ROUND(G3338,0),"Pass","Fail"))</f>
        <v>Pass</v>
      </c>
      <c r="B3338">
        <f t="shared" si="154"/>
        <v>87.097999572753906</v>
      </c>
      <c r="C3338">
        <v>30</v>
      </c>
      <c r="D3338">
        <v>100</v>
      </c>
      <c r="E3338">
        <v>30</v>
      </c>
      <c r="F3338">
        <v>0</v>
      </c>
      <c r="G3338">
        <v>87.097999999999999</v>
      </c>
    </row>
    <row r="3339" spans="1:7" x14ac:dyDescent="0.3">
      <c r="A3339" t="str">
        <f>IF(ISBLANK(B3339),"",IF(ROUND(B3339,0)=ROUND(G3339,0),"Pass","Fail"))</f>
        <v>Pass</v>
      </c>
      <c r="B3339">
        <f t="shared" si="154"/>
        <v>53.76123046875</v>
      </c>
      <c r="C3339">
        <v>30</v>
      </c>
      <c r="D3339">
        <v>100</v>
      </c>
      <c r="E3339">
        <v>30</v>
      </c>
      <c r="F3339">
        <v>8</v>
      </c>
      <c r="G3339">
        <v>53.7612280807231</v>
      </c>
    </row>
    <row r="3340" spans="1:7" x14ac:dyDescent="0.3">
      <c r="A3340" t="str">
        <f>IF(ISBLANK(B3340),"",IF(ROUND(B3340,0)=ROUND(G3340,0),"Pass","Fail"))</f>
        <v>Pass</v>
      </c>
      <c r="B3340">
        <f t="shared" si="154"/>
        <v>36.979995727539063</v>
      </c>
      <c r="C3340">
        <v>30</v>
      </c>
      <c r="D3340">
        <v>100</v>
      </c>
      <c r="E3340">
        <v>30</v>
      </c>
      <c r="F3340">
        <v>16</v>
      </c>
      <c r="G3340">
        <v>36.9799972471017</v>
      </c>
    </row>
    <row r="3341" spans="1:7" x14ac:dyDescent="0.3">
      <c r="A3341" t="str">
        <f>IF(ISBLANK(B3341),"",IF(ROUND(B3341,0)=ROUND(G3341,0),"Pass","Fail"))</f>
        <v>Pass</v>
      </c>
      <c r="B3341">
        <f t="shared" si="154"/>
        <v>28.532577514648438</v>
      </c>
      <c r="C3341">
        <v>30</v>
      </c>
      <c r="D3341">
        <v>100</v>
      </c>
      <c r="E3341">
        <v>30</v>
      </c>
      <c r="F3341">
        <v>24</v>
      </c>
      <c r="G3341">
        <v>28.532577413736199</v>
      </c>
    </row>
    <row r="3342" spans="1:7" x14ac:dyDescent="0.3">
      <c r="A3342" t="str">
        <f>IF(ISBLANK(B3342),"",IF(ROUND(B3342,0)=ROUND(G3342,0),"Pass","Fail"))</f>
        <v>Pass</v>
      </c>
      <c r="B3342">
        <f t="shared" si="154"/>
        <v>24.2802734375</v>
      </c>
      <c r="C3342">
        <v>30</v>
      </c>
      <c r="D3342">
        <v>100</v>
      </c>
      <c r="E3342">
        <v>30</v>
      </c>
      <c r="F3342">
        <v>32</v>
      </c>
      <c r="G3342">
        <v>24.280273005994601</v>
      </c>
    </row>
    <row r="3343" spans="1:7" x14ac:dyDescent="0.3">
      <c r="A3343" t="str">
        <f>IF(ISBLANK(B3343),"",IF(ROUND(B3343,0)=ROUND(G3343,0),"Pass","Fail"))</f>
        <v>Pass</v>
      </c>
      <c r="B3343">
        <f t="shared" si="154"/>
        <v>22.139726638793945</v>
      </c>
      <c r="C3343">
        <v>30</v>
      </c>
      <c r="D3343">
        <v>100</v>
      </c>
      <c r="E3343">
        <v>30</v>
      </c>
      <c r="F3343">
        <v>40</v>
      </c>
      <c r="G3343">
        <v>22.139726764327101</v>
      </c>
    </row>
    <row r="3344" spans="1:7" x14ac:dyDescent="0.3">
      <c r="A3344" t="str">
        <f>IF(ISBLANK(B3344),"",IF(ROUND(B3344,0)=ROUND(G3344,0),"Pass","Fail"))</f>
        <v>Pass</v>
      </c>
      <c r="B3344">
        <f t="shared" si="154"/>
        <v>21.062206268310547</v>
      </c>
      <c r="C3344">
        <v>30</v>
      </c>
      <c r="D3344">
        <v>100</v>
      </c>
      <c r="E3344">
        <v>30</v>
      </c>
      <c r="F3344">
        <v>48</v>
      </c>
      <c r="G3344">
        <v>21.062207900819701</v>
      </c>
    </row>
    <row r="3345" spans="1:7" x14ac:dyDescent="0.3">
      <c r="A3345" t="str">
        <f>IF(ISBLANK(B3345),"",IF(ROUND(B3345,0)=ROUND(G3345,0),"Pass","Fail"))</f>
        <v>Pass</v>
      </c>
      <c r="B3345">
        <f t="shared" si="154"/>
        <v>87.097999572753906</v>
      </c>
      <c r="C3345">
        <v>30</v>
      </c>
      <c r="D3345">
        <v>100</v>
      </c>
      <c r="E3345">
        <v>40</v>
      </c>
      <c r="F3345">
        <v>0</v>
      </c>
      <c r="G3345">
        <v>87.097999999999999</v>
      </c>
    </row>
    <row r="3346" spans="1:7" x14ac:dyDescent="0.3">
      <c r="A3346" t="str">
        <f>IF(ISBLANK(B3346),"",IF(ROUND(B3346,0)=ROUND(G3346,0),"Pass","Fail"))</f>
        <v>Pass</v>
      </c>
      <c r="B3346">
        <f t="shared" si="154"/>
        <v>53.76123046875</v>
      </c>
      <c r="C3346">
        <v>30</v>
      </c>
      <c r="D3346">
        <v>100</v>
      </c>
      <c r="E3346">
        <v>40</v>
      </c>
      <c r="F3346">
        <v>8</v>
      </c>
      <c r="G3346">
        <v>53.7612280807231</v>
      </c>
    </row>
    <row r="3347" spans="1:7" x14ac:dyDescent="0.3">
      <c r="A3347" t="str">
        <f>IF(ISBLANK(B3347),"",IF(ROUND(B3347,0)=ROUND(G3347,0),"Pass","Fail"))</f>
        <v>Pass</v>
      </c>
      <c r="B3347">
        <f t="shared" si="154"/>
        <v>36.979995727539063</v>
      </c>
      <c r="C3347">
        <v>30</v>
      </c>
      <c r="D3347">
        <v>100</v>
      </c>
      <c r="E3347">
        <v>40</v>
      </c>
      <c r="F3347">
        <v>16</v>
      </c>
      <c r="G3347">
        <v>36.9799972471017</v>
      </c>
    </row>
    <row r="3348" spans="1:7" x14ac:dyDescent="0.3">
      <c r="A3348" t="str">
        <f>IF(ISBLANK(B3348),"",IF(ROUND(B3348,0)=ROUND(G3348,0),"Pass","Fail"))</f>
        <v>Pass</v>
      </c>
      <c r="B3348">
        <f t="shared" si="154"/>
        <v>28.532577514648438</v>
      </c>
      <c r="C3348">
        <v>30</v>
      </c>
      <c r="D3348">
        <v>100</v>
      </c>
      <c r="E3348">
        <v>40</v>
      </c>
      <c r="F3348">
        <v>24</v>
      </c>
      <c r="G3348">
        <v>28.532577413736199</v>
      </c>
    </row>
    <row r="3349" spans="1:7" x14ac:dyDescent="0.3">
      <c r="A3349" t="str">
        <f>IF(ISBLANK(B3349),"",IF(ROUND(B3349,0)=ROUND(G3349,0),"Pass","Fail"))</f>
        <v>Pass</v>
      </c>
      <c r="B3349">
        <f t="shared" si="154"/>
        <v>24.2802734375</v>
      </c>
      <c r="C3349">
        <v>30</v>
      </c>
      <c r="D3349">
        <v>100</v>
      </c>
      <c r="E3349">
        <v>40</v>
      </c>
      <c r="F3349">
        <v>32</v>
      </c>
      <c r="G3349">
        <v>24.280273005994601</v>
      </c>
    </row>
    <row r="3350" spans="1:7" x14ac:dyDescent="0.3">
      <c r="A3350" t="str">
        <f>IF(ISBLANK(B3350),"",IF(ROUND(B3350,0)=ROUND(G3350,0),"Pass","Fail"))</f>
        <v>Pass</v>
      </c>
      <c r="B3350">
        <f t="shared" si="154"/>
        <v>22.139726638793945</v>
      </c>
      <c r="C3350">
        <v>30</v>
      </c>
      <c r="D3350">
        <v>100</v>
      </c>
      <c r="E3350">
        <v>40</v>
      </c>
      <c r="F3350">
        <v>40</v>
      </c>
      <c r="G3350">
        <v>22.139726764327101</v>
      </c>
    </row>
    <row r="3351" spans="1:7" x14ac:dyDescent="0.3">
      <c r="A3351" t="str">
        <f>IF(ISBLANK(B3351),"",IF(ROUND(B3351,0)=ROUND(G3351,0),"Pass","Fail"))</f>
        <v>Pass</v>
      </c>
      <c r="B3351">
        <f t="shared" si="154"/>
        <v>21.062206268310547</v>
      </c>
      <c r="C3351">
        <v>30</v>
      </c>
      <c r="D3351">
        <v>100</v>
      </c>
      <c r="E3351">
        <v>40</v>
      </c>
      <c r="F3351">
        <v>48</v>
      </c>
      <c r="G3351">
        <v>21.062207900819701</v>
      </c>
    </row>
    <row r="3352" spans="1:7" x14ac:dyDescent="0.3">
      <c r="A3352" t="str">
        <f>IF(ISBLANK(B3352),"",IF(ROUND(B3352,0)=ROUND(G3352,0),"Pass","Fail"))</f>
        <v>Pass</v>
      </c>
      <c r="B3352">
        <f t="shared" si="154"/>
        <v>87.097999572753906</v>
      </c>
      <c r="C3352">
        <v>30</v>
      </c>
      <c r="D3352">
        <v>100</v>
      </c>
      <c r="E3352">
        <v>50</v>
      </c>
      <c r="F3352">
        <v>0</v>
      </c>
      <c r="G3352">
        <v>87.097999999999999</v>
      </c>
    </row>
    <row r="3353" spans="1:7" x14ac:dyDescent="0.3">
      <c r="A3353" t="str">
        <f>IF(ISBLANK(B3353),"",IF(ROUND(B3353,0)=ROUND(G3353,0),"Pass","Fail"))</f>
        <v>Pass</v>
      </c>
      <c r="B3353">
        <f t="shared" si="154"/>
        <v>53.76123046875</v>
      </c>
      <c r="C3353">
        <v>30</v>
      </c>
      <c r="D3353">
        <v>100</v>
      </c>
      <c r="E3353">
        <v>50</v>
      </c>
      <c r="F3353">
        <v>8</v>
      </c>
      <c r="G3353">
        <v>53.7612280807231</v>
      </c>
    </row>
    <row r="3354" spans="1:7" x14ac:dyDescent="0.3">
      <c r="A3354" t="str">
        <f>IF(ISBLANK(B3354),"",IF(ROUND(B3354,0)=ROUND(G3354,0),"Pass","Fail"))</f>
        <v>Pass</v>
      </c>
      <c r="B3354">
        <f t="shared" si="154"/>
        <v>36.979995727539063</v>
      </c>
      <c r="C3354">
        <v>30</v>
      </c>
      <c r="D3354">
        <v>100</v>
      </c>
      <c r="E3354">
        <v>50</v>
      </c>
      <c r="F3354">
        <v>16</v>
      </c>
      <c r="G3354">
        <v>36.9799972471017</v>
      </c>
    </row>
    <row r="3355" spans="1:7" x14ac:dyDescent="0.3">
      <c r="A3355" t="str">
        <f>IF(ISBLANK(B3355),"",IF(ROUND(B3355,0)=ROUND(G3355,0),"Pass","Fail"))</f>
        <v>Pass</v>
      </c>
      <c r="B3355">
        <f t="shared" si="154"/>
        <v>28.532577514648438</v>
      </c>
      <c r="C3355">
        <v>30</v>
      </c>
      <c r="D3355">
        <v>100</v>
      </c>
      <c r="E3355">
        <v>50</v>
      </c>
      <c r="F3355">
        <v>24</v>
      </c>
      <c r="G3355">
        <v>28.532577413736199</v>
      </c>
    </row>
    <row r="3356" spans="1:7" x14ac:dyDescent="0.3">
      <c r="A3356" t="str">
        <f>IF(ISBLANK(B3356),"",IF(ROUND(B3356,0)=ROUND(G3356,0),"Pass","Fail"))</f>
        <v>Pass</v>
      </c>
      <c r="B3356">
        <f t="shared" si="154"/>
        <v>24.2802734375</v>
      </c>
      <c r="C3356">
        <v>30</v>
      </c>
      <c r="D3356">
        <v>100</v>
      </c>
      <c r="E3356">
        <v>50</v>
      </c>
      <c r="F3356">
        <v>32</v>
      </c>
      <c r="G3356">
        <v>24.280273005994601</v>
      </c>
    </row>
    <row r="3357" spans="1:7" x14ac:dyDescent="0.3">
      <c r="A3357" t="str">
        <f>IF(ISBLANK(B3357),"",IF(ROUND(B3357,0)=ROUND(G3357,0),"Pass","Fail"))</f>
        <v>Pass</v>
      </c>
      <c r="B3357">
        <f t="shared" si="154"/>
        <v>22.139726638793945</v>
      </c>
      <c r="C3357">
        <v>30</v>
      </c>
      <c r="D3357">
        <v>100</v>
      </c>
      <c r="E3357">
        <v>50</v>
      </c>
      <c r="F3357">
        <v>40</v>
      </c>
      <c r="G3357">
        <v>22.139726764327101</v>
      </c>
    </row>
    <row r="3358" spans="1:7" x14ac:dyDescent="0.3">
      <c r="A3358" t="str">
        <f>IF(ISBLANK(B3358),"",IF(ROUND(B3358,0)=ROUND(G3358,0),"Pass","Fail"))</f>
        <v>Pass</v>
      </c>
      <c r="B3358">
        <f t="shared" si="154"/>
        <v>21.062206268310547</v>
      </c>
      <c r="C3358">
        <v>30</v>
      </c>
      <c r="D3358">
        <v>100</v>
      </c>
      <c r="E3358">
        <v>50</v>
      </c>
      <c r="F3358">
        <v>48</v>
      </c>
      <c r="G3358">
        <v>21.062207900819701</v>
      </c>
    </row>
    <row r="3359" spans="1:7" x14ac:dyDescent="0.3">
      <c r="A3359" t="str">
        <f>IF(ISBLANK(B3359),"",IF(ROUND(B3359,0)=ROUND(G3359,0),"Pass","Fail"))</f>
        <v>Pass</v>
      </c>
      <c r="B3359">
        <f t="shared" si="154"/>
        <v>87.097999572753906</v>
      </c>
      <c r="C3359">
        <v>30</v>
      </c>
      <c r="D3359">
        <v>100</v>
      </c>
      <c r="E3359">
        <v>60</v>
      </c>
      <c r="F3359">
        <v>0</v>
      </c>
      <c r="G3359">
        <v>87.097999999999999</v>
      </c>
    </row>
    <row r="3360" spans="1:7" x14ac:dyDescent="0.3">
      <c r="A3360" t="str">
        <f>IF(ISBLANK(B3360),"",IF(ROUND(B3360,0)=ROUND(G3360,0),"Pass","Fail"))</f>
        <v>Pass</v>
      </c>
      <c r="B3360">
        <f t="shared" si="154"/>
        <v>53.76123046875</v>
      </c>
      <c r="C3360">
        <v>30</v>
      </c>
      <c r="D3360">
        <v>100</v>
      </c>
      <c r="E3360">
        <v>60</v>
      </c>
      <c r="F3360">
        <v>8</v>
      </c>
      <c r="G3360">
        <v>53.7612280807231</v>
      </c>
    </row>
    <row r="3361" spans="1:7" x14ac:dyDescent="0.3">
      <c r="A3361" t="str">
        <f>IF(ISBLANK(B3361),"",IF(ROUND(B3361,0)=ROUND(G3361,0),"Pass","Fail"))</f>
        <v>Pass</v>
      </c>
      <c r="B3361">
        <f t="shared" si="154"/>
        <v>36.979995727539063</v>
      </c>
      <c r="C3361">
        <v>30</v>
      </c>
      <c r="D3361">
        <v>100</v>
      </c>
      <c r="E3361">
        <v>60</v>
      </c>
      <c r="F3361">
        <v>16</v>
      </c>
      <c r="G3361">
        <v>36.9799972471017</v>
      </c>
    </row>
    <row r="3362" spans="1:7" x14ac:dyDescent="0.3">
      <c r="A3362" t="str">
        <f>IF(ISBLANK(B3362),"",IF(ROUND(B3362,0)=ROUND(G3362,0),"Pass","Fail"))</f>
        <v>Pass</v>
      </c>
      <c r="B3362">
        <f t="shared" si="154"/>
        <v>28.532577514648438</v>
      </c>
      <c r="C3362">
        <v>30</v>
      </c>
      <c r="D3362">
        <v>100</v>
      </c>
      <c r="E3362">
        <v>60</v>
      </c>
      <c r="F3362">
        <v>24</v>
      </c>
      <c r="G3362">
        <v>28.532577413736199</v>
      </c>
    </row>
    <row r="3363" spans="1:7" x14ac:dyDescent="0.3">
      <c r="A3363" t="str">
        <f>IF(ISBLANK(B3363),"",IF(ROUND(B3363,0)=ROUND(G3363,0),"Pass","Fail"))</f>
        <v>Pass</v>
      </c>
      <c r="B3363">
        <f t="shared" si="154"/>
        <v>24.2802734375</v>
      </c>
      <c r="C3363">
        <v>30</v>
      </c>
      <c r="D3363">
        <v>100</v>
      </c>
      <c r="E3363">
        <v>60</v>
      </c>
      <c r="F3363">
        <v>32</v>
      </c>
      <c r="G3363">
        <v>24.280273005994601</v>
      </c>
    </row>
    <row r="3364" spans="1:7" x14ac:dyDescent="0.3">
      <c r="A3364" t="str">
        <f>IF(ISBLANK(B3364),"",IF(ROUND(B3364,0)=ROUND(G3364,0),"Pass","Fail"))</f>
        <v>Pass</v>
      </c>
      <c r="B3364">
        <f t="shared" si="154"/>
        <v>22.139726638793945</v>
      </c>
      <c r="C3364">
        <v>30</v>
      </c>
      <c r="D3364">
        <v>100</v>
      </c>
      <c r="E3364">
        <v>60</v>
      </c>
      <c r="F3364">
        <v>40</v>
      </c>
      <c r="G3364">
        <v>22.139726764327101</v>
      </c>
    </row>
    <row r="3365" spans="1:7" x14ac:dyDescent="0.3">
      <c r="A3365" t="str">
        <f>IF(ISBLANK(B3365),"",IF(ROUND(B3365,0)=ROUND(G3365,0),"Pass","Fail"))</f>
        <v>Pass</v>
      </c>
      <c r="B3365">
        <f t="shared" si="154"/>
        <v>21.062206268310547</v>
      </c>
      <c r="C3365">
        <v>30</v>
      </c>
      <c r="D3365">
        <v>100</v>
      </c>
      <c r="E3365">
        <v>60</v>
      </c>
      <c r="F3365">
        <v>48</v>
      </c>
      <c r="G3365">
        <v>21.062207900819701</v>
      </c>
    </row>
    <row r="3366" spans="1:7" x14ac:dyDescent="0.3">
      <c r="A3366" t="str">
        <f>IF(ISBLANK(B3366),"",IF(ROUND(B3366,0)=ROUND(G3366,0),"Pass","Fail"))</f>
        <v>Pass</v>
      </c>
      <c r="B3366">
        <f t="shared" si="154"/>
        <v>87.097999572753906</v>
      </c>
      <c r="C3366">
        <v>30</v>
      </c>
      <c r="D3366">
        <v>100</v>
      </c>
      <c r="E3366">
        <v>70</v>
      </c>
      <c r="F3366">
        <v>0</v>
      </c>
      <c r="G3366">
        <v>87.097999999999999</v>
      </c>
    </row>
    <row r="3367" spans="1:7" x14ac:dyDescent="0.3">
      <c r="A3367" t="str">
        <f>IF(ISBLANK(B3367),"",IF(ROUND(B3367,0)=ROUND(G3367,0),"Pass","Fail"))</f>
        <v>Pass</v>
      </c>
      <c r="B3367">
        <f t="shared" si="154"/>
        <v>53.76123046875</v>
      </c>
      <c r="C3367">
        <v>30</v>
      </c>
      <c r="D3367">
        <v>100</v>
      </c>
      <c r="E3367">
        <v>70</v>
      </c>
      <c r="F3367">
        <v>8</v>
      </c>
      <c r="G3367">
        <v>53.7612280807231</v>
      </c>
    </row>
    <row r="3368" spans="1:7" x14ac:dyDescent="0.3">
      <c r="A3368" t="str">
        <f>IF(ISBLANK(B3368),"",IF(ROUND(B3368,0)=ROUND(G3368,0),"Pass","Fail"))</f>
        <v>Pass</v>
      </c>
      <c r="B3368">
        <f t="shared" si="154"/>
        <v>36.979995727539063</v>
      </c>
      <c r="C3368">
        <v>30</v>
      </c>
      <c r="D3368">
        <v>100</v>
      </c>
      <c r="E3368">
        <v>70</v>
      </c>
      <c r="F3368">
        <v>16</v>
      </c>
      <c r="G3368">
        <v>36.9799972471017</v>
      </c>
    </row>
    <row r="3369" spans="1:7" x14ac:dyDescent="0.3">
      <c r="A3369" t="str">
        <f>IF(ISBLANK(B3369),"",IF(ROUND(B3369,0)=ROUND(G3369,0),"Pass","Fail"))</f>
        <v>Pass</v>
      </c>
      <c r="B3369">
        <f t="shared" si="154"/>
        <v>28.532577514648438</v>
      </c>
      <c r="C3369">
        <v>30</v>
      </c>
      <c r="D3369">
        <v>100</v>
      </c>
      <c r="E3369">
        <v>70</v>
      </c>
      <c r="F3369">
        <v>24</v>
      </c>
      <c r="G3369">
        <v>28.532577413736199</v>
      </c>
    </row>
    <row r="3370" spans="1:7" x14ac:dyDescent="0.3">
      <c r="A3370" t="str">
        <f>IF(ISBLANK(B3370),"",IF(ROUND(B3370,0)=ROUND(G3370,0),"Pass","Fail"))</f>
        <v>Pass</v>
      </c>
      <c r="B3370">
        <f t="shared" si="154"/>
        <v>24.2802734375</v>
      </c>
      <c r="C3370">
        <v>30</v>
      </c>
      <c r="D3370">
        <v>100</v>
      </c>
      <c r="E3370">
        <v>70</v>
      </c>
      <c r="F3370">
        <v>32</v>
      </c>
      <c r="G3370">
        <v>24.280273005994601</v>
      </c>
    </row>
    <row r="3371" spans="1:7" x14ac:dyDescent="0.3">
      <c r="A3371" t="str">
        <f>IF(ISBLANK(B3371),"",IF(ROUND(B3371,0)=ROUND(G3371,0),"Pass","Fail"))</f>
        <v>Pass</v>
      </c>
      <c r="B3371">
        <f t="shared" si="154"/>
        <v>22.139726638793945</v>
      </c>
      <c r="C3371">
        <v>30</v>
      </c>
      <c r="D3371">
        <v>100</v>
      </c>
      <c r="E3371">
        <v>70</v>
      </c>
      <c r="F3371">
        <v>40</v>
      </c>
      <c r="G3371">
        <v>22.139726764327101</v>
      </c>
    </row>
    <row r="3372" spans="1:7" x14ac:dyDescent="0.3">
      <c r="A3372" t="str">
        <f>IF(ISBLANK(B3372),"",IF(ROUND(B3372,0)=ROUND(G3372,0),"Pass","Fail"))</f>
        <v>Pass</v>
      </c>
      <c r="B3372">
        <f t="shared" si="154"/>
        <v>21.062206268310547</v>
      </c>
      <c r="C3372">
        <v>30</v>
      </c>
      <c r="D3372">
        <v>100</v>
      </c>
      <c r="E3372">
        <v>70</v>
      </c>
      <c r="F3372">
        <v>48</v>
      </c>
      <c r="G3372">
        <v>21.062207900819701</v>
      </c>
    </row>
    <row r="3373" spans="1:7" x14ac:dyDescent="0.3">
      <c r="A3373" t="str">
        <f>IF(ISBLANK(B3373),"",IF(ROUND(B3373,0)=ROUND(G3373,0),"Pass","Fail"))</f>
        <v>Pass</v>
      </c>
      <c r="B3373">
        <f t="shared" si="154"/>
        <v>87.097999572753906</v>
      </c>
      <c r="C3373">
        <v>30</v>
      </c>
      <c r="D3373">
        <v>100</v>
      </c>
      <c r="E3373">
        <v>80</v>
      </c>
      <c r="F3373">
        <v>0</v>
      </c>
      <c r="G3373">
        <v>87.097999999999999</v>
      </c>
    </row>
    <row r="3374" spans="1:7" x14ac:dyDescent="0.3">
      <c r="A3374" t="str">
        <f>IF(ISBLANK(B3374),"",IF(ROUND(B3374,0)=ROUND(G3374,0),"Pass","Fail"))</f>
        <v>Pass</v>
      </c>
      <c r="B3374">
        <f t="shared" si="154"/>
        <v>53.76123046875</v>
      </c>
      <c r="C3374">
        <v>30</v>
      </c>
      <c r="D3374">
        <v>100</v>
      </c>
      <c r="E3374">
        <v>80</v>
      </c>
      <c r="F3374">
        <v>8</v>
      </c>
      <c r="G3374">
        <v>53.7612280807231</v>
      </c>
    </row>
    <row r="3375" spans="1:7" x14ac:dyDescent="0.3">
      <c r="A3375" t="str">
        <f>IF(ISBLANK(B3375),"",IF(ROUND(B3375,0)=ROUND(G3375,0),"Pass","Fail"))</f>
        <v>Pass</v>
      </c>
      <c r="B3375">
        <f t="shared" si="154"/>
        <v>36.979995727539063</v>
      </c>
      <c r="C3375">
        <v>30</v>
      </c>
      <c r="D3375">
        <v>100</v>
      </c>
      <c r="E3375">
        <v>80</v>
      </c>
      <c r="F3375">
        <v>16</v>
      </c>
      <c r="G3375">
        <v>36.9799972471017</v>
      </c>
    </row>
    <row r="3376" spans="1:7" x14ac:dyDescent="0.3">
      <c r="A3376" t="str">
        <f>IF(ISBLANK(B3376),"",IF(ROUND(B3376,0)=ROUND(G3376,0),"Pass","Fail"))</f>
        <v>Pass</v>
      </c>
      <c r="B3376">
        <f t="shared" si="154"/>
        <v>28.532577514648438</v>
      </c>
      <c r="C3376">
        <v>30</v>
      </c>
      <c r="D3376">
        <v>100</v>
      </c>
      <c r="E3376">
        <v>80</v>
      </c>
      <c r="F3376">
        <v>24</v>
      </c>
      <c r="G3376">
        <v>28.532577413736199</v>
      </c>
    </row>
    <row r="3377" spans="1:7" x14ac:dyDescent="0.3">
      <c r="A3377" t="str">
        <f>IF(ISBLANK(B3377),"",IF(ROUND(B3377,0)=ROUND(G3377,0),"Pass","Fail"))</f>
        <v>Pass</v>
      </c>
      <c r="B3377">
        <f t="shared" si="154"/>
        <v>24.2802734375</v>
      </c>
      <c r="C3377">
        <v>30</v>
      </c>
      <c r="D3377">
        <v>100</v>
      </c>
      <c r="E3377">
        <v>80</v>
      </c>
      <c r="F3377">
        <v>32</v>
      </c>
      <c r="G3377">
        <v>24.280273005994601</v>
      </c>
    </row>
    <row r="3378" spans="1:7" x14ac:dyDescent="0.3">
      <c r="A3378" t="str">
        <f>IF(ISBLANK(B3378),"",IF(ROUND(B3378,0)=ROUND(G3378,0),"Pass","Fail"))</f>
        <v>Pass</v>
      </c>
      <c r="B3378">
        <f t="shared" si="154"/>
        <v>22.139726638793945</v>
      </c>
      <c r="C3378">
        <v>30</v>
      </c>
      <c r="D3378">
        <v>100</v>
      </c>
      <c r="E3378">
        <v>80</v>
      </c>
      <c r="F3378">
        <v>40</v>
      </c>
      <c r="G3378">
        <v>22.139726764327101</v>
      </c>
    </row>
    <row r="3379" spans="1:7" x14ac:dyDescent="0.3">
      <c r="A3379" t="str">
        <f>IF(ISBLANK(B3379),"",IF(ROUND(B3379,0)=ROUND(G3379,0),"Pass","Fail"))</f>
        <v>Pass</v>
      </c>
      <c r="B3379">
        <f t="shared" si="154"/>
        <v>21.062206268310547</v>
      </c>
      <c r="C3379">
        <v>30</v>
      </c>
      <c r="D3379">
        <v>100</v>
      </c>
      <c r="E3379">
        <v>80</v>
      </c>
      <c r="F3379">
        <v>48</v>
      </c>
      <c r="G3379">
        <v>21.062207900819701</v>
      </c>
    </row>
    <row r="3380" spans="1:7" x14ac:dyDescent="0.3">
      <c r="A3380" t="str">
        <f>IF(ISBLANK(B3380),"",IF(ROUND(B3380,0)=ROUND(G3380,0),"Pass","Fail"))</f>
        <v>Pass</v>
      </c>
      <c r="B3380">
        <f t="shared" si="154"/>
        <v>87.097999572753906</v>
      </c>
      <c r="C3380">
        <v>30</v>
      </c>
      <c r="D3380">
        <v>100</v>
      </c>
      <c r="E3380">
        <v>90</v>
      </c>
      <c r="F3380">
        <v>0</v>
      </c>
      <c r="G3380">
        <v>87.097999999999999</v>
      </c>
    </row>
    <row r="3381" spans="1:7" x14ac:dyDescent="0.3">
      <c r="A3381" t="str">
        <f>IF(ISBLANK(B3381),"",IF(ROUND(B3381,0)=ROUND(G3381,0),"Pass","Fail"))</f>
        <v>Pass</v>
      </c>
      <c r="B3381">
        <f t="shared" si="154"/>
        <v>53.76123046875</v>
      </c>
      <c r="C3381">
        <v>30</v>
      </c>
      <c r="D3381">
        <v>100</v>
      </c>
      <c r="E3381">
        <v>90</v>
      </c>
      <c r="F3381">
        <v>8</v>
      </c>
      <c r="G3381">
        <v>53.7612280807231</v>
      </c>
    </row>
    <row r="3382" spans="1:7" x14ac:dyDescent="0.3">
      <c r="A3382" t="str">
        <f>IF(ISBLANK(B3382),"",IF(ROUND(B3382,0)=ROUND(G3382,0),"Pass","Fail"))</f>
        <v>Pass</v>
      </c>
      <c r="B3382">
        <f t="shared" si="154"/>
        <v>36.979995727539063</v>
      </c>
      <c r="C3382">
        <v>30</v>
      </c>
      <c r="D3382">
        <v>100</v>
      </c>
      <c r="E3382">
        <v>90</v>
      </c>
      <c r="F3382">
        <v>16</v>
      </c>
      <c r="G3382">
        <v>36.9799972471017</v>
      </c>
    </row>
    <row r="3383" spans="1:7" x14ac:dyDescent="0.3">
      <c r="A3383" t="str">
        <f>IF(ISBLANK(B3383),"",IF(ROUND(B3383,0)=ROUND(G3383,0),"Pass","Fail"))</f>
        <v>Pass</v>
      </c>
      <c r="B3383">
        <f t="shared" si="154"/>
        <v>28.532577514648438</v>
      </c>
      <c r="C3383">
        <v>30</v>
      </c>
      <c r="D3383">
        <v>100</v>
      </c>
      <c r="E3383">
        <v>90</v>
      </c>
      <c r="F3383">
        <v>24</v>
      </c>
      <c r="G3383">
        <v>28.532577413736199</v>
      </c>
    </row>
    <row r="3384" spans="1:7" x14ac:dyDescent="0.3">
      <c r="A3384" t="str">
        <f>IF(ISBLANK(B3384),"",IF(ROUND(B3384,0)=ROUND(G3384,0),"Pass","Fail"))</f>
        <v>Pass</v>
      </c>
      <c r="B3384">
        <f t="shared" si="154"/>
        <v>24.2802734375</v>
      </c>
      <c r="C3384">
        <v>30</v>
      </c>
      <c r="D3384">
        <v>100</v>
      </c>
      <c r="E3384">
        <v>90</v>
      </c>
      <c r="F3384">
        <v>32</v>
      </c>
      <c r="G3384">
        <v>24.280273005994601</v>
      </c>
    </row>
    <row r="3385" spans="1:7" x14ac:dyDescent="0.3">
      <c r="A3385" t="str">
        <f>IF(ISBLANK(B3385),"",IF(ROUND(B3385,0)=ROUND(G3385,0),"Pass","Fail"))</f>
        <v>Pass</v>
      </c>
      <c r="B3385">
        <f t="shared" si="154"/>
        <v>22.139726638793945</v>
      </c>
      <c r="C3385">
        <v>30</v>
      </c>
      <c r="D3385">
        <v>100</v>
      </c>
      <c r="E3385">
        <v>90</v>
      </c>
      <c r="F3385">
        <v>40</v>
      </c>
      <c r="G3385">
        <v>22.139726764327101</v>
      </c>
    </row>
    <row r="3386" spans="1:7" x14ac:dyDescent="0.3">
      <c r="A3386" t="str">
        <f>IF(ISBLANK(B3386),"",IF(ROUND(B3386,0)=ROUND(G3386,0),"Pass","Fail"))</f>
        <v>Pass</v>
      </c>
      <c r="B3386">
        <f t="shared" si="154"/>
        <v>21.062206268310547</v>
      </c>
      <c r="C3386">
        <v>30</v>
      </c>
      <c r="D3386">
        <v>100</v>
      </c>
      <c r="E3386">
        <v>90</v>
      </c>
      <c r="F3386">
        <v>48</v>
      </c>
      <c r="G3386">
        <v>21.062207900819701</v>
      </c>
    </row>
    <row r="3387" spans="1:7" x14ac:dyDescent="0.3">
      <c r="A3387" t="str">
        <f>IF(ISBLANK(B3387),"",IF(ROUND(B3387,0)=ROUND(G3387,0),"Pass","Fail"))</f>
        <v>Pass</v>
      </c>
      <c r="B3387">
        <f t="shared" si="154"/>
        <v>87.097999572753906</v>
      </c>
      <c r="C3387">
        <v>30</v>
      </c>
      <c r="D3387">
        <v>100</v>
      </c>
      <c r="E3387">
        <v>100</v>
      </c>
      <c r="F3387">
        <v>0</v>
      </c>
      <c r="G3387">
        <v>87.097999999999999</v>
      </c>
    </row>
    <row r="3388" spans="1:7" x14ac:dyDescent="0.3">
      <c r="A3388" t="str">
        <f>IF(ISBLANK(B3388),"",IF(ROUND(B3388,0)=ROUND(G3388,0),"Pass","Fail"))</f>
        <v>Pass</v>
      </c>
      <c r="B3388">
        <f t="shared" si="154"/>
        <v>53.76123046875</v>
      </c>
      <c r="C3388">
        <v>30</v>
      </c>
      <c r="D3388">
        <v>100</v>
      </c>
      <c r="E3388">
        <v>100</v>
      </c>
      <c r="F3388">
        <v>8</v>
      </c>
      <c r="G3388">
        <v>53.7612280807231</v>
      </c>
    </row>
    <row r="3389" spans="1:7" x14ac:dyDescent="0.3">
      <c r="A3389" t="str">
        <f>IF(ISBLANK(B3389),"",IF(ROUND(B3389,0)=ROUND(G3389,0),"Pass","Fail"))</f>
        <v>Pass</v>
      </c>
      <c r="B3389">
        <f t="shared" si="154"/>
        <v>36.979995727539063</v>
      </c>
      <c r="C3389">
        <v>30</v>
      </c>
      <c r="D3389">
        <v>100</v>
      </c>
      <c r="E3389">
        <v>100</v>
      </c>
      <c r="F3389">
        <v>16</v>
      </c>
      <c r="G3389">
        <v>36.9799972471017</v>
      </c>
    </row>
    <row r="3390" spans="1:7" x14ac:dyDescent="0.3">
      <c r="A3390" t="str">
        <f>IF(ISBLANK(B3390),"",IF(ROUND(B3390,0)=ROUND(G3390,0),"Pass","Fail"))</f>
        <v>Pass</v>
      </c>
      <c r="B3390">
        <f t="shared" si="154"/>
        <v>28.532577514648438</v>
      </c>
      <c r="C3390">
        <v>30</v>
      </c>
      <c r="D3390">
        <v>100</v>
      </c>
      <c r="E3390">
        <v>100</v>
      </c>
      <c r="F3390">
        <v>24</v>
      </c>
      <c r="G3390">
        <v>28.532577413736199</v>
      </c>
    </row>
    <row r="3391" spans="1:7" x14ac:dyDescent="0.3">
      <c r="A3391" t="str">
        <f>IF(ISBLANK(B3391),"",IF(ROUND(B3391,0)=ROUND(G3391,0),"Pass","Fail"))</f>
        <v>Pass</v>
      </c>
      <c r="B3391">
        <f t="shared" si="154"/>
        <v>24.2802734375</v>
      </c>
      <c r="C3391">
        <v>30</v>
      </c>
      <c r="D3391">
        <v>100</v>
      </c>
      <c r="E3391">
        <v>100</v>
      </c>
      <c r="F3391">
        <v>32</v>
      </c>
      <c r="G3391">
        <v>24.280273005994601</v>
      </c>
    </row>
    <row r="3392" spans="1:7" x14ac:dyDescent="0.3">
      <c r="A3392" t="str">
        <f>IF(ISBLANK(B3392),"",IF(ROUND(B3392,0)=ROUND(G3392,0),"Pass","Fail"))</f>
        <v>Pass</v>
      </c>
      <c r="B3392">
        <f t="shared" si="154"/>
        <v>22.139726638793945</v>
      </c>
      <c r="C3392">
        <v>30</v>
      </c>
      <c r="D3392">
        <v>100</v>
      </c>
      <c r="E3392">
        <v>100</v>
      </c>
      <c r="F3392">
        <v>40</v>
      </c>
      <c r="G3392">
        <v>22.139726764327101</v>
      </c>
    </row>
    <row r="3393" spans="1:7" x14ac:dyDescent="0.3">
      <c r="A3393" t="str">
        <f>IF(ISBLANK(B3393),"",IF(ROUND(B3393,0)=ROUND(G3393,0),"Pass","Fail"))</f>
        <v>Pass</v>
      </c>
      <c r="B3393">
        <f t="shared" si="154"/>
        <v>21.062206268310547</v>
      </c>
      <c r="C3393">
        <v>30</v>
      </c>
      <c r="D3393">
        <v>100</v>
      </c>
      <c r="E3393">
        <v>100</v>
      </c>
      <c r="F3393">
        <v>48</v>
      </c>
      <c r="G3393">
        <v>21.062207900819701</v>
      </c>
    </row>
    <row r="3394" spans="1:7" x14ac:dyDescent="0.3">
      <c r="A3394" t="str">
        <f>IF(ISBLANK(B3394),"",IF(ROUND(B3394,0)=ROUND(G3394,0),"Pass","Fail"))</f>
        <v>Pass</v>
      </c>
      <c r="B3394">
        <f t="shared" si="154"/>
        <v>2.869999885559082</v>
      </c>
      <c r="C3394">
        <v>40</v>
      </c>
      <c r="D3394">
        <v>0</v>
      </c>
      <c r="E3394">
        <v>0</v>
      </c>
      <c r="F3394">
        <v>0</v>
      </c>
      <c r="G3394">
        <v>2.87</v>
      </c>
    </row>
    <row r="3395" spans="1:7" x14ac:dyDescent="0.3">
      <c r="A3395" t="str">
        <f>IF(ISBLANK(B3395),"",IF(ROUND(B3395,0)=ROUND(G3395,0),"Pass","Fail"))</f>
        <v>Pass</v>
      </c>
      <c r="B3395">
        <f t="shared" si="154"/>
        <v>2.869999885559082</v>
      </c>
      <c r="C3395">
        <v>40</v>
      </c>
      <c r="D3395">
        <v>0</v>
      </c>
      <c r="E3395">
        <v>0</v>
      </c>
      <c r="F3395">
        <v>8</v>
      </c>
      <c r="G3395">
        <v>2.87</v>
      </c>
    </row>
    <row r="3396" spans="1:7" x14ac:dyDescent="0.3">
      <c r="A3396" t="str">
        <f>IF(ISBLANK(B3396),"",IF(ROUND(B3396,0)=ROUND(G3396,0),"Pass","Fail"))</f>
        <v>Pass</v>
      </c>
      <c r="B3396">
        <f t="shared" si="154"/>
        <v>2.869999885559082</v>
      </c>
      <c r="C3396">
        <v>40</v>
      </c>
      <c r="D3396">
        <v>0</v>
      </c>
      <c r="E3396">
        <v>0</v>
      </c>
      <c r="F3396">
        <v>16</v>
      </c>
      <c r="G3396">
        <v>2.87</v>
      </c>
    </row>
    <row r="3397" spans="1:7" x14ac:dyDescent="0.3">
      <c r="A3397" t="str">
        <f>IF(ISBLANK(B3397),"",IF(ROUND(B3397,0)=ROUND(G3397,0),"Pass","Fail"))</f>
        <v>Pass</v>
      </c>
      <c r="B3397">
        <f t="shared" si="154"/>
        <v>2.869999885559082</v>
      </c>
      <c r="C3397">
        <v>40</v>
      </c>
      <c r="D3397">
        <v>0</v>
      </c>
      <c r="E3397">
        <v>0</v>
      </c>
      <c r="F3397">
        <v>24</v>
      </c>
      <c r="G3397">
        <v>2.87</v>
      </c>
    </row>
    <row r="3398" spans="1:7" x14ac:dyDescent="0.3">
      <c r="A3398" t="str">
        <f>IF(ISBLANK(B3398),"",IF(ROUND(B3398,0)=ROUND(G3398,0),"Pass","Fail"))</f>
        <v>Pass</v>
      </c>
      <c r="B3398">
        <f t="shared" si="154"/>
        <v>2.869999885559082</v>
      </c>
      <c r="C3398">
        <v>40</v>
      </c>
      <c r="D3398">
        <v>0</v>
      </c>
      <c r="E3398">
        <v>0</v>
      </c>
      <c r="F3398">
        <v>32</v>
      </c>
      <c r="G3398">
        <v>2.87</v>
      </c>
    </row>
    <row r="3399" spans="1:7" x14ac:dyDescent="0.3">
      <c r="A3399" t="str">
        <f>IF(ISBLANK(B3399),"",IF(ROUND(B3399,0)=ROUND(G3399,0),"Pass","Fail"))</f>
        <v>Pass</v>
      </c>
      <c r="B3399">
        <f t="shared" ref="B3399:B3462" si="155">FMC_heath(C3399,D3399,E3399,F3399)</f>
        <v>2.869999885559082</v>
      </c>
      <c r="C3399">
        <v>40</v>
      </c>
      <c r="D3399">
        <v>0</v>
      </c>
      <c r="E3399">
        <v>0</v>
      </c>
      <c r="F3399">
        <v>40</v>
      </c>
      <c r="G3399">
        <v>2.87</v>
      </c>
    </row>
    <row r="3400" spans="1:7" x14ac:dyDescent="0.3">
      <c r="A3400" t="str">
        <f>IF(ISBLANK(B3400),"",IF(ROUND(B3400,0)=ROUND(G3400,0),"Pass","Fail"))</f>
        <v>Pass</v>
      </c>
      <c r="B3400">
        <f t="shared" si="155"/>
        <v>2.869999885559082</v>
      </c>
      <c r="C3400">
        <v>40</v>
      </c>
      <c r="D3400">
        <v>0</v>
      </c>
      <c r="E3400">
        <v>0</v>
      </c>
      <c r="F3400">
        <v>48</v>
      </c>
      <c r="G3400">
        <v>2.87</v>
      </c>
    </row>
    <row r="3401" spans="1:7" x14ac:dyDescent="0.3">
      <c r="A3401" t="str">
        <f>IF(ISBLANK(B3401),"",IF(ROUND(B3401,0)=ROUND(G3401,0),"Pass","Fail"))</f>
        <v>Pass</v>
      </c>
      <c r="B3401">
        <f t="shared" si="155"/>
        <v>69.998001098632813</v>
      </c>
      <c r="C3401">
        <v>40</v>
      </c>
      <c r="D3401">
        <v>0</v>
      </c>
      <c r="E3401">
        <v>10</v>
      </c>
      <c r="F3401">
        <v>0</v>
      </c>
      <c r="G3401">
        <v>69.997999999998299</v>
      </c>
    </row>
    <row r="3402" spans="1:7" x14ac:dyDescent="0.3">
      <c r="A3402" t="str">
        <f>IF(ISBLANK(B3402),"",IF(ROUND(B3402,0)=ROUND(G3402,0),"Pass","Fail"))</f>
        <v>Pass</v>
      </c>
      <c r="B3402">
        <f t="shared" si="155"/>
        <v>36.661228179931641</v>
      </c>
      <c r="C3402">
        <v>40</v>
      </c>
      <c r="D3402">
        <v>0</v>
      </c>
      <c r="E3402">
        <v>10</v>
      </c>
      <c r="F3402">
        <v>8</v>
      </c>
      <c r="G3402">
        <v>36.661228080722204</v>
      </c>
    </row>
    <row r="3403" spans="1:7" x14ac:dyDescent="0.3">
      <c r="A3403" t="str">
        <f>IF(ISBLANK(B3403),"",IF(ROUND(B3403,0)=ROUND(G3403,0),"Pass","Fail"))</f>
        <v>Pass</v>
      </c>
      <c r="B3403">
        <f t="shared" si="155"/>
        <v>19.879997253417969</v>
      </c>
      <c r="C3403">
        <v>40</v>
      </c>
      <c r="D3403">
        <v>0</v>
      </c>
      <c r="E3403">
        <v>10</v>
      </c>
      <c r="F3403">
        <v>16</v>
      </c>
      <c r="G3403">
        <v>19.879997247101301</v>
      </c>
    </row>
    <row r="3404" spans="1:7" x14ac:dyDescent="0.3">
      <c r="A3404" t="str">
        <f>IF(ISBLANK(B3404),"",IF(ROUND(B3404,0)=ROUND(G3404,0),"Pass","Fail"))</f>
        <v>Pass</v>
      </c>
      <c r="B3404">
        <f t="shared" si="155"/>
        <v>11.432577133178711</v>
      </c>
      <c r="C3404">
        <v>40</v>
      </c>
      <c r="D3404">
        <v>0</v>
      </c>
      <c r="E3404">
        <v>10</v>
      </c>
      <c r="F3404">
        <v>24</v>
      </c>
      <c r="G3404">
        <v>11.432577413736</v>
      </c>
    </row>
    <row r="3405" spans="1:7" x14ac:dyDescent="0.3">
      <c r="A3405" t="str">
        <f>IF(ISBLANK(B3405),"",IF(ROUND(B3405,0)=ROUND(G3405,0),"Pass","Fail"))</f>
        <v>Pass</v>
      </c>
      <c r="B3405">
        <f t="shared" si="155"/>
        <v>7.1802730560302734</v>
      </c>
      <c r="C3405">
        <v>40</v>
      </c>
      <c r="D3405">
        <v>0</v>
      </c>
      <c r="E3405">
        <v>10</v>
      </c>
      <c r="F3405">
        <v>32</v>
      </c>
      <c r="G3405">
        <v>7.1802730059945601</v>
      </c>
    </row>
    <row r="3406" spans="1:7" x14ac:dyDescent="0.3">
      <c r="A3406" t="str">
        <f>IF(ISBLANK(B3406),"",IF(ROUND(B3406,0)=ROUND(G3406,0),"Pass","Fail"))</f>
        <v>Pass</v>
      </c>
      <c r="B3406">
        <f t="shared" si="155"/>
        <v>5.039726734161377</v>
      </c>
      <c r="C3406">
        <v>40</v>
      </c>
      <c r="D3406">
        <v>0</v>
      </c>
      <c r="E3406">
        <v>10</v>
      </c>
      <c r="F3406">
        <v>40</v>
      </c>
      <c r="G3406">
        <v>5.0397267643270496</v>
      </c>
    </row>
    <row r="3407" spans="1:7" x14ac:dyDescent="0.3">
      <c r="A3407" t="str">
        <f>IF(ISBLANK(B3407),"",IF(ROUND(B3407,0)=ROUND(G3407,0),"Pass","Fail"))</f>
        <v>Pass</v>
      </c>
      <c r="B3407">
        <f t="shared" si="155"/>
        <v>3.9622077941894531</v>
      </c>
      <c r="C3407">
        <v>40</v>
      </c>
      <c r="D3407">
        <v>0</v>
      </c>
      <c r="E3407">
        <v>10</v>
      </c>
      <c r="F3407">
        <v>48</v>
      </c>
      <c r="G3407">
        <v>3.9622079008196902</v>
      </c>
    </row>
    <row r="3408" spans="1:7" x14ac:dyDescent="0.3">
      <c r="A3408" t="str">
        <f>IF(ISBLANK(B3408),"",IF(ROUND(B3408,0)=ROUND(G3408,0),"Pass","Fail"))</f>
        <v>Pass</v>
      </c>
      <c r="B3408">
        <f t="shared" si="155"/>
        <v>69.998001098632813</v>
      </c>
      <c r="C3408">
        <v>40</v>
      </c>
      <c r="D3408">
        <v>0</v>
      </c>
      <c r="E3408">
        <v>20</v>
      </c>
      <c r="F3408">
        <v>0</v>
      </c>
      <c r="G3408">
        <v>69.998000000000005</v>
      </c>
    </row>
    <row r="3409" spans="1:7" x14ac:dyDescent="0.3">
      <c r="A3409" t="str">
        <f>IF(ISBLANK(B3409),"",IF(ROUND(B3409,0)=ROUND(G3409,0),"Pass","Fail"))</f>
        <v>Pass</v>
      </c>
      <c r="B3409">
        <f t="shared" si="155"/>
        <v>36.661228179931641</v>
      </c>
      <c r="C3409">
        <v>40</v>
      </c>
      <c r="D3409">
        <v>0</v>
      </c>
      <c r="E3409">
        <v>20</v>
      </c>
      <c r="F3409">
        <v>8</v>
      </c>
      <c r="G3409">
        <v>36.661228080722999</v>
      </c>
    </row>
    <row r="3410" spans="1:7" x14ac:dyDescent="0.3">
      <c r="A3410" t="str">
        <f>IF(ISBLANK(B3410),"",IF(ROUND(B3410,0)=ROUND(G3410,0),"Pass","Fail"))</f>
        <v>Pass</v>
      </c>
      <c r="B3410">
        <f t="shared" si="155"/>
        <v>19.879997253417969</v>
      </c>
      <c r="C3410">
        <v>40</v>
      </c>
      <c r="D3410">
        <v>0</v>
      </c>
      <c r="E3410">
        <v>20</v>
      </c>
      <c r="F3410">
        <v>16</v>
      </c>
      <c r="G3410">
        <v>19.879997247101699</v>
      </c>
    </row>
    <row r="3411" spans="1:7" x14ac:dyDescent="0.3">
      <c r="A3411" t="str">
        <f>IF(ISBLANK(B3411),"",IF(ROUND(B3411,0)=ROUND(G3411,0),"Pass","Fail"))</f>
        <v>Pass</v>
      </c>
      <c r="B3411">
        <f t="shared" si="155"/>
        <v>11.432577133178711</v>
      </c>
      <c r="C3411">
        <v>40</v>
      </c>
      <c r="D3411">
        <v>0</v>
      </c>
      <c r="E3411">
        <v>20</v>
      </c>
      <c r="F3411">
        <v>24</v>
      </c>
      <c r="G3411">
        <v>11.432577413736199</v>
      </c>
    </row>
    <row r="3412" spans="1:7" x14ac:dyDescent="0.3">
      <c r="A3412" t="str">
        <f>IF(ISBLANK(B3412),"",IF(ROUND(B3412,0)=ROUND(G3412,0),"Pass","Fail"))</f>
        <v>Pass</v>
      </c>
      <c r="B3412">
        <f t="shared" si="155"/>
        <v>7.1802730560302734</v>
      </c>
      <c r="C3412">
        <v>40</v>
      </c>
      <c r="D3412">
        <v>0</v>
      </c>
      <c r="E3412">
        <v>20</v>
      </c>
      <c r="F3412">
        <v>32</v>
      </c>
      <c r="G3412">
        <v>7.1802730059946702</v>
      </c>
    </row>
    <row r="3413" spans="1:7" x14ac:dyDescent="0.3">
      <c r="A3413" t="str">
        <f>IF(ISBLANK(B3413),"",IF(ROUND(B3413,0)=ROUND(G3413,0),"Pass","Fail"))</f>
        <v>Pass</v>
      </c>
      <c r="B3413">
        <f t="shared" si="155"/>
        <v>5.039726734161377</v>
      </c>
      <c r="C3413">
        <v>40</v>
      </c>
      <c r="D3413">
        <v>0</v>
      </c>
      <c r="E3413">
        <v>20</v>
      </c>
      <c r="F3413">
        <v>40</v>
      </c>
      <c r="G3413">
        <v>5.0397267643271002</v>
      </c>
    </row>
    <row r="3414" spans="1:7" x14ac:dyDescent="0.3">
      <c r="A3414" t="str">
        <f>IF(ISBLANK(B3414),"",IF(ROUND(B3414,0)=ROUND(G3414,0),"Pass","Fail"))</f>
        <v>Pass</v>
      </c>
      <c r="B3414">
        <f t="shared" si="155"/>
        <v>3.9622077941894531</v>
      </c>
      <c r="C3414">
        <v>40</v>
      </c>
      <c r="D3414">
        <v>0</v>
      </c>
      <c r="E3414">
        <v>20</v>
      </c>
      <c r="F3414">
        <v>48</v>
      </c>
      <c r="G3414">
        <v>3.96220790081972</v>
      </c>
    </row>
    <row r="3415" spans="1:7" x14ac:dyDescent="0.3">
      <c r="A3415" t="str">
        <f>IF(ISBLANK(B3415),"",IF(ROUND(B3415,0)=ROUND(G3415,0),"Pass","Fail"))</f>
        <v>Pass</v>
      </c>
      <c r="B3415">
        <f t="shared" si="155"/>
        <v>69.998001098632813</v>
      </c>
      <c r="C3415">
        <v>40</v>
      </c>
      <c r="D3415">
        <v>0</v>
      </c>
      <c r="E3415">
        <v>30</v>
      </c>
      <c r="F3415">
        <v>0</v>
      </c>
      <c r="G3415">
        <v>69.998000000000005</v>
      </c>
    </row>
    <row r="3416" spans="1:7" x14ac:dyDescent="0.3">
      <c r="A3416" t="str">
        <f>IF(ISBLANK(B3416),"",IF(ROUND(B3416,0)=ROUND(G3416,0),"Pass","Fail"))</f>
        <v>Pass</v>
      </c>
      <c r="B3416">
        <f t="shared" si="155"/>
        <v>36.661228179931641</v>
      </c>
      <c r="C3416">
        <v>40</v>
      </c>
      <c r="D3416">
        <v>0</v>
      </c>
      <c r="E3416">
        <v>30</v>
      </c>
      <c r="F3416">
        <v>8</v>
      </c>
      <c r="G3416">
        <v>36.661228080722999</v>
      </c>
    </row>
    <row r="3417" spans="1:7" x14ac:dyDescent="0.3">
      <c r="A3417" t="str">
        <f>IF(ISBLANK(B3417),"",IF(ROUND(B3417,0)=ROUND(G3417,0),"Pass","Fail"))</f>
        <v>Pass</v>
      </c>
      <c r="B3417">
        <f t="shared" si="155"/>
        <v>19.879997253417969</v>
      </c>
      <c r="C3417">
        <v>40</v>
      </c>
      <c r="D3417">
        <v>0</v>
      </c>
      <c r="E3417">
        <v>30</v>
      </c>
      <c r="F3417">
        <v>16</v>
      </c>
      <c r="G3417">
        <v>19.879997247101699</v>
      </c>
    </row>
    <row r="3418" spans="1:7" x14ac:dyDescent="0.3">
      <c r="A3418" t="str">
        <f>IF(ISBLANK(B3418),"",IF(ROUND(B3418,0)=ROUND(G3418,0),"Pass","Fail"))</f>
        <v>Pass</v>
      </c>
      <c r="B3418">
        <f t="shared" si="155"/>
        <v>11.432577133178711</v>
      </c>
      <c r="C3418">
        <v>40</v>
      </c>
      <c r="D3418">
        <v>0</v>
      </c>
      <c r="E3418">
        <v>30</v>
      </c>
      <c r="F3418">
        <v>24</v>
      </c>
      <c r="G3418">
        <v>11.432577413736199</v>
      </c>
    </row>
    <row r="3419" spans="1:7" x14ac:dyDescent="0.3">
      <c r="A3419" t="str">
        <f>IF(ISBLANK(B3419),"",IF(ROUND(B3419,0)=ROUND(G3419,0),"Pass","Fail"))</f>
        <v>Pass</v>
      </c>
      <c r="B3419">
        <f t="shared" si="155"/>
        <v>7.1802730560302734</v>
      </c>
      <c r="C3419">
        <v>40</v>
      </c>
      <c r="D3419">
        <v>0</v>
      </c>
      <c r="E3419">
        <v>30</v>
      </c>
      <c r="F3419">
        <v>32</v>
      </c>
      <c r="G3419">
        <v>7.1802730059946702</v>
      </c>
    </row>
    <row r="3420" spans="1:7" x14ac:dyDescent="0.3">
      <c r="A3420" t="str">
        <f>IF(ISBLANK(B3420),"",IF(ROUND(B3420,0)=ROUND(G3420,0),"Pass","Fail"))</f>
        <v>Pass</v>
      </c>
      <c r="B3420">
        <f t="shared" si="155"/>
        <v>5.039726734161377</v>
      </c>
      <c r="C3420">
        <v>40</v>
      </c>
      <c r="D3420">
        <v>0</v>
      </c>
      <c r="E3420">
        <v>30</v>
      </c>
      <c r="F3420">
        <v>40</v>
      </c>
      <c r="G3420">
        <v>5.0397267643271002</v>
      </c>
    </row>
    <row r="3421" spans="1:7" x14ac:dyDescent="0.3">
      <c r="A3421" t="str">
        <f>IF(ISBLANK(B3421),"",IF(ROUND(B3421,0)=ROUND(G3421,0),"Pass","Fail"))</f>
        <v>Pass</v>
      </c>
      <c r="B3421">
        <f t="shared" si="155"/>
        <v>3.9622077941894531</v>
      </c>
      <c r="C3421">
        <v>40</v>
      </c>
      <c r="D3421">
        <v>0</v>
      </c>
      <c r="E3421">
        <v>30</v>
      </c>
      <c r="F3421">
        <v>48</v>
      </c>
      <c r="G3421">
        <v>3.96220790081972</v>
      </c>
    </row>
    <row r="3422" spans="1:7" x14ac:dyDescent="0.3">
      <c r="A3422" t="str">
        <f>IF(ISBLANK(B3422),"",IF(ROUND(B3422,0)=ROUND(G3422,0),"Pass","Fail"))</f>
        <v>Pass</v>
      </c>
      <c r="B3422">
        <f t="shared" si="155"/>
        <v>69.998001098632813</v>
      </c>
      <c r="C3422">
        <v>40</v>
      </c>
      <c r="D3422">
        <v>0</v>
      </c>
      <c r="E3422">
        <v>40</v>
      </c>
      <c r="F3422">
        <v>0</v>
      </c>
      <c r="G3422">
        <v>69.998000000000005</v>
      </c>
    </row>
    <row r="3423" spans="1:7" x14ac:dyDescent="0.3">
      <c r="A3423" t="str">
        <f>IF(ISBLANK(B3423),"",IF(ROUND(B3423,0)=ROUND(G3423,0),"Pass","Fail"))</f>
        <v>Pass</v>
      </c>
      <c r="B3423">
        <f t="shared" si="155"/>
        <v>36.661228179931641</v>
      </c>
      <c r="C3423">
        <v>40</v>
      </c>
      <c r="D3423">
        <v>0</v>
      </c>
      <c r="E3423">
        <v>40</v>
      </c>
      <c r="F3423">
        <v>8</v>
      </c>
      <c r="G3423">
        <v>36.661228080722999</v>
      </c>
    </row>
    <row r="3424" spans="1:7" x14ac:dyDescent="0.3">
      <c r="A3424" t="str">
        <f>IF(ISBLANK(B3424),"",IF(ROUND(B3424,0)=ROUND(G3424,0),"Pass","Fail"))</f>
        <v>Pass</v>
      </c>
      <c r="B3424">
        <f t="shared" si="155"/>
        <v>19.879997253417969</v>
      </c>
      <c r="C3424">
        <v>40</v>
      </c>
      <c r="D3424">
        <v>0</v>
      </c>
      <c r="E3424">
        <v>40</v>
      </c>
      <c r="F3424">
        <v>16</v>
      </c>
      <c r="G3424">
        <v>19.879997247101699</v>
      </c>
    </row>
    <row r="3425" spans="1:7" x14ac:dyDescent="0.3">
      <c r="A3425" t="str">
        <f>IF(ISBLANK(B3425),"",IF(ROUND(B3425,0)=ROUND(G3425,0),"Pass","Fail"))</f>
        <v>Pass</v>
      </c>
      <c r="B3425">
        <f t="shared" si="155"/>
        <v>11.432577133178711</v>
      </c>
      <c r="C3425">
        <v>40</v>
      </c>
      <c r="D3425">
        <v>0</v>
      </c>
      <c r="E3425">
        <v>40</v>
      </c>
      <c r="F3425">
        <v>24</v>
      </c>
      <c r="G3425">
        <v>11.432577413736199</v>
      </c>
    </row>
    <row r="3426" spans="1:7" x14ac:dyDescent="0.3">
      <c r="A3426" t="str">
        <f>IF(ISBLANK(B3426),"",IF(ROUND(B3426,0)=ROUND(G3426,0),"Pass","Fail"))</f>
        <v>Pass</v>
      </c>
      <c r="B3426">
        <f t="shared" si="155"/>
        <v>7.1802730560302734</v>
      </c>
      <c r="C3426">
        <v>40</v>
      </c>
      <c r="D3426">
        <v>0</v>
      </c>
      <c r="E3426">
        <v>40</v>
      </c>
      <c r="F3426">
        <v>32</v>
      </c>
      <c r="G3426">
        <v>7.1802730059946702</v>
      </c>
    </row>
    <row r="3427" spans="1:7" x14ac:dyDescent="0.3">
      <c r="A3427" t="str">
        <f>IF(ISBLANK(B3427),"",IF(ROUND(B3427,0)=ROUND(G3427,0),"Pass","Fail"))</f>
        <v>Pass</v>
      </c>
      <c r="B3427">
        <f t="shared" si="155"/>
        <v>5.039726734161377</v>
      </c>
      <c r="C3427">
        <v>40</v>
      </c>
      <c r="D3427">
        <v>0</v>
      </c>
      <c r="E3427">
        <v>40</v>
      </c>
      <c r="F3427">
        <v>40</v>
      </c>
      <c r="G3427">
        <v>5.0397267643271002</v>
      </c>
    </row>
    <row r="3428" spans="1:7" x14ac:dyDescent="0.3">
      <c r="A3428" t="str">
        <f>IF(ISBLANK(B3428),"",IF(ROUND(B3428,0)=ROUND(G3428,0),"Pass","Fail"))</f>
        <v>Pass</v>
      </c>
      <c r="B3428">
        <f t="shared" si="155"/>
        <v>3.9622077941894531</v>
      </c>
      <c r="C3428">
        <v>40</v>
      </c>
      <c r="D3428">
        <v>0</v>
      </c>
      <c r="E3428">
        <v>40</v>
      </c>
      <c r="F3428">
        <v>48</v>
      </c>
      <c r="G3428">
        <v>3.96220790081972</v>
      </c>
    </row>
    <row r="3429" spans="1:7" x14ac:dyDescent="0.3">
      <c r="A3429" t="str">
        <f>IF(ISBLANK(B3429),"",IF(ROUND(B3429,0)=ROUND(G3429,0),"Pass","Fail"))</f>
        <v>Pass</v>
      </c>
      <c r="B3429">
        <f t="shared" si="155"/>
        <v>69.998001098632813</v>
      </c>
      <c r="C3429">
        <v>40</v>
      </c>
      <c r="D3429">
        <v>0</v>
      </c>
      <c r="E3429">
        <v>50</v>
      </c>
      <c r="F3429">
        <v>0</v>
      </c>
      <c r="G3429">
        <v>69.998000000000005</v>
      </c>
    </row>
    <row r="3430" spans="1:7" x14ac:dyDescent="0.3">
      <c r="A3430" t="str">
        <f>IF(ISBLANK(B3430),"",IF(ROUND(B3430,0)=ROUND(G3430,0),"Pass","Fail"))</f>
        <v>Pass</v>
      </c>
      <c r="B3430">
        <f t="shared" si="155"/>
        <v>36.661228179931641</v>
      </c>
      <c r="C3430">
        <v>40</v>
      </c>
      <c r="D3430">
        <v>0</v>
      </c>
      <c r="E3430">
        <v>50</v>
      </c>
      <c r="F3430">
        <v>8</v>
      </c>
      <c r="G3430">
        <v>36.661228080722999</v>
      </c>
    </row>
    <row r="3431" spans="1:7" x14ac:dyDescent="0.3">
      <c r="A3431" t="str">
        <f>IF(ISBLANK(B3431),"",IF(ROUND(B3431,0)=ROUND(G3431,0),"Pass","Fail"))</f>
        <v>Pass</v>
      </c>
      <c r="B3431">
        <f t="shared" si="155"/>
        <v>19.879997253417969</v>
      </c>
      <c r="C3431">
        <v>40</v>
      </c>
      <c r="D3431">
        <v>0</v>
      </c>
      <c r="E3431">
        <v>50</v>
      </c>
      <c r="F3431">
        <v>16</v>
      </c>
      <c r="G3431">
        <v>19.879997247101699</v>
      </c>
    </row>
    <row r="3432" spans="1:7" x14ac:dyDescent="0.3">
      <c r="A3432" t="str">
        <f>IF(ISBLANK(B3432),"",IF(ROUND(B3432,0)=ROUND(G3432,0),"Pass","Fail"))</f>
        <v>Pass</v>
      </c>
      <c r="B3432">
        <f t="shared" si="155"/>
        <v>11.432577133178711</v>
      </c>
      <c r="C3432">
        <v>40</v>
      </c>
      <c r="D3432">
        <v>0</v>
      </c>
      <c r="E3432">
        <v>50</v>
      </c>
      <c r="F3432">
        <v>24</v>
      </c>
      <c r="G3432">
        <v>11.432577413736199</v>
      </c>
    </row>
    <row r="3433" spans="1:7" x14ac:dyDescent="0.3">
      <c r="A3433" t="str">
        <f>IF(ISBLANK(B3433),"",IF(ROUND(B3433,0)=ROUND(G3433,0),"Pass","Fail"))</f>
        <v>Pass</v>
      </c>
      <c r="B3433">
        <f t="shared" si="155"/>
        <v>7.1802730560302734</v>
      </c>
      <c r="C3433">
        <v>40</v>
      </c>
      <c r="D3433">
        <v>0</v>
      </c>
      <c r="E3433">
        <v>50</v>
      </c>
      <c r="F3433">
        <v>32</v>
      </c>
      <c r="G3433">
        <v>7.1802730059946702</v>
      </c>
    </row>
    <row r="3434" spans="1:7" x14ac:dyDescent="0.3">
      <c r="A3434" t="str">
        <f>IF(ISBLANK(B3434),"",IF(ROUND(B3434,0)=ROUND(G3434,0),"Pass","Fail"))</f>
        <v>Pass</v>
      </c>
      <c r="B3434">
        <f t="shared" si="155"/>
        <v>5.039726734161377</v>
      </c>
      <c r="C3434">
        <v>40</v>
      </c>
      <c r="D3434">
        <v>0</v>
      </c>
      <c r="E3434">
        <v>50</v>
      </c>
      <c r="F3434">
        <v>40</v>
      </c>
      <c r="G3434">
        <v>5.0397267643271002</v>
      </c>
    </row>
    <row r="3435" spans="1:7" x14ac:dyDescent="0.3">
      <c r="A3435" t="str">
        <f>IF(ISBLANK(B3435),"",IF(ROUND(B3435,0)=ROUND(G3435,0),"Pass","Fail"))</f>
        <v>Pass</v>
      </c>
      <c r="B3435">
        <f t="shared" si="155"/>
        <v>3.9622077941894531</v>
      </c>
      <c r="C3435">
        <v>40</v>
      </c>
      <c r="D3435">
        <v>0</v>
      </c>
      <c r="E3435">
        <v>50</v>
      </c>
      <c r="F3435">
        <v>48</v>
      </c>
      <c r="G3435">
        <v>3.96220790081972</v>
      </c>
    </row>
    <row r="3436" spans="1:7" x14ac:dyDescent="0.3">
      <c r="A3436" t="str">
        <f>IF(ISBLANK(B3436),"",IF(ROUND(B3436,0)=ROUND(G3436,0),"Pass","Fail"))</f>
        <v>Pass</v>
      </c>
      <c r="B3436">
        <f t="shared" si="155"/>
        <v>69.998001098632813</v>
      </c>
      <c r="C3436">
        <v>40</v>
      </c>
      <c r="D3436">
        <v>0</v>
      </c>
      <c r="E3436">
        <v>60</v>
      </c>
      <c r="F3436">
        <v>0</v>
      </c>
      <c r="G3436">
        <v>69.998000000000005</v>
      </c>
    </row>
    <row r="3437" spans="1:7" x14ac:dyDescent="0.3">
      <c r="A3437" t="str">
        <f>IF(ISBLANK(B3437),"",IF(ROUND(B3437,0)=ROUND(G3437,0),"Pass","Fail"))</f>
        <v>Pass</v>
      </c>
      <c r="B3437">
        <f t="shared" si="155"/>
        <v>36.661228179931641</v>
      </c>
      <c r="C3437">
        <v>40</v>
      </c>
      <c r="D3437">
        <v>0</v>
      </c>
      <c r="E3437">
        <v>60</v>
      </c>
      <c r="F3437">
        <v>8</v>
      </c>
      <c r="G3437">
        <v>36.661228080722999</v>
      </c>
    </row>
    <row r="3438" spans="1:7" x14ac:dyDescent="0.3">
      <c r="A3438" t="str">
        <f>IF(ISBLANK(B3438),"",IF(ROUND(B3438,0)=ROUND(G3438,0),"Pass","Fail"))</f>
        <v>Pass</v>
      </c>
      <c r="B3438">
        <f t="shared" si="155"/>
        <v>19.879997253417969</v>
      </c>
      <c r="C3438">
        <v>40</v>
      </c>
      <c r="D3438">
        <v>0</v>
      </c>
      <c r="E3438">
        <v>60</v>
      </c>
      <c r="F3438">
        <v>16</v>
      </c>
      <c r="G3438">
        <v>19.879997247101699</v>
      </c>
    </row>
    <row r="3439" spans="1:7" x14ac:dyDescent="0.3">
      <c r="A3439" t="str">
        <f>IF(ISBLANK(B3439),"",IF(ROUND(B3439,0)=ROUND(G3439,0),"Pass","Fail"))</f>
        <v>Pass</v>
      </c>
      <c r="B3439">
        <f t="shared" si="155"/>
        <v>11.432577133178711</v>
      </c>
      <c r="C3439">
        <v>40</v>
      </c>
      <c r="D3439">
        <v>0</v>
      </c>
      <c r="E3439">
        <v>60</v>
      </c>
      <c r="F3439">
        <v>24</v>
      </c>
      <c r="G3439">
        <v>11.432577413736199</v>
      </c>
    </row>
    <row r="3440" spans="1:7" x14ac:dyDescent="0.3">
      <c r="A3440" t="str">
        <f>IF(ISBLANK(B3440),"",IF(ROUND(B3440,0)=ROUND(G3440,0),"Pass","Fail"))</f>
        <v>Pass</v>
      </c>
      <c r="B3440">
        <f t="shared" si="155"/>
        <v>7.1802730560302734</v>
      </c>
      <c r="C3440">
        <v>40</v>
      </c>
      <c r="D3440">
        <v>0</v>
      </c>
      <c r="E3440">
        <v>60</v>
      </c>
      <c r="F3440">
        <v>32</v>
      </c>
      <c r="G3440">
        <v>7.1802730059946702</v>
      </c>
    </row>
    <row r="3441" spans="1:7" x14ac:dyDescent="0.3">
      <c r="A3441" t="str">
        <f>IF(ISBLANK(B3441),"",IF(ROUND(B3441,0)=ROUND(G3441,0),"Pass","Fail"))</f>
        <v>Pass</v>
      </c>
      <c r="B3441">
        <f t="shared" si="155"/>
        <v>5.039726734161377</v>
      </c>
      <c r="C3441">
        <v>40</v>
      </c>
      <c r="D3441">
        <v>0</v>
      </c>
      <c r="E3441">
        <v>60</v>
      </c>
      <c r="F3441">
        <v>40</v>
      </c>
      <c r="G3441">
        <v>5.0397267643271002</v>
      </c>
    </row>
    <row r="3442" spans="1:7" x14ac:dyDescent="0.3">
      <c r="A3442" t="str">
        <f>IF(ISBLANK(B3442),"",IF(ROUND(B3442,0)=ROUND(G3442,0),"Pass","Fail"))</f>
        <v>Pass</v>
      </c>
      <c r="B3442">
        <f t="shared" si="155"/>
        <v>3.9622077941894531</v>
      </c>
      <c r="C3442">
        <v>40</v>
      </c>
      <c r="D3442">
        <v>0</v>
      </c>
      <c r="E3442">
        <v>60</v>
      </c>
      <c r="F3442">
        <v>48</v>
      </c>
      <c r="G3442">
        <v>3.96220790081972</v>
      </c>
    </row>
    <row r="3443" spans="1:7" x14ac:dyDescent="0.3">
      <c r="A3443" t="str">
        <f>IF(ISBLANK(B3443),"",IF(ROUND(B3443,0)=ROUND(G3443,0),"Pass","Fail"))</f>
        <v>Pass</v>
      </c>
      <c r="B3443">
        <f t="shared" si="155"/>
        <v>69.998001098632813</v>
      </c>
      <c r="C3443">
        <v>40</v>
      </c>
      <c r="D3443">
        <v>0</v>
      </c>
      <c r="E3443">
        <v>70</v>
      </c>
      <c r="F3443">
        <v>0</v>
      </c>
      <c r="G3443">
        <v>69.998000000000005</v>
      </c>
    </row>
    <row r="3444" spans="1:7" x14ac:dyDescent="0.3">
      <c r="A3444" t="str">
        <f>IF(ISBLANK(B3444),"",IF(ROUND(B3444,0)=ROUND(G3444,0),"Pass","Fail"))</f>
        <v>Pass</v>
      </c>
      <c r="B3444">
        <f t="shared" si="155"/>
        <v>36.661228179931641</v>
      </c>
      <c r="C3444">
        <v>40</v>
      </c>
      <c r="D3444">
        <v>0</v>
      </c>
      <c r="E3444">
        <v>70</v>
      </c>
      <c r="F3444">
        <v>8</v>
      </c>
      <c r="G3444">
        <v>36.661228080722999</v>
      </c>
    </row>
    <row r="3445" spans="1:7" x14ac:dyDescent="0.3">
      <c r="A3445" t="str">
        <f>IF(ISBLANK(B3445),"",IF(ROUND(B3445,0)=ROUND(G3445,0),"Pass","Fail"))</f>
        <v>Pass</v>
      </c>
      <c r="B3445">
        <f t="shared" si="155"/>
        <v>19.879997253417969</v>
      </c>
      <c r="C3445">
        <v>40</v>
      </c>
      <c r="D3445">
        <v>0</v>
      </c>
      <c r="E3445">
        <v>70</v>
      </c>
      <c r="F3445">
        <v>16</v>
      </c>
      <c r="G3445">
        <v>19.879997247101699</v>
      </c>
    </row>
    <row r="3446" spans="1:7" x14ac:dyDescent="0.3">
      <c r="A3446" t="str">
        <f>IF(ISBLANK(B3446),"",IF(ROUND(B3446,0)=ROUND(G3446,0),"Pass","Fail"))</f>
        <v>Pass</v>
      </c>
      <c r="B3446">
        <f t="shared" si="155"/>
        <v>11.432577133178711</v>
      </c>
      <c r="C3446">
        <v>40</v>
      </c>
      <c r="D3446">
        <v>0</v>
      </c>
      <c r="E3446">
        <v>70</v>
      </c>
      <c r="F3446">
        <v>24</v>
      </c>
      <c r="G3446">
        <v>11.432577413736199</v>
      </c>
    </row>
    <row r="3447" spans="1:7" x14ac:dyDescent="0.3">
      <c r="A3447" t="str">
        <f>IF(ISBLANK(B3447),"",IF(ROUND(B3447,0)=ROUND(G3447,0),"Pass","Fail"))</f>
        <v>Pass</v>
      </c>
      <c r="B3447">
        <f t="shared" si="155"/>
        <v>7.1802730560302734</v>
      </c>
      <c r="C3447">
        <v>40</v>
      </c>
      <c r="D3447">
        <v>0</v>
      </c>
      <c r="E3447">
        <v>70</v>
      </c>
      <c r="F3447">
        <v>32</v>
      </c>
      <c r="G3447">
        <v>7.1802730059946702</v>
      </c>
    </row>
    <row r="3448" spans="1:7" x14ac:dyDescent="0.3">
      <c r="A3448" t="str">
        <f>IF(ISBLANK(B3448),"",IF(ROUND(B3448,0)=ROUND(G3448,0),"Pass","Fail"))</f>
        <v>Pass</v>
      </c>
      <c r="B3448">
        <f t="shared" si="155"/>
        <v>5.039726734161377</v>
      </c>
      <c r="C3448">
        <v>40</v>
      </c>
      <c r="D3448">
        <v>0</v>
      </c>
      <c r="E3448">
        <v>70</v>
      </c>
      <c r="F3448">
        <v>40</v>
      </c>
      <c r="G3448">
        <v>5.0397267643271002</v>
      </c>
    </row>
    <row r="3449" spans="1:7" x14ac:dyDescent="0.3">
      <c r="A3449" t="str">
        <f>IF(ISBLANK(B3449),"",IF(ROUND(B3449,0)=ROUND(G3449,0),"Pass","Fail"))</f>
        <v>Pass</v>
      </c>
      <c r="B3449">
        <f t="shared" si="155"/>
        <v>3.9622077941894531</v>
      </c>
      <c r="C3449">
        <v>40</v>
      </c>
      <c r="D3449">
        <v>0</v>
      </c>
      <c r="E3449">
        <v>70</v>
      </c>
      <c r="F3449">
        <v>48</v>
      </c>
      <c r="G3449">
        <v>3.96220790081972</v>
      </c>
    </row>
    <row r="3450" spans="1:7" x14ac:dyDescent="0.3">
      <c r="A3450" t="str">
        <f>IF(ISBLANK(B3450),"",IF(ROUND(B3450,0)=ROUND(G3450,0),"Pass","Fail"))</f>
        <v>Pass</v>
      </c>
      <c r="B3450">
        <f t="shared" si="155"/>
        <v>69.998001098632813</v>
      </c>
      <c r="C3450">
        <v>40</v>
      </c>
      <c r="D3450">
        <v>0</v>
      </c>
      <c r="E3450">
        <v>80</v>
      </c>
      <c r="F3450">
        <v>0</v>
      </c>
      <c r="G3450">
        <v>69.998000000000005</v>
      </c>
    </row>
    <row r="3451" spans="1:7" x14ac:dyDescent="0.3">
      <c r="A3451" t="str">
        <f>IF(ISBLANK(B3451),"",IF(ROUND(B3451,0)=ROUND(G3451,0),"Pass","Fail"))</f>
        <v>Pass</v>
      </c>
      <c r="B3451">
        <f t="shared" si="155"/>
        <v>36.661228179931641</v>
      </c>
      <c r="C3451">
        <v>40</v>
      </c>
      <c r="D3451">
        <v>0</v>
      </c>
      <c r="E3451">
        <v>80</v>
      </c>
      <c r="F3451">
        <v>8</v>
      </c>
      <c r="G3451">
        <v>36.661228080722999</v>
      </c>
    </row>
    <row r="3452" spans="1:7" x14ac:dyDescent="0.3">
      <c r="A3452" t="str">
        <f>IF(ISBLANK(B3452),"",IF(ROUND(B3452,0)=ROUND(G3452,0),"Pass","Fail"))</f>
        <v>Pass</v>
      </c>
      <c r="B3452">
        <f t="shared" si="155"/>
        <v>19.879997253417969</v>
      </c>
      <c r="C3452">
        <v>40</v>
      </c>
      <c r="D3452">
        <v>0</v>
      </c>
      <c r="E3452">
        <v>80</v>
      </c>
      <c r="F3452">
        <v>16</v>
      </c>
      <c r="G3452">
        <v>19.879997247101699</v>
      </c>
    </row>
    <row r="3453" spans="1:7" x14ac:dyDescent="0.3">
      <c r="A3453" t="str">
        <f>IF(ISBLANK(B3453),"",IF(ROUND(B3453,0)=ROUND(G3453,0),"Pass","Fail"))</f>
        <v>Pass</v>
      </c>
      <c r="B3453">
        <f t="shared" si="155"/>
        <v>11.432577133178711</v>
      </c>
      <c r="C3453">
        <v>40</v>
      </c>
      <c r="D3453">
        <v>0</v>
      </c>
      <c r="E3453">
        <v>80</v>
      </c>
      <c r="F3453">
        <v>24</v>
      </c>
      <c r="G3453">
        <v>11.432577413736199</v>
      </c>
    </row>
    <row r="3454" spans="1:7" x14ac:dyDescent="0.3">
      <c r="A3454" t="str">
        <f>IF(ISBLANK(B3454),"",IF(ROUND(B3454,0)=ROUND(G3454,0),"Pass","Fail"))</f>
        <v>Pass</v>
      </c>
      <c r="B3454">
        <f t="shared" si="155"/>
        <v>7.1802730560302734</v>
      </c>
      <c r="C3454">
        <v>40</v>
      </c>
      <c r="D3454">
        <v>0</v>
      </c>
      <c r="E3454">
        <v>80</v>
      </c>
      <c r="F3454">
        <v>32</v>
      </c>
      <c r="G3454">
        <v>7.1802730059946702</v>
      </c>
    </row>
    <row r="3455" spans="1:7" x14ac:dyDescent="0.3">
      <c r="A3455" t="str">
        <f>IF(ISBLANK(B3455),"",IF(ROUND(B3455,0)=ROUND(G3455,0),"Pass","Fail"))</f>
        <v>Pass</v>
      </c>
      <c r="B3455">
        <f t="shared" si="155"/>
        <v>5.039726734161377</v>
      </c>
      <c r="C3455">
        <v>40</v>
      </c>
      <c r="D3455">
        <v>0</v>
      </c>
      <c r="E3455">
        <v>80</v>
      </c>
      <c r="F3455">
        <v>40</v>
      </c>
      <c r="G3455">
        <v>5.0397267643271002</v>
      </c>
    </row>
    <row r="3456" spans="1:7" x14ac:dyDescent="0.3">
      <c r="A3456" t="str">
        <f>IF(ISBLANK(B3456),"",IF(ROUND(B3456,0)=ROUND(G3456,0),"Pass","Fail"))</f>
        <v>Pass</v>
      </c>
      <c r="B3456">
        <f t="shared" si="155"/>
        <v>3.9622077941894531</v>
      </c>
      <c r="C3456">
        <v>40</v>
      </c>
      <c r="D3456">
        <v>0</v>
      </c>
      <c r="E3456">
        <v>80</v>
      </c>
      <c r="F3456">
        <v>48</v>
      </c>
      <c r="G3456">
        <v>3.96220790081972</v>
      </c>
    </row>
    <row r="3457" spans="1:7" x14ac:dyDescent="0.3">
      <c r="A3457" t="str">
        <f>IF(ISBLANK(B3457),"",IF(ROUND(B3457,0)=ROUND(G3457,0),"Pass","Fail"))</f>
        <v>Pass</v>
      </c>
      <c r="B3457">
        <f t="shared" si="155"/>
        <v>69.998001098632813</v>
      </c>
      <c r="C3457">
        <v>40</v>
      </c>
      <c r="D3457">
        <v>0</v>
      </c>
      <c r="E3457">
        <v>90</v>
      </c>
      <c r="F3457">
        <v>0</v>
      </c>
      <c r="G3457">
        <v>69.998000000000005</v>
      </c>
    </row>
    <row r="3458" spans="1:7" x14ac:dyDescent="0.3">
      <c r="A3458" t="str">
        <f>IF(ISBLANK(B3458),"",IF(ROUND(B3458,0)=ROUND(G3458,0),"Pass","Fail"))</f>
        <v>Pass</v>
      </c>
      <c r="B3458">
        <f t="shared" si="155"/>
        <v>36.661228179931641</v>
      </c>
      <c r="C3458">
        <v>40</v>
      </c>
      <c r="D3458">
        <v>0</v>
      </c>
      <c r="E3458">
        <v>90</v>
      </c>
      <c r="F3458">
        <v>8</v>
      </c>
      <c r="G3458">
        <v>36.661228080722999</v>
      </c>
    </row>
    <row r="3459" spans="1:7" x14ac:dyDescent="0.3">
      <c r="A3459" t="str">
        <f>IF(ISBLANK(B3459),"",IF(ROUND(B3459,0)=ROUND(G3459,0),"Pass","Fail"))</f>
        <v>Pass</v>
      </c>
      <c r="B3459">
        <f t="shared" si="155"/>
        <v>19.879997253417969</v>
      </c>
      <c r="C3459">
        <v>40</v>
      </c>
      <c r="D3459">
        <v>0</v>
      </c>
      <c r="E3459">
        <v>90</v>
      </c>
      <c r="F3459">
        <v>16</v>
      </c>
      <c r="G3459">
        <v>19.879997247101699</v>
      </c>
    </row>
    <row r="3460" spans="1:7" x14ac:dyDescent="0.3">
      <c r="A3460" t="str">
        <f>IF(ISBLANK(B3460),"",IF(ROUND(B3460,0)=ROUND(G3460,0),"Pass","Fail"))</f>
        <v>Pass</v>
      </c>
      <c r="B3460">
        <f t="shared" si="155"/>
        <v>11.432577133178711</v>
      </c>
      <c r="C3460">
        <v>40</v>
      </c>
      <c r="D3460">
        <v>0</v>
      </c>
      <c r="E3460">
        <v>90</v>
      </c>
      <c r="F3460">
        <v>24</v>
      </c>
      <c r="G3460">
        <v>11.432577413736199</v>
      </c>
    </row>
    <row r="3461" spans="1:7" x14ac:dyDescent="0.3">
      <c r="A3461" t="str">
        <f>IF(ISBLANK(B3461),"",IF(ROUND(B3461,0)=ROUND(G3461,0),"Pass","Fail"))</f>
        <v>Pass</v>
      </c>
      <c r="B3461">
        <f t="shared" si="155"/>
        <v>7.1802730560302734</v>
      </c>
      <c r="C3461">
        <v>40</v>
      </c>
      <c r="D3461">
        <v>0</v>
      </c>
      <c r="E3461">
        <v>90</v>
      </c>
      <c r="F3461">
        <v>32</v>
      </c>
      <c r="G3461">
        <v>7.1802730059946702</v>
      </c>
    </row>
    <row r="3462" spans="1:7" x14ac:dyDescent="0.3">
      <c r="A3462" t="str">
        <f>IF(ISBLANK(B3462),"",IF(ROUND(B3462,0)=ROUND(G3462,0),"Pass","Fail"))</f>
        <v>Pass</v>
      </c>
      <c r="B3462">
        <f t="shared" si="155"/>
        <v>5.039726734161377</v>
      </c>
      <c r="C3462">
        <v>40</v>
      </c>
      <c r="D3462">
        <v>0</v>
      </c>
      <c r="E3462">
        <v>90</v>
      </c>
      <c r="F3462">
        <v>40</v>
      </c>
      <c r="G3462">
        <v>5.0397267643271002</v>
      </c>
    </row>
    <row r="3463" spans="1:7" x14ac:dyDescent="0.3">
      <c r="A3463" t="str">
        <f>IF(ISBLANK(B3463),"",IF(ROUND(B3463,0)=ROUND(G3463,0),"Pass","Fail"))</f>
        <v>Pass</v>
      </c>
      <c r="B3463">
        <f t="shared" ref="B3463:B3526" si="156">FMC_heath(C3463,D3463,E3463,F3463)</f>
        <v>3.9622077941894531</v>
      </c>
      <c r="C3463">
        <v>40</v>
      </c>
      <c r="D3463">
        <v>0</v>
      </c>
      <c r="E3463">
        <v>90</v>
      </c>
      <c r="F3463">
        <v>48</v>
      </c>
      <c r="G3463">
        <v>3.96220790081972</v>
      </c>
    </row>
    <row r="3464" spans="1:7" x14ac:dyDescent="0.3">
      <c r="A3464" t="str">
        <f>IF(ISBLANK(B3464),"",IF(ROUND(B3464,0)=ROUND(G3464,0),"Pass","Fail"))</f>
        <v>Pass</v>
      </c>
      <c r="B3464">
        <f t="shared" si="156"/>
        <v>69.998001098632813</v>
      </c>
      <c r="C3464">
        <v>40</v>
      </c>
      <c r="D3464">
        <v>0</v>
      </c>
      <c r="E3464">
        <v>100</v>
      </c>
      <c r="F3464">
        <v>0</v>
      </c>
      <c r="G3464">
        <v>69.998000000000005</v>
      </c>
    </row>
    <row r="3465" spans="1:7" x14ac:dyDescent="0.3">
      <c r="A3465" t="str">
        <f>IF(ISBLANK(B3465),"",IF(ROUND(B3465,0)=ROUND(G3465,0),"Pass","Fail"))</f>
        <v>Pass</v>
      </c>
      <c r="B3465">
        <f t="shared" si="156"/>
        <v>36.661228179931641</v>
      </c>
      <c r="C3465">
        <v>40</v>
      </c>
      <c r="D3465">
        <v>0</v>
      </c>
      <c r="E3465">
        <v>100</v>
      </c>
      <c r="F3465">
        <v>8</v>
      </c>
      <c r="G3465">
        <v>36.661228080722999</v>
      </c>
    </row>
    <row r="3466" spans="1:7" x14ac:dyDescent="0.3">
      <c r="A3466" t="str">
        <f>IF(ISBLANK(B3466),"",IF(ROUND(B3466,0)=ROUND(G3466,0),"Pass","Fail"))</f>
        <v>Pass</v>
      </c>
      <c r="B3466">
        <f t="shared" si="156"/>
        <v>19.879997253417969</v>
      </c>
      <c r="C3466">
        <v>40</v>
      </c>
      <c r="D3466">
        <v>0</v>
      </c>
      <c r="E3466">
        <v>100</v>
      </c>
      <c r="F3466">
        <v>16</v>
      </c>
      <c r="G3466">
        <v>19.879997247101699</v>
      </c>
    </row>
    <row r="3467" spans="1:7" x14ac:dyDescent="0.3">
      <c r="A3467" t="str">
        <f>IF(ISBLANK(B3467),"",IF(ROUND(B3467,0)=ROUND(G3467,0),"Pass","Fail"))</f>
        <v>Pass</v>
      </c>
      <c r="B3467">
        <f t="shared" si="156"/>
        <v>11.432577133178711</v>
      </c>
      <c r="C3467">
        <v>40</v>
      </c>
      <c r="D3467">
        <v>0</v>
      </c>
      <c r="E3467">
        <v>100</v>
      </c>
      <c r="F3467">
        <v>24</v>
      </c>
      <c r="G3467">
        <v>11.432577413736199</v>
      </c>
    </row>
    <row r="3468" spans="1:7" x14ac:dyDescent="0.3">
      <c r="A3468" t="str">
        <f>IF(ISBLANK(B3468),"",IF(ROUND(B3468,0)=ROUND(G3468,0),"Pass","Fail"))</f>
        <v>Pass</v>
      </c>
      <c r="B3468">
        <f t="shared" si="156"/>
        <v>7.1802730560302734</v>
      </c>
      <c r="C3468">
        <v>40</v>
      </c>
      <c r="D3468">
        <v>0</v>
      </c>
      <c r="E3468">
        <v>100</v>
      </c>
      <c r="F3468">
        <v>32</v>
      </c>
      <c r="G3468">
        <v>7.1802730059946702</v>
      </c>
    </row>
    <row r="3469" spans="1:7" x14ac:dyDescent="0.3">
      <c r="A3469" t="str">
        <f>IF(ISBLANK(B3469),"",IF(ROUND(B3469,0)=ROUND(G3469,0),"Pass","Fail"))</f>
        <v>Pass</v>
      </c>
      <c r="B3469">
        <f t="shared" si="156"/>
        <v>5.039726734161377</v>
      </c>
      <c r="C3469">
        <v>40</v>
      </c>
      <c r="D3469">
        <v>0</v>
      </c>
      <c r="E3469">
        <v>100</v>
      </c>
      <c r="F3469">
        <v>40</v>
      </c>
      <c r="G3469">
        <v>5.0397267643271002</v>
      </c>
    </row>
    <row r="3470" spans="1:7" x14ac:dyDescent="0.3">
      <c r="A3470" t="str">
        <f>IF(ISBLANK(B3470),"",IF(ROUND(B3470,0)=ROUND(G3470,0),"Pass","Fail"))</f>
        <v>Pass</v>
      </c>
      <c r="B3470">
        <f t="shared" si="156"/>
        <v>3.9622077941894531</v>
      </c>
      <c r="C3470">
        <v>40</v>
      </c>
      <c r="D3470">
        <v>0</v>
      </c>
      <c r="E3470">
        <v>100</v>
      </c>
      <c r="F3470">
        <v>48</v>
      </c>
      <c r="G3470">
        <v>3.96220790081972</v>
      </c>
    </row>
    <row r="3471" spans="1:7" x14ac:dyDescent="0.3">
      <c r="A3471" t="str">
        <f>IF(ISBLANK(B3471),"",IF(ROUND(B3471,0)=ROUND(G3471,0),"Pass","Fail"))</f>
        <v>Pass</v>
      </c>
      <c r="B3471">
        <f t="shared" si="156"/>
        <v>4.2100000381469727</v>
      </c>
      <c r="C3471">
        <v>40</v>
      </c>
      <c r="D3471">
        <v>10</v>
      </c>
      <c r="E3471">
        <v>0</v>
      </c>
      <c r="F3471">
        <v>0</v>
      </c>
      <c r="G3471">
        <v>4.21</v>
      </c>
    </row>
    <row r="3472" spans="1:7" x14ac:dyDescent="0.3">
      <c r="A3472" t="str">
        <f>IF(ISBLANK(B3472),"",IF(ROUND(B3472,0)=ROUND(G3472,0),"Pass","Fail"))</f>
        <v>Pass</v>
      </c>
      <c r="B3472">
        <f t="shared" si="156"/>
        <v>4.2100000381469727</v>
      </c>
      <c r="C3472">
        <v>40</v>
      </c>
      <c r="D3472">
        <v>10</v>
      </c>
      <c r="E3472">
        <v>0</v>
      </c>
      <c r="F3472">
        <v>8</v>
      </c>
      <c r="G3472">
        <v>4.21</v>
      </c>
    </row>
    <row r="3473" spans="1:7" x14ac:dyDescent="0.3">
      <c r="A3473" t="str">
        <f>IF(ISBLANK(B3473),"",IF(ROUND(B3473,0)=ROUND(G3473,0),"Pass","Fail"))</f>
        <v>Pass</v>
      </c>
      <c r="B3473">
        <f t="shared" si="156"/>
        <v>4.2100000381469727</v>
      </c>
      <c r="C3473">
        <v>40</v>
      </c>
      <c r="D3473">
        <v>10</v>
      </c>
      <c r="E3473">
        <v>0</v>
      </c>
      <c r="F3473">
        <v>16</v>
      </c>
      <c r="G3473">
        <v>4.21</v>
      </c>
    </row>
    <row r="3474" spans="1:7" x14ac:dyDescent="0.3">
      <c r="A3474" t="str">
        <f>IF(ISBLANK(B3474),"",IF(ROUND(B3474,0)=ROUND(G3474,0),"Pass","Fail"))</f>
        <v>Pass</v>
      </c>
      <c r="B3474">
        <f t="shared" si="156"/>
        <v>4.2100000381469727</v>
      </c>
      <c r="C3474">
        <v>40</v>
      </c>
      <c r="D3474">
        <v>10</v>
      </c>
      <c r="E3474">
        <v>0</v>
      </c>
      <c r="F3474">
        <v>24</v>
      </c>
      <c r="G3474">
        <v>4.21</v>
      </c>
    </row>
    <row r="3475" spans="1:7" x14ac:dyDescent="0.3">
      <c r="A3475" t="str">
        <f>IF(ISBLANK(B3475),"",IF(ROUND(B3475,0)=ROUND(G3475,0),"Pass","Fail"))</f>
        <v>Pass</v>
      </c>
      <c r="B3475">
        <f t="shared" si="156"/>
        <v>4.2100000381469727</v>
      </c>
      <c r="C3475">
        <v>40</v>
      </c>
      <c r="D3475">
        <v>10</v>
      </c>
      <c r="E3475">
        <v>0</v>
      </c>
      <c r="F3475">
        <v>32</v>
      </c>
      <c r="G3475">
        <v>4.21</v>
      </c>
    </row>
    <row r="3476" spans="1:7" x14ac:dyDescent="0.3">
      <c r="A3476" t="str">
        <f>IF(ISBLANK(B3476),"",IF(ROUND(B3476,0)=ROUND(G3476,0),"Pass","Fail"))</f>
        <v>Pass</v>
      </c>
      <c r="B3476">
        <f t="shared" si="156"/>
        <v>4.2100000381469727</v>
      </c>
      <c r="C3476">
        <v>40</v>
      </c>
      <c r="D3476">
        <v>10</v>
      </c>
      <c r="E3476">
        <v>0</v>
      </c>
      <c r="F3476">
        <v>40</v>
      </c>
      <c r="G3476">
        <v>4.21</v>
      </c>
    </row>
    <row r="3477" spans="1:7" x14ac:dyDescent="0.3">
      <c r="A3477" t="str">
        <f>IF(ISBLANK(B3477),"",IF(ROUND(B3477,0)=ROUND(G3477,0),"Pass","Fail"))</f>
        <v>Pass</v>
      </c>
      <c r="B3477">
        <f t="shared" si="156"/>
        <v>4.2100000381469727</v>
      </c>
      <c r="C3477">
        <v>40</v>
      </c>
      <c r="D3477">
        <v>10</v>
      </c>
      <c r="E3477">
        <v>0</v>
      </c>
      <c r="F3477">
        <v>48</v>
      </c>
      <c r="G3477">
        <v>4.21</v>
      </c>
    </row>
    <row r="3478" spans="1:7" x14ac:dyDescent="0.3">
      <c r="A3478" t="str">
        <f>IF(ISBLANK(B3478),"",IF(ROUND(B3478,0)=ROUND(G3478,0),"Pass","Fail"))</f>
        <v>Pass</v>
      </c>
      <c r="B3478">
        <f t="shared" si="156"/>
        <v>71.337997436523438</v>
      </c>
      <c r="C3478">
        <v>40</v>
      </c>
      <c r="D3478">
        <v>10</v>
      </c>
      <c r="E3478">
        <v>10</v>
      </c>
      <c r="F3478">
        <v>0</v>
      </c>
      <c r="G3478">
        <v>71.337999999998303</v>
      </c>
    </row>
    <row r="3479" spans="1:7" x14ac:dyDescent="0.3">
      <c r="A3479" t="str">
        <f>IF(ISBLANK(B3479),"",IF(ROUND(B3479,0)=ROUND(G3479,0),"Pass","Fail"))</f>
        <v>Pass</v>
      </c>
      <c r="B3479">
        <f t="shared" si="156"/>
        <v>38.001228332519531</v>
      </c>
      <c r="C3479">
        <v>40</v>
      </c>
      <c r="D3479">
        <v>10</v>
      </c>
      <c r="E3479">
        <v>10</v>
      </c>
      <c r="F3479">
        <v>8</v>
      </c>
      <c r="G3479">
        <v>38.0012280807222</v>
      </c>
    </row>
    <row r="3480" spans="1:7" x14ac:dyDescent="0.3">
      <c r="A3480" t="str">
        <f>IF(ISBLANK(B3480),"",IF(ROUND(B3480,0)=ROUND(G3480,0),"Pass","Fail"))</f>
        <v>Pass</v>
      </c>
      <c r="B3480">
        <f t="shared" si="156"/>
        <v>21.219997406005859</v>
      </c>
      <c r="C3480">
        <v>40</v>
      </c>
      <c r="D3480">
        <v>10</v>
      </c>
      <c r="E3480">
        <v>10</v>
      </c>
      <c r="F3480">
        <v>16</v>
      </c>
      <c r="G3480">
        <v>21.219997247101301</v>
      </c>
    </row>
    <row r="3481" spans="1:7" x14ac:dyDescent="0.3">
      <c r="A3481" t="str">
        <f>IF(ISBLANK(B3481),"",IF(ROUND(B3481,0)=ROUND(G3481,0),"Pass","Fail"))</f>
        <v>Pass</v>
      </c>
      <c r="B3481">
        <f t="shared" si="156"/>
        <v>12.772577285766602</v>
      </c>
      <c r="C3481">
        <v>40</v>
      </c>
      <c r="D3481">
        <v>10</v>
      </c>
      <c r="E3481">
        <v>10</v>
      </c>
      <c r="F3481">
        <v>24</v>
      </c>
      <c r="G3481">
        <v>12.772577413736</v>
      </c>
    </row>
    <row r="3482" spans="1:7" x14ac:dyDescent="0.3">
      <c r="A3482" t="str">
        <f>IF(ISBLANK(B3482),"",IF(ROUND(B3482,0)=ROUND(G3482,0),"Pass","Fail"))</f>
        <v>Pass</v>
      </c>
      <c r="B3482">
        <f t="shared" si="156"/>
        <v>8.5202732086181641</v>
      </c>
      <c r="C3482">
        <v>40</v>
      </c>
      <c r="D3482">
        <v>10</v>
      </c>
      <c r="E3482">
        <v>10</v>
      </c>
      <c r="F3482">
        <v>32</v>
      </c>
      <c r="G3482">
        <v>8.5202730059945608</v>
      </c>
    </row>
    <row r="3483" spans="1:7" x14ac:dyDescent="0.3">
      <c r="A3483" t="str">
        <f>IF(ISBLANK(B3483),"",IF(ROUND(B3483,0)=ROUND(G3483,0),"Pass","Fail"))</f>
        <v>Pass</v>
      </c>
      <c r="B3483">
        <f t="shared" si="156"/>
        <v>6.3797268867492676</v>
      </c>
      <c r="C3483">
        <v>40</v>
      </c>
      <c r="D3483">
        <v>10</v>
      </c>
      <c r="E3483">
        <v>10</v>
      </c>
      <c r="F3483">
        <v>40</v>
      </c>
      <c r="G3483">
        <v>6.3797267643270503</v>
      </c>
    </row>
    <row r="3484" spans="1:7" x14ac:dyDescent="0.3">
      <c r="A3484" t="str">
        <f>IF(ISBLANK(B3484),"",IF(ROUND(B3484,0)=ROUND(G3484,0),"Pass","Fail"))</f>
        <v>Pass</v>
      </c>
      <c r="B3484">
        <f t="shared" si="156"/>
        <v>5.3022079467773438</v>
      </c>
      <c r="C3484">
        <v>40</v>
      </c>
      <c r="D3484">
        <v>10</v>
      </c>
      <c r="E3484">
        <v>10</v>
      </c>
      <c r="F3484">
        <v>48</v>
      </c>
      <c r="G3484">
        <v>5.3022079008196901</v>
      </c>
    </row>
    <row r="3485" spans="1:7" x14ac:dyDescent="0.3">
      <c r="A3485" t="str">
        <f>IF(ISBLANK(B3485),"",IF(ROUND(B3485,0)=ROUND(G3485,0),"Pass","Fail"))</f>
        <v>Pass</v>
      </c>
      <c r="B3485">
        <f t="shared" si="156"/>
        <v>71.337997436523438</v>
      </c>
      <c r="C3485">
        <v>40</v>
      </c>
      <c r="D3485">
        <v>10</v>
      </c>
      <c r="E3485">
        <v>20</v>
      </c>
      <c r="F3485">
        <v>0</v>
      </c>
      <c r="G3485">
        <v>71.337999999999994</v>
      </c>
    </row>
    <row r="3486" spans="1:7" x14ac:dyDescent="0.3">
      <c r="A3486" t="str">
        <f>IF(ISBLANK(B3486),"",IF(ROUND(B3486,0)=ROUND(G3486,0),"Pass","Fail"))</f>
        <v>Pass</v>
      </c>
      <c r="B3486">
        <f t="shared" si="156"/>
        <v>38.001228332519531</v>
      </c>
      <c r="C3486">
        <v>40</v>
      </c>
      <c r="D3486">
        <v>10</v>
      </c>
      <c r="E3486">
        <v>20</v>
      </c>
      <c r="F3486">
        <v>8</v>
      </c>
      <c r="G3486">
        <v>38.001228080723003</v>
      </c>
    </row>
    <row r="3487" spans="1:7" x14ac:dyDescent="0.3">
      <c r="A3487" t="str">
        <f>IF(ISBLANK(B3487),"",IF(ROUND(B3487,0)=ROUND(G3487,0),"Pass","Fail"))</f>
        <v>Pass</v>
      </c>
      <c r="B3487">
        <f t="shared" si="156"/>
        <v>21.219997406005859</v>
      </c>
      <c r="C3487">
        <v>40</v>
      </c>
      <c r="D3487">
        <v>10</v>
      </c>
      <c r="E3487">
        <v>20</v>
      </c>
      <c r="F3487">
        <v>16</v>
      </c>
      <c r="G3487">
        <v>21.219997247101698</v>
      </c>
    </row>
    <row r="3488" spans="1:7" x14ac:dyDescent="0.3">
      <c r="A3488" t="str">
        <f>IF(ISBLANK(B3488),"",IF(ROUND(B3488,0)=ROUND(G3488,0),"Pass","Fail"))</f>
        <v>Pass</v>
      </c>
      <c r="B3488">
        <f t="shared" si="156"/>
        <v>12.772577285766602</v>
      </c>
      <c r="C3488">
        <v>40</v>
      </c>
      <c r="D3488">
        <v>10</v>
      </c>
      <c r="E3488">
        <v>20</v>
      </c>
      <c r="F3488">
        <v>24</v>
      </c>
      <c r="G3488">
        <v>12.772577413736199</v>
      </c>
    </row>
    <row r="3489" spans="1:7" x14ac:dyDescent="0.3">
      <c r="A3489" t="str">
        <f>IF(ISBLANK(B3489),"",IF(ROUND(B3489,0)=ROUND(G3489,0),"Pass","Fail"))</f>
        <v>Pass</v>
      </c>
      <c r="B3489">
        <f t="shared" si="156"/>
        <v>8.5202732086181641</v>
      </c>
      <c r="C3489">
        <v>40</v>
      </c>
      <c r="D3489">
        <v>10</v>
      </c>
      <c r="E3489">
        <v>20</v>
      </c>
      <c r="F3489">
        <v>32</v>
      </c>
      <c r="G3489">
        <v>8.5202730059946692</v>
      </c>
    </row>
    <row r="3490" spans="1:7" x14ac:dyDescent="0.3">
      <c r="A3490" t="str">
        <f>IF(ISBLANK(B3490),"",IF(ROUND(B3490,0)=ROUND(G3490,0),"Pass","Fail"))</f>
        <v>Pass</v>
      </c>
      <c r="B3490">
        <f t="shared" si="156"/>
        <v>6.3797268867492676</v>
      </c>
      <c r="C3490">
        <v>40</v>
      </c>
      <c r="D3490">
        <v>10</v>
      </c>
      <c r="E3490">
        <v>20</v>
      </c>
      <c r="F3490">
        <v>40</v>
      </c>
      <c r="G3490">
        <v>6.3797267643271001</v>
      </c>
    </row>
    <row r="3491" spans="1:7" x14ac:dyDescent="0.3">
      <c r="A3491" t="str">
        <f>IF(ISBLANK(B3491),"",IF(ROUND(B3491,0)=ROUND(G3491,0),"Pass","Fail"))</f>
        <v>Pass</v>
      </c>
      <c r="B3491">
        <f t="shared" si="156"/>
        <v>5.3022079467773438</v>
      </c>
      <c r="C3491">
        <v>40</v>
      </c>
      <c r="D3491">
        <v>10</v>
      </c>
      <c r="E3491">
        <v>20</v>
      </c>
      <c r="F3491">
        <v>48</v>
      </c>
      <c r="G3491">
        <v>5.3022079008197203</v>
      </c>
    </row>
    <row r="3492" spans="1:7" x14ac:dyDescent="0.3">
      <c r="A3492" t="str">
        <f>IF(ISBLANK(B3492),"",IF(ROUND(B3492,0)=ROUND(G3492,0),"Pass","Fail"))</f>
        <v>Pass</v>
      </c>
      <c r="B3492">
        <f t="shared" si="156"/>
        <v>71.337997436523438</v>
      </c>
      <c r="C3492">
        <v>40</v>
      </c>
      <c r="D3492">
        <v>10</v>
      </c>
      <c r="E3492">
        <v>30</v>
      </c>
      <c r="F3492">
        <v>0</v>
      </c>
      <c r="G3492">
        <v>71.337999999999994</v>
      </c>
    </row>
    <row r="3493" spans="1:7" x14ac:dyDescent="0.3">
      <c r="A3493" t="str">
        <f>IF(ISBLANK(B3493),"",IF(ROUND(B3493,0)=ROUND(G3493,0),"Pass","Fail"))</f>
        <v>Pass</v>
      </c>
      <c r="B3493">
        <f t="shared" si="156"/>
        <v>38.001228332519531</v>
      </c>
      <c r="C3493">
        <v>40</v>
      </c>
      <c r="D3493">
        <v>10</v>
      </c>
      <c r="E3493">
        <v>30</v>
      </c>
      <c r="F3493">
        <v>8</v>
      </c>
      <c r="G3493">
        <v>38.001228080723003</v>
      </c>
    </row>
    <row r="3494" spans="1:7" x14ac:dyDescent="0.3">
      <c r="A3494" t="str">
        <f>IF(ISBLANK(B3494),"",IF(ROUND(B3494,0)=ROUND(G3494,0),"Pass","Fail"))</f>
        <v>Pass</v>
      </c>
      <c r="B3494">
        <f t="shared" si="156"/>
        <v>21.219997406005859</v>
      </c>
      <c r="C3494">
        <v>40</v>
      </c>
      <c r="D3494">
        <v>10</v>
      </c>
      <c r="E3494">
        <v>30</v>
      </c>
      <c r="F3494">
        <v>16</v>
      </c>
      <c r="G3494">
        <v>21.219997247101698</v>
      </c>
    </row>
    <row r="3495" spans="1:7" x14ac:dyDescent="0.3">
      <c r="A3495" t="str">
        <f>IF(ISBLANK(B3495),"",IF(ROUND(B3495,0)=ROUND(G3495,0),"Pass","Fail"))</f>
        <v>Pass</v>
      </c>
      <c r="B3495">
        <f t="shared" si="156"/>
        <v>12.772577285766602</v>
      </c>
      <c r="C3495">
        <v>40</v>
      </c>
      <c r="D3495">
        <v>10</v>
      </c>
      <c r="E3495">
        <v>30</v>
      </c>
      <c r="F3495">
        <v>24</v>
      </c>
      <c r="G3495">
        <v>12.772577413736199</v>
      </c>
    </row>
    <row r="3496" spans="1:7" x14ac:dyDescent="0.3">
      <c r="A3496" t="str">
        <f>IF(ISBLANK(B3496),"",IF(ROUND(B3496,0)=ROUND(G3496,0),"Pass","Fail"))</f>
        <v>Pass</v>
      </c>
      <c r="B3496">
        <f t="shared" si="156"/>
        <v>8.5202732086181641</v>
      </c>
      <c r="C3496">
        <v>40</v>
      </c>
      <c r="D3496">
        <v>10</v>
      </c>
      <c r="E3496">
        <v>30</v>
      </c>
      <c r="F3496">
        <v>32</v>
      </c>
      <c r="G3496">
        <v>8.5202730059946692</v>
      </c>
    </row>
    <row r="3497" spans="1:7" x14ac:dyDescent="0.3">
      <c r="A3497" t="str">
        <f>IF(ISBLANK(B3497),"",IF(ROUND(B3497,0)=ROUND(G3497,0),"Pass","Fail"))</f>
        <v>Pass</v>
      </c>
      <c r="B3497">
        <f t="shared" si="156"/>
        <v>6.3797268867492676</v>
      </c>
      <c r="C3497">
        <v>40</v>
      </c>
      <c r="D3497">
        <v>10</v>
      </c>
      <c r="E3497">
        <v>30</v>
      </c>
      <c r="F3497">
        <v>40</v>
      </c>
      <c r="G3497">
        <v>6.3797267643271001</v>
      </c>
    </row>
    <row r="3498" spans="1:7" x14ac:dyDescent="0.3">
      <c r="A3498" t="str">
        <f>IF(ISBLANK(B3498),"",IF(ROUND(B3498,0)=ROUND(G3498,0),"Pass","Fail"))</f>
        <v>Pass</v>
      </c>
      <c r="B3498">
        <f t="shared" si="156"/>
        <v>5.3022079467773438</v>
      </c>
      <c r="C3498">
        <v>40</v>
      </c>
      <c r="D3498">
        <v>10</v>
      </c>
      <c r="E3498">
        <v>30</v>
      </c>
      <c r="F3498">
        <v>48</v>
      </c>
      <c r="G3498">
        <v>5.3022079008197203</v>
      </c>
    </row>
    <row r="3499" spans="1:7" x14ac:dyDescent="0.3">
      <c r="A3499" t="str">
        <f>IF(ISBLANK(B3499),"",IF(ROUND(B3499,0)=ROUND(G3499,0),"Pass","Fail"))</f>
        <v>Pass</v>
      </c>
      <c r="B3499">
        <f t="shared" si="156"/>
        <v>71.337997436523438</v>
      </c>
      <c r="C3499">
        <v>40</v>
      </c>
      <c r="D3499">
        <v>10</v>
      </c>
      <c r="E3499">
        <v>40</v>
      </c>
      <c r="F3499">
        <v>0</v>
      </c>
      <c r="G3499">
        <v>71.337999999999994</v>
      </c>
    </row>
    <row r="3500" spans="1:7" x14ac:dyDescent="0.3">
      <c r="A3500" t="str">
        <f>IF(ISBLANK(B3500),"",IF(ROUND(B3500,0)=ROUND(G3500,0),"Pass","Fail"))</f>
        <v>Pass</v>
      </c>
      <c r="B3500">
        <f t="shared" si="156"/>
        <v>38.001228332519531</v>
      </c>
      <c r="C3500">
        <v>40</v>
      </c>
      <c r="D3500">
        <v>10</v>
      </c>
      <c r="E3500">
        <v>40</v>
      </c>
      <c r="F3500">
        <v>8</v>
      </c>
      <c r="G3500">
        <v>38.001228080723003</v>
      </c>
    </row>
    <row r="3501" spans="1:7" x14ac:dyDescent="0.3">
      <c r="A3501" t="str">
        <f>IF(ISBLANK(B3501),"",IF(ROUND(B3501,0)=ROUND(G3501,0),"Pass","Fail"))</f>
        <v>Pass</v>
      </c>
      <c r="B3501">
        <f t="shared" si="156"/>
        <v>21.219997406005859</v>
      </c>
      <c r="C3501">
        <v>40</v>
      </c>
      <c r="D3501">
        <v>10</v>
      </c>
      <c r="E3501">
        <v>40</v>
      </c>
      <c r="F3501">
        <v>16</v>
      </c>
      <c r="G3501">
        <v>21.219997247101698</v>
      </c>
    </row>
    <row r="3502" spans="1:7" x14ac:dyDescent="0.3">
      <c r="A3502" t="str">
        <f>IF(ISBLANK(B3502),"",IF(ROUND(B3502,0)=ROUND(G3502,0),"Pass","Fail"))</f>
        <v>Pass</v>
      </c>
      <c r="B3502">
        <f t="shared" si="156"/>
        <v>12.772577285766602</v>
      </c>
      <c r="C3502">
        <v>40</v>
      </c>
      <c r="D3502">
        <v>10</v>
      </c>
      <c r="E3502">
        <v>40</v>
      </c>
      <c r="F3502">
        <v>24</v>
      </c>
      <c r="G3502">
        <v>12.772577413736199</v>
      </c>
    </row>
    <row r="3503" spans="1:7" x14ac:dyDescent="0.3">
      <c r="A3503" t="str">
        <f>IF(ISBLANK(B3503),"",IF(ROUND(B3503,0)=ROUND(G3503,0),"Pass","Fail"))</f>
        <v>Pass</v>
      </c>
      <c r="B3503">
        <f t="shared" si="156"/>
        <v>8.5202732086181641</v>
      </c>
      <c r="C3503">
        <v>40</v>
      </c>
      <c r="D3503">
        <v>10</v>
      </c>
      <c r="E3503">
        <v>40</v>
      </c>
      <c r="F3503">
        <v>32</v>
      </c>
      <c r="G3503">
        <v>8.5202730059946692</v>
      </c>
    </row>
    <row r="3504" spans="1:7" x14ac:dyDescent="0.3">
      <c r="A3504" t="str">
        <f>IF(ISBLANK(B3504),"",IF(ROUND(B3504,0)=ROUND(G3504,0),"Pass","Fail"))</f>
        <v>Pass</v>
      </c>
      <c r="B3504">
        <f t="shared" si="156"/>
        <v>6.3797268867492676</v>
      </c>
      <c r="C3504">
        <v>40</v>
      </c>
      <c r="D3504">
        <v>10</v>
      </c>
      <c r="E3504">
        <v>40</v>
      </c>
      <c r="F3504">
        <v>40</v>
      </c>
      <c r="G3504">
        <v>6.3797267643271001</v>
      </c>
    </row>
    <row r="3505" spans="1:7" x14ac:dyDescent="0.3">
      <c r="A3505" t="str">
        <f>IF(ISBLANK(B3505),"",IF(ROUND(B3505,0)=ROUND(G3505,0),"Pass","Fail"))</f>
        <v>Pass</v>
      </c>
      <c r="B3505">
        <f t="shared" si="156"/>
        <v>5.3022079467773438</v>
      </c>
      <c r="C3505">
        <v>40</v>
      </c>
      <c r="D3505">
        <v>10</v>
      </c>
      <c r="E3505">
        <v>40</v>
      </c>
      <c r="F3505">
        <v>48</v>
      </c>
      <c r="G3505">
        <v>5.3022079008197203</v>
      </c>
    </row>
    <row r="3506" spans="1:7" x14ac:dyDescent="0.3">
      <c r="A3506" t="str">
        <f>IF(ISBLANK(B3506),"",IF(ROUND(B3506,0)=ROUND(G3506,0),"Pass","Fail"))</f>
        <v>Pass</v>
      </c>
      <c r="B3506">
        <f t="shared" si="156"/>
        <v>71.337997436523438</v>
      </c>
      <c r="C3506">
        <v>40</v>
      </c>
      <c r="D3506">
        <v>10</v>
      </c>
      <c r="E3506">
        <v>50</v>
      </c>
      <c r="F3506">
        <v>0</v>
      </c>
      <c r="G3506">
        <v>71.337999999999994</v>
      </c>
    </row>
    <row r="3507" spans="1:7" x14ac:dyDescent="0.3">
      <c r="A3507" t="str">
        <f>IF(ISBLANK(B3507),"",IF(ROUND(B3507,0)=ROUND(G3507,0),"Pass","Fail"))</f>
        <v>Pass</v>
      </c>
      <c r="B3507">
        <f t="shared" si="156"/>
        <v>38.001228332519531</v>
      </c>
      <c r="C3507">
        <v>40</v>
      </c>
      <c r="D3507">
        <v>10</v>
      </c>
      <c r="E3507">
        <v>50</v>
      </c>
      <c r="F3507">
        <v>8</v>
      </c>
      <c r="G3507">
        <v>38.001228080723003</v>
      </c>
    </row>
    <row r="3508" spans="1:7" x14ac:dyDescent="0.3">
      <c r="A3508" t="str">
        <f>IF(ISBLANK(B3508),"",IF(ROUND(B3508,0)=ROUND(G3508,0),"Pass","Fail"))</f>
        <v>Pass</v>
      </c>
      <c r="B3508">
        <f t="shared" si="156"/>
        <v>21.219997406005859</v>
      </c>
      <c r="C3508">
        <v>40</v>
      </c>
      <c r="D3508">
        <v>10</v>
      </c>
      <c r="E3508">
        <v>50</v>
      </c>
      <c r="F3508">
        <v>16</v>
      </c>
      <c r="G3508">
        <v>21.219997247101698</v>
      </c>
    </row>
    <row r="3509" spans="1:7" x14ac:dyDescent="0.3">
      <c r="A3509" t="str">
        <f>IF(ISBLANK(B3509),"",IF(ROUND(B3509,0)=ROUND(G3509,0),"Pass","Fail"))</f>
        <v>Pass</v>
      </c>
      <c r="B3509">
        <f t="shared" si="156"/>
        <v>12.772577285766602</v>
      </c>
      <c r="C3509">
        <v>40</v>
      </c>
      <c r="D3509">
        <v>10</v>
      </c>
      <c r="E3509">
        <v>50</v>
      </c>
      <c r="F3509">
        <v>24</v>
      </c>
      <c r="G3509">
        <v>12.772577413736199</v>
      </c>
    </row>
    <row r="3510" spans="1:7" x14ac:dyDescent="0.3">
      <c r="A3510" t="str">
        <f>IF(ISBLANK(B3510),"",IF(ROUND(B3510,0)=ROUND(G3510,0),"Pass","Fail"))</f>
        <v>Pass</v>
      </c>
      <c r="B3510">
        <f t="shared" si="156"/>
        <v>8.5202732086181641</v>
      </c>
      <c r="C3510">
        <v>40</v>
      </c>
      <c r="D3510">
        <v>10</v>
      </c>
      <c r="E3510">
        <v>50</v>
      </c>
      <c r="F3510">
        <v>32</v>
      </c>
      <c r="G3510">
        <v>8.5202730059946692</v>
      </c>
    </row>
    <row r="3511" spans="1:7" x14ac:dyDescent="0.3">
      <c r="A3511" t="str">
        <f>IF(ISBLANK(B3511),"",IF(ROUND(B3511,0)=ROUND(G3511,0),"Pass","Fail"))</f>
        <v>Pass</v>
      </c>
      <c r="B3511">
        <f t="shared" si="156"/>
        <v>6.3797268867492676</v>
      </c>
      <c r="C3511">
        <v>40</v>
      </c>
      <c r="D3511">
        <v>10</v>
      </c>
      <c r="E3511">
        <v>50</v>
      </c>
      <c r="F3511">
        <v>40</v>
      </c>
      <c r="G3511">
        <v>6.3797267643271001</v>
      </c>
    </row>
    <row r="3512" spans="1:7" x14ac:dyDescent="0.3">
      <c r="A3512" t="str">
        <f>IF(ISBLANK(B3512),"",IF(ROUND(B3512,0)=ROUND(G3512,0),"Pass","Fail"))</f>
        <v>Pass</v>
      </c>
      <c r="B3512">
        <f t="shared" si="156"/>
        <v>5.3022079467773438</v>
      </c>
      <c r="C3512">
        <v>40</v>
      </c>
      <c r="D3512">
        <v>10</v>
      </c>
      <c r="E3512">
        <v>50</v>
      </c>
      <c r="F3512">
        <v>48</v>
      </c>
      <c r="G3512">
        <v>5.3022079008197203</v>
      </c>
    </row>
    <row r="3513" spans="1:7" x14ac:dyDescent="0.3">
      <c r="A3513" t="str">
        <f>IF(ISBLANK(B3513),"",IF(ROUND(B3513,0)=ROUND(G3513,0),"Pass","Fail"))</f>
        <v>Pass</v>
      </c>
      <c r="B3513">
        <f t="shared" si="156"/>
        <v>71.337997436523438</v>
      </c>
      <c r="C3513">
        <v>40</v>
      </c>
      <c r="D3513">
        <v>10</v>
      </c>
      <c r="E3513">
        <v>60</v>
      </c>
      <c r="F3513">
        <v>0</v>
      </c>
      <c r="G3513">
        <v>71.337999999999994</v>
      </c>
    </row>
    <row r="3514" spans="1:7" x14ac:dyDescent="0.3">
      <c r="A3514" t="str">
        <f>IF(ISBLANK(B3514),"",IF(ROUND(B3514,0)=ROUND(G3514,0),"Pass","Fail"))</f>
        <v>Pass</v>
      </c>
      <c r="B3514">
        <f t="shared" si="156"/>
        <v>38.001228332519531</v>
      </c>
      <c r="C3514">
        <v>40</v>
      </c>
      <c r="D3514">
        <v>10</v>
      </c>
      <c r="E3514">
        <v>60</v>
      </c>
      <c r="F3514">
        <v>8</v>
      </c>
      <c r="G3514">
        <v>38.001228080723003</v>
      </c>
    </row>
    <row r="3515" spans="1:7" x14ac:dyDescent="0.3">
      <c r="A3515" t="str">
        <f>IF(ISBLANK(B3515),"",IF(ROUND(B3515,0)=ROUND(G3515,0),"Pass","Fail"))</f>
        <v>Pass</v>
      </c>
      <c r="B3515">
        <f t="shared" si="156"/>
        <v>21.219997406005859</v>
      </c>
      <c r="C3515">
        <v>40</v>
      </c>
      <c r="D3515">
        <v>10</v>
      </c>
      <c r="E3515">
        <v>60</v>
      </c>
      <c r="F3515">
        <v>16</v>
      </c>
      <c r="G3515">
        <v>21.219997247101698</v>
      </c>
    </row>
    <row r="3516" spans="1:7" x14ac:dyDescent="0.3">
      <c r="A3516" t="str">
        <f>IF(ISBLANK(B3516),"",IF(ROUND(B3516,0)=ROUND(G3516,0),"Pass","Fail"))</f>
        <v>Pass</v>
      </c>
      <c r="B3516">
        <f t="shared" si="156"/>
        <v>12.772577285766602</v>
      </c>
      <c r="C3516">
        <v>40</v>
      </c>
      <c r="D3516">
        <v>10</v>
      </c>
      <c r="E3516">
        <v>60</v>
      </c>
      <c r="F3516">
        <v>24</v>
      </c>
      <c r="G3516">
        <v>12.772577413736199</v>
      </c>
    </row>
    <row r="3517" spans="1:7" x14ac:dyDescent="0.3">
      <c r="A3517" t="str">
        <f>IF(ISBLANK(B3517),"",IF(ROUND(B3517,0)=ROUND(G3517,0),"Pass","Fail"))</f>
        <v>Pass</v>
      </c>
      <c r="B3517">
        <f t="shared" si="156"/>
        <v>8.5202732086181641</v>
      </c>
      <c r="C3517">
        <v>40</v>
      </c>
      <c r="D3517">
        <v>10</v>
      </c>
      <c r="E3517">
        <v>60</v>
      </c>
      <c r="F3517">
        <v>32</v>
      </c>
      <c r="G3517">
        <v>8.5202730059946692</v>
      </c>
    </row>
    <row r="3518" spans="1:7" x14ac:dyDescent="0.3">
      <c r="A3518" t="str">
        <f>IF(ISBLANK(B3518),"",IF(ROUND(B3518,0)=ROUND(G3518,0),"Pass","Fail"))</f>
        <v>Pass</v>
      </c>
      <c r="B3518">
        <f t="shared" si="156"/>
        <v>6.3797268867492676</v>
      </c>
      <c r="C3518">
        <v>40</v>
      </c>
      <c r="D3518">
        <v>10</v>
      </c>
      <c r="E3518">
        <v>60</v>
      </c>
      <c r="F3518">
        <v>40</v>
      </c>
      <c r="G3518">
        <v>6.3797267643271001</v>
      </c>
    </row>
    <row r="3519" spans="1:7" x14ac:dyDescent="0.3">
      <c r="A3519" t="str">
        <f>IF(ISBLANK(B3519),"",IF(ROUND(B3519,0)=ROUND(G3519,0),"Pass","Fail"))</f>
        <v>Pass</v>
      </c>
      <c r="B3519">
        <f t="shared" si="156"/>
        <v>5.3022079467773438</v>
      </c>
      <c r="C3519">
        <v>40</v>
      </c>
      <c r="D3519">
        <v>10</v>
      </c>
      <c r="E3519">
        <v>60</v>
      </c>
      <c r="F3519">
        <v>48</v>
      </c>
      <c r="G3519">
        <v>5.3022079008197203</v>
      </c>
    </row>
    <row r="3520" spans="1:7" x14ac:dyDescent="0.3">
      <c r="A3520" t="str">
        <f>IF(ISBLANK(B3520),"",IF(ROUND(B3520,0)=ROUND(G3520,0),"Pass","Fail"))</f>
        <v>Pass</v>
      </c>
      <c r="B3520">
        <f t="shared" si="156"/>
        <v>71.337997436523438</v>
      </c>
      <c r="C3520">
        <v>40</v>
      </c>
      <c r="D3520">
        <v>10</v>
      </c>
      <c r="E3520">
        <v>70</v>
      </c>
      <c r="F3520">
        <v>0</v>
      </c>
      <c r="G3520">
        <v>71.337999999999994</v>
      </c>
    </row>
    <row r="3521" spans="1:7" x14ac:dyDescent="0.3">
      <c r="A3521" t="str">
        <f>IF(ISBLANK(B3521),"",IF(ROUND(B3521,0)=ROUND(G3521,0),"Pass","Fail"))</f>
        <v>Pass</v>
      </c>
      <c r="B3521">
        <f t="shared" si="156"/>
        <v>38.001228332519531</v>
      </c>
      <c r="C3521">
        <v>40</v>
      </c>
      <c r="D3521">
        <v>10</v>
      </c>
      <c r="E3521">
        <v>70</v>
      </c>
      <c r="F3521">
        <v>8</v>
      </c>
      <c r="G3521">
        <v>38.001228080723003</v>
      </c>
    </row>
    <row r="3522" spans="1:7" x14ac:dyDescent="0.3">
      <c r="A3522" t="str">
        <f>IF(ISBLANK(B3522),"",IF(ROUND(B3522,0)=ROUND(G3522,0),"Pass","Fail"))</f>
        <v>Pass</v>
      </c>
      <c r="B3522">
        <f t="shared" si="156"/>
        <v>21.219997406005859</v>
      </c>
      <c r="C3522">
        <v>40</v>
      </c>
      <c r="D3522">
        <v>10</v>
      </c>
      <c r="E3522">
        <v>70</v>
      </c>
      <c r="F3522">
        <v>16</v>
      </c>
      <c r="G3522">
        <v>21.219997247101698</v>
      </c>
    </row>
    <row r="3523" spans="1:7" x14ac:dyDescent="0.3">
      <c r="A3523" t="str">
        <f>IF(ISBLANK(B3523),"",IF(ROUND(B3523,0)=ROUND(G3523,0),"Pass","Fail"))</f>
        <v>Pass</v>
      </c>
      <c r="B3523">
        <f t="shared" si="156"/>
        <v>12.772577285766602</v>
      </c>
      <c r="C3523">
        <v>40</v>
      </c>
      <c r="D3523">
        <v>10</v>
      </c>
      <c r="E3523">
        <v>70</v>
      </c>
      <c r="F3523">
        <v>24</v>
      </c>
      <c r="G3523">
        <v>12.772577413736199</v>
      </c>
    </row>
    <row r="3524" spans="1:7" x14ac:dyDescent="0.3">
      <c r="A3524" t="str">
        <f>IF(ISBLANK(B3524),"",IF(ROUND(B3524,0)=ROUND(G3524,0),"Pass","Fail"))</f>
        <v>Pass</v>
      </c>
      <c r="B3524">
        <f t="shared" si="156"/>
        <v>8.5202732086181641</v>
      </c>
      <c r="C3524">
        <v>40</v>
      </c>
      <c r="D3524">
        <v>10</v>
      </c>
      <c r="E3524">
        <v>70</v>
      </c>
      <c r="F3524">
        <v>32</v>
      </c>
      <c r="G3524">
        <v>8.5202730059946692</v>
      </c>
    </row>
    <row r="3525" spans="1:7" x14ac:dyDescent="0.3">
      <c r="A3525" t="str">
        <f>IF(ISBLANK(B3525),"",IF(ROUND(B3525,0)=ROUND(G3525,0),"Pass","Fail"))</f>
        <v>Pass</v>
      </c>
      <c r="B3525">
        <f t="shared" si="156"/>
        <v>6.3797268867492676</v>
      </c>
      <c r="C3525">
        <v>40</v>
      </c>
      <c r="D3525">
        <v>10</v>
      </c>
      <c r="E3525">
        <v>70</v>
      </c>
      <c r="F3525">
        <v>40</v>
      </c>
      <c r="G3525">
        <v>6.3797267643271001</v>
      </c>
    </row>
    <row r="3526" spans="1:7" x14ac:dyDescent="0.3">
      <c r="A3526" t="str">
        <f>IF(ISBLANK(B3526),"",IF(ROUND(B3526,0)=ROUND(G3526,0),"Pass","Fail"))</f>
        <v>Pass</v>
      </c>
      <c r="B3526">
        <f t="shared" si="156"/>
        <v>5.3022079467773438</v>
      </c>
      <c r="C3526">
        <v>40</v>
      </c>
      <c r="D3526">
        <v>10</v>
      </c>
      <c r="E3526">
        <v>70</v>
      </c>
      <c r="F3526">
        <v>48</v>
      </c>
      <c r="G3526">
        <v>5.3022079008197203</v>
      </c>
    </row>
    <row r="3527" spans="1:7" x14ac:dyDescent="0.3">
      <c r="A3527" t="str">
        <f>IF(ISBLANK(B3527),"",IF(ROUND(B3527,0)=ROUND(G3527,0),"Pass","Fail"))</f>
        <v>Pass</v>
      </c>
      <c r="B3527">
        <f t="shared" ref="B3527:B3590" si="157">FMC_heath(C3527,D3527,E3527,F3527)</f>
        <v>71.337997436523438</v>
      </c>
      <c r="C3527">
        <v>40</v>
      </c>
      <c r="D3527">
        <v>10</v>
      </c>
      <c r="E3527">
        <v>80</v>
      </c>
      <c r="F3527">
        <v>0</v>
      </c>
      <c r="G3527">
        <v>71.337999999999994</v>
      </c>
    </row>
    <row r="3528" spans="1:7" x14ac:dyDescent="0.3">
      <c r="A3528" t="str">
        <f>IF(ISBLANK(B3528),"",IF(ROUND(B3528,0)=ROUND(G3528,0),"Pass","Fail"))</f>
        <v>Pass</v>
      </c>
      <c r="B3528">
        <f t="shared" si="157"/>
        <v>38.001228332519531</v>
      </c>
      <c r="C3528">
        <v>40</v>
      </c>
      <c r="D3528">
        <v>10</v>
      </c>
      <c r="E3528">
        <v>80</v>
      </c>
      <c r="F3528">
        <v>8</v>
      </c>
      <c r="G3528">
        <v>38.001228080723003</v>
      </c>
    </row>
    <row r="3529" spans="1:7" x14ac:dyDescent="0.3">
      <c r="A3529" t="str">
        <f>IF(ISBLANK(B3529),"",IF(ROUND(B3529,0)=ROUND(G3529,0),"Pass","Fail"))</f>
        <v>Pass</v>
      </c>
      <c r="B3529">
        <f t="shared" si="157"/>
        <v>21.219997406005859</v>
      </c>
      <c r="C3529">
        <v>40</v>
      </c>
      <c r="D3529">
        <v>10</v>
      </c>
      <c r="E3529">
        <v>80</v>
      </c>
      <c r="F3529">
        <v>16</v>
      </c>
      <c r="G3529">
        <v>21.219997247101698</v>
      </c>
    </row>
    <row r="3530" spans="1:7" x14ac:dyDescent="0.3">
      <c r="A3530" t="str">
        <f>IF(ISBLANK(B3530),"",IF(ROUND(B3530,0)=ROUND(G3530,0),"Pass","Fail"))</f>
        <v>Pass</v>
      </c>
      <c r="B3530">
        <f t="shared" si="157"/>
        <v>12.772577285766602</v>
      </c>
      <c r="C3530">
        <v>40</v>
      </c>
      <c r="D3530">
        <v>10</v>
      </c>
      <c r="E3530">
        <v>80</v>
      </c>
      <c r="F3530">
        <v>24</v>
      </c>
      <c r="G3530">
        <v>12.772577413736199</v>
      </c>
    </row>
    <row r="3531" spans="1:7" x14ac:dyDescent="0.3">
      <c r="A3531" t="str">
        <f>IF(ISBLANK(B3531),"",IF(ROUND(B3531,0)=ROUND(G3531,0),"Pass","Fail"))</f>
        <v>Pass</v>
      </c>
      <c r="B3531">
        <f t="shared" si="157"/>
        <v>8.5202732086181641</v>
      </c>
      <c r="C3531">
        <v>40</v>
      </c>
      <c r="D3531">
        <v>10</v>
      </c>
      <c r="E3531">
        <v>80</v>
      </c>
      <c r="F3531">
        <v>32</v>
      </c>
      <c r="G3531">
        <v>8.5202730059946692</v>
      </c>
    </row>
    <row r="3532" spans="1:7" x14ac:dyDescent="0.3">
      <c r="A3532" t="str">
        <f>IF(ISBLANK(B3532),"",IF(ROUND(B3532,0)=ROUND(G3532,0),"Pass","Fail"))</f>
        <v>Pass</v>
      </c>
      <c r="B3532">
        <f t="shared" si="157"/>
        <v>6.3797268867492676</v>
      </c>
      <c r="C3532">
        <v>40</v>
      </c>
      <c r="D3532">
        <v>10</v>
      </c>
      <c r="E3532">
        <v>80</v>
      </c>
      <c r="F3532">
        <v>40</v>
      </c>
      <c r="G3532">
        <v>6.3797267643271001</v>
      </c>
    </row>
    <row r="3533" spans="1:7" x14ac:dyDescent="0.3">
      <c r="A3533" t="str">
        <f>IF(ISBLANK(B3533),"",IF(ROUND(B3533,0)=ROUND(G3533,0),"Pass","Fail"))</f>
        <v>Pass</v>
      </c>
      <c r="B3533">
        <f t="shared" si="157"/>
        <v>5.3022079467773438</v>
      </c>
      <c r="C3533">
        <v>40</v>
      </c>
      <c r="D3533">
        <v>10</v>
      </c>
      <c r="E3533">
        <v>80</v>
      </c>
      <c r="F3533">
        <v>48</v>
      </c>
      <c r="G3533">
        <v>5.3022079008197203</v>
      </c>
    </row>
    <row r="3534" spans="1:7" x14ac:dyDescent="0.3">
      <c r="A3534" t="str">
        <f>IF(ISBLANK(B3534),"",IF(ROUND(B3534,0)=ROUND(G3534,0),"Pass","Fail"))</f>
        <v>Pass</v>
      </c>
      <c r="B3534">
        <f t="shared" si="157"/>
        <v>71.337997436523438</v>
      </c>
      <c r="C3534">
        <v>40</v>
      </c>
      <c r="D3534">
        <v>10</v>
      </c>
      <c r="E3534">
        <v>90</v>
      </c>
      <c r="F3534">
        <v>0</v>
      </c>
      <c r="G3534">
        <v>71.337999999999994</v>
      </c>
    </row>
    <row r="3535" spans="1:7" x14ac:dyDescent="0.3">
      <c r="A3535" t="str">
        <f>IF(ISBLANK(B3535),"",IF(ROUND(B3535,0)=ROUND(G3535,0),"Pass","Fail"))</f>
        <v>Pass</v>
      </c>
      <c r="B3535">
        <f t="shared" si="157"/>
        <v>38.001228332519531</v>
      </c>
      <c r="C3535">
        <v>40</v>
      </c>
      <c r="D3535">
        <v>10</v>
      </c>
      <c r="E3535">
        <v>90</v>
      </c>
      <c r="F3535">
        <v>8</v>
      </c>
      <c r="G3535">
        <v>38.001228080723003</v>
      </c>
    </row>
    <row r="3536" spans="1:7" x14ac:dyDescent="0.3">
      <c r="A3536" t="str">
        <f>IF(ISBLANK(B3536),"",IF(ROUND(B3536,0)=ROUND(G3536,0),"Pass","Fail"))</f>
        <v>Pass</v>
      </c>
      <c r="B3536">
        <f t="shared" si="157"/>
        <v>21.219997406005859</v>
      </c>
      <c r="C3536">
        <v>40</v>
      </c>
      <c r="D3536">
        <v>10</v>
      </c>
      <c r="E3536">
        <v>90</v>
      </c>
      <c r="F3536">
        <v>16</v>
      </c>
      <c r="G3536">
        <v>21.219997247101698</v>
      </c>
    </row>
    <row r="3537" spans="1:7" x14ac:dyDescent="0.3">
      <c r="A3537" t="str">
        <f>IF(ISBLANK(B3537),"",IF(ROUND(B3537,0)=ROUND(G3537,0),"Pass","Fail"))</f>
        <v>Pass</v>
      </c>
      <c r="B3537">
        <f t="shared" si="157"/>
        <v>12.772577285766602</v>
      </c>
      <c r="C3537">
        <v>40</v>
      </c>
      <c r="D3537">
        <v>10</v>
      </c>
      <c r="E3537">
        <v>90</v>
      </c>
      <c r="F3537">
        <v>24</v>
      </c>
      <c r="G3537">
        <v>12.772577413736199</v>
      </c>
    </row>
    <row r="3538" spans="1:7" x14ac:dyDescent="0.3">
      <c r="A3538" t="str">
        <f>IF(ISBLANK(B3538),"",IF(ROUND(B3538,0)=ROUND(G3538,0),"Pass","Fail"))</f>
        <v>Pass</v>
      </c>
      <c r="B3538">
        <f t="shared" si="157"/>
        <v>8.5202732086181641</v>
      </c>
      <c r="C3538">
        <v>40</v>
      </c>
      <c r="D3538">
        <v>10</v>
      </c>
      <c r="E3538">
        <v>90</v>
      </c>
      <c r="F3538">
        <v>32</v>
      </c>
      <c r="G3538">
        <v>8.5202730059946692</v>
      </c>
    </row>
    <row r="3539" spans="1:7" x14ac:dyDescent="0.3">
      <c r="A3539" t="str">
        <f>IF(ISBLANK(B3539),"",IF(ROUND(B3539,0)=ROUND(G3539,0),"Pass","Fail"))</f>
        <v>Pass</v>
      </c>
      <c r="B3539">
        <f t="shared" si="157"/>
        <v>6.3797268867492676</v>
      </c>
      <c r="C3539">
        <v>40</v>
      </c>
      <c r="D3539">
        <v>10</v>
      </c>
      <c r="E3539">
        <v>90</v>
      </c>
      <c r="F3539">
        <v>40</v>
      </c>
      <c r="G3539">
        <v>6.3797267643271001</v>
      </c>
    </row>
    <row r="3540" spans="1:7" x14ac:dyDescent="0.3">
      <c r="A3540" t="str">
        <f>IF(ISBLANK(B3540),"",IF(ROUND(B3540,0)=ROUND(G3540,0),"Pass","Fail"))</f>
        <v>Pass</v>
      </c>
      <c r="B3540">
        <f t="shared" si="157"/>
        <v>5.3022079467773438</v>
      </c>
      <c r="C3540">
        <v>40</v>
      </c>
      <c r="D3540">
        <v>10</v>
      </c>
      <c r="E3540">
        <v>90</v>
      </c>
      <c r="F3540">
        <v>48</v>
      </c>
      <c r="G3540">
        <v>5.3022079008197203</v>
      </c>
    </row>
    <row r="3541" spans="1:7" x14ac:dyDescent="0.3">
      <c r="A3541" t="str">
        <f>IF(ISBLANK(B3541),"",IF(ROUND(B3541,0)=ROUND(G3541,0),"Pass","Fail"))</f>
        <v>Pass</v>
      </c>
      <c r="B3541">
        <f t="shared" si="157"/>
        <v>71.337997436523438</v>
      </c>
      <c r="C3541">
        <v>40</v>
      </c>
      <c r="D3541">
        <v>10</v>
      </c>
      <c r="E3541">
        <v>100</v>
      </c>
      <c r="F3541">
        <v>0</v>
      </c>
      <c r="G3541">
        <v>71.337999999999994</v>
      </c>
    </row>
    <row r="3542" spans="1:7" x14ac:dyDescent="0.3">
      <c r="A3542" t="str">
        <f>IF(ISBLANK(B3542),"",IF(ROUND(B3542,0)=ROUND(G3542,0),"Pass","Fail"))</f>
        <v>Pass</v>
      </c>
      <c r="B3542">
        <f t="shared" si="157"/>
        <v>38.001228332519531</v>
      </c>
      <c r="C3542">
        <v>40</v>
      </c>
      <c r="D3542">
        <v>10</v>
      </c>
      <c r="E3542">
        <v>100</v>
      </c>
      <c r="F3542">
        <v>8</v>
      </c>
      <c r="G3542">
        <v>38.001228080723003</v>
      </c>
    </row>
    <row r="3543" spans="1:7" x14ac:dyDescent="0.3">
      <c r="A3543" t="str">
        <f>IF(ISBLANK(B3543),"",IF(ROUND(B3543,0)=ROUND(G3543,0),"Pass","Fail"))</f>
        <v>Pass</v>
      </c>
      <c r="B3543">
        <f t="shared" si="157"/>
        <v>21.219997406005859</v>
      </c>
      <c r="C3543">
        <v>40</v>
      </c>
      <c r="D3543">
        <v>10</v>
      </c>
      <c r="E3543">
        <v>100</v>
      </c>
      <c r="F3543">
        <v>16</v>
      </c>
      <c r="G3543">
        <v>21.219997247101698</v>
      </c>
    </row>
    <row r="3544" spans="1:7" x14ac:dyDescent="0.3">
      <c r="A3544" t="str">
        <f>IF(ISBLANK(B3544),"",IF(ROUND(B3544,0)=ROUND(G3544,0),"Pass","Fail"))</f>
        <v>Pass</v>
      </c>
      <c r="B3544">
        <f t="shared" si="157"/>
        <v>12.772577285766602</v>
      </c>
      <c r="C3544">
        <v>40</v>
      </c>
      <c r="D3544">
        <v>10</v>
      </c>
      <c r="E3544">
        <v>100</v>
      </c>
      <c r="F3544">
        <v>24</v>
      </c>
      <c r="G3544">
        <v>12.772577413736199</v>
      </c>
    </row>
    <row r="3545" spans="1:7" x14ac:dyDescent="0.3">
      <c r="A3545" t="str">
        <f>IF(ISBLANK(B3545),"",IF(ROUND(B3545,0)=ROUND(G3545,0),"Pass","Fail"))</f>
        <v>Pass</v>
      </c>
      <c r="B3545">
        <f t="shared" si="157"/>
        <v>8.5202732086181641</v>
      </c>
      <c r="C3545">
        <v>40</v>
      </c>
      <c r="D3545">
        <v>10</v>
      </c>
      <c r="E3545">
        <v>100</v>
      </c>
      <c r="F3545">
        <v>32</v>
      </c>
      <c r="G3545">
        <v>8.5202730059946692</v>
      </c>
    </row>
    <row r="3546" spans="1:7" x14ac:dyDescent="0.3">
      <c r="A3546" t="str">
        <f>IF(ISBLANK(B3546),"",IF(ROUND(B3546,0)=ROUND(G3546,0),"Pass","Fail"))</f>
        <v>Pass</v>
      </c>
      <c r="B3546">
        <f t="shared" si="157"/>
        <v>6.3797268867492676</v>
      </c>
      <c r="C3546">
        <v>40</v>
      </c>
      <c r="D3546">
        <v>10</v>
      </c>
      <c r="E3546">
        <v>100</v>
      </c>
      <c r="F3546">
        <v>40</v>
      </c>
      <c r="G3546">
        <v>6.3797267643271001</v>
      </c>
    </row>
    <row r="3547" spans="1:7" x14ac:dyDescent="0.3">
      <c r="A3547" t="str">
        <f>IF(ISBLANK(B3547),"",IF(ROUND(B3547,0)=ROUND(G3547,0),"Pass","Fail"))</f>
        <v>Pass</v>
      </c>
      <c r="B3547">
        <f t="shared" si="157"/>
        <v>5.3022079467773438</v>
      </c>
      <c r="C3547">
        <v>40</v>
      </c>
      <c r="D3547">
        <v>10</v>
      </c>
      <c r="E3547">
        <v>100</v>
      </c>
      <c r="F3547">
        <v>48</v>
      </c>
      <c r="G3547">
        <v>5.3022079008197203</v>
      </c>
    </row>
    <row r="3548" spans="1:7" x14ac:dyDescent="0.3">
      <c r="A3548" t="str">
        <f>IF(ISBLANK(B3548),"",IF(ROUND(B3548,0)=ROUND(G3548,0),"Pass","Fail"))</f>
        <v>Pass</v>
      </c>
      <c r="B3548">
        <f t="shared" si="157"/>
        <v>5.5500001907348633</v>
      </c>
      <c r="C3548">
        <v>40</v>
      </c>
      <c r="D3548">
        <v>20</v>
      </c>
      <c r="E3548">
        <v>0</v>
      </c>
      <c r="F3548">
        <v>0</v>
      </c>
      <c r="G3548">
        <v>5.55</v>
      </c>
    </row>
    <row r="3549" spans="1:7" x14ac:dyDescent="0.3">
      <c r="A3549" t="str">
        <f>IF(ISBLANK(B3549),"",IF(ROUND(B3549,0)=ROUND(G3549,0),"Pass","Fail"))</f>
        <v>Pass</v>
      </c>
      <c r="B3549">
        <f t="shared" si="157"/>
        <v>5.5500001907348633</v>
      </c>
      <c r="C3549">
        <v>40</v>
      </c>
      <c r="D3549">
        <v>20</v>
      </c>
      <c r="E3549">
        <v>0</v>
      </c>
      <c r="F3549">
        <v>8</v>
      </c>
      <c r="G3549">
        <v>5.55</v>
      </c>
    </row>
    <row r="3550" spans="1:7" x14ac:dyDescent="0.3">
      <c r="A3550" t="str">
        <f>IF(ISBLANK(B3550),"",IF(ROUND(B3550,0)=ROUND(G3550,0),"Pass","Fail"))</f>
        <v>Pass</v>
      </c>
      <c r="B3550">
        <f t="shared" si="157"/>
        <v>5.5500001907348633</v>
      </c>
      <c r="C3550">
        <v>40</v>
      </c>
      <c r="D3550">
        <v>20</v>
      </c>
      <c r="E3550">
        <v>0</v>
      </c>
      <c r="F3550">
        <v>16</v>
      </c>
      <c r="G3550">
        <v>5.55</v>
      </c>
    </row>
    <row r="3551" spans="1:7" x14ac:dyDescent="0.3">
      <c r="A3551" t="str">
        <f>IF(ISBLANK(B3551),"",IF(ROUND(B3551,0)=ROUND(G3551,0),"Pass","Fail"))</f>
        <v>Pass</v>
      </c>
      <c r="B3551">
        <f t="shared" si="157"/>
        <v>5.5500001907348633</v>
      </c>
      <c r="C3551">
        <v>40</v>
      </c>
      <c r="D3551">
        <v>20</v>
      </c>
      <c r="E3551">
        <v>0</v>
      </c>
      <c r="F3551">
        <v>24</v>
      </c>
      <c r="G3551">
        <v>5.55</v>
      </c>
    </row>
    <row r="3552" spans="1:7" x14ac:dyDescent="0.3">
      <c r="A3552" t="str">
        <f>IF(ISBLANK(B3552),"",IF(ROUND(B3552,0)=ROUND(G3552,0),"Pass","Fail"))</f>
        <v>Pass</v>
      </c>
      <c r="B3552">
        <f t="shared" si="157"/>
        <v>5.5500001907348633</v>
      </c>
      <c r="C3552">
        <v>40</v>
      </c>
      <c r="D3552">
        <v>20</v>
      </c>
      <c r="E3552">
        <v>0</v>
      </c>
      <c r="F3552">
        <v>32</v>
      </c>
      <c r="G3552">
        <v>5.55</v>
      </c>
    </row>
    <row r="3553" spans="1:7" x14ac:dyDescent="0.3">
      <c r="A3553" t="str">
        <f>IF(ISBLANK(B3553),"",IF(ROUND(B3553,0)=ROUND(G3553,0),"Pass","Fail"))</f>
        <v>Pass</v>
      </c>
      <c r="B3553">
        <f t="shared" si="157"/>
        <v>5.5500001907348633</v>
      </c>
      <c r="C3553">
        <v>40</v>
      </c>
      <c r="D3553">
        <v>20</v>
      </c>
      <c r="E3553">
        <v>0</v>
      </c>
      <c r="F3553">
        <v>40</v>
      </c>
      <c r="G3553">
        <v>5.55</v>
      </c>
    </row>
    <row r="3554" spans="1:7" x14ac:dyDescent="0.3">
      <c r="A3554" t="str">
        <f>IF(ISBLANK(B3554),"",IF(ROUND(B3554,0)=ROUND(G3554,0),"Pass","Fail"))</f>
        <v>Pass</v>
      </c>
      <c r="B3554">
        <f t="shared" si="157"/>
        <v>5.5500001907348633</v>
      </c>
      <c r="C3554">
        <v>40</v>
      </c>
      <c r="D3554">
        <v>20</v>
      </c>
      <c r="E3554">
        <v>0</v>
      </c>
      <c r="F3554">
        <v>48</v>
      </c>
      <c r="G3554">
        <v>5.55</v>
      </c>
    </row>
    <row r="3555" spans="1:7" x14ac:dyDescent="0.3">
      <c r="A3555" t="str">
        <f>IF(ISBLANK(B3555),"",IF(ROUND(B3555,0)=ROUND(G3555,0),"Pass","Fail"))</f>
        <v>Pass</v>
      </c>
      <c r="B3555">
        <f t="shared" si="157"/>
        <v>72.678001403808594</v>
      </c>
      <c r="C3555">
        <v>40</v>
      </c>
      <c r="D3555">
        <v>20</v>
      </c>
      <c r="E3555">
        <v>10</v>
      </c>
      <c r="F3555">
        <v>0</v>
      </c>
      <c r="G3555">
        <v>72.677999999998306</v>
      </c>
    </row>
    <row r="3556" spans="1:7" x14ac:dyDescent="0.3">
      <c r="A3556" t="str">
        <f>IF(ISBLANK(B3556),"",IF(ROUND(B3556,0)=ROUND(G3556,0),"Pass","Fail"))</f>
        <v>Pass</v>
      </c>
      <c r="B3556">
        <f t="shared" si="157"/>
        <v>39.341228485107422</v>
      </c>
      <c r="C3556">
        <v>40</v>
      </c>
      <c r="D3556">
        <v>20</v>
      </c>
      <c r="E3556">
        <v>10</v>
      </c>
      <c r="F3556">
        <v>8</v>
      </c>
      <c r="G3556">
        <v>39.341228080722203</v>
      </c>
    </row>
    <row r="3557" spans="1:7" x14ac:dyDescent="0.3">
      <c r="A3557" t="str">
        <f>IF(ISBLANK(B3557),"",IF(ROUND(B3557,0)=ROUND(G3557,0),"Pass","Fail"))</f>
        <v>Pass</v>
      </c>
      <c r="B3557">
        <f t="shared" si="157"/>
        <v>22.55999755859375</v>
      </c>
      <c r="C3557">
        <v>40</v>
      </c>
      <c r="D3557">
        <v>20</v>
      </c>
      <c r="E3557">
        <v>10</v>
      </c>
      <c r="F3557">
        <v>16</v>
      </c>
      <c r="G3557">
        <v>22.5599972471013</v>
      </c>
    </row>
    <row r="3558" spans="1:7" x14ac:dyDescent="0.3">
      <c r="A3558" t="str">
        <f>IF(ISBLANK(B3558),"",IF(ROUND(B3558,0)=ROUND(G3558,0),"Pass","Fail"))</f>
        <v>Pass</v>
      </c>
      <c r="B3558">
        <f t="shared" si="157"/>
        <v>14.112577438354492</v>
      </c>
      <c r="C3558">
        <v>40</v>
      </c>
      <c r="D3558">
        <v>20</v>
      </c>
      <c r="E3558">
        <v>10</v>
      </c>
      <c r="F3558">
        <v>24</v>
      </c>
      <c r="G3558">
        <v>14.112577413736</v>
      </c>
    </row>
    <row r="3559" spans="1:7" x14ac:dyDescent="0.3">
      <c r="A3559" t="str">
        <f>IF(ISBLANK(B3559),"",IF(ROUND(B3559,0)=ROUND(G3559,0),"Pass","Fail"))</f>
        <v>Pass</v>
      </c>
      <c r="B3559">
        <f t="shared" si="157"/>
        <v>9.8602733612060547</v>
      </c>
      <c r="C3559">
        <v>40</v>
      </c>
      <c r="D3559">
        <v>20</v>
      </c>
      <c r="E3559">
        <v>10</v>
      </c>
      <c r="F3559">
        <v>32</v>
      </c>
      <c r="G3559">
        <v>9.8602730059945607</v>
      </c>
    </row>
    <row r="3560" spans="1:7" x14ac:dyDescent="0.3">
      <c r="A3560" t="str">
        <f>IF(ISBLANK(B3560),"",IF(ROUND(B3560,0)=ROUND(G3560,0),"Pass","Fail"))</f>
        <v>Pass</v>
      </c>
      <c r="B3560">
        <f t="shared" si="157"/>
        <v>7.7197270393371582</v>
      </c>
      <c r="C3560">
        <v>40</v>
      </c>
      <c r="D3560">
        <v>20</v>
      </c>
      <c r="E3560">
        <v>10</v>
      </c>
      <c r="F3560">
        <v>40</v>
      </c>
      <c r="G3560">
        <v>7.7197267643270502</v>
      </c>
    </row>
    <row r="3561" spans="1:7" x14ac:dyDescent="0.3">
      <c r="A3561" t="str">
        <f>IF(ISBLANK(B3561),"",IF(ROUND(B3561,0)=ROUND(G3561,0),"Pass","Fail"))</f>
        <v>Pass</v>
      </c>
      <c r="B3561">
        <f t="shared" si="157"/>
        <v>6.6422080993652344</v>
      </c>
      <c r="C3561">
        <v>40</v>
      </c>
      <c r="D3561">
        <v>20</v>
      </c>
      <c r="E3561">
        <v>10</v>
      </c>
      <c r="F3561">
        <v>48</v>
      </c>
      <c r="G3561">
        <v>6.6422079008196899</v>
      </c>
    </row>
    <row r="3562" spans="1:7" x14ac:dyDescent="0.3">
      <c r="A3562" t="str">
        <f>IF(ISBLANK(B3562),"",IF(ROUND(B3562,0)=ROUND(G3562,0),"Pass","Fail"))</f>
        <v>Pass</v>
      </c>
      <c r="B3562">
        <f t="shared" si="157"/>
        <v>72.678001403808594</v>
      </c>
      <c r="C3562">
        <v>40</v>
      </c>
      <c r="D3562">
        <v>20</v>
      </c>
      <c r="E3562">
        <v>20</v>
      </c>
      <c r="F3562">
        <v>0</v>
      </c>
      <c r="G3562">
        <v>72.677999999999997</v>
      </c>
    </row>
    <row r="3563" spans="1:7" x14ac:dyDescent="0.3">
      <c r="A3563" t="str">
        <f>IF(ISBLANK(B3563),"",IF(ROUND(B3563,0)=ROUND(G3563,0),"Pass","Fail"))</f>
        <v>Pass</v>
      </c>
      <c r="B3563">
        <f t="shared" si="157"/>
        <v>39.341228485107422</v>
      </c>
      <c r="C3563">
        <v>40</v>
      </c>
      <c r="D3563">
        <v>20</v>
      </c>
      <c r="E3563">
        <v>20</v>
      </c>
      <c r="F3563">
        <v>8</v>
      </c>
      <c r="G3563">
        <v>39.341228080722999</v>
      </c>
    </row>
    <row r="3564" spans="1:7" x14ac:dyDescent="0.3">
      <c r="A3564" t="str">
        <f>IF(ISBLANK(B3564),"",IF(ROUND(B3564,0)=ROUND(G3564,0),"Pass","Fail"))</f>
        <v>Pass</v>
      </c>
      <c r="B3564">
        <f t="shared" si="157"/>
        <v>22.55999755859375</v>
      </c>
      <c r="C3564">
        <v>40</v>
      </c>
      <c r="D3564">
        <v>20</v>
      </c>
      <c r="E3564">
        <v>20</v>
      </c>
      <c r="F3564">
        <v>16</v>
      </c>
      <c r="G3564">
        <v>22.559997247101698</v>
      </c>
    </row>
    <row r="3565" spans="1:7" x14ac:dyDescent="0.3">
      <c r="A3565" t="str">
        <f>IF(ISBLANK(B3565),"",IF(ROUND(B3565,0)=ROUND(G3565,0),"Pass","Fail"))</f>
        <v>Pass</v>
      </c>
      <c r="B3565">
        <f t="shared" si="157"/>
        <v>14.112577438354492</v>
      </c>
      <c r="C3565">
        <v>40</v>
      </c>
      <c r="D3565">
        <v>20</v>
      </c>
      <c r="E3565">
        <v>20</v>
      </c>
      <c r="F3565">
        <v>24</v>
      </c>
      <c r="G3565">
        <v>14.112577413736201</v>
      </c>
    </row>
    <row r="3566" spans="1:7" x14ac:dyDescent="0.3">
      <c r="A3566" t="str">
        <f>IF(ISBLANK(B3566),"",IF(ROUND(B3566,0)=ROUND(G3566,0),"Pass","Fail"))</f>
        <v>Pass</v>
      </c>
      <c r="B3566">
        <f t="shared" si="157"/>
        <v>9.8602733612060547</v>
      </c>
      <c r="C3566">
        <v>40</v>
      </c>
      <c r="D3566">
        <v>20</v>
      </c>
      <c r="E3566">
        <v>20</v>
      </c>
      <c r="F3566">
        <v>32</v>
      </c>
      <c r="G3566">
        <v>9.8602730059946708</v>
      </c>
    </row>
    <row r="3567" spans="1:7" x14ac:dyDescent="0.3">
      <c r="A3567" t="str">
        <f>IF(ISBLANK(B3567),"",IF(ROUND(B3567,0)=ROUND(G3567,0),"Pass","Fail"))</f>
        <v>Pass</v>
      </c>
      <c r="B3567">
        <f t="shared" si="157"/>
        <v>7.7197270393371582</v>
      </c>
      <c r="C3567">
        <v>40</v>
      </c>
      <c r="D3567">
        <v>20</v>
      </c>
      <c r="E3567">
        <v>20</v>
      </c>
      <c r="F3567">
        <v>40</v>
      </c>
      <c r="G3567">
        <v>7.7197267643270999</v>
      </c>
    </row>
    <row r="3568" spans="1:7" x14ac:dyDescent="0.3">
      <c r="A3568" t="str">
        <f>IF(ISBLANK(B3568),"",IF(ROUND(B3568,0)=ROUND(G3568,0),"Pass","Fail"))</f>
        <v>Pass</v>
      </c>
      <c r="B3568">
        <f t="shared" si="157"/>
        <v>6.6422080993652344</v>
      </c>
      <c r="C3568">
        <v>40</v>
      </c>
      <c r="D3568">
        <v>20</v>
      </c>
      <c r="E3568">
        <v>20</v>
      </c>
      <c r="F3568">
        <v>48</v>
      </c>
      <c r="G3568">
        <v>6.6422079008197201</v>
      </c>
    </row>
    <row r="3569" spans="1:7" x14ac:dyDescent="0.3">
      <c r="A3569" t="str">
        <f>IF(ISBLANK(B3569),"",IF(ROUND(B3569,0)=ROUND(G3569,0),"Pass","Fail"))</f>
        <v>Pass</v>
      </c>
      <c r="B3569">
        <f t="shared" si="157"/>
        <v>72.678001403808594</v>
      </c>
      <c r="C3569">
        <v>40</v>
      </c>
      <c r="D3569">
        <v>20</v>
      </c>
      <c r="E3569">
        <v>30</v>
      </c>
      <c r="F3569">
        <v>0</v>
      </c>
      <c r="G3569">
        <v>72.677999999999997</v>
      </c>
    </row>
    <row r="3570" spans="1:7" x14ac:dyDescent="0.3">
      <c r="A3570" t="str">
        <f>IF(ISBLANK(B3570),"",IF(ROUND(B3570,0)=ROUND(G3570,0),"Pass","Fail"))</f>
        <v>Pass</v>
      </c>
      <c r="B3570">
        <f t="shared" si="157"/>
        <v>39.341228485107422</v>
      </c>
      <c r="C3570">
        <v>40</v>
      </c>
      <c r="D3570">
        <v>20</v>
      </c>
      <c r="E3570">
        <v>30</v>
      </c>
      <c r="F3570">
        <v>8</v>
      </c>
      <c r="G3570">
        <v>39.341228080722999</v>
      </c>
    </row>
    <row r="3571" spans="1:7" x14ac:dyDescent="0.3">
      <c r="A3571" t="str">
        <f>IF(ISBLANK(B3571),"",IF(ROUND(B3571,0)=ROUND(G3571,0),"Pass","Fail"))</f>
        <v>Pass</v>
      </c>
      <c r="B3571">
        <f t="shared" si="157"/>
        <v>22.55999755859375</v>
      </c>
      <c r="C3571">
        <v>40</v>
      </c>
      <c r="D3571">
        <v>20</v>
      </c>
      <c r="E3571">
        <v>30</v>
      </c>
      <c r="F3571">
        <v>16</v>
      </c>
      <c r="G3571">
        <v>22.559997247101698</v>
      </c>
    </row>
    <row r="3572" spans="1:7" x14ac:dyDescent="0.3">
      <c r="A3572" t="str">
        <f>IF(ISBLANK(B3572),"",IF(ROUND(B3572,0)=ROUND(G3572,0),"Pass","Fail"))</f>
        <v>Pass</v>
      </c>
      <c r="B3572">
        <f t="shared" si="157"/>
        <v>14.112577438354492</v>
      </c>
      <c r="C3572">
        <v>40</v>
      </c>
      <c r="D3572">
        <v>20</v>
      </c>
      <c r="E3572">
        <v>30</v>
      </c>
      <c r="F3572">
        <v>24</v>
      </c>
      <c r="G3572">
        <v>14.112577413736201</v>
      </c>
    </row>
    <row r="3573" spans="1:7" x14ac:dyDescent="0.3">
      <c r="A3573" t="str">
        <f>IF(ISBLANK(B3573),"",IF(ROUND(B3573,0)=ROUND(G3573,0),"Pass","Fail"))</f>
        <v>Pass</v>
      </c>
      <c r="B3573">
        <f t="shared" si="157"/>
        <v>9.8602733612060547</v>
      </c>
      <c r="C3573">
        <v>40</v>
      </c>
      <c r="D3573">
        <v>20</v>
      </c>
      <c r="E3573">
        <v>30</v>
      </c>
      <c r="F3573">
        <v>32</v>
      </c>
      <c r="G3573">
        <v>9.8602730059946708</v>
      </c>
    </row>
    <row r="3574" spans="1:7" x14ac:dyDescent="0.3">
      <c r="A3574" t="str">
        <f>IF(ISBLANK(B3574),"",IF(ROUND(B3574,0)=ROUND(G3574,0),"Pass","Fail"))</f>
        <v>Pass</v>
      </c>
      <c r="B3574">
        <f t="shared" si="157"/>
        <v>7.7197270393371582</v>
      </c>
      <c r="C3574">
        <v>40</v>
      </c>
      <c r="D3574">
        <v>20</v>
      </c>
      <c r="E3574">
        <v>30</v>
      </c>
      <c r="F3574">
        <v>40</v>
      </c>
      <c r="G3574">
        <v>7.7197267643270999</v>
      </c>
    </row>
    <row r="3575" spans="1:7" x14ac:dyDescent="0.3">
      <c r="A3575" t="str">
        <f>IF(ISBLANK(B3575),"",IF(ROUND(B3575,0)=ROUND(G3575,0),"Pass","Fail"))</f>
        <v>Pass</v>
      </c>
      <c r="B3575">
        <f t="shared" si="157"/>
        <v>6.6422080993652344</v>
      </c>
      <c r="C3575">
        <v>40</v>
      </c>
      <c r="D3575">
        <v>20</v>
      </c>
      <c r="E3575">
        <v>30</v>
      </c>
      <c r="F3575">
        <v>48</v>
      </c>
      <c r="G3575">
        <v>6.6422079008197201</v>
      </c>
    </row>
    <row r="3576" spans="1:7" x14ac:dyDescent="0.3">
      <c r="A3576" t="str">
        <f>IF(ISBLANK(B3576),"",IF(ROUND(B3576,0)=ROUND(G3576,0),"Pass","Fail"))</f>
        <v>Pass</v>
      </c>
      <c r="B3576">
        <f t="shared" si="157"/>
        <v>72.678001403808594</v>
      </c>
      <c r="C3576">
        <v>40</v>
      </c>
      <c r="D3576">
        <v>20</v>
      </c>
      <c r="E3576">
        <v>40</v>
      </c>
      <c r="F3576">
        <v>0</v>
      </c>
      <c r="G3576">
        <v>72.677999999999997</v>
      </c>
    </row>
    <row r="3577" spans="1:7" x14ac:dyDescent="0.3">
      <c r="A3577" t="str">
        <f>IF(ISBLANK(B3577),"",IF(ROUND(B3577,0)=ROUND(G3577,0),"Pass","Fail"))</f>
        <v>Pass</v>
      </c>
      <c r="B3577">
        <f t="shared" si="157"/>
        <v>39.341228485107422</v>
      </c>
      <c r="C3577">
        <v>40</v>
      </c>
      <c r="D3577">
        <v>20</v>
      </c>
      <c r="E3577">
        <v>40</v>
      </c>
      <c r="F3577">
        <v>8</v>
      </c>
      <c r="G3577">
        <v>39.341228080722999</v>
      </c>
    </row>
    <row r="3578" spans="1:7" x14ac:dyDescent="0.3">
      <c r="A3578" t="str">
        <f>IF(ISBLANK(B3578),"",IF(ROUND(B3578,0)=ROUND(G3578,0),"Pass","Fail"))</f>
        <v>Pass</v>
      </c>
      <c r="B3578">
        <f t="shared" si="157"/>
        <v>22.55999755859375</v>
      </c>
      <c r="C3578">
        <v>40</v>
      </c>
      <c r="D3578">
        <v>20</v>
      </c>
      <c r="E3578">
        <v>40</v>
      </c>
      <c r="F3578">
        <v>16</v>
      </c>
      <c r="G3578">
        <v>22.559997247101698</v>
      </c>
    </row>
    <row r="3579" spans="1:7" x14ac:dyDescent="0.3">
      <c r="A3579" t="str">
        <f>IF(ISBLANK(B3579),"",IF(ROUND(B3579,0)=ROUND(G3579,0),"Pass","Fail"))</f>
        <v>Pass</v>
      </c>
      <c r="B3579">
        <f t="shared" si="157"/>
        <v>14.112577438354492</v>
      </c>
      <c r="C3579">
        <v>40</v>
      </c>
      <c r="D3579">
        <v>20</v>
      </c>
      <c r="E3579">
        <v>40</v>
      </c>
      <c r="F3579">
        <v>24</v>
      </c>
      <c r="G3579">
        <v>14.112577413736201</v>
      </c>
    </row>
    <row r="3580" spans="1:7" x14ac:dyDescent="0.3">
      <c r="A3580" t="str">
        <f>IF(ISBLANK(B3580),"",IF(ROUND(B3580,0)=ROUND(G3580,0),"Pass","Fail"))</f>
        <v>Pass</v>
      </c>
      <c r="B3580">
        <f t="shared" si="157"/>
        <v>9.8602733612060547</v>
      </c>
      <c r="C3580">
        <v>40</v>
      </c>
      <c r="D3580">
        <v>20</v>
      </c>
      <c r="E3580">
        <v>40</v>
      </c>
      <c r="F3580">
        <v>32</v>
      </c>
      <c r="G3580">
        <v>9.8602730059946708</v>
      </c>
    </row>
    <row r="3581" spans="1:7" x14ac:dyDescent="0.3">
      <c r="A3581" t="str">
        <f>IF(ISBLANK(B3581),"",IF(ROUND(B3581,0)=ROUND(G3581,0),"Pass","Fail"))</f>
        <v>Pass</v>
      </c>
      <c r="B3581">
        <f t="shared" si="157"/>
        <v>7.7197270393371582</v>
      </c>
      <c r="C3581">
        <v>40</v>
      </c>
      <c r="D3581">
        <v>20</v>
      </c>
      <c r="E3581">
        <v>40</v>
      </c>
      <c r="F3581">
        <v>40</v>
      </c>
      <c r="G3581">
        <v>7.7197267643270999</v>
      </c>
    </row>
    <row r="3582" spans="1:7" x14ac:dyDescent="0.3">
      <c r="A3582" t="str">
        <f>IF(ISBLANK(B3582),"",IF(ROUND(B3582,0)=ROUND(G3582,0),"Pass","Fail"))</f>
        <v>Pass</v>
      </c>
      <c r="B3582">
        <f t="shared" si="157"/>
        <v>6.6422080993652344</v>
      </c>
      <c r="C3582">
        <v>40</v>
      </c>
      <c r="D3582">
        <v>20</v>
      </c>
      <c r="E3582">
        <v>40</v>
      </c>
      <c r="F3582">
        <v>48</v>
      </c>
      <c r="G3582">
        <v>6.6422079008197201</v>
      </c>
    </row>
    <row r="3583" spans="1:7" x14ac:dyDescent="0.3">
      <c r="A3583" t="str">
        <f>IF(ISBLANK(B3583),"",IF(ROUND(B3583,0)=ROUND(G3583,0),"Pass","Fail"))</f>
        <v>Pass</v>
      </c>
      <c r="B3583">
        <f t="shared" si="157"/>
        <v>72.678001403808594</v>
      </c>
      <c r="C3583">
        <v>40</v>
      </c>
      <c r="D3583">
        <v>20</v>
      </c>
      <c r="E3583">
        <v>50</v>
      </c>
      <c r="F3583">
        <v>0</v>
      </c>
      <c r="G3583">
        <v>72.677999999999997</v>
      </c>
    </row>
    <row r="3584" spans="1:7" x14ac:dyDescent="0.3">
      <c r="A3584" t="str">
        <f>IF(ISBLANK(B3584),"",IF(ROUND(B3584,0)=ROUND(G3584,0),"Pass","Fail"))</f>
        <v>Pass</v>
      </c>
      <c r="B3584">
        <f t="shared" si="157"/>
        <v>39.341228485107422</v>
      </c>
      <c r="C3584">
        <v>40</v>
      </c>
      <c r="D3584">
        <v>20</v>
      </c>
      <c r="E3584">
        <v>50</v>
      </c>
      <c r="F3584">
        <v>8</v>
      </c>
      <c r="G3584">
        <v>39.341228080722999</v>
      </c>
    </row>
    <row r="3585" spans="1:7" x14ac:dyDescent="0.3">
      <c r="A3585" t="str">
        <f>IF(ISBLANK(B3585),"",IF(ROUND(B3585,0)=ROUND(G3585,0),"Pass","Fail"))</f>
        <v>Pass</v>
      </c>
      <c r="B3585">
        <f t="shared" si="157"/>
        <v>22.55999755859375</v>
      </c>
      <c r="C3585">
        <v>40</v>
      </c>
      <c r="D3585">
        <v>20</v>
      </c>
      <c r="E3585">
        <v>50</v>
      </c>
      <c r="F3585">
        <v>16</v>
      </c>
      <c r="G3585">
        <v>22.559997247101698</v>
      </c>
    </row>
    <row r="3586" spans="1:7" x14ac:dyDescent="0.3">
      <c r="A3586" t="str">
        <f>IF(ISBLANK(B3586),"",IF(ROUND(B3586,0)=ROUND(G3586,0),"Pass","Fail"))</f>
        <v>Pass</v>
      </c>
      <c r="B3586">
        <f t="shared" si="157"/>
        <v>14.112577438354492</v>
      </c>
      <c r="C3586">
        <v>40</v>
      </c>
      <c r="D3586">
        <v>20</v>
      </c>
      <c r="E3586">
        <v>50</v>
      </c>
      <c r="F3586">
        <v>24</v>
      </c>
      <c r="G3586">
        <v>14.112577413736201</v>
      </c>
    </row>
    <row r="3587" spans="1:7" x14ac:dyDescent="0.3">
      <c r="A3587" t="str">
        <f>IF(ISBLANK(B3587),"",IF(ROUND(B3587,0)=ROUND(G3587,0),"Pass","Fail"))</f>
        <v>Pass</v>
      </c>
      <c r="B3587">
        <f t="shared" si="157"/>
        <v>9.8602733612060547</v>
      </c>
      <c r="C3587">
        <v>40</v>
      </c>
      <c r="D3587">
        <v>20</v>
      </c>
      <c r="E3587">
        <v>50</v>
      </c>
      <c r="F3587">
        <v>32</v>
      </c>
      <c r="G3587">
        <v>9.8602730059946708</v>
      </c>
    </row>
    <row r="3588" spans="1:7" x14ac:dyDescent="0.3">
      <c r="A3588" t="str">
        <f>IF(ISBLANK(B3588),"",IF(ROUND(B3588,0)=ROUND(G3588,0),"Pass","Fail"))</f>
        <v>Pass</v>
      </c>
      <c r="B3588">
        <f t="shared" si="157"/>
        <v>7.7197270393371582</v>
      </c>
      <c r="C3588">
        <v>40</v>
      </c>
      <c r="D3588">
        <v>20</v>
      </c>
      <c r="E3588">
        <v>50</v>
      </c>
      <c r="F3588">
        <v>40</v>
      </c>
      <c r="G3588">
        <v>7.7197267643270999</v>
      </c>
    </row>
    <row r="3589" spans="1:7" x14ac:dyDescent="0.3">
      <c r="A3589" t="str">
        <f>IF(ISBLANK(B3589),"",IF(ROUND(B3589,0)=ROUND(G3589,0),"Pass","Fail"))</f>
        <v>Pass</v>
      </c>
      <c r="B3589">
        <f t="shared" si="157"/>
        <v>6.6422080993652344</v>
      </c>
      <c r="C3589">
        <v>40</v>
      </c>
      <c r="D3589">
        <v>20</v>
      </c>
      <c r="E3589">
        <v>50</v>
      </c>
      <c r="F3589">
        <v>48</v>
      </c>
      <c r="G3589">
        <v>6.6422079008197201</v>
      </c>
    </row>
    <row r="3590" spans="1:7" x14ac:dyDescent="0.3">
      <c r="A3590" t="str">
        <f>IF(ISBLANK(B3590),"",IF(ROUND(B3590,0)=ROUND(G3590,0),"Pass","Fail"))</f>
        <v>Pass</v>
      </c>
      <c r="B3590">
        <f t="shared" si="157"/>
        <v>72.678001403808594</v>
      </c>
      <c r="C3590">
        <v>40</v>
      </c>
      <c r="D3590">
        <v>20</v>
      </c>
      <c r="E3590">
        <v>60</v>
      </c>
      <c r="F3590">
        <v>0</v>
      </c>
      <c r="G3590">
        <v>72.677999999999997</v>
      </c>
    </row>
    <row r="3591" spans="1:7" x14ac:dyDescent="0.3">
      <c r="A3591" t="str">
        <f>IF(ISBLANK(B3591),"",IF(ROUND(B3591,0)=ROUND(G3591,0),"Pass","Fail"))</f>
        <v>Pass</v>
      </c>
      <c r="B3591">
        <f t="shared" ref="B3591:B3654" si="158">FMC_heath(C3591,D3591,E3591,F3591)</f>
        <v>39.341228485107422</v>
      </c>
      <c r="C3591">
        <v>40</v>
      </c>
      <c r="D3591">
        <v>20</v>
      </c>
      <c r="E3591">
        <v>60</v>
      </c>
      <c r="F3591">
        <v>8</v>
      </c>
      <c r="G3591">
        <v>39.341228080722999</v>
      </c>
    </row>
    <row r="3592" spans="1:7" x14ac:dyDescent="0.3">
      <c r="A3592" t="str">
        <f>IF(ISBLANK(B3592),"",IF(ROUND(B3592,0)=ROUND(G3592,0),"Pass","Fail"))</f>
        <v>Pass</v>
      </c>
      <c r="B3592">
        <f t="shared" si="158"/>
        <v>22.55999755859375</v>
      </c>
      <c r="C3592">
        <v>40</v>
      </c>
      <c r="D3592">
        <v>20</v>
      </c>
      <c r="E3592">
        <v>60</v>
      </c>
      <c r="F3592">
        <v>16</v>
      </c>
      <c r="G3592">
        <v>22.559997247101698</v>
      </c>
    </row>
    <row r="3593" spans="1:7" x14ac:dyDescent="0.3">
      <c r="A3593" t="str">
        <f>IF(ISBLANK(B3593),"",IF(ROUND(B3593,0)=ROUND(G3593,0),"Pass","Fail"))</f>
        <v>Pass</v>
      </c>
      <c r="B3593">
        <f t="shared" si="158"/>
        <v>14.112577438354492</v>
      </c>
      <c r="C3593">
        <v>40</v>
      </c>
      <c r="D3593">
        <v>20</v>
      </c>
      <c r="E3593">
        <v>60</v>
      </c>
      <c r="F3593">
        <v>24</v>
      </c>
      <c r="G3593">
        <v>14.112577413736201</v>
      </c>
    </row>
    <row r="3594" spans="1:7" x14ac:dyDescent="0.3">
      <c r="A3594" t="str">
        <f>IF(ISBLANK(B3594),"",IF(ROUND(B3594,0)=ROUND(G3594,0),"Pass","Fail"))</f>
        <v>Pass</v>
      </c>
      <c r="B3594">
        <f t="shared" si="158"/>
        <v>9.8602733612060547</v>
      </c>
      <c r="C3594">
        <v>40</v>
      </c>
      <c r="D3594">
        <v>20</v>
      </c>
      <c r="E3594">
        <v>60</v>
      </c>
      <c r="F3594">
        <v>32</v>
      </c>
      <c r="G3594">
        <v>9.8602730059946708</v>
      </c>
    </row>
    <row r="3595" spans="1:7" x14ac:dyDescent="0.3">
      <c r="A3595" t="str">
        <f>IF(ISBLANK(B3595),"",IF(ROUND(B3595,0)=ROUND(G3595,0),"Pass","Fail"))</f>
        <v>Pass</v>
      </c>
      <c r="B3595">
        <f t="shared" si="158"/>
        <v>7.7197270393371582</v>
      </c>
      <c r="C3595">
        <v>40</v>
      </c>
      <c r="D3595">
        <v>20</v>
      </c>
      <c r="E3595">
        <v>60</v>
      </c>
      <c r="F3595">
        <v>40</v>
      </c>
      <c r="G3595">
        <v>7.7197267643270999</v>
      </c>
    </row>
    <row r="3596" spans="1:7" x14ac:dyDescent="0.3">
      <c r="A3596" t="str">
        <f>IF(ISBLANK(B3596),"",IF(ROUND(B3596,0)=ROUND(G3596,0),"Pass","Fail"))</f>
        <v>Pass</v>
      </c>
      <c r="B3596">
        <f t="shared" si="158"/>
        <v>6.6422080993652344</v>
      </c>
      <c r="C3596">
        <v>40</v>
      </c>
      <c r="D3596">
        <v>20</v>
      </c>
      <c r="E3596">
        <v>60</v>
      </c>
      <c r="F3596">
        <v>48</v>
      </c>
      <c r="G3596">
        <v>6.6422079008197201</v>
      </c>
    </row>
    <row r="3597" spans="1:7" x14ac:dyDescent="0.3">
      <c r="A3597" t="str">
        <f>IF(ISBLANK(B3597),"",IF(ROUND(B3597,0)=ROUND(G3597,0),"Pass","Fail"))</f>
        <v>Pass</v>
      </c>
      <c r="B3597">
        <f t="shared" si="158"/>
        <v>72.678001403808594</v>
      </c>
      <c r="C3597">
        <v>40</v>
      </c>
      <c r="D3597">
        <v>20</v>
      </c>
      <c r="E3597">
        <v>70</v>
      </c>
      <c r="F3597">
        <v>0</v>
      </c>
      <c r="G3597">
        <v>72.677999999999997</v>
      </c>
    </row>
    <row r="3598" spans="1:7" x14ac:dyDescent="0.3">
      <c r="A3598" t="str">
        <f>IF(ISBLANK(B3598),"",IF(ROUND(B3598,0)=ROUND(G3598,0),"Pass","Fail"))</f>
        <v>Pass</v>
      </c>
      <c r="B3598">
        <f t="shared" si="158"/>
        <v>39.341228485107422</v>
      </c>
      <c r="C3598">
        <v>40</v>
      </c>
      <c r="D3598">
        <v>20</v>
      </c>
      <c r="E3598">
        <v>70</v>
      </c>
      <c r="F3598">
        <v>8</v>
      </c>
      <c r="G3598">
        <v>39.341228080722999</v>
      </c>
    </row>
    <row r="3599" spans="1:7" x14ac:dyDescent="0.3">
      <c r="A3599" t="str">
        <f>IF(ISBLANK(B3599),"",IF(ROUND(B3599,0)=ROUND(G3599,0),"Pass","Fail"))</f>
        <v>Pass</v>
      </c>
      <c r="B3599">
        <f t="shared" si="158"/>
        <v>22.55999755859375</v>
      </c>
      <c r="C3599">
        <v>40</v>
      </c>
      <c r="D3599">
        <v>20</v>
      </c>
      <c r="E3599">
        <v>70</v>
      </c>
      <c r="F3599">
        <v>16</v>
      </c>
      <c r="G3599">
        <v>22.559997247101698</v>
      </c>
    </row>
    <row r="3600" spans="1:7" x14ac:dyDescent="0.3">
      <c r="A3600" t="str">
        <f>IF(ISBLANK(B3600),"",IF(ROUND(B3600,0)=ROUND(G3600,0),"Pass","Fail"))</f>
        <v>Pass</v>
      </c>
      <c r="B3600">
        <f t="shared" si="158"/>
        <v>14.112577438354492</v>
      </c>
      <c r="C3600">
        <v>40</v>
      </c>
      <c r="D3600">
        <v>20</v>
      </c>
      <c r="E3600">
        <v>70</v>
      </c>
      <c r="F3600">
        <v>24</v>
      </c>
      <c r="G3600">
        <v>14.112577413736201</v>
      </c>
    </row>
    <row r="3601" spans="1:7" x14ac:dyDescent="0.3">
      <c r="A3601" t="str">
        <f>IF(ISBLANK(B3601),"",IF(ROUND(B3601,0)=ROUND(G3601,0),"Pass","Fail"))</f>
        <v>Pass</v>
      </c>
      <c r="B3601">
        <f t="shared" si="158"/>
        <v>9.8602733612060547</v>
      </c>
      <c r="C3601">
        <v>40</v>
      </c>
      <c r="D3601">
        <v>20</v>
      </c>
      <c r="E3601">
        <v>70</v>
      </c>
      <c r="F3601">
        <v>32</v>
      </c>
      <c r="G3601">
        <v>9.8602730059946708</v>
      </c>
    </row>
    <row r="3602" spans="1:7" x14ac:dyDescent="0.3">
      <c r="A3602" t="str">
        <f>IF(ISBLANK(B3602),"",IF(ROUND(B3602,0)=ROUND(G3602,0),"Pass","Fail"))</f>
        <v>Pass</v>
      </c>
      <c r="B3602">
        <f t="shared" si="158"/>
        <v>7.7197270393371582</v>
      </c>
      <c r="C3602">
        <v>40</v>
      </c>
      <c r="D3602">
        <v>20</v>
      </c>
      <c r="E3602">
        <v>70</v>
      </c>
      <c r="F3602">
        <v>40</v>
      </c>
      <c r="G3602">
        <v>7.7197267643270999</v>
      </c>
    </row>
    <row r="3603" spans="1:7" x14ac:dyDescent="0.3">
      <c r="A3603" t="str">
        <f>IF(ISBLANK(B3603),"",IF(ROUND(B3603,0)=ROUND(G3603,0),"Pass","Fail"))</f>
        <v>Pass</v>
      </c>
      <c r="B3603">
        <f t="shared" si="158"/>
        <v>6.6422080993652344</v>
      </c>
      <c r="C3603">
        <v>40</v>
      </c>
      <c r="D3603">
        <v>20</v>
      </c>
      <c r="E3603">
        <v>70</v>
      </c>
      <c r="F3603">
        <v>48</v>
      </c>
      <c r="G3603">
        <v>6.6422079008197201</v>
      </c>
    </row>
    <row r="3604" spans="1:7" x14ac:dyDescent="0.3">
      <c r="A3604" t="str">
        <f>IF(ISBLANK(B3604),"",IF(ROUND(B3604,0)=ROUND(G3604,0),"Pass","Fail"))</f>
        <v>Pass</v>
      </c>
      <c r="B3604">
        <f t="shared" si="158"/>
        <v>72.678001403808594</v>
      </c>
      <c r="C3604">
        <v>40</v>
      </c>
      <c r="D3604">
        <v>20</v>
      </c>
      <c r="E3604">
        <v>80</v>
      </c>
      <c r="F3604">
        <v>0</v>
      </c>
      <c r="G3604">
        <v>72.677999999999997</v>
      </c>
    </row>
    <row r="3605" spans="1:7" x14ac:dyDescent="0.3">
      <c r="A3605" t="str">
        <f>IF(ISBLANK(B3605),"",IF(ROUND(B3605,0)=ROUND(G3605,0),"Pass","Fail"))</f>
        <v>Pass</v>
      </c>
      <c r="B3605">
        <f t="shared" si="158"/>
        <v>39.341228485107422</v>
      </c>
      <c r="C3605">
        <v>40</v>
      </c>
      <c r="D3605">
        <v>20</v>
      </c>
      <c r="E3605">
        <v>80</v>
      </c>
      <c r="F3605">
        <v>8</v>
      </c>
      <c r="G3605">
        <v>39.341228080722999</v>
      </c>
    </row>
    <row r="3606" spans="1:7" x14ac:dyDescent="0.3">
      <c r="A3606" t="str">
        <f>IF(ISBLANK(B3606),"",IF(ROUND(B3606,0)=ROUND(G3606,0),"Pass","Fail"))</f>
        <v>Pass</v>
      </c>
      <c r="B3606">
        <f t="shared" si="158"/>
        <v>22.55999755859375</v>
      </c>
      <c r="C3606">
        <v>40</v>
      </c>
      <c r="D3606">
        <v>20</v>
      </c>
      <c r="E3606">
        <v>80</v>
      </c>
      <c r="F3606">
        <v>16</v>
      </c>
      <c r="G3606">
        <v>22.559997247101698</v>
      </c>
    </row>
    <row r="3607" spans="1:7" x14ac:dyDescent="0.3">
      <c r="A3607" t="str">
        <f>IF(ISBLANK(B3607),"",IF(ROUND(B3607,0)=ROUND(G3607,0),"Pass","Fail"))</f>
        <v>Pass</v>
      </c>
      <c r="B3607">
        <f t="shared" si="158"/>
        <v>14.112577438354492</v>
      </c>
      <c r="C3607">
        <v>40</v>
      </c>
      <c r="D3607">
        <v>20</v>
      </c>
      <c r="E3607">
        <v>80</v>
      </c>
      <c r="F3607">
        <v>24</v>
      </c>
      <c r="G3607">
        <v>14.112577413736201</v>
      </c>
    </row>
    <row r="3608" spans="1:7" x14ac:dyDescent="0.3">
      <c r="A3608" t="str">
        <f>IF(ISBLANK(B3608),"",IF(ROUND(B3608,0)=ROUND(G3608,0),"Pass","Fail"))</f>
        <v>Pass</v>
      </c>
      <c r="B3608">
        <f t="shared" si="158"/>
        <v>9.8602733612060547</v>
      </c>
      <c r="C3608">
        <v>40</v>
      </c>
      <c r="D3608">
        <v>20</v>
      </c>
      <c r="E3608">
        <v>80</v>
      </c>
      <c r="F3608">
        <v>32</v>
      </c>
      <c r="G3608">
        <v>9.8602730059946708</v>
      </c>
    </row>
    <row r="3609" spans="1:7" x14ac:dyDescent="0.3">
      <c r="A3609" t="str">
        <f>IF(ISBLANK(B3609),"",IF(ROUND(B3609,0)=ROUND(G3609,0),"Pass","Fail"))</f>
        <v>Pass</v>
      </c>
      <c r="B3609">
        <f t="shared" si="158"/>
        <v>7.7197270393371582</v>
      </c>
      <c r="C3609">
        <v>40</v>
      </c>
      <c r="D3609">
        <v>20</v>
      </c>
      <c r="E3609">
        <v>80</v>
      </c>
      <c r="F3609">
        <v>40</v>
      </c>
      <c r="G3609">
        <v>7.7197267643270999</v>
      </c>
    </row>
    <row r="3610" spans="1:7" x14ac:dyDescent="0.3">
      <c r="A3610" t="str">
        <f>IF(ISBLANK(B3610),"",IF(ROUND(B3610,0)=ROUND(G3610,0),"Pass","Fail"))</f>
        <v>Pass</v>
      </c>
      <c r="B3610">
        <f t="shared" si="158"/>
        <v>6.6422080993652344</v>
      </c>
      <c r="C3610">
        <v>40</v>
      </c>
      <c r="D3610">
        <v>20</v>
      </c>
      <c r="E3610">
        <v>80</v>
      </c>
      <c r="F3610">
        <v>48</v>
      </c>
      <c r="G3610">
        <v>6.6422079008197201</v>
      </c>
    </row>
    <row r="3611" spans="1:7" x14ac:dyDescent="0.3">
      <c r="A3611" t="str">
        <f>IF(ISBLANK(B3611),"",IF(ROUND(B3611,0)=ROUND(G3611,0),"Pass","Fail"))</f>
        <v>Pass</v>
      </c>
      <c r="B3611">
        <f t="shared" si="158"/>
        <v>72.678001403808594</v>
      </c>
      <c r="C3611">
        <v>40</v>
      </c>
      <c r="D3611">
        <v>20</v>
      </c>
      <c r="E3611">
        <v>90</v>
      </c>
      <c r="F3611">
        <v>0</v>
      </c>
      <c r="G3611">
        <v>72.677999999999997</v>
      </c>
    </row>
    <row r="3612" spans="1:7" x14ac:dyDescent="0.3">
      <c r="A3612" t="str">
        <f>IF(ISBLANK(B3612),"",IF(ROUND(B3612,0)=ROUND(G3612,0),"Pass","Fail"))</f>
        <v>Pass</v>
      </c>
      <c r="B3612">
        <f t="shared" si="158"/>
        <v>39.341228485107422</v>
      </c>
      <c r="C3612">
        <v>40</v>
      </c>
      <c r="D3612">
        <v>20</v>
      </c>
      <c r="E3612">
        <v>90</v>
      </c>
      <c r="F3612">
        <v>8</v>
      </c>
      <c r="G3612">
        <v>39.341228080722999</v>
      </c>
    </row>
    <row r="3613" spans="1:7" x14ac:dyDescent="0.3">
      <c r="A3613" t="str">
        <f>IF(ISBLANK(B3613),"",IF(ROUND(B3613,0)=ROUND(G3613,0),"Pass","Fail"))</f>
        <v>Pass</v>
      </c>
      <c r="B3613">
        <f t="shared" si="158"/>
        <v>22.55999755859375</v>
      </c>
      <c r="C3613">
        <v>40</v>
      </c>
      <c r="D3613">
        <v>20</v>
      </c>
      <c r="E3613">
        <v>90</v>
      </c>
      <c r="F3613">
        <v>16</v>
      </c>
      <c r="G3613">
        <v>22.559997247101698</v>
      </c>
    </row>
    <row r="3614" spans="1:7" x14ac:dyDescent="0.3">
      <c r="A3614" t="str">
        <f>IF(ISBLANK(B3614),"",IF(ROUND(B3614,0)=ROUND(G3614,0),"Pass","Fail"))</f>
        <v>Pass</v>
      </c>
      <c r="B3614">
        <f t="shared" si="158"/>
        <v>14.112577438354492</v>
      </c>
      <c r="C3614">
        <v>40</v>
      </c>
      <c r="D3614">
        <v>20</v>
      </c>
      <c r="E3614">
        <v>90</v>
      </c>
      <c r="F3614">
        <v>24</v>
      </c>
      <c r="G3614">
        <v>14.112577413736201</v>
      </c>
    </row>
    <row r="3615" spans="1:7" x14ac:dyDescent="0.3">
      <c r="A3615" t="str">
        <f>IF(ISBLANK(B3615),"",IF(ROUND(B3615,0)=ROUND(G3615,0),"Pass","Fail"))</f>
        <v>Pass</v>
      </c>
      <c r="B3615">
        <f t="shared" si="158"/>
        <v>9.8602733612060547</v>
      </c>
      <c r="C3615">
        <v>40</v>
      </c>
      <c r="D3615">
        <v>20</v>
      </c>
      <c r="E3615">
        <v>90</v>
      </c>
      <c r="F3615">
        <v>32</v>
      </c>
      <c r="G3615">
        <v>9.8602730059946708</v>
      </c>
    </row>
    <row r="3616" spans="1:7" x14ac:dyDescent="0.3">
      <c r="A3616" t="str">
        <f>IF(ISBLANK(B3616),"",IF(ROUND(B3616,0)=ROUND(G3616,0),"Pass","Fail"))</f>
        <v>Pass</v>
      </c>
      <c r="B3616">
        <f t="shared" si="158"/>
        <v>7.7197270393371582</v>
      </c>
      <c r="C3616">
        <v>40</v>
      </c>
      <c r="D3616">
        <v>20</v>
      </c>
      <c r="E3616">
        <v>90</v>
      </c>
      <c r="F3616">
        <v>40</v>
      </c>
      <c r="G3616">
        <v>7.7197267643270999</v>
      </c>
    </row>
    <row r="3617" spans="1:7" x14ac:dyDescent="0.3">
      <c r="A3617" t="str">
        <f>IF(ISBLANK(B3617),"",IF(ROUND(B3617,0)=ROUND(G3617,0),"Pass","Fail"))</f>
        <v>Pass</v>
      </c>
      <c r="B3617">
        <f t="shared" si="158"/>
        <v>6.6422080993652344</v>
      </c>
      <c r="C3617">
        <v>40</v>
      </c>
      <c r="D3617">
        <v>20</v>
      </c>
      <c r="E3617">
        <v>90</v>
      </c>
      <c r="F3617">
        <v>48</v>
      </c>
      <c r="G3617">
        <v>6.6422079008197201</v>
      </c>
    </row>
    <row r="3618" spans="1:7" x14ac:dyDescent="0.3">
      <c r="A3618" t="str">
        <f>IF(ISBLANK(B3618),"",IF(ROUND(B3618,0)=ROUND(G3618,0),"Pass","Fail"))</f>
        <v>Pass</v>
      </c>
      <c r="B3618">
        <f t="shared" si="158"/>
        <v>72.678001403808594</v>
      </c>
      <c r="C3618">
        <v>40</v>
      </c>
      <c r="D3618">
        <v>20</v>
      </c>
      <c r="E3618">
        <v>100</v>
      </c>
      <c r="F3618">
        <v>0</v>
      </c>
      <c r="G3618">
        <v>72.677999999999997</v>
      </c>
    </row>
    <row r="3619" spans="1:7" x14ac:dyDescent="0.3">
      <c r="A3619" t="str">
        <f>IF(ISBLANK(B3619),"",IF(ROUND(B3619,0)=ROUND(G3619,0),"Pass","Fail"))</f>
        <v>Pass</v>
      </c>
      <c r="B3619">
        <f t="shared" si="158"/>
        <v>39.341228485107422</v>
      </c>
      <c r="C3619">
        <v>40</v>
      </c>
      <c r="D3619">
        <v>20</v>
      </c>
      <c r="E3619">
        <v>100</v>
      </c>
      <c r="F3619">
        <v>8</v>
      </c>
      <c r="G3619">
        <v>39.341228080722999</v>
      </c>
    </row>
    <row r="3620" spans="1:7" x14ac:dyDescent="0.3">
      <c r="A3620" t="str">
        <f>IF(ISBLANK(B3620),"",IF(ROUND(B3620,0)=ROUND(G3620,0),"Pass","Fail"))</f>
        <v>Pass</v>
      </c>
      <c r="B3620">
        <f t="shared" si="158"/>
        <v>22.55999755859375</v>
      </c>
      <c r="C3620">
        <v>40</v>
      </c>
      <c r="D3620">
        <v>20</v>
      </c>
      <c r="E3620">
        <v>100</v>
      </c>
      <c r="F3620">
        <v>16</v>
      </c>
      <c r="G3620">
        <v>22.559997247101698</v>
      </c>
    </row>
    <row r="3621" spans="1:7" x14ac:dyDescent="0.3">
      <c r="A3621" t="str">
        <f>IF(ISBLANK(B3621),"",IF(ROUND(B3621,0)=ROUND(G3621,0),"Pass","Fail"))</f>
        <v>Pass</v>
      </c>
      <c r="B3621">
        <f t="shared" si="158"/>
        <v>14.112577438354492</v>
      </c>
      <c r="C3621">
        <v>40</v>
      </c>
      <c r="D3621">
        <v>20</v>
      </c>
      <c r="E3621">
        <v>100</v>
      </c>
      <c r="F3621">
        <v>24</v>
      </c>
      <c r="G3621">
        <v>14.112577413736201</v>
      </c>
    </row>
    <row r="3622" spans="1:7" x14ac:dyDescent="0.3">
      <c r="A3622" t="str">
        <f>IF(ISBLANK(B3622),"",IF(ROUND(B3622,0)=ROUND(G3622,0),"Pass","Fail"))</f>
        <v>Pass</v>
      </c>
      <c r="B3622">
        <f t="shared" si="158"/>
        <v>9.8602733612060547</v>
      </c>
      <c r="C3622">
        <v>40</v>
      </c>
      <c r="D3622">
        <v>20</v>
      </c>
      <c r="E3622">
        <v>100</v>
      </c>
      <c r="F3622">
        <v>32</v>
      </c>
      <c r="G3622">
        <v>9.8602730059946708</v>
      </c>
    </row>
    <row r="3623" spans="1:7" x14ac:dyDescent="0.3">
      <c r="A3623" t="str">
        <f>IF(ISBLANK(B3623),"",IF(ROUND(B3623,0)=ROUND(G3623,0),"Pass","Fail"))</f>
        <v>Pass</v>
      </c>
      <c r="B3623">
        <f t="shared" si="158"/>
        <v>7.7197270393371582</v>
      </c>
      <c r="C3623">
        <v>40</v>
      </c>
      <c r="D3623">
        <v>20</v>
      </c>
      <c r="E3623">
        <v>100</v>
      </c>
      <c r="F3623">
        <v>40</v>
      </c>
      <c r="G3623">
        <v>7.7197267643270999</v>
      </c>
    </row>
    <row r="3624" spans="1:7" x14ac:dyDescent="0.3">
      <c r="A3624" t="str">
        <f>IF(ISBLANK(B3624),"",IF(ROUND(B3624,0)=ROUND(G3624,0),"Pass","Fail"))</f>
        <v>Pass</v>
      </c>
      <c r="B3624">
        <f t="shared" si="158"/>
        <v>6.6422080993652344</v>
      </c>
      <c r="C3624">
        <v>40</v>
      </c>
      <c r="D3624">
        <v>20</v>
      </c>
      <c r="E3624">
        <v>100</v>
      </c>
      <c r="F3624">
        <v>48</v>
      </c>
      <c r="G3624">
        <v>6.6422079008197201</v>
      </c>
    </row>
    <row r="3625" spans="1:7" x14ac:dyDescent="0.3">
      <c r="A3625" t="str">
        <f>IF(ISBLANK(B3625),"",IF(ROUND(B3625,0)=ROUND(G3625,0),"Pass","Fail"))</f>
        <v>Pass</v>
      </c>
      <c r="B3625">
        <f t="shared" si="158"/>
        <v>6.8899998664855957</v>
      </c>
      <c r="C3625">
        <v>40</v>
      </c>
      <c r="D3625">
        <v>30</v>
      </c>
      <c r="E3625">
        <v>0</v>
      </c>
      <c r="F3625">
        <v>0</v>
      </c>
      <c r="G3625">
        <v>6.89</v>
      </c>
    </row>
    <row r="3626" spans="1:7" x14ac:dyDescent="0.3">
      <c r="A3626" t="str">
        <f>IF(ISBLANK(B3626),"",IF(ROUND(B3626,0)=ROUND(G3626,0),"Pass","Fail"))</f>
        <v>Pass</v>
      </c>
      <c r="B3626">
        <f t="shared" si="158"/>
        <v>6.8899998664855957</v>
      </c>
      <c r="C3626">
        <v>40</v>
      </c>
      <c r="D3626">
        <v>30</v>
      </c>
      <c r="E3626">
        <v>0</v>
      </c>
      <c r="F3626">
        <v>8</v>
      </c>
      <c r="G3626">
        <v>6.89</v>
      </c>
    </row>
    <row r="3627" spans="1:7" x14ac:dyDescent="0.3">
      <c r="A3627" t="str">
        <f>IF(ISBLANK(B3627),"",IF(ROUND(B3627,0)=ROUND(G3627,0),"Pass","Fail"))</f>
        <v>Pass</v>
      </c>
      <c r="B3627">
        <f t="shared" si="158"/>
        <v>6.8899998664855957</v>
      </c>
      <c r="C3627">
        <v>40</v>
      </c>
      <c r="D3627">
        <v>30</v>
      </c>
      <c r="E3627">
        <v>0</v>
      </c>
      <c r="F3627">
        <v>16</v>
      </c>
      <c r="G3627">
        <v>6.89</v>
      </c>
    </row>
    <row r="3628" spans="1:7" x14ac:dyDescent="0.3">
      <c r="A3628" t="str">
        <f>IF(ISBLANK(B3628),"",IF(ROUND(B3628,0)=ROUND(G3628,0),"Pass","Fail"))</f>
        <v>Pass</v>
      </c>
      <c r="B3628">
        <f t="shared" si="158"/>
        <v>6.8899998664855957</v>
      </c>
      <c r="C3628">
        <v>40</v>
      </c>
      <c r="D3628">
        <v>30</v>
      </c>
      <c r="E3628">
        <v>0</v>
      </c>
      <c r="F3628">
        <v>24</v>
      </c>
      <c r="G3628">
        <v>6.89</v>
      </c>
    </row>
    <row r="3629" spans="1:7" x14ac:dyDescent="0.3">
      <c r="A3629" t="str">
        <f>IF(ISBLANK(B3629),"",IF(ROUND(B3629,0)=ROUND(G3629,0),"Pass","Fail"))</f>
        <v>Pass</v>
      </c>
      <c r="B3629">
        <f t="shared" si="158"/>
        <v>6.8899998664855957</v>
      </c>
      <c r="C3629">
        <v>40</v>
      </c>
      <c r="D3629">
        <v>30</v>
      </c>
      <c r="E3629">
        <v>0</v>
      </c>
      <c r="F3629">
        <v>32</v>
      </c>
      <c r="G3629">
        <v>6.89</v>
      </c>
    </row>
    <row r="3630" spans="1:7" x14ac:dyDescent="0.3">
      <c r="A3630" t="str">
        <f>IF(ISBLANK(B3630),"",IF(ROUND(B3630,0)=ROUND(G3630,0),"Pass","Fail"))</f>
        <v>Pass</v>
      </c>
      <c r="B3630">
        <f t="shared" si="158"/>
        <v>6.8899998664855957</v>
      </c>
      <c r="C3630">
        <v>40</v>
      </c>
      <c r="D3630">
        <v>30</v>
      </c>
      <c r="E3630">
        <v>0</v>
      </c>
      <c r="F3630">
        <v>40</v>
      </c>
      <c r="G3630">
        <v>6.89</v>
      </c>
    </row>
    <row r="3631" spans="1:7" x14ac:dyDescent="0.3">
      <c r="A3631" t="str">
        <f>IF(ISBLANK(B3631),"",IF(ROUND(B3631,0)=ROUND(G3631,0),"Pass","Fail"))</f>
        <v>Pass</v>
      </c>
      <c r="B3631">
        <f t="shared" si="158"/>
        <v>6.8899998664855957</v>
      </c>
      <c r="C3631">
        <v>40</v>
      </c>
      <c r="D3631">
        <v>30</v>
      </c>
      <c r="E3631">
        <v>0</v>
      </c>
      <c r="F3631">
        <v>48</v>
      </c>
      <c r="G3631">
        <v>6.89</v>
      </c>
    </row>
    <row r="3632" spans="1:7" x14ac:dyDescent="0.3">
      <c r="A3632" t="str">
        <f>IF(ISBLANK(B3632),"",IF(ROUND(B3632,0)=ROUND(G3632,0),"Pass","Fail"))</f>
        <v>Pass</v>
      </c>
      <c r="B3632">
        <f t="shared" si="158"/>
        <v>74.017997741699219</v>
      </c>
      <c r="C3632">
        <v>40</v>
      </c>
      <c r="D3632">
        <v>30</v>
      </c>
      <c r="E3632">
        <v>10</v>
      </c>
      <c r="F3632">
        <v>0</v>
      </c>
      <c r="G3632">
        <v>74.017999999998295</v>
      </c>
    </row>
    <row r="3633" spans="1:7" x14ac:dyDescent="0.3">
      <c r="A3633" t="str">
        <f>IF(ISBLANK(B3633),"",IF(ROUND(B3633,0)=ROUND(G3633,0),"Pass","Fail"))</f>
        <v>Pass</v>
      </c>
      <c r="B3633">
        <f t="shared" si="158"/>
        <v>40.681228637695313</v>
      </c>
      <c r="C3633">
        <v>40</v>
      </c>
      <c r="D3633">
        <v>30</v>
      </c>
      <c r="E3633">
        <v>10</v>
      </c>
      <c r="F3633">
        <v>8</v>
      </c>
      <c r="G3633">
        <v>40.6812280807222</v>
      </c>
    </row>
    <row r="3634" spans="1:7" x14ac:dyDescent="0.3">
      <c r="A3634" t="str">
        <f>IF(ISBLANK(B3634),"",IF(ROUND(B3634,0)=ROUND(G3634,0),"Pass","Fail"))</f>
        <v>Pass</v>
      </c>
      <c r="B3634">
        <f t="shared" si="158"/>
        <v>23.899995803833008</v>
      </c>
      <c r="C3634">
        <v>40</v>
      </c>
      <c r="D3634">
        <v>30</v>
      </c>
      <c r="E3634">
        <v>10</v>
      </c>
      <c r="F3634">
        <v>16</v>
      </c>
      <c r="G3634">
        <v>23.8999972471013</v>
      </c>
    </row>
    <row r="3635" spans="1:7" x14ac:dyDescent="0.3">
      <c r="A3635" t="str">
        <f>IF(ISBLANK(B3635),"",IF(ROUND(B3635,0)=ROUND(G3635,0),"Pass","Fail"))</f>
        <v>Pass</v>
      </c>
      <c r="B3635">
        <f t="shared" si="158"/>
        <v>15.452577590942383</v>
      </c>
      <c r="C3635">
        <v>40</v>
      </c>
      <c r="D3635">
        <v>30</v>
      </c>
      <c r="E3635">
        <v>10</v>
      </c>
      <c r="F3635">
        <v>24</v>
      </c>
      <c r="G3635">
        <v>15.452577413736</v>
      </c>
    </row>
    <row r="3636" spans="1:7" x14ac:dyDescent="0.3">
      <c r="A3636" t="str">
        <f>IF(ISBLANK(B3636),"",IF(ROUND(B3636,0)=ROUND(G3636,0),"Pass","Fail"))</f>
        <v>Pass</v>
      </c>
      <c r="B3636">
        <f t="shared" si="158"/>
        <v>11.200273513793945</v>
      </c>
      <c r="C3636">
        <v>40</v>
      </c>
      <c r="D3636">
        <v>30</v>
      </c>
      <c r="E3636">
        <v>10</v>
      </c>
      <c r="F3636">
        <v>32</v>
      </c>
      <c r="G3636">
        <v>11.2002730059945</v>
      </c>
    </row>
    <row r="3637" spans="1:7" x14ac:dyDescent="0.3">
      <c r="A3637" t="str">
        <f>IF(ISBLANK(B3637),"",IF(ROUND(B3637,0)=ROUND(G3637,0),"Pass","Fail"))</f>
        <v>Pass</v>
      </c>
      <c r="B3637">
        <f t="shared" si="158"/>
        <v>9.0597267150878906</v>
      </c>
      <c r="C3637">
        <v>40</v>
      </c>
      <c r="D3637">
        <v>30</v>
      </c>
      <c r="E3637">
        <v>10</v>
      </c>
      <c r="F3637">
        <v>40</v>
      </c>
      <c r="G3637">
        <v>9.0597267643270492</v>
      </c>
    </row>
    <row r="3638" spans="1:7" x14ac:dyDescent="0.3">
      <c r="A3638" t="str">
        <f>IF(ISBLANK(B3638),"",IF(ROUND(B3638,0)=ROUND(G3638,0),"Pass","Fail"))</f>
        <v>Pass</v>
      </c>
      <c r="B3638">
        <f t="shared" si="158"/>
        <v>7.9822077751159668</v>
      </c>
      <c r="C3638">
        <v>40</v>
      </c>
      <c r="D3638">
        <v>30</v>
      </c>
      <c r="E3638">
        <v>10</v>
      </c>
      <c r="F3638">
        <v>48</v>
      </c>
      <c r="G3638">
        <v>7.9822079008196898</v>
      </c>
    </row>
    <row r="3639" spans="1:7" x14ac:dyDescent="0.3">
      <c r="A3639" t="str">
        <f>IF(ISBLANK(B3639),"",IF(ROUND(B3639,0)=ROUND(G3639,0),"Pass","Fail"))</f>
        <v>Pass</v>
      </c>
      <c r="B3639">
        <f t="shared" si="158"/>
        <v>74.017997741699219</v>
      </c>
      <c r="C3639">
        <v>40</v>
      </c>
      <c r="D3639">
        <v>30</v>
      </c>
      <c r="E3639">
        <v>20</v>
      </c>
      <c r="F3639">
        <v>0</v>
      </c>
      <c r="G3639">
        <v>74.018000000000001</v>
      </c>
    </row>
    <row r="3640" spans="1:7" x14ac:dyDescent="0.3">
      <c r="A3640" t="str">
        <f>IF(ISBLANK(B3640),"",IF(ROUND(B3640,0)=ROUND(G3640,0),"Pass","Fail"))</f>
        <v>Pass</v>
      </c>
      <c r="B3640">
        <f t="shared" si="158"/>
        <v>40.681228637695313</v>
      </c>
      <c r="C3640">
        <v>40</v>
      </c>
      <c r="D3640">
        <v>30</v>
      </c>
      <c r="E3640">
        <v>20</v>
      </c>
      <c r="F3640">
        <v>8</v>
      </c>
      <c r="G3640">
        <v>40.681228080723002</v>
      </c>
    </row>
    <row r="3641" spans="1:7" x14ac:dyDescent="0.3">
      <c r="A3641" t="str">
        <f>IF(ISBLANK(B3641),"",IF(ROUND(B3641,0)=ROUND(G3641,0),"Pass","Fail"))</f>
        <v>Pass</v>
      </c>
      <c r="B3641">
        <f t="shared" si="158"/>
        <v>23.899995803833008</v>
      </c>
      <c r="C3641">
        <v>40</v>
      </c>
      <c r="D3641">
        <v>30</v>
      </c>
      <c r="E3641">
        <v>20</v>
      </c>
      <c r="F3641">
        <v>16</v>
      </c>
      <c r="G3641">
        <v>23.899997247101702</v>
      </c>
    </row>
    <row r="3642" spans="1:7" x14ac:dyDescent="0.3">
      <c r="A3642" t="str">
        <f>IF(ISBLANK(B3642),"",IF(ROUND(B3642,0)=ROUND(G3642,0),"Pass","Fail"))</f>
        <v>Pass</v>
      </c>
      <c r="B3642">
        <f t="shared" si="158"/>
        <v>15.452577590942383</v>
      </c>
      <c r="C3642">
        <v>40</v>
      </c>
      <c r="D3642">
        <v>30</v>
      </c>
      <c r="E3642">
        <v>20</v>
      </c>
      <c r="F3642">
        <v>24</v>
      </c>
      <c r="G3642">
        <v>15.452577413736201</v>
      </c>
    </row>
    <row r="3643" spans="1:7" x14ac:dyDescent="0.3">
      <c r="A3643" t="str">
        <f>IF(ISBLANK(B3643),"",IF(ROUND(B3643,0)=ROUND(G3643,0),"Pass","Fail"))</f>
        <v>Pass</v>
      </c>
      <c r="B3643">
        <f t="shared" si="158"/>
        <v>11.200273513793945</v>
      </c>
      <c r="C3643">
        <v>40</v>
      </c>
      <c r="D3643">
        <v>30</v>
      </c>
      <c r="E3643">
        <v>20</v>
      </c>
      <c r="F3643">
        <v>32</v>
      </c>
      <c r="G3643">
        <v>11.2002730059946</v>
      </c>
    </row>
    <row r="3644" spans="1:7" x14ac:dyDescent="0.3">
      <c r="A3644" t="str">
        <f>IF(ISBLANK(B3644),"",IF(ROUND(B3644,0)=ROUND(G3644,0),"Pass","Fail"))</f>
        <v>Pass</v>
      </c>
      <c r="B3644">
        <f t="shared" si="158"/>
        <v>9.0597267150878906</v>
      </c>
      <c r="C3644">
        <v>40</v>
      </c>
      <c r="D3644">
        <v>30</v>
      </c>
      <c r="E3644">
        <v>20</v>
      </c>
      <c r="F3644">
        <v>40</v>
      </c>
      <c r="G3644">
        <v>9.0597267643271007</v>
      </c>
    </row>
    <row r="3645" spans="1:7" x14ac:dyDescent="0.3">
      <c r="A3645" t="str">
        <f>IF(ISBLANK(B3645),"",IF(ROUND(B3645,0)=ROUND(G3645,0),"Pass","Fail"))</f>
        <v>Pass</v>
      </c>
      <c r="B3645">
        <f t="shared" si="158"/>
        <v>7.9822077751159668</v>
      </c>
      <c r="C3645">
        <v>40</v>
      </c>
      <c r="D3645">
        <v>30</v>
      </c>
      <c r="E3645">
        <v>20</v>
      </c>
      <c r="F3645">
        <v>48</v>
      </c>
      <c r="G3645">
        <v>7.98220790081972</v>
      </c>
    </row>
    <row r="3646" spans="1:7" x14ac:dyDescent="0.3">
      <c r="A3646" t="str">
        <f>IF(ISBLANK(B3646),"",IF(ROUND(B3646,0)=ROUND(G3646,0),"Pass","Fail"))</f>
        <v>Pass</v>
      </c>
      <c r="B3646">
        <f t="shared" si="158"/>
        <v>74.017997741699219</v>
      </c>
      <c r="C3646">
        <v>40</v>
      </c>
      <c r="D3646">
        <v>30</v>
      </c>
      <c r="E3646">
        <v>30</v>
      </c>
      <c r="F3646">
        <v>0</v>
      </c>
      <c r="G3646">
        <v>74.018000000000001</v>
      </c>
    </row>
    <row r="3647" spans="1:7" x14ac:dyDescent="0.3">
      <c r="A3647" t="str">
        <f>IF(ISBLANK(B3647),"",IF(ROUND(B3647,0)=ROUND(G3647,0),"Pass","Fail"))</f>
        <v>Pass</v>
      </c>
      <c r="B3647">
        <f t="shared" si="158"/>
        <v>40.681228637695313</v>
      </c>
      <c r="C3647">
        <v>40</v>
      </c>
      <c r="D3647">
        <v>30</v>
      </c>
      <c r="E3647">
        <v>30</v>
      </c>
      <c r="F3647">
        <v>8</v>
      </c>
      <c r="G3647">
        <v>40.681228080723002</v>
      </c>
    </row>
    <row r="3648" spans="1:7" x14ac:dyDescent="0.3">
      <c r="A3648" t="str">
        <f>IF(ISBLANK(B3648),"",IF(ROUND(B3648,0)=ROUND(G3648,0),"Pass","Fail"))</f>
        <v>Pass</v>
      </c>
      <c r="B3648">
        <f t="shared" si="158"/>
        <v>23.899995803833008</v>
      </c>
      <c r="C3648">
        <v>40</v>
      </c>
      <c r="D3648">
        <v>30</v>
      </c>
      <c r="E3648">
        <v>30</v>
      </c>
      <c r="F3648">
        <v>16</v>
      </c>
      <c r="G3648">
        <v>23.899997247101702</v>
      </c>
    </row>
    <row r="3649" spans="1:7" x14ac:dyDescent="0.3">
      <c r="A3649" t="str">
        <f>IF(ISBLANK(B3649),"",IF(ROUND(B3649,0)=ROUND(G3649,0),"Pass","Fail"))</f>
        <v>Pass</v>
      </c>
      <c r="B3649">
        <f t="shared" si="158"/>
        <v>15.452577590942383</v>
      </c>
      <c r="C3649">
        <v>40</v>
      </c>
      <c r="D3649">
        <v>30</v>
      </c>
      <c r="E3649">
        <v>30</v>
      </c>
      <c r="F3649">
        <v>24</v>
      </c>
      <c r="G3649">
        <v>15.452577413736201</v>
      </c>
    </row>
    <row r="3650" spans="1:7" x14ac:dyDescent="0.3">
      <c r="A3650" t="str">
        <f>IF(ISBLANK(B3650),"",IF(ROUND(B3650,0)=ROUND(G3650,0),"Pass","Fail"))</f>
        <v>Pass</v>
      </c>
      <c r="B3650">
        <f t="shared" si="158"/>
        <v>11.200273513793945</v>
      </c>
      <c r="C3650">
        <v>40</v>
      </c>
      <c r="D3650">
        <v>30</v>
      </c>
      <c r="E3650">
        <v>30</v>
      </c>
      <c r="F3650">
        <v>32</v>
      </c>
      <c r="G3650">
        <v>11.2002730059946</v>
      </c>
    </row>
    <row r="3651" spans="1:7" x14ac:dyDescent="0.3">
      <c r="A3651" t="str">
        <f>IF(ISBLANK(B3651),"",IF(ROUND(B3651,0)=ROUND(G3651,0),"Pass","Fail"))</f>
        <v>Pass</v>
      </c>
      <c r="B3651">
        <f t="shared" si="158"/>
        <v>9.0597267150878906</v>
      </c>
      <c r="C3651">
        <v>40</v>
      </c>
      <c r="D3651">
        <v>30</v>
      </c>
      <c r="E3651">
        <v>30</v>
      </c>
      <c r="F3651">
        <v>40</v>
      </c>
      <c r="G3651">
        <v>9.0597267643271007</v>
      </c>
    </row>
    <row r="3652" spans="1:7" x14ac:dyDescent="0.3">
      <c r="A3652" t="str">
        <f>IF(ISBLANK(B3652),"",IF(ROUND(B3652,0)=ROUND(G3652,0),"Pass","Fail"))</f>
        <v>Pass</v>
      </c>
      <c r="B3652">
        <f t="shared" si="158"/>
        <v>7.9822077751159668</v>
      </c>
      <c r="C3652">
        <v>40</v>
      </c>
      <c r="D3652">
        <v>30</v>
      </c>
      <c r="E3652">
        <v>30</v>
      </c>
      <c r="F3652">
        <v>48</v>
      </c>
      <c r="G3652">
        <v>7.98220790081972</v>
      </c>
    </row>
    <row r="3653" spans="1:7" x14ac:dyDescent="0.3">
      <c r="A3653" t="str">
        <f>IF(ISBLANK(B3653),"",IF(ROUND(B3653,0)=ROUND(G3653,0),"Pass","Fail"))</f>
        <v>Pass</v>
      </c>
      <c r="B3653">
        <f t="shared" si="158"/>
        <v>74.017997741699219</v>
      </c>
      <c r="C3653">
        <v>40</v>
      </c>
      <c r="D3653">
        <v>30</v>
      </c>
      <c r="E3653">
        <v>40</v>
      </c>
      <c r="F3653">
        <v>0</v>
      </c>
      <c r="G3653">
        <v>74.018000000000001</v>
      </c>
    </row>
    <row r="3654" spans="1:7" x14ac:dyDescent="0.3">
      <c r="A3654" t="str">
        <f>IF(ISBLANK(B3654),"",IF(ROUND(B3654,0)=ROUND(G3654,0),"Pass","Fail"))</f>
        <v>Pass</v>
      </c>
      <c r="B3654">
        <f t="shared" si="158"/>
        <v>40.681228637695313</v>
      </c>
      <c r="C3654">
        <v>40</v>
      </c>
      <c r="D3654">
        <v>30</v>
      </c>
      <c r="E3654">
        <v>40</v>
      </c>
      <c r="F3654">
        <v>8</v>
      </c>
      <c r="G3654">
        <v>40.681228080723002</v>
      </c>
    </row>
    <row r="3655" spans="1:7" x14ac:dyDescent="0.3">
      <c r="A3655" t="str">
        <f>IF(ISBLANK(B3655),"",IF(ROUND(B3655,0)=ROUND(G3655,0),"Pass","Fail"))</f>
        <v>Pass</v>
      </c>
      <c r="B3655">
        <f t="shared" ref="B3655:B3718" si="159">FMC_heath(C3655,D3655,E3655,F3655)</f>
        <v>23.899995803833008</v>
      </c>
      <c r="C3655">
        <v>40</v>
      </c>
      <c r="D3655">
        <v>30</v>
      </c>
      <c r="E3655">
        <v>40</v>
      </c>
      <c r="F3655">
        <v>16</v>
      </c>
      <c r="G3655">
        <v>23.899997247101702</v>
      </c>
    </row>
    <row r="3656" spans="1:7" x14ac:dyDescent="0.3">
      <c r="A3656" t="str">
        <f>IF(ISBLANK(B3656),"",IF(ROUND(B3656,0)=ROUND(G3656,0),"Pass","Fail"))</f>
        <v>Pass</v>
      </c>
      <c r="B3656">
        <f t="shared" si="159"/>
        <v>15.452577590942383</v>
      </c>
      <c r="C3656">
        <v>40</v>
      </c>
      <c r="D3656">
        <v>30</v>
      </c>
      <c r="E3656">
        <v>40</v>
      </c>
      <c r="F3656">
        <v>24</v>
      </c>
      <c r="G3656">
        <v>15.452577413736201</v>
      </c>
    </row>
    <row r="3657" spans="1:7" x14ac:dyDescent="0.3">
      <c r="A3657" t="str">
        <f>IF(ISBLANK(B3657),"",IF(ROUND(B3657,0)=ROUND(G3657,0),"Pass","Fail"))</f>
        <v>Pass</v>
      </c>
      <c r="B3657">
        <f t="shared" si="159"/>
        <v>11.200273513793945</v>
      </c>
      <c r="C3657">
        <v>40</v>
      </c>
      <c r="D3657">
        <v>30</v>
      </c>
      <c r="E3657">
        <v>40</v>
      </c>
      <c r="F3657">
        <v>32</v>
      </c>
      <c r="G3657">
        <v>11.2002730059946</v>
      </c>
    </row>
    <row r="3658" spans="1:7" x14ac:dyDescent="0.3">
      <c r="A3658" t="str">
        <f>IF(ISBLANK(B3658),"",IF(ROUND(B3658,0)=ROUND(G3658,0),"Pass","Fail"))</f>
        <v>Pass</v>
      </c>
      <c r="B3658">
        <f t="shared" si="159"/>
        <v>9.0597267150878906</v>
      </c>
      <c r="C3658">
        <v>40</v>
      </c>
      <c r="D3658">
        <v>30</v>
      </c>
      <c r="E3658">
        <v>40</v>
      </c>
      <c r="F3658">
        <v>40</v>
      </c>
      <c r="G3658">
        <v>9.0597267643271007</v>
      </c>
    </row>
    <row r="3659" spans="1:7" x14ac:dyDescent="0.3">
      <c r="A3659" t="str">
        <f>IF(ISBLANK(B3659),"",IF(ROUND(B3659,0)=ROUND(G3659,0),"Pass","Fail"))</f>
        <v>Pass</v>
      </c>
      <c r="B3659">
        <f t="shared" si="159"/>
        <v>7.9822077751159668</v>
      </c>
      <c r="C3659">
        <v>40</v>
      </c>
      <c r="D3659">
        <v>30</v>
      </c>
      <c r="E3659">
        <v>40</v>
      </c>
      <c r="F3659">
        <v>48</v>
      </c>
      <c r="G3659">
        <v>7.98220790081972</v>
      </c>
    </row>
    <row r="3660" spans="1:7" x14ac:dyDescent="0.3">
      <c r="A3660" t="str">
        <f>IF(ISBLANK(B3660),"",IF(ROUND(B3660,0)=ROUND(G3660,0),"Pass","Fail"))</f>
        <v>Pass</v>
      </c>
      <c r="B3660">
        <f t="shared" si="159"/>
        <v>74.017997741699219</v>
      </c>
      <c r="C3660">
        <v>40</v>
      </c>
      <c r="D3660">
        <v>30</v>
      </c>
      <c r="E3660">
        <v>50</v>
      </c>
      <c r="F3660">
        <v>0</v>
      </c>
      <c r="G3660">
        <v>74.018000000000001</v>
      </c>
    </row>
    <row r="3661" spans="1:7" x14ac:dyDescent="0.3">
      <c r="A3661" t="str">
        <f>IF(ISBLANK(B3661),"",IF(ROUND(B3661,0)=ROUND(G3661,0),"Pass","Fail"))</f>
        <v>Pass</v>
      </c>
      <c r="B3661">
        <f t="shared" si="159"/>
        <v>40.681228637695313</v>
      </c>
      <c r="C3661">
        <v>40</v>
      </c>
      <c r="D3661">
        <v>30</v>
      </c>
      <c r="E3661">
        <v>50</v>
      </c>
      <c r="F3661">
        <v>8</v>
      </c>
      <c r="G3661">
        <v>40.681228080723002</v>
      </c>
    </row>
    <row r="3662" spans="1:7" x14ac:dyDescent="0.3">
      <c r="A3662" t="str">
        <f>IF(ISBLANK(B3662),"",IF(ROUND(B3662,0)=ROUND(G3662,0),"Pass","Fail"))</f>
        <v>Pass</v>
      </c>
      <c r="B3662">
        <f t="shared" si="159"/>
        <v>23.899995803833008</v>
      </c>
      <c r="C3662">
        <v>40</v>
      </c>
      <c r="D3662">
        <v>30</v>
      </c>
      <c r="E3662">
        <v>50</v>
      </c>
      <c r="F3662">
        <v>16</v>
      </c>
      <c r="G3662">
        <v>23.899997247101702</v>
      </c>
    </row>
    <row r="3663" spans="1:7" x14ac:dyDescent="0.3">
      <c r="A3663" t="str">
        <f>IF(ISBLANK(B3663),"",IF(ROUND(B3663,0)=ROUND(G3663,0),"Pass","Fail"))</f>
        <v>Pass</v>
      </c>
      <c r="B3663">
        <f t="shared" si="159"/>
        <v>15.452577590942383</v>
      </c>
      <c r="C3663">
        <v>40</v>
      </c>
      <c r="D3663">
        <v>30</v>
      </c>
      <c r="E3663">
        <v>50</v>
      </c>
      <c r="F3663">
        <v>24</v>
      </c>
      <c r="G3663">
        <v>15.452577413736201</v>
      </c>
    </row>
    <row r="3664" spans="1:7" x14ac:dyDescent="0.3">
      <c r="A3664" t="str">
        <f>IF(ISBLANK(B3664),"",IF(ROUND(B3664,0)=ROUND(G3664,0),"Pass","Fail"))</f>
        <v>Pass</v>
      </c>
      <c r="B3664">
        <f t="shared" si="159"/>
        <v>11.200273513793945</v>
      </c>
      <c r="C3664">
        <v>40</v>
      </c>
      <c r="D3664">
        <v>30</v>
      </c>
      <c r="E3664">
        <v>50</v>
      </c>
      <c r="F3664">
        <v>32</v>
      </c>
      <c r="G3664">
        <v>11.2002730059946</v>
      </c>
    </row>
    <row r="3665" spans="1:7" x14ac:dyDescent="0.3">
      <c r="A3665" t="str">
        <f>IF(ISBLANK(B3665),"",IF(ROUND(B3665,0)=ROUND(G3665,0),"Pass","Fail"))</f>
        <v>Pass</v>
      </c>
      <c r="B3665">
        <f t="shared" si="159"/>
        <v>9.0597267150878906</v>
      </c>
      <c r="C3665">
        <v>40</v>
      </c>
      <c r="D3665">
        <v>30</v>
      </c>
      <c r="E3665">
        <v>50</v>
      </c>
      <c r="F3665">
        <v>40</v>
      </c>
      <c r="G3665">
        <v>9.0597267643271007</v>
      </c>
    </row>
    <row r="3666" spans="1:7" x14ac:dyDescent="0.3">
      <c r="A3666" t="str">
        <f>IF(ISBLANK(B3666),"",IF(ROUND(B3666,0)=ROUND(G3666,0),"Pass","Fail"))</f>
        <v>Pass</v>
      </c>
      <c r="B3666">
        <f t="shared" si="159"/>
        <v>7.9822077751159668</v>
      </c>
      <c r="C3666">
        <v>40</v>
      </c>
      <c r="D3666">
        <v>30</v>
      </c>
      <c r="E3666">
        <v>50</v>
      </c>
      <c r="F3666">
        <v>48</v>
      </c>
      <c r="G3666">
        <v>7.98220790081972</v>
      </c>
    </row>
    <row r="3667" spans="1:7" x14ac:dyDescent="0.3">
      <c r="A3667" t="str">
        <f>IF(ISBLANK(B3667),"",IF(ROUND(B3667,0)=ROUND(G3667,0),"Pass","Fail"))</f>
        <v>Pass</v>
      </c>
      <c r="B3667">
        <f t="shared" si="159"/>
        <v>74.017997741699219</v>
      </c>
      <c r="C3667">
        <v>40</v>
      </c>
      <c r="D3667">
        <v>30</v>
      </c>
      <c r="E3667">
        <v>60</v>
      </c>
      <c r="F3667">
        <v>0</v>
      </c>
      <c r="G3667">
        <v>74.018000000000001</v>
      </c>
    </row>
    <row r="3668" spans="1:7" x14ac:dyDescent="0.3">
      <c r="A3668" t="str">
        <f>IF(ISBLANK(B3668),"",IF(ROUND(B3668,0)=ROUND(G3668,0),"Pass","Fail"))</f>
        <v>Pass</v>
      </c>
      <c r="B3668">
        <f t="shared" si="159"/>
        <v>40.681228637695313</v>
      </c>
      <c r="C3668">
        <v>40</v>
      </c>
      <c r="D3668">
        <v>30</v>
      </c>
      <c r="E3668">
        <v>60</v>
      </c>
      <c r="F3668">
        <v>8</v>
      </c>
      <c r="G3668">
        <v>40.681228080723002</v>
      </c>
    </row>
    <row r="3669" spans="1:7" x14ac:dyDescent="0.3">
      <c r="A3669" t="str">
        <f>IF(ISBLANK(B3669),"",IF(ROUND(B3669,0)=ROUND(G3669,0),"Pass","Fail"))</f>
        <v>Pass</v>
      </c>
      <c r="B3669">
        <f t="shared" si="159"/>
        <v>23.899995803833008</v>
      </c>
      <c r="C3669">
        <v>40</v>
      </c>
      <c r="D3669">
        <v>30</v>
      </c>
      <c r="E3669">
        <v>60</v>
      </c>
      <c r="F3669">
        <v>16</v>
      </c>
      <c r="G3669">
        <v>23.899997247101702</v>
      </c>
    </row>
    <row r="3670" spans="1:7" x14ac:dyDescent="0.3">
      <c r="A3670" t="str">
        <f>IF(ISBLANK(B3670),"",IF(ROUND(B3670,0)=ROUND(G3670,0),"Pass","Fail"))</f>
        <v>Pass</v>
      </c>
      <c r="B3670">
        <f t="shared" si="159"/>
        <v>15.452577590942383</v>
      </c>
      <c r="C3670">
        <v>40</v>
      </c>
      <c r="D3670">
        <v>30</v>
      </c>
      <c r="E3670">
        <v>60</v>
      </c>
      <c r="F3670">
        <v>24</v>
      </c>
      <c r="G3670">
        <v>15.452577413736201</v>
      </c>
    </row>
    <row r="3671" spans="1:7" x14ac:dyDescent="0.3">
      <c r="A3671" t="str">
        <f>IF(ISBLANK(B3671),"",IF(ROUND(B3671,0)=ROUND(G3671,0),"Pass","Fail"))</f>
        <v>Pass</v>
      </c>
      <c r="B3671">
        <f t="shared" si="159"/>
        <v>11.200273513793945</v>
      </c>
      <c r="C3671">
        <v>40</v>
      </c>
      <c r="D3671">
        <v>30</v>
      </c>
      <c r="E3671">
        <v>60</v>
      </c>
      <c r="F3671">
        <v>32</v>
      </c>
      <c r="G3671">
        <v>11.2002730059946</v>
      </c>
    </row>
    <row r="3672" spans="1:7" x14ac:dyDescent="0.3">
      <c r="A3672" t="str">
        <f>IF(ISBLANK(B3672),"",IF(ROUND(B3672,0)=ROUND(G3672,0),"Pass","Fail"))</f>
        <v>Pass</v>
      </c>
      <c r="B3672">
        <f t="shared" si="159"/>
        <v>9.0597267150878906</v>
      </c>
      <c r="C3672">
        <v>40</v>
      </c>
      <c r="D3672">
        <v>30</v>
      </c>
      <c r="E3672">
        <v>60</v>
      </c>
      <c r="F3672">
        <v>40</v>
      </c>
      <c r="G3672">
        <v>9.0597267643271007</v>
      </c>
    </row>
    <row r="3673" spans="1:7" x14ac:dyDescent="0.3">
      <c r="A3673" t="str">
        <f>IF(ISBLANK(B3673),"",IF(ROUND(B3673,0)=ROUND(G3673,0),"Pass","Fail"))</f>
        <v>Pass</v>
      </c>
      <c r="B3673">
        <f t="shared" si="159"/>
        <v>7.9822077751159668</v>
      </c>
      <c r="C3673">
        <v>40</v>
      </c>
      <c r="D3673">
        <v>30</v>
      </c>
      <c r="E3673">
        <v>60</v>
      </c>
      <c r="F3673">
        <v>48</v>
      </c>
      <c r="G3673">
        <v>7.98220790081972</v>
      </c>
    </row>
    <row r="3674" spans="1:7" x14ac:dyDescent="0.3">
      <c r="A3674" t="str">
        <f>IF(ISBLANK(B3674),"",IF(ROUND(B3674,0)=ROUND(G3674,0),"Pass","Fail"))</f>
        <v>Pass</v>
      </c>
      <c r="B3674">
        <f t="shared" si="159"/>
        <v>74.017997741699219</v>
      </c>
      <c r="C3674">
        <v>40</v>
      </c>
      <c r="D3674">
        <v>30</v>
      </c>
      <c r="E3674">
        <v>70</v>
      </c>
      <c r="F3674">
        <v>0</v>
      </c>
      <c r="G3674">
        <v>74.018000000000001</v>
      </c>
    </row>
    <row r="3675" spans="1:7" x14ac:dyDescent="0.3">
      <c r="A3675" t="str">
        <f>IF(ISBLANK(B3675),"",IF(ROUND(B3675,0)=ROUND(G3675,0),"Pass","Fail"))</f>
        <v>Pass</v>
      </c>
      <c r="B3675">
        <f t="shared" si="159"/>
        <v>40.681228637695313</v>
      </c>
      <c r="C3675">
        <v>40</v>
      </c>
      <c r="D3675">
        <v>30</v>
      </c>
      <c r="E3675">
        <v>70</v>
      </c>
      <c r="F3675">
        <v>8</v>
      </c>
      <c r="G3675">
        <v>40.681228080723002</v>
      </c>
    </row>
    <row r="3676" spans="1:7" x14ac:dyDescent="0.3">
      <c r="A3676" t="str">
        <f>IF(ISBLANK(B3676),"",IF(ROUND(B3676,0)=ROUND(G3676,0),"Pass","Fail"))</f>
        <v>Pass</v>
      </c>
      <c r="B3676">
        <f t="shared" si="159"/>
        <v>23.899995803833008</v>
      </c>
      <c r="C3676">
        <v>40</v>
      </c>
      <c r="D3676">
        <v>30</v>
      </c>
      <c r="E3676">
        <v>70</v>
      </c>
      <c r="F3676">
        <v>16</v>
      </c>
      <c r="G3676">
        <v>23.899997247101702</v>
      </c>
    </row>
    <row r="3677" spans="1:7" x14ac:dyDescent="0.3">
      <c r="A3677" t="str">
        <f>IF(ISBLANK(B3677),"",IF(ROUND(B3677,0)=ROUND(G3677,0),"Pass","Fail"))</f>
        <v>Pass</v>
      </c>
      <c r="B3677">
        <f t="shared" si="159"/>
        <v>15.452577590942383</v>
      </c>
      <c r="C3677">
        <v>40</v>
      </c>
      <c r="D3677">
        <v>30</v>
      </c>
      <c r="E3677">
        <v>70</v>
      </c>
      <c r="F3677">
        <v>24</v>
      </c>
      <c r="G3677">
        <v>15.452577413736201</v>
      </c>
    </row>
    <row r="3678" spans="1:7" x14ac:dyDescent="0.3">
      <c r="A3678" t="str">
        <f>IF(ISBLANK(B3678),"",IF(ROUND(B3678,0)=ROUND(G3678,0),"Pass","Fail"))</f>
        <v>Pass</v>
      </c>
      <c r="B3678">
        <f t="shared" si="159"/>
        <v>11.200273513793945</v>
      </c>
      <c r="C3678">
        <v>40</v>
      </c>
      <c r="D3678">
        <v>30</v>
      </c>
      <c r="E3678">
        <v>70</v>
      </c>
      <c r="F3678">
        <v>32</v>
      </c>
      <c r="G3678">
        <v>11.2002730059946</v>
      </c>
    </row>
    <row r="3679" spans="1:7" x14ac:dyDescent="0.3">
      <c r="A3679" t="str">
        <f>IF(ISBLANK(B3679),"",IF(ROUND(B3679,0)=ROUND(G3679,0),"Pass","Fail"))</f>
        <v>Pass</v>
      </c>
      <c r="B3679">
        <f t="shared" si="159"/>
        <v>9.0597267150878906</v>
      </c>
      <c r="C3679">
        <v>40</v>
      </c>
      <c r="D3679">
        <v>30</v>
      </c>
      <c r="E3679">
        <v>70</v>
      </c>
      <c r="F3679">
        <v>40</v>
      </c>
      <c r="G3679">
        <v>9.0597267643271007</v>
      </c>
    </row>
    <row r="3680" spans="1:7" x14ac:dyDescent="0.3">
      <c r="A3680" t="str">
        <f>IF(ISBLANK(B3680),"",IF(ROUND(B3680,0)=ROUND(G3680,0),"Pass","Fail"))</f>
        <v>Pass</v>
      </c>
      <c r="B3680">
        <f t="shared" si="159"/>
        <v>7.9822077751159668</v>
      </c>
      <c r="C3680">
        <v>40</v>
      </c>
      <c r="D3680">
        <v>30</v>
      </c>
      <c r="E3680">
        <v>70</v>
      </c>
      <c r="F3680">
        <v>48</v>
      </c>
      <c r="G3680">
        <v>7.98220790081972</v>
      </c>
    </row>
    <row r="3681" spans="1:7" x14ac:dyDescent="0.3">
      <c r="A3681" t="str">
        <f>IF(ISBLANK(B3681),"",IF(ROUND(B3681,0)=ROUND(G3681,0),"Pass","Fail"))</f>
        <v>Pass</v>
      </c>
      <c r="B3681">
        <f t="shared" si="159"/>
        <v>74.017997741699219</v>
      </c>
      <c r="C3681">
        <v>40</v>
      </c>
      <c r="D3681">
        <v>30</v>
      </c>
      <c r="E3681">
        <v>80</v>
      </c>
      <c r="F3681">
        <v>0</v>
      </c>
      <c r="G3681">
        <v>74.018000000000001</v>
      </c>
    </row>
    <row r="3682" spans="1:7" x14ac:dyDescent="0.3">
      <c r="A3682" t="str">
        <f>IF(ISBLANK(B3682),"",IF(ROUND(B3682,0)=ROUND(G3682,0),"Pass","Fail"))</f>
        <v>Pass</v>
      </c>
      <c r="B3682">
        <f t="shared" si="159"/>
        <v>40.681228637695313</v>
      </c>
      <c r="C3682">
        <v>40</v>
      </c>
      <c r="D3682">
        <v>30</v>
      </c>
      <c r="E3682">
        <v>80</v>
      </c>
      <c r="F3682">
        <v>8</v>
      </c>
      <c r="G3682">
        <v>40.681228080723002</v>
      </c>
    </row>
    <row r="3683" spans="1:7" x14ac:dyDescent="0.3">
      <c r="A3683" t="str">
        <f>IF(ISBLANK(B3683),"",IF(ROUND(B3683,0)=ROUND(G3683,0),"Pass","Fail"))</f>
        <v>Pass</v>
      </c>
      <c r="B3683">
        <f t="shared" si="159"/>
        <v>23.899995803833008</v>
      </c>
      <c r="C3683">
        <v>40</v>
      </c>
      <c r="D3683">
        <v>30</v>
      </c>
      <c r="E3683">
        <v>80</v>
      </c>
      <c r="F3683">
        <v>16</v>
      </c>
      <c r="G3683">
        <v>23.899997247101702</v>
      </c>
    </row>
    <row r="3684" spans="1:7" x14ac:dyDescent="0.3">
      <c r="A3684" t="str">
        <f>IF(ISBLANK(B3684),"",IF(ROUND(B3684,0)=ROUND(G3684,0),"Pass","Fail"))</f>
        <v>Pass</v>
      </c>
      <c r="B3684">
        <f t="shared" si="159"/>
        <v>15.452577590942383</v>
      </c>
      <c r="C3684">
        <v>40</v>
      </c>
      <c r="D3684">
        <v>30</v>
      </c>
      <c r="E3684">
        <v>80</v>
      </c>
      <c r="F3684">
        <v>24</v>
      </c>
      <c r="G3684">
        <v>15.452577413736201</v>
      </c>
    </row>
    <row r="3685" spans="1:7" x14ac:dyDescent="0.3">
      <c r="A3685" t="str">
        <f>IF(ISBLANK(B3685),"",IF(ROUND(B3685,0)=ROUND(G3685,0),"Pass","Fail"))</f>
        <v>Pass</v>
      </c>
      <c r="B3685">
        <f t="shared" si="159"/>
        <v>11.200273513793945</v>
      </c>
      <c r="C3685">
        <v>40</v>
      </c>
      <c r="D3685">
        <v>30</v>
      </c>
      <c r="E3685">
        <v>80</v>
      </c>
      <c r="F3685">
        <v>32</v>
      </c>
      <c r="G3685">
        <v>11.2002730059946</v>
      </c>
    </row>
    <row r="3686" spans="1:7" x14ac:dyDescent="0.3">
      <c r="A3686" t="str">
        <f>IF(ISBLANK(B3686),"",IF(ROUND(B3686,0)=ROUND(G3686,0),"Pass","Fail"))</f>
        <v>Pass</v>
      </c>
      <c r="B3686">
        <f t="shared" si="159"/>
        <v>9.0597267150878906</v>
      </c>
      <c r="C3686">
        <v>40</v>
      </c>
      <c r="D3686">
        <v>30</v>
      </c>
      <c r="E3686">
        <v>80</v>
      </c>
      <c r="F3686">
        <v>40</v>
      </c>
      <c r="G3686">
        <v>9.0597267643271007</v>
      </c>
    </row>
    <row r="3687" spans="1:7" x14ac:dyDescent="0.3">
      <c r="A3687" t="str">
        <f>IF(ISBLANK(B3687),"",IF(ROUND(B3687,0)=ROUND(G3687,0),"Pass","Fail"))</f>
        <v>Pass</v>
      </c>
      <c r="B3687">
        <f t="shared" si="159"/>
        <v>7.9822077751159668</v>
      </c>
      <c r="C3687">
        <v>40</v>
      </c>
      <c r="D3687">
        <v>30</v>
      </c>
      <c r="E3687">
        <v>80</v>
      </c>
      <c r="F3687">
        <v>48</v>
      </c>
      <c r="G3687">
        <v>7.98220790081972</v>
      </c>
    </row>
    <row r="3688" spans="1:7" x14ac:dyDescent="0.3">
      <c r="A3688" t="str">
        <f>IF(ISBLANK(B3688),"",IF(ROUND(B3688,0)=ROUND(G3688,0),"Pass","Fail"))</f>
        <v>Pass</v>
      </c>
      <c r="B3688">
        <f t="shared" si="159"/>
        <v>74.017997741699219</v>
      </c>
      <c r="C3688">
        <v>40</v>
      </c>
      <c r="D3688">
        <v>30</v>
      </c>
      <c r="E3688">
        <v>90</v>
      </c>
      <c r="F3688">
        <v>0</v>
      </c>
      <c r="G3688">
        <v>74.018000000000001</v>
      </c>
    </row>
    <row r="3689" spans="1:7" x14ac:dyDescent="0.3">
      <c r="A3689" t="str">
        <f>IF(ISBLANK(B3689),"",IF(ROUND(B3689,0)=ROUND(G3689,0),"Pass","Fail"))</f>
        <v>Pass</v>
      </c>
      <c r="B3689">
        <f t="shared" si="159"/>
        <v>40.681228637695313</v>
      </c>
      <c r="C3689">
        <v>40</v>
      </c>
      <c r="D3689">
        <v>30</v>
      </c>
      <c r="E3689">
        <v>90</v>
      </c>
      <c r="F3689">
        <v>8</v>
      </c>
      <c r="G3689">
        <v>40.681228080723002</v>
      </c>
    </row>
    <row r="3690" spans="1:7" x14ac:dyDescent="0.3">
      <c r="A3690" t="str">
        <f>IF(ISBLANK(B3690),"",IF(ROUND(B3690,0)=ROUND(G3690,0),"Pass","Fail"))</f>
        <v>Pass</v>
      </c>
      <c r="B3690">
        <f t="shared" si="159"/>
        <v>23.899995803833008</v>
      </c>
      <c r="C3690">
        <v>40</v>
      </c>
      <c r="D3690">
        <v>30</v>
      </c>
      <c r="E3690">
        <v>90</v>
      </c>
      <c r="F3690">
        <v>16</v>
      </c>
      <c r="G3690">
        <v>23.899997247101702</v>
      </c>
    </row>
    <row r="3691" spans="1:7" x14ac:dyDescent="0.3">
      <c r="A3691" t="str">
        <f>IF(ISBLANK(B3691),"",IF(ROUND(B3691,0)=ROUND(G3691,0),"Pass","Fail"))</f>
        <v>Pass</v>
      </c>
      <c r="B3691">
        <f t="shared" si="159"/>
        <v>15.452577590942383</v>
      </c>
      <c r="C3691">
        <v>40</v>
      </c>
      <c r="D3691">
        <v>30</v>
      </c>
      <c r="E3691">
        <v>90</v>
      </c>
      <c r="F3691">
        <v>24</v>
      </c>
      <c r="G3691">
        <v>15.452577413736201</v>
      </c>
    </row>
    <row r="3692" spans="1:7" x14ac:dyDescent="0.3">
      <c r="A3692" t="str">
        <f>IF(ISBLANK(B3692),"",IF(ROUND(B3692,0)=ROUND(G3692,0),"Pass","Fail"))</f>
        <v>Pass</v>
      </c>
      <c r="B3692">
        <f t="shared" si="159"/>
        <v>11.200273513793945</v>
      </c>
      <c r="C3692">
        <v>40</v>
      </c>
      <c r="D3692">
        <v>30</v>
      </c>
      <c r="E3692">
        <v>90</v>
      </c>
      <c r="F3692">
        <v>32</v>
      </c>
      <c r="G3692">
        <v>11.2002730059946</v>
      </c>
    </row>
    <row r="3693" spans="1:7" x14ac:dyDescent="0.3">
      <c r="A3693" t="str">
        <f>IF(ISBLANK(B3693),"",IF(ROUND(B3693,0)=ROUND(G3693,0),"Pass","Fail"))</f>
        <v>Pass</v>
      </c>
      <c r="B3693">
        <f t="shared" si="159"/>
        <v>9.0597267150878906</v>
      </c>
      <c r="C3693">
        <v>40</v>
      </c>
      <c r="D3693">
        <v>30</v>
      </c>
      <c r="E3693">
        <v>90</v>
      </c>
      <c r="F3693">
        <v>40</v>
      </c>
      <c r="G3693">
        <v>9.0597267643271007</v>
      </c>
    </row>
    <row r="3694" spans="1:7" x14ac:dyDescent="0.3">
      <c r="A3694" t="str">
        <f>IF(ISBLANK(B3694),"",IF(ROUND(B3694,0)=ROUND(G3694,0),"Pass","Fail"))</f>
        <v>Pass</v>
      </c>
      <c r="B3694">
        <f t="shared" si="159"/>
        <v>7.9822077751159668</v>
      </c>
      <c r="C3694">
        <v>40</v>
      </c>
      <c r="D3694">
        <v>30</v>
      </c>
      <c r="E3694">
        <v>90</v>
      </c>
      <c r="F3694">
        <v>48</v>
      </c>
      <c r="G3694">
        <v>7.98220790081972</v>
      </c>
    </row>
    <row r="3695" spans="1:7" x14ac:dyDescent="0.3">
      <c r="A3695" t="str">
        <f>IF(ISBLANK(B3695),"",IF(ROUND(B3695,0)=ROUND(G3695,0),"Pass","Fail"))</f>
        <v>Pass</v>
      </c>
      <c r="B3695">
        <f t="shared" si="159"/>
        <v>74.017997741699219</v>
      </c>
      <c r="C3695">
        <v>40</v>
      </c>
      <c r="D3695">
        <v>30</v>
      </c>
      <c r="E3695">
        <v>100</v>
      </c>
      <c r="F3695">
        <v>0</v>
      </c>
      <c r="G3695">
        <v>74.018000000000001</v>
      </c>
    </row>
    <row r="3696" spans="1:7" x14ac:dyDescent="0.3">
      <c r="A3696" t="str">
        <f>IF(ISBLANK(B3696),"",IF(ROUND(B3696,0)=ROUND(G3696,0),"Pass","Fail"))</f>
        <v>Pass</v>
      </c>
      <c r="B3696">
        <f t="shared" si="159"/>
        <v>40.681228637695313</v>
      </c>
      <c r="C3696">
        <v>40</v>
      </c>
      <c r="D3696">
        <v>30</v>
      </c>
      <c r="E3696">
        <v>100</v>
      </c>
      <c r="F3696">
        <v>8</v>
      </c>
      <c r="G3696">
        <v>40.681228080723002</v>
      </c>
    </row>
    <row r="3697" spans="1:7" x14ac:dyDescent="0.3">
      <c r="A3697" t="str">
        <f>IF(ISBLANK(B3697),"",IF(ROUND(B3697,0)=ROUND(G3697,0),"Pass","Fail"))</f>
        <v>Pass</v>
      </c>
      <c r="B3697">
        <f t="shared" si="159"/>
        <v>23.899995803833008</v>
      </c>
      <c r="C3697">
        <v>40</v>
      </c>
      <c r="D3697">
        <v>30</v>
      </c>
      <c r="E3697">
        <v>100</v>
      </c>
      <c r="F3697">
        <v>16</v>
      </c>
      <c r="G3697">
        <v>23.899997247101702</v>
      </c>
    </row>
    <row r="3698" spans="1:7" x14ac:dyDescent="0.3">
      <c r="A3698" t="str">
        <f>IF(ISBLANK(B3698),"",IF(ROUND(B3698,0)=ROUND(G3698,0),"Pass","Fail"))</f>
        <v>Pass</v>
      </c>
      <c r="B3698">
        <f t="shared" si="159"/>
        <v>15.452577590942383</v>
      </c>
      <c r="C3698">
        <v>40</v>
      </c>
      <c r="D3698">
        <v>30</v>
      </c>
      <c r="E3698">
        <v>100</v>
      </c>
      <c r="F3698">
        <v>24</v>
      </c>
      <c r="G3698">
        <v>15.452577413736201</v>
      </c>
    </row>
    <row r="3699" spans="1:7" x14ac:dyDescent="0.3">
      <c r="A3699" t="str">
        <f>IF(ISBLANK(B3699),"",IF(ROUND(B3699,0)=ROUND(G3699,0),"Pass","Fail"))</f>
        <v>Pass</v>
      </c>
      <c r="B3699">
        <f t="shared" si="159"/>
        <v>11.200273513793945</v>
      </c>
      <c r="C3699">
        <v>40</v>
      </c>
      <c r="D3699">
        <v>30</v>
      </c>
      <c r="E3699">
        <v>100</v>
      </c>
      <c r="F3699">
        <v>32</v>
      </c>
      <c r="G3699">
        <v>11.2002730059946</v>
      </c>
    </row>
    <row r="3700" spans="1:7" x14ac:dyDescent="0.3">
      <c r="A3700" t="str">
        <f>IF(ISBLANK(B3700),"",IF(ROUND(B3700,0)=ROUND(G3700,0),"Pass","Fail"))</f>
        <v>Pass</v>
      </c>
      <c r="B3700">
        <f t="shared" si="159"/>
        <v>9.0597267150878906</v>
      </c>
      <c r="C3700">
        <v>40</v>
      </c>
      <c r="D3700">
        <v>30</v>
      </c>
      <c r="E3700">
        <v>100</v>
      </c>
      <c r="F3700">
        <v>40</v>
      </c>
      <c r="G3700">
        <v>9.0597267643271007</v>
      </c>
    </row>
    <row r="3701" spans="1:7" x14ac:dyDescent="0.3">
      <c r="A3701" t="str">
        <f>IF(ISBLANK(B3701),"",IF(ROUND(B3701,0)=ROUND(G3701,0),"Pass","Fail"))</f>
        <v>Pass</v>
      </c>
      <c r="B3701">
        <f t="shared" si="159"/>
        <v>7.9822077751159668</v>
      </c>
      <c r="C3701">
        <v>40</v>
      </c>
      <c r="D3701">
        <v>30</v>
      </c>
      <c r="E3701">
        <v>100</v>
      </c>
      <c r="F3701">
        <v>48</v>
      </c>
      <c r="G3701">
        <v>7.98220790081972</v>
      </c>
    </row>
    <row r="3702" spans="1:7" x14ac:dyDescent="0.3">
      <c r="A3702" t="str">
        <f>IF(ISBLANK(B3702),"",IF(ROUND(B3702,0)=ROUND(G3702,0),"Pass","Fail"))</f>
        <v>Pass</v>
      </c>
      <c r="B3702">
        <f t="shared" si="159"/>
        <v>8.2300004959106445</v>
      </c>
      <c r="C3702">
        <v>40</v>
      </c>
      <c r="D3702">
        <v>40</v>
      </c>
      <c r="E3702">
        <v>0</v>
      </c>
      <c r="F3702">
        <v>0</v>
      </c>
      <c r="G3702">
        <v>8.23</v>
      </c>
    </row>
    <row r="3703" spans="1:7" x14ac:dyDescent="0.3">
      <c r="A3703" t="str">
        <f>IF(ISBLANK(B3703),"",IF(ROUND(B3703,0)=ROUND(G3703,0),"Pass","Fail"))</f>
        <v>Pass</v>
      </c>
      <c r="B3703">
        <f t="shared" si="159"/>
        <v>8.2300004959106445</v>
      </c>
      <c r="C3703">
        <v>40</v>
      </c>
      <c r="D3703">
        <v>40</v>
      </c>
      <c r="E3703">
        <v>0</v>
      </c>
      <c r="F3703">
        <v>8</v>
      </c>
      <c r="G3703">
        <v>8.23</v>
      </c>
    </row>
    <row r="3704" spans="1:7" x14ac:dyDescent="0.3">
      <c r="A3704" t="str">
        <f>IF(ISBLANK(B3704),"",IF(ROUND(B3704,0)=ROUND(G3704,0),"Pass","Fail"))</f>
        <v>Pass</v>
      </c>
      <c r="B3704">
        <f t="shared" si="159"/>
        <v>8.2300004959106445</v>
      </c>
      <c r="C3704">
        <v>40</v>
      </c>
      <c r="D3704">
        <v>40</v>
      </c>
      <c r="E3704">
        <v>0</v>
      </c>
      <c r="F3704">
        <v>16</v>
      </c>
      <c r="G3704">
        <v>8.23</v>
      </c>
    </row>
    <row r="3705" spans="1:7" x14ac:dyDescent="0.3">
      <c r="A3705" t="str">
        <f>IF(ISBLANK(B3705),"",IF(ROUND(B3705,0)=ROUND(G3705,0),"Pass","Fail"))</f>
        <v>Pass</v>
      </c>
      <c r="B3705">
        <f t="shared" si="159"/>
        <v>8.2300004959106445</v>
      </c>
      <c r="C3705">
        <v>40</v>
      </c>
      <c r="D3705">
        <v>40</v>
      </c>
      <c r="E3705">
        <v>0</v>
      </c>
      <c r="F3705">
        <v>24</v>
      </c>
      <c r="G3705">
        <v>8.23</v>
      </c>
    </row>
    <row r="3706" spans="1:7" x14ac:dyDescent="0.3">
      <c r="A3706" t="str">
        <f>IF(ISBLANK(B3706),"",IF(ROUND(B3706,0)=ROUND(G3706,0),"Pass","Fail"))</f>
        <v>Pass</v>
      </c>
      <c r="B3706">
        <f t="shared" si="159"/>
        <v>8.2300004959106445</v>
      </c>
      <c r="C3706">
        <v>40</v>
      </c>
      <c r="D3706">
        <v>40</v>
      </c>
      <c r="E3706">
        <v>0</v>
      </c>
      <c r="F3706">
        <v>32</v>
      </c>
      <c r="G3706">
        <v>8.23</v>
      </c>
    </row>
    <row r="3707" spans="1:7" x14ac:dyDescent="0.3">
      <c r="A3707" t="str">
        <f>IF(ISBLANK(B3707),"",IF(ROUND(B3707,0)=ROUND(G3707,0),"Pass","Fail"))</f>
        <v>Pass</v>
      </c>
      <c r="B3707">
        <f t="shared" si="159"/>
        <v>8.2300004959106445</v>
      </c>
      <c r="C3707">
        <v>40</v>
      </c>
      <c r="D3707">
        <v>40</v>
      </c>
      <c r="E3707">
        <v>0</v>
      </c>
      <c r="F3707">
        <v>40</v>
      </c>
      <c r="G3707">
        <v>8.23</v>
      </c>
    </row>
    <row r="3708" spans="1:7" x14ac:dyDescent="0.3">
      <c r="A3708" t="str">
        <f>IF(ISBLANK(B3708),"",IF(ROUND(B3708,0)=ROUND(G3708,0),"Pass","Fail"))</f>
        <v>Pass</v>
      </c>
      <c r="B3708">
        <f t="shared" si="159"/>
        <v>8.2300004959106445</v>
      </c>
      <c r="C3708">
        <v>40</v>
      </c>
      <c r="D3708">
        <v>40</v>
      </c>
      <c r="E3708">
        <v>0</v>
      </c>
      <c r="F3708">
        <v>48</v>
      </c>
      <c r="G3708">
        <v>8.23</v>
      </c>
    </row>
    <row r="3709" spans="1:7" x14ac:dyDescent="0.3">
      <c r="A3709" t="str">
        <f>IF(ISBLANK(B3709),"",IF(ROUND(B3709,0)=ROUND(G3709,0),"Pass","Fail"))</f>
        <v>Pass</v>
      </c>
      <c r="B3709">
        <f t="shared" si="159"/>
        <v>75.358001708984375</v>
      </c>
      <c r="C3709">
        <v>40</v>
      </c>
      <c r="D3709">
        <v>40</v>
      </c>
      <c r="E3709">
        <v>10</v>
      </c>
      <c r="F3709">
        <v>0</v>
      </c>
      <c r="G3709">
        <v>75.357999999998299</v>
      </c>
    </row>
    <row r="3710" spans="1:7" x14ac:dyDescent="0.3">
      <c r="A3710" t="str">
        <f>IF(ISBLANK(B3710),"",IF(ROUND(B3710,0)=ROUND(G3710,0),"Pass","Fail"))</f>
        <v>Pass</v>
      </c>
      <c r="B3710">
        <f t="shared" si="159"/>
        <v>42.021228790283203</v>
      </c>
      <c r="C3710">
        <v>40</v>
      </c>
      <c r="D3710">
        <v>40</v>
      </c>
      <c r="E3710">
        <v>10</v>
      </c>
      <c r="F3710">
        <v>8</v>
      </c>
      <c r="G3710">
        <v>42.021228080722203</v>
      </c>
    </row>
    <row r="3711" spans="1:7" x14ac:dyDescent="0.3">
      <c r="A3711" t="str">
        <f>IF(ISBLANK(B3711),"",IF(ROUND(B3711,0)=ROUND(G3711,0),"Pass","Fail"))</f>
        <v>Pass</v>
      </c>
      <c r="B3711">
        <f t="shared" si="159"/>
        <v>25.239997863769531</v>
      </c>
      <c r="C3711">
        <v>40</v>
      </c>
      <c r="D3711">
        <v>40</v>
      </c>
      <c r="E3711">
        <v>10</v>
      </c>
      <c r="F3711">
        <v>16</v>
      </c>
      <c r="G3711">
        <v>25.2399972471013</v>
      </c>
    </row>
    <row r="3712" spans="1:7" x14ac:dyDescent="0.3">
      <c r="A3712" t="str">
        <f>IF(ISBLANK(B3712),"",IF(ROUND(B3712,0)=ROUND(G3712,0),"Pass","Fail"))</f>
        <v>Pass</v>
      </c>
      <c r="B3712">
        <f t="shared" si="159"/>
        <v>16.792577743530273</v>
      </c>
      <c r="C3712">
        <v>40</v>
      </c>
      <c r="D3712">
        <v>40</v>
      </c>
      <c r="E3712">
        <v>10</v>
      </c>
      <c r="F3712">
        <v>24</v>
      </c>
      <c r="G3712">
        <v>16.792577413736002</v>
      </c>
    </row>
    <row r="3713" spans="1:7" x14ac:dyDescent="0.3">
      <c r="A3713" t="str">
        <f>IF(ISBLANK(B3713),"",IF(ROUND(B3713,0)=ROUND(G3713,0),"Pass","Fail"))</f>
        <v>Pass</v>
      </c>
      <c r="B3713">
        <f t="shared" si="159"/>
        <v>12.540273666381836</v>
      </c>
      <c r="C3713">
        <v>40</v>
      </c>
      <c r="D3713">
        <v>40</v>
      </c>
      <c r="E3713">
        <v>10</v>
      </c>
      <c r="F3713">
        <v>32</v>
      </c>
      <c r="G3713">
        <v>12.5402730059945</v>
      </c>
    </row>
    <row r="3714" spans="1:7" x14ac:dyDescent="0.3">
      <c r="A3714" t="str">
        <f>IF(ISBLANK(B3714),"",IF(ROUND(B3714,0)=ROUND(G3714,0),"Pass","Fail"))</f>
        <v>Pass</v>
      </c>
      <c r="B3714">
        <f t="shared" si="159"/>
        <v>10.399726867675781</v>
      </c>
      <c r="C3714">
        <v>40</v>
      </c>
      <c r="D3714">
        <v>40</v>
      </c>
      <c r="E3714">
        <v>10</v>
      </c>
      <c r="F3714">
        <v>40</v>
      </c>
      <c r="G3714">
        <v>10.399726764326999</v>
      </c>
    </row>
    <row r="3715" spans="1:7" x14ac:dyDescent="0.3">
      <c r="A3715" t="str">
        <f>IF(ISBLANK(B3715),"",IF(ROUND(B3715,0)=ROUND(G3715,0),"Pass","Fail"))</f>
        <v>Pass</v>
      </c>
      <c r="B3715">
        <f t="shared" si="159"/>
        <v>9.3222084045410156</v>
      </c>
      <c r="C3715">
        <v>40</v>
      </c>
      <c r="D3715">
        <v>40</v>
      </c>
      <c r="E3715">
        <v>10</v>
      </c>
      <c r="F3715">
        <v>48</v>
      </c>
      <c r="G3715">
        <v>9.3222079008196896</v>
      </c>
    </row>
    <row r="3716" spans="1:7" x14ac:dyDescent="0.3">
      <c r="A3716" t="str">
        <f>IF(ISBLANK(B3716),"",IF(ROUND(B3716,0)=ROUND(G3716,0),"Pass","Fail"))</f>
        <v>Pass</v>
      </c>
      <c r="B3716">
        <f t="shared" si="159"/>
        <v>75.358001708984375</v>
      </c>
      <c r="C3716">
        <v>40</v>
      </c>
      <c r="D3716">
        <v>40</v>
      </c>
      <c r="E3716">
        <v>20</v>
      </c>
      <c r="F3716">
        <v>0</v>
      </c>
      <c r="G3716">
        <v>75.358000000000004</v>
      </c>
    </row>
    <row r="3717" spans="1:7" x14ac:dyDescent="0.3">
      <c r="A3717" t="str">
        <f>IF(ISBLANK(B3717),"",IF(ROUND(B3717,0)=ROUND(G3717,0),"Pass","Fail"))</f>
        <v>Pass</v>
      </c>
      <c r="B3717">
        <f t="shared" si="159"/>
        <v>42.021228790283203</v>
      </c>
      <c r="C3717">
        <v>40</v>
      </c>
      <c r="D3717">
        <v>40</v>
      </c>
      <c r="E3717">
        <v>20</v>
      </c>
      <c r="F3717">
        <v>8</v>
      </c>
      <c r="G3717">
        <v>42.021228080722999</v>
      </c>
    </row>
    <row r="3718" spans="1:7" x14ac:dyDescent="0.3">
      <c r="A3718" t="str">
        <f>IF(ISBLANK(B3718),"",IF(ROUND(B3718,0)=ROUND(G3718,0),"Pass","Fail"))</f>
        <v>Pass</v>
      </c>
      <c r="B3718">
        <f t="shared" si="159"/>
        <v>25.239997863769531</v>
      </c>
      <c r="C3718">
        <v>40</v>
      </c>
      <c r="D3718">
        <v>40</v>
      </c>
      <c r="E3718">
        <v>20</v>
      </c>
      <c r="F3718">
        <v>16</v>
      </c>
      <c r="G3718">
        <v>25.239997247101702</v>
      </c>
    </row>
    <row r="3719" spans="1:7" x14ac:dyDescent="0.3">
      <c r="A3719" t="str">
        <f>IF(ISBLANK(B3719),"",IF(ROUND(B3719,0)=ROUND(G3719,0),"Pass","Fail"))</f>
        <v>Pass</v>
      </c>
      <c r="B3719">
        <f t="shared" ref="B3719:B3782" si="160">FMC_heath(C3719,D3719,E3719,F3719)</f>
        <v>16.792577743530273</v>
      </c>
      <c r="C3719">
        <v>40</v>
      </c>
      <c r="D3719">
        <v>40</v>
      </c>
      <c r="E3719">
        <v>20</v>
      </c>
      <c r="F3719">
        <v>24</v>
      </c>
      <c r="G3719">
        <v>16.7925774137362</v>
      </c>
    </row>
    <row r="3720" spans="1:7" x14ac:dyDescent="0.3">
      <c r="A3720" t="str">
        <f>IF(ISBLANK(B3720),"",IF(ROUND(B3720,0)=ROUND(G3720,0),"Pass","Fail"))</f>
        <v>Pass</v>
      </c>
      <c r="B3720">
        <f t="shared" si="160"/>
        <v>12.540273666381836</v>
      </c>
      <c r="C3720">
        <v>40</v>
      </c>
      <c r="D3720">
        <v>40</v>
      </c>
      <c r="E3720">
        <v>20</v>
      </c>
      <c r="F3720">
        <v>32</v>
      </c>
      <c r="G3720">
        <v>12.540273005994599</v>
      </c>
    </row>
    <row r="3721" spans="1:7" x14ac:dyDescent="0.3">
      <c r="A3721" t="str">
        <f>IF(ISBLANK(B3721),"",IF(ROUND(B3721,0)=ROUND(G3721,0),"Pass","Fail"))</f>
        <v>Pass</v>
      </c>
      <c r="B3721">
        <f t="shared" si="160"/>
        <v>10.399726867675781</v>
      </c>
      <c r="C3721">
        <v>40</v>
      </c>
      <c r="D3721">
        <v>40</v>
      </c>
      <c r="E3721">
        <v>20</v>
      </c>
      <c r="F3721">
        <v>40</v>
      </c>
      <c r="G3721">
        <v>10.399726764327101</v>
      </c>
    </row>
    <row r="3722" spans="1:7" x14ac:dyDescent="0.3">
      <c r="A3722" t="str">
        <f>IF(ISBLANK(B3722),"",IF(ROUND(B3722,0)=ROUND(G3722,0),"Pass","Fail"))</f>
        <v>Pass</v>
      </c>
      <c r="B3722">
        <f t="shared" si="160"/>
        <v>9.3222084045410156</v>
      </c>
      <c r="C3722">
        <v>40</v>
      </c>
      <c r="D3722">
        <v>40</v>
      </c>
      <c r="E3722">
        <v>20</v>
      </c>
      <c r="F3722">
        <v>48</v>
      </c>
      <c r="G3722">
        <v>9.3222079008197198</v>
      </c>
    </row>
    <row r="3723" spans="1:7" x14ac:dyDescent="0.3">
      <c r="A3723" t="str">
        <f>IF(ISBLANK(B3723),"",IF(ROUND(B3723,0)=ROUND(G3723,0),"Pass","Fail"))</f>
        <v>Pass</v>
      </c>
      <c r="B3723">
        <f t="shared" si="160"/>
        <v>75.358001708984375</v>
      </c>
      <c r="C3723">
        <v>40</v>
      </c>
      <c r="D3723">
        <v>40</v>
      </c>
      <c r="E3723">
        <v>30</v>
      </c>
      <c r="F3723">
        <v>0</v>
      </c>
      <c r="G3723">
        <v>75.358000000000004</v>
      </c>
    </row>
    <row r="3724" spans="1:7" x14ac:dyDescent="0.3">
      <c r="A3724" t="str">
        <f>IF(ISBLANK(B3724),"",IF(ROUND(B3724,0)=ROUND(G3724,0),"Pass","Fail"))</f>
        <v>Pass</v>
      </c>
      <c r="B3724">
        <f t="shared" si="160"/>
        <v>42.021228790283203</v>
      </c>
      <c r="C3724">
        <v>40</v>
      </c>
      <c r="D3724">
        <v>40</v>
      </c>
      <c r="E3724">
        <v>30</v>
      </c>
      <c r="F3724">
        <v>8</v>
      </c>
      <c r="G3724">
        <v>42.021228080722999</v>
      </c>
    </row>
    <row r="3725" spans="1:7" x14ac:dyDescent="0.3">
      <c r="A3725" t="str">
        <f>IF(ISBLANK(B3725),"",IF(ROUND(B3725,0)=ROUND(G3725,0),"Pass","Fail"))</f>
        <v>Pass</v>
      </c>
      <c r="B3725">
        <f t="shared" si="160"/>
        <v>25.239997863769531</v>
      </c>
      <c r="C3725">
        <v>40</v>
      </c>
      <c r="D3725">
        <v>40</v>
      </c>
      <c r="E3725">
        <v>30</v>
      </c>
      <c r="F3725">
        <v>16</v>
      </c>
      <c r="G3725">
        <v>25.239997247101702</v>
      </c>
    </row>
    <row r="3726" spans="1:7" x14ac:dyDescent="0.3">
      <c r="A3726" t="str">
        <f>IF(ISBLANK(B3726),"",IF(ROUND(B3726,0)=ROUND(G3726,0),"Pass","Fail"))</f>
        <v>Pass</v>
      </c>
      <c r="B3726">
        <f t="shared" si="160"/>
        <v>16.792577743530273</v>
      </c>
      <c r="C3726">
        <v>40</v>
      </c>
      <c r="D3726">
        <v>40</v>
      </c>
      <c r="E3726">
        <v>30</v>
      </c>
      <c r="F3726">
        <v>24</v>
      </c>
      <c r="G3726">
        <v>16.7925774137362</v>
      </c>
    </row>
    <row r="3727" spans="1:7" x14ac:dyDescent="0.3">
      <c r="A3727" t="str">
        <f>IF(ISBLANK(B3727),"",IF(ROUND(B3727,0)=ROUND(G3727,0),"Pass","Fail"))</f>
        <v>Pass</v>
      </c>
      <c r="B3727">
        <f t="shared" si="160"/>
        <v>12.540273666381836</v>
      </c>
      <c r="C3727">
        <v>40</v>
      </c>
      <c r="D3727">
        <v>40</v>
      </c>
      <c r="E3727">
        <v>30</v>
      </c>
      <c r="F3727">
        <v>32</v>
      </c>
      <c r="G3727">
        <v>12.540273005994599</v>
      </c>
    </row>
    <row r="3728" spans="1:7" x14ac:dyDescent="0.3">
      <c r="A3728" t="str">
        <f>IF(ISBLANK(B3728),"",IF(ROUND(B3728,0)=ROUND(G3728,0),"Pass","Fail"))</f>
        <v>Pass</v>
      </c>
      <c r="B3728">
        <f t="shared" si="160"/>
        <v>10.399726867675781</v>
      </c>
      <c r="C3728">
        <v>40</v>
      </c>
      <c r="D3728">
        <v>40</v>
      </c>
      <c r="E3728">
        <v>30</v>
      </c>
      <c r="F3728">
        <v>40</v>
      </c>
      <c r="G3728">
        <v>10.399726764327101</v>
      </c>
    </row>
    <row r="3729" spans="1:7" x14ac:dyDescent="0.3">
      <c r="A3729" t="str">
        <f>IF(ISBLANK(B3729),"",IF(ROUND(B3729,0)=ROUND(G3729,0),"Pass","Fail"))</f>
        <v>Pass</v>
      </c>
      <c r="B3729">
        <f t="shared" si="160"/>
        <v>9.3222084045410156</v>
      </c>
      <c r="C3729">
        <v>40</v>
      </c>
      <c r="D3729">
        <v>40</v>
      </c>
      <c r="E3729">
        <v>30</v>
      </c>
      <c r="F3729">
        <v>48</v>
      </c>
      <c r="G3729">
        <v>9.3222079008197198</v>
      </c>
    </row>
    <row r="3730" spans="1:7" x14ac:dyDescent="0.3">
      <c r="A3730" t="str">
        <f>IF(ISBLANK(B3730),"",IF(ROUND(B3730,0)=ROUND(G3730,0),"Pass","Fail"))</f>
        <v>Pass</v>
      </c>
      <c r="B3730">
        <f t="shared" si="160"/>
        <v>75.358001708984375</v>
      </c>
      <c r="C3730">
        <v>40</v>
      </c>
      <c r="D3730">
        <v>40</v>
      </c>
      <c r="E3730">
        <v>40</v>
      </c>
      <c r="F3730">
        <v>0</v>
      </c>
      <c r="G3730">
        <v>75.358000000000004</v>
      </c>
    </row>
    <row r="3731" spans="1:7" x14ac:dyDescent="0.3">
      <c r="A3731" t="str">
        <f>IF(ISBLANK(B3731),"",IF(ROUND(B3731,0)=ROUND(G3731,0),"Pass","Fail"))</f>
        <v>Pass</v>
      </c>
      <c r="B3731">
        <f t="shared" si="160"/>
        <v>42.021228790283203</v>
      </c>
      <c r="C3731">
        <v>40</v>
      </c>
      <c r="D3731">
        <v>40</v>
      </c>
      <c r="E3731">
        <v>40</v>
      </c>
      <c r="F3731">
        <v>8</v>
      </c>
      <c r="G3731">
        <v>42.021228080722999</v>
      </c>
    </row>
    <row r="3732" spans="1:7" x14ac:dyDescent="0.3">
      <c r="A3732" t="str">
        <f>IF(ISBLANK(B3732),"",IF(ROUND(B3732,0)=ROUND(G3732,0),"Pass","Fail"))</f>
        <v>Pass</v>
      </c>
      <c r="B3732">
        <f t="shared" si="160"/>
        <v>25.239997863769531</v>
      </c>
      <c r="C3732">
        <v>40</v>
      </c>
      <c r="D3732">
        <v>40</v>
      </c>
      <c r="E3732">
        <v>40</v>
      </c>
      <c r="F3732">
        <v>16</v>
      </c>
      <c r="G3732">
        <v>25.239997247101702</v>
      </c>
    </row>
    <row r="3733" spans="1:7" x14ac:dyDescent="0.3">
      <c r="A3733" t="str">
        <f>IF(ISBLANK(B3733),"",IF(ROUND(B3733,0)=ROUND(G3733,0),"Pass","Fail"))</f>
        <v>Pass</v>
      </c>
      <c r="B3733">
        <f t="shared" si="160"/>
        <v>16.792577743530273</v>
      </c>
      <c r="C3733">
        <v>40</v>
      </c>
      <c r="D3733">
        <v>40</v>
      </c>
      <c r="E3733">
        <v>40</v>
      </c>
      <c r="F3733">
        <v>24</v>
      </c>
      <c r="G3733">
        <v>16.7925774137362</v>
      </c>
    </row>
    <row r="3734" spans="1:7" x14ac:dyDescent="0.3">
      <c r="A3734" t="str">
        <f>IF(ISBLANK(B3734),"",IF(ROUND(B3734,0)=ROUND(G3734,0),"Pass","Fail"))</f>
        <v>Pass</v>
      </c>
      <c r="B3734">
        <f t="shared" si="160"/>
        <v>12.540273666381836</v>
      </c>
      <c r="C3734">
        <v>40</v>
      </c>
      <c r="D3734">
        <v>40</v>
      </c>
      <c r="E3734">
        <v>40</v>
      </c>
      <c r="F3734">
        <v>32</v>
      </c>
      <c r="G3734">
        <v>12.540273005994599</v>
      </c>
    </row>
    <row r="3735" spans="1:7" x14ac:dyDescent="0.3">
      <c r="A3735" t="str">
        <f>IF(ISBLANK(B3735),"",IF(ROUND(B3735,0)=ROUND(G3735,0),"Pass","Fail"))</f>
        <v>Pass</v>
      </c>
      <c r="B3735">
        <f t="shared" si="160"/>
        <v>10.399726867675781</v>
      </c>
      <c r="C3735">
        <v>40</v>
      </c>
      <c r="D3735">
        <v>40</v>
      </c>
      <c r="E3735">
        <v>40</v>
      </c>
      <c r="F3735">
        <v>40</v>
      </c>
      <c r="G3735">
        <v>10.399726764327101</v>
      </c>
    </row>
    <row r="3736" spans="1:7" x14ac:dyDescent="0.3">
      <c r="A3736" t="str">
        <f>IF(ISBLANK(B3736),"",IF(ROUND(B3736,0)=ROUND(G3736,0),"Pass","Fail"))</f>
        <v>Pass</v>
      </c>
      <c r="B3736">
        <f t="shared" si="160"/>
        <v>9.3222084045410156</v>
      </c>
      <c r="C3736">
        <v>40</v>
      </c>
      <c r="D3736">
        <v>40</v>
      </c>
      <c r="E3736">
        <v>40</v>
      </c>
      <c r="F3736">
        <v>48</v>
      </c>
      <c r="G3736">
        <v>9.3222079008197198</v>
      </c>
    </row>
    <row r="3737" spans="1:7" x14ac:dyDescent="0.3">
      <c r="A3737" t="str">
        <f>IF(ISBLANK(B3737),"",IF(ROUND(B3737,0)=ROUND(G3737,0),"Pass","Fail"))</f>
        <v>Pass</v>
      </c>
      <c r="B3737">
        <f t="shared" si="160"/>
        <v>75.358001708984375</v>
      </c>
      <c r="C3737">
        <v>40</v>
      </c>
      <c r="D3737">
        <v>40</v>
      </c>
      <c r="E3737">
        <v>50</v>
      </c>
      <c r="F3737">
        <v>0</v>
      </c>
      <c r="G3737">
        <v>75.358000000000004</v>
      </c>
    </row>
    <row r="3738" spans="1:7" x14ac:dyDescent="0.3">
      <c r="A3738" t="str">
        <f>IF(ISBLANK(B3738),"",IF(ROUND(B3738,0)=ROUND(G3738,0),"Pass","Fail"))</f>
        <v>Pass</v>
      </c>
      <c r="B3738">
        <f t="shared" si="160"/>
        <v>42.021228790283203</v>
      </c>
      <c r="C3738">
        <v>40</v>
      </c>
      <c r="D3738">
        <v>40</v>
      </c>
      <c r="E3738">
        <v>50</v>
      </c>
      <c r="F3738">
        <v>8</v>
      </c>
      <c r="G3738">
        <v>42.021228080722999</v>
      </c>
    </row>
    <row r="3739" spans="1:7" x14ac:dyDescent="0.3">
      <c r="A3739" t="str">
        <f>IF(ISBLANK(B3739),"",IF(ROUND(B3739,0)=ROUND(G3739,0),"Pass","Fail"))</f>
        <v>Pass</v>
      </c>
      <c r="B3739">
        <f t="shared" si="160"/>
        <v>25.239997863769531</v>
      </c>
      <c r="C3739">
        <v>40</v>
      </c>
      <c r="D3739">
        <v>40</v>
      </c>
      <c r="E3739">
        <v>50</v>
      </c>
      <c r="F3739">
        <v>16</v>
      </c>
      <c r="G3739">
        <v>25.239997247101702</v>
      </c>
    </row>
    <row r="3740" spans="1:7" x14ac:dyDescent="0.3">
      <c r="A3740" t="str">
        <f>IF(ISBLANK(B3740),"",IF(ROUND(B3740,0)=ROUND(G3740,0),"Pass","Fail"))</f>
        <v>Pass</v>
      </c>
      <c r="B3740">
        <f t="shared" si="160"/>
        <v>16.792577743530273</v>
      </c>
      <c r="C3740">
        <v>40</v>
      </c>
      <c r="D3740">
        <v>40</v>
      </c>
      <c r="E3740">
        <v>50</v>
      </c>
      <c r="F3740">
        <v>24</v>
      </c>
      <c r="G3740">
        <v>16.7925774137362</v>
      </c>
    </row>
    <row r="3741" spans="1:7" x14ac:dyDescent="0.3">
      <c r="A3741" t="str">
        <f>IF(ISBLANK(B3741),"",IF(ROUND(B3741,0)=ROUND(G3741,0),"Pass","Fail"))</f>
        <v>Pass</v>
      </c>
      <c r="B3741">
        <f t="shared" si="160"/>
        <v>12.540273666381836</v>
      </c>
      <c r="C3741">
        <v>40</v>
      </c>
      <c r="D3741">
        <v>40</v>
      </c>
      <c r="E3741">
        <v>50</v>
      </c>
      <c r="F3741">
        <v>32</v>
      </c>
      <c r="G3741">
        <v>12.540273005994599</v>
      </c>
    </row>
    <row r="3742" spans="1:7" x14ac:dyDescent="0.3">
      <c r="A3742" t="str">
        <f>IF(ISBLANK(B3742),"",IF(ROUND(B3742,0)=ROUND(G3742,0),"Pass","Fail"))</f>
        <v>Pass</v>
      </c>
      <c r="B3742">
        <f t="shared" si="160"/>
        <v>10.399726867675781</v>
      </c>
      <c r="C3742">
        <v>40</v>
      </c>
      <c r="D3742">
        <v>40</v>
      </c>
      <c r="E3742">
        <v>50</v>
      </c>
      <c r="F3742">
        <v>40</v>
      </c>
      <c r="G3742">
        <v>10.399726764327101</v>
      </c>
    </row>
    <row r="3743" spans="1:7" x14ac:dyDescent="0.3">
      <c r="A3743" t="str">
        <f>IF(ISBLANK(B3743),"",IF(ROUND(B3743,0)=ROUND(G3743,0),"Pass","Fail"))</f>
        <v>Pass</v>
      </c>
      <c r="B3743">
        <f t="shared" si="160"/>
        <v>9.3222084045410156</v>
      </c>
      <c r="C3743">
        <v>40</v>
      </c>
      <c r="D3743">
        <v>40</v>
      </c>
      <c r="E3743">
        <v>50</v>
      </c>
      <c r="F3743">
        <v>48</v>
      </c>
      <c r="G3743">
        <v>9.3222079008197198</v>
      </c>
    </row>
    <row r="3744" spans="1:7" x14ac:dyDescent="0.3">
      <c r="A3744" t="str">
        <f>IF(ISBLANK(B3744),"",IF(ROUND(B3744,0)=ROUND(G3744,0),"Pass","Fail"))</f>
        <v>Pass</v>
      </c>
      <c r="B3744">
        <f t="shared" si="160"/>
        <v>75.358001708984375</v>
      </c>
      <c r="C3744">
        <v>40</v>
      </c>
      <c r="D3744">
        <v>40</v>
      </c>
      <c r="E3744">
        <v>60</v>
      </c>
      <c r="F3744">
        <v>0</v>
      </c>
      <c r="G3744">
        <v>75.358000000000004</v>
      </c>
    </row>
    <row r="3745" spans="1:7" x14ac:dyDescent="0.3">
      <c r="A3745" t="str">
        <f>IF(ISBLANK(B3745),"",IF(ROUND(B3745,0)=ROUND(G3745,0),"Pass","Fail"))</f>
        <v>Pass</v>
      </c>
      <c r="B3745">
        <f t="shared" si="160"/>
        <v>42.021228790283203</v>
      </c>
      <c r="C3745">
        <v>40</v>
      </c>
      <c r="D3745">
        <v>40</v>
      </c>
      <c r="E3745">
        <v>60</v>
      </c>
      <c r="F3745">
        <v>8</v>
      </c>
      <c r="G3745">
        <v>42.021228080722999</v>
      </c>
    </row>
    <row r="3746" spans="1:7" x14ac:dyDescent="0.3">
      <c r="A3746" t="str">
        <f>IF(ISBLANK(B3746),"",IF(ROUND(B3746,0)=ROUND(G3746,0),"Pass","Fail"))</f>
        <v>Pass</v>
      </c>
      <c r="B3746">
        <f t="shared" si="160"/>
        <v>25.239997863769531</v>
      </c>
      <c r="C3746">
        <v>40</v>
      </c>
      <c r="D3746">
        <v>40</v>
      </c>
      <c r="E3746">
        <v>60</v>
      </c>
      <c r="F3746">
        <v>16</v>
      </c>
      <c r="G3746">
        <v>25.239997247101702</v>
      </c>
    </row>
    <row r="3747" spans="1:7" x14ac:dyDescent="0.3">
      <c r="A3747" t="str">
        <f>IF(ISBLANK(B3747),"",IF(ROUND(B3747,0)=ROUND(G3747,0),"Pass","Fail"))</f>
        <v>Pass</v>
      </c>
      <c r="B3747">
        <f t="shared" si="160"/>
        <v>16.792577743530273</v>
      </c>
      <c r="C3747">
        <v>40</v>
      </c>
      <c r="D3747">
        <v>40</v>
      </c>
      <c r="E3747">
        <v>60</v>
      </c>
      <c r="F3747">
        <v>24</v>
      </c>
      <c r="G3747">
        <v>16.7925774137362</v>
      </c>
    </row>
    <row r="3748" spans="1:7" x14ac:dyDescent="0.3">
      <c r="A3748" t="str">
        <f>IF(ISBLANK(B3748),"",IF(ROUND(B3748,0)=ROUND(G3748,0),"Pass","Fail"))</f>
        <v>Pass</v>
      </c>
      <c r="B3748">
        <f t="shared" si="160"/>
        <v>12.540273666381836</v>
      </c>
      <c r="C3748">
        <v>40</v>
      </c>
      <c r="D3748">
        <v>40</v>
      </c>
      <c r="E3748">
        <v>60</v>
      </c>
      <c r="F3748">
        <v>32</v>
      </c>
      <c r="G3748">
        <v>12.540273005994599</v>
      </c>
    </row>
    <row r="3749" spans="1:7" x14ac:dyDescent="0.3">
      <c r="A3749" t="str">
        <f>IF(ISBLANK(B3749),"",IF(ROUND(B3749,0)=ROUND(G3749,0),"Pass","Fail"))</f>
        <v>Pass</v>
      </c>
      <c r="B3749">
        <f t="shared" si="160"/>
        <v>10.399726867675781</v>
      </c>
      <c r="C3749">
        <v>40</v>
      </c>
      <c r="D3749">
        <v>40</v>
      </c>
      <c r="E3749">
        <v>60</v>
      </c>
      <c r="F3749">
        <v>40</v>
      </c>
      <c r="G3749">
        <v>10.399726764327101</v>
      </c>
    </row>
    <row r="3750" spans="1:7" x14ac:dyDescent="0.3">
      <c r="A3750" t="str">
        <f>IF(ISBLANK(B3750),"",IF(ROUND(B3750,0)=ROUND(G3750,0),"Pass","Fail"))</f>
        <v>Pass</v>
      </c>
      <c r="B3750">
        <f t="shared" si="160"/>
        <v>9.3222084045410156</v>
      </c>
      <c r="C3750">
        <v>40</v>
      </c>
      <c r="D3750">
        <v>40</v>
      </c>
      <c r="E3750">
        <v>60</v>
      </c>
      <c r="F3750">
        <v>48</v>
      </c>
      <c r="G3750">
        <v>9.3222079008197198</v>
      </c>
    </row>
    <row r="3751" spans="1:7" x14ac:dyDescent="0.3">
      <c r="A3751" t="str">
        <f>IF(ISBLANK(B3751),"",IF(ROUND(B3751,0)=ROUND(G3751,0),"Pass","Fail"))</f>
        <v>Pass</v>
      </c>
      <c r="B3751">
        <f t="shared" si="160"/>
        <v>75.358001708984375</v>
      </c>
      <c r="C3751">
        <v>40</v>
      </c>
      <c r="D3751">
        <v>40</v>
      </c>
      <c r="E3751">
        <v>70</v>
      </c>
      <c r="F3751">
        <v>0</v>
      </c>
      <c r="G3751">
        <v>75.358000000000004</v>
      </c>
    </row>
    <row r="3752" spans="1:7" x14ac:dyDescent="0.3">
      <c r="A3752" t="str">
        <f>IF(ISBLANK(B3752),"",IF(ROUND(B3752,0)=ROUND(G3752,0),"Pass","Fail"))</f>
        <v>Pass</v>
      </c>
      <c r="B3752">
        <f t="shared" si="160"/>
        <v>42.021228790283203</v>
      </c>
      <c r="C3752">
        <v>40</v>
      </c>
      <c r="D3752">
        <v>40</v>
      </c>
      <c r="E3752">
        <v>70</v>
      </c>
      <c r="F3752">
        <v>8</v>
      </c>
      <c r="G3752">
        <v>42.021228080722999</v>
      </c>
    </row>
    <row r="3753" spans="1:7" x14ac:dyDescent="0.3">
      <c r="A3753" t="str">
        <f>IF(ISBLANK(B3753),"",IF(ROUND(B3753,0)=ROUND(G3753,0),"Pass","Fail"))</f>
        <v>Pass</v>
      </c>
      <c r="B3753">
        <f t="shared" si="160"/>
        <v>25.239997863769531</v>
      </c>
      <c r="C3753">
        <v>40</v>
      </c>
      <c r="D3753">
        <v>40</v>
      </c>
      <c r="E3753">
        <v>70</v>
      </c>
      <c r="F3753">
        <v>16</v>
      </c>
      <c r="G3753">
        <v>25.239997247101702</v>
      </c>
    </row>
    <row r="3754" spans="1:7" x14ac:dyDescent="0.3">
      <c r="A3754" t="str">
        <f>IF(ISBLANK(B3754),"",IF(ROUND(B3754,0)=ROUND(G3754,0),"Pass","Fail"))</f>
        <v>Pass</v>
      </c>
      <c r="B3754">
        <f t="shared" si="160"/>
        <v>16.792577743530273</v>
      </c>
      <c r="C3754">
        <v>40</v>
      </c>
      <c r="D3754">
        <v>40</v>
      </c>
      <c r="E3754">
        <v>70</v>
      </c>
      <c r="F3754">
        <v>24</v>
      </c>
      <c r="G3754">
        <v>16.7925774137362</v>
      </c>
    </row>
    <row r="3755" spans="1:7" x14ac:dyDescent="0.3">
      <c r="A3755" t="str">
        <f>IF(ISBLANK(B3755),"",IF(ROUND(B3755,0)=ROUND(G3755,0),"Pass","Fail"))</f>
        <v>Pass</v>
      </c>
      <c r="B3755">
        <f t="shared" si="160"/>
        <v>12.540273666381836</v>
      </c>
      <c r="C3755">
        <v>40</v>
      </c>
      <c r="D3755">
        <v>40</v>
      </c>
      <c r="E3755">
        <v>70</v>
      </c>
      <c r="F3755">
        <v>32</v>
      </c>
      <c r="G3755">
        <v>12.540273005994599</v>
      </c>
    </row>
    <row r="3756" spans="1:7" x14ac:dyDescent="0.3">
      <c r="A3756" t="str">
        <f>IF(ISBLANK(B3756),"",IF(ROUND(B3756,0)=ROUND(G3756,0),"Pass","Fail"))</f>
        <v>Pass</v>
      </c>
      <c r="B3756">
        <f t="shared" si="160"/>
        <v>10.399726867675781</v>
      </c>
      <c r="C3756">
        <v>40</v>
      </c>
      <c r="D3756">
        <v>40</v>
      </c>
      <c r="E3756">
        <v>70</v>
      </c>
      <c r="F3756">
        <v>40</v>
      </c>
      <c r="G3756">
        <v>10.399726764327101</v>
      </c>
    </row>
    <row r="3757" spans="1:7" x14ac:dyDescent="0.3">
      <c r="A3757" t="str">
        <f>IF(ISBLANK(B3757),"",IF(ROUND(B3757,0)=ROUND(G3757,0),"Pass","Fail"))</f>
        <v>Pass</v>
      </c>
      <c r="B3757">
        <f t="shared" si="160"/>
        <v>9.3222084045410156</v>
      </c>
      <c r="C3757">
        <v>40</v>
      </c>
      <c r="D3757">
        <v>40</v>
      </c>
      <c r="E3757">
        <v>70</v>
      </c>
      <c r="F3757">
        <v>48</v>
      </c>
      <c r="G3757">
        <v>9.3222079008197198</v>
      </c>
    </row>
    <row r="3758" spans="1:7" x14ac:dyDescent="0.3">
      <c r="A3758" t="str">
        <f>IF(ISBLANK(B3758),"",IF(ROUND(B3758,0)=ROUND(G3758,0),"Pass","Fail"))</f>
        <v>Pass</v>
      </c>
      <c r="B3758">
        <f t="shared" si="160"/>
        <v>75.358001708984375</v>
      </c>
      <c r="C3758">
        <v>40</v>
      </c>
      <c r="D3758">
        <v>40</v>
      </c>
      <c r="E3758">
        <v>80</v>
      </c>
      <c r="F3758">
        <v>0</v>
      </c>
      <c r="G3758">
        <v>75.358000000000004</v>
      </c>
    </row>
    <row r="3759" spans="1:7" x14ac:dyDescent="0.3">
      <c r="A3759" t="str">
        <f>IF(ISBLANK(B3759),"",IF(ROUND(B3759,0)=ROUND(G3759,0),"Pass","Fail"))</f>
        <v>Pass</v>
      </c>
      <c r="B3759">
        <f t="shared" si="160"/>
        <v>42.021228790283203</v>
      </c>
      <c r="C3759">
        <v>40</v>
      </c>
      <c r="D3759">
        <v>40</v>
      </c>
      <c r="E3759">
        <v>80</v>
      </c>
      <c r="F3759">
        <v>8</v>
      </c>
      <c r="G3759">
        <v>42.021228080722999</v>
      </c>
    </row>
    <row r="3760" spans="1:7" x14ac:dyDescent="0.3">
      <c r="A3760" t="str">
        <f>IF(ISBLANK(B3760),"",IF(ROUND(B3760,0)=ROUND(G3760,0),"Pass","Fail"))</f>
        <v>Pass</v>
      </c>
      <c r="B3760">
        <f t="shared" si="160"/>
        <v>25.239997863769531</v>
      </c>
      <c r="C3760">
        <v>40</v>
      </c>
      <c r="D3760">
        <v>40</v>
      </c>
      <c r="E3760">
        <v>80</v>
      </c>
      <c r="F3760">
        <v>16</v>
      </c>
      <c r="G3760">
        <v>25.239997247101702</v>
      </c>
    </row>
    <row r="3761" spans="1:7" x14ac:dyDescent="0.3">
      <c r="A3761" t="str">
        <f>IF(ISBLANK(B3761),"",IF(ROUND(B3761,0)=ROUND(G3761,0),"Pass","Fail"))</f>
        <v>Pass</v>
      </c>
      <c r="B3761">
        <f t="shared" si="160"/>
        <v>16.792577743530273</v>
      </c>
      <c r="C3761">
        <v>40</v>
      </c>
      <c r="D3761">
        <v>40</v>
      </c>
      <c r="E3761">
        <v>80</v>
      </c>
      <c r="F3761">
        <v>24</v>
      </c>
      <c r="G3761">
        <v>16.7925774137362</v>
      </c>
    </row>
    <row r="3762" spans="1:7" x14ac:dyDescent="0.3">
      <c r="A3762" t="str">
        <f>IF(ISBLANK(B3762),"",IF(ROUND(B3762,0)=ROUND(G3762,0),"Pass","Fail"))</f>
        <v>Pass</v>
      </c>
      <c r="B3762">
        <f t="shared" si="160"/>
        <v>12.540273666381836</v>
      </c>
      <c r="C3762">
        <v>40</v>
      </c>
      <c r="D3762">
        <v>40</v>
      </c>
      <c r="E3762">
        <v>80</v>
      </c>
      <c r="F3762">
        <v>32</v>
      </c>
      <c r="G3762">
        <v>12.540273005994599</v>
      </c>
    </row>
    <row r="3763" spans="1:7" x14ac:dyDescent="0.3">
      <c r="A3763" t="str">
        <f>IF(ISBLANK(B3763),"",IF(ROUND(B3763,0)=ROUND(G3763,0),"Pass","Fail"))</f>
        <v>Pass</v>
      </c>
      <c r="B3763">
        <f t="shared" si="160"/>
        <v>10.399726867675781</v>
      </c>
      <c r="C3763">
        <v>40</v>
      </c>
      <c r="D3763">
        <v>40</v>
      </c>
      <c r="E3763">
        <v>80</v>
      </c>
      <c r="F3763">
        <v>40</v>
      </c>
      <c r="G3763">
        <v>10.399726764327101</v>
      </c>
    </row>
    <row r="3764" spans="1:7" x14ac:dyDescent="0.3">
      <c r="A3764" t="str">
        <f>IF(ISBLANK(B3764),"",IF(ROUND(B3764,0)=ROUND(G3764,0),"Pass","Fail"))</f>
        <v>Pass</v>
      </c>
      <c r="B3764">
        <f t="shared" si="160"/>
        <v>9.3222084045410156</v>
      </c>
      <c r="C3764">
        <v>40</v>
      </c>
      <c r="D3764">
        <v>40</v>
      </c>
      <c r="E3764">
        <v>80</v>
      </c>
      <c r="F3764">
        <v>48</v>
      </c>
      <c r="G3764">
        <v>9.3222079008197198</v>
      </c>
    </row>
    <row r="3765" spans="1:7" x14ac:dyDescent="0.3">
      <c r="A3765" t="str">
        <f>IF(ISBLANK(B3765),"",IF(ROUND(B3765,0)=ROUND(G3765,0),"Pass","Fail"))</f>
        <v>Pass</v>
      </c>
      <c r="B3765">
        <f t="shared" si="160"/>
        <v>75.358001708984375</v>
      </c>
      <c r="C3765">
        <v>40</v>
      </c>
      <c r="D3765">
        <v>40</v>
      </c>
      <c r="E3765">
        <v>90</v>
      </c>
      <c r="F3765">
        <v>0</v>
      </c>
      <c r="G3765">
        <v>75.358000000000004</v>
      </c>
    </row>
    <row r="3766" spans="1:7" x14ac:dyDescent="0.3">
      <c r="A3766" t="str">
        <f>IF(ISBLANK(B3766),"",IF(ROUND(B3766,0)=ROUND(G3766,0),"Pass","Fail"))</f>
        <v>Pass</v>
      </c>
      <c r="B3766">
        <f t="shared" si="160"/>
        <v>42.021228790283203</v>
      </c>
      <c r="C3766">
        <v>40</v>
      </c>
      <c r="D3766">
        <v>40</v>
      </c>
      <c r="E3766">
        <v>90</v>
      </c>
      <c r="F3766">
        <v>8</v>
      </c>
      <c r="G3766">
        <v>42.021228080722999</v>
      </c>
    </row>
    <row r="3767" spans="1:7" x14ac:dyDescent="0.3">
      <c r="A3767" t="str">
        <f>IF(ISBLANK(B3767),"",IF(ROUND(B3767,0)=ROUND(G3767,0),"Pass","Fail"))</f>
        <v>Pass</v>
      </c>
      <c r="B3767">
        <f t="shared" si="160"/>
        <v>25.239997863769531</v>
      </c>
      <c r="C3767">
        <v>40</v>
      </c>
      <c r="D3767">
        <v>40</v>
      </c>
      <c r="E3767">
        <v>90</v>
      </c>
      <c r="F3767">
        <v>16</v>
      </c>
      <c r="G3767">
        <v>25.239997247101702</v>
      </c>
    </row>
    <row r="3768" spans="1:7" x14ac:dyDescent="0.3">
      <c r="A3768" t="str">
        <f>IF(ISBLANK(B3768),"",IF(ROUND(B3768,0)=ROUND(G3768,0),"Pass","Fail"))</f>
        <v>Pass</v>
      </c>
      <c r="B3768">
        <f t="shared" si="160"/>
        <v>16.792577743530273</v>
      </c>
      <c r="C3768">
        <v>40</v>
      </c>
      <c r="D3768">
        <v>40</v>
      </c>
      <c r="E3768">
        <v>90</v>
      </c>
      <c r="F3768">
        <v>24</v>
      </c>
      <c r="G3768">
        <v>16.7925774137362</v>
      </c>
    </row>
    <row r="3769" spans="1:7" x14ac:dyDescent="0.3">
      <c r="A3769" t="str">
        <f>IF(ISBLANK(B3769),"",IF(ROUND(B3769,0)=ROUND(G3769,0),"Pass","Fail"))</f>
        <v>Pass</v>
      </c>
      <c r="B3769">
        <f t="shared" si="160"/>
        <v>12.540273666381836</v>
      </c>
      <c r="C3769">
        <v>40</v>
      </c>
      <c r="D3769">
        <v>40</v>
      </c>
      <c r="E3769">
        <v>90</v>
      </c>
      <c r="F3769">
        <v>32</v>
      </c>
      <c r="G3769">
        <v>12.540273005994599</v>
      </c>
    </row>
    <row r="3770" spans="1:7" x14ac:dyDescent="0.3">
      <c r="A3770" t="str">
        <f>IF(ISBLANK(B3770),"",IF(ROUND(B3770,0)=ROUND(G3770,0),"Pass","Fail"))</f>
        <v>Pass</v>
      </c>
      <c r="B3770">
        <f t="shared" si="160"/>
        <v>10.399726867675781</v>
      </c>
      <c r="C3770">
        <v>40</v>
      </c>
      <c r="D3770">
        <v>40</v>
      </c>
      <c r="E3770">
        <v>90</v>
      </c>
      <c r="F3770">
        <v>40</v>
      </c>
      <c r="G3770">
        <v>10.399726764327101</v>
      </c>
    </row>
    <row r="3771" spans="1:7" x14ac:dyDescent="0.3">
      <c r="A3771" t="str">
        <f>IF(ISBLANK(B3771),"",IF(ROUND(B3771,0)=ROUND(G3771,0),"Pass","Fail"))</f>
        <v>Pass</v>
      </c>
      <c r="B3771">
        <f t="shared" si="160"/>
        <v>9.3222084045410156</v>
      </c>
      <c r="C3771">
        <v>40</v>
      </c>
      <c r="D3771">
        <v>40</v>
      </c>
      <c r="E3771">
        <v>90</v>
      </c>
      <c r="F3771">
        <v>48</v>
      </c>
      <c r="G3771">
        <v>9.3222079008197198</v>
      </c>
    </row>
    <row r="3772" spans="1:7" x14ac:dyDescent="0.3">
      <c r="A3772" t="str">
        <f>IF(ISBLANK(B3772),"",IF(ROUND(B3772,0)=ROUND(G3772,0),"Pass","Fail"))</f>
        <v>Pass</v>
      </c>
      <c r="B3772">
        <f t="shared" si="160"/>
        <v>75.358001708984375</v>
      </c>
      <c r="C3772">
        <v>40</v>
      </c>
      <c r="D3772">
        <v>40</v>
      </c>
      <c r="E3772">
        <v>100</v>
      </c>
      <c r="F3772">
        <v>0</v>
      </c>
      <c r="G3772">
        <v>75.358000000000004</v>
      </c>
    </row>
    <row r="3773" spans="1:7" x14ac:dyDescent="0.3">
      <c r="A3773" t="str">
        <f>IF(ISBLANK(B3773),"",IF(ROUND(B3773,0)=ROUND(G3773,0),"Pass","Fail"))</f>
        <v>Pass</v>
      </c>
      <c r="B3773">
        <f t="shared" si="160"/>
        <v>42.021228790283203</v>
      </c>
      <c r="C3773">
        <v>40</v>
      </c>
      <c r="D3773">
        <v>40</v>
      </c>
      <c r="E3773">
        <v>100</v>
      </c>
      <c r="F3773">
        <v>8</v>
      </c>
      <c r="G3773">
        <v>42.021228080722999</v>
      </c>
    </row>
    <row r="3774" spans="1:7" x14ac:dyDescent="0.3">
      <c r="A3774" t="str">
        <f>IF(ISBLANK(B3774),"",IF(ROUND(B3774,0)=ROUND(G3774,0),"Pass","Fail"))</f>
        <v>Pass</v>
      </c>
      <c r="B3774">
        <f t="shared" si="160"/>
        <v>25.239997863769531</v>
      </c>
      <c r="C3774">
        <v>40</v>
      </c>
      <c r="D3774">
        <v>40</v>
      </c>
      <c r="E3774">
        <v>100</v>
      </c>
      <c r="F3774">
        <v>16</v>
      </c>
      <c r="G3774">
        <v>25.239997247101702</v>
      </c>
    </row>
    <row r="3775" spans="1:7" x14ac:dyDescent="0.3">
      <c r="A3775" t="str">
        <f>IF(ISBLANK(B3775),"",IF(ROUND(B3775,0)=ROUND(G3775,0),"Pass","Fail"))</f>
        <v>Pass</v>
      </c>
      <c r="B3775">
        <f t="shared" si="160"/>
        <v>16.792577743530273</v>
      </c>
      <c r="C3775">
        <v>40</v>
      </c>
      <c r="D3775">
        <v>40</v>
      </c>
      <c r="E3775">
        <v>100</v>
      </c>
      <c r="F3775">
        <v>24</v>
      </c>
      <c r="G3775">
        <v>16.7925774137362</v>
      </c>
    </row>
    <row r="3776" spans="1:7" x14ac:dyDescent="0.3">
      <c r="A3776" t="str">
        <f>IF(ISBLANK(B3776),"",IF(ROUND(B3776,0)=ROUND(G3776,0),"Pass","Fail"))</f>
        <v>Pass</v>
      </c>
      <c r="B3776">
        <f t="shared" si="160"/>
        <v>12.540273666381836</v>
      </c>
      <c r="C3776">
        <v>40</v>
      </c>
      <c r="D3776">
        <v>40</v>
      </c>
      <c r="E3776">
        <v>100</v>
      </c>
      <c r="F3776">
        <v>32</v>
      </c>
      <c r="G3776">
        <v>12.540273005994599</v>
      </c>
    </row>
    <row r="3777" spans="1:7" x14ac:dyDescent="0.3">
      <c r="A3777" t="str">
        <f>IF(ISBLANK(B3777),"",IF(ROUND(B3777,0)=ROUND(G3777,0),"Pass","Fail"))</f>
        <v>Pass</v>
      </c>
      <c r="B3777">
        <f t="shared" si="160"/>
        <v>10.399726867675781</v>
      </c>
      <c r="C3777">
        <v>40</v>
      </c>
      <c r="D3777">
        <v>40</v>
      </c>
      <c r="E3777">
        <v>100</v>
      </c>
      <c r="F3777">
        <v>40</v>
      </c>
      <c r="G3777">
        <v>10.399726764327101</v>
      </c>
    </row>
    <row r="3778" spans="1:7" x14ac:dyDescent="0.3">
      <c r="A3778" t="str">
        <f>IF(ISBLANK(B3778),"",IF(ROUND(B3778,0)=ROUND(G3778,0),"Pass","Fail"))</f>
        <v>Pass</v>
      </c>
      <c r="B3778">
        <f t="shared" si="160"/>
        <v>9.3222084045410156</v>
      </c>
      <c r="C3778">
        <v>40</v>
      </c>
      <c r="D3778">
        <v>40</v>
      </c>
      <c r="E3778">
        <v>100</v>
      </c>
      <c r="F3778">
        <v>48</v>
      </c>
      <c r="G3778">
        <v>9.3222079008197198</v>
      </c>
    </row>
    <row r="3779" spans="1:7" x14ac:dyDescent="0.3">
      <c r="A3779" t="str">
        <f>IF(ISBLANK(B3779),"",IF(ROUND(B3779,0)=ROUND(G3779,0),"Pass","Fail"))</f>
        <v>Pass</v>
      </c>
      <c r="B3779">
        <f t="shared" si="160"/>
        <v>9.5699996948242188</v>
      </c>
      <c r="C3779">
        <v>40</v>
      </c>
      <c r="D3779">
        <v>50</v>
      </c>
      <c r="E3779">
        <v>0</v>
      </c>
      <c r="F3779">
        <v>0</v>
      </c>
      <c r="G3779">
        <v>9.57</v>
      </c>
    </row>
    <row r="3780" spans="1:7" x14ac:dyDescent="0.3">
      <c r="A3780" t="str">
        <f>IF(ISBLANK(B3780),"",IF(ROUND(B3780,0)=ROUND(G3780,0),"Pass","Fail"))</f>
        <v>Pass</v>
      </c>
      <c r="B3780">
        <f t="shared" si="160"/>
        <v>9.5699996948242188</v>
      </c>
      <c r="C3780">
        <v>40</v>
      </c>
      <c r="D3780">
        <v>50</v>
      </c>
      <c r="E3780">
        <v>0</v>
      </c>
      <c r="F3780">
        <v>8</v>
      </c>
      <c r="G3780">
        <v>9.57</v>
      </c>
    </row>
    <row r="3781" spans="1:7" x14ac:dyDescent="0.3">
      <c r="A3781" t="str">
        <f>IF(ISBLANK(B3781),"",IF(ROUND(B3781,0)=ROUND(G3781,0),"Pass","Fail"))</f>
        <v>Pass</v>
      </c>
      <c r="B3781">
        <f t="shared" si="160"/>
        <v>9.5699996948242188</v>
      </c>
      <c r="C3781">
        <v>40</v>
      </c>
      <c r="D3781">
        <v>50</v>
      </c>
      <c r="E3781">
        <v>0</v>
      </c>
      <c r="F3781">
        <v>16</v>
      </c>
      <c r="G3781">
        <v>9.57</v>
      </c>
    </row>
    <row r="3782" spans="1:7" x14ac:dyDescent="0.3">
      <c r="A3782" t="str">
        <f>IF(ISBLANK(B3782),"",IF(ROUND(B3782,0)=ROUND(G3782,0),"Pass","Fail"))</f>
        <v>Pass</v>
      </c>
      <c r="B3782">
        <f t="shared" si="160"/>
        <v>9.5699996948242188</v>
      </c>
      <c r="C3782">
        <v>40</v>
      </c>
      <c r="D3782">
        <v>50</v>
      </c>
      <c r="E3782">
        <v>0</v>
      </c>
      <c r="F3782">
        <v>24</v>
      </c>
      <c r="G3782">
        <v>9.57</v>
      </c>
    </row>
    <row r="3783" spans="1:7" x14ac:dyDescent="0.3">
      <c r="A3783" t="str">
        <f>IF(ISBLANK(B3783),"",IF(ROUND(B3783,0)=ROUND(G3783,0),"Pass","Fail"))</f>
        <v>Pass</v>
      </c>
      <c r="B3783">
        <f t="shared" ref="B3783:B3846" si="161">FMC_heath(C3783,D3783,E3783,F3783)</f>
        <v>9.5699996948242188</v>
      </c>
      <c r="C3783">
        <v>40</v>
      </c>
      <c r="D3783">
        <v>50</v>
      </c>
      <c r="E3783">
        <v>0</v>
      </c>
      <c r="F3783">
        <v>32</v>
      </c>
      <c r="G3783">
        <v>9.57</v>
      </c>
    </row>
    <row r="3784" spans="1:7" x14ac:dyDescent="0.3">
      <c r="A3784" t="str">
        <f>IF(ISBLANK(B3784),"",IF(ROUND(B3784,0)=ROUND(G3784,0),"Pass","Fail"))</f>
        <v>Pass</v>
      </c>
      <c r="B3784">
        <f t="shared" si="161"/>
        <v>9.5699996948242188</v>
      </c>
      <c r="C3784">
        <v>40</v>
      </c>
      <c r="D3784">
        <v>50</v>
      </c>
      <c r="E3784">
        <v>0</v>
      </c>
      <c r="F3784">
        <v>40</v>
      </c>
      <c r="G3784">
        <v>9.57</v>
      </c>
    </row>
    <row r="3785" spans="1:7" x14ac:dyDescent="0.3">
      <c r="A3785" t="str">
        <f>IF(ISBLANK(B3785),"",IF(ROUND(B3785,0)=ROUND(G3785,0),"Pass","Fail"))</f>
        <v>Pass</v>
      </c>
      <c r="B3785">
        <f t="shared" si="161"/>
        <v>9.5699996948242188</v>
      </c>
      <c r="C3785">
        <v>40</v>
      </c>
      <c r="D3785">
        <v>50</v>
      </c>
      <c r="E3785">
        <v>0</v>
      </c>
      <c r="F3785">
        <v>48</v>
      </c>
      <c r="G3785">
        <v>9.57</v>
      </c>
    </row>
    <row r="3786" spans="1:7" x14ac:dyDescent="0.3">
      <c r="A3786" t="str">
        <f>IF(ISBLANK(B3786),"",IF(ROUND(B3786,0)=ROUND(G3786,0),"Pass","Fail"))</f>
        <v>Pass</v>
      </c>
      <c r="B3786">
        <f t="shared" si="161"/>
        <v>76.697998046875</v>
      </c>
      <c r="C3786">
        <v>40</v>
      </c>
      <c r="D3786">
        <v>50</v>
      </c>
      <c r="E3786">
        <v>10</v>
      </c>
      <c r="F3786">
        <v>0</v>
      </c>
      <c r="G3786">
        <v>76.697999999998302</v>
      </c>
    </row>
    <row r="3787" spans="1:7" x14ac:dyDescent="0.3">
      <c r="A3787" t="str">
        <f>IF(ISBLANK(B3787),"",IF(ROUND(B3787,0)=ROUND(G3787,0),"Pass","Fail"))</f>
        <v>Pass</v>
      </c>
      <c r="B3787">
        <f t="shared" si="161"/>
        <v>43.361228942871094</v>
      </c>
      <c r="C3787">
        <v>40</v>
      </c>
      <c r="D3787">
        <v>50</v>
      </c>
      <c r="E3787">
        <v>10</v>
      </c>
      <c r="F3787">
        <v>8</v>
      </c>
      <c r="G3787">
        <v>43.361228080722199</v>
      </c>
    </row>
    <row r="3788" spans="1:7" x14ac:dyDescent="0.3">
      <c r="A3788" t="str">
        <f>IF(ISBLANK(B3788),"",IF(ROUND(B3788,0)=ROUND(G3788,0),"Pass","Fail"))</f>
        <v>Pass</v>
      </c>
      <c r="B3788">
        <f t="shared" si="161"/>
        <v>26.579996109008789</v>
      </c>
      <c r="C3788">
        <v>40</v>
      </c>
      <c r="D3788">
        <v>50</v>
      </c>
      <c r="E3788">
        <v>10</v>
      </c>
      <c r="F3788">
        <v>16</v>
      </c>
      <c r="G3788">
        <v>26.5799972471013</v>
      </c>
    </row>
    <row r="3789" spans="1:7" x14ac:dyDescent="0.3">
      <c r="A3789" t="str">
        <f>IF(ISBLANK(B3789),"",IF(ROUND(B3789,0)=ROUND(G3789,0),"Pass","Fail"))</f>
        <v>Pass</v>
      </c>
      <c r="B3789">
        <f t="shared" si="161"/>
        <v>18.132575988769531</v>
      </c>
      <c r="C3789">
        <v>40</v>
      </c>
      <c r="D3789">
        <v>50</v>
      </c>
      <c r="E3789">
        <v>10</v>
      </c>
      <c r="F3789">
        <v>24</v>
      </c>
      <c r="G3789">
        <v>18.132577413736001</v>
      </c>
    </row>
    <row r="3790" spans="1:7" x14ac:dyDescent="0.3">
      <c r="A3790" t="str">
        <f>IF(ISBLANK(B3790),"",IF(ROUND(B3790,0)=ROUND(G3790,0),"Pass","Fail"))</f>
        <v>Pass</v>
      </c>
      <c r="B3790">
        <f t="shared" si="161"/>
        <v>13.88027286529541</v>
      </c>
      <c r="C3790">
        <v>40</v>
      </c>
      <c r="D3790">
        <v>50</v>
      </c>
      <c r="E3790">
        <v>10</v>
      </c>
      <c r="F3790">
        <v>32</v>
      </c>
      <c r="G3790">
        <v>13.8802730059945</v>
      </c>
    </row>
    <row r="3791" spans="1:7" x14ac:dyDescent="0.3">
      <c r="A3791" t="str">
        <f>IF(ISBLANK(B3791),"",IF(ROUND(B3791,0)=ROUND(G3791,0),"Pass","Fail"))</f>
        <v>Pass</v>
      </c>
      <c r="B3791">
        <f t="shared" si="161"/>
        <v>11.739727020263672</v>
      </c>
      <c r="C3791">
        <v>40</v>
      </c>
      <c r="D3791">
        <v>50</v>
      </c>
      <c r="E3791">
        <v>10</v>
      </c>
      <c r="F3791">
        <v>40</v>
      </c>
      <c r="G3791">
        <v>11.739726764326999</v>
      </c>
    </row>
    <row r="3792" spans="1:7" x14ac:dyDescent="0.3">
      <c r="A3792" t="str">
        <f>IF(ISBLANK(B3792),"",IF(ROUND(B3792,0)=ROUND(G3792,0),"Pass","Fail"))</f>
        <v>Pass</v>
      </c>
      <c r="B3792">
        <f t="shared" si="161"/>
        <v>10.66220760345459</v>
      </c>
      <c r="C3792">
        <v>40</v>
      </c>
      <c r="D3792">
        <v>50</v>
      </c>
      <c r="E3792">
        <v>10</v>
      </c>
      <c r="F3792">
        <v>48</v>
      </c>
      <c r="G3792">
        <v>10.6622079008197</v>
      </c>
    </row>
    <row r="3793" spans="1:7" x14ac:dyDescent="0.3">
      <c r="A3793" t="str">
        <f>IF(ISBLANK(B3793),"",IF(ROUND(B3793,0)=ROUND(G3793,0),"Pass","Fail"))</f>
        <v>Pass</v>
      </c>
      <c r="B3793">
        <f t="shared" si="161"/>
        <v>76.697998046875</v>
      </c>
      <c r="C3793">
        <v>40</v>
      </c>
      <c r="D3793">
        <v>50</v>
      </c>
      <c r="E3793">
        <v>20</v>
      </c>
      <c r="F3793">
        <v>0</v>
      </c>
      <c r="G3793">
        <v>76.697999999999993</v>
      </c>
    </row>
    <row r="3794" spans="1:7" x14ac:dyDescent="0.3">
      <c r="A3794" t="str">
        <f>IF(ISBLANK(B3794),"",IF(ROUND(B3794,0)=ROUND(G3794,0),"Pass","Fail"))</f>
        <v>Pass</v>
      </c>
      <c r="B3794">
        <f t="shared" si="161"/>
        <v>43.361228942871094</v>
      </c>
      <c r="C3794">
        <v>40</v>
      </c>
      <c r="D3794">
        <v>50</v>
      </c>
      <c r="E3794">
        <v>20</v>
      </c>
      <c r="F3794">
        <v>8</v>
      </c>
      <c r="G3794">
        <v>43.361228080723002</v>
      </c>
    </row>
    <row r="3795" spans="1:7" x14ac:dyDescent="0.3">
      <c r="A3795" t="str">
        <f>IF(ISBLANK(B3795),"",IF(ROUND(B3795,0)=ROUND(G3795,0),"Pass","Fail"))</f>
        <v>Pass</v>
      </c>
      <c r="B3795">
        <f t="shared" si="161"/>
        <v>26.579996109008789</v>
      </c>
      <c r="C3795">
        <v>40</v>
      </c>
      <c r="D3795">
        <v>50</v>
      </c>
      <c r="E3795">
        <v>20</v>
      </c>
      <c r="F3795">
        <v>16</v>
      </c>
      <c r="G3795">
        <v>26.579997247101701</v>
      </c>
    </row>
    <row r="3796" spans="1:7" x14ac:dyDescent="0.3">
      <c r="A3796" t="str">
        <f>IF(ISBLANK(B3796),"",IF(ROUND(B3796,0)=ROUND(G3796,0),"Pass","Fail"))</f>
        <v>Pass</v>
      </c>
      <c r="B3796">
        <f t="shared" si="161"/>
        <v>18.132575988769531</v>
      </c>
      <c r="C3796">
        <v>40</v>
      </c>
      <c r="D3796">
        <v>50</v>
      </c>
      <c r="E3796">
        <v>20</v>
      </c>
      <c r="F3796">
        <v>24</v>
      </c>
      <c r="G3796">
        <v>18.1325774137362</v>
      </c>
    </row>
    <row r="3797" spans="1:7" x14ac:dyDescent="0.3">
      <c r="A3797" t="str">
        <f>IF(ISBLANK(B3797),"",IF(ROUND(B3797,0)=ROUND(G3797,0),"Pass","Fail"))</f>
        <v>Pass</v>
      </c>
      <c r="B3797">
        <f t="shared" si="161"/>
        <v>13.88027286529541</v>
      </c>
      <c r="C3797">
        <v>40</v>
      </c>
      <c r="D3797">
        <v>50</v>
      </c>
      <c r="E3797">
        <v>20</v>
      </c>
      <c r="F3797">
        <v>32</v>
      </c>
      <c r="G3797">
        <v>13.880273005994599</v>
      </c>
    </row>
    <row r="3798" spans="1:7" x14ac:dyDescent="0.3">
      <c r="A3798" t="str">
        <f>IF(ISBLANK(B3798),"",IF(ROUND(B3798,0)=ROUND(G3798,0),"Pass","Fail"))</f>
        <v>Pass</v>
      </c>
      <c r="B3798">
        <f t="shared" si="161"/>
        <v>11.739727020263672</v>
      </c>
      <c r="C3798">
        <v>40</v>
      </c>
      <c r="D3798">
        <v>50</v>
      </c>
      <c r="E3798">
        <v>20</v>
      </c>
      <c r="F3798">
        <v>40</v>
      </c>
      <c r="G3798">
        <v>11.7397267643271</v>
      </c>
    </row>
    <row r="3799" spans="1:7" x14ac:dyDescent="0.3">
      <c r="A3799" t="str">
        <f>IF(ISBLANK(B3799),"",IF(ROUND(B3799,0)=ROUND(G3799,0),"Pass","Fail"))</f>
        <v>Pass</v>
      </c>
      <c r="B3799">
        <f t="shared" si="161"/>
        <v>10.66220760345459</v>
      </c>
      <c r="C3799">
        <v>40</v>
      </c>
      <c r="D3799">
        <v>50</v>
      </c>
      <c r="E3799">
        <v>20</v>
      </c>
      <c r="F3799">
        <v>48</v>
      </c>
      <c r="G3799">
        <v>10.6622079008197</v>
      </c>
    </row>
    <row r="3800" spans="1:7" x14ac:dyDescent="0.3">
      <c r="A3800" t="str">
        <f>IF(ISBLANK(B3800),"",IF(ROUND(B3800,0)=ROUND(G3800,0),"Pass","Fail"))</f>
        <v>Pass</v>
      </c>
      <c r="B3800">
        <f t="shared" si="161"/>
        <v>76.697998046875</v>
      </c>
      <c r="C3800">
        <v>40</v>
      </c>
      <c r="D3800">
        <v>50</v>
      </c>
      <c r="E3800">
        <v>30</v>
      </c>
      <c r="F3800">
        <v>0</v>
      </c>
      <c r="G3800">
        <v>76.697999999999993</v>
      </c>
    </row>
    <row r="3801" spans="1:7" x14ac:dyDescent="0.3">
      <c r="A3801" t="str">
        <f>IF(ISBLANK(B3801),"",IF(ROUND(B3801,0)=ROUND(G3801,0),"Pass","Fail"))</f>
        <v>Pass</v>
      </c>
      <c r="B3801">
        <f t="shared" si="161"/>
        <v>43.361228942871094</v>
      </c>
      <c r="C3801">
        <v>40</v>
      </c>
      <c r="D3801">
        <v>50</v>
      </c>
      <c r="E3801">
        <v>30</v>
      </c>
      <c r="F3801">
        <v>8</v>
      </c>
      <c r="G3801">
        <v>43.361228080723002</v>
      </c>
    </row>
    <row r="3802" spans="1:7" x14ac:dyDescent="0.3">
      <c r="A3802" t="str">
        <f>IF(ISBLANK(B3802),"",IF(ROUND(B3802,0)=ROUND(G3802,0),"Pass","Fail"))</f>
        <v>Pass</v>
      </c>
      <c r="B3802">
        <f t="shared" si="161"/>
        <v>26.579996109008789</v>
      </c>
      <c r="C3802">
        <v>40</v>
      </c>
      <c r="D3802">
        <v>50</v>
      </c>
      <c r="E3802">
        <v>30</v>
      </c>
      <c r="F3802">
        <v>16</v>
      </c>
      <c r="G3802">
        <v>26.579997247101701</v>
      </c>
    </row>
    <row r="3803" spans="1:7" x14ac:dyDescent="0.3">
      <c r="A3803" t="str">
        <f>IF(ISBLANK(B3803),"",IF(ROUND(B3803,0)=ROUND(G3803,0),"Pass","Fail"))</f>
        <v>Pass</v>
      </c>
      <c r="B3803">
        <f t="shared" si="161"/>
        <v>18.132575988769531</v>
      </c>
      <c r="C3803">
        <v>40</v>
      </c>
      <c r="D3803">
        <v>50</v>
      </c>
      <c r="E3803">
        <v>30</v>
      </c>
      <c r="F3803">
        <v>24</v>
      </c>
      <c r="G3803">
        <v>18.1325774137362</v>
      </c>
    </row>
    <row r="3804" spans="1:7" x14ac:dyDescent="0.3">
      <c r="A3804" t="str">
        <f>IF(ISBLANK(B3804),"",IF(ROUND(B3804,0)=ROUND(G3804,0),"Pass","Fail"))</f>
        <v>Pass</v>
      </c>
      <c r="B3804">
        <f t="shared" si="161"/>
        <v>13.88027286529541</v>
      </c>
      <c r="C3804">
        <v>40</v>
      </c>
      <c r="D3804">
        <v>50</v>
      </c>
      <c r="E3804">
        <v>30</v>
      </c>
      <c r="F3804">
        <v>32</v>
      </c>
      <c r="G3804">
        <v>13.880273005994599</v>
      </c>
    </row>
    <row r="3805" spans="1:7" x14ac:dyDescent="0.3">
      <c r="A3805" t="str">
        <f>IF(ISBLANK(B3805),"",IF(ROUND(B3805,0)=ROUND(G3805,0),"Pass","Fail"))</f>
        <v>Pass</v>
      </c>
      <c r="B3805">
        <f t="shared" si="161"/>
        <v>11.739727020263672</v>
      </c>
      <c r="C3805">
        <v>40</v>
      </c>
      <c r="D3805">
        <v>50</v>
      </c>
      <c r="E3805">
        <v>30</v>
      </c>
      <c r="F3805">
        <v>40</v>
      </c>
      <c r="G3805">
        <v>11.7397267643271</v>
      </c>
    </row>
    <row r="3806" spans="1:7" x14ac:dyDescent="0.3">
      <c r="A3806" t="str">
        <f>IF(ISBLANK(B3806),"",IF(ROUND(B3806,0)=ROUND(G3806,0),"Pass","Fail"))</f>
        <v>Pass</v>
      </c>
      <c r="B3806">
        <f t="shared" si="161"/>
        <v>10.66220760345459</v>
      </c>
      <c r="C3806">
        <v>40</v>
      </c>
      <c r="D3806">
        <v>50</v>
      </c>
      <c r="E3806">
        <v>30</v>
      </c>
      <c r="F3806">
        <v>48</v>
      </c>
      <c r="G3806">
        <v>10.6622079008197</v>
      </c>
    </row>
    <row r="3807" spans="1:7" x14ac:dyDescent="0.3">
      <c r="A3807" t="str">
        <f>IF(ISBLANK(B3807),"",IF(ROUND(B3807,0)=ROUND(G3807,0),"Pass","Fail"))</f>
        <v>Pass</v>
      </c>
      <c r="B3807">
        <f t="shared" si="161"/>
        <v>76.697998046875</v>
      </c>
      <c r="C3807">
        <v>40</v>
      </c>
      <c r="D3807">
        <v>50</v>
      </c>
      <c r="E3807">
        <v>40</v>
      </c>
      <c r="F3807">
        <v>0</v>
      </c>
      <c r="G3807">
        <v>76.697999999999993</v>
      </c>
    </row>
    <row r="3808" spans="1:7" x14ac:dyDescent="0.3">
      <c r="A3808" t="str">
        <f>IF(ISBLANK(B3808),"",IF(ROUND(B3808,0)=ROUND(G3808,0),"Pass","Fail"))</f>
        <v>Pass</v>
      </c>
      <c r="B3808">
        <f t="shared" si="161"/>
        <v>43.361228942871094</v>
      </c>
      <c r="C3808">
        <v>40</v>
      </c>
      <c r="D3808">
        <v>50</v>
      </c>
      <c r="E3808">
        <v>40</v>
      </c>
      <c r="F3808">
        <v>8</v>
      </c>
      <c r="G3808">
        <v>43.361228080723002</v>
      </c>
    </row>
    <row r="3809" spans="1:7" x14ac:dyDescent="0.3">
      <c r="A3809" t="str">
        <f>IF(ISBLANK(B3809),"",IF(ROUND(B3809,0)=ROUND(G3809,0),"Pass","Fail"))</f>
        <v>Pass</v>
      </c>
      <c r="B3809">
        <f t="shared" si="161"/>
        <v>26.579996109008789</v>
      </c>
      <c r="C3809">
        <v>40</v>
      </c>
      <c r="D3809">
        <v>50</v>
      </c>
      <c r="E3809">
        <v>40</v>
      </c>
      <c r="F3809">
        <v>16</v>
      </c>
      <c r="G3809">
        <v>26.579997247101701</v>
      </c>
    </row>
    <row r="3810" spans="1:7" x14ac:dyDescent="0.3">
      <c r="A3810" t="str">
        <f>IF(ISBLANK(B3810),"",IF(ROUND(B3810,0)=ROUND(G3810,0),"Pass","Fail"))</f>
        <v>Pass</v>
      </c>
      <c r="B3810">
        <f t="shared" si="161"/>
        <v>18.132575988769531</v>
      </c>
      <c r="C3810">
        <v>40</v>
      </c>
      <c r="D3810">
        <v>50</v>
      </c>
      <c r="E3810">
        <v>40</v>
      </c>
      <c r="F3810">
        <v>24</v>
      </c>
      <c r="G3810">
        <v>18.1325774137362</v>
      </c>
    </row>
    <row r="3811" spans="1:7" x14ac:dyDescent="0.3">
      <c r="A3811" t="str">
        <f>IF(ISBLANK(B3811),"",IF(ROUND(B3811,0)=ROUND(G3811,0),"Pass","Fail"))</f>
        <v>Pass</v>
      </c>
      <c r="B3811">
        <f t="shared" si="161"/>
        <v>13.88027286529541</v>
      </c>
      <c r="C3811">
        <v>40</v>
      </c>
      <c r="D3811">
        <v>50</v>
      </c>
      <c r="E3811">
        <v>40</v>
      </c>
      <c r="F3811">
        <v>32</v>
      </c>
      <c r="G3811">
        <v>13.880273005994599</v>
      </c>
    </row>
    <row r="3812" spans="1:7" x14ac:dyDescent="0.3">
      <c r="A3812" t="str">
        <f>IF(ISBLANK(B3812),"",IF(ROUND(B3812,0)=ROUND(G3812,0),"Pass","Fail"))</f>
        <v>Pass</v>
      </c>
      <c r="B3812">
        <f t="shared" si="161"/>
        <v>11.739727020263672</v>
      </c>
      <c r="C3812">
        <v>40</v>
      </c>
      <c r="D3812">
        <v>50</v>
      </c>
      <c r="E3812">
        <v>40</v>
      </c>
      <c r="F3812">
        <v>40</v>
      </c>
      <c r="G3812">
        <v>11.7397267643271</v>
      </c>
    </row>
    <row r="3813" spans="1:7" x14ac:dyDescent="0.3">
      <c r="A3813" t="str">
        <f>IF(ISBLANK(B3813),"",IF(ROUND(B3813,0)=ROUND(G3813,0),"Pass","Fail"))</f>
        <v>Pass</v>
      </c>
      <c r="B3813">
        <f t="shared" si="161"/>
        <v>10.66220760345459</v>
      </c>
      <c r="C3813">
        <v>40</v>
      </c>
      <c r="D3813">
        <v>50</v>
      </c>
      <c r="E3813">
        <v>40</v>
      </c>
      <c r="F3813">
        <v>48</v>
      </c>
      <c r="G3813">
        <v>10.6622079008197</v>
      </c>
    </row>
    <row r="3814" spans="1:7" x14ac:dyDescent="0.3">
      <c r="A3814" t="str">
        <f>IF(ISBLANK(B3814),"",IF(ROUND(B3814,0)=ROUND(G3814,0),"Pass","Fail"))</f>
        <v>Pass</v>
      </c>
      <c r="B3814">
        <f t="shared" si="161"/>
        <v>76.697998046875</v>
      </c>
      <c r="C3814">
        <v>40</v>
      </c>
      <c r="D3814">
        <v>50</v>
      </c>
      <c r="E3814">
        <v>50</v>
      </c>
      <c r="F3814">
        <v>0</v>
      </c>
      <c r="G3814">
        <v>76.697999999999993</v>
      </c>
    </row>
    <row r="3815" spans="1:7" x14ac:dyDescent="0.3">
      <c r="A3815" t="str">
        <f>IF(ISBLANK(B3815),"",IF(ROUND(B3815,0)=ROUND(G3815,0),"Pass","Fail"))</f>
        <v>Pass</v>
      </c>
      <c r="B3815">
        <f t="shared" si="161"/>
        <v>43.361228942871094</v>
      </c>
      <c r="C3815">
        <v>40</v>
      </c>
      <c r="D3815">
        <v>50</v>
      </c>
      <c r="E3815">
        <v>50</v>
      </c>
      <c r="F3815">
        <v>8</v>
      </c>
      <c r="G3815">
        <v>43.361228080723002</v>
      </c>
    </row>
    <row r="3816" spans="1:7" x14ac:dyDescent="0.3">
      <c r="A3816" t="str">
        <f>IF(ISBLANK(B3816),"",IF(ROUND(B3816,0)=ROUND(G3816,0),"Pass","Fail"))</f>
        <v>Pass</v>
      </c>
      <c r="B3816">
        <f t="shared" si="161"/>
        <v>26.579996109008789</v>
      </c>
      <c r="C3816">
        <v>40</v>
      </c>
      <c r="D3816">
        <v>50</v>
      </c>
      <c r="E3816">
        <v>50</v>
      </c>
      <c r="F3816">
        <v>16</v>
      </c>
      <c r="G3816">
        <v>26.579997247101701</v>
      </c>
    </row>
    <row r="3817" spans="1:7" x14ac:dyDescent="0.3">
      <c r="A3817" t="str">
        <f>IF(ISBLANK(B3817),"",IF(ROUND(B3817,0)=ROUND(G3817,0),"Pass","Fail"))</f>
        <v>Pass</v>
      </c>
      <c r="B3817">
        <f t="shared" si="161"/>
        <v>18.132575988769531</v>
      </c>
      <c r="C3817">
        <v>40</v>
      </c>
      <c r="D3817">
        <v>50</v>
      </c>
      <c r="E3817">
        <v>50</v>
      </c>
      <c r="F3817">
        <v>24</v>
      </c>
      <c r="G3817">
        <v>18.1325774137362</v>
      </c>
    </row>
    <row r="3818" spans="1:7" x14ac:dyDescent="0.3">
      <c r="A3818" t="str">
        <f>IF(ISBLANK(B3818),"",IF(ROUND(B3818,0)=ROUND(G3818,0),"Pass","Fail"))</f>
        <v>Pass</v>
      </c>
      <c r="B3818">
        <f t="shared" si="161"/>
        <v>13.88027286529541</v>
      </c>
      <c r="C3818">
        <v>40</v>
      </c>
      <c r="D3818">
        <v>50</v>
      </c>
      <c r="E3818">
        <v>50</v>
      </c>
      <c r="F3818">
        <v>32</v>
      </c>
      <c r="G3818">
        <v>13.880273005994599</v>
      </c>
    </row>
    <row r="3819" spans="1:7" x14ac:dyDescent="0.3">
      <c r="A3819" t="str">
        <f>IF(ISBLANK(B3819),"",IF(ROUND(B3819,0)=ROUND(G3819,0),"Pass","Fail"))</f>
        <v>Pass</v>
      </c>
      <c r="B3819">
        <f t="shared" si="161"/>
        <v>11.739727020263672</v>
      </c>
      <c r="C3819">
        <v>40</v>
      </c>
      <c r="D3819">
        <v>50</v>
      </c>
      <c r="E3819">
        <v>50</v>
      </c>
      <c r="F3819">
        <v>40</v>
      </c>
      <c r="G3819">
        <v>11.7397267643271</v>
      </c>
    </row>
    <row r="3820" spans="1:7" x14ac:dyDescent="0.3">
      <c r="A3820" t="str">
        <f>IF(ISBLANK(B3820),"",IF(ROUND(B3820,0)=ROUND(G3820,0),"Pass","Fail"))</f>
        <v>Pass</v>
      </c>
      <c r="B3820">
        <f t="shared" si="161"/>
        <v>10.66220760345459</v>
      </c>
      <c r="C3820">
        <v>40</v>
      </c>
      <c r="D3820">
        <v>50</v>
      </c>
      <c r="E3820">
        <v>50</v>
      </c>
      <c r="F3820">
        <v>48</v>
      </c>
      <c r="G3820">
        <v>10.6622079008197</v>
      </c>
    </row>
    <row r="3821" spans="1:7" x14ac:dyDescent="0.3">
      <c r="A3821" t="str">
        <f>IF(ISBLANK(B3821),"",IF(ROUND(B3821,0)=ROUND(G3821,0),"Pass","Fail"))</f>
        <v>Pass</v>
      </c>
      <c r="B3821">
        <f t="shared" si="161"/>
        <v>76.697998046875</v>
      </c>
      <c r="C3821">
        <v>40</v>
      </c>
      <c r="D3821">
        <v>50</v>
      </c>
      <c r="E3821">
        <v>60</v>
      </c>
      <c r="F3821">
        <v>0</v>
      </c>
      <c r="G3821">
        <v>76.697999999999993</v>
      </c>
    </row>
    <row r="3822" spans="1:7" x14ac:dyDescent="0.3">
      <c r="A3822" t="str">
        <f>IF(ISBLANK(B3822),"",IF(ROUND(B3822,0)=ROUND(G3822,0),"Pass","Fail"))</f>
        <v>Pass</v>
      </c>
      <c r="B3822">
        <f t="shared" si="161"/>
        <v>43.361228942871094</v>
      </c>
      <c r="C3822">
        <v>40</v>
      </c>
      <c r="D3822">
        <v>50</v>
      </c>
      <c r="E3822">
        <v>60</v>
      </c>
      <c r="F3822">
        <v>8</v>
      </c>
      <c r="G3822">
        <v>43.361228080723002</v>
      </c>
    </row>
    <row r="3823" spans="1:7" x14ac:dyDescent="0.3">
      <c r="A3823" t="str">
        <f>IF(ISBLANK(B3823),"",IF(ROUND(B3823,0)=ROUND(G3823,0),"Pass","Fail"))</f>
        <v>Pass</v>
      </c>
      <c r="B3823">
        <f t="shared" si="161"/>
        <v>26.579996109008789</v>
      </c>
      <c r="C3823">
        <v>40</v>
      </c>
      <c r="D3823">
        <v>50</v>
      </c>
      <c r="E3823">
        <v>60</v>
      </c>
      <c r="F3823">
        <v>16</v>
      </c>
      <c r="G3823">
        <v>26.579997247101701</v>
      </c>
    </row>
    <row r="3824" spans="1:7" x14ac:dyDescent="0.3">
      <c r="A3824" t="str">
        <f>IF(ISBLANK(B3824),"",IF(ROUND(B3824,0)=ROUND(G3824,0),"Pass","Fail"))</f>
        <v>Pass</v>
      </c>
      <c r="B3824">
        <f t="shared" si="161"/>
        <v>18.132575988769531</v>
      </c>
      <c r="C3824">
        <v>40</v>
      </c>
      <c r="D3824">
        <v>50</v>
      </c>
      <c r="E3824">
        <v>60</v>
      </c>
      <c r="F3824">
        <v>24</v>
      </c>
      <c r="G3824">
        <v>18.1325774137362</v>
      </c>
    </row>
    <row r="3825" spans="1:7" x14ac:dyDescent="0.3">
      <c r="A3825" t="str">
        <f>IF(ISBLANK(B3825),"",IF(ROUND(B3825,0)=ROUND(G3825,0),"Pass","Fail"))</f>
        <v>Pass</v>
      </c>
      <c r="B3825">
        <f t="shared" si="161"/>
        <v>13.88027286529541</v>
      </c>
      <c r="C3825">
        <v>40</v>
      </c>
      <c r="D3825">
        <v>50</v>
      </c>
      <c r="E3825">
        <v>60</v>
      </c>
      <c r="F3825">
        <v>32</v>
      </c>
      <c r="G3825">
        <v>13.880273005994599</v>
      </c>
    </row>
    <row r="3826" spans="1:7" x14ac:dyDescent="0.3">
      <c r="A3826" t="str">
        <f>IF(ISBLANK(B3826),"",IF(ROUND(B3826,0)=ROUND(G3826,0),"Pass","Fail"))</f>
        <v>Pass</v>
      </c>
      <c r="B3826">
        <f t="shared" si="161"/>
        <v>11.739727020263672</v>
      </c>
      <c r="C3826">
        <v>40</v>
      </c>
      <c r="D3826">
        <v>50</v>
      </c>
      <c r="E3826">
        <v>60</v>
      </c>
      <c r="F3826">
        <v>40</v>
      </c>
      <c r="G3826">
        <v>11.7397267643271</v>
      </c>
    </row>
    <row r="3827" spans="1:7" x14ac:dyDescent="0.3">
      <c r="A3827" t="str">
        <f>IF(ISBLANK(B3827),"",IF(ROUND(B3827,0)=ROUND(G3827,0),"Pass","Fail"))</f>
        <v>Pass</v>
      </c>
      <c r="B3827">
        <f t="shared" si="161"/>
        <v>10.66220760345459</v>
      </c>
      <c r="C3827">
        <v>40</v>
      </c>
      <c r="D3827">
        <v>50</v>
      </c>
      <c r="E3827">
        <v>60</v>
      </c>
      <c r="F3827">
        <v>48</v>
      </c>
      <c r="G3827">
        <v>10.6622079008197</v>
      </c>
    </row>
    <row r="3828" spans="1:7" x14ac:dyDescent="0.3">
      <c r="A3828" t="str">
        <f>IF(ISBLANK(B3828),"",IF(ROUND(B3828,0)=ROUND(G3828,0),"Pass","Fail"))</f>
        <v>Pass</v>
      </c>
      <c r="B3828">
        <f t="shared" si="161"/>
        <v>76.697998046875</v>
      </c>
      <c r="C3828">
        <v>40</v>
      </c>
      <c r="D3828">
        <v>50</v>
      </c>
      <c r="E3828">
        <v>70</v>
      </c>
      <c r="F3828">
        <v>0</v>
      </c>
      <c r="G3828">
        <v>76.697999999999993</v>
      </c>
    </row>
    <row r="3829" spans="1:7" x14ac:dyDescent="0.3">
      <c r="A3829" t="str">
        <f>IF(ISBLANK(B3829),"",IF(ROUND(B3829,0)=ROUND(G3829,0),"Pass","Fail"))</f>
        <v>Pass</v>
      </c>
      <c r="B3829">
        <f t="shared" si="161"/>
        <v>43.361228942871094</v>
      </c>
      <c r="C3829">
        <v>40</v>
      </c>
      <c r="D3829">
        <v>50</v>
      </c>
      <c r="E3829">
        <v>70</v>
      </c>
      <c r="F3829">
        <v>8</v>
      </c>
      <c r="G3829">
        <v>43.361228080723002</v>
      </c>
    </row>
    <row r="3830" spans="1:7" x14ac:dyDescent="0.3">
      <c r="A3830" t="str">
        <f>IF(ISBLANK(B3830),"",IF(ROUND(B3830,0)=ROUND(G3830,0),"Pass","Fail"))</f>
        <v>Pass</v>
      </c>
      <c r="B3830">
        <f t="shared" si="161"/>
        <v>26.579996109008789</v>
      </c>
      <c r="C3830">
        <v>40</v>
      </c>
      <c r="D3830">
        <v>50</v>
      </c>
      <c r="E3830">
        <v>70</v>
      </c>
      <c r="F3830">
        <v>16</v>
      </c>
      <c r="G3830">
        <v>26.579997247101701</v>
      </c>
    </row>
    <row r="3831" spans="1:7" x14ac:dyDescent="0.3">
      <c r="A3831" t="str">
        <f>IF(ISBLANK(B3831),"",IF(ROUND(B3831,0)=ROUND(G3831,0),"Pass","Fail"))</f>
        <v>Pass</v>
      </c>
      <c r="B3831">
        <f t="shared" si="161"/>
        <v>18.132575988769531</v>
      </c>
      <c r="C3831">
        <v>40</v>
      </c>
      <c r="D3831">
        <v>50</v>
      </c>
      <c r="E3831">
        <v>70</v>
      </c>
      <c r="F3831">
        <v>24</v>
      </c>
      <c r="G3831">
        <v>18.1325774137362</v>
      </c>
    </row>
    <row r="3832" spans="1:7" x14ac:dyDescent="0.3">
      <c r="A3832" t="str">
        <f>IF(ISBLANK(B3832),"",IF(ROUND(B3832,0)=ROUND(G3832,0),"Pass","Fail"))</f>
        <v>Pass</v>
      </c>
      <c r="B3832">
        <f t="shared" si="161"/>
        <v>13.88027286529541</v>
      </c>
      <c r="C3832">
        <v>40</v>
      </c>
      <c r="D3832">
        <v>50</v>
      </c>
      <c r="E3832">
        <v>70</v>
      </c>
      <c r="F3832">
        <v>32</v>
      </c>
      <c r="G3832">
        <v>13.880273005994599</v>
      </c>
    </row>
    <row r="3833" spans="1:7" x14ac:dyDescent="0.3">
      <c r="A3833" t="str">
        <f>IF(ISBLANK(B3833),"",IF(ROUND(B3833,0)=ROUND(G3833,0),"Pass","Fail"))</f>
        <v>Pass</v>
      </c>
      <c r="B3833">
        <f t="shared" si="161"/>
        <v>11.739727020263672</v>
      </c>
      <c r="C3833">
        <v>40</v>
      </c>
      <c r="D3833">
        <v>50</v>
      </c>
      <c r="E3833">
        <v>70</v>
      </c>
      <c r="F3833">
        <v>40</v>
      </c>
      <c r="G3833">
        <v>11.7397267643271</v>
      </c>
    </row>
    <row r="3834" spans="1:7" x14ac:dyDescent="0.3">
      <c r="A3834" t="str">
        <f>IF(ISBLANK(B3834),"",IF(ROUND(B3834,0)=ROUND(G3834,0),"Pass","Fail"))</f>
        <v>Pass</v>
      </c>
      <c r="B3834">
        <f t="shared" si="161"/>
        <v>10.66220760345459</v>
      </c>
      <c r="C3834">
        <v>40</v>
      </c>
      <c r="D3834">
        <v>50</v>
      </c>
      <c r="E3834">
        <v>70</v>
      </c>
      <c r="F3834">
        <v>48</v>
      </c>
      <c r="G3834">
        <v>10.6622079008197</v>
      </c>
    </row>
    <row r="3835" spans="1:7" x14ac:dyDescent="0.3">
      <c r="A3835" t="str">
        <f>IF(ISBLANK(B3835),"",IF(ROUND(B3835,0)=ROUND(G3835,0),"Pass","Fail"))</f>
        <v>Pass</v>
      </c>
      <c r="B3835">
        <f t="shared" si="161"/>
        <v>76.697998046875</v>
      </c>
      <c r="C3835">
        <v>40</v>
      </c>
      <c r="D3835">
        <v>50</v>
      </c>
      <c r="E3835">
        <v>80</v>
      </c>
      <c r="F3835">
        <v>0</v>
      </c>
      <c r="G3835">
        <v>76.697999999999993</v>
      </c>
    </row>
    <row r="3836" spans="1:7" x14ac:dyDescent="0.3">
      <c r="A3836" t="str">
        <f>IF(ISBLANK(B3836),"",IF(ROUND(B3836,0)=ROUND(G3836,0),"Pass","Fail"))</f>
        <v>Pass</v>
      </c>
      <c r="B3836">
        <f t="shared" si="161"/>
        <v>43.361228942871094</v>
      </c>
      <c r="C3836">
        <v>40</v>
      </c>
      <c r="D3836">
        <v>50</v>
      </c>
      <c r="E3836">
        <v>80</v>
      </c>
      <c r="F3836">
        <v>8</v>
      </c>
      <c r="G3836">
        <v>43.361228080723002</v>
      </c>
    </row>
    <row r="3837" spans="1:7" x14ac:dyDescent="0.3">
      <c r="A3837" t="str">
        <f>IF(ISBLANK(B3837),"",IF(ROUND(B3837,0)=ROUND(G3837,0),"Pass","Fail"))</f>
        <v>Pass</v>
      </c>
      <c r="B3837">
        <f t="shared" si="161"/>
        <v>26.579996109008789</v>
      </c>
      <c r="C3837">
        <v>40</v>
      </c>
      <c r="D3837">
        <v>50</v>
      </c>
      <c r="E3837">
        <v>80</v>
      </c>
      <c r="F3837">
        <v>16</v>
      </c>
      <c r="G3837">
        <v>26.579997247101701</v>
      </c>
    </row>
    <row r="3838" spans="1:7" x14ac:dyDescent="0.3">
      <c r="A3838" t="str">
        <f>IF(ISBLANK(B3838),"",IF(ROUND(B3838,0)=ROUND(G3838,0),"Pass","Fail"))</f>
        <v>Pass</v>
      </c>
      <c r="B3838">
        <f t="shared" si="161"/>
        <v>18.132575988769531</v>
      </c>
      <c r="C3838">
        <v>40</v>
      </c>
      <c r="D3838">
        <v>50</v>
      </c>
      <c r="E3838">
        <v>80</v>
      </c>
      <c r="F3838">
        <v>24</v>
      </c>
      <c r="G3838">
        <v>18.1325774137362</v>
      </c>
    </row>
    <row r="3839" spans="1:7" x14ac:dyDescent="0.3">
      <c r="A3839" t="str">
        <f>IF(ISBLANK(B3839),"",IF(ROUND(B3839,0)=ROUND(G3839,0),"Pass","Fail"))</f>
        <v>Pass</v>
      </c>
      <c r="B3839">
        <f t="shared" si="161"/>
        <v>13.88027286529541</v>
      </c>
      <c r="C3839">
        <v>40</v>
      </c>
      <c r="D3839">
        <v>50</v>
      </c>
      <c r="E3839">
        <v>80</v>
      </c>
      <c r="F3839">
        <v>32</v>
      </c>
      <c r="G3839">
        <v>13.880273005994599</v>
      </c>
    </row>
    <row r="3840" spans="1:7" x14ac:dyDescent="0.3">
      <c r="A3840" t="str">
        <f>IF(ISBLANK(B3840),"",IF(ROUND(B3840,0)=ROUND(G3840,0),"Pass","Fail"))</f>
        <v>Pass</v>
      </c>
      <c r="B3840">
        <f t="shared" si="161"/>
        <v>11.739727020263672</v>
      </c>
      <c r="C3840">
        <v>40</v>
      </c>
      <c r="D3840">
        <v>50</v>
      </c>
      <c r="E3840">
        <v>80</v>
      </c>
      <c r="F3840">
        <v>40</v>
      </c>
      <c r="G3840">
        <v>11.7397267643271</v>
      </c>
    </row>
    <row r="3841" spans="1:7" x14ac:dyDescent="0.3">
      <c r="A3841" t="str">
        <f>IF(ISBLANK(B3841),"",IF(ROUND(B3841,0)=ROUND(G3841,0),"Pass","Fail"))</f>
        <v>Pass</v>
      </c>
      <c r="B3841">
        <f t="shared" si="161"/>
        <v>10.66220760345459</v>
      </c>
      <c r="C3841">
        <v>40</v>
      </c>
      <c r="D3841">
        <v>50</v>
      </c>
      <c r="E3841">
        <v>80</v>
      </c>
      <c r="F3841">
        <v>48</v>
      </c>
      <c r="G3841">
        <v>10.6622079008197</v>
      </c>
    </row>
    <row r="3842" spans="1:7" x14ac:dyDescent="0.3">
      <c r="A3842" t="str">
        <f>IF(ISBLANK(B3842),"",IF(ROUND(B3842,0)=ROUND(G3842,0),"Pass","Fail"))</f>
        <v>Pass</v>
      </c>
      <c r="B3842">
        <f t="shared" si="161"/>
        <v>76.697998046875</v>
      </c>
      <c r="C3842">
        <v>40</v>
      </c>
      <c r="D3842">
        <v>50</v>
      </c>
      <c r="E3842">
        <v>90</v>
      </c>
      <c r="F3842">
        <v>0</v>
      </c>
      <c r="G3842">
        <v>76.697999999999993</v>
      </c>
    </row>
    <row r="3843" spans="1:7" x14ac:dyDescent="0.3">
      <c r="A3843" t="str">
        <f>IF(ISBLANK(B3843),"",IF(ROUND(B3843,0)=ROUND(G3843,0),"Pass","Fail"))</f>
        <v>Pass</v>
      </c>
      <c r="B3843">
        <f t="shared" si="161"/>
        <v>43.361228942871094</v>
      </c>
      <c r="C3843">
        <v>40</v>
      </c>
      <c r="D3843">
        <v>50</v>
      </c>
      <c r="E3843">
        <v>90</v>
      </c>
      <c r="F3843">
        <v>8</v>
      </c>
      <c r="G3843">
        <v>43.361228080723002</v>
      </c>
    </row>
    <row r="3844" spans="1:7" x14ac:dyDescent="0.3">
      <c r="A3844" t="str">
        <f>IF(ISBLANK(B3844),"",IF(ROUND(B3844,0)=ROUND(G3844,0),"Pass","Fail"))</f>
        <v>Pass</v>
      </c>
      <c r="B3844">
        <f t="shared" si="161"/>
        <v>26.579996109008789</v>
      </c>
      <c r="C3844">
        <v>40</v>
      </c>
      <c r="D3844">
        <v>50</v>
      </c>
      <c r="E3844">
        <v>90</v>
      </c>
      <c r="F3844">
        <v>16</v>
      </c>
      <c r="G3844">
        <v>26.579997247101701</v>
      </c>
    </row>
    <row r="3845" spans="1:7" x14ac:dyDescent="0.3">
      <c r="A3845" t="str">
        <f>IF(ISBLANK(B3845),"",IF(ROUND(B3845,0)=ROUND(G3845,0),"Pass","Fail"))</f>
        <v>Pass</v>
      </c>
      <c r="B3845">
        <f t="shared" si="161"/>
        <v>18.132575988769531</v>
      </c>
      <c r="C3845">
        <v>40</v>
      </c>
      <c r="D3845">
        <v>50</v>
      </c>
      <c r="E3845">
        <v>90</v>
      </c>
      <c r="F3845">
        <v>24</v>
      </c>
      <c r="G3845">
        <v>18.1325774137362</v>
      </c>
    </row>
    <row r="3846" spans="1:7" x14ac:dyDescent="0.3">
      <c r="A3846" t="str">
        <f>IF(ISBLANK(B3846),"",IF(ROUND(B3846,0)=ROUND(G3846,0),"Pass","Fail"))</f>
        <v>Pass</v>
      </c>
      <c r="B3846">
        <f t="shared" si="161"/>
        <v>13.88027286529541</v>
      </c>
      <c r="C3846">
        <v>40</v>
      </c>
      <c r="D3846">
        <v>50</v>
      </c>
      <c r="E3846">
        <v>90</v>
      </c>
      <c r="F3846">
        <v>32</v>
      </c>
      <c r="G3846">
        <v>13.880273005994599</v>
      </c>
    </row>
    <row r="3847" spans="1:7" x14ac:dyDescent="0.3">
      <c r="A3847" t="str">
        <f>IF(ISBLANK(B3847),"",IF(ROUND(B3847,0)=ROUND(G3847,0),"Pass","Fail"))</f>
        <v>Pass</v>
      </c>
      <c r="B3847">
        <f t="shared" ref="B3847:B3910" si="162">FMC_heath(C3847,D3847,E3847,F3847)</f>
        <v>11.739727020263672</v>
      </c>
      <c r="C3847">
        <v>40</v>
      </c>
      <c r="D3847">
        <v>50</v>
      </c>
      <c r="E3847">
        <v>90</v>
      </c>
      <c r="F3847">
        <v>40</v>
      </c>
      <c r="G3847">
        <v>11.7397267643271</v>
      </c>
    </row>
    <row r="3848" spans="1:7" x14ac:dyDescent="0.3">
      <c r="A3848" t="str">
        <f>IF(ISBLANK(B3848),"",IF(ROUND(B3848,0)=ROUND(G3848,0),"Pass","Fail"))</f>
        <v>Pass</v>
      </c>
      <c r="B3848">
        <f t="shared" si="162"/>
        <v>10.66220760345459</v>
      </c>
      <c r="C3848">
        <v>40</v>
      </c>
      <c r="D3848">
        <v>50</v>
      </c>
      <c r="E3848">
        <v>90</v>
      </c>
      <c r="F3848">
        <v>48</v>
      </c>
      <c r="G3848">
        <v>10.6622079008197</v>
      </c>
    </row>
    <row r="3849" spans="1:7" x14ac:dyDescent="0.3">
      <c r="A3849" t="str">
        <f>IF(ISBLANK(B3849),"",IF(ROUND(B3849,0)=ROUND(G3849,0),"Pass","Fail"))</f>
        <v>Pass</v>
      </c>
      <c r="B3849">
        <f t="shared" si="162"/>
        <v>76.697998046875</v>
      </c>
      <c r="C3849">
        <v>40</v>
      </c>
      <c r="D3849">
        <v>50</v>
      </c>
      <c r="E3849">
        <v>100</v>
      </c>
      <c r="F3849">
        <v>0</v>
      </c>
      <c r="G3849">
        <v>76.697999999999993</v>
      </c>
    </row>
    <row r="3850" spans="1:7" x14ac:dyDescent="0.3">
      <c r="A3850" t="str">
        <f>IF(ISBLANK(B3850),"",IF(ROUND(B3850,0)=ROUND(G3850,0),"Pass","Fail"))</f>
        <v>Pass</v>
      </c>
      <c r="B3850">
        <f t="shared" si="162"/>
        <v>43.361228942871094</v>
      </c>
      <c r="C3850">
        <v>40</v>
      </c>
      <c r="D3850">
        <v>50</v>
      </c>
      <c r="E3850">
        <v>100</v>
      </c>
      <c r="F3850">
        <v>8</v>
      </c>
      <c r="G3850">
        <v>43.361228080723002</v>
      </c>
    </row>
    <row r="3851" spans="1:7" x14ac:dyDescent="0.3">
      <c r="A3851" t="str">
        <f>IF(ISBLANK(B3851),"",IF(ROUND(B3851,0)=ROUND(G3851,0),"Pass","Fail"))</f>
        <v>Pass</v>
      </c>
      <c r="B3851">
        <f t="shared" si="162"/>
        <v>26.579996109008789</v>
      </c>
      <c r="C3851">
        <v>40</v>
      </c>
      <c r="D3851">
        <v>50</v>
      </c>
      <c r="E3851">
        <v>100</v>
      </c>
      <c r="F3851">
        <v>16</v>
      </c>
      <c r="G3851">
        <v>26.579997247101701</v>
      </c>
    </row>
    <row r="3852" spans="1:7" x14ac:dyDescent="0.3">
      <c r="A3852" t="str">
        <f>IF(ISBLANK(B3852),"",IF(ROUND(B3852,0)=ROUND(G3852,0),"Pass","Fail"))</f>
        <v>Pass</v>
      </c>
      <c r="B3852">
        <f t="shared" si="162"/>
        <v>18.132575988769531</v>
      </c>
      <c r="C3852">
        <v>40</v>
      </c>
      <c r="D3852">
        <v>50</v>
      </c>
      <c r="E3852">
        <v>100</v>
      </c>
      <c r="F3852">
        <v>24</v>
      </c>
      <c r="G3852">
        <v>18.1325774137362</v>
      </c>
    </row>
    <row r="3853" spans="1:7" x14ac:dyDescent="0.3">
      <c r="A3853" t="str">
        <f>IF(ISBLANK(B3853),"",IF(ROUND(B3853,0)=ROUND(G3853,0),"Pass","Fail"))</f>
        <v>Pass</v>
      </c>
      <c r="B3853">
        <f t="shared" si="162"/>
        <v>13.88027286529541</v>
      </c>
      <c r="C3853">
        <v>40</v>
      </c>
      <c r="D3853">
        <v>50</v>
      </c>
      <c r="E3853">
        <v>100</v>
      </c>
      <c r="F3853">
        <v>32</v>
      </c>
      <c r="G3853">
        <v>13.880273005994599</v>
      </c>
    </row>
    <row r="3854" spans="1:7" x14ac:dyDescent="0.3">
      <c r="A3854" t="str">
        <f>IF(ISBLANK(B3854),"",IF(ROUND(B3854,0)=ROUND(G3854,0),"Pass","Fail"))</f>
        <v>Pass</v>
      </c>
      <c r="B3854">
        <f t="shared" si="162"/>
        <v>11.739727020263672</v>
      </c>
      <c r="C3854">
        <v>40</v>
      </c>
      <c r="D3854">
        <v>50</v>
      </c>
      <c r="E3854">
        <v>100</v>
      </c>
      <c r="F3854">
        <v>40</v>
      </c>
      <c r="G3854">
        <v>11.7397267643271</v>
      </c>
    </row>
    <row r="3855" spans="1:7" x14ac:dyDescent="0.3">
      <c r="A3855" t="str">
        <f>IF(ISBLANK(B3855),"",IF(ROUND(B3855,0)=ROUND(G3855,0),"Pass","Fail"))</f>
        <v>Pass</v>
      </c>
      <c r="B3855">
        <f t="shared" si="162"/>
        <v>10.66220760345459</v>
      </c>
      <c r="C3855">
        <v>40</v>
      </c>
      <c r="D3855">
        <v>50</v>
      </c>
      <c r="E3855">
        <v>100</v>
      </c>
      <c r="F3855">
        <v>48</v>
      </c>
      <c r="G3855">
        <v>10.6622079008197</v>
      </c>
    </row>
    <row r="3856" spans="1:7" x14ac:dyDescent="0.3">
      <c r="A3856" t="str">
        <f>IF(ISBLANK(B3856),"",IF(ROUND(B3856,0)=ROUND(G3856,0),"Pass","Fail"))</f>
        <v>Pass</v>
      </c>
      <c r="B3856">
        <f t="shared" si="162"/>
        <v>10.909999847412109</v>
      </c>
      <c r="C3856">
        <v>40</v>
      </c>
      <c r="D3856">
        <v>60</v>
      </c>
      <c r="E3856">
        <v>0</v>
      </c>
      <c r="F3856">
        <v>0</v>
      </c>
      <c r="G3856">
        <v>10.91</v>
      </c>
    </row>
    <row r="3857" spans="1:7" x14ac:dyDescent="0.3">
      <c r="A3857" t="str">
        <f>IF(ISBLANK(B3857),"",IF(ROUND(B3857,0)=ROUND(G3857,0),"Pass","Fail"))</f>
        <v>Pass</v>
      </c>
      <c r="B3857">
        <f t="shared" si="162"/>
        <v>10.909999847412109</v>
      </c>
      <c r="C3857">
        <v>40</v>
      </c>
      <c r="D3857">
        <v>60</v>
      </c>
      <c r="E3857">
        <v>0</v>
      </c>
      <c r="F3857">
        <v>8</v>
      </c>
      <c r="G3857">
        <v>10.91</v>
      </c>
    </row>
    <row r="3858" spans="1:7" x14ac:dyDescent="0.3">
      <c r="A3858" t="str">
        <f>IF(ISBLANK(B3858),"",IF(ROUND(B3858,0)=ROUND(G3858,0),"Pass","Fail"))</f>
        <v>Pass</v>
      </c>
      <c r="B3858">
        <f t="shared" si="162"/>
        <v>10.909999847412109</v>
      </c>
      <c r="C3858">
        <v>40</v>
      </c>
      <c r="D3858">
        <v>60</v>
      </c>
      <c r="E3858">
        <v>0</v>
      </c>
      <c r="F3858">
        <v>16</v>
      </c>
      <c r="G3858">
        <v>10.91</v>
      </c>
    </row>
    <row r="3859" spans="1:7" x14ac:dyDescent="0.3">
      <c r="A3859" t="str">
        <f>IF(ISBLANK(B3859),"",IF(ROUND(B3859,0)=ROUND(G3859,0),"Pass","Fail"))</f>
        <v>Pass</v>
      </c>
      <c r="B3859">
        <f t="shared" si="162"/>
        <v>10.909999847412109</v>
      </c>
      <c r="C3859">
        <v>40</v>
      </c>
      <c r="D3859">
        <v>60</v>
      </c>
      <c r="E3859">
        <v>0</v>
      </c>
      <c r="F3859">
        <v>24</v>
      </c>
      <c r="G3859">
        <v>10.91</v>
      </c>
    </row>
    <row r="3860" spans="1:7" x14ac:dyDescent="0.3">
      <c r="A3860" t="str">
        <f>IF(ISBLANK(B3860),"",IF(ROUND(B3860,0)=ROUND(G3860,0),"Pass","Fail"))</f>
        <v>Pass</v>
      </c>
      <c r="B3860">
        <f t="shared" si="162"/>
        <v>10.909999847412109</v>
      </c>
      <c r="C3860">
        <v>40</v>
      </c>
      <c r="D3860">
        <v>60</v>
      </c>
      <c r="E3860">
        <v>0</v>
      </c>
      <c r="F3860">
        <v>32</v>
      </c>
      <c r="G3860">
        <v>10.91</v>
      </c>
    </row>
    <row r="3861" spans="1:7" x14ac:dyDescent="0.3">
      <c r="A3861" t="str">
        <f>IF(ISBLANK(B3861),"",IF(ROUND(B3861,0)=ROUND(G3861,0),"Pass","Fail"))</f>
        <v>Pass</v>
      </c>
      <c r="B3861">
        <f t="shared" si="162"/>
        <v>10.909999847412109</v>
      </c>
      <c r="C3861">
        <v>40</v>
      </c>
      <c r="D3861">
        <v>60</v>
      </c>
      <c r="E3861">
        <v>0</v>
      </c>
      <c r="F3861">
        <v>40</v>
      </c>
      <c r="G3861">
        <v>10.91</v>
      </c>
    </row>
    <row r="3862" spans="1:7" x14ac:dyDescent="0.3">
      <c r="A3862" t="str">
        <f>IF(ISBLANK(B3862),"",IF(ROUND(B3862,0)=ROUND(G3862,0),"Pass","Fail"))</f>
        <v>Pass</v>
      </c>
      <c r="B3862">
        <f t="shared" si="162"/>
        <v>10.909999847412109</v>
      </c>
      <c r="C3862">
        <v>40</v>
      </c>
      <c r="D3862">
        <v>60</v>
      </c>
      <c r="E3862">
        <v>0</v>
      </c>
      <c r="F3862">
        <v>48</v>
      </c>
      <c r="G3862">
        <v>10.91</v>
      </c>
    </row>
    <row r="3863" spans="1:7" x14ac:dyDescent="0.3">
      <c r="A3863" t="str">
        <f>IF(ISBLANK(B3863),"",IF(ROUND(B3863,0)=ROUND(G3863,0),"Pass","Fail"))</f>
        <v>Pass</v>
      </c>
      <c r="B3863">
        <f t="shared" si="162"/>
        <v>78.037994384765625</v>
      </c>
      <c r="C3863">
        <v>40</v>
      </c>
      <c r="D3863">
        <v>60</v>
      </c>
      <c r="E3863">
        <v>10</v>
      </c>
      <c r="F3863">
        <v>0</v>
      </c>
      <c r="G3863">
        <v>78.037999999998306</v>
      </c>
    </row>
    <row r="3864" spans="1:7" x14ac:dyDescent="0.3">
      <c r="A3864" t="str">
        <f>IF(ISBLANK(B3864),"",IF(ROUND(B3864,0)=ROUND(G3864,0),"Pass","Fail"))</f>
        <v>Pass</v>
      </c>
      <c r="B3864">
        <f t="shared" si="162"/>
        <v>44.701229095458984</v>
      </c>
      <c r="C3864">
        <v>40</v>
      </c>
      <c r="D3864">
        <v>60</v>
      </c>
      <c r="E3864">
        <v>10</v>
      </c>
      <c r="F3864">
        <v>8</v>
      </c>
      <c r="G3864">
        <v>44.701228080722203</v>
      </c>
    </row>
    <row r="3865" spans="1:7" x14ac:dyDescent="0.3">
      <c r="A3865" t="str">
        <f>IF(ISBLANK(B3865),"",IF(ROUND(B3865,0)=ROUND(G3865,0),"Pass","Fail"))</f>
        <v>Pass</v>
      </c>
      <c r="B3865">
        <f t="shared" si="162"/>
        <v>27.91999626159668</v>
      </c>
      <c r="C3865">
        <v>40</v>
      </c>
      <c r="D3865">
        <v>60</v>
      </c>
      <c r="E3865">
        <v>10</v>
      </c>
      <c r="F3865">
        <v>16</v>
      </c>
      <c r="G3865">
        <v>27.9199972471013</v>
      </c>
    </row>
    <row r="3866" spans="1:7" x14ac:dyDescent="0.3">
      <c r="A3866" t="str">
        <f>IF(ISBLANK(B3866),"",IF(ROUND(B3866,0)=ROUND(G3866,0),"Pass","Fail"))</f>
        <v>Pass</v>
      </c>
      <c r="B3866">
        <f t="shared" si="162"/>
        <v>19.472576141357422</v>
      </c>
      <c r="C3866">
        <v>40</v>
      </c>
      <c r="D3866">
        <v>60</v>
      </c>
      <c r="E3866">
        <v>10</v>
      </c>
      <c r="F3866">
        <v>24</v>
      </c>
      <c r="G3866">
        <v>19.472577413736001</v>
      </c>
    </row>
    <row r="3867" spans="1:7" x14ac:dyDescent="0.3">
      <c r="A3867" t="str">
        <f>IF(ISBLANK(B3867),"",IF(ROUND(B3867,0)=ROUND(G3867,0),"Pass","Fail"))</f>
        <v>Pass</v>
      </c>
      <c r="B3867">
        <f t="shared" si="162"/>
        <v>15.220273017883301</v>
      </c>
      <c r="C3867">
        <v>40</v>
      </c>
      <c r="D3867">
        <v>60</v>
      </c>
      <c r="E3867">
        <v>10</v>
      </c>
      <c r="F3867">
        <v>32</v>
      </c>
      <c r="G3867">
        <v>15.2202730059945</v>
      </c>
    </row>
    <row r="3868" spans="1:7" x14ac:dyDescent="0.3">
      <c r="A3868" t="str">
        <f>IF(ISBLANK(B3868),"",IF(ROUND(B3868,0)=ROUND(G3868,0),"Pass","Fail"))</f>
        <v>Pass</v>
      </c>
      <c r="B3868">
        <f t="shared" si="162"/>
        <v>13.079727172851563</v>
      </c>
      <c r="C3868">
        <v>40</v>
      </c>
      <c r="D3868">
        <v>60</v>
      </c>
      <c r="E3868">
        <v>10</v>
      </c>
      <c r="F3868">
        <v>40</v>
      </c>
      <c r="G3868">
        <v>13.079726764327001</v>
      </c>
    </row>
    <row r="3869" spans="1:7" x14ac:dyDescent="0.3">
      <c r="A3869" t="str">
        <f>IF(ISBLANK(B3869),"",IF(ROUND(B3869,0)=ROUND(G3869,0),"Pass","Fail"))</f>
        <v>Pass</v>
      </c>
      <c r="B3869">
        <f t="shared" si="162"/>
        <v>12.00220775604248</v>
      </c>
      <c r="C3869">
        <v>40</v>
      </c>
      <c r="D3869">
        <v>60</v>
      </c>
      <c r="E3869">
        <v>10</v>
      </c>
      <c r="F3869">
        <v>48</v>
      </c>
      <c r="G3869">
        <v>12.0022079008197</v>
      </c>
    </row>
    <row r="3870" spans="1:7" x14ac:dyDescent="0.3">
      <c r="A3870" t="str">
        <f>IF(ISBLANK(B3870),"",IF(ROUND(B3870,0)=ROUND(G3870,0),"Pass","Fail"))</f>
        <v>Pass</v>
      </c>
      <c r="B3870">
        <f t="shared" si="162"/>
        <v>78.037994384765625</v>
      </c>
      <c r="C3870">
        <v>40</v>
      </c>
      <c r="D3870">
        <v>60</v>
      </c>
      <c r="E3870">
        <v>20</v>
      </c>
      <c r="F3870">
        <v>0</v>
      </c>
      <c r="G3870">
        <v>78.037999999999997</v>
      </c>
    </row>
    <row r="3871" spans="1:7" x14ac:dyDescent="0.3">
      <c r="A3871" t="str">
        <f>IF(ISBLANK(B3871),"",IF(ROUND(B3871,0)=ROUND(G3871,0),"Pass","Fail"))</f>
        <v>Pass</v>
      </c>
      <c r="B3871">
        <f t="shared" si="162"/>
        <v>44.701229095458984</v>
      </c>
      <c r="C3871">
        <v>40</v>
      </c>
      <c r="D3871">
        <v>60</v>
      </c>
      <c r="E3871">
        <v>20</v>
      </c>
      <c r="F3871">
        <v>8</v>
      </c>
      <c r="G3871">
        <v>44.701228080723098</v>
      </c>
    </row>
    <row r="3872" spans="1:7" x14ac:dyDescent="0.3">
      <c r="A3872" t="str">
        <f>IF(ISBLANK(B3872),"",IF(ROUND(B3872,0)=ROUND(G3872,0),"Pass","Fail"))</f>
        <v>Pass</v>
      </c>
      <c r="B3872">
        <f t="shared" si="162"/>
        <v>27.91999626159668</v>
      </c>
      <c r="C3872">
        <v>40</v>
      </c>
      <c r="D3872">
        <v>60</v>
      </c>
      <c r="E3872">
        <v>20</v>
      </c>
      <c r="F3872">
        <v>16</v>
      </c>
      <c r="G3872">
        <v>27.919997247101701</v>
      </c>
    </row>
    <row r="3873" spans="1:7" x14ac:dyDescent="0.3">
      <c r="A3873" t="str">
        <f>IF(ISBLANK(B3873),"",IF(ROUND(B3873,0)=ROUND(G3873,0),"Pass","Fail"))</f>
        <v>Pass</v>
      </c>
      <c r="B3873">
        <f t="shared" si="162"/>
        <v>19.472576141357422</v>
      </c>
      <c r="C3873">
        <v>40</v>
      </c>
      <c r="D3873">
        <v>60</v>
      </c>
      <c r="E3873">
        <v>20</v>
      </c>
      <c r="F3873">
        <v>24</v>
      </c>
      <c r="G3873">
        <v>19.4725774137362</v>
      </c>
    </row>
    <row r="3874" spans="1:7" x14ac:dyDescent="0.3">
      <c r="A3874" t="str">
        <f>IF(ISBLANK(B3874),"",IF(ROUND(B3874,0)=ROUND(G3874,0),"Pass","Fail"))</f>
        <v>Pass</v>
      </c>
      <c r="B3874">
        <f t="shared" si="162"/>
        <v>15.220273017883301</v>
      </c>
      <c r="C3874">
        <v>40</v>
      </c>
      <c r="D3874">
        <v>60</v>
      </c>
      <c r="E3874">
        <v>20</v>
      </c>
      <c r="F3874">
        <v>32</v>
      </c>
      <c r="G3874">
        <v>15.220273005994599</v>
      </c>
    </row>
    <row r="3875" spans="1:7" x14ac:dyDescent="0.3">
      <c r="A3875" t="str">
        <f>IF(ISBLANK(B3875),"",IF(ROUND(B3875,0)=ROUND(G3875,0),"Pass","Fail"))</f>
        <v>Pass</v>
      </c>
      <c r="B3875">
        <f t="shared" si="162"/>
        <v>13.079727172851563</v>
      </c>
      <c r="C3875">
        <v>40</v>
      </c>
      <c r="D3875">
        <v>60</v>
      </c>
      <c r="E3875">
        <v>20</v>
      </c>
      <c r="F3875">
        <v>40</v>
      </c>
      <c r="G3875">
        <v>13.0797267643271</v>
      </c>
    </row>
    <row r="3876" spans="1:7" x14ac:dyDescent="0.3">
      <c r="A3876" t="str">
        <f>IF(ISBLANK(B3876),"",IF(ROUND(B3876,0)=ROUND(G3876,0),"Pass","Fail"))</f>
        <v>Pass</v>
      </c>
      <c r="B3876">
        <f t="shared" si="162"/>
        <v>12.00220775604248</v>
      </c>
      <c r="C3876">
        <v>40</v>
      </c>
      <c r="D3876">
        <v>60</v>
      </c>
      <c r="E3876">
        <v>20</v>
      </c>
      <c r="F3876">
        <v>48</v>
      </c>
      <c r="G3876">
        <v>12.0022079008197</v>
      </c>
    </row>
    <row r="3877" spans="1:7" x14ac:dyDescent="0.3">
      <c r="A3877" t="str">
        <f>IF(ISBLANK(B3877),"",IF(ROUND(B3877,0)=ROUND(G3877,0),"Pass","Fail"))</f>
        <v>Pass</v>
      </c>
      <c r="B3877">
        <f t="shared" si="162"/>
        <v>78.037994384765625</v>
      </c>
      <c r="C3877">
        <v>40</v>
      </c>
      <c r="D3877">
        <v>60</v>
      </c>
      <c r="E3877">
        <v>30</v>
      </c>
      <c r="F3877">
        <v>0</v>
      </c>
      <c r="G3877">
        <v>78.037999999999997</v>
      </c>
    </row>
    <row r="3878" spans="1:7" x14ac:dyDescent="0.3">
      <c r="A3878" t="str">
        <f>IF(ISBLANK(B3878),"",IF(ROUND(B3878,0)=ROUND(G3878,0),"Pass","Fail"))</f>
        <v>Pass</v>
      </c>
      <c r="B3878">
        <f t="shared" si="162"/>
        <v>44.701229095458984</v>
      </c>
      <c r="C3878">
        <v>40</v>
      </c>
      <c r="D3878">
        <v>60</v>
      </c>
      <c r="E3878">
        <v>30</v>
      </c>
      <c r="F3878">
        <v>8</v>
      </c>
      <c r="G3878">
        <v>44.701228080723098</v>
      </c>
    </row>
    <row r="3879" spans="1:7" x14ac:dyDescent="0.3">
      <c r="A3879" t="str">
        <f>IF(ISBLANK(B3879),"",IF(ROUND(B3879,0)=ROUND(G3879,0),"Pass","Fail"))</f>
        <v>Pass</v>
      </c>
      <c r="B3879">
        <f t="shared" si="162"/>
        <v>27.91999626159668</v>
      </c>
      <c r="C3879">
        <v>40</v>
      </c>
      <c r="D3879">
        <v>60</v>
      </c>
      <c r="E3879">
        <v>30</v>
      </c>
      <c r="F3879">
        <v>16</v>
      </c>
      <c r="G3879">
        <v>27.919997247101701</v>
      </c>
    </row>
    <row r="3880" spans="1:7" x14ac:dyDescent="0.3">
      <c r="A3880" t="str">
        <f>IF(ISBLANK(B3880),"",IF(ROUND(B3880,0)=ROUND(G3880,0),"Pass","Fail"))</f>
        <v>Pass</v>
      </c>
      <c r="B3880">
        <f t="shared" si="162"/>
        <v>19.472576141357422</v>
      </c>
      <c r="C3880">
        <v>40</v>
      </c>
      <c r="D3880">
        <v>60</v>
      </c>
      <c r="E3880">
        <v>30</v>
      </c>
      <c r="F3880">
        <v>24</v>
      </c>
      <c r="G3880">
        <v>19.4725774137362</v>
      </c>
    </row>
    <row r="3881" spans="1:7" x14ac:dyDescent="0.3">
      <c r="A3881" t="str">
        <f>IF(ISBLANK(B3881),"",IF(ROUND(B3881,0)=ROUND(G3881,0),"Pass","Fail"))</f>
        <v>Pass</v>
      </c>
      <c r="B3881">
        <f t="shared" si="162"/>
        <v>15.220273017883301</v>
      </c>
      <c r="C3881">
        <v>40</v>
      </c>
      <c r="D3881">
        <v>60</v>
      </c>
      <c r="E3881">
        <v>30</v>
      </c>
      <c r="F3881">
        <v>32</v>
      </c>
      <c r="G3881">
        <v>15.220273005994599</v>
      </c>
    </row>
    <row r="3882" spans="1:7" x14ac:dyDescent="0.3">
      <c r="A3882" t="str">
        <f>IF(ISBLANK(B3882),"",IF(ROUND(B3882,0)=ROUND(G3882,0),"Pass","Fail"))</f>
        <v>Pass</v>
      </c>
      <c r="B3882">
        <f t="shared" si="162"/>
        <v>13.079727172851563</v>
      </c>
      <c r="C3882">
        <v>40</v>
      </c>
      <c r="D3882">
        <v>60</v>
      </c>
      <c r="E3882">
        <v>30</v>
      </c>
      <c r="F3882">
        <v>40</v>
      </c>
      <c r="G3882">
        <v>13.0797267643271</v>
      </c>
    </row>
    <row r="3883" spans="1:7" x14ac:dyDescent="0.3">
      <c r="A3883" t="str">
        <f>IF(ISBLANK(B3883),"",IF(ROUND(B3883,0)=ROUND(G3883,0),"Pass","Fail"))</f>
        <v>Pass</v>
      </c>
      <c r="B3883">
        <f t="shared" si="162"/>
        <v>12.00220775604248</v>
      </c>
      <c r="C3883">
        <v>40</v>
      </c>
      <c r="D3883">
        <v>60</v>
      </c>
      <c r="E3883">
        <v>30</v>
      </c>
      <c r="F3883">
        <v>48</v>
      </c>
      <c r="G3883">
        <v>12.0022079008197</v>
      </c>
    </row>
    <row r="3884" spans="1:7" x14ac:dyDescent="0.3">
      <c r="A3884" t="str">
        <f>IF(ISBLANK(B3884),"",IF(ROUND(B3884,0)=ROUND(G3884,0),"Pass","Fail"))</f>
        <v>Pass</v>
      </c>
      <c r="B3884">
        <f t="shared" si="162"/>
        <v>78.037994384765625</v>
      </c>
      <c r="C3884">
        <v>40</v>
      </c>
      <c r="D3884">
        <v>60</v>
      </c>
      <c r="E3884">
        <v>40</v>
      </c>
      <c r="F3884">
        <v>0</v>
      </c>
      <c r="G3884">
        <v>78.037999999999997</v>
      </c>
    </row>
    <row r="3885" spans="1:7" x14ac:dyDescent="0.3">
      <c r="A3885" t="str">
        <f>IF(ISBLANK(B3885),"",IF(ROUND(B3885,0)=ROUND(G3885,0),"Pass","Fail"))</f>
        <v>Pass</v>
      </c>
      <c r="B3885">
        <f t="shared" si="162"/>
        <v>44.701229095458984</v>
      </c>
      <c r="C3885">
        <v>40</v>
      </c>
      <c r="D3885">
        <v>60</v>
      </c>
      <c r="E3885">
        <v>40</v>
      </c>
      <c r="F3885">
        <v>8</v>
      </c>
      <c r="G3885">
        <v>44.701228080723098</v>
      </c>
    </row>
    <row r="3886" spans="1:7" x14ac:dyDescent="0.3">
      <c r="A3886" t="str">
        <f>IF(ISBLANK(B3886),"",IF(ROUND(B3886,0)=ROUND(G3886,0),"Pass","Fail"))</f>
        <v>Pass</v>
      </c>
      <c r="B3886">
        <f t="shared" si="162"/>
        <v>27.91999626159668</v>
      </c>
      <c r="C3886">
        <v>40</v>
      </c>
      <c r="D3886">
        <v>60</v>
      </c>
      <c r="E3886">
        <v>40</v>
      </c>
      <c r="F3886">
        <v>16</v>
      </c>
      <c r="G3886">
        <v>27.919997247101701</v>
      </c>
    </row>
    <row r="3887" spans="1:7" x14ac:dyDescent="0.3">
      <c r="A3887" t="str">
        <f>IF(ISBLANK(B3887),"",IF(ROUND(B3887,0)=ROUND(G3887,0),"Pass","Fail"))</f>
        <v>Pass</v>
      </c>
      <c r="B3887">
        <f t="shared" si="162"/>
        <v>19.472576141357422</v>
      </c>
      <c r="C3887">
        <v>40</v>
      </c>
      <c r="D3887">
        <v>60</v>
      </c>
      <c r="E3887">
        <v>40</v>
      </c>
      <c r="F3887">
        <v>24</v>
      </c>
      <c r="G3887">
        <v>19.4725774137362</v>
      </c>
    </row>
    <row r="3888" spans="1:7" x14ac:dyDescent="0.3">
      <c r="A3888" t="str">
        <f>IF(ISBLANK(B3888),"",IF(ROUND(B3888,0)=ROUND(G3888,0),"Pass","Fail"))</f>
        <v>Pass</v>
      </c>
      <c r="B3888">
        <f t="shared" si="162"/>
        <v>15.220273017883301</v>
      </c>
      <c r="C3888">
        <v>40</v>
      </c>
      <c r="D3888">
        <v>60</v>
      </c>
      <c r="E3888">
        <v>40</v>
      </c>
      <c r="F3888">
        <v>32</v>
      </c>
      <c r="G3888">
        <v>15.220273005994599</v>
      </c>
    </row>
    <row r="3889" spans="1:7" x14ac:dyDescent="0.3">
      <c r="A3889" t="str">
        <f>IF(ISBLANK(B3889),"",IF(ROUND(B3889,0)=ROUND(G3889,0),"Pass","Fail"))</f>
        <v>Pass</v>
      </c>
      <c r="B3889">
        <f t="shared" si="162"/>
        <v>13.079727172851563</v>
      </c>
      <c r="C3889">
        <v>40</v>
      </c>
      <c r="D3889">
        <v>60</v>
      </c>
      <c r="E3889">
        <v>40</v>
      </c>
      <c r="F3889">
        <v>40</v>
      </c>
      <c r="G3889">
        <v>13.0797267643271</v>
      </c>
    </row>
    <row r="3890" spans="1:7" x14ac:dyDescent="0.3">
      <c r="A3890" t="str">
        <f>IF(ISBLANK(B3890),"",IF(ROUND(B3890,0)=ROUND(G3890,0),"Pass","Fail"))</f>
        <v>Pass</v>
      </c>
      <c r="B3890">
        <f t="shared" si="162"/>
        <v>12.00220775604248</v>
      </c>
      <c r="C3890">
        <v>40</v>
      </c>
      <c r="D3890">
        <v>60</v>
      </c>
      <c r="E3890">
        <v>40</v>
      </c>
      <c r="F3890">
        <v>48</v>
      </c>
      <c r="G3890">
        <v>12.0022079008197</v>
      </c>
    </row>
    <row r="3891" spans="1:7" x14ac:dyDescent="0.3">
      <c r="A3891" t="str">
        <f>IF(ISBLANK(B3891),"",IF(ROUND(B3891,0)=ROUND(G3891,0),"Pass","Fail"))</f>
        <v>Pass</v>
      </c>
      <c r="B3891">
        <f t="shared" si="162"/>
        <v>78.037994384765625</v>
      </c>
      <c r="C3891">
        <v>40</v>
      </c>
      <c r="D3891">
        <v>60</v>
      </c>
      <c r="E3891">
        <v>50</v>
      </c>
      <c r="F3891">
        <v>0</v>
      </c>
      <c r="G3891">
        <v>78.037999999999997</v>
      </c>
    </row>
    <row r="3892" spans="1:7" x14ac:dyDescent="0.3">
      <c r="A3892" t="str">
        <f>IF(ISBLANK(B3892),"",IF(ROUND(B3892,0)=ROUND(G3892,0),"Pass","Fail"))</f>
        <v>Pass</v>
      </c>
      <c r="B3892">
        <f t="shared" si="162"/>
        <v>44.701229095458984</v>
      </c>
      <c r="C3892">
        <v>40</v>
      </c>
      <c r="D3892">
        <v>60</v>
      </c>
      <c r="E3892">
        <v>50</v>
      </c>
      <c r="F3892">
        <v>8</v>
      </c>
      <c r="G3892">
        <v>44.701228080723098</v>
      </c>
    </row>
    <row r="3893" spans="1:7" x14ac:dyDescent="0.3">
      <c r="A3893" t="str">
        <f>IF(ISBLANK(B3893),"",IF(ROUND(B3893,0)=ROUND(G3893,0),"Pass","Fail"))</f>
        <v>Pass</v>
      </c>
      <c r="B3893">
        <f t="shared" si="162"/>
        <v>27.91999626159668</v>
      </c>
      <c r="C3893">
        <v>40</v>
      </c>
      <c r="D3893">
        <v>60</v>
      </c>
      <c r="E3893">
        <v>50</v>
      </c>
      <c r="F3893">
        <v>16</v>
      </c>
      <c r="G3893">
        <v>27.919997247101701</v>
      </c>
    </row>
    <row r="3894" spans="1:7" x14ac:dyDescent="0.3">
      <c r="A3894" t="str">
        <f>IF(ISBLANK(B3894),"",IF(ROUND(B3894,0)=ROUND(G3894,0),"Pass","Fail"))</f>
        <v>Pass</v>
      </c>
      <c r="B3894">
        <f t="shared" si="162"/>
        <v>19.472576141357422</v>
      </c>
      <c r="C3894">
        <v>40</v>
      </c>
      <c r="D3894">
        <v>60</v>
      </c>
      <c r="E3894">
        <v>50</v>
      </c>
      <c r="F3894">
        <v>24</v>
      </c>
      <c r="G3894">
        <v>19.4725774137362</v>
      </c>
    </row>
    <row r="3895" spans="1:7" x14ac:dyDescent="0.3">
      <c r="A3895" t="str">
        <f>IF(ISBLANK(B3895),"",IF(ROUND(B3895,0)=ROUND(G3895,0),"Pass","Fail"))</f>
        <v>Pass</v>
      </c>
      <c r="B3895">
        <f t="shared" si="162"/>
        <v>15.220273017883301</v>
      </c>
      <c r="C3895">
        <v>40</v>
      </c>
      <c r="D3895">
        <v>60</v>
      </c>
      <c r="E3895">
        <v>50</v>
      </c>
      <c r="F3895">
        <v>32</v>
      </c>
      <c r="G3895">
        <v>15.220273005994599</v>
      </c>
    </row>
    <row r="3896" spans="1:7" x14ac:dyDescent="0.3">
      <c r="A3896" t="str">
        <f>IF(ISBLANK(B3896),"",IF(ROUND(B3896,0)=ROUND(G3896,0),"Pass","Fail"))</f>
        <v>Pass</v>
      </c>
      <c r="B3896">
        <f t="shared" si="162"/>
        <v>13.079727172851563</v>
      </c>
      <c r="C3896">
        <v>40</v>
      </c>
      <c r="D3896">
        <v>60</v>
      </c>
      <c r="E3896">
        <v>50</v>
      </c>
      <c r="F3896">
        <v>40</v>
      </c>
      <c r="G3896">
        <v>13.0797267643271</v>
      </c>
    </row>
    <row r="3897" spans="1:7" x14ac:dyDescent="0.3">
      <c r="A3897" t="str">
        <f>IF(ISBLANK(B3897),"",IF(ROUND(B3897,0)=ROUND(G3897,0),"Pass","Fail"))</f>
        <v>Pass</v>
      </c>
      <c r="B3897">
        <f t="shared" si="162"/>
        <v>12.00220775604248</v>
      </c>
      <c r="C3897">
        <v>40</v>
      </c>
      <c r="D3897">
        <v>60</v>
      </c>
      <c r="E3897">
        <v>50</v>
      </c>
      <c r="F3897">
        <v>48</v>
      </c>
      <c r="G3897">
        <v>12.0022079008197</v>
      </c>
    </row>
    <row r="3898" spans="1:7" x14ac:dyDescent="0.3">
      <c r="A3898" t="str">
        <f>IF(ISBLANK(B3898),"",IF(ROUND(B3898,0)=ROUND(G3898,0),"Pass","Fail"))</f>
        <v>Pass</v>
      </c>
      <c r="B3898">
        <f t="shared" si="162"/>
        <v>78.037994384765625</v>
      </c>
      <c r="C3898">
        <v>40</v>
      </c>
      <c r="D3898">
        <v>60</v>
      </c>
      <c r="E3898">
        <v>60</v>
      </c>
      <c r="F3898">
        <v>0</v>
      </c>
      <c r="G3898">
        <v>78.037999999999997</v>
      </c>
    </row>
    <row r="3899" spans="1:7" x14ac:dyDescent="0.3">
      <c r="A3899" t="str">
        <f>IF(ISBLANK(B3899),"",IF(ROUND(B3899,0)=ROUND(G3899,0),"Pass","Fail"))</f>
        <v>Pass</v>
      </c>
      <c r="B3899">
        <f t="shared" si="162"/>
        <v>44.701229095458984</v>
      </c>
      <c r="C3899">
        <v>40</v>
      </c>
      <c r="D3899">
        <v>60</v>
      </c>
      <c r="E3899">
        <v>60</v>
      </c>
      <c r="F3899">
        <v>8</v>
      </c>
      <c r="G3899">
        <v>44.701228080723098</v>
      </c>
    </row>
    <row r="3900" spans="1:7" x14ac:dyDescent="0.3">
      <c r="A3900" t="str">
        <f>IF(ISBLANK(B3900),"",IF(ROUND(B3900,0)=ROUND(G3900,0),"Pass","Fail"))</f>
        <v>Pass</v>
      </c>
      <c r="B3900">
        <f t="shared" si="162"/>
        <v>27.91999626159668</v>
      </c>
      <c r="C3900">
        <v>40</v>
      </c>
      <c r="D3900">
        <v>60</v>
      </c>
      <c r="E3900">
        <v>60</v>
      </c>
      <c r="F3900">
        <v>16</v>
      </c>
      <c r="G3900">
        <v>27.919997247101701</v>
      </c>
    </row>
    <row r="3901" spans="1:7" x14ac:dyDescent="0.3">
      <c r="A3901" t="str">
        <f>IF(ISBLANK(B3901),"",IF(ROUND(B3901,0)=ROUND(G3901,0),"Pass","Fail"))</f>
        <v>Pass</v>
      </c>
      <c r="B3901">
        <f t="shared" si="162"/>
        <v>19.472576141357422</v>
      </c>
      <c r="C3901">
        <v>40</v>
      </c>
      <c r="D3901">
        <v>60</v>
      </c>
      <c r="E3901">
        <v>60</v>
      </c>
      <c r="F3901">
        <v>24</v>
      </c>
      <c r="G3901">
        <v>19.4725774137362</v>
      </c>
    </row>
    <row r="3902" spans="1:7" x14ac:dyDescent="0.3">
      <c r="A3902" t="str">
        <f>IF(ISBLANK(B3902),"",IF(ROUND(B3902,0)=ROUND(G3902,0),"Pass","Fail"))</f>
        <v>Pass</v>
      </c>
      <c r="B3902">
        <f t="shared" si="162"/>
        <v>15.220273017883301</v>
      </c>
      <c r="C3902">
        <v>40</v>
      </c>
      <c r="D3902">
        <v>60</v>
      </c>
      <c r="E3902">
        <v>60</v>
      </c>
      <c r="F3902">
        <v>32</v>
      </c>
      <c r="G3902">
        <v>15.220273005994599</v>
      </c>
    </row>
    <row r="3903" spans="1:7" x14ac:dyDescent="0.3">
      <c r="A3903" t="str">
        <f>IF(ISBLANK(B3903),"",IF(ROUND(B3903,0)=ROUND(G3903,0),"Pass","Fail"))</f>
        <v>Pass</v>
      </c>
      <c r="B3903">
        <f t="shared" si="162"/>
        <v>13.079727172851563</v>
      </c>
      <c r="C3903">
        <v>40</v>
      </c>
      <c r="D3903">
        <v>60</v>
      </c>
      <c r="E3903">
        <v>60</v>
      </c>
      <c r="F3903">
        <v>40</v>
      </c>
      <c r="G3903">
        <v>13.0797267643271</v>
      </c>
    </row>
    <row r="3904" spans="1:7" x14ac:dyDescent="0.3">
      <c r="A3904" t="str">
        <f>IF(ISBLANK(B3904),"",IF(ROUND(B3904,0)=ROUND(G3904,0),"Pass","Fail"))</f>
        <v>Pass</v>
      </c>
      <c r="B3904">
        <f t="shared" si="162"/>
        <v>12.00220775604248</v>
      </c>
      <c r="C3904">
        <v>40</v>
      </c>
      <c r="D3904">
        <v>60</v>
      </c>
      <c r="E3904">
        <v>60</v>
      </c>
      <c r="F3904">
        <v>48</v>
      </c>
      <c r="G3904">
        <v>12.0022079008197</v>
      </c>
    </row>
    <row r="3905" spans="1:7" x14ac:dyDescent="0.3">
      <c r="A3905" t="str">
        <f>IF(ISBLANK(B3905),"",IF(ROUND(B3905,0)=ROUND(G3905,0),"Pass","Fail"))</f>
        <v>Pass</v>
      </c>
      <c r="B3905">
        <f t="shared" si="162"/>
        <v>78.037994384765625</v>
      </c>
      <c r="C3905">
        <v>40</v>
      </c>
      <c r="D3905">
        <v>60</v>
      </c>
      <c r="E3905">
        <v>70</v>
      </c>
      <c r="F3905">
        <v>0</v>
      </c>
      <c r="G3905">
        <v>78.037999999999997</v>
      </c>
    </row>
    <row r="3906" spans="1:7" x14ac:dyDescent="0.3">
      <c r="A3906" t="str">
        <f>IF(ISBLANK(B3906),"",IF(ROUND(B3906,0)=ROUND(G3906,0),"Pass","Fail"))</f>
        <v>Pass</v>
      </c>
      <c r="B3906">
        <f t="shared" si="162"/>
        <v>44.701229095458984</v>
      </c>
      <c r="C3906">
        <v>40</v>
      </c>
      <c r="D3906">
        <v>60</v>
      </c>
      <c r="E3906">
        <v>70</v>
      </c>
      <c r="F3906">
        <v>8</v>
      </c>
      <c r="G3906">
        <v>44.701228080723098</v>
      </c>
    </row>
    <row r="3907" spans="1:7" x14ac:dyDescent="0.3">
      <c r="A3907" t="str">
        <f>IF(ISBLANK(B3907),"",IF(ROUND(B3907,0)=ROUND(G3907,0),"Pass","Fail"))</f>
        <v>Pass</v>
      </c>
      <c r="B3907">
        <f t="shared" si="162"/>
        <v>27.91999626159668</v>
      </c>
      <c r="C3907">
        <v>40</v>
      </c>
      <c r="D3907">
        <v>60</v>
      </c>
      <c r="E3907">
        <v>70</v>
      </c>
      <c r="F3907">
        <v>16</v>
      </c>
      <c r="G3907">
        <v>27.919997247101701</v>
      </c>
    </row>
    <row r="3908" spans="1:7" x14ac:dyDescent="0.3">
      <c r="A3908" t="str">
        <f>IF(ISBLANK(B3908),"",IF(ROUND(B3908,0)=ROUND(G3908,0),"Pass","Fail"))</f>
        <v>Pass</v>
      </c>
      <c r="B3908">
        <f t="shared" si="162"/>
        <v>19.472576141357422</v>
      </c>
      <c r="C3908">
        <v>40</v>
      </c>
      <c r="D3908">
        <v>60</v>
      </c>
      <c r="E3908">
        <v>70</v>
      </c>
      <c r="F3908">
        <v>24</v>
      </c>
      <c r="G3908">
        <v>19.4725774137362</v>
      </c>
    </row>
    <row r="3909" spans="1:7" x14ac:dyDescent="0.3">
      <c r="A3909" t="str">
        <f>IF(ISBLANK(B3909),"",IF(ROUND(B3909,0)=ROUND(G3909,0),"Pass","Fail"))</f>
        <v>Pass</v>
      </c>
      <c r="B3909">
        <f t="shared" si="162"/>
        <v>15.220273017883301</v>
      </c>
      <c r="C3909">
        <v>40</v>
      </c>
      <c r="D3909">
        <v>60</v>
      </c>
      <c r="E3909">
        <v>70</v>
      </c>
      <c r="F3909">
        <v>32</v>
      </c>
      <c r="G3909">
        <v>15.220273005994599</v>
      </c>
    </row>
    <row r="3910" spans="1:7" x14ac:dyDescent="0.3">
      <c r="A3910" t="str">
        <f>IF(ISBLANK(B3910),"",IF(ROUND(B3910,0)=ROUND(G3910,0),"Pass","Fail"))</f>
        <v>Pass</v>
      </c>
      <c r="B3910">
        <f t="shared" si="162"/>
        <v>13.079727172851563</v>
      </c>
      <c r="C3910">
        <v>40</v>
      </c>
      <c r="D3910">
        <v>60</v>
      </c>
      <c r="E3910">
        <v>70</v>
      </c>
      <c r="F3910">
        <v>40</v>
      </c>
      <c r="G3910">
        <v>13.0797267643271</v>
      </c>
    </row>
    <row r="3911" spans="1:7" x14ac:dyDescent="0.3">
      <c r="A3911" t="str">
        <f>IF(ISBLANK(B3911),"",IF(ROUND(B3911,0)=ROUND(G3911,0),"Pass","Fail"))</f>
        <v>Pass</v>
      </c>
      <c r="B3911">
        <f t="shared" ref="B3911:B3974" si="163">FMC_heath(C3911,D3911,E3911,F3911)</f>
        <v>12.00220775604248</v>
      </c>
      <c r="C3911">
        <v>40</v>
      </c>
      <c r="D3911">
        <v>60</v>
      </c>
      <c r="E3911">
        <v>70</v>
      </c>
      <c r="F3911">
        <v>48</v>
      </c>
      <c r="G3911">
        <v>12.0022079008197</v>
      </c>
    </row>
    <row r="3912" spans="1:7" x14ac:dyDescent="0.3">
      <c r="A3912" t="str">
        <f>IF(ISBLANK(B3912),"",IF(ROUND(B3912,0)=ROUND(G3912,0),"Pass","Fail"))</f>
        <v>Pass</v>
      </c>
      <c r="B3912">
        <f t="shared" si="163"/>
        <v>78.037994384765625</v>
      </c>
      <c r="C3912">
        <v>40</v>
      </c>
      <c r="D3912">
        <v>60</v>
      </c>
      <c r="E3912">
        <v>80</v>
      </c>
      <c r="F3912">
        <v>0</v>
      </c>
      <c r="G3912">
        <v>78.037999999999997</v>
      </c>
    </row>
    <row r="3913" spans="1:7" x14ac:dyDescent="0.3">
      <c r="A3913" t="str">
        <f>IF(ISBLANK(B3913),"",IF(ROUND(B3913,0)=ROUND(G3913,0),"Pass","Fail"))</f>
        <v>Pass</v>
      </c>
      <c r="B3913">
        <f t="shared" si="163"/>
        <v>44.701229095458984</v>
      </c>
      <c r="C3913">
        <v>40</v>
      </c>
      <c r="D3913">
        <v>60</v>
      </c>
      <c r="E3913">
        <v>80</v>
      </c>
      <c r="F3913">
        <v>8</v>
      </c>
      <c r="G3913">
        <v>44.701228080723098</v>
      </c>
    </row>
    <row r="3914" spans="1:7" x14ac:dyDescent="0.3">
      <c r="A3914" t="str">
        <f>IF(ISBLANK(B3914),"",IF(ROUND(B3914,0)=ROUND(G3914,0),"Pass","Fail"))</f>
        <v>Pass</v>
      </c>
      <c r="B3914">
        <f t="shared" si="163"/>
        <v>27.91999626159668</v>
      </c>
      <c r="C3914">
        <v>40</v>
      </c>
      <c r="D3914">
        <v>60</v>
      </c>
      <c r="E3914">
        <v>80</v>
      </c>
      <c r="F3914">
        <v>16</v>
      </c>
      <c r="G3914">
        <v>27.919997247101701</v>
      </c>
    </row>
    <row r="3915" spans="1:7" x14ac:dyDescent="0.3">
      <c r="A3915" t="str">
        <f>IF(ISBLANK(B3915),"",IF(ROUND(B3915,0)=ROUND(G3915,0),"Pass","Fail"))</f>
        <v>Pass</v>
      </c>
      <c r="B3915">
        <f t="shared" si="163"/>
        <v>19.472576141357422</v>
      </c>
      <c r="C3915">
        <v>40</v>
      </c>
      <c r="D3915">
        <v>60</v>
      </c>
      <c r="E3915">
        <v>80</v>
      </c>
      <c r="F3915">
        <v>24</v>
      </c>
      <c r="G3915">
        <v>19.4725774137362</v>
      </c>
    </row>
    <row r="3916" spans="1:7" x14ac:dyDescent="0.3">
      <c r="A3916" t="str">
        <f>IF(ISBLANK(B3916),"",IF(ROUND(B3916,0)=ROUND(G3916,0),"Pass","Fail"))</f>
        <v>Pass</v>
      </c>
      <c r="B3916">
        <f t="shared" si="163"/>
        <v>15.220273017883301</v>
      </c>
      <c r="C3916">
        <v>40</v>
      </c>
      <c r="D3916">
        <v>60</v>
      </c>
      <c r="E3916">
        <v>80</v>
      </c>
      <c r="F3916">
        <v>32</v>
      </c>
      <c r="G3916">
        <v>15.220273005994599</v>
      </c>
    </row>
    <row r="3917" spans="1:7" x14ac:dyDescent="0.3">
      <c r="A3917" t="str">
        <f>IF(ISBLANK(B3917),"",IF(ROUND(B3917,0)=ROUND(G3917,0),"Pass","Fail"))</f>
        <v>Pass</v>
      </c>
      <c r="B3917">
        <f t="shared" si="163"/>
        <v>13.079727172851563</v>
      </c>
      <c r="C3917">
        <v>40</v>
      </c>
      <c r="D3917">
        <v>60</v>
      </c>
      <c r="E3917">
        <v>80</v>
      </c>
      <c r="F3917">
        <v>40</v>
      </c>
      <c r="G3917">
        <v>13.0797267643271</v>
      </c>
    </row>
    <row r="3918" spans="1:7" x14ac:dyDescent="0.3">
      <c r="A3918" t="str">
        <f>IF(ISBLANK(B3918),"",IF(ROUND(B3918,0)=ROUND(G3918,0),"Pass","Fail"))</f>
        <v>Pass</v>
      </c>
      <c r="B3918">
        <f t="shared" si="163"/>
        <v>12.00220775604248</v>
      </c>
      <c r="C3918">
        <v>40</v>
      </c>
      <c r="D3918">
        <v>60</v>
      </c>
      <c r="E3918">
        <v>80</v>
      </c>
      <c r="F3918">
        <v>48</v>
      </c>
      <c r="G3918">
        <v>12.0022079008197</v>
      </c>
    </row>
    <row r="3919" spans="1:7" x14ac:dyDescent="0.3">
      <c r="A3919" t="str">
        <f>IF(ISBLANK(B3919),"",IF(ROUND(B3919,0)=ROUND(G3919,0),"Pass","Fail"))</f>
        <v>Pass</v>
      </c>
      <c r="B3919">
        <f t="shared" si="163"/>
        <v>78.037994384765625</v>
      </c>
      <c r="C3919">
        <v>40</v>
      </c>
      <c r="D3919">
        <v>60</v>
      </c>
      <c r="E3919">
        <v>90</v>
      </c>
      <c r="F3919">
        <v>0</v>
      </c>
      <c r="G3919">
        <v>78.037999999999997</v>
      </c>
    </row>
    <row r="3920" spans="1:7" x14ac:dyDescent="0.3">
      <c r="A3920" t="str">
        <f>IF(ISBLANK(B3920),"",IF(ROUND(B3920,0)=ROUND(G3920,0),"Pass","Fail"))</f>
        <v>Pass</v>
      </c>
      <c r="B3920">
        <f t="shared" si="163"/>
        <v>44.701229095458984</v>
      </c>
      <c r="C3920">
        <v>40</v>
      </c>
      <c r="D3920">
        <v>60</v>
      </c>
      <c r="E3920">
        <v>90</v>
      </c>
      <c r="F3920">
        <v>8</v>
      </c>
      <c r="G3920">
        <v>44.701228080723098</v>
      </c>
    </row>
    <row r="3921" spans="1:7" x14ac:dyDescent="0.3">
      <c r="A3921" t="str">
        <f>IF(ISBLANK(B3921),"",IF(ROUND(B3921,0)=ROUND(G3921,0),"Pass","Fail"))</f>
        <v>Pass</v>
      </c>
      <c r="B3921">
        <f t="shared" si="163"/>
        <v>27.91999626159668</v>
      </c>
      <c r="C3921">
        <v>40</v>
      </c>
      <c r="D3921">
        <v>60</v>
      </c>
      <c r="E3921">
        <v>90</v>
      </c>
      <c r="F3921">
        <v>16</v>
      </c>
      <c r="G3921">
        <v>27.919997247101701</v>
      </c>
    </row>
    <row r="3922" spans="1:7" x14ac:dyDescent="0.3">
      <c r="A3922" t="str">
        <f>IF(ISBLANK(B3922),"",IF(ROUND(B3922,0)=ROUND(G3922,0),"Pass","Fail"))</f>
        <v>Pass</v>
      </c>
      <c r="B3922">
        <f t="shared" si="163"/>
        <v>19.472576141357422</v>
      </c>
      <c r="C3922">
        <v>40</v>
      </c>
      <c r="D3922">
        <v>60</v>
      </c>
      <c r="E3922">
        <v>90</v>
      </c>
      <c r="F3922">
        <v>24</v>
      </c>
      <c r="G3922">
        <v>19.4725774137362</v>
      </c>
    </row>
    <row r="3923" spans="1:7" x14ac:dyDescent="0.3">
      <c r="A3923" t="str">
        <f>IF(ISBLANK(B3923),"",IF(ROUND(B3923,0)=ROUND(G3923,0),"Pass","Fail"))</f>
        <v>Pass</v>
      </c>
      <c r="B3923">
        <f t="shared" si="163"/>
        <v>15.220273017883301</v>
      </c>
      <c r="C3923">
        <v>40</v>
      </c>
      <c r="D3923">
        <v>60</v>
      </c>
      <c r="E3923">
        <v>90</v>
      </c>
      <c r="F3923">
        <v>32</v>
      </c>
      <c r="G3923">
        <v>15.220273005994599</v>
      </c>
    </row>
    <row r="3924" spans="1:7" x14ac:dyDescent="0.3">
      <c r="A3924" t="str">
        <f>IF(ISBLANK(B3924),"",IF(ROUND(B3924,0)=ROUND(G3924,0),"Pass","Fail"))</f>
        <v>Pass</v>
      </c>
      <c r="B3924">
        <f t="shared" si="163"/>
        <v>13.079727172851563</v>
      </c>
      <c r="C3924">
        <v>40</v>
      </c>
      <c r="D3924">
        <v>60</v>
      </c>
      <c r="E3924">
        <v>90</v>
      </c>
      <c r="F3924">
        <v>40</v>
      </c>
      <c r="G3924">
        <v>13.0797267643271</v>
      </c>
    </row>
    <row r="3925" spans="1:7" x14ac:dyDescent="0.3">
      <c r="A3925" t="str">
        <f>IF(ISBLANK(B3925),"",IF(ROUND(B3925,0)=ROUND(G3925,0),"Pass","Fail"))</f>
        <v>Pass</v>
      </c>
      <c r="B3925">
        <f t="shared" si="163"/>
        <v>12.00220775604248</v>
      </c>
      <c r="C3925">
        <v>40</v>
      </c>
      <c r="D3925">
        <v>60</v>
      </c>
      <c r="E3925">
        <v>90</v>
      </c>
      <c r="F3925">
        <v>48</v>
      </c>
      <c r="G3925">
        <v>12.0022079008197</v>
      </c>
    </row>
    <row r="3926" spans="1:7" x14ac:dyDescent="0.3">
      <c r="A3926" t="str">
        <f>IF(ISBLANK(B3926),"",IF(ROUND(B3926,0)=ROUND(G3926,0),"Pass","Fail"))</f>
        <v>Pass</v>
      </c>
      <c r="B3926">
        <f t="shared" si="163"/>
        <v>78.037994384765625</v>
      </c>
      <c r="C3926">
        <v>40</v>
      </c>
      <c r="D3926">
        <v>60</v>
      </c>
      <c r="E3926">
        <v>100</v>
      </c>
      <c r="F3926">
        <v>0</v>
      </c>
      <c r="G3926">
        <v>78.037999999999997</v>
      </c>
    </row>
    <row r="3927" spans="1:7" x14ac:dyDescent="0.3">
      <c r="A3927" t="str">
        <f>IF(ISBLANK(B3927),"",IF(ROUND(B3927,0)=ROUND(G3927,0),"Pass","Fail"))</f>
        <v>Pass</v>
      </c>
      <c r="B3927">
        <f t="shared" si="163"/>
        <v>44.701229095458984</v>
      </c>
      <c r="C3927">
        <v>40</v>
      </c>
      <c r="D3927">
        <v>60</v>
      </c>
      <c r="E3927">
        <v>100</v>
      </c>
      <c r="F3927">
        <v>8</v>
      </c>
      <c r="G3927">
        <v>44.701228080723098</v>
      </c>
    </row>
    <row r="3928" spans="1:7" x14ac:dyDescent="0.3">
      <c r="A3928" t="str">
        <f>IF(ISBLANK(B3928),"",IF(ROUND(B3928,0)=ROUND(G3928,0),"Pass","Fail"))</f>
        <v>Pass</v>
      </c>
      <c r="B3928">
        <f t="shared" si="163"/>
        <v>27.91999626159668</v>
      </c>
      <c r="C3928">
        <v>40</v>
      </c>
      <c r="D3928">
        <v>60</v>
      </c>
      <c r="E3928">
        <v>100</v>
      </c>
      <c r="F3928">
        <v>16</v>
      </c>
      <c r="G3928">
        <v>27.919997247101701</v>
      </c>
    </row>
    <row r="3929" spans="1:7" x14ac:dyDescent="0.3">
      <c r="A3929" t="str">
        <f>IF(ISBLANK(B3929),"",IF(ROUND(B3929,0)=ROUND(G3929,0),"Pass","Fail"))</f>
        <v>Pass</v>
      </c>
      <c r="B3929">
        <f t="shared" si="163"/>
        <v>19.472576141357422</v>
      </c>
      <c r="C3929">
        <v>40</v>
      </c>
      <c r="D3929">
        <v>60</v>
      </c>
      <c r="E3929">
        <v>100</v>
      </c>
      <c r="F3929">
        <v>24</v>
      </c>
      <c r="G3929">
        <v>19.4725774137362</v>
      </c>
    </row>
    <row r="3930" spans="1:7" x14ac:dyDescent="0.3">
      <c r="A3930" t="str">
        <f>IF(ISBLANK(B3930),"",IF(ROUND(B3930,0)=ROUND(G3930,0),"Pass","Fail"))</f>
        <v>Pass</v>
      </c>
      <c r="B3930">
        <f t="shared" si="163"/>
        <v>15.220273017883301</v>
      </c>
      <c r="C3930">
        <v>40</v>
      </c>
      <c r="D3930">
        <v>60</v>
      </c>
      <c r="E3930">
        <v>100</v>
      </c>
      <c r="F3930">
        <v>32</v>
      </c>
      <c r="G3930">
        <v>15.220273005994599</v>
      </c>
    </row>
    <row r="3931" spans="1:7" x14ac:dyDescent="0.3">
      <c r="A3931" t="str">
        <f>IF(ISBLANK(B3931),"",IF(ROUND(B3931,0)=ROUND(G3931,0),"Pass","Fail"))</f>
        <v>Pass</v>
      </c>
      <c r="B3931">
        <f t="shared" si="163"/>
        <v>13.079727172851563</v>
      </c>
      <c r="C3931">
        <v>40</v>
      </c>
      <c r="D3931">
        <v>60</v>
      </c>
      <c r="E3931">
        <v>100</v>
      </c>
      <c r="F3931">
        <v>40</v>
      </c>
      <c r="G3931">
        <v>13.0797267643271</v>
      </c>
    </row>
    <row r="3932" spans="1:7" x14ac:dyDescent="0.3">
      <c r="A3932" t="str">
        <f>IF(ISBLANK(B3932),"",IF(ROUND(B3932,0)=ROUND(G3932,0),"Pass","Fail"))</f>
        <v>Pass</v>
      </c>
      <c r="B3932">
        <f t="shared" si="163"/>
        <v>12.00220775604248</v>
      </c>
      <c r="C3932">
        <v>40</v>
      </c>
      <c r="D3932">
        <v>60</v>
      </c>
      <c r="E3932">
        <v>100</v>
      </c>
      <c r="F3932">
        <v>48</v>
      </c>
      <c r="G3932">
        <v>12.0022079008197</v>
      </c>
    </row>
    <row r="3933" spans="1:7" x14ac:dyDescent="0.3">
      <c r="A3933" t="str">
        <f>IF(ISBLANK(B3933),"",IF(ROUND(B3933,0)=ROUND(G3933,0),"Pass","Fail"))</f>
        <v>Pass</v>
      </c>
      <c r="B3933">
        <f t="shared" si="163"/>
        <v>14.140000343322754</v>
      </c>
      <c r="C3933">
        <v>40</v>
      </c>
      <c r="D3933">
        <v>70</v>
      </c>
      <c r="E3933">
        <v>0</v>
      </c>
      <c r="F3933">
        <v>0</v>
      </c>
      <c r="G3933">
        <v>14.14</v>
      </c>
    </row>
    <row r="3934" spans="1:7" x14ac:dyDescent="0.3">
      <c r="A3934" t="str">
        <f>IF(ISBLANK(B3934),"",IF(ROUND(B3934,0)=ROUND(G3934,0),"Pass","Fail"))</f>
        <v>Pass</v>
      </c>
      <c r="B3934">
        <f t="shared" si="163"/>
        <v>14.140000343322754</v>
      </c>
      <c r="C3934">
        <v>40</v>
      </c>
      <c r="D3934">
        <v>70</v>
      </c>
      <c r="E3934">
        <v>0</v>
      </c>
      <c r="F3934">
        <v>8</v>
      </c>
      <c r="G3934">
        <v>14.14</v>
      </c>
    </row>
    <row r="3935" spans="1:7" x14ac:dyDescent="0.3">
      <c r="A3935" t="str">
        <f>IF(ISBLANK(B3935),"",IF(ROUND(B3935,0)=ROUND(G3935,0),"Pass","Fail"))</f>
        <v>Pass</v>
      </c>
      <c r="B3935">
        <f t="shared" si="163"/>
        <v>14.140000343322754</v>
      </c>
      <c r="C3935">
        <v>40</v>
      </c>
      <c r="D3935">
        <v>70</v>
      </c>
      <c r="E3935">
        <v>0</v>
      </c>
      <c r="F3935">
        <v>16</v>
      </c>
      <c r="G3935">
        <v>14.14</v>
      </c>
    </row>
    <row r="3936" spans="1:7" x14ac:dyDescent="0.3">
      <c r="A3936" t="str">
        <f>IF(ISBLANK(B3936),"",IF(ROUND(B3936,0)=ROUND(G3936,0),"Pass","Fail"))</f>
        <v>Pass</v>
      </c>
      <c r="B3936">
        <f t="shared" si="163"/>
        <v>14.140000343322754</v>
      </c>
      <c r="C3936">
        <v>40</v>
      </c>
      <c r="D3936">
        <v>70</v>
      </c>
      <c r="E3936">
        <v>0</v>
      </c>
      <c r="F3936">
        <v>24</v>
      </c>
      <c r="G3936">
        <v>14.14</v>
      </c>
    </row>
    <row r="3937" spans="1:7" x14ac:dyDescent="0.3">
      <c r="A3937" t="str">
        <f>IF(ISBLANK(B3937),"",IF(ROUND(B3937,0)=ROUND(G3937,0),"Pass","Fail"))</f>
        <v>Pass</v>
      </c>
      <c r="B3937">
        <f t="shared" si="163"/>
        <v>14.140000343322754</v>
      </c>
      <c r="C3937">
        <v>40</v>
      </c>
      <c r="D3937">
        <v>70</v>
      </c>
      <c r="E3937">
        <v>0</v>
      </c>
      <c r="F3937">
        <v>32</v>
      </c>
      <c r="G3937">
        <v>14.14</v>
      </c>
    </row>
    <row r="3938" spans="1:7" x14ac:dyDescent="0.3">
      <c r="A3938" t="str">
        <f>IF(ISBLANK(B3938),"",IF(ROUND(B3938,0)=ROUND(G3938,0),"Pass","Fail"))</f>
        <v>Pass</v>
      </c>
      <c r="B3938">
        <f t="shared" si="163"/>
        <v>14.140000343322754</v>
      </c>
      <c r="C3938">
        <v>40</v>
      </c>
      <c r="D3938">
        <v>70</v>
      </c>
      <c r="E3938">
        <v>0</v>
      </c>
      <c r="F3938">
        <v>40</v>
      </c>
      <c r="G3938">
        <v>14.14</v>
      </c>
    </row>
    <row r="3939" spans="1:7" x14ac:dyDescent="0.3">
      <c r="A3939" t="str">
        <f>IF(ISBLANK(B3939),"",IF(ROUND(B3939,0)=ROUND(G3939,0),"Pass","Fail"))</f>
        <v>Pass</v>
      </c>
      <c r="B3939">
        <f t="shared" si="163"/>
        <v>14.140000343322754</v>
      </c>
      <c r="C3939">
        <v>40</v>
      </c>
      <c r="D3939">
        <v>70</v>
      </c>
      <c r="E3939">
        <v>0</v>
      </c>
      <c r="F3939">
        <v>48</v>
      </c>
      <c r="G3939">
        <v>14.14</v>
      </c>
    </row>
    <row r="3940" spans="1:7" x14ac:dyDescent="0.3">
      <c r="A3940" t="str">
        <f>IF(ISBLANK(B3940),"",IF(ROUND(B3940,0)=ROUND(G3940,0),"Pass","Fail"))</f>
        <v>Pass</v>
      </c>
      <c r="B3940">
        <f t="shared" si="163"/>
        <v>81.267997741699219</v>
      </c>
      <c r="C3940">
        <v>40</v>
      </c>
      <c r="D3940">
        <v>70</v>
      </c>
      <c r="E3940">
        <v>10</v>
      </c>
      <c r="F3940">
        <v>0</v>
      </c>
      <c r="G3940">
        <v>81.267999999998295</v>
      </c>
    </row>
    <row r="3941" spans="1:7" x14ac:dyDescent="0.3">
      <c r="A3941" t="str">
        <f>IF(ISBLANK(B3941),"",IF(ROUND(B3941,0)=ROUND(G3941,0),"Pass","Fail"))</f>
        <v>Pass</v>
      </c>
      <c r="B3941">
        <f t="shared" si="163"/>
        <v>47.931228637695313</v>
      </c>
      <c r="C3941">
        <v>40</v>
      </c>
      <c r="D3941">
        <v>70</v>
      </c>
      <c r="E3941">
        <v>10</v>
      </c>
      <c r="F3941">
        <v>8</v>
      </c>
      <c r="G3941">
        <v>47.9312280807222</v>
      </c>
    </row>
    <row r="3942" spans="1:7" x14ac:dyDescent="0.3">
      <c r="A3942" t="str">
        <f>IF(ISBLANK(B3942),"",IF(ROUND(B3942,0)=ROUND(G3942,0),"Pass","Fail"))</f>
        <v>Pass</v>
      </c>
      <c r="B3942">
        <f t="shared" si="163"/>
        <v>31.149997711181641</v>
      </c>
      <c r="C3942">
        <v>40</v>
      </c>
      <c r="D3942">
        <v>70</v>
      </c>
      <c r="E3942">
        <v>10</v>
      </c>
      <c r="F3942">
        <v>16</v>
      </c>
      <c r="G3942">
        <v>31.1499972471013</v>
      </c>
    </row>
    <row r="3943" spans="1:7" x14ac:dyDescent="0.3">
      <c r="A3943" t="str">
        <f>IF(ISBLANK(B3943),"",IF(ROUND(B3943,0)=ROUND(G3943,0),"Pass","Fail"))</f>
        <v>Pass</v>
      </c>
      <c r="B3943">
        <f t="shared" si="163"/>
        <v>22.702577590942383</v>
      </c>
      <c r="C3943">
        <v>40</v>
      </c>
      <c r="D3943">
        <v>70</v>
      </c>
      <c r="E3943">
        <v>10</v>
      </c>
      <c r="F3943">
        <v>24</v>
      </c>
      <c r="G3943">
        <v>22.702577413736002</v>
      </c>
    </row>
    <row r="3944" spans="1:7" x14ac:dyDescent="0.3">
      <c r="A3944" t="str">
        <f>IF(ISBLANK(B3944),"",IF(ROUND(B3944,0)=ROUND(G3944,0),"Pass","Fail"))</f>
        <v>Pass</v>
      </c>
      <c r="B3944">
        <f t="shared" si="163"/>
        <v>18.450273513793945</v>
      </c>
      <c r="C3944">
        <v>40</v>
      </c>
      <c r="D3944">
        <v>70</v>
      </c>
      <c r="E3944">
        <v>10</v>
      </c>
      <c r="F3944">
        <v>32</v>
      </c>
      <c r="G3944">
        <v>18.4502730059945</v>
      </c>
    </row>
    <row r="3945" spans="1:7" x14ac:dyDescent="0.3">
      <c r="A3945" t="str">
        <f>IF(ISBLANK(B3945),"",IF(ROUND(B3945,0)=ROUND(G3945,0),"Pass","Fail"))</f>
        <v>Pass</v>
      </c>
      <c r="B3945">
        <f t="shared" si="163"/>
        <v>16.309726715087891</v>
      </c>
      <c r="C3945">
        <v>40</v>
      </c>
      <c r="D3945">
        <v>70</v>
      </c>
      <c r="E3945">
        <v>10</v>
      </c>
      <c r="F3945">
        <v>40</v>
      </c>
      <c r="G3945">
        <v>16.309726764326999</v>
      </c>
    </row>
    <row r="3946" spans="1:7" x14ac:dyDescent="0.3">
      <c r="A3946" t="str">
        <f>IF(ISBLANK(B3946),"",IF(ROUND(B3946,0)=ROUND(G3946,0),"Pass","Fail"))</f>
        <v>Pass</v>
      </c>
      <c r="B3946">
        <f t="shared" si="163"/>
        <v>15.232208251953125</v>
      </c>
      <c r="C3946">
        <v>40</v>
      </c>
      <c r="D3946">
        <v>70</v>
      </c>
      <c r="E3946">
        <v>10</v>
      </c>
      <c r="F3946">
        <v>48</v>
      </c>
      <c r="G3946">
        <v>15.232207900819599</v>
      </c>
    </row>
    <row r="3947" spans="1:7" x14ac:dyDescent="0.3">
      <c r="A3947" t="str">
        <f>IF(ISBLANK(B3947),"",IF(ROUND(B3947,0)=ROUND(G3947,0),"Pass","Fail"))</f>
        <v>Pass</v>
      </c>
      <c r="B3947">
        <f t="shared" si="163"/>
        <v>81.267997741699219</v>
      </c>
      <c r="C3947">
        <v>40</v>
      </c>
      <c r="D3947">
        <v>70</v>
      </c>
      <c r="E3947">
        <v>20</v>
      </c>
      <c r="F3947">
        <v>0</v>
      </c>
      <c r="G3947">
        <v>81.268000000000001</v>
      </c>
    </row>
    <row r="3948" spans="1:7" x14ac:dyDescent="0.3">
      <c r="A3948" t="str">
        <f>IF(ISBLANK(B3948),"",IF(ROUND(B3948,0)=ROUND(G3948,0),"Pass","Fail"))</f>
        <v>Pass</v>
      </c>
      <c r="B3948">
        <f t="shared" si="163"/>
        <v>47.931228637695313</v>
      </c>
      <c r="C3948">
        <v>40</v>
      </c>
      <c r="D3948">
        <v>70</v>
      </c>
      <c r="E3948">
        <v>20</v>
      </c>
      <c r="F3948">
        <v>8</v>
      </c>
      <c r="G3948">
        <v>47.931228080723002</v>
      </c>
    </row>
    <row r="3949" spans="1:7" x14ac:dyDescent="0.3">
      <c r="A3949" t="str">
        <f>IF(ISBLANK(B3949),"",IF(ROUND(B3949,0)=ROUND(G3949,0),"Pass","Fail"))</f>
        <v>Pass</v>
      </c>
      <c r="B3949">
        <f t="shared" si="163"/>
        <v>31.149997711181641</v>
      </c>
      <c r="C3949">
        <v>40</v>
      </c>
      <c r="D3949">
        <v>70</v>
      </c>
      <c r="E3949">
        <v>20</v>
      </c>
      <c r="F3949">
        <v>16</v>
      </c>
      <c r="G3949">
        <v>31.149997247101702</v>
      </c>
    </row>
    <row r="3950" spans="1:7" x14ac:dyDescent="0.3">
      <c r="A3950" t="str">
        <f>IF(ISBLANK(B3950),"",IF(ROUND(B3950,0)=ROUND(G3950,0),"Pass","Fail"))</f>
        <v>Pass</v>
      </c>
      <c r="B3950">
        <f t="shared" si="163"/>
        <v>22.702577590942383</v>
      </c>
      <c r="C3950">
        <v>40</v>
      </c>
      <c r="D3950">
        <v>70</v>
      </c>
      <c r="E3950">
        <v>20</v>
      </c>
      <c r="F3950">
        <v>24</v>
      </c>
      <c r="G3950">
        <v>22.702577413736201</v>
      </c>
    </row>
    <row r="3951" spans="1:7" x14ac:dyDescent="0.3">
      <c r="A3951" t="str">
        <f>IF(ISBLANK(B3951),"",IF(ROUND(B3951,0)=ROUND(G3951,0),"Pass","Fail"))</f>
        <v>Pass</v>
      </c>
      <c r="B3951">
        <f t="shared" si="163"/>
        <v>18.450273513793945</v>
      </c>
      <c r="C3951">
        <v>40</v>
      </c>
      <c r="D3951">
        <v>70</v>
      </c>
      <c r="E3951">
        <v>20</v>
      </c>
      <c r="F3951">
        <v>32</v>
      </c>
      <c r="G3951">
        <v>18.4502730059946</v>
      </c>
    </row>
    <row r="3952" spans="1:7" x14ac:dyDescent="0.3">
      <c r="A3952" t="str">
        <f>IF(ISBLANK(B3952),"",IF(ROUND(B3952,0)=ROUND(G3952,0),"Pass","Fail"))</f>
        <v>Pass</v>
      </c>
      <c r="B3952">
        <f t="shared" si="163"/>
        <v>16.309726715087891</v>
      </c>
      <c r="C3952">
        <v>40</v>
      </c>
      <c r="D3952">
        <v>70</v>
      </c>
      <c r="E3952">
        <v>20</v>
      </c>
      <c r="F3952">
        <v>40</v>
      </c>
      <c r="G3952">
        <v>16.309726764327099</v>
      </c>
    </row>
    <row r="3953" spans="1:7" x14ac:dyDescent="0.3">
      <c r="A3953" t="str">
        <f>IF(ISBLANK(B3953),"",IF(ROUND(B3953,0)=ROUND(G3953,0),"Pass","Fail"))</f>
        <v>Pass</v>
      </c>
      <c r="B3953">
        <f t="shared" si="163"/>
        <v>15.232208251953125</v>
      </c>
      <c r="C3953">
        <v>40</v>
      </c>
      <c r="D3953">
        <v>70</v>
      </c>
      <c r="E3953">
        <v>20</v>
      </c>
      <c r="F3953">
        <v>48</v>
      </c>
      <c r="G3953">
        <v>15.2322079008197</v>
      </c>
    </row>
    <row r="3954" spans="1:7" x14ac:dyDescent="0.3">
      <c r="A3954" t="str">
        <f>IF(ISBLANK(B3954),"",IF(ROUND(B3954,0)=ROUND(G3954,0),"Pass","Fail"))</f>
        <v>Pass</v>
      </c>
      <c r="B3954">
        <f t="shared" si="163"/>
        <v>81.267997741699219</v>
      </c>
      <c r="C3954">
        <v>40</v>
      </c>
      <c r="D3954">
        <v>70</v>
      </c>
      <c r="E3954">
        <v>30</v>
      </c>
      <c r="F3954">
        <v>0</v>
      </c>
      <c r="G3954">
        <v>81.268000000000001</v>
      </c>
    </row>
    <row r="3955" spans="1:7" x14ac:dyDescent="0.3">
      <c r="A3955" t="str">
        <f>IF(ISBLANK(B3955),"",IF(ROUND(B3955,0)=ROUND(G3955,0),"Pass","Fail"))</f>
        <v>Pass</v>
      </c>
      <c r="B3955">
        <f t="shared" si="163"/>
        <v>47.931228637695313</v>
      </c>
      <c r="C3955">
        <v>40</v>
      </c>
      <c r="D3955">
        <v>70</v>
      </c>
      <c r="E3955">
        <v>30</v>
      </c>
      <c r="F3955">
        <v>8</v>
      </c>
      <c r="G3955">
        <v>47.931228080723002</v>
      </c>
    </row>
    <row r="3956" spans="1:7" x14ac:dyDescent="0.3">
      <c r="A3956" t="str">
        <f>IF(ISBLANK(B3956),"",IF(ROUND(B3956,0)=ROUND(G3956,0),"Pass","Fail"))</f>
        <v>Pass</v>
      </c>
      <c r="B3956">
        <f t="shared" si="163"/>
        <v>31.149997711181641</v>
      </c>
      <c r="C3956">
        <v>40</v>
      </c>
      <c r="D3956">
        <v>70</v>
      </c>
      <c r="E3956">
        <v>30</v>
      </c>
      <c r="F3956">
        <v>16</v>
      </c>
      <c r="G3956">
        <v>31.149997247101702</v>
      </c>
    </row>
    <row r="3957" spans="1:7" x14ac:dyDescent="0.3">
      <c r="A3957" t="str">
        <f>IF(ISBLANK(B3957),"",IF(ROUND(B3957,0)=ROUND(G3957,0),"Pass","Fail"))</f>
        <v>Pass</v>
      </c>
      <c r="B3957">
        <f t="shared" si="163"/>
        <v>22.702577590942383</v>
      </c>
      <c r="C3957">
        <v>40</v>
      </c>
      <c r="D3957">
        <v>70</v>
      </c>
      <c r="E3957">
        <v>30</v>
      </c>
      <c r="F3957">
        <v>24</v>
      </c>
      <c r="G3957">
        <v>22.702577413736201</v>
      </c>
    </row>
    <row r="3958" spans="1:7" x14ac:dyDescent="0.3">
      <c r="A3958" t="str">
        <f>IF(ISBLANK(B3958),"",IF(ROUND(B3958,0)=ROUND(G3958,0),"Pass","Fail"))</f>
        <v>Pass</v>
      </c>
      <c r="B3958">
        <f t="shared" si="163"/>
        <v>18.450273513793945</v>
      </c>
      <c r="C3958">
        <v>40</v>
      </c>
      <c r="D3958">
        <v>70</v>
      </c>
      <c r="E3958">
        <v>30</v>
      </c>
      <c r="F3958">
        <v>32</v>
      </c>
      <c r="G3958">
        <v>18.4502730059946</v>
      </c>
    </row>
    <row r="3959" spans="1:7" x14ac:dyDescent="0.3">
      <c r="A3959" t="str">
        <f>IF(ISBLANK(B3959),"",IF(ROUND(B3959,0)=ROUND(G3959,0),"Pass","Fail"))</f>
        <v>Pass</v>
      </c>
      <c r="B3959">
        <f t="shared" si="163"/>
        <v>16.309726715087891</v>
      </c>
      <c r="C3959">
        <v>40</v>
      </c>
      <c r="D3959">
        <v>70</v>
      </c>
      <c r="E3959">
        <v>30</v>
      </c>
      <c r="F3959">
        <v>40</v>
      </c>
      <c r="G3959">
        <v>16.309726764327099</v>
      </c>
    </row>
    <row r="3960" spans="1:7" x14ac:dyDescent="0.3">
      <c r="A3960" t="str">
        <f>IF(ISBLANK(B3960),"",IF(ROUND(B3960,0)=ROUND(G3960,0),"Pass","Fail"))</f>
        <v>Pass</v>
      </c>
      <c r="B3960">
        <f t="shared" si="163"/>
        <v>15.232208251953125</v>
      </c>
      <c r="C3960">
        <v>40</v>
      </c>
      <c r="D3960">
        <v>70</v>
      </c>
      <c r="E3960">
        <v>30</v>
      </c>
      <c r="F3960">
        <v>48</v>
      </c>
      <c r="G3960">
        <v>15.2322079008197</v>
      </c>
    </row>
    <row r="3961" spans="1:7" x14ac:dyDescent="0.3">
      <c r="A3961" t="str">
        <f>IF(ISBLANK(B3961),"",IF(ROUND(B3961,0)=ROUND(G3961,0),"Pass","Fail"))</f>
        <v>Pass</v>
      </c>
      <c r="B3961">
        <f t="shared" si="163"/>
        <v>81.267997741699219</v>
      </c>
      <c r="C3961">
        <v>40</v>
      </c>
      <c r="D3961">
        <v>70</v>
      </c>
      <c r="E3961">
        <v>40</v>
      </c>
      <c r="F3961">
        <v>0</v>
      </c>
      <c r="G3961">
        <v>81.268000000000001</v>
      </c>
    </row>
    <row r="3962" spans="1:7" x14ac:dyDescent="0.3">
      <c r="A3962" t="str">
        <f>IF(ISBLANK(B3962),"",IF(ROUND(B3962,0)=ROUND(G3962,0),"Pass","Fail"))</f>
        <v>Pass</v>
      </c>
      <c r="B3962">
        <f t="shared" si="163"/>
        <v>47.931228637695313</v>
      </c>
      <c r="C3962">
        <v>40</v>
      </c>
      <c r="D3962">
        <v>70</v>
      </c>
      <c r="E3962">
        <v>40</v>
      </c>
      <c r="F3962">
        <v>8</v>
      </c>
      <c r="G3962">
        <v>47.931228080723002</v>
      </c>
    </row>
    <row r="3963" spans="1:7" x14ac:dyDescent="0.3">
      <c r="A3963" t="str">
        <f>IF(ISBLANK(B3963),"",IF(ROUND(B3963,0)=ROUND(G3963,0),"Pass","Fail"))</f>
        <v>Pass</v>
      </c>
      <c r="B3963">
        <f t="shared" si="163"/>
        <v>31.149997711181641</v>
      </c>
      <c r="C3963">
        <v>40</v>
      </c>
      <c r="D3963">
        <v>70</v>
      </c>
      <c r="E3963">
        <v>40</v>
      </c>
      <c r="F3963">
        <v>16</v>
      </c>
      <c r="G3963">
        <v>31.149997247101702</v>
      </c>
    </row>
    <row r="3964" spans="1:7" x14ac:dyDescent="0.3">
      <c r="A3964" t="str">
        <f>IF(ISBLANK(B3964),"",IF(ROUND(B3964,0)=ROUND(G3964,0),"Pass","Fail"))</f>
        <v>Pass</v>
      </c>
      <c r="B3964">
        <f t="shared" si="163"/>
        <v>22.702577590942383</v>
      </c>
      <c r="C3964">
        <v>40</v>
      </c>
      <c r="D3964">
        <v>70</v>
      </c>
      <c r="E3964">
        <v>40</v>
      </c>
      <c r="F3964">
        <v>24</v>
      </c>
      <c r="G3964">
        <v>22.702577413736201</v>
      </c>
    </row>
    <row r="3965" spans="1:7" x14ac:dyDescent="0.3">
      <c r="A3965" t="str">
        <f>IF(ISBLANK(B3965),"",IF(ROUND(B3965,0)=ROUND(G3965,0),"Pass","Fail"))</f>
        <v>Pass</v>
      </c>
      <c r="B3965">
        <f t="shared" si="163"/>
        <v>18.450273513793945</v>
      </c>
      <c r="C3965">
        <v>40</v>
      </c>
      <c r="D3965">
        <v>70</v>
      </c>
      <c r="E3965">
        <v>40</v>
      </c>
      <c r="F3965">
        <v>32</v>
      </c>
      <c r="G3965">
        <v>18.4502730059946</v>
      </c>
    </row>
    <row r="3966" spans="1:7" x14ac:dyDescent="0.3">
      <c r="A3966" t="str">
        <f>IF(ISBLANK(B3966),"",IF(ROUND(B3966,0)=ROUND(G3966,0),"Pass","Fail"))</f>
        <v>Pass</v>
      </c>
      <c r="B3966">
        <f t="shared" si="163"/>
        <v>16.309726715087891</v>
      </c>
      <c r="C3966">
        <v>40</v>
      </c>
      <c r="D3966">
        <v>70</v>
      </c>
      <c r="E3966">
        <v>40</v>
      </c>
      <c r="F3966">
        <v>40</v>
      </c>
      <c r="G3966">
        <v>16.309726764327099</v>
      </c>
    </row>
    <row r="3967" spans="1:7" x14ac:dyDescent="0.3">
      <c r="A3967" t="str">
        <f>IF(ISBLANK(B3967),"",IF(ROUND(B3967,0)=ROUND(G3967,0),"Pass","Fail"))</f>
        <v>Pass</v>
      </c>
      <c r="B3967">
        <f t="shared" si="163"/>
        <v>15.232208251953125</v>
      </c>
      <c r="C3967">
        <v>40</v>
      </c>
      <c r="D3967">
        <v>70</v>
      </c>
      <c r="E3967">
        <v>40</v>
      </c>
      <c r="F3967">
        <v>48</v>
      </c>
      <c r="G3967">
        <v>15.2322079008197</v>
      </c>
    </row>
    <row r="3968" spans="1:7" x14ac:dyDescent="0.3">
      <c r="A3968" t="str">
        <f>IF(ISBLANK(B3968),"",IF(ROUND(B3968,0)=ROUND(G3968,0),"Pass","Fail"))</f>
        <v>Pass</v>
      </c>
      <c r="B3968">
        <f t="shared" si="163"/>
        <v>81.267997741699219</v>
      </c>
      <c r="C3968">
        <v>40</v>
      </c>
      <c r="D3968">
        <v>70</v>
      </c>
      <c r="E3968">
        <v>50</v>
      </c>
      <c r="F3968">
        <v>0</v>
      </c>
      <c r="G3968">
        <v>81.268000000000001</v>
      </c>
    </row>
    <row r="3969" spans="1:7" x14ac:dyDescent="0.3">
      <c r="A3969" t="str">
        <f>IF(ISBLANK(B3969),"",IF(ROUND(B3969,0)=ROUND(G3969,0),"Pass","Fail"))</f>
        <v>Pass</v>
      </c>
      <c r="B3969">
        <f t="shared" si="163"/>
        <v>47.931228637695313</v>
      </c>
      <c r="C3969">
        <v>40</v>
      </c>
      <c r="D3969">
        <v>70</v>
      </c>
      <c r="E3969">
        <v>50</v>
      </c>
      <c r="F3969">
        <v>8</v>
      </c>
      <c r="G3969">
        <v>47.931228080723002</v>
      </c>
    </row>
    <row r="3970" spans="1:7" x14ac:dyDescent="0.3">
      <c r="A3970" t="str">
        <f>IF(ISBLANK(B3970),"",IF(ROUND(B3970,0)=ROUND(G3970,0),"Pass","Fail"))</f>
        <v>Pass</v>
      </c>
      <c r="B3970">
        <f t="shared" si="163"/>
        <v>31.149997711181641</v>
      </c>
      <c r="C3970">
        <v>40</v>
      </c>
      <c r="D3970">
        <v>70</v>
      </c>
      <c r="E3970">
        <v>50</v>
      </c>
      <c r="F3970">
        <v>16</v>
      </c>
      <c r="G3970">
        <v>31.149997247101702</v>
      </c>
    </row>
    <row r="3971" spans="1:7" x14ac:dyDescent="0.3">
      <c r="A3971" t="str">
        <f>IF(ISBLANK(B3971),"",IF(ROUND(B3971,0)=ROUND(G3971,0),"Pass","Fail"))</f>
        <v>Pass</v>
      </c>
      <c r="B3971">
        <f t="shared" si="163"/>
        <v>22.702577590942383</v>
      </c>
      <c r="C3971">
        <v>40</v>
      </c>
      <c r="D3971">
        <v>70</v>
      </c>
      <c r="E3971">
        <v>50</v>
      </c>
      <c r="F3971">
        <v>24</v>
      </c>
      <c r="G3971">
        <v>22.702577413736201</v>
      </c>
    </row>
    <row r="3972" spans="1:7" x14ac:dyDescent="0.3">
      <c r="A3972" t="str">
        <f>IF(ISBLANK(B3972),"",IF(ROUND(B3972,0)=ROUND(G3972,0),"Pass","Fail"))</f>
        <v>Pass</v>
      </c>
      <c r="B3972">
        <f t="shared" si="163"/>
        <v>18.450273513793945</v>
      </c>
      <c r="C3972">
        <v>40</v>
      </c>
      <c r="D3972">
        <v>70</v>
      </c>
      <c r="E3972">
        <v>50</v>
      </c>
      <c r="F3972">
        <v>32</v>
      </c>
      <c r="G3972">
        <v>18.4502730059946</v>
      </c>
    </row>
    <row r="3973" spans="1:7" x14ac:dyDescent="0.3">
      <c r="A3973" t="str">
        <f>IF(ISBLANK(B3973),"",IF(ROUND(B3973,0)=ROUND(G3973,0),"Pass","Fail"))</f>
        <v>Pass</v>
      </c>
      <c r="B3973">
        <f t="shared" si="163"/>
        <v>16.309726715087891</v>
      </c>
      <c r="C3973">
        <v>40</v>
      </c>
      <c r="D3973">
        <v>70</v>
      </c>
      <c r="E3973">
        <v>50</v>
      </c>
      <c r="F3973">
        <v>40</v>
      </c>
      <c r="G3973">
        <v>16.309726764327099</v>
      </c>
    </row>
    <row r="3974" spans="1:7" x14ac:dyDescent="0.3">
      <c r="A3974" t="str">
        <f>IF(ISBLANK(B3974),"",IF(ROUND(B3974,0)=ROUND(G3974,0),"Pass","Fail"))</f>
        <v>Pass</v>
      </c>
      <c r="B3974">
        <f t="shared" si="163"/>
        <v>15.232208251953125</v>
      </c>
      <c r="C3974">
        <v>40</v>
      </c>
      <c r="D3974">
        <v>70</v>
      </c>
      <c r="E3974">
        <v>50</v>
      </c>
      <c r="F3974">
        <v>48</v>
      </c>
      <c r="G3974">
        <v>15.2322079008197</v>
      </c>
    </row>
    <row r="3975" spans="1:7" x14ac:dyDescent="0.3">
      <c r="A3975" t="str">
        <f>IF(ISBLANK(B3975),"",IF(ROUND(B3975,0)=ROUND(G3975,0),"Pass","Fail"))</f>
        <v>Pass</v>
      </c>
      <c r="B3975">
        <f t="shared" ref="B3975:B4038" si="164">FMC_heath(C3975,D3975,E3975,F3975)</f>
        <v>81.267997741699219</v>
      </c>
      <c r="C3975">
        <v>40</v>
      </c>
      <c r="D3975">
        <v>70</v>
      </c>
      <c r="E3975">
        <v>60</v>
      </c>
      <c r="F3975">
        <v>0</v>
      </c>
      <c r="G3975">
        <v>81.268000000000001</v>
      </c>
    </row>
    <row r="3976" spans="1:7" x14ac:dyDescent="0.3">
      <c r="A3976" t="str">
        <f>IF(ISBLANK(B3976),"",IF(ROUND(B3976,0)=ROUND(G3976,0),"Pass","Fail"))</f>
        <v>Pass</v>
      </c>
      <c r="B3976">
        <f t="shared" si="164"/>
        <v>47.931228637695313</v>
      </c>
      <c r="C3976">
        <v>40</v>
      </c>
      <c r="D3976">
        <v>70</v>
      </c>
      <c r="E3976">
        <v>60</v>
      </c>
      <c r="F3976">
        <v>8</v>
      </c>
      <c r="G3976">
        <v>47.931228080723002</v>
      </c>
    </row>
    <row r="3977" spans="1:7" x14ac:dyDescent="0.3">
      <c r="A3977" t="str">
        <f>IF(ISBLANK(B3977),"",IF(ROUND(B3977,0)=ROUND(G3977,0),"Pass","Fail"))</f>
        <v>Pass</v>
      </c>
      <c r="B3977">
        <f t="shared" si="164"/>
        <v>31.149997711181641</v>
      </c>
      <c r="C3977">
        <v>40</v>
      </c>
      <c r="D3977">
        <v>70</v>
      </c>
      <c r="E3977">
        <v>60</v>
      </c>
      <c r="F3977">
        <v>16</v>
      </c>
      <c r="G3977">
        <v>31.149997247101702</v>
      </c>
    </row>
    <row r="3978" spans="1:7" x14ac:dyDescent="0.3">
      <c r="A3978" t="str">
        <f>IF(ISBLANK(B3978),"",IF(ROUND(B3978,0)=ROUND(G3978,0),"Pass","Fail"))</f>
        <v>Pass</v>
      </c>
      <c r="B3978">
        <f t="shared" si="164"/>
        <v>22.702577590942383</v>
      </c>
      <c r="C3978">
        <v>40</v>
      </c>
      <c r="D3978">
        <v>70</v>
      </c>
      <c r="E3978">
        <v>60</v>
      </c>
      <c r="F3978">
        <v>24</v>
      </c>
      <c r="G3978">
        <v>22.702577413736201</v>
      </c>
    </row>
    <row r="3979" spans="1:7" x14ac:dyDescent="0.3">
      <c r="A3979" t="str">
        <f>IF(ISBLANK(B3979),"",IF(ROUND(B3979,0)=ROUND(G3979,0),"Pass","Fail"))</f>
        <v>Pass</v>
      </c>
      <c r="B3979">
        <f t="shared" si="164"/>
        <v>18.450273513793945</v>
      </c>
      <c r="C3979">
        <v>40</v>
      </c>
      <c r="D3979">
        <v>70</v>
      </c>
      <c r="E3979">
        <v>60</v>
      </c>
      <c r="F3979">
        <v>32</v>
      </c>
      <c r="G3979">
        <v>18.4502730059946</v>
      </c>
    </row>
    <row r="3980" spans="1:7" x14ac:dyDescent="0.3">
      <c r="A3980" t="str">
        <f>IF(ISBLANK(B3980),"",IF(ROUND(B3980,0)=ROUND(G3980,0),"Pass","Fail"))</f>
        <v>Pass</v>
      </c>
      <c r="B3980">
        <f t="shared" si="164"/>
        <v>16.309726715087891</v>
      </c>
      <c r="C3980">
        <v>40</v>
      </c>
      <c r="D3980">
        <v>70</v>
      </c>
      <c r="E3980">
        <v>60</v>
      </c>
      <c r="F3980">
        <v>40</v>
      </c>
      <c r="G3980">
        <v>16.309726764327099</v>
      </c>
    </row>
    <row r="3981" spans="1:7" x14ac:dyDescent="0.3">
      <c r="A3981" t="str">
        <f>IF(ISBLANK(B3981),"",IF(ROUND(B3981,0)=ROUND(G3981,0),"Pass","Fail"))</f>
        <v>Pass</v>
      </c>
      <c r="B3981">
        <f t="shared" si="164"/>
        <v>15.232208251953125</v>
      </c>
      <c r="C3981">
        <v>40</v>
      </c>
      <c r="D3981">
        <v>70</v>
      </c>
      <c r="E3981">
        <v>60</v>
      </c>
      <c r="F3981">
        <v>48</v>
      </c>
      <c r="G3981">
        <v>15.2322079008197</v>
      </c>
    </row>
    <row r="3982" spans="1:7" x14ac:dyDescent="0.3">
      <c r="A3982" t="str">
        <f>IF(ISBLANK(B3982),"",IF(ROUND(B3982,0)=ROUND(G3982,0),"Pass","Fail"))</f>
        <v>Pass</v>
      </c>
      <c r="B3982">
        <f t="shared" si="164"/>
        <v>81.267997741699219</v>
      </c>
      <c r="C3982">
        <v>40</v>
      </c>
      <c r="D3982">
        <v>70</v>
      </c>
      <c r="E3982">
        <v>70</v>
      </c>
      <c r="F3982">
        <v>0</v>
      </c>
      <c r="G3982">
        <v>81.268000000000001</v>
      </c>
    </row>
    <row r="3983" spans="1:7" x14ac:dyDescent="0.3">
      <c r="A3983" t="str">
        <f>IF(ISBLANK(B3983),"",IF(ROUND(B3983,0)=ROUND(G3983,0),"Pass","Fail"))</f>
        <v>Pass</v>
      </c>
      <c r="B3983">
        <f t="shared" si="164"/>
        <v>47.931228637695313</v>
      </c>
      <c r="C3983">
        <v>40</v>
      </c>
      <c r="D3983">
        <v>70</v>
      </c>
      <c r="E3983">
        <v>70</v>
      </c>
      <c r="F3983">
        <v>8</v>
      </c>
      <c r="G3983">
        <v>47.931228080723002</v>
      </c>
    </row>
    <row r="3984" spans="1:7" x14ac:dyDescent="0.3">
      <c r="A3984" t="str">
        <f>IF(ISBLANK(B3984),"",IF(ROUND(B3984,0)=ROUND(G3984,0),"Pass","Fail"))</f>
        <v>Pass</v>
      </c>
      <c r="B3984">
        <f t="shared" si="164"/>
        <v>31.149997711181641</v>
      </c>
      <c r="C3984">
        <v>40</v>
      </c>
      <c r="D3984">
        <v>70</v>
      </c>
      <c r="E3984">
        <v>70</v>
      </c>
      <c r="F3984">
        <v>16</v>
      </c>
      <c r="G3984">
        <v>31.149997247101702</v>
      </c>
    </row>
    <row r="3985" spans="1:7" x14ac:dyDescent="0.3">
      <c r="A3985" t="str">
        <f>IF(ISBLANK(B3985),"",IF(ROUND(B3985,0)=ROUND(G3985,0),"Pass","Fail"))</f>
        <v>Pass</v>
      </c>
      <c r="B3985">
        <f t="shared" si="164"/>
        <v>22.702577590942383</v>
      </c>
      <c r="C3985">
        <v>40</v>
      </c>
      <c r="D3985">
        <v>70</v>
      </c>
      <c r="E3985">
        <v>70</v>
      </c>
      <c r="F3985">
        <v>24</v>
      </c>
      <c r="G3985">
        <v>22.702577413736201</v>
      </c>
    </row>
    <row r="3986" spans="1:7" x14ac:dyDescent="0.3">
      <c r="A3986" t="str">
        <f>IF(ISBLANK(B3986),"",IF(ROUND(B3986,0)=ROUND(G3986,0),"Pass","Fail"))</f>
        <v>Pass</v>
      </c>
      <c r="B3986">
        <f t="shared" si="164"/>
        <v>18.450273513793945</v>
      </c>
      <c r="C3986">
        <v>40</v>
      </c>
      <c r="D3986">
        <v>70</v>
      </c>
      <c r="E3986">
        <v>70</v>
      </c>
      <c r="F3986">
        <v>32</v>
      </c>
      <c r="G3986">
        <v>18.4502730059946</v>
      </c>
    </row>
    <row r="3987" spans="1:7" x14ac:dyDescent="0.3">
      <c r="A3987" t="str">
        <f>IF(ISBLANK(B3987),"",IF(ROUND(B3987,0)=ROUND(G3987,0),"Pass","Fail"))</f>
        <v>Pass</v>
      </c>
      <c r="B3987">
        <f t="shared" si="164"/>
        <v>16.309726715087891</v>
      </c>
      <c r="C3987">
        <v>40</v>
      </c>
      <c r="D3987">
        <v>70</v>
      </c>
      <c r="E3987">
        <v>70</v>
      </c>
      <c r="F3987">
        <v>40</v>
      </c>
      <c r="G3987">
        <v>16.309726764327099</v>
      </c>
    </row>
    <row r="3988" spans="1:7" x14ac:dyDescent="0.3">
      <c r="A3988" t="str">
        <f>IF(ISBLANK(B3988),"",IF(ROUND(B3988,0)=ROUND(G3988,0),"Pass","Fail"))</f>
        <v>Pass</v>
      </c>
      <c r="B3988">
        <f t="shared" si="164"/>
        <v>15.232208251953125</v>
      </c>
      <c r="C3988">
        <v>40</v>
      </c>
      <c r="D3988">
        <v>70</v>
      </c>
      <c r="E3988">
        <v>70</v>
      </c>
      <c r="F3988">
        <v>48</v>
      </c>
      <c r="G3988">
        <v>15.2322079008197</v>
      </c>
    </row>
    <row r="3989" spans="1:7" x14ac:dyDescent="0.3">
      <c r="A3989" t="str">
        <f>IF(ISBLANK(B3989),"",IF(ROUND(B3989,0)=ROUND(G3989,0),"Pass","Fail"))</f>
        <v>Pass</v>
      </c>
      <c r="B3989">
        <f t="shared" si="164"/>
        <v>81.267997741699219</v>
      </c>
      <c r="C3989">
        <v>40</v>
      </c>
      <c r="D3989">
        <v>70</v>
      </c>
      <c r="E3989">
        <v>80</v>
      </c>
      <c r="F3989">
        <v>0</v>
      </c>
      <c r="G3989">
        <v>81.268000000000001</v>
      </c>
    </row>
    <row r="3990" spans="1:7" x14ac:dyDescent="0.3">
      <c r="A3990" t="str">
        <f>IF(ISBLANK(B3990),"",IF(ROUND(B3990,0)=ROUND(G3990,0),"Pass","Fail"))</f>
        <v>Pass</v>
      </c>
      <c r="B3990">
        <f t="shared" si="164"/>
        <v>47.931228637695313</v>
      </c>
      <c r="C3990">
        <v>40</v>
      </c>
      <c r="D3990">
        <v>70</v>
      </c>
      <c r="E3990">
        <v>80</v>
      </c>
      <c r="F3990">
        <v>8</v>
      </c>
      <c r="G3990">
        <v>47.931228080723002</v>
      </c>
    </row>
    <row r="3991" spans="1:7" x14ac:dyDescent="0.3">
      <c r="A3991" t="str">
        <f>IF(ISBLANK(B3991),"",IF(ROUND(B3991,0)=ROUND(G3991,0),"Pass","Fail"))</f>
        <v>Pass</v>
      </c>
      <c r="B3991">
        <f t="shared" si="164"/>
        <v>31.149997711181641</v>
      </c>
      <c r="C3991">
        <v>40</v>
      </c>
      <c r="D3991">
        <v>70</v>
      </c>
      <c r="E3991">
        <v>80</v>
      </c>
      <c r="F3991">
        <v>16</v>
      </c>
      <c r="G3991">
        <v>31.149997247101702</v>
      </c>
    </row>
    <row r="3992" spans="1:7" x14ac:dyDescent="0.3">
      <c r="A3992" t="str">
        <f>IF(ISBLANK(B3992),"",IF(ROUND(B3992,0)=ROUND(G3992,0),"Pass","Fail"))</f>
        <v>Pass</v>
      </c>
      <c r="B3992">
        <f t="shared" si="164"/>
        <v>22.702577590942383</v>
      </c>
      <c r="C3992">
        <v>40</v>
      </c>
      <c r="D3992">
        <v>70</v>
      </c>
      <c r="E3992">
        <v>80</v>
      </c>
      <c r="F3992">
        <v>24</v>
      </c>
      <c r="G3992">
        <v>22.702577413736201</v>
      </c>
    </row>
    <row r="3993" spans="1:7" x14ac:dyDescent="0.3">
      <c r="A3993" t="str">
        <f>IF(ISBLANK(B3993),"",IF(ROUND(B3993,0)=ROUND(G3993,0),"Pass","Fail"))</f>
        <v>Pass</v>
      </c>
      <c r="B3993">
        <f t="shared" si="164"/>
        <v>18.450273513793945</v>
      </c>
      <c r="C3993">
        <v>40</v>
      </c>
      <c r="D3993">
        <v>70</v>
      </c>
      <c r="E3993">
        <v>80</v>
      </c>
      <c r="F3993">
        <v>32</v>
      </c>
      <c r="G3993">
        <v>18.4502730059946</v>
      </c>
    </row>
    <row r="3994" spans="1:7" x14ac:dyDescent="0.3">
      <c r="A3994" t="str">
        <f>IF(ISBLANK(B3994),"",IF(ROUND(B3994,0)=ROUND(G3994,0),"Pass","Fail"))</f>
        <v>Pass</v>
      </c>
      <c r="B3994">
        <f t="shared" si="164"/>
        <v>16.309726715087891</v>
      </c>
      <c r="C3994">
        <v>40</v>
      </c>
      <c r="D3994">
        <v>70</v>
      </c>
      <c r="E3994">
        <v>80</v>
      </c>
      <c r="F3994">
        <v>40</v>
      </c>
      <c r="G3994">
        <v>16.309726764327099</v>
      </c>
    </row>
    <row r="3995" spans="1:7" x14ac:dyDescent="0.3">
      <c r="A3995" t="str">
        <f>IF(ISBLANK(B3995),"",IF(ROUND(B3995,0)=ROUND(G3995,0),"Pass","Fail"))</f>
        <v>Pass</v>
      </c>
      <c r="B3995">
        <f t="shared" si="164"/>
        <v>15.232208251953125</v>
      </c>
      <c r="C3995">
        <v>40</v>
      </c>
      <c r="D3995">
        <v>70</v>
      </c>
      <c r="E3995">
        <v>80</v>
      </c>
      <c r="F3995">
        <v>48</v>
      </c>
      <c r="G3995">
        <v>15.2322079008197</v>
      </c>
    </row>
    <row r="3996" spans="1:7" x14ac:dyDescent="0.3">
      <c r="A3996" t="str">
        <f>IF(ISBLANK(B3996),"",IF(ROUND(B3996,0)=ROUND(G3996,0),"Pass","Fail"))</f>
        <v>Pass</v>
      </c>
      <c r="B3996">
        <f t="shared" si="164"/>
        <v>81.267997741699219</v>
      </c>
      <c r="C3996">
        <v>40</v>
      </c>
      <c r="D3996">
        <v>70</v>
      </c>
      <c r="E3996">
        <v>90</v>
      </c>
      <c r="F3996">
        <v>0</v>
      </c>
      <c r="G3996">
        <v>81.268000000000001</v>
      </c>
    </row>
    <row r="3997" spans="1:7" x14ac:dyDescent="0.3">
      <c r="A3997" t="str">
        <f>IF(ISBLANK(B3997),"",IF(ROUND(B3997,0)=ROUND(G3997,0),"Pass","Fail"))</f>
        <v>Pass</v>
      </c>
      <c r="B3997">
        <f t="shared" si="164"/>
        <v>47.931228637695313</v>
      </c>
      <c r="C3997">
        <v>40</v>
      </c>
      <c r="D3997">
        <v>70</v>
      </c>
      <c r="E3997">
        <v>90</v>
      </c>
      <c r="F3997">
        <v>8</v>
      </c>
      <c r="G3997">
        <v>47.931228080723002</v>
      </c>
    </row>
    <row r="3998" spans="1:7" x14ac:dyDescent="0.3">
      <c r="A3998" t="str">
        <f>IF(ISBLANK(B3998),"",IF(ROUND(B3998,0)=ROUND(G3998,0),"Pass","Fail"))</f>
        <v>Pass</v>
      </c>
      <c r="B3998">
        <f t="shared" si="164"/>
        <v>31.149997711181641</v>
      </c>
      <c r="C3998">
        <v>40</v>
      </c>
      <c r="D3998">
        <v>70</v>
      </c>
      <c r="E3998">
        <v>90</v>
      </c>
      <c r="F3998">
        <v>16</v>
      </c>
      <c r="G3998">
        <v>31.149997247101702</v>
      </c>
    </row>
    <row r="3999" spans="1:7" x14ac:dyDescent="0.3">
      <c r="A3999" t="str">
        <f>IF(ISBLANK(B3999),"",IF(ROUND(B3999,0)=ROUND(G3999,0),"Pass","Fail"))</f>
        <v>Pass</v>
      </c>
      <c r="B3999">
        <f t="shared" si="164"/>
        <v>22.702577590942383</v>
      </c>
      <c r="C3999">
        <v>40</v>
      </c>
      <c r="D3999">
        <v>70</v>
      </c>
      <c r="E3999">
        <v>90</v>
      </c>
      <c r="F3999">
        <v>24</v>
      </c>
      <c r="G3999">
        <v>22.702577413736201</v>
      </c>
    </row>
    <row r="4000" spans="1:7" x14ac:dyDescent="0.3">
      <c r="A4000" t="str">
        <f>IF(ISBLANK(B4000),"",IF(ROUND(B4000,0)=ROUND(G4000,0),"Pass","Fail"))</f>
        <v>Pass</v>
      </c>
      <c r="B4000">
        <f t="shared" si="164"/>
        <v>18.450273513793945</v>
      </c>
      <c r="C4000">
        <v>40</v>
      </c>
      <c r="D4000">
        <v>70</v>
      </c>
      <c r="E4000">
        <v>90</v>
      </c>
      <c r="F4000">
        <v>32</v>
      </c>
      <c r="G4000">
        <v>18.4502730059946</v>
      </c>
    </row>
    <row r="4001" spans="1:7" x14ac:dyDescent="0.3">
      <c r="A4001" t="str">
        <f>IF(ISBLANK(B4001),"",IF(ROUND(B4001,0)=ROUND(G4001,0),"Pass","Fail"))</f>
        <v>Pass</v>
      </c>
      <c r="B4001">
        <f t="shared" si="164"/>
        <v>16.309726715087891</v>
      </c>
      <c r="C4001">
        <v>40</v>
      </c>
      <c r="D4001">
        <v>70</v>
      </c>
      <c r="E4001">
        <v>90</v>
      </c>
      <c r="F4001">
        <v>40</v>
      </c>
      <c r="G4001">
        <v>16.309726764327099</v>
      </c>
    </row>
    <row r="4002" spans="1:7" x14ac:dyDescent="0.3">
      <c r="A4002" t="str">
        <f>IF(ISBLANK(B4002),"",IF(ROUND(B4002,0)=ROUND(G4002,0),"Pass","Fail"))</f>
        <v>Pass</v>
      </c>
      <c r="B4002">
        <f t="shared" si="164"/>
        <v>15.232208251953125</v>
      </c>
      <c r="C4002">
        <v>40</v>
      </c>
      <c r="D4002">
        <v>70</v>
      </c>
      <c r="E4002">
        <v>90</v>
      </c>
      <c r="F4002">
        <v>48</v>
      </c>
      <c r="G4002">
        <v>15.2322079008197</v>
      </c>
    </row>
    <row r="4003" spans="1:7" x14ac:dyDescent="0.3">
      <c r="A4003" t="str">
        <f>IF(ISBLANK(B4003),"",IF(ROUND(B4003,0)=ROUND(G4003,0),"Pass","Fail"))</f>
        <v>Pass</v>
      </c>
      <c r="B4003">
        <f t="shared" si="164"/>
        <v>81.267997741699219</v>
      </c>
      <c r="C4003">
        <v>40</v>
      </c>
      <c r="D4003">
        <v>70</v>
      </c>
      <c r="E4003">
        <v>100</v>
      </c>
      <c r="F4003">
        <v>0</v>
      </c>
      <c r="G4003">
        <v>81.268000000000001</v>
      </c>
    </row>
    <row r="4004" spans="1:7" x14ac:dyDescent="0.3">
      <c r="A4004" t="str">
        <f>IF(ISBLANK(B4004),"",IF(ROUND(B4004,0)=ROUND(G4004,0),"Pass","Fail"))</f>
        <v>Pass</v>
      </c>
      <c r="B4004">
        <f t="shared" si="164"/>
        <v>47.931228637695313</v>
      </c>
      <c r="C4004">
        <v>40</v>
      </c>
      <c r="D4004">
        <v>70</v>
      </c>
      <c r="E4004">
        <v>100</v>
      </c>
      <c r="F4004">
        <v>8</v>
      </c>
      <c r="G4004">
        <v>47.931228080723002</v>
      </c>
    </row>
    <row r="4005" spans="1:7" x14ac:dyDescent="0.3">
      <c r="A4005" t="str">
        <f>IF(ISBLANK(B4005),"",IF(ROUND(B4005,0)=ROUND(G4005,0),"Pass","Fail"))</f>
        <v>Pass</v>
      </c>
      <c r="B4005">
        <f t="shared" si="164"/>
        <v>31.149997711181641</v>
      </c>
      <c r="C4005">
        <v>40</v>
      </c>
      <c r="D4005">
        <v>70</v>
      </c>
      <c r="E4005">
        <v>100</v>
      </c>
      <c r="F4005">
        <v>16</v>
      </c>
      <c r="G4005">
        <v>31.149997247101702</v>
      </c>
    </row>
    <row r="4006" spans="1:7" x14ac:dyDescent="0.3">
      <c r="A4006" t="str">
        <f>IF(ISBLANK(B4006),"",IF(ROUND(B4006,0)=ROUND(G4006,0),"Pass","Fail"))</f>
        <v>Pass</v>
      </c>
      <c r="B4006">
        <f t="shared" si="164"/>
        <v>22.702577590942383</v>
      </c>
      <c r="C4006">
        <v>40</v>
      </c>
      <c r="D4006">
        <v>70</v>
      </c>
      <c r="E4006">
        <v>100</v>
      </c>
      <c r="F4006">
        <v>24</v>
      </c>
      <c r="G4006">
        <v>22.702577413736201</v>
      </c>
    </row>
    <row r="4007" spans="1:7" x14ac:dyDescent="0.3">
      <c r="A4007" t="str">
        <f>IF(ISBLANK(B4007),"",IF(ROUND(B4007,0)=ROUND(G4007,0),"Pass","Fail"))</f>
        <v>Pass</v>
      </c>
      <c r="B4007">
        <f t="shared" si="164"/>
        <v>18.450273513793945</v>
      </c>
      <c r="C4007">
        <v>40</v>
      </c>
      <c r="D4007">
        <v>70</v>
      </c>
      <c r="E4007">
        <v>100</v>
      </c>
      <c r="F4007">
        <v>32</v>
      </c>
      <c r="G4007">
        <v>18.4502730059946</v>
      </c>
    </row>
    <row r="4008" spans="1:7" x14ac:dyDescent="0.3">
      <c r="A4008" t="str">
        <f>IF(ISBLANK(B4008),"",IF(ROUND(B4008,0)=ROUND(G4008,0),"Pass","Fail"))</f>
        <v>Pass</v>
      </c>
      <c r="B4008">
        <f t="shared" si="164"/>
        <v>16.309726715087891</v>
      </c>
      <c r="C4008">
        <v>40</v>
      </c>
      <c r="D4008">
        <v>70</v>
      </c>
      <c r="E4008">
        <v>100</v>
      </c>
      <c r="F4008">
        <v>40</v>
      </c>
      <c r="G4008">
        <v>16.309726764327099</v>
      </c>
    </row>
    <row r="4009" spans="1:7" x14ac:dyDescent="0.3">
      <c r="A4009" t="str">
        <f>IF(ISBLANK(B4009),"",IF(ROUND(B4009,0)=ROUND(G4009,0),"Pass","Fail"))</f>
        <v>Pass</v>
      </c>
      <c r="B4009">
        <f t="shared" si="164"/>
        <v>15.232208251953125</v>
      </c>
      <c r="C4009">
        <v>40</v>
      </c>
      <c r="D4009">
        <v>70</v>
      </c>
      <c r="E4009">
        <v>100</v>
      </c>
      <c r="F4009">
        <v>48</v>
      </c>
      <c r="G4009">
        <v>15.2322079008197</v>
      </c>
    </row>
    <row r="4010" spans="1:7" x14ac:dyDescent="0.3">
      <c r="A4010" t="str">
        <f>IF(ISBLANK(B4010),"",IF(ROUND(B4010,0)=ROUND(G4010,0),"Pass","Fail"))</f>
        <v>Pass</v>
      </c>
      <c r="B4010">
        <f t="shared" si="164"/>
        <v>15.75</v>
      </c>
      <c r="C4010">
        <v>40</v>
      </c>
      <c r="D4010">
        <v>80</v>
      </c>
      <c r="E4010">
        <v>0</v>
      </c>
      <c r="F4010">
        <v>0</v>
      </c>
      <c r="G4010">
        <v>15.75</v>
      </c>
    </row>
    <row r="4011" spans="1:7" x14ac:dyDescent="0.3">
      <c r="A4011" t="str">
        <f>IF(ISBLANK(B4011),"",IF(ROUND(B4011,0)=ROUND(G4011,0),"Pass","Fail"))</f>
        <v>Pass</v>
      </c>
      <c r="B4011">
        <f t="shared" si="164"/>
        <v>15.75</v>
      </c>
      <c r="C4011">
        <v>40</v>
      </c>
      <c r="D4011">
        <v>80</v>
      </c>
      <c r="E4011">
        <v>0</v>
      </c>
      <c r="F4011">
        <v>8</v>
      </c>
      <c r="G4011">
        <v>15.75</v>
      </c>
    </row>
    <row r="4012" spans="1:7" x14ac:dyDescent="0.3">
      <c r="A4012" t="str">
        <f>IF(ISBLANK(B4012),"",IF(ROUND(B4012,0)=ROUND(G4012,0),"Pass","Fail"))</f>
        <v>Pass</v>
      </c>
      <c r="B4012">
        <f t="shared" si="164"/>
        <v>15.75</v>
      </c>
      <c r="C4012">
        <v>40</v>
      </c>
      <c r="D4012">
        <v>80</v>
      </c>
      <c r="E4012">
        <v>0</v>
      </c>
      <c r="F4012">
        <v>16</v>
      </c>
      <c r="G4012">
        <v>15.75</v>
      </c>
    </row>
    <row r="4013" spans="1:7" x14ac:dyDescent="0.3">
      <c r="A4013" t="str">
        <f>IF(ISBLANK(B4013),"",IF(ROUND(B4013,0)=ROUND(G4013,0),"Pass","Fail"))</f>
        <v>Pass</v>
      </c>
      <c r="B4013">
        <f t="shared" si="164"/>
        <v>15.75</v>
      </c>
      <c r="C4013">
        <v>40</v>
      </c>
      <c r="D4013">
        <v>80</v>
      </c>
      <c r="E4013">
        <v>0</v>
      </c>
      <c r="F4013">
        <v>24</v>
      </c>
      <c r="G4013">
        <v>15.75</v>
      </c>
    </row>
    <row r="4014" spans="1:7" x14ac:dyDescent="0.3">
      <c r="A4014" t="str">
        <f>IF(ISBLANK(B4014),"",IF(ROUND(B4014,0)=ROUND(G4014,0),"Pass","Fail"))</f>
        <v>Pass</v>
      </c>
      <c r="B4014">
        <f t="shared" si="164"/>
        <v>15.75</v>
      </c>
      <c r="C4014">
        <v>40</v>
      </c>
      <c r="D4014">
        <v>80</v>
      </c>
      <c r="E4014">
        <v>0</v>
      </c>
      <c r="F4014">
        <v>32</v>
      </c>
      <c r="G4014">
        <v>15.75</v>
      </c>
    </row>
    <row r="4015" spans="1:7" x14ac:dyDescent="0.3">
      <c r="A4015" t="str">
        <f>IF(ISBLANK(B4015),"",IF(ROUND(B4015,0)=ROUND(G4015,0),"Pass","Fail"))</f>
        <v>Pass</v>
      </c>
      <c r="B4015">
        <f t="shared" si="164"/>
        <v>15.75</v>
      </c>
      <c r="C4015">
        <v>40</v>
      </c>
      <c r="D4015">
        <v>80</v>
      </c>
      <c r="E4015">
        <v>0</v>
      </c>
      <c r="F4015">
        <v>40</v>
      </c>
      <c r="G4015">
        <v>15.75</v>
      </c>
    </row>
    <row r="4016" spans="1:7" x14ac:dyDescent="0.3">
      <c r="A4016" t="str">
        <f>IF(ISBLANK(B4016),"",IF(ROUND(B4016,0)=ROUND(G4016,0),"Pass","Fail"))</f>
        <v>Pass</v>
      </c>
      <c r="B4016">
        <f t="shared" si="164"/>
        <v>15.75</v>
      </c>
      <c r="C4016">
        <v>40</v>
      </c>
      <c r="D4016">
        <v>80</v>
      </c>
      <c r="E4016">
        <v>0</v>
      </c>
      <c r="F4016">
        <v>48</v>
      </c>
      <c r="G4016">
        <v>15.75</v>
      </c>
    </row>
    <row r="4017" spans="1:7" x14ac:dyDescent="0.3">
      <c r="A4017" t="str">
        <f>IF(ISBLANK(B4017),"",IF(ROUND(B4017,0)=ROUND(G4017,0),"Pass","Fail"))</f>
        <v>Pass</v>
      </c>
      <c r="B4017">
        <f t="shared" si="164"/>
        <v>82.877998352050781</v>
      </c>
      <c r="C4017">
        <v>40</v>
      </c>
      <c r="D4017">
        <v>80</v>
      </c>
      <c r="E4017">
        <v>10</v>
      </c>
      <c r="F4017">
        <v>0</v>
      </c>
      <c r="G4017">
        <v>82.877999999998295</v>
      </c>
    </row>
    <row r="4018" spans="1:7" x14ac:dyDescent="0.3">
      <c r="A4018" t="str">
        <f>IF(ISBLANK(B4018),"",IF(ROUND(B4018,0)=ROUND(G4018,0),"Pass","Fail"))</f>
        <v>Pass</v>
      </c>
      <c r="B4018">
        <f t="shared" si="164"/>
        <v>49.541229248046875</v>
      </c>
      <c r="C4018">
        <v>40</v>
      </c>
      <c r="D4018">
        <v>80</v>
      </c>
      <c r="E4018">
        <v>10</v>
      </c>
      <c r="F4018">
        <v>8</v>
      </c>
      <c r="G4018">
        <v>49.541228080722199</v>
      </c>
    </row>
    <row r="4019" spans="1:7" x14ac:dyDescent="0.3">
      <c r="A4019" t="str">
        <f>IF(ISBLANK(B4019),"",IF(ROUND(B4019,0)=ROUND(G4019,0),"Pass","Fail"))</f>
        <v>Pass</v>
      </c>
      <c r="B4019">
        <f t="shared" si="164"/>
        <v>32.759994506835938</v>
      </c>
      <c r="C4019">
        <v>40</v>
      </c>
      <c r="D4019">
        <v>80</v>
      </c>
      <c r="E4019">
        <v>10</v>
      </c>
      <c r="F4019">
        <v>16</v>
      </c>
      <c r="G4019">
        <v>32.759997247101303</v>
      </c>
    </row>
    <row r="4020" spans="1:7" x14ac:dyDescent="0.3">
      <c r="A4020" t="str">
        <f>IF(ISBLANK(B4020),"",IF(ROUND(B4020,0)=ROUND(G4020,0),"Pass","Fail"))</f>
        <v>Pass</v>
      </c>
      <c r="B4020">
        <f t="shared" si="164"/>
        <v>24.312576293945313</v>
      </c>
      <c r="C4020">
        <v>40</v>
      </c>
      <c r="D4020">
        <v>80</v>
      </c>
      <c r="E4020">
        <v>10</v>
      </c>
      <c r="F4020">
        <v>24</v>
      </c>
      <c r="G4020">
        <v>24.312577413736001</v>
      </c>
    </row>
    <row r="4021" spans="1:7" x14ac:dyDescent="0.3">
      <c r="A4021" t="str">
        <f>IF(ISBLANK(B4021),"",IF(ROUND(B4021,0)=ROUND(G4021,0),"Pass","Fail"))</f>
        <v>Pass</v>
      </c>
      <c r="B4021">
        <f t="shared" si="164"/>
        <v>20.060272216796875</v>
      </c>
      <c r="C4021">
        <v>40</v>
      </c>
      <c r="D4021">
        <v>80</v>
      </c>
      <c r="E4021">
        <v>10</v>
      </c>
      <c r="F4021">
        <v>32</v>
      </c>
      <c r="G4021">
        <v>20.0602730059945</v>
      </c>
    </row>
    <row r="4022" spans="1:7" x14ac:dyDescent="0.3">
      <c r="A4022" t="str">
        <f>IF(ISBLANK(B4022),"",IF(ROUND(B4022,0)=ROUND(G4022,0),"Pass","Fail"))</f>
        <v>Pass</v>
      </c>
      <c r="B4022">
        <f t="shared" si="164"/>
        <v>17.919727325439453</v>
      </c>
      <c r="C4022">
        <v>40</v>
      </c>
      <c r="D4022">
        <v>80</v>
      </c>
      <c r="E4022">
        <v>10</v>
      </c>
      <c r="F4022">
        <v>40</v>
      </c>
      <c r="G4022">
        <v>17.919726764326999</v>
      </c>
    </row>
    <row r="4023" spans="1:7" x14ac:dyDescent="0.3">
      <c r="A4023" t="str">
        <f>IF(ISBLANK(B4023),"",IF(ROUND(B4023,0)=ROUND(G4023,0),"Pass","Fail"))</f>
        <v>Pass</v>
      </c>
      <c r="B4023">
        <f t="shared" si="164"/>
        <v>16.842208862304688</v>
      </c>
      <c r="C4023">
        <v>40</v>
      </c>
      <c r="D4023">
        <v>80</v>
      </c>
      <c r="E4023">
        <v>10</v>
      </c>
      <c r="F4023">
        <v>48</v>
      </c>
      <c r="G4023">
        <v>16.842207900819599</v>
      </c>
    </row>
    <row r="4024" spans="1:7" x14ac:dyDescent="0.3">
      <c r="A4024" t="str">
        <f>IF(ISBLANK(B4024),"",IF(ROUND(B4024,0)=ROUND(G4024,0),"Pass","Fail"))</f>
        <v>Pass</v>
      </c>
      <c r="B4024">
        <f t="shared" si="164"/>
        <v>82.877998352050781</v>
      </c>
      <c r="C4024">
        <v>40</v>
      </c>
      <c r="D4024">
        <v>80</v>
      </c>
      <c r="E4024">
        <v>20</v>
      </c>
      <c r="F4024">
        <v>0</v>
      </c>
      <c r="G4024">
        <v>82.878</v>
      </c>
    </row>
    <row r="4025" spans="1:7" x14ac:dyDescent="0.3">
      <c r="A4025" t="str">
        <f>IF(ISBLANK(B4025),"",IF(ROUND(B4025,0)=ROUND(G4025,0),"Pass","Fail"))</f>
        <v>Pass</v>
      </c>
      <c r="B4025">
        <f t="shared" si="164"/>
        <v>49.541229248046875</v>
      </c>
      <c r="C4025">
        <v>40</v>
      </c>
      <c r="D4025">
        <v>80</v>
      </c>
      <c r="E4025">
        <v>20</v>
      </c>
      <c r="F4025">
        <v>8</v>
      </c>
      <c r="G4025">
        <v>49.541228080723002</v>
      </c>
    </row>
    <row r="4026" spans="1:7" x14ac:dyDescent="0.3">
      <c r="A4026" t="str">
        <f>IF(ISBLANK(B4026),"",IF(ROUND(B4026,0)=ROUND(G4026,0),"Pass","Fail"))</f>
        <v>Pass</v>
      </c>
      <c r="B4026">
        <f t="shared" si="164"/>
        <v>32.759994506835938</v>
      </c>
      <c r="C4026">
        <v>40</v>
      </c>
      <c r="D4026">
        <v>80</v>
      </c>
      <c r="E4026">
        <v>20</v>
      </c>
      <c r="F4026">
        <v>16</v>
      </c>
      <c r="G4026">
        <v>32.759997247101701</v>
      </c>
    </row>
    <row r="4027" spans="1:7" x14ac:dyDescent="0.3">
      <c r="A4027" t="str">
        <f>IF(ISBLANK(B4027),"",IF(ROUND(B4027,0)=ROUND(G4027,0),"Pass","Fail"))</f>
        <v>Pass</v>
      </c>
      <c r="B4027">
        <f t="shared" si="164"/>
        <v>24.312576293945313</v>
      </c>
      <c r="C4027">
        <v>40</v>
      </c>
      <c r="D4027">
        <v>80</v>
      </c>
      <c r="E4027">
        <v>20</v>
      </c>
      <c r="F4027">
        <v>24</v>
      </c>
      <c r="G4027">
        <v>24.3125774137362</v>
      </c>
    </row>
    <row r="4028" spans="1:7" x14ac:dyDescent="0.3">
      <c r="A4028" t="str">
        <f>IF(ISBLANK(B4028),"",IF(ROUND(B4028,0)=ROUND(G4028,0),"Pass","Fail"))</f>
        <v>Pass</v>
      </c>
      <c r="B4028">
        <f t="shared" si="164"/>
        <v>20.060272216796875</v>
      </c>
      <c r="C4028">
        <v>40</v>
      </c>
      <c r="D4028">
        <v>80</v>
      </c>
      <c r="E4028">
        <v>20</v>
      </c>
      <c r="F4028">
        <v>32</v>
      </c>
      <c r="G4028">
        <v>20.060273005994599</v>
      </c>
    </row>
    <row r="4029" spans="1:7" x14ac:dyDescent="0.3">
      <c r="A4029" t="str">
        <f>IF(ISBLANK(B4029),"",IF(ROUND(B4029,0)=ROUND(G4029,0),"Pass","Fail"))</f>
        <v>Pass</v>
      </c>
      <c r="B4029">
        <f t="shared" si="164"/>
        <v>17.919727325439453</v>
      </c>
      <c r="C4029">
        <v>40</v>
      </c>
      <c r="D4029">
        <v>80</v>
      </c>
      <c r="E4029">
        <v>20</v>
      </c>
      <c r="F4029">
        <v>40</v>
      </c>
      <c r="G4029">
        <v>17.919726764327098</v>
      </c>
    </row>
    <row r="4030" spans="1:7" x14ac:dyDescent="0.3">
      <c r="A4030" t="str">
        <f>IF(ISBLANK(B4030),"",IF(ROUND(B4030,0)=ROUND(G4030,0),"Pass","Fail"))</f>
        <v>Pass</v>
      </c>
      <c r="B4030">
        <f t="shared" si="164"/>
        <v>16.842208862304688</v>
      </c>
      <c r="C4030">
        <v>40</v>
      </c>
      <c r="D4030">
        <v>80</v>
      </c>
      <c r="E4030">
        <v>20</v>
      </c>
      <c r="F4030">
        <v>48</v>
      </c>
      <c r="G4030">
        <v>16.842207900819702</v>
      </c>
    </row>
    <row r="4031" spans="1:7" x14ac:dyDescent="0.3">
      <c r="A4031" t="str">
        <f>IF(ISBLANK(B4031),"",IF(ROUND(B4031,0)=ROUND(G4031,0),"Pass","Fail"))</f>
        <v>Pass</v>
      </c>
      <c r="B4031">
        <f t="shared" si="164"/>
        <v>82.877998352050781</v>
      </c>
      <c r="C4031">
        <v>40</v>
      </c>
      <c r="D4031">
        <v>80</v>
      </c>
      <c r="E4031">
        <v>30</v>
      </c>
      <c r="F4031">
        <v>0</v>
      </c>
      <c r="G4031">
        <v>82.878</v>
      </c>
    </row>
    <row r="4032" spans="1:7" x14ac:dyDescent="0.3">
      <c r="A4032" t="str">
        <f>IF(ISBLANK(B4032),"",IF(ROUND(B4032,0)=ROUND(G4032,0),"Pass","Fail"))</f>
        <v>Pass</v>
      </c>
      <c r="B4032">
        <f t="shared" si="164"/>
        <v>49.541229248046875</v>
      </c>
      <c r="C4032">
        <v>40</v>
      </c>
      <c r="D4032">
        <v>80</v>
      </c>
      <c r="E4032">
        <v>30</v>
      </c>
      <c r="F4032">
        <v>8</v>
      </c>
      <c r="G4032">
        <v>49.541228080723002</v>
      </c>
    </row>
    <row r="4033" spans="1:7" x14ac:dyDescent="0.3">
      <c r="A4033" t="str">
        <f>IF(ISBLANK(B4033),"",IF(ROUND(B4033,0)=ROUND(G4033,0),"Pass","Fail"))</f>
        <v>Pass</v>
      </c>
      <c r="B4033">
        <f t="shared" si="164"/>
        <v>32.759994506835938</v>
      </c>
      <c r="C4033">
        <v>40</v>
      </c>
      <c r="D4033">
        <v>80</v>
      </c>
      <c r="E4033">
        <v>30</v>
      </c>
      <c r="F4033">
        <v>16</v>
      </c>
      <c r="G4033">
        <v>32.759997247101701</v>
      </c>
    </row>
    <row r="4034" spans="1:7" x14ac:dyDescent="0.3">
      <c r="A4034" t="str">
        <f>IF(ISBLANK(B4034),"",IF(ROUND(B4034,0)=ROUND(G4034,0),"Pass","Fail"))</f>
        <v>Pass</v>
      </c>
      <c r="B4034">
        <f t="shared" si="164"/>
        <v>24.312576293945313</v>
      </c>
      <c r="C4034">
        <v>40</v>
      </c>
      <c r="D4034">
        <v>80</v>
      </c>
      <c r="E4034">
        <v>30</v>
      </c>
      <c r="F4034">
        <v>24</v>
      </c>
      <c r="G4034">
        <v>24.3125774137362</v>
      </c>
    </row>
    <row r="4035" spans="1:7" x14ac:dyDescent="0.3">
      <c r="A4035" t="str">
        <f>IF(ISBLANK(B4035),"",IF(ROUND(B4035,0)=ROUND(G4035,0),"Pass","Fail"))</f>
        <v>Pass</v>
      </c>
      <c r="B4035">
        <f t="shared" si="164"/>
        <v>20.060272216796875</v>
      </c>
      <c r="C4035">
        <v>40</v>
      </c>
      <c r="D4035">
        <v>80</v>
      </c>
      <c r="E4035">
        <v>30</v>
      </c>
      <c r="F4035">
        <v>32</v>
      </c>
      <c r="G4035">
        <v>20.060273005994599</v>
      </c>
    </row>
    <row r="4036" spans="1:7" x14ac:dyDescent="0.3">
      <c r="A4036" t="str">
        <f>IF(ISBLANK(B4036),"",IF(ROUND(B4036,0)=ROUND(G4036,0),"Pass","Fail"))</f>
        <v>Pass</v>
      </c>
      <c r="B4036">
        <f t="shared" si="164"/>
        <v>17.919727325439453</v>
      </c>
      <c r="C4036">
        <v>40</v>
      </c>
      <c r="D4036">
        <v>80</v>
      </c>
      <c r="E4036">
        <v>30</v>
      </c>
      <c r="F4036">
        <v>40</v>
      </c>
      <c r="G4036">
        <v>17.919726764327098</v>
      </c>
    </row>
    <row r="4037" spans="1:7" x14ac:dyDescent="0.3">
      <c r="A4037" t="str">
        <f>IF(ISBLANK(B4037),"",IF(ROUND(B4037,0)=ROUND(G4037,0),"Pass","Fail"))</f>
        <v>Pass</v>
      </c>
      <c r="B4037">
        <f t="shared" si="164"/>
        <v>16.842208862304688</v>
      </c>
      <c r="C4037">
        <v>40</v>
      </c>
      <c r="D4037">
        <v>80</v>
      </c>
      <c r="E4037">
        <v>30</v>
      </c>
      <c r="F4037">
        <v>48</v>
      </c>
      <c r="G4037">
        <v>16.842207900819702</v>
      </c>
    </row>
    <row r="4038" spans="1:7" x14ac:dyDescent="0.3">
      <c r="A4038" t="str">
        <f>IF(ISBLANK(B4038),"",IF(ROUND(B4038,0)=ROUND(G4038,0),"Pass","Fail"))</f>
        <v>Pass</v>
      </c>
      <c r="B4038">
        <f t="shared" si="164"/>
        <v>82.877998352050781</v>
      </c>
      <c r="C4038">
        <v>40</v>
      </c>
      <c r="D4038">
        <v>80</v>
      </c>
      <c r="E4038">
        <v>40</v>
      </c>
      <c r="F4038">
        <v>0</v>
      </c>
      <c r="G4038">
        <v>82.878</v>
      </c>
    </row>
    <row r="4039" spans="1:7" x14ac:dyDescent="0.3">
      <c r="A4039" t="str">
        <f>IF(ISBLANK(B4039),"",IF(ROUND(B4039,0)=ROUND(G4039,0),"Pass","Fail"))</f>
        <v>Pass</v>
      </c>
      <c r="B4039">
        <f t="shared" ref="B4039:B4102" si="165">FMC_heath(C4039,D4039,E4039,F4039)</f>
        <v>49.541229248046875</v>
      </c>
      <c r="C4039">
        <v>40</v>
      </c>
      <c r="D4039">
        <v>80</v>
      </c>
      <c r="E4039">
        <v>40</v>
      </c>
      <c r="F4039">
        <v>8</v>
      </c>
      <c r="G4039">
        <v>49.541228080723002</v>
      </c>
    </row>
    <row r="4040" spans="1:7" x14ac:dyDescent="0.3">
      <c r="A4040" t="str">
        <f>IF(ISBLANK(B4040),"",IF(ROUND(B4040,0)=ROUND(G4040,0),"Pass","Fail"))</f>
        <v>Pass</v>
      </c>
      <c r="B4040">
        <f t="shared" si="165"/>
        <v>32.759994506835938</v>
      </c>
      <c r="C4040">
        <v>40</v>
      </c>
      <c r="D4040">
        <v>80</v>
      </c>
      <c r="E4040">
        <v>40</v>
      </c>
      <c r="F4040">
        <v>16</v>
      </c>
      <c r="G4040">
        <v>32.759997247101701</v>
      </c>
    </row>
    <row r="4041" spans="1:7" x14ac:dyDescent="0.3">
      <c r="A4041" t="str">
        <f>IF(ISBLANK(B4041),"",IF(ROUND(B4041,0)=ROUND(G4041,0),"Pass","Fail"))</f>
        <v>Pass</v>
      </c>
      <c r="B4041">
        <f t="shared" si="165"/>
        <v>24.312576293945313</v>
      </c>
      <c r="C4041">
        <v>40</v>
      </c>
      <c r="D4041">
        <v>80</v>
      </c>
      <c r="E4041">
        <v>40</v>
      </c>
      <c r="F4041">
        <v>24</v>
      </c>
      <c r="G4041">
        <v>24.3125774137362</v>
      </c>
    </row>
    <row r="4042" spans="1:7" x14ac:dyDescent="0.3">
      <c r="A4042" t="str">
        <f>IF(ISBLANK(B4042),"",IF(ROUND(B4042,0)=ROUND(G4042,0),"Pass","Fail"))</f>
        <v>Pass</v>
      </c>
      <c r="B4042">
        <f t="shared" si="165"/>
        <v>20.060272216796875</v>
      </c>
      <c r="C4042">
        <v>40</v>
      </c>
      <c r="D4042">
        <v>80</v>
      </c>
      <c r="E4042">
        <v>40</v>
      </c>
      <c r="F4042">
        <v>32</v>
      </c>
      <c r="G4042">
        <v>20.060273005994599</v>
      </c>
    </row>
    <row r="4043" spans="1:7" x14ac:dyDescent="0.3">
      <c r="A4043" t="str">
        <f>IF(ISBLANK(B4043),"",IF(ROUND(B4043,0)=ROUND(G4043,0),"Pass","Fail"))</f>
        <v>Pass</v>
      </c>
      <c r="B4043">
        <f t="shared" si="165"/>
        <v>17.919727325439453</v>
      </c>
      <c r="C4043">
        <v>40</v>
      </c>
      <c r="D4043">
        <v>80</v>
      </c>
      <c r="E4043">
        <v>40</v>
      </c>
      <c r="F4043">
        <v>40</v>
      </c>
      <c r="G4043">
        <v>17.919726764327098</v>
      </c>
    </row>
    <row r="4044" spans="1:7" x14ac:dyDescent="0.3">
      <c r="A4044" t="str">
        <f>IF(ISBLANK(B4044),"",IF(ROUND(B4044,0)=ROUND(G4044,0),"Pass","Fail"))</f>
        <v>Pass</v>
      </c>
      <c r="B4044">
        <f t="shared" si="165"/>
        <v>16.842208862304688</v>
      </c>
      <c r="C4044">
        <v>40</v>
      </c>
      <c r="D4044">
        <v>80</v>
      </c>
      <c r="E4044">
        <v>40</v>
      </c>
      <c r="F4044">
        <v>48</v>
      </c>
      <c r="G4044">
        <v>16.842207900819702</v>
      </c>
    </row>
    <row r="4045" spans="1:7" x14ac:dyDescent="0.3">
      <c r="A4045" t="str">
        <f>IF(ISBLANK(B4045),"",IF(ROUND(B4045,0)=ROUND(G4045,0),"Pass","Fail"))</f>
        <v>Pass</v>
      </c>
      <c r="B4045">
        <f t="shared" si="165"/>
        <v>82.877998352050781</v>
      </c>
      <c r="C4045">
        <v>40</v>
      </c>
      <c r="D4045">
        <v>80</v>
      </c>
      <c r="E4045">
        <v>50</v>
      </c>
      <c r="F4045">
        <v>0</v>
      </c>
      <c r="G4045">
        <v>82.878</v>
      </c>
    </row>
    <row r="4046" spans="1:7" x14ac:dyDescent="0.3">
      <c r="A4046" t="str">
        <f>IF(ISBLANK(B4046),"",IF(ROUND(B4046,0)=ROUND(G4046,0),"Pass","Fail"))</f>
        <v>Pass</v>
      </c>
      <c r="B4046">
        <f t="shared" si="165"/>
        <v>49.541229248046875</v>
      </c>
      <c r="C4046">
        <v>40</v>
      </c>
      <c r="D4046">
        <v>80</v>
      </c>
      <c r="E4046">
        <v>50</v>
      </c>
      <c r="F4046">
        <v>8</v>
      </c>
      <c r="G4046">
        <v>49.541228080723002</v>
      </c>
    </row>
    <row r="4047" spans="1:7" x14ac:dyDescent="0.3">
      <c r="A4047" t="str">
        <f>IF(ISBLANK(B4047),"",IF(ROUND(B4047,0)=ROUND(G4047,0),"Pass","Fail"))</f>
        <v>Pass</v>
      </c>
      <c r="B4047">
        <f t="shared" si="165"/>
        <v>32.759994506835938</v>
      </c>
      <c r="C4047">
        <v>40</v>
      </c>
      <c r="D4047">
        <v>80</v>
      </c>
      <c r="E4047">
        <v>50</v>
      </c>
      <c r="F4047">
        <v>16</v>
      </c>
      <c r="G4047">
        <v>32.759997247101701</v>
      </c>
    </row>
    <row r="4048" spans="1:7" x14ac:dyDescent="0.3">
      <c r="A4048" t="str">
        <f>IF(ISBLANK(B4048),"",IF(ROUND(B4048,0)=ROUND(G4048,0),"Pass","Fail"))</f>
        <v>Pass</v>
      </c>
      <c r="B4048">
        <f t="shared" si="165"/>
        <v>24.312576293945313</v>
      </c>
      <c r="C4048">
        <v>40</v>
      </c>
      <c r="D4048">
        <v>80</v>
      </c>
      <c r="E4048">
        <v>50</v>
      </c>
      <c r="F4048">
        <v>24</v>
      </c>
      <c r="G4048">
        <v>24.3125774137362</v>
      </c>
    </row>
    <row r="4049" spans="1:7" x14ac:dyDescent="0.3">
      <c r="A4049" t="str">
        <f>IF(ISBLANK(B4049),"",IF(ROUND(B4049,0)=ROUND(G4049,0),"Pass","Fail"))</f>
        <v>Pass</v>
      </c>
      <c r="B4049">
        <f t="shared" si="165"/>
        <v>20.060272216796875</v>
      </c>
      <c r="C4049">
        <v>40</v>
      </c>
      <c r="D4049">
        <v>80</v>
      </c>
      <c r="E4049">
        <v>50</v>
      </c>
      <c r="F4049">
        <v>32</v>
      </c>
      <c r="G4049">
        <v>20.060273005994599</v>
      </c>
    </row>
    <row r="4050" spans="1:7" x14ac:dyDescent="0.3">
      <c r="A4050" t="str">
        <f>IF(ISBLANK(B4050),"",IF(ROUND(B4050,0)=ROUND(G4050,0),"Pass","Fail"))</f>
        <v>Pass</v>
      </c>
      <c r="B4050">
        <f t="shared" si="165"/>
        <v>17.919727325439453</v>
      </c>
      <c r="C4050">
        <v>40</v>
      </c>
      <c r="D4050">
        <v>80</v>
      </c>
      <c r="E4050">
        <v>50</v>
      </c>
      <c r="F4050">
        <v>40</v>
      </c>
      <c r="G4050">
        <v>17.919726764327098</v>
      </c>
    </row>
    <row r="4051" spans="1:7" x14ac:dyDescent="0.3">
      <c r="A4051" t="str">
        <f>IF(ISBLANK(B4051),"",IF(ROUND(B4051,0)=ROUND(G4051,0),"Pass","Fail"))</f>
        <v>Pass</v>
      </c>
      <c r="B4051">
        <f t="shared" si="165"/>
        <v>16.842208862304688</v>
      </c>
      <c r="C4051">
        <v>40</v>
      </c>
      <c r="D4051">
        <v>80</v>
      </c>
      <c r="E4051">
        <v>50</v>
      </c>
      <c r="F4051">
        <v>48</v>
      </c>
      <c r="G4051">
        <v>16.842207900819702</v>
      </c>
    </row>
    <row r="4052" spans="1:7" x14ac:dyDescent="0.3">
      <c r="A4052" t="str">
        <f>IF(ISBLANK(B4052),"",IF(ROUND(B4052,0)=ROUND(G4052,0),"Pass","Fail"))</f>
        <v>Pass</v>
      </c>
      <c r="B4052">
        <f t="shared" si="165"/>
        <v>82.877998352050781</v>
      </c>
      <c r="C4052">
        <v>40</v>
      </c>
      <c r="D4052">
        <v>80</v>
      </c>
      <c r="E4052">
        <v>60</v>
      </c>
      <c r="F4052">
        <v>0</v>
      </c>
      <c r="G4052">
        <v>82.878</v>
      </c>
    </row>
    <row r="4053" spans="1:7" x14ac:dyDescent="0.3">
      <c r="A4053" t="str">
        <f>IF(ISBLANK(B4053),"",IF(ROUND(B4053,0)=ROUND(G4053,0),"Pass","Fail"))</f>
        <v>Pass</v>
      </c>
      <c r="B4053">
        <f t="shared" si="165"/>
        <v>49.541229248046875</v>
      </c>
      <c r="C4053">
        <v>40</v>
      </c>
      <c r="D4053">
        <v>80</v>
      </c>
      <c r="E4053">
        <v>60</v>
      </c>
      <c r="F4053">
        <v>8</v>
      </c>
      <c r="G4053">
        <v>49.541228080723002</v>
      </c>
    </row>
    <row r="4054" spans="1:7" x14ac:dyDescent="0.3">
      <c r="A4054" t="str">
        <f>IF(ISBLANK(B4054),"",IF(ROUND(B4054,0)=ROUND(G4054,0),"Pass","Fail"))</f>
        <v>Pass</v>
      </c>
      <c r="B4054">
        <f t="shared" si="165"/>
        <v>32.759994506835938</v>
      </c>
      <c r="C4054">
        <v>40</v>
      </c>
      <c r="D4054">
        <v>80</v>
      </c>
      <c r="E4054">
        <v>60</v>
      </c>
      <c r="F4054">
        <v>16</v>
      </c>
      <c r="G4054">
        <v>32.759997247101701</v>
      </c>
    </row>
    <row r="4055" spans="1:7" x14ac:dyDescent="0.3">
      <c r="A4055" t="str">
        <f>IF(ISBLANK(B4055),"",IF(ROUND(B4055,0)=ROUND(G4055,0),"Pass","Fail"))</f>
        <v>Pass</v>
      </c>
      <c r="B4055">
        <f t="shared" si="165"/>
        <v>24.312576293945313</v>
      </c>
      <c r="C4055">
        <v>40</v>
      </c>
      <c r="D4055">
        <v>80</v>
      </c>
      <c r="E4055">
        <v>60</v>
      </c>
      <c r="F4055">
        <v>24</v>
      </c>
      <c r="G4055">
        <v>24.3125774137362</v>
      </c>
    </row>
    <row r="4056" spans="1:7" x14ac:dyDescent="0.3">
      <c r="A4056" t="str">
        <f>IF(ISBLANK(B4056),"",IF(ROUND(B4056,0)=ROUND(G4056,0),"Pass","Fail"))</f>
        <v>Pass</v>
      </c>
      <c r="B4056">
        <f t="shared" si="165"/>
        <v>20.060272216796875</v>
      </c>
      <c r="C4056">
        <v>40</v>
      </c>
      <c r="D4056">
        <v>80</v>
      </c>
      <c r="E4056">
        <v>60</v>
      </c>
      <c r="F4056">
        <v>32</v>
      </c>
      <c r="G4056">
        <v>20.060273005994599</v>
      </c>
    </row>
    <row r="4057" spans="1:7" x14ac:dyDescent="0.3">
      <c r="A4057" t="str">
        <f>IF(ISBLANK(B4057),"",IF(ROUND(B4057,0)=ROUND(G4057,0),"Pass","Fail"))</f>
        <v>Pass</v>
      </c>
      <c r="B4057">
        <f t="shared" si="165"/>
        <v>17.919727325439453</v>
      </c>
      <c r="C4057">
        <v>40</v>
      </c>
      <c r="D4057">
        <v>80</v>
      </c>
      <c r="E4057">
        <v>60</v>
      </c>
      <c r="F4057">
        <v>40</v>
      </c>
      <c r="G4057">
        <v>17.919726764327098</v>
      </c>
    </row>
    <row r="4058" spans="1:7" x14ac:dyDescent="0.3">
      <c r="A4058" t="str">
        <f>IF(ISBLANK(B4058),"",IF(ROUND(B4058,0)=ROUND(G4058,0),"Pass","Fail"))</f>
        <v>Pass</v>
      </c>
      <c r="B4058">
        <f t="shared" si="165"/>
        <v>16.842208862304688</v>
      </c>
      <c r="C4058">
        <v>40</v>
      </c>
      <c r="D4058">
        <v>80</v>
      </c>
      <c r="E4058">
        <v>60</v>
      </c>
      <c r="F4058">
        <v>48</v>
      </c>
      <c r="G4058">
        <v>16.842207900819702</v>
      </c>
    </row>
    <row r="4059" spans="1:7" x14ac:dyDescent="0.3">
      <c r="A4059" t="str">
        <f>IF(ISBLANK(B4059),"",IF(ROUND(B4059,0)=ROUND(G4059,0),"Pass","Fail"))</f>
        <v>Pass</v>
      </c>
      <c r="B4059">
        <f t="shared" si="165"/>
        <v>82.877998352050781</v>
      </c>
      <c r="C4059">
        <v>40</v>
      </c>
      <c r="D4059">
        <v>80</v>
      </c>
      <c r="E4059">
        <v>70</v>
      </c>
      <c r="F4059">
        <v>0</v>
      </c>
      <c r="G4059">
        <v>82.878</v>
      </c>
    </row>
    <row r="4060" spans="1:7" x14ac:dyDescent="0.3">
      <c r="A4060" t="str">
        <f>IF(ISBLANK(B4060),"",IF(ROUND(B4060,0)=ROUND(G4060,0),"Pass","Fail"))</f>
        <v>Pass</v>
      </c>
      <c r="B4060">
        <f t="shared" si="165"/>
        <v>49.541229248046875</v>
      </c>
      <c r="C4060">
        <v>40</v>
      </c>
      <c r="D4060">
        <v>80</v>
      </c>
      <c r="E4060">
        <v>70</v>
      </c>
      <c r="F4060">
        <v>8</v>
      </c>
      <c r="G4060">
        <v>49.541228080723002</v>
      </c>
    </row>
    <row r="4061" spans="1:7" x14ac:dyDescent="0.3">
      <c r="A4061" t="str">
        <f>IF(ISBLANK(B4061),"",IF(ROUND(B4061,0)=ROUND(G4061,0),"Pass","Fail"))</f>
        <v>Pass</v>
      </c>
      <c r="B4061">
        <f t="shared" si="165"/>
        <v>32.759994506835938</v>
      </c>
      <c r="C4061">
        <v>40</v>
      </c>
      <c r="D4061">
        <v>80</v>
      </c>
      <c r="E4061">
        <v>70</v>
      </c>
      <c r="F4061">
        <v>16</v>
      </c>
      <c r="G4061">
        <v>32.759997247101701</v>
      </c>
    </row>
    <row r="4062" spans="1:7" x14ac:dyDescent="0.3">
      <c r="A4062" t="str">
        <f>IF(ISBLANK(B4062),"",IF(ROUND(B4062,0)=ROUND(G4062,0),"Pass","Fail"))</f>
        <v>Pass</v>
      </c>
      <c r="B4062">
        <f t="shared" si="165"/>
        <v>24.312576293945313</v>
      </c>
      <c r="C4062">
        <v>40</v>
      </c>
      <c r="D4062">
        <v>80</v>
      </c>
      <c r="E4062">
        <v>70</v>
      </c>
      <c r="F4062">
        <v>24</v>
      </c>
      <c r="G4062">
        <v>24.3125774137362</v>
      </c>
    </row>
    <row r="4063" spans="1:7" x14ac:dyDescent="0.3">
      <c r="A4063" t="str">
        <f>IF(ISBLANK(B4063),"",IF(ROUND(B4063,0)=ROUND(G4063,0),"Pass","Fail"))</f>
        <v>Pass</v>
      </c>
      <c r="B4063">
        <f t="shared" si="165"/>
        <v>20.060272216796875</v>
      </c>
      <c r="C4063">
        <v>40</v>
      </c>
      <c r="D4063">
        <v>80</v>
      </c>
      <c r="E4063">
        <v>70</v>
      </c>
      <c r="F4063">
        <v>32</v>
      </c>
      <c r="G4063">
        <v>20.060273005994599</v>
      </c>
    </row>
    <row r="4064" spans="1:7" x14ac:dyDescent="0.3">
      <c r="A4064" t="str">
        <f>IF(ISBLANK(B4064),"",IF(ROUND(B4064,0)=ROUND(G4064,0),"Pass","Fail"))</f>
        <v>Pass</v>
      </c>
      <c r="B4064">
        <f t="shared" si="165"/>
        <v>17.919727325439453</v>
      </c>
      <c r="C4064">
        <v>40</v>
      </c>
      <c r="D4064">
        <v>80</v>
      </c>
      <c r="E4064">
        <v>70</v>
      </c>
      <c r="F4064">
        <v>40</v>
      </c>
      <c r="G4064">
        <v>17.919726764327098</v>
      </c>
    </row>
    <row r="4065" spans="1:7" x14ac:dyDescent="0.3">
      <c r="A4065" t="str">
        <f>IF(ISBLANK(B4065),"",IF(ROUND(B4065,0)=ROUND(G4065,0),"Pass","Fail"))</f>
        <v>Pass</v>
      </c>
      <c r="B4065">
        <f t="shared" si="165"/>
        <v>16.842208862304688</v>
      </c>
      <c r="C4065">
        <v>40</v>
      </c>
      <c r="D4065">
        <v>80</v>
      </c>
      <c r="E4065">
        <v>70</v>
      </c>
      <c r="F4065">
        <v>48</v>
      </c>
      <c r="G4065">
        <v>16.842207900819702</v>
      </c>
    </row>
    <row r="4066" spans="1:7" x14ac:dyDescent="0.3">
      <c r="A4066" t="str">
        <f>IF(ISBLANK(B4066),"",IF(ROUND(B4066,0)=ROUND(G4066,0),"Pass","Fail"))</f>
        <v>Pass</v>
      </c>
      <c r="B4066">
        <f t="shared" si="165"/>
        <v>82.877998352050781</v>
      </c>
      <c r="C4066">
        <v>40</v>
      </c>
      <c r="D4066">
        <v>80</v>
      </c>
      <c r="E4066">
        <v>80</v>
      </c>
      <c r="F4066">
        <v>0</v>
      </c>
      <c r="G4066">
        <v>82.878</v>
      </c>
    </row>
    <row r="4067" spans="1:7" x14ac:dyDescent="0.3">
      <c r="A4067" t="str">
        <f>IF(ISBLANK(B4067),"",IF(ROUND(B4067,0)=ROUND(G4067,0),"Pass","Fail"))</f>
        <v>Pass</v>
      </c>
      <c r="B4067">
        <f t="shared" si="165"/>
        <v>49.541229248046875</v>
      </c>
      <c r="C4067">
        <v>40</v>
      </c>
      <c r="D4067">
        <v>80</v>
      </c>
      <c r="E4067">
        <v>80</v>
      </c>
      <c r="F4067">
        <v>8</v>
      </c>
      <c r="G4067">
        <v>49.541228080723002</v>
      </c>
    </row>
    <row r="4068" spans="1:7" x14ac:dyDescent="0.3">
      <c r="A4068" t="str">
        <f>IF(ISBLANK(B4068),"",IF(ROUND(B4068,0)=ROUND(G4068,0),"Pass","Fail"))</f>
        <v>Pass</v>
      </c>
      <c r="B4068">
        <f t="shared" si="165"/>
        <v>32.759994506835938</v>
      </c>
      <c r="C4068">
        <v>40</v>
      </c>
      <c r="D4068">
        <v>80</v>
      </c>
      <c r="E4068">
        <v>80</v>
      </c>
      <c r="F4068">
        <v>16</v>
      </c>
      <c r="G4068">
        <v>32.759997247101701</v>
      </c>
    </row>
    <row r="4069" spans="1:7" x14ac:dyDescent="0.3">
      <c r="A4069" t="str">
        <f>IF(ISBLANK(B4069),"",IF(ROUND(B4069,0)=ROUND(G4069,0),"Pass","Fail"))</f>
        <v>Pass</v>
      </c>
      <c r="B4069">
        <f t="shared" si="165"/>
        <v>24.312576293945313</v>
      </c>
      <c r="C4069">
        <v>40</v>
      </c>
      <c r="D4069">
        <v>80</v>
      </c>
      <c r="E4069">
        <v>80</v>
      </c>
      <c r="F4069">
        <v>24</v>
      </c>
      <c r="G4069">
        <v>24.3125774137362</v>
      </c>
    </row>
    <row r="4070" spans="1:7" x14ac:dyDescent="0.3">
      <c r="A4070" t="str">
        <f>IF(ISBLANK(B4070),"",IF(ROUND(B4070,0)=ROUND(G4070,0),"Pass","Fail"))</f>
        <v>Pass</v>
      </c>
      <c r="B4070">
        <f t="shared" si="165"/>
        <v>20.060272216796875</v>
      </c>
      <c r="C4070">
        <v>40</v>
      </c>
      <c r="D4070">
        <v>80</v>
      </c>
      <c r="E4070">
        <v>80</v>
      </c>
      <c r="F4070">
        <v>32</v>
      </c>
      <c r="G4070">
        <v>20.060273005994599</v>
      </c>
    </row>
    <row r="4071" spans="1:7" x14ac:dyDescent="0.3">
      <c r="A4071" t="str">
        <f>IF(ISBLANK(B4071),"",IF(ROUND(B4071,0)=ROUND(G4071,0),"Pass","Fail"))</f>
        <v>Pass</v>
      </c>
      <c r="B4071">
        <f t="shared" si="165"/>
        <v>17.919727325439453</v>
      </c>
      <c r="C4071">
        <v>40</v>
      </c>
      <c r="D4071">
        <v>80</v>
      </c>
      <c r="E4071">
        <v>80</v>
      </c>
      <c r="F4071">
        <v>40</v>
      </c>
      <c r="G4071">
        <v>17.919726764327098</v>
      </c>
    </row>
    <row r="4072" spans="1:7" x14ac:dyDescent="0.3">
      <c r="A4072" t="str">
        <f>IF(ISBLANK(B4072),"",IF(ROUND(B4072,0)=ROUND(G4072,0),"Pass","Fail"))</f>
        <v>Pass</v>
      </c>
      <c r="B4072">
        <f t="shared" si="165"/>
        <v>16.842208862304688</v>
      </c>
      <c r="C4072">
        <v>40</v>
      </c>
      <c r="D4072">
        <v>80</v>
      </c>
      <c r="E4072">
        <v>80</v>
      </c>
      <c r="F4072">
        <v>48</v>
      </c>
      <c r="G4072">
        <v>16.842207900819702</v>
      </c>
    </row>
    <row r="4073" spans="1:7" x14ac:dyDescent="0.3">
      <c r="A4073" t="str">
        <f>IF(ISBLANK(B4073),"",IF(ROUND(B4073,0)=ROUND(G4073,0),"Pass","Fail"))</f>
        <v>Pass</v>
      </c>
      <c r="B4073">
        <f t="shared" si="165"/>
        <v>82.877998352050781</v>
      </c>
      <c r="C4073">
        <v>40</v>
      </c>
      <c r="D4073">
        <v>80</v>
      </c>
      <c r="E4073">
        <v>90</v>
      </c>
      <c r="F4073">
        <v>0</v>
      </c>
      <c r="G4073">
        <v>82.878</v>
      </c>
    </row>
    <row r="4074" spans="1:7" x14ac:dyDescent="0.3">
      <c r="A4074" t="str">
        <f>IF(ISBLANK(B4074),"",IF(ROUND(B4074,0)=ROUND(G4074,0),"Pass","Fail"))</f>
        <v>Pass</v>
      </c>
      <c r="B4074">
        <f t="shared" si="165"/>
        <v>49.541229248046875</v>
      </c>
      <c r="C4074">
        <v>40</v>
      </c>
      <c r="D4074">
        <v>80</v>
      </c>
      <c r="E4074">
        <v>90</v>
      </c>
      <c r="F4074">
        <v>8</v>
      </c>
      <c r="G4074">
        <v>49.541228080723002</v>
      </c>
    </row>
    <row r="4075" spans="1:7" x14ac:dyDescent="0.3">
      <c r="A4075" t="str">
        <f>IF(ISBLANK(B4075),"",IF(ROUND(B4075,0)=ROUND(G4075,0),"Pass","Fail"))</f>
        <v>Pass</v>
      </c>
      <c r="B4075">
        <f t="shared" si="165"/>
        <v>32.759994506835938</v>
      </c>
      <c r="C4075">
        <v>40</v>
      </c>
      <c r="D4075">
        <v>80</v>
      </c>
      <c r="E4075">
        <v>90</v>
      </c>
      <c r="F4075">
        <v>16</v>
      </c>
      <c r="G4075">
        <v>32.759997247101701</v>
      </c>
    </row>
    <row r="4076" spans="1:7" x14ac:dyDescent="0.3">
      <c r="A4076" t="str">
        <f>IF(ISBLANK(B4076),"",IF(ROUND(B4076,0)=ROUND(G4076,0),"Pass","Fail"))</f>
        <v>Pass</v>
      </c>
      <c r="B4076">
        <f t="shared" si="165"/>
        <v>24.312576293945313</v>
      </c>
      <c r="C4076">
        <v>40</v>
      </c>
      <c r="D4076">
        <v>80</v>
      </c>
      <c r="E4076">
        <v>90</v>
      </c>
      <c r="F4076">
        <v>24</v>
      </c>
      <c r="G4076">
        <v>24.3125774137362</v>
      </c>
    </row>
    <row r="4077" spans="1:7" x14ac:dyDescent="0.3">
      <c r="A4077" t="str">
        <f>IF(ISBLANK(B4077),"",IF(ROUND(B4077,0)=ROUND(G4077,0),"Pass","Fail"))</f>
        <v>Pass</v>
      </c>
      <c r="B4077">
        <f t="shared" si="165"/>
        <v>20.060272216796875</v>
      </c>
      <c r="C4077">
        <v>40</v>
      </c>
      <c r="D4077">
        <v>80</v>
      </c>
      <c r="E4077">
        <v>90</v>
      </c>
      <c r="F4077">
        <v>32</v>
      </c>
      <c r="G4077">
        <v>20.060273005994599</v>
      </c>
    </row>
    <row r="4078" spans="1:7" x14ac:dyDescent="0.3">
      <c r="A4078" t="str">
        <f>IF(ISBLANK(B4078),"",IF(ROUND(B4078,0)=ROUND(G4078,0),"Pass","Fail"))</f>
        <v>Pass</v>
      </c>
      <c r="B4078">
        <f t="shared" si="165"/>
        <v>17.919727325439453</v>
      </c>
      <c r="C4078">
        <v>40</v>
      </c>
      <c r="D4078">
        <v>80</v>
      </c>
      <c r="E4078">
        <v>90</v>
      </c>
      <c r="F4078">
        <v>40</v>
      </c>
      <c r="G4078">
        <v>17.919726764327098</v>
      </c>
    </row>
    <row r="4079" spans="1:7" x14ac:dyDescent="0.3">
      <c r="A4079" t="str">
        <f>IF(ISBLANK(B4079),"",IF(ROUND(B4079,0)=ROUND(G4079,0),"Pass","Fail"))</f>
        <v>Pass</v>
      </c>
      <c r="B4079">
        <f t="shared" si="165"/>
        <v>16.842208862304688</v>
      </c>
      <c r="C4079">
        <v>40</v>
      </c>
      <c r="D4079">
        <v>80</v>
      </c>
      <c r="E4079">
        <v>90</v>
      </c>
      <c r="F4079">
        <v>48</v>
      </c>
      <c r="G4079">
        <v>16.842207900819702</v>
      </c>
    </row>
    <row r="4080" spans="1:7" x14ac:dyDescent="0.3">
      <c r="A4080" t="str">
        <f>IF(ISBLANK(B4080),"",IF(ROUND(B4080,0)=ROUND(G4080,0),"Pass","Fail"))</f>
        <v>Pass</v>
      </c>
      <c r="B4080">
        <f t="shared" si="165"/>
        <v>82.877998352050781</v>
      </c>
      <c r="C4080">
        <v>40</v>
      </c>
      <c r="D4080">
        <v>80</v>
      </c>
      <c r="E4080">
        <v>100</v>
      </c>
      <c r="F4080">
        <v>0</v>
      </c>
      <c r="G4080">
        <v>82.878</v>
      </c>
    </row>
    <row r="4081" spans="1:7" x14ac:dyDescent="0.3">
      <c r="A4081" t="str">
        <f>IF(ISBLANK(B4081),"",IF(ROUND(B4081,0)=ROUND(G4081,0),"Pass","Fail"))</f>
        <v>Pass</v>
      </c>
      <c r="B4081">
        <f t="shared" si="165"/>
        <v>49.541229248046875</v>
      </c>
      <c r="C4081">
        <v>40</v>
      </c>
      <c r="D4081">
        <v>80</v>
      </c>
      <c r="E4081">
        <v>100</v>
      </c>
      <c r="F4081">
        <v>8</v>
      </c>
      <c r="G4081">
        <v>49.541228080723002</v>
      </c>
    </row>
    <row r="4082" spans="1:7" x14ac:dyDescent="0.3">
      <c r="A4082" t="str">
        <f>IF(ISBLANK(B4082),"",IF(ROUND(B4082,0)=ROUND(G4082,0),"Pass","Fail"))</f>
        <v>Pass</v>
      </c>
      <c r="B4082">
        <f t="shared" si="165"/>
        <v>32.759994506835938</v>
      </c>
      <c r="C4082">
        <v>40</v>
      </c>
      <c r="D4082">
        <v>80</v>
      </c>
      <c r="E4082">
        <v>100</v>
      </c>
      <c r="F4082">
        <v>16</v>
      </c>
      <c r="G4082">
        <v>32.759997247101701</v>
      </c>
    </row>
    <row r="4083" spans="1:7" x14ac:dyDescent="0.3">
      <c r="A4083" t="str">
        <f>IF(ISBLANK(B4083),"",IF(ROUND(B4083,0)=ROUND(G4083,0),"Pass","Fail"))</f>
        <v>Pass</v>
      </c>
      <c r="B4083">
        <f t="shared" si="165"/>
        <v>24.312576293945313</v>
      </c>
      <c r="C4083">
        <v>40</v>
      </c>
      <c r="D4083">
        <v>80</v>
      </c>
      <c r="E4083">
        <v>100</v>
      </c>
      <c r="F4083">
        <v>24</v>
      </c>
      <c r="G4083">
        <v>24.3125774137362</v>
      </c>
    </row>
    <row r="4084" spans="1:7" x14ac:dyDescent="0.3">
      <c r="A4084" t="str">
        <f>IF(ISBLANK(B4084),"",IF(ROUND(B4084,0)=ROUND(G4084,0),"Pass","Fail"))</f>
        <v>Pass</v>
      </c>
      <c r="B4084">
        <f t="shared" si="165"/>
        <v>20.060272216796875</v>
      </c>
      <c r="C4084">
        <v>40</v>
      </c>
      <c r="D4084">
        <v>80</v>
      </c>
      <c r="E4084">
        <v>100</v>
      </c>
      <c r="F4084">
        <v>32</v>
      </c>
      <c r="G4084">
        <v>20.060273005994599</v>
      </c>
    </row>
    <row r="4085" spans="1:7" x14ac:dyDescent="0.3">
      <c r="A4085" t="str">
        <f>IF(ISBLANK(B4085),"",IF(ROUND(B4085,0)=ROUND(G4085,0),"Pass","Fail"))</f>
        <v>Pass</v>
      </c>
      <c r="B4085">
        <f t="shared" si="165"/>
        <v>17.919727325439453</v>
      </c>
      <c r="C4085">
        <v>40</v>
      </c>
      <c r="D4085">
        <v>80</v>
      </c>
      <c r="E4085">
        <v>100</v>
      </c>
      <c r="F4085">
        <v>40</v>
      </c>
      <c r="G4085">
        <v>17.919726764327098</v>
      </c>
    </row>
    <row r="4086" spans="1:7" x14ac:dyDescent="0.3">
      <c r="A4086" t="str">
        <f>IF(ISBLANK(B4086),"",IF(ROUND(B4086,0)=ROUND(G4086,0),"Pass","Fail"))</f>
        <v>Pass</v>
      </c>
      <c r="B4086">
        <f t="shared" si="165"/>
        <v>16.842208862304688</v>
      </c>
      <c r="C4086">
        <v>40</v>
      </c>
      <c r="D4086">
        <v>80</v>
      </c>
      <c r="E4086">
        <v>100</v>
      </c>
      <c r="F4086">
        <v>48</v>
      </c>
      <c r="G4086">
        <v>16.842207900819702</v>
      </c>
    </row>
    <row r="4087" spans="1:7" x14ac:dyDescent="0.3">
      <c r="A4087" t="str">
        <f>IF(ISBLANK(B4087),"",IF(ROUND(B4087,0)=ROUND(G4087,0),"Pass","Fail"))</f>
        <v>Pass</v>
      </c>
      <c r="B4087">
        <f t="shared" si="165"/>
        <v>17.360000610351563</v>
      </c>
      <c r="C4087">
        <v>40</v>
      </c>
      <c r="D4087">
        <v>90</v>
      </c>
      <c r="E4087">
        <v>0</v>
      </c>
      <c r="F4087">
        <v>0</v>
      </c>
      <c r="G4087">
        <v>17.36</v>
      </c>
    </row>
    <row r="4088" spans="1:7" x14ac:dyDescent="0.3">
      <c r="A4088" t="str">
        <f>IF(ISBLANK(B4088),"",IF(ROUND(B4088,0)=ROUND(G4088,0),"Pass","Fail"))</f>
        <v>Pass</v>
      </c>
      <c r="B4088">
        <f t="shared" si="165"/>
        <v>17.360000610351563</v>
      </c>
      <c r="C4088">
        <v>40</v>
      </c>
      <c r="D4088">
        <v>90</v>
      </c>
      <c r="E4088">
        <v>0</v>
      </c>
      <c r="F4088">
        <v>8</v>
      </c>
      <c r="G4088">
        <v>17.36</v>
      </c>
    </row>
    <row r="4089" spans="1:7" x14ac:dyDescent="0.3">
      <c r="A4089" t="str">
        <f>IF(ISBLANK(B4089),"",IF(ROUND(B4089,0)=ROUND(G4089,0),"Pass","Fail"))</f>
        <v>Pass</v>
      </c>
      <c r="B4089">
        <f t="shared" si="165"/>
        <v>17.360000610351563</v>
      </c>
      <c r="C4089">
        <v>40</v>
      </c>
      <c r="D4089">
        <v>90</v>
      </c>
      <c r="E4089">
        <v>0</v>
      </c>
      <c r="F4089">
        <v>16</v>
      </c>
      <c r="G4089">
        <v>17.36</v>
      </c>
    </row>
    <row r="4090" spans="1:7" x14ac:dyDescent="0.3">
      <c r="A4090" t="str">
        <f>IF(ISBLANK(B4090),"",IF(ROUND(B4090,0)=ROUND(G4090,0),"Pass","Fail"))</f>
        <v>Pass</v>
      </c>
      <c r="B4090">
        <f t="shared" si="165"/>
        <v>17.360000610351563</v>
      </c>
      <c r="C4090">
        <v>40</v>
      </c>
      <c r="D4090">
        <v>90</v>
      </c>
      <c r="E4090">
        <v>0</v>
      </c>
      <c r="F4090">
        <v>24</v>
      </c>
      <c r="G4090">
        <v>17.36</v>
      </c>
    </row>
    <row r="4091" spans="1:7" x14ac:dyDescent="0.3">
      <c r="A4091" t="str">
        <f>IF(ISBLANK(B4091),"",IF(ROUND(B4091,0)=ROUND(G4091,0),"Pass","Fail"))</f>
        <v>Pass</v>
      </c>
      <c r="B4091">
        <f t="shared" si="165"/>
        <v>17.360000610351563</v>
      </c>
      <c r="C4091">
        <v>40</v>
      </c>
      <c r="D4091">
        <v>90</v>
      </c>
      <c r="E4091">
        <v>0</v>
      </c>
      <c r="F4091">
        <v>32</v>
      </c>
      <c r="G4091">
        <v>17.36</v>
      </c>
    </row>
    <row r="4092" spans="1:7" x14ac:dyDescent="0.3">
      <c r="A4092" t="str">
        <f>IF(ISBLANK(B4092),"",IF(ROUND(B4092,0)=ROUND(G4092,0),"Pass","Fail"))</f>
        <v>Pass</v>
      </c>
      <c r="B4092">
        <f t="shared" si="165"/>
        <v>17.360000610351563</v>
      </c>
      <c r="C4092">
        <v>40</v>
      </c>
      <c r="D4092">
        <v>90</v>
      </c>
      <c r="E4092">
        <v>0</v>
      </c>
      <c r="F4092">
        <v>40</v>
      </c>
      <c r="G4092">
        <v>17.36</v>
      </c>
    </row>
    <row r="4093" spans="1:7" x14ac:dyDescent="0.3">
      <c r="A4093" t="str">
        <f>IF(ISBLANK(B4093),"",IF(ROUND(B4093,0)=ROUND(G4093,0),"Pass","Fail"))</f>
        <v>Pass</v>
      </c>
      <c r="B4093">
        <f t="shared" si="165"/>
        <v>17.360000610351563</v>
      </c>
      <c r="C4093">
        <v>40</v>
      </c>
      <c r="D4093">
        <v>90</v>
      </c>
      <c r="E4093">
        <v>0</v>
      </c>
      <c r="F4093">
        <v>48</v>
      </c>
      <c r="G4093">
        <v>17.36</v>
      </c>
    </row>
    <row r="4094" spans="1:7" x14ac:dyDescent="0.3">
      <c r="A4094" t="str">
        <f>IF(ISBLANK(B4094),"",IF(ROUND(B4094,0)=ROUND(G4094,0),"Pass","Fail"))</f>
        <v>Pass</v>
      </c>
      <c r="B4094">
        <f t="shared" si="165"/>
        <v>84.487998962402344</v>
      </c>
      <c r="C4094">
        <v>40</v>
      </c>
      <c r="D4094">
        <v>90</v>
      </c>
      <c r="E4094">
        <v>10</v>
      </c>
      <c r="F4094">
        <v>0</v>
      </c>
      <c r="G4094">
        <v>84.487999999998294</v>
      </c>
    </row>
    <row r="4095" spans="1:7" x14ac:dyDescent="0.3">
      <c r="A4095" t="str">
        <f>IF(ISBLANK(B4095),"",IF(ROUND(B4095,0)=ROUND(G4095,0),"Pass","Fail"))</f>
        <v>Pass</v>
      </c>
      <c r="B4095">
        <f t="shared" si="165"/>
        <v>51.151229858398438</v>
      </c>
      <c r="C4095">
        <v>40</v>
      </c>
      <c r="D4095">
        <v>90</v>
      </c>
      <c r="E4095">
        <v>10</v>
      </c>
      <c r="F4095">
        <v>8</v>
      </c>
      <c r="G4095">
        <v>51.151228080722198</v>
      </c>
    </row>
    <row r="4096" spans="1:7" x14ac:dyDescent="0.3">
      <c r="A4096" t="str">
        <f>IF(ISBLANK(B4096),"",IF(ROUND(B4096,0)=ROUND(G4096,0),"Pass","Fail"))</f>
        <v>Pass</v>
      </c>
      <c r="B4096">
        <f t="shared" si="165"/>
        <v>34.3699951171875</v>
      </c>
      <c r="C4096">
        <v>40</v>
      </c>
      <c r="D4096">
        <v>90</v>
      </c>
      <c r="E4096">
        <v>10</v>
      </c>
      <c r="F4096">
        <v>16</v>
      </c>
      <c r="G4096">
        <v>34.369997247101303</v>
      </c>
    </row>
    <row r="4097" spans="1:7" x14ac:dyDescent="0.3">
      <c r="A4097" t="str">
        <f>IF(ISBLANK(B4097),"",IF(ROUND(B4097,0)=ROUND(G4097,0),"Pass","Fail"))</f>
        <v>Pass</v>
      </c>
      <c r="B4097">
        <f t="shared" si="165"/>
        <v>25.922576904296875</v>
      </c>
      <c r="C4097">
        <v>40</v>
      </c>
      <c r="D4097">
        <v>90</v>
      </c>
      <c r="E4097">
        <v>10</v>
      </c>
      <c r="F4097">
        <v>24</v>
      </c>
      <c r="G4097">
        <v>25.922577413736001</v>
      </c>
    </row>
    <row r="4098" spans="1:7" x14ac:dyDescent="0.3">
      <c r="A4098" t="str">
        <f>IF(ISBLANK(B4098),"",IF(ROUND(B4098,0)=ROUND(G4098,0),"Pass","Fail"))</f>
        <v>Pass</v>
      </c>
      <c r="B4098">
        <f t="shared" si="165"/>
        <v>21.670272827148438</v>
      </c>
      <c r="C4098">
        <v>40</v>
      </c>
      <c r="D4098">
        <v>90</v>
      </c>
      <c r="E4098">
        <v>10</v>
      </c>
      <c r="F4098">
        <v>32</v>
      </c>
      <c r="G4098">
        <v>21.670273005994499</v>
      </c>
    </row>
    <row r="4099" spans="1:7" x14ac:dyDescent="0.3">
      <c r="A4099" t="str">
        <f>IF(ISBLANK(B4099),"",IF(ROUND(B4099,0)=ROUND(G4099,0),"Pass","Fail"))</f>
        <v>Pass</v>
      </c>
      <c r="B4099">
        <f t="shared" si="165"/>
        <v>19.529727935791016</v>
      </c>
      <c r="C4099">
        <v>40</v>
      </c>
      <c r="D4099">
        <v>90</v>
      </c>
      <c r="E4099">
        <v>10</v>
      </c>
      <c r="F4099">
        <v>40</v>
      </c>
      <c r="G4099">
        <v>19.529726764326998</v>
      </c>
    </row>
    <row r="4100" spans="1:7" x14ac:dyDescent="0.3">
      <c r="A4100" t="str">
        <f>IF(ISBLANK(B4100),"",IF(ROUND(B4100,0)=ROUND(G4100,0),"Pass","Fail"))</f>
        <v>Pass</v>
      </c>
      <c r="B4100">
        <f t="shared" si="165"/>
        <v>18.45220947265625</v>
      </c>
      <c r="C4100">
        <v>40</v>
      </c>
      <c r="D4100">
        <v>90</v>
      </c>
      <c r="E4100">
        <v>10</v>
      </c>
      <c r="F4100">
        <v>48</v>
      </c>
      <c r="G4100">
        <v>18.452207900819602</v>
      </c>
    </row>
    <row r="4101" spans="1:7" x14ac:dyDescent="0.3">
      <c r="A4101" t="str">
        <f>IF(ISBLANK(B4101),"",IF(ROUND(B4101,0)=ROUND(G4101,0),"Pass","Fail"))</f>
        <v>Pass</v>
      </c>
      <c r="B4101">
        <f t="shared" si="165"/>
        <v>84.487998962402344</v>
      </c>
      <c r="C4101">
        <v>40</v>
      </c>
      <c r="D4101">
        <v>90</v>
      </c>
      <c r="E4101">
        <v>20</v>
      </c>
      <c r="F4101">
        <v>0</v>
      </c>
      <c r="G4101">
        <v>84.488</v>
      </c>
    </row>
    <row r="4102" spans="1:7" x14ac:dyDescent="0.3">
      <c r="A4102" t="str">
        <f>IF(ISBLANK(B4102),"",IF(ROUND(B4102,0)=ROUND(G4102,0),"Pass","Fail"))</f>
        <v>Pass</v>
      </c>
      <c r="B4102">
        <f t="shared" si="165"/>
        <v>51.151229858398438</v>
      </c>
      <c r="C4102">
        <v>40</v>
      </c>
      <c r="D4102">
        <v>90</v>
      </c>
      <c r="E4102">
        <v>20</v>
      </c>
      <c r="F4102">
        <v>8</v>
      </c>
      <c r="G4102">
        <v>51.151228080723001</v>
      </c>
    </row>
    <row r="4103" spans="1:7" x14ac:dyDescent="0.3">
      <c r="A4103" t="str">
        <f>IF(ISBLANK(B4103),"",IF(ROUND(B4103,0)=ROUND(G4103,0),"Pass","Fail"))</f>
        <v>Pass</v>
      </c>
      <c r="B4103">
        <f t="shared" ref="B4103:B4166" si="166">FMC_heath(C4103,D4103,E4103,F4103)</f>
        <v>34.3699951171875</v>
      </c>
      <c r="C4103">
        <v>40</v>
      </c>
      <c r="D4103">
        <v>90</v>
      </c>
      <c r="E4103">
        <v>20</v>
      </c>
      <c r="F4103">
        <v>16</v>
      </c>
      <c r="G4103">
        <v>34.369997247101701</v>
      </c>
    </row>
    <row r="4104" spans="1:7" x14ac:dyDescent="0.3">
      <c r="A4104" t="str">
        <f>IF(ISBLANK(B4104),"",IF(ROUND(B4104,0)=ROUND(G4104,0),"Pass","Fail"))</f>
        <v>Pass</v>
      </c>
      <c r="B4104">
        <f t="shared" si="166"/>
        <v>25.922576904296875</v>
      </c>
      <c r="C4104">
        <v>40</v>
      </c>
      <c r="D4104">
        <v>90</v>
      </c>
      <c r="E4104">
        <v>20</v>
      </c>
      <c r="F4104">
        <v>24</v>
      </c>
      <c r="G4104">
        <v>25.9225774137362</v>
      </c>
    </row>
    <row r="4105" spans="1:7" x14ac:dyDescent="0.3">
      <c r="A4105" t="str">
        <f>IF(ISBLANK(B4105),"",IF(ROUND(B4105,0)=ROUND(G4105,0),"Pass","Fail"))</f>
        <v>Pass</v>
      </c>
      <c r="B4105">
        <f t="shared" si="166"/>
        <v>21.670272827148438</v>
      </c>
      <c r="C4105">
        <v>40</v>
      </c>
      <c r="D4105">
        <v>90</v>
      </c>
      <c r="E4105">
        <v>20</v>
      </c>
      <c r="F4105">
        <v>32</v>
      </c>
      <c r="G4105">
        <v>21.670273005994598</v>
      </c>
    </row>
    <row r="4106" spans="1:7" x14ac:dyDescent="0.3">
      <c r="A4106" t="str">
        <f>IF(ISBLANK(B4106),"",IF(ROUND(B4106,0)=ROUND(G4106,0),"Pass","Fail"))</f>
        <v>Pass</v>
      </c>
      <c r="B4106">
        <f t="shared" si="166"/>
        <v>19.529727935791016</v>
      </c>
      <c r="C4106">
        <v>40</v>
      </c>
      <c r="D4106">
        <v>90</v>
      </c>
      <c r="E4106">
        <v>20</v>
      </c>
      <c r="F4106">
        <v>40</v>
      </c>
      <c r="G4106">
        <v>19.529726764327101</v>
      </c>
    </row>
    <row r="4107" spans="1:7" x14ac:dyDescent="0.3">
      <c r="A4107" t="str">
        <f>IF(ISBLANK(B4107),"",IF(ROUND(B4107,0)=ROUND(G4107,0),"Pass","Fail"))</f>
        <v>Pass</v>
      </c>
      <c r="B4107">
        <f t="shared" si="166"/>
        <v>18.45220947265625</v>
      </c>
      <c r="C4107">
        <v>40</v>
      </c>
      <c r="D4107">
        <v>90</v>
      </c>
      <c r="E4107">
        <v>20</v>
      </c>
      <c r="F4107">
        <v>48</v>
      </c>
      <c r="G4107">
        <v>18.452207900819701</v>
      </c>
    </row>
    <row r="4108" spans="1:7" x14ac:dyDescent="0.3">
      <c r="A4108" t="str">
        <f>IF(ISBLANK(B4108),"",IF(ROUND(B4108,0)=ROUND(G4108,0),"Pass","Fail"))</f>
        <v>Pass</v>
      </c>
      <c r="B4108">
        <f t="shared" si="166"/>
        <v>84.487998962402344</v>
      </c>
      <c r="C4108">
        <v>40</v>
      </c>
      <c r="D4108">
        <v>90</v>
      </c>
      <c r="E4108">
        <v>30</v>
      </c>
      <c r="F4108">
        <v>0</v>
      </c>
      <c r="G4108">
        <v>84.488</v>
      </c>
    </row>
    <row r="4109" spans="1:7" x14ac:dyDescent="0.3">
      <c r="A4109" t="str">
        <f>IF(ISBLANK(B4109),"",IF(ROUND(B4109,0)=ROUND(G4109,0),"Pass","Fail"))</f>
        <v>Pass</v>
      </c>
      <c r="B4109">
        <f t="shared" si="166"/>
        <v>51.151229858398438</v>
      </c>
      <c r="C4109">
        <v>40</v>
      </c>
      <c r="D4109">
        <v>90</v>
      </c>
      <c r="E4109">
        <v>30</v>
      </c>
      <c r="F4109">
        <v>8</v>
      </c>
      <c r="G4109">
        <v>51.151228080723001</v>
      </c>
    </row>
    <row r="4110" spans="1:7" x14ac:dyDescent="0.3">
      <c r="A4110" t="str">
        <f>IF(ISBLANK(B4110),"",IF(ROUND(B4110,0)=ROUND(G4110,0),"Pass","Fail"))</f>
        <v>Pass</v>
      </c>
      <c r="B4110">
        <f t="shared" si="166"/>
        <v>34.3699951171875</v>
      </c>
      <c r="C4110">
        <v>40</v>
      </c>
      <c r="D4110">
        <v>90</v>
      </c>
      <c r="E4110">
        <v>30</v>
      </c>
      <c r="F4110">
        <v>16</v>
      </c>
      <c r="G4110">
        <v>34.369997247101701</v>
      </c>
    </row>
    <row r="4111" spans="1:7" x14ac:dyDescent="0.3">
      <c r="A4111" t="str">
        <f>IF(ISBLANK(B4111),"",IF(ROUND(B4111,0)=ROUND(G4111,0),"Pass","Fail"))</f>
        <v>Pass</v>
      </c>
      <c r="B4111">
        <f t="shared" si="166"/>
        <v>25.922576904296875</v>
      </c>
      <c r="C4111">
        <v>40</v>
      </c>
      <c r="D4111">
        <v>90</v>
      </c>
      <c r="E4111">
        <v>30</v>
      </c>
      <c r="F4111">
        <v>24</v>
      </c>
      <c r="G4111">
        <v>25.9225774137362</v>
      </c>
    </row>
    <row r="4112" spans="1:7" x14ac:dyDescent="0.3">
      <c r="A4112" t="str">
        <f>IF(ISBLANK(B4112),"",IF(ROUND(B4112,0)=ROUND(G4112,0),"Pass","Fail"))</f>
        <v>Pass</v>
      </c>
      <c r="B4112">
        <f t="shared" si="166"/>
        <v>21.670272827148438</v>
      </c>
      <c r="C4112">
        <v>40</v>
      </c>
      <c r="D4112">
        <v>90</v>
      </c>
      <c r="E4112">
        <v>30</v>
      </c>
      <c r="F4112">
        <v>32</v>
      </c>
      <c r="G4112">
        <v>21.670273005994598</v>
      </c>
    </row>
    <row r="4113" spans="1:7" x14ac:dyDescent="0.3">
      <c r="A4113" t="str">
        <f>IF(ISBLANK(B4113),"",IF(ROUND(B4113,0)=ROUND(G4113,0),"Pass","Fail"))</f>
        <v>Pass</v>
      </c>
      <c r="B4113">
        <f t="shared" si="166"/>
        <v>19.529727935791016</v>
      </c>
      <c r="C4113">
        <v>40</v>
      </c>
      <c r="D4113">
        <v>90</v>
      </c>
      <c r="E4113">
        <v>30</v>
      </c>
      <c r="F4113">
        <v>40</v>
      </c>
      <c r="G4113">
        <v>19.529726764327101</v>
      </c>
    </row>
    <row r="4114" spans="1:7" x14ac:dyDescent="0.3">
      <c r="A4114" t="str">
        <f>IF(ISBLANK(B4114),"",IF(ROUND(B4114,0)=ROUND(G4114,0),"Pass","Fail"))</f>
        <v>Pass</v>
      </c>
      <c r="B4114">
        <f t="shared" si="166"/>
        <v>18.45220947265625</v>
      </c>
      <c r="C4114">
        <v>40</v>
      </c>
      <c r="D4114">
        <v>90</v>
      </c>
      <c r="E4114">
        <v>30</v>
      </c>
      <c r="F4114">
        <v>48</v>
      </c>
      <c r="G4114">
        <v>18.452207900819701</v>
      </c>
    </row>
    <row r="4115" spans="1:7" x14ac:dyDescent="0.3">
      <c r="A4115" t="str">
        <f>IF(ISBLANK(B4115),"",IF(ROUND(B4115,0)=ROUND(G4115,0),"Pass","Fail"))</f>
        <v>Pass</v>
      </c>
      <c r="B4115">
        <f t="shared" si="166"/>
        <v>84.487998962402344</v>
      </c>
      <c r="C4115">
        <v>40</v>
      </c>
      <c r="D4115">
        <v>90</v>
      </c>
      <c r="E4115">
        <v>40</v>
      </c>
      <c r="F4115">
        <v>0</v>
      </c>
      <c r="G4115">
        <v>84.488</v>
      </c>
    </row>
    <row r="4116" spans="1:7" x14ac:dyDescent="0.3">
      <c r="A4116" t="str">
        <f>IF(ISBLANK(B4116),"",IF(ROUND(B4116,0)=ROUND(G4116,0),"Pass","Fail"))</f>
        <v>Pass</v>
      </c>
      <c r="B4116">
        <f t="shared" si="166"/>
        <v>51.151229858398438</v>
      </c>
      <c r="C4116">
        <v>40</v>
      </c>
      <c r="D4116">
        <v>90</v>
      </c>
      <c r="E4116">
        <v>40</v>
      </c>
      <c r="F4116">
        <v>8</v>
      </c>
      <c r="G4116">
        <v>51.151228080723001</v>
      </c>
    </row>
    <row r="4117" spans="1:7" x14ac:dyDescent="0.3">
      <c r="A4117" t="str">
        <f>IF(ISBLANK(B4117),"",IF(ROUND(B4117,0)=ROUND(G4117,0),"Pass","Fail"))</f>
        <v>Pass</v>
      </c>
      <c r="B4117">
        <f t="shared" si="166"/>
        <v>34.3699951171875</v>
      </c>
      <c r="C4117">
        <v>40</v>
      </c>
      <c r="D4117">
        <v>90</v>
      </c>
      <c r="E4117">
        <v>40</v>
      </c>
      <c r="F4117">
        <v>16</v>
      </c>
      <c r="G4117">
        <v>34.369997247101701</v>
      </c>
    </row>
    <row r="4118" spans="1:7" x14ac:dyDescent="0.3">
      <c r="A4118" t="str">
        <f>IF(ISBLANK(B4118),"",IF(ROUND(B4118,0)=ROUND(G4118,0),"Pass","Fail"))</f>
        <v>Pass</v>
      </c>
      <c r="B4118">
        <f t="shared" si="166"/>
        <v>25.922576904296875</v>
      </c>
      <c r="C4118">
        <v>40</v>
      </c>
      <c r="D4118">
        <v>90</v>
      </c>
      <c r="E4118">
        <v>40</v>
      </c>
      <c r="F4118">
        <v>24</v>
      </c>
      <c r="G4118">
        <v>25.9225774137362</v>
      </c>
    </row>
    <row r="4119" spans="1:7" x14ac:dyDescent="0.3">
      <c r="A4119" t="str">
        <f>IF(ISBLANK(B4119),"",IF(ROUND(B4119,0)=ROUND(G4119,0),"Pass","Fail"))</f>
        <v>Pass</v>
      </c>
      <c r="B4119">
        <f t="shared" si="166"/>
        <v>21.670272827148438</v>
      </c>
      <c r="C4119">
        <v>40</v>
      </c>
      <c r="D4119">
        <v>90</v>
      </c>
      <c r="E4119">
        <v>40</v>
      </c>
      <c r="F4119">
        <v>32</v>
      </c>
      <c r="G4119">
        <v>21.670273005994598</v>
      </c>
    </row>
    <row r="4120" spans="1:7" x14ac:dyDescent="0.3">
      <c r="A4120" t="str">
        <f>IF(ISBLANK(B4120),"",IF(ROUND(B4120,0)=ROUND(G4120,0),"Pass","Fail"))</f>
        <v>Pass</v>
      </c>
      <c r="B4120">
        <f t="shared" si="166"/>
        <v>19.529727935791016</v>
      </c>
      <c r="C4120">
        <v>40</v>
      </c>
      <c r="D4120">
        <v>90</v>
      </c>
      <c r="E4120">
        <v>40</v>
      </c>
      <c r="F4120">
        <v>40</v>
      </c>
      <c r="G4120">
        <v>19.529726764327101</v>
      </c>
    </row>
    <row r="4121" spans="1:7" x14ac:dyDescent="0.3">
      <c r="A4121" t="str">
        <f>IF(ISBLANK(B4121),"",IF(ROUND(B4121,0)=ROUND(G4121,0),"Pass","Fail"))</f>
        <v>Pass</v>
      </c>
      <c r="B4121">
        <f t="shared" si="166"/>
        <v>18.45220947265625</v>
      </c>
      <c r="C4121">
        <v>40</v>
      </c>
      <c r="D4121">
        <v>90</v>
      </c>
      <c r="E4121">
        <v>40</v>
      </c>
      <c r="F4121">
        <v>48</v>
      </c>
      <c r="G4121">
        <v>18.452207900819701</v>
      </c>
    </row>
    <row r="4122" spans="1:7" x14ac:dyDescent="0.3">
      <c r="A4122" t="str">
        <f>IF(ISBLANK(B4122),"",IF(ROUND(B4122,0)=ROUND(G4122,0),"Pass","Fail"))</f>
        <v>Pass</v>
      </c>
      <c r="B4122">
        <f t="shared" si="166"/>
        <v>84.487998962402344</v>
      </c>
      <c r="C4122">
        <v>40</v>
      </c>
      <c r="D4122">
        <v>90</v>
      </c>
      <c r="E4122">
        <v>50</v>
      </c>
      <c r="F4122">
        <v>0</v>
      </c>
      <c r="G4122">
        <v>84.488</v>
      </c>
    </row>
    <row r="4123" spans="1:7" x14ac:dyDescent="0.3">
      <c r="A4123" t="str">
        <f>IF(ISBLANK(B4123),"",IF(ROUND(B4123,0)=ROUND(G4123,0),"Pass","Fail"))</f>
        <v>Pass</v>
      </c>
      <c r="B4123">
        <f t="shared" si="166"/>
        <v>51.151229858398438</v>
      </c>
      <c r="C4123">
        <v>40</v>
      </c>
      <c r="D4123">
        <v>90</v>
      </c>
      <c r="E4123">
        <v>50</v>
      </c>
      <c r="F4123">
        <v>8</v>
      </c>
      <c r="G4123">
        <v>51.151228080723001</v>
      </c>
    </row>
    <row r="4124" spans="1:7" x14ac:dyDescent="0.3">
      <c r="A4124" t="str">
        <f>IF(ISBLANK(B4124),"",IF(ROUND(B4124,0)=ROUND(G4124,0),"Pass","Fail"))</f>
        <v>Pass</v>
      </c>
      <c r="B4124">
        <f t="shared" si="166"/>
        <v>34.3699951171875</v>
      </c>
      <c r="C4124">
        <v>40</v>
      </c>
      <c r="D4124">
        <v>90</v>
      </c>
      <c r="E4124">
        <v>50</v>
      </c>
      <c r="F4124">
        <v>16</v>
      </c>
      <c r="G4124">
        <v>34.369997247101701</v>
      </c>
    </row>
    <row r="4125" spans="1:7" x14ac:dyDescent="0.3">
      <c r="A4125" t="str">
        <f>IF(ISBLANK(B4125),"",IF(ROUND(B4125,0)=ROUND(G4125,0),"Pass","Fail"))</f>
        <v>Pass</v>
      </c>
      <c r="B4125">
        <f t="shared" si="166"/>
        <v>25.922576904296875</v>
      </c>
      <c r="C4125">
        <v>40</v>
      </c>
      <c r="D4125">
        <v>90</v>
      </c>
      <c r="E4125">
        <v>50</v>
      </c>
      <c r="F4125">
        <v>24</v>
      </c>
      <c r="G4125">
        <v>25.9225774137362</v>
      </c>
    </row>
    <row r="4126" spans="1:7" x14ac:dyDescent="0.3">
      <c r="A4126" t="str">
        <f>IF(ISBLANK(B4126),"",IF(ROUND(B4126,0)=ROUND(G4126,0),"Pass","Fail"))</f>
        <v>Pass</v>
      </c>
      <c r="B4126">
        <f t="shared" si="166"/>
        <v>21.670272827148438</v>
      </c>
      <c r="C4126">
        <v>40</v>
      </c>
      <c r="D4126">
        <v>90</v>
      </c>
      <c r="E4126">
        <v>50</v>
      </c>
      <c r="F4126">
        <v>32</v>
      </c>
      <c r="G4126">
        <v>21.670273005994598</v>
      </c>
    </row>
    <row r="4127" spans="1:7" x14ac:dyDescent="0.3">
      <c r="A4127" t="str">
        <f>IF(ISBLANK(B4127),"",IF(ROUND(B4127,0)=ROUND(G4127,0),"Pass","Fail"))</f>
        <v>Pass</v>
      </c>
      <c r="B4127">
        <f t="shared" si="166"/>
        <v>19.529727935791016</v>
      </c>
      <c r="C4127">
        <v>40</v>
      </c>
      <c r="D4127">
        <v>90</v>
      </c>
      <c r="E4127">
        <v>50</v>
      </c>
      <c r="F4127">
        <v>40</v>
      </c>
      <c r="G4127">
        <v>19.529726764327101</v>
      </c>
    </row>
    <row r="4128" spans="1:7" x14ac:dyDescent="0.3">
      <c r="A4128" t="str">
        <f>IF(ISBLANK(B4128),"",IF(ROUND(B4128,0)=ROUND(G4128,0),"Pass","Fail"))</f>
        <v>Pass</v>
      </c>
      <c r="B4128">
        <f t="shared" si="166"/>
        <v>18.45220947265625</v>
      </c>
      <c r="C4128">
        <v>40</v>
      </c>
      <c r="D4128">
        <v>90</v>
      </c>
      <c r="E4128">
        <v>50</v>
      </c>
      <c r="F4128">
        <v>48</v>
      </c>
      <c r="G4128">
        <v>18.452207900819701</v>
      </c>
    </row>
    <row r="4129" spans="1:7" x14ac:dyDescent="0.3">
      <c r="A4129" t="str">
        <f>IF(ISBLANK(B4129),"",IF(ROUND(B4129,0)=ROUND(G4129,0),"Pass","Fail"))</f>
        <v>Pass</v>
      </c>
      <c r="B4129">
        <f t="shared" si="166"/>
        <v>84.487998962402344</v>
      </c>
      <c r="C4129">
        <v>40</v>
      </c>
      <c r="D4129">
        <v>90</v>
      </c>
      <c r="E4129">
        <v>60</v>
      </c>
      <c r="F4129">
        <v>0</v>
      </c>
      <c r="G4129">
        <v>84.488</v>
      </c>
    </row>
    <row r="4130" spans="1:7" x14ac:dyDescent="0.3">
      <c r="A4130" t="str">
        <f>IF(ISBLANK(B4130),"",IF(ROUND(B4130,0)=ROUND(G4130,0),"Pass","Fail"))</f>
        <v>Pass</v>
      </c>
      <c r="B4130">
        <f t="shared" si="166"/>
        <v>51.151229858398438</v>
      </c>
      <c r="C4130">
        <v>40</v>
      </c>
      <c r="D4130">
        <v>90</v>
      </c>
      <c r="E4130">
        <v>60</v>
      </c>
      <c r="F4130">
        <v>8</v>
      </c>
      <c r="G4130">
        <v>51.151228080723001</v>
      </c>
    </row>
    <row r="4131" spans="1:7" x14ac:dyDescent="0.3">
      <c r="A4131" t="str">
        <f>IF(ISBLANK(B4131),"",IF(ROUND(B4131,0)=ROUND(G4131,0),"Pass","Fail"))</f>
        <v>Pass</v>
      </c>
      <c r="B4131">
        <f t="shared" si="166"/>
        <v>34.3699951171875</v>
      </c>
      <c r="C4131">
        <v>40</v>
      </c>
      <c r="D4131">
        <v>90</v>
      </c>
      <c r="E4131">
        <v>60</v>
      </c>
      <c r="F4131">
        <v>16</v>
      </c>
      <c r="G4131">
        <v>34.369997247101701</v>
      </c>
    </row>
    <row r="4132" spans="1:7" x14ac:dyDescent="0.3">
      <c r="A4132" t="str">
        <f>IF(ISBLANK(B4132),"",IF(ROUND(B4132,0)=ROUND(G4132,0),"Pass","Fail"))</f>
        <v>Pass</v>
      </c>
      <c r="B4132">
        <f t="shared" si="166"/>
        <v>25.922576904296875</v>
      </c>
      <c r="C4132">
        <v>40</v>
      </c>
      <c r="D4132">
        <v>90</v>
      </c>
      <c r="E4132">
        <v>60</v>
      </c>
      <c r="F4132">
        <v>24</v>
      </c>
      <c r="G4132">
        <v>25.9225774137362</v>
      </c>
    </row>
    <row r="4133" spans="1:7" x14ac:dyDescent="0.3">
      <c r="A4133" t="str">
        <f>IF(ISBLANK(B4133),"",IF(ROUND(B4133,0)=ROUND(G4133,0),"Pass","Fail"))</f>
        <v>Pass</v>
      </c>
      <c r="B4133">
        <f t="shared" si="166"/>
        <v>21.670272827148438</v>
      </c>
      <c r="C4133">
        <v>40</v>
      </c>
      <c r="D4133">
        <v>90</v>
      </c>
      <c r="E4133">
        <v>60</v>
      </c>
      <c r="F4133">
        <v>32</v>
      </c>
      <c r="G4133">
        <v>21.670273005994598</v>
      </c>
    </row>
    <row r="4134" spans="1:7" x14ac:dyDescent="0.3">
      <c r="A4134" t="str">
        <f>IF(ISBLANK(B4134),"",IF(ROUND(B4134,0)=ROUND(G4134,0),"Pass","Fail"))</f>
        <v>Pass</v>
      </c>
      <c r="B4134">
        <f t="shared" si="166"/>
        <v>19.529727935791016</v>
      </c>
      <c r="C4134">
        <v>40</v>
      </c>
      <c r="D4134">
        <v>90</v>
      </c>
      <c r="E4134">
        <v>60</v>
      </c>
      <c r="F4134">
        <v>40</v>
      </c>
      <c r="G4134">
        <v>19.529726764327101</v>
      </c>
    </row>
    <row r="4135" spans="1:7" x14ac:dyDescent="0.3">
      <c r="A4135" t="str">
        <f>IF(ISBLANK(B4135),"",IF(ROUND(B4135,0)=ROUND(G4135,0),"Pass","Fail"))</f>
        <v>Pass</v>
      </c>
      <c r="B4135">
        <f t="shared" si="166"/>
        <v>18.45220947265625</v>
      </c>
      <c r="C4135">
        <v>40</v>
      </c>
      <c r="D4135">
        <v>90</v>
      </c>
      <c r="E4135">
        <v>60</v>
      </c>
      <c r="F4135">
        <v>48</v>
      </c>
      <c r="G4135">
        <v>18.452207900819701</v>
      </c>
    </row>
    <row r="4136" spans="1:7" x14ac:dyDescent="0.3">
      <c r="A4136" t="str">
        <f>IF(ISBLANK(B4136),"",IF(ROUND(B4136,0)=ROUND(G4136,0),"Pass","Fail"))</f>
        <v>Pass</v>
      </c>
      <c r="B4136">
        <f t="shared" si="166"/>
        <v>84.487998962402344</v>
      </c>
      <c r="C4136">
        <v>40</v>
      </c>
      <c r="D4136">
        <v>90</v>
      </c>
      <c r="E4136">
        <v>70</v>
      </c>
      <c r="F4136">
        <v>0</v>
      </c>
      <c r="G4136">
        <v>84.488</v>
      </c>
    </row>
    <row r="4137" spans="1:7" x14ac:dyDescent="0.3">
      <c r="A4137" t="str">
        <f>IF(ISBLANK(B4137),"",IF(ROUND(B4137,0)=ROUND(G4137,0),"Pass","Fail"))</f>
        <v>Pass</v>
      </c>
      <c r="B4137">
        <f t="shared" si="166"/>
        <v>51.151229858398438</v>
      </c>
      <c r="C4137">
        <v>40</v>
      </c>
      <c r="D4137">
        <v>90</v>
      </c>
      <c r="E4137">
        <v>70</v>
      </c>
      <c r="F4137">
        <v>8</v>
      </c>
      <c r="G4137">
        <v>51.151228080723001</v>
      </c>
    </row>
    <row r="4138" spans="1:7" x14ac:dyDescent="0.3">
      <c r="A4138" t="str">
        <f>IF(ISBLANK(B4138),"",IF(ROUND(B4138,0)=ROUND(G4138,0),"Pass","Fail"))</f>
        <v>Pass</v>
      </c>
      <c r="B4138">
        <f t="shared" si="166"/>
        <v>34.3699951171875</v>
      </c>
      <c r="C4138">
        <v>40</v>
      </c>
      <c r="D4138">
        <v>90</v>
      </c>
      <c r="E4138">
        <v>70</v>
      </c>
      <c r="F4138">
        <v>16</v>
      </c>
      <c r="G4138">
        <v>34.369997247101701</v>
      </c>
    </row>
    <row r="4139" spans="1:7" x14ac:dyDescent="0.3">
      <c r="A4139" t="str">
        <f>IF(ISBLANK(B4139),"",IF(ROUND(B4139,0)=ROUND(G4139,0),"Pass","Fail"))</f>
        <v>Pass</v>
      </c>
      <c r="B4139">
        <f t="shared" si="166"/>
        <v>25.922576904296875</v>
      </c>
      <c r="C4139">
        <v>40</v>
      </c>
      <c r="D4139">
        <v>90</v>
      </c>
      <c r="E4139">
        <v>70</v>
      </c>
      <c r="F4139">
        <v>24</v>
      </c>
      <c r="G4139">
        <v>25.9225774137362</v>
      </c>
    </row>
    <row r="4140" spans="1:7" x14ac:dyDescent="0.3">
      <c r="A4140" t="str">
        <f>IF(ISBLANK(B4140),"",IF(ROUND(B4140,0)=ROUND(G4140,0),"Pass","Fail"))</f>
        <v>Pass</v>
      </c>
      <c r="B4140">
        <f t="shared" si="166"/>
        <v>21.670272827148438</v>
      </c>
      <c r="C4140">
        <v>40</v>
      </c>
      <c r="D4140">
        <v>90</v>
      </c>
      <c r="E4140">
        <v>70</v>
      </c>
      <c r="F4140">
        <v>32</v>
      </c>
      <c r="G4140">
        <v>21.670273005994598</v>
      </c>
    </row>
    <row r="4141" spans="1:7" x14ac:dyDescent="0.3">
      <c r="A4141" t="str">
        <f>IF(ISBLANK(B4141),"",IF(ROUND(B4141,0)=ROUND(G4141,0),"Pass","Fail"))</f>
        <v>Pass</v>
      </c>
      <c r="B4141">
        <f t="shared" si="166"/>
        <v>19.529727935791016</v>
      </c>
      <c r="C4141">
        <v>40</v>
      </c>
      <c r="D4141">
        <v>90</v>
      </c>
      <c r="E4141">
        <v>70</v>
      </c>
      <c r="F4141">
        <v>40</v>
      </c>
      <c r="G4141">
        <v>19.529726764327101</v>
      </c>
    </row>
    <row r="4142" spans="1:7" x14ac:dyDescent="0.3">
      <c r="A4142" t="str">
        <f>IF(ISBLANK(B4142),"",IF(ROUND(B4142,0)=ROUND(G4142,0),"Pass","Fail"))</f>
        <v>Pass</v>
      </c>
      <c r="B4142">
        <f t="shared" si="166"/>
        <v>18.45220947265625</v>
      </c>
      <c r="C4142">
        <v>40</v>
      </c>
      <c r="D4142">
        <v>90</v>
      </c>
      <c r="E4142">
        <v>70</v>
      </c>
      <c r="F4142">
        <v>48</v>
      </c>
      <c r="G4142">
        <v>18.452207900819701</v>
      </c>
    </row>
    <row r="4143" spans="1:7" x14ac:dyDescent="0.3">
      <c r="A4143" t="str">
        <f>IF(ISBLANK(B4143),"",IF(ROUND(B4143,0)=ROUND(G4143,0),"Pass","Fail"))</f>
        <v>Pass</v>
      </c>
      <c r="B4143">
        <f t="shared" si="166"/>
        <v>84.487998962402344</v>
      </c>
      <c r="C4143">
        <v>40</v>
      </c>
      <c r="D4143">
        <v>90</v>
      </c>
      <c r="E4143">
        <v>80</v>
      </c>
      <c r="F4143">
        <v>0</v>
      </c>
      <c r="G4143">
        <v>84.488</v>
      </c>
    </row>
    <row r="4144" spans="1:7" x14ac:dyDescent="0.3">
      <c r="A4144" t="str">
        <f>IF(ISBLANK(B4144),"",IF(ROUND(B4144,0)=ROUND(G4144,0),"Pass","Fail"))</f>
        <v>Pass</v>
      </c>
      <c r="B4144">
        <f t="shared" si="166"/>
        <v>51.151229858398438</v>
      </c>
      <c r="C4144">
        <v>40</v>
      </c>
      <c r="D4144">
        <v>90</v>
      </c>
      <c r="E4144">
        <v>80</v>
      </c>
      <c r="F4144">
        <v>8</v>
      </c>
      <c r="G4144">
        <v>51.151228080723001</v>
      </c>
    </row>
    <row r="4145" spans="1:7" x14ac:dyDescent="0.3">
      <c r="A4145" t="str">
        <f>IF(ISBLANK(B4145),"",IF(ROUND(B4145,0)=ROUND(G4145,0),"Pass","Fail"))</f>
        <v>Pass</v>
      </c>
      <c r="B4145">
        <f t="shared" si="166"/>
        <v>34.3699951171875</v>
      </c>
      <c r="C4145">
        <v>40</v>
      </c>
      <c r="D4145">
        <v>90</v>
      </c>
      <c r="E4145">
        <v>80</v>
      </c>
      <c r="F4145">
        <v>16</v>
      </c>
      <c r="G4145">
        <v>34.369997247101701</v>
      </c>
    </row>
    <row r="4146" spans="1:7" x14ac:dyDescent="0.3">
      <c r="A4146" t="str">
        <f>IF(ISBLANK(B4146),"",IF(ROUND(B4146,0)=ROUND(G4146,0),"Pass","Fail"))</f>
        <v>Pass</v>
      </c>
      <c r="B4146">
        <f t="shared" si="166"/>
        <v>25.922576904296875</v>
      </c>
      <c r="C4146">
        <v>40</v>
      </c>
      <c r="D4146">
        <v>90</v>
      </c>
      <c r="E4146">
        <v>80</v>
      </c>
      <c r="F4146">
        <v>24</v>
      </c>
      <c r="G4146">
        <v>25.9225774137362</v>
      </c>
    </row>
    <row r="4147" spans="1:7" x14ac:dyDescent="0.3">
      <c r="A4147" t="str">
        <f>IF(ISBLANK(B4147),"",IF(ROUND(B4147,0)=ROUND(G4147,0),"Pass","Fail"))</f>
        <v>Pass</v>
      </c>
      <c r="B4147">
        <f t="shared" si="166"/>
        <v>21.670272827148438</v>
      </c>
      <c r="C4147">
        <v>40</v>
      </c>
      <c r="D4147">
        <v>90</v>
      </c>
      <c r="E4147">
        <v>80</v>
      </c>
      <c r="F4147">
        <v>32</v>
      </c>
      <c r="G4147">
        <v>21.670273005994598</v>
      </c>
    </row>
    <row r="4148" spans="1:7" x14ac:dyDescent="0.3">
      <c r="A4148" t="str">
        <f>IF(ISBLANK(B4148),"",IF(ROUND(B4148,0)=ROUND(G4148,0),"Pass","Fail"))</f>
        <v>Pass</v>
      </c>
      <c r="B4148">
        <f t="shared" si="166"/>
        <v>19.529727935791016</v>
      </c>
      <c r="C4148">
        <v>40</v>
      </c>
      <c r="D4148">
        <v>90</v>
      </c>
      <c r="E4148">
        <v>80</v>
      </c>
      <c r="F4148">
        <v>40</v>
      </c>
      <c r="G4148">
        <v>19.529726764327101</v>
      </c>
    </row>
    <row r="4149" spans="1:7" x14ac:dyDescent="0.3">
      <c r="A4149" t="str">
        <f>IF(ISBLANK(B4149),"",IF(ROUND(B4149,0)=ROUND(G4149,0),"Pass","Fail"))</f>
        <v>Pass</v>
      </c>
      <c r="B4149">
        <f t="shared" si="166"/>
        <v>18.45220947265625</v>
      </c>
      <c r="C4149">
        <v>40</v>
      </c>
      <c r="D4149">
        <v>90</v>
      </c>
      <c r="E4149">
        <v>80</v>
      </c>
      <c r="F4149">
        <v>48</v>
      </c>
      <c r="G4149">
        <v>18.452207900819701</v>
      </c>
    </row>
    <row r="4150" spans="1:7" x14ac:dyDescent="0.3">
      <c r="A4150" t="str">
        <f>IF(ISBLANK(B4150),"",IF(ROUND(B4150,0)=ROUND(G4150,0),"Pass","Fail"))</f>
        <v>Pass</v>
      </c>
      <c r="B4150">
        <f t="shared" si="166"/>
        <v>84.487998962402344</v>
      </c>
      <c r="C4150">
        <v>40</v>
      </c>
      <c r="D4150">
        <v>90</v>
      </c>
      <c r="E4150">
        <v>90</v>
      </c>
      <c r="F4150">
        <v>0</v>
      </c>
      <c r="G4150">
        <v>84.488</v>
      </c>
    </row>
    <row r="4151" spans="1:7" x14ac:dyDescent="0.3">
      <c r="A4151" t="str">
        <f>IF(ISBLANK(B4151),"",IF(ROUND(B4151,0)=ROUND(G4151,0),"Pass","Fail"))</f>
        <v>Pass</v>
      </c>
      <c r="B4151">
        <f t="shared" si="166"/>
        <v>51.151229858398438</v>
      </c>
      <c r="C4151">
        <v>40</v>
      </c>
      <c r="D4151">
        <v>90</v>
      </c>
      <c r="E4151">
        <v>90</v>
      </c>
      <c r="F4151">
        <v>8</v>
      </c>
      <c r="G4151">
        <v>51.151228080723001</v>
      </c>
    </row>
    <row r="4152" spans="1:7" x14ac:dyDescent="0.3">
      <c r="A4152" t="str">
        <f>IF(ISBLANK(B4152),"",IF(ROUND(B4152,0)=ROUND(G4152,0),"Pass","Fail"))</f>
        <v>Pass</v>
      </c>
      <c r="B4152">
        <f t="shared" si="166"/>
        <v>34.3699951171875</v>
      </c>
      <c r="C4152">
        <v>40</v>
      </c>
      <c r="D4152">
        <v>90</v>
      </c>
      <c r="E4152">
        <v>90</v>
      </c>
      <c r="F4152">
        <v>16</v>
      </c>
      <c r="G4152">
        <v>34.369997247101701</v>
      </c>
    </row>
    <row r="4153" spans="1:7" x14ac:dyDescent="0.3">
      <c r="A4153" t="str">
        <f>IF(ISBLANK(B4153),"",IF(ROUND(B4153,0)=ROUND(G4153,0),"Pass","Fail"))</f>
        <v>Pass</v>
      </c>
      <c r="B4153">
        <f t="shared" si="166"/>
        <v>25.922576904296875</v>
      </c>
      <c r="C4153">
        <v>40</v>
      </c>
      <c r="D4153">
        <v>90</v>
      </c>
      <c r="E4153">
        <v>90</v>
      </c>
      <c r="F4153">
        <v>24</v>
      </c>
      <c r="G4153">
        <v>25.9225774137362</v>
      </c>
    </row>
    <row r="4154" spans="1:7" x14ac:dyDescent="0.3">
      <c r="A4154" t="str">
        <f>IF(ISBLANK(B4154),"",IF(ROUND(B4154,0)=ROUND(G4154,0),"Pass","Fail"))</f>
        <v>Pass</v>
      </c>
      <c r="B4154">
        <f t="shared" si="166"/>
        <v>21.670272827148438</v>
      </c>
      <c r="C4154">
        <v>40</v>
      </c>
      <c r="D4154">
        <v>90</v>
      </c>
      <c r="E4154">
        <v>90</v>
      </c>
      <c r="F4154">
        <v>32</v>
      </c>
      <c r="G4154">
        <v>21.670273005994598</v>
      </c>
    </row>
    <row r="4155" spans="1:7" x14ac:dyDescent="0.3">
      <c r="A4155" t="str">
        <f>IF(ISBLANK(B4155),"",IF(ROUND(B4155,0)=ROUND(G4155,0),"Pass","Fail"))</f>
        <v>Pass</v>
      </c>
      <c r="B4155">
        <f t="shared" si="166"/>
        <v>19.529727935791016</v>
      </c>
      <c r="C4155">
        <v>40</v>
      </c>
      <c r="D4155">
        <v>90</v>
      </c>
      <c r="E4155">
        <v>90</v>
      </c>
      <c r="F4155">
        <v>40</v>
      </c>
      <c r="G4155">
        <v>19.529726764327101</v>
      </c>
    </row>
    <row r="4156" spans="1:7" x14ac:dyDescent="0.3">
      <c r="A4156" t="str">
        <f>IF(ISBLANK(B4156),"",IF(ROUND(B4156,0)=ROUND(G4156,0),"Pass","Fail"))</f>
        <v>Pass</v>
      </c>
      <c r="B4156">
        <f t="shared" si="166"/>
        <v>18.45220947265625</v>
      </c>
      <c r="C4156">
        <v>40</v>
      </c>
      <c r="D4156">
        <v>90</v>
      </c>
      <c r="E4156">
        <v>90</v>
      </c>
      <c r="F4156">
        <v>48</v>
      </c>
      <c r="G4156">
        <v>18.452207900819701</v>
      </c>
    </row>
    <row r="4157" spans="1:7" x14ac:dyDescent="0.3">
      <c r="A4157" t="str">
        <f>IF(ISBLANK(B4157),"",IF(ROUND(B4157,0)=ROUND(G4157,0),"Pass","Fail"))</f>
        <v>Pass</v>
      </c>
      <c r="B4157">
        <f t="shared" si="166"/>
        <v>84.487998962402344</v>
      </c>
      <c r="C4157">
        <v>40</v>
      </c>
      <c r="D4157">
        <v>90</v>
      </c>
      <c r="E4157">
        <v>100</v>
      </c>
      <c r="F4157">
        <v>0</v>
      </c>
      <c r="G4157">
        <v>84.488</v>
      </c>
    </row>
    <row r="4158" spans="1:7" x14ac:dyDescent="0.3">
      <c r="A4158" t="str">
        <f>IF(ISBLANK(B4158),"",IF(ROUND(B4158,0)=ROUND(G4158,0),"Pass","Fail"))</f>
        <v>Pass</v>
      </c>
      <c r="B4158">
        <f t="shared" si="166"/>
        <v>51.151229858398438</v>
      </c>
      <c r="C4158">
        <v>40</v>
      </c>
      <c r="D4158">
        <v>90</v>
      </c>
      <c r="E4158">
        <v>100</v>
      </c>
      <c r="F4158">
        <v>8</v>
      </c>
      <c r="G4158">
        <v>51.151228080723001</v>
      </c>
    </row>
    <row r="4159" spans="1:7" x14ac:dyDescent="0.3">
      <c r="A4159" t="str">
        <f>IF(ISBLANK(B4159),"",IF(ROUND(B4159,0)=ROUND(G4159,0),"Pass","Fail"))</f>
        <v>Pass</v>
      </c>
      <c r="B4159">
        <f t="shared" si="166"/>
        <v>34.3699951171875</v>
      </c>
      <c r="C4159">
        <v>40</v>
      </c>
      <c r="D4159">
        <v>90</v>
      </c>
      <c r="E4159">
        <v>100</v>
      </c>
      <c r="F4159">
        <v>16</v>
      </c>
      <c r="G4159">
        <v>34.369997247101701</v>
      </c>
    </row>
    <row r="4160" spans="1:7" x14ac:dyDescent="0.3">
      <c r="A4160" t="str">
        <f>IF(ISBLANK(B4160),"",IF(ROUND(B4160,0)=ROUND(G4160,0),"Pass","Fail"))</f>
        <v>Pass</v>
      </c>
      <c r="B4160">
        <f t="shared" si="166"/>
        <v>25.922576904296875</v>
      </c>
      <c r="C4160">
        <v>40</v>
      </c>
      <c r="D4160">
        <v>90</v>
      </c>
      <c r="E4160">
        <v>100</v>
      </c>
      <c r="F4160">
        <v>24</v>
      </c>
      <c r="G4160">
        <v>25.9225774137362</v>
      </c>
    </row>
    <row r="4161" spans="1:7" x14ac:dyDescent="0.3">
      <c r="A4161" t="str">
        <f>IF(ISBLANK(B4161),"",IF(ROUND(B4161,0)=ROUND(G4161,0),"Pass","Fail"))</f>
        <v>Pass</v>
      </c>
      <c r="B4161">
        <f t="shared" si="166"/>
        <v>21.670272827148438</v>
      </c>
      <c r="C4161">
        <v>40</v>
      </c>
      <c r="D4161">
        <v>90</v>
      </c>
      <c r="E4161">
        <v>100</v>
      </c>
      <c r="F4161">
        <v>32</v>
      </c>
      <c r="G4161">
        <v>21.670273005994598</v>
      </c>
    </row>
    <row r="4162" spans="1:7" x14ac:dyDescent="0.3">
      <c r="A4162" t="str">
        <f>IF(ISBLANK(B4162),"",IF(ROUND(B4162,0)=ROUND(G4162,0),"Pass","Fail"))</f>
        <v>Pass</v>
      </c>
      <c r="B4162">
        <f t="shared" si="166"/>
        <v>19.529727935791016</v>
      </c>
      <c r="C4162">
        <v>40</v>
      </c>
      <c r="D4162">
        <v>90</v>
      </c>
      <c r="E4162">
        <v>100</v>
      </c>
      <c r="F4162">
        <v>40</v>
      </c>
      <c r="G4162">
        <v>19.529726764327101</v>
      </c>
    </row>
    <row r="4163" spans="1:7" x14ac:dyDescent="0.3">
      <c r="A4163" t="str">
        <f>IF(ISBLANK(B4163),"",IF(ROUND(B4163,0)=ROUND(G4163,0),"Pass","Fail"))</f>
        <v>Pass</v>
      </c>
      <c r="B4163">
        <f t="shared" si="166"/>
        <v>18.45220947265625</v>
      </c>
      <c r="C4163">
        <v>40</v>
      </c>
      <c r="D4163">
        <v>90</v>
      </c>
      <c r="E4163">
        <v>100</v>
      </c>
      <c r="F4163">
        <v>48</v>
      </c>
      <c r="G4163">
        <v>18.452207900819701</v>
      </c>
    </row>
    <row r="4164" spans="1:7" x14ac:dyDescent="0.3">
      <c r="A4164" t="str">
        <f>IF(ISBLANK(B4164),"",IF(ROUND(B4164,0)=ROUND(G4164,0),"Pass","Fail"))</f>
        <v>Pass</v>
      </c>
      <c r="B4164">
        <f t="shared" si="166"/>
        <v>18.969999313354492</v>
      </c>
      <c r="C4164">
        <v>40</v>
      </c>
      <c r="D4164">
        <v>100</v>
      </c>
      <c r="E4164">
        <v>0</v>
      </c>
      <c r="F4164">
        <v>0</v>
      </c>
      <c r="G4164">
        <v>18.97</v>
      </c>
    </row>
    <row r="4165" spans="1:7" x14ac:dyDescent="0.3">
      <c r="A4165" t="str">
        <f>IF(ISBLANK(B4165),"",IF(ROUND(B4165,0)=ROUND(G4165,0),"Pass","Fail"))</f>
        <v>Pass</v>
      </c>
      <c r="B4165">
        <f t="shared" si="166"/>
        <v>18.969999313354492</v>
      </c>
      <c r="C4165">
        <v>40</v>
      </c>
      <c r="D4165">
        <v>100</v>
      </c>
      <c r="E4165">
        <v>0</v>
      </c>
      <c r="F4165">
        <v>8</v>
      </c>
      <c r="G4165">
        <v>18.97</v>
      </c>
    </row>
    <row r="4166" spans="1:7" x14ac:dyDescent="0.3">
      <c r="A4166" t="str">
        <f>IF(ISBLANK(B4166),"",IF(ROUND(B4166,0)=ROUND(G4166,0),"Pass","Fail"))</f>
        <v>Pass</v>
      </c>
      <c r="B4166">
        <f t="shared" si="166"/>
        <v>18.969999313354492</v>
      </c>
      <c r="C4166">
        <v>40</v>
      </c>
      <c r="D4166">
        <v>100</v>
      </c>
      <c r="E4166">
        <v>0</v>
      </c>
      <c r="F4166">
        <v>16</v>
      </c>
      <c r="G4166">
        <v>18.97</v>
      </c>
    </row>
    <row r="4167" spans="1:7" x14ac:dyDescent="0.3">
      <c r="A4167" t="str">
        <f>IF(ISBLANK(B4167),"",IF(ROUND(B4167,0)=ROUND(G4167,0),"Pass","Fail"))</f>
        <v>Pass</v>
      </c>
      <c r="B4167">
        <f t="shared" ref="B4167:B4230" si="167">FMC_heath(C4167,D4167,E4167,F4167)</f>
        <v>18.969999313354492</v>
      </c>
      <c r="C4167">
        <v>40</v>
      </c>
      <c r="D4167">
        <v>100</v>
      </c>
      <c r="E4167">
        <v>0</v>
      </c>
      <c r="F4167">
        <v>24</v>
      </c>
      <c r="G4167">
        <v>18.97</v>
      </c>
    </row>
    <row r="4168" spans="1:7" x14ac:dyDescent="0.3">
      <c r="A4168" t="str">
        <f>IF(ISBLANK(B4168),"",IF(ROUND(B4168,0)=ROUND(G4168,0),"Pass","Fail"))</f>
        <v>Pass</v>
      </c>
      <c r="B4168">
        <f t="shared" si="167"/>
        <v>18.969999313354492</v>
      </c>
      <c r="C4168">
        <v>40</v>
      </c>
      <c r="D4168">
        <v>100</v>
      </c>
      <c r="E4168">
        <v>0</v>
      </c>
      <c r="F4168">
        <v>32</v>
      </c>
      <c r="G4168">
        <v>18.97</v>
      </c>
    </row>
    <row r="4169" spans="1:7" x14ac:dyDescent="0.3">
      <c r="A4169" t="str">
        <f>IF(ISBLANK(B4169),"",IF(ROUND(B4169,0)=ROUND(G4169,0),"Pass","Fail"))</f>
        <v>Pass</v>
      </c>
      <c r="B4169">
        <f t="shared" si="167"/>
        <v>18.969999313354492</v>
      </c>
      <c r="C4169">
        <v>40</v>
      </c>
      <c r="D4169">
        <v>100</v>
      </c>
      <c r="E4169">
        <v>0</v>
      </c>
      <c r="F4169">
        <v>40</v>
      </c>
      <c r="G4169">
        <v>18.97</v>
      </c>
    </row>
    <row r="4170" spans="1:7" x14ac:dyDescent="0.3">
      <c r="A4170" t="str">
        <f>IF(ISBLANK(B4170),"",IF(ROUND(B4170,0)=ROUND(G4170,0),"Pass","Fail"))</f>
        <v>Pass</v>
      </c>
      <c r="B4170">
        <f t="shared" si="167"/>
        <v>18.969999313354492</v>
      </c>
      <c r="C4170">
        <v>40</v>
      </c>
      <c r="D4170">
        <v>100</v>
      </c>
      <c r="E4170">
        <v>0</v>
      </c>
      <c r="F4170">
        <v>48</v>
      </c>
      <c r="G4170">
        <v>18.97</v>
      </c>
    </row>
    <row r="4171" spans="1:7" x14ac:dyDescent="0.3">
      <c r="A4171" t="str">
        <f>IF(ISBLANK(B4171),"",IF(ROUND(B4171,0)=ROUND(G4171,0),"Pass","Fail"))</f>
        <v>Pass</v>
      </c>
      <c r="B4171">
        <f t="shared" si="167"/>
        <v>86.097999572753906</v>
      </c>
      <c r="C4171">
        <v>40</v>
      </c>
      <c r="D4171">
        <v>100</v>
      </c>
      <c r="E4171">
        <v>10</v>
      </c>
      <c r="F4171">
        <v>0</v>
      </c>
      <c r="G4171">
        <v>86.097999999998294</v>
      </c>
    </row>
    <row r="4172" spans="1:7" x14ac:dyDescent="0.3">
      <c r="A4172" t="str">
        <f>IF(ISBLANK(B4172),"",IF(ROUND(B4172,0)=ROUND(G4172,0),"Pass","Fail"))</f>
        <v>Pass</v>
      </c>
      <c r="B4172">
        <f t="shared" si="167"/>
        <v>52.76123046875</v>
      </c>
      <c r="C4172">
        <v>40</v>
      </c>
      <c r="D4172">
        <v>100</v>
      </c>
      <c r="E4172">
        <v>10</v>
      </c>
      <c r="F4172">
        <v>8</v>
      </c>
      <c r="G4172">
        <v>52.761228080722198</v>
      </c>
    </row>
    <row r="4173" spans="1:7" x14ac:dyDescent="0.3">
      <c r="A4173" t="str">
        <f>IF(ISBLANK(B4173),"",IF(ROUND(B4173,0)=ROUND(G4173,0),"Pass","Fail"))</f>
        <v>Pass</v>
      </c>
      <c r="B4173">
        <f t="shared" si="167"/>
        <v>35.979995727539063</v>
      </c>
      <c r="C4173">
        <v>40</v>
      </c>
      <c r="D4173">
        <v>100</v>
      </c>
      <c r="E4173">
        <v>10</v>
      </c>
      <c r="F4173">
        <v>16</v>
      </c>
      <c r="G4173">
        <v>35.979997247101302</v>
      </c>
    </row>
    <row r="4174" spans="1:7" x14ac:dyDescent="0.3">
      <c r="A4174" t="str">
        <f>IF(ISBLANK(B4174),"",IF(ROUND(B4174,0)=ROUND(G4174,0),"Pass","Fail"))</f>
        <v>Pass</v>
      </c>
      <c r="B4174">
        <f t="shared" si="167"/>
        <v>27.532577514648438</v>
      </c>
      <c r="C4174">
        <v>40</v>
      </c>
      <c r="D4174">
        <v>100</v>
      </c>
      <c r="E4174">
        <v>10</v>
      </c>
      <c r="F4174">
        <v>24</v>
      </c>
      <c r="G4174">
        <v>27.532577413736</v>
      </c>
    </row>
    <row r="4175" spans="1:7" x14ac:dyDescent="0.3">
      <c r="A4175" t="str">
        <f>IF(ISBLANK(B4175),"",IF(ROUND(B4175,0)=ROUND(G4175,0),"Pass","Fail"))</f>
        <v>Pass</v>
      </c>
      <c r="B4175">
        <f t="shared" si="167"/>
        <v>23.2802734375</v>
      </c>
      <c r="C4175">
        <v>40</v>
      </c>
      <c r="D4175">
        <v>100</v>
      </c>
      <c r="E4175">
        <v>10</v>
      </c>
      <c r="F4175">
        <v>32</v>
      </c>
      <c r="G4175">
        <v>23.280273005994498</v>
      </c>
    </row>
    <row r="4176" spans="1:7" x14ac:dyDescent="0.3">
      <c r="A4176" t="str">
        <f>IF(ISBLANK(B4176),"",IF(ROUND(B4176,0)=ROUND(G4176,0),"Pass","Fail"))</f>
        <v>Pass</v>
      </c>
      <c r="B4176">
        <f t="shared" si="167"/>
        <v>21.139726638793945</v>
      </c>
      <c r="C4176">
        <v>40</v>
      </c>
      <c r="D4176">
        <v>100</v>
      </c>
      <c r="E4176">
        <v>10</v>
      </c>
      <c r="F4176">
        <v>40</v>
      </c>
      <c r="G4176">
        <v>21.139726764327001</v>
      </c>
    </row>
    <row r="4177" spans="1:7" x14ac:dyDescent="0.3">
      <c r="A4177" t="str">
        <f>IF(ISBLANK(B4177),"",IF(ROUND(B4177,0)=ROUND(G4177,0),"Pass","Fail"))</f>
        <v>Pass</v>
      </c>
      <c r="B4177">
        <f t="shared" si="167"/>
        <v>20.062206268310547</v>
      </c>
      <c r="C4177">
        <v>40</v>
      </c>
      <c r="D4177">
        <v>100</v>
      </c>
      <c r="E4177">
        <v>10</v>
      </c>
      <c r="F4177">
        <v>48</v>
      </c>
      <c r="G4177">
        <v>20.062207900819701</v>
      </c>
    </row>
    <row r="4178" spans="1:7" x14ac:dyDescent="0.3">
      <c r="A4178" t="str">
        <f>IF(ISBLANK(B4178),"",IF(ROUND(B4178,0)=ROUND(G4178,0),"Pass","Fail"))</f>
        <v>Pass</v>
      </c>
      <c r="B4178">
        <f t="shared" si="167"/>
        <v>86.097999572753906</v>
      </c>
      <c r="C4178">
        <v>40</v>
      </c>
      <c r="D4178">
        <v>100</v>
      </c>
      <c r="E4178">
        <v>20</v>
      </c>
      <c r="F4178">
        <v>0</v>
      </c>
      <c r="G4178">
        <v>86.097999999999999</v>
      </c>
    </row>
    <row r="4179" spans="1:7" x14ac:dyDescent="0.3">
      <c r="A4179" t="str">
        <f>IF(ISBLANK(B4179),"",IF(ROUND(B4179,0)=ROUND(G4179,0),"Pass","Fail"))</f>
        <v>Pass</v>
      </c>
      <c r="B4179">
        <f t="shared" si="167"/>
        <v>52.76123046875</v>
      </c>
      <c r="C4179">
        <v>40</v>
      </c>
      <c r="D4179">
        <v>100</v>
      </c>
      <c r="E4179">
        <v>20</v>
      </c>
      <c r="F4179">
        <v>8</v>
      </c>
      <c r="G4179">
        <v>52.7612280807231</v>
      </c>
    </row>
    <row r="4180" spans="1:7" x14ac:dyDescent="0.3">
      <c r="A4180" t="str">
        <f>IF(ISBLANK(B4180),"",IF(ROUND(B4180,0)=ROUND(G4180,0),"Pass","Fail"))</f>
        <v>Pass</v>
      </c>
      <c r="B4180">
        <f t="shared" si="167"/>
        <v>35.979995727539063</v>
      </c>
      <c r="C4180">
        <v>40</v>
      </c>
      <c r="D4180">
        <v>100</v>
      </c>
      <c r="E4180">
        <v>20</v>
      </c>
      <c r="F4180">
        <v>16</v>
      </c>
      <c r="G4180">
        <v>35.9799972471017</v>
      </c>
    </row>
    <row r="4181" spans="1:7" x14ac:dyDescent="0.3">
      <c r="A4181" t="str">
        <f>IF(ISBLANK(B4181),"",IF(ROUND(B4181,0)=ROUND(G4181,0),"Pass","Fail"))</f>
        <v>Pass</v>
      </c>
      <c r="B4181">
        <f t="shared" si="167"/>
        <v>27.532577514648438</v>
      </c>
      <c r="C4181">
        <v>40</v>
      </c>
      <c r="D4181">
        <v>100</v>
      </c>
      <c r="E4181">
        <v>20</v>
      </c>
      <c r="F4181">
        <v>24</v>
      </c>
      <c r="G4181">
        <v>27.532577413736199</v>
      </c>
    </row>
    <row r="4182" spans="1:7" x14ac:dyDescent="0.3">
      <c r="A4182" t="str">
        <f>IF(ISBLANK(B4182),"",IF(ROUND(B4182,0)=ROUND(G4182,0),"Pass","Fail"))</f>
        <v>Pass</v>
      </c>
      <c r="B4182">
        <f t="shared" si="167"/>
        <v>23.2802734375</v>
      </c>
      <c r="C4182">
        <v>40</v>
      </c>
      <c r="D4182">
        <v>100</v>
      </c>
      <c r="E4182">
        <v>20</v>
      </c>
      <c r="F4182">
        <v>32</v>
      </c>
      <c r="G4182">
        <v>23.280273005994601</v>
      </c>
    </row>
    <row r="4183" spans="1:7" x14ac:dyDescent="0.3">
      <c r="A4183" t="str">
        <f>IF(ISBLANK(B4183),"",IF(ROUND(B4183,0)=ROUND(G4183,0),"Pass","Fail"))</f>
        <v>Pass</v>
      </c>
      <c r="B4183">
        <f t="shared" si="167"/>
        <v>21.139726638793945</v>
      </c>
      <c r="C4183">
        <v>40</v>
      </c>
      <c r="D4183">
        <v>100</v>
      </c>
      <c r="E4183">
        <v>20</v>
      </c>
      <c r="F4183">
        <v>40</v>
      </c>
      <c r="G4183">
        <v>21.139726764327101</v>
      </c>
    </row>
    <row r="4184" spans="1:7" x14ac:dyDescent="0.3">
      <c r="A4184" t="str">
        <f>IF(ISBLANK(B4184),"",IF(ROUND(B4184,0)=ROUND(G4184,0),"Pass","Fail"))</f>
        <v>Pass</v>
      </c>
      <c r="B4184">
        <f t="shared" si="167"/>
        <v>20.062206268310547</v>
      </c>
      <c r="C4184">
        <v>40</v>
      </c>
      <c r="D4184">
        <v>100</v>
      </c>
      <c r="E4184">
        <v>20</v>
      </c>
      <c r="F4184">
        <v>48</v>
      </c>
      <c r="G4184">
        <v>20.062207900819701</v>
      </c>
    </row>
    <row r="4185" spans="1:7" x14ac:dyDescent="0.3">
      <c r="A4185" t="str">
        <f>IF(ISBLANK(B4185),"",IF(ROUND(B4185,0)=ROUND(G4185,0),"Pass","Fail"))</f>
        <v>Pass</v>
      </c>
      <c r="B4185">
        <f t="shared" si="167"/>
        <v>86.097999572753906</v>
      </c>
      <c r="C4185">
        <v>40</v>
      </c>
      <c r="D4185">
        <v>100</v>
      </c>
      <c r="E4185">
        <v>30</v>
      </c>
      <c r="F4185">
        <v>0</v>
      </c>
      <c r="G4185">
        <v>86.097999999999999</v>
      </c>
    </row>
    <row r="4186" spans="1:7" x14ac:dyDescent="0.3">
      <c r="A4186" t="str">
        <f>IF(ISBLANK(B4186),"",IF(ROUND(B4186,0)=ROUND(G4186,0),"Pass","Fail"))</f>
        <v>Pass</v>
      </c>
      <c r="B4186">
        <f t="shared" si="167"/>
        <v>52.76123046875</v>
      </c>
      <c r="C4186">
        <v>40</v>
      </c>
      <c r="D4186">
        <v>100</v>
      </c>
      <c r="E4186">
        <v>30</v>
      </c>
      <c r="F4186">
        <v>8</v>
      </c>
      <c r="G4186">
        <v>52.7612280807231</v>
      </c>
    </row>
    <row r="4187" spans="1:7" x14ac:dyDescent="0.3">
      <c r="A4187" t="str">
        <f>IF(ISBLANK(B4187),"",IF(ROUND(B4187,0)=ROUND(G4187,0),"Pass","Fail"))</f>
        <v>Pass</v>
      </c>
      <c r="B4187">
        <f t="shared" si="167"/>
        <v>35.979995727539063</v>
      </c>
      <c r="C4187">
        <v>40</v>
      </c>
      <c r="D4187">
        <v>100</v>
      </c>
      <c r="E4187">
        <v>30</v>
      </c>
      <c r="F4187">
        <v>16</v>
      </c>
      <c r="G4187">
        <v>35.9799972471017</v>
      </c>
    </row>
    <row r="4188" spans="1:7" x14ac:dyDescent="0.3">
      <c r="A4188" t="str">
        <f>IF(ISBLANK(B4188),"",IF(ROUND(B4188,0)=ROUND(G4188,0),"Pass","Fail"))</f>
        <v>Pass</v>
      </c>
      <c r="B4188">
        <f t="shared" si="167"/>
        <v>27.532577514648438</v>
      </c>
      <c r="C4188">
        <v>40</v>
      </c>
      <c r="D4188">
        <v>100</v>
      </c>
      <c r="E4188">
        <v>30</v>
      </c>
      <c r="F4188">
        <v>24</v>
      </c>
      <c r="G4188">
        <v>27.532577413736199</v>
      </c>
    </row>
    <row r="4189" spans="1:7" x14ac:dyDescent="0.3">
      <c r="A4189" t="str">
        <f>IF(ISBLANK(B4189),"",IF(ROUND(B4189,0)=ROUND(G4189,0),"Pass","Fail"))</f>
        <v>Pass</v>
      </c>
      <c r="B4189">
        <f t="shared" si="167"/>
        <v>23.2802734375</v>
      </c>
      <c r="C4189">
        <v>40</v>
      </c>
      <c r="D4189">
        <v>100</v>
      </c>
      <c r="E4189">
        <v>30</v>
      </c>
      <c r="F4189">
        <v>32</v>
      </c>
      <c r="G4189">
        <v>23.280273005994601</v>
      </c>
    </row>
    <row r="4190" spans="1:7" x14ac:dyDescent="0.3">
      <c r="A4190" t="str">
        <f>IF(ISBLANK(B4190),"",IF(ROUND(B4190,0)=ROUND(G4190,0),"Pass","Fail"))</f>
        <v>Pass</v>
      </c>
      <c r="B4190">
        <f t="shared" si="167"/>
        <v>21.139726638793945</v>
      </c>
      <c r="C4190">
        <v>40</v>
      </c>
      <c r="D4190">
        <v>100</v>
      </c>
      <c r="E4190">
        <v>30</v>
      </c>
      <c r="F4190">
        <v>40</v>
      </c>
      <c r="G4190">
        <v>21.139726764327101</v>
      </c>
    </row>
    <row r="4191" spans="1:7" x14ac:dyDescent="0.3">
      <c r="A4191" t="str">
        <f>IF(ISBLANK(B4191),"",IF(ROUND(B4191,0)=ROUND(G4191,0),"Pass","Fail"))</f>
        <v>Pass</v>
      </c>
      <c r="B4191">
        <f t="shared" si="167"/>
        <v>20.062206268310547</v>
      </c>
      <c r="C4191">
        <v>40</v>
      </c>
      <c r="D4191">
        <v>100</v>
      </c>
      <c r="E4191">
        <v>30</v>
      </c>
      <c r="F4191">
        <v>48</v>
      </c>
      <c r="G4191">
        <v>20.062207900819701</v>
      </c>
    </row>
    <row r="4192" spans="1:7" x14ac:dyDescent="0.3">
      <c r="A4192" t="str">
        <f>IF(ISBLANK(B4192),"",IF(ROUND(B4192,0)=ROUND(G4192,0),"Pass","Fail"))</f>
        <v>Pass</v>
      </c>
      <c r="B4192">
        <f t="shared" si="167"/>
        <v>86.097999572753906</v>
      </c>
      <c r="C4192">
        <v>40</v>
      </c>
      <c r="D4192">
        <v>100</v>
      </c>
      <c r="E4192">
        <v>40</v>
      </c>
      <c r="F4192">
        <v>0</v>
      </c>
      <c r="G4192">
        <v>86.097999999999999</v>
      </c>
    </row>
    <row r="4193" spans="1:7" x14ac:dyDescent="0.3">
      <c r="A4193" t="str">
        <f>IF(ISBLANK(B4193),"",IF(ROUND(B4193,0)=ROUND(G4193,0),"Pass","Fail"))</f>
        <v>Pass</v>
      </c>
      <c r="B4193">
        <f t="shared" si="167"/>
        <v>52.76123046875</v>
      </c>
      <c r="C4193">
        <v>40</v>
      </c>
      <c r="D4193">
        <v>100</v>
      </c>
      <c r="E4193">
        <v>40</v>
      </c>
      <c r="F4193">
        <v>8</v>
      </c>
      <c r="G4193">
        <v>52.7612280807231</v>
      </c>
    </row>
    <row r="4194" spans="1:7" x14ac:dyDescent="0.3">
      <c r="A4194" t="str">
        <f>IF(ISBLANK(B4194),"",IF(ROUND(B4194,0)=ROUND(G4194,0),"Pass","Fail"))</f>
        <v>Pass</v>
      </c>
      <c r="B4194">
        <f t="shared" si="167"/>
        <v>35.979995727539063</v>
      </c>
      <c r="C4194">
        <v>40</v>
      </c>
      <c r="D4194">
        <v>100</v>
      </c>
      <c r="E4194">
        <v>40</v>
      </c>
      <c r="F4194">
        <v>16</v>
      </c>
      <c r="G4194">
        <v>35.9799972471017</v>
      </c>
    </row>
    <row r="4195" spans="1:7" x14ac:dyDescent="0.3">
      <c r="A4195" t="str">
        <f>IF(ISBLANK(B4195),"",IF(ROUND(B4195,0)=ROUND(G4195,0),"Pass","Fail"))</f>
        <v>Pass</v>
      </c>
      <c r="B4195">
        <f t="shared" si="167"/>
        <v>27.532577514648438</v>
      </c>
      <c r="C4195">
        <v>40</v>
      </c>
      <c r="D4195">
        <v>100</v>
      </c>
      <c r="E4195">
        <v>40</v>
      </c>
      <c r="F4195">
        <v>24</v>
      </c>
      <c r="G4195">
        <v>27.532577413736199</v>
      </c>
    </row>
    <row r="4196" spans="1:7" x14ac:dyDescent="0.3">
      <c r="A4196" t="str">
        <f>IF(ISBLANK(B4196),"",IF(ROUND(B4196,0)=ROUND(G4196,0),"Pass","Fail"))</f>
        <v>Pass</v>
      </c>
      <c r="B4196">
        <f t="shared" si="167"/>
        <v>23.2802734375</v>
      </c>
      <c r="C4196">
        <v>40</v>
      </c>
      <c r="D4196">
        <v>100</v>
      </c>
      <c r="E4196">
        <v>40</v>
      </c>
      <c r="F4196">
        <v>32</v>
      </c>
      <c r="G4196">
        <v>23.280273005994601</v>
      </c>
    </row>
    <row r="4197" spans="1:7" x14ac:dyDescent="0.3">
      <c r="A4197" t="str">
        <f>IF(ISBLANK(B4197),"",IF(ROUND(B4197,0)=ROUND(G4197,0),"Pass","Fail"))</f>
        <v>Pass</v>
      </c>
      <c r="B4197">
        <f t="shared" si="167"/>
        <v>21.139726638793945</v>
      </c>
      <c r="C4197">
        <v>40</v>
      </c>
      <c r="D4197">
        <v>100</v>
      </c>
      <c r="E4197">
        <v>40</v>
      </c>
      <c r="F4197">
        <v>40</v>
      </c>
      <c r="G4197">
        <v>21.139726764327101</v>
      </c>
    </row>
    <row r="4198" spans="1:7" x14ac:dyDescent="0.3">
      <c r="A4198" t="str">
        <f>IF(ISBLANK(B4198),"",IF(ROUND(B4198,0)=ROUND(G4198,0),"Pass","Fail"))</f>
        <v>Pass</v>
      </c>
      <c r="B4198">
        <f t="shared" si="167"/>
        <v>20.062206268310547</v>
      </c>
      <c r="C4198">
        <v>40</v>
      </c>
      <c r="D4198">
        <v>100</v>
      </c>
      <c r="E4198">
        <v>40</v>
      </c>
      <c r="F4198">
        <v>48</v>
      </c>
      <c r="G4198">
        <v>20.062207900819701</v>
      </c>
    </row>
    <row r="4199" spans="1:7" x14ac:dyDescent="0.3">
      <c r="A4199" t="str">
        <f>IF(ISBLANK(B4199),"",IF(ROUND(B4199,0)=ROUND(G4199,0),"Pass","Fail"))</f>
        <v>Pass</v>
      </c>
      <c r="B4199">
        <f t="shared" si="167"/>
        <v>86.097999572753906</v>
      </c>
      <c r="C4199">
        <v>40</v>
      </c>
      <c r="D4199">
        <v>100</v>
      </c>
      <c r="E4199">
        <v>50</v>
      </c>
      <c r="F4199">
        <v>0</v>
      </c>
      <c r="G4199">
        <v>86.097999999999999</v>
      </c>
    </row>
    <row r="4200" spans="1:7" x14ac:dyDescent="0.3">
      <c r="A4200" t="str">
        <f>IF(ISBLANK(B4200),"",IF(ROUND(B4200,0)=ROUND(G4200,0),"Pass","Fail"))</f>
        <v>Pass</v>
      </c>
      <c r="B4200">
        <f t="shared" si="167"/>
        <v>52.76123046875</v>
      </c>
      <c r="C4200">
        <v>40</v>
      </c>
      <c r="D4200">
        <v>100</v>
      </c>
      <c r="E4200">
        <v>50</v>
      </c>
      <c r="F4200">
        <v>8</v>
      </c>
      <c r="G4200">
        <v>52.7612280807231</v>
      </c>
    </row>
    <row r="4201" spans="1:7" x14ac:dyDescent="0.3">
      <c r="A4201" t="str">
        <f>IF(ISBLANK(B4201),"",IF(ROUND(B4201,0)=ROUND(G4201,0),"Pass","Fail"))</f>
        <v>Pass</v>
      </c>
      <c r="B4201">
        <f t="shared" si="167"/>
        <v>35.979995727539063</v>
      </c>
      <c r="C4201">
        <v>40</v>
      </c>
      <c r="D4201">
        <v>100</v>
      </c>
      <c r="E4201">
        <v>50</v>
      </c>
      <c r="F4201">
        <v>16</v>
      </c>
      <c r="G4201">
        <v>35.9799972471017</v>
      </c>
    </row>
    <row r="4202" spans="1:7" x14ac:dyDescent="0.3">
      <c r="A4202" t="str">
        <f>IF(ISBLANK(B4202),"",IF(ROUND(B4202,0)=ROUND(G4202,0),"Pass","Fail"))</f>
        <v>Pass</v>
      </c>
      <c r="B4202">
        <f t="shared" si="167"/>
        <v>27.532577514648438</v>
      </c>
      <c r="C4202">
        <v>40</v>
      </c>
      <c r="D4202">
        <v>100</v>
      </c>
      <c r="E4202">
        <v>50</v>
      </c>
      <c r="F4202">
        <v>24</v>
      </c>
      <c r="G4202">
        <v>27.532577413736199</v>
      </c>
    </row>
    <row r="4203" spans="1:7" x14ac:dyDescent="0.3">
      <c r="A4203" t="str">
        <f>IF(ISBLANK(B4203),"",IF(ROUND(B4203,0)=ROUND(G4203,0),"Pass","Fail"))</f>
        <v>Pass</v>
      </c>
      <c r="B4203">
        <f t="shared" si="167"/>
        <v>23.2802734375</v>
      </c>
      <c r="C4203">
        <v>40</v>
      </c>
      <c r="D4203">
        <v>100</v>
      </c>
      <c r="E4203">
        <v>50</v>
      </c>
      <c r="F4203">
        <v>32</v>
      </c>
      <c r="G4203">
        <v>23.280273005994601</v>
      </c>
    </row>
    <row r="4204" spans="1:7" x14ac:dyDescent="0.3">
      <c r="A4204" t="str">
        <f>IF(ISBLANK(B4204),"",IF(ROUND(B4204,0)=ROUND(G4204,0),"Pass","Fail"))</f>
        <v>Pass</v>
      </c>
      <c r="B4204">
        <f t="shared" si="167"/>
        <v>21.139726638793945</v>
      </c>
      <c r="C4204">
        <v>40</v>
      </c>
      <c r="D4204">
        <v>100</v>
      </c>
      <c r="E4204">
        <v>50</v>
      </c>
      <c r="F4204">
        <v>40</v>
      </c>
      <c r="G4204">
        <v>21.139726764327101</v>
      </c>
    </row>
    <row r="4205" spans="1:7" x14ac:dyDescent="0.3">
      <c r="A4205" t="str">
        <f>IF(ISBLANK(B4205),"",IF(ROUND(B4205,0)=ROUND(G4205,0),"Pass","Fail"))</f>
        <v>Pass</v>
      </c>
      <c r="B4205">
        <f t="shared" si="167"/>
        <v>20.062206268310547</v>
      </c>
      <c r="C4205">
        <v>40</v>
      </c>
      <c r="D4205">
        <v>100</v>
      </c>
      <c r="E4205">
        <v>50</v>
      </c>
      <c r="F4205">
        <v>48</v>
      </c>
      <c r="G4205">
        <v>20.062207900819701</v>
      </c>
    </row>
    <row r="4206" spans="1:7" x14ac:dyDescent="0.3">
      <c r="A4206" t="str">
        <f>IF(ISBLANK(B4206),"",IF(ROUND(B4206,0)=ROUND(G4206,0),"Pass","Fail"))</f>
        <v>Pass</v>
      </c>
      <c r="B4206">
        <f t="shared" si="167"/>
        <v>86.097999572753906</v>
      </c>
      <c r="C4206">
        <v>40</v>
      </c>
      <c r="D4206">
        <v>100</v>
      </c>
      <c r="E4206">
        <v>60</v>
      </c>
      <c r="F4206">
        <v>0</v>
      </c>
      <c r="G4206">
        <v>86.097999999999999</v>
      </c>
    </row>
    <row r="4207" spans="1:7" x14ac:dyDescent="0.3">
      <c r="A4207" t="str">
        <f>IF(ISBLANK(B4207),"",IF(ROUND(B4207,0)=ROUND(G4207,0),"Pass","Fail"))</f>
        <v>Pass</v>
      </c>
      <c r="B4207">
        <f t="shared" si="167"/>
        <v>52.76123046875</v>
      </c>
      <c r="C4207">
        <v>40</v>
      </c>
      <c r="D4207">
        <v>100</v>
      </c>
      <c r="E4207">
        <v>60</v>
      </c>
      <c r="F4207">
        <v>8</v>
      </c>
      <c r="G4207">
        <v>52.7612280807231</v>
      </c>
    </row>
    <row r="4208" spans="1:7" x14ac:dyDescent="0.3">
      <c r="A4208" t="str">
        <f>IF(ISBLANK(B4208),"",IF(ROUND(B4208,0)=ROUND(G4208,0),"Pass","Fail"))</f>
        <v>Pass</v>
      </c>
      <c r="B4208">
        <f t="shared" si="167"/>
        <v>35.979995727539063</v>
      </c>
      <c r="C4208">
        <v>40</v>
      </c>
      <c r="D4208">
        <v>100</v>
      </c>
      <c r="E4208">
        <v>60</v>
      </c>
      <c r="F4208">
        <v>16</v>
      </c>
      <c r="G4208">
        <v>35.9799972471017</v>
      </c>
    </row>
    <row r="4209" spans="1:7" x14ac:dyDescent="0.3">
      <c r="A4209" t="str">
        <f>IF(ISBLANK(B4209),"",IF(ROUND(B4209,0)=ROUND(G4209,0),"Pass","Fail"))</f>
        <v>Pass</v>
      </c>
      <c r="B4209">
        <f t="shared" si="167"/>
        <v>27.532577514648438</v>
      </c>
      <c r="C4209">
        <v>40</v>
      </c>
      <c r="D4209">
        <v>100</v>
      </c>
      <c r="E4209">
        <v>60</v>
      </c>
      <c r="F4209">
        <v>24</v>
      </c>
      <c r="G4209">
        <v>27.532577413736199</v>
      </c>
    </row>
    <row r="4210" spans="1:7" x14ac:dyDescent="0.3">
      <c r="A4210" t="str">
        <f>IF(ISBLANK(B4210),"",IF(ROUND(B4210,0)=ROUND(G4210,0),"Pass","Fail"))</f>
        <v>Pass</v>
      </c>
      <c r="B4210">
        <f t="shared" si="167"/>
        <v>23.2802734375</v>
      </c>
      <c r="C4210">
        <v>40</v>
      </c>
      <c r="D4210">
        <v>100</v>
      </c>
      <c r="E4210">
        <v>60</v>
      </c>
      <c r="F4210">
        <v>32</v>
      </c>
      <c r="G4210">
        <v>23.280273005994601</v>
      </c>
    </row>
    <row r="4211" spans="1:7" x14ac:dyDescent="0.3">
      <c r="A4211" t="str">
        <f>IF(ISBLANK(B4211),"",IF(ROUND(B4211,0)=ROUND(G4211,0),"Pass","Fail"))</f>
        <v>Pass</v>
      </c>
      <c r="B4211">
        <f t="shared" si="167"/>
        <v>21.139726638793945</v>
      </c>
      <c r="C4211">
        <v>40</v>
      </c>
      <c r="D4211">
        <v>100</v>
      </c>
      <c r="E4211">
        <v>60</v>
      </c>
      <c r="F4211">
        <v>40</v>
      </c>
      <c r="G4211">
        <v>21.139726764327101</v>
      </c>
    </row>
    <row r="4212" spans="1:7" x14ac:dyDescent="0.3">
      <c r="A4212" t="str">
        <f>IF(ISBLANK(B4212),"",IF(ROUND(B4212,0)=ROUND(G4212,0),"Pass","Fail"))</f>
        <v>Pass</v>
      </c>
      <c r="B4212">
        <f t="shared" si="167"/>
        <v>20.062206268310547</v>
      </c>
      <c r="C4212">
        <v>40</v>
      </c>
      <c r="D4212">
        <v>100</v>
      </c>
      <c r="E4212">
        <v>60</v>
      </c>
      <c r="F4212">
        <v>48</v>
      </c>
      <c r="G4212">
        <v>20.062207900819701</v>
      </c>
    </row>
    <row r="4213" spans="1:7" x14ac:dyDescent="0.3">
      <c r="A4213" t="str">
        <f>IF(ISBLANK(B4213),"",IF(ROUND(B4213,0)=ROUND(G4213,0),"Pass","Fail"))</f>
        <v>Pass</v>
      </c>
      <c r="B4213">
        <f t="shared" si="167"/>
        <v>86.097999572753906</v>
      </c>
      <c r="C4213">
        <v>40</v>
      </c>
      <c r="D4213">
        <v>100</v>
      </c>
      <c r="E4213">
        <v>70</v>
      </c>
      <c r="F4213">
        <v>0</v>
      </c>
      <c r="G4213">
        <v>86.097999999999999</v>
      </c>
    </row>
    <row r="4214" spans="1:7" x14ac:dyDescent="0.3">
      <c r="A4214" t="str">
        <f>IF(ISBLANK(B4214),"",IF(ROUND(B4214,0)=ROUND(G4214,0),"Pass","Fail"))</f>
        <v>Pass</v>
      </c>
      <c r="B4214">
        <f t="shared" si="167"/>
        <v>52.76123046875</v>
      </c>
      <c r="C4214">
        <v>40</v>
      </c>
      <c r="D4214">
        <v>100</v>
      </c>
      <c r="E4214">
        <v>70</v>
      </c>
      <c r="F4214">
        <v>8</v>
      </c>
      <c r="G4214">
        <v>52.7612280807231</v>
      </c>
    </row>
    <row r="4215" spans="1:7" x14ac:dyDescent="0.3">
      <c r="A4215" t="str">
        <f>IF(ISBLANK(B4215),"",IF(ROUND(B4215,0)=ROUND(G4215,0),"Pass","Fail"))</f>
        <v>Pass</v>
      </c>
      <c r="B4215">
        <f t="shared" si="167"/>
        <v>35.979995727539063</v>
      </c>
      <c r="C4215">
        <v>40</v>
      </c>
      <c r="D4215">
        <v>100</v>
      </c>
      <c r="E4215">
        <v>70</v>
      </c>
      <c r="F4215">
        <v>16</v>
      </c>
      <c r="G4215">
        <v>35.9799972471017</v>
      </c>
    </row>
    <row r="4216" spans="1:7" x14ac:dyDescent="0.3">
      <c r="A4216" t="str">
        <f>IF(ISBLANK(B4216),"",IF(ROUND(B4216,0)=ROUND(G4216,0),"Pass","Fail"))</f>
        <v>Pass</v>
      </c>
      <c r="B4216">
        <f t="shared" si="167"/>
        <v>27.532577514648438</v>
      </c>
      <c r="C4216">
        <v>40</v>
      </c>
      <c r="D4216">
        <v>100</v>
      </c>
      <c r="E4216">
        <v>70</v>
      </c>
      <c r="F4216">
        <v>24</v>
      </c>
      <c r="G4216">
        <v>27.532577413736199</v>
      </c>
    </row>
    <row r="4217" spans="1:7" x14ac:dyDescent="0.3">
      <c r="A4217" t="str">
        <f>IF(ISBLANK(B4217),"",IF(ROUND(B4217,0)=ROUND(G4217,0),"Pass","Fail"))</f>
        <v>Pass</v>
      </c>
      <c r="B4217">
        <f t="shared" si="167"/>
        <v>23.2802734375</v>
      </c>
      <c r="C4217">
        <v>40</v>
      </c>
      <c r="D4217">
        <v>100</v>
      </c>
      <c r="E4217">
        <v>70</v>
      </c>
      <c r="F4217">
        <v>32</v>
      </c>
      <c r="G4217">
        <v>23.280273005994601</v>
      </c>
    </row>
    <row r="4218" spans="1:7" x14ac:dyDescent="0.3">
      <c r="A4218" t="str">
        <f>IF(ISBLANK(B4218),"",IF(ROUND(B4218,0)=ROUND(G4218,0),"Pass","Fail"))</f>
        <v>Pass</v>
      </c>
      <c r="B4218">
        <f t="shared" si="167"/>
        <v>21.139726638793945</v>
      </c>
      <c r="C4218">
        <v>40</v>
      </c>
      <c r="D4218">
        <v>100</v>
      </c>
      <c r="E4218">
        <v>70</v>
      </c>
      <c r="F4218">
        <v>40</v>
      </c>
      <c r="G4218">
        <v>21.139726764327101</v>
      </c>
    </row>
    <row r="4219" spans="1:7" x14ac:dyDescent="0.3">
      <c r="A4219" t="str">
        <f>IF(ISBLANK(B4219),"",IF(ROUND(B4219,0)=ROUND(G4219,0),"Pass","Fail"))</f>
        <v>Pass</v>
      </c>
      <c r="B4219">
        <f t="shared" si="167"/>
        <v>20.062206268310547</v>
      </c>
      <c r="C4219">
        <v>40</v>
      </c>
      <c r="D4219">
        <v>100</v>
      </c>
      <c r="E4219">
        <v>70</v>
      </c>
      <c r="F4219">
        <v>48</v>
      </c>
      <c r="G4219">
        <v>20.062207900819701</v>
      </c>
    </row>
    <row r="4220" spans="1:7" x14ac:dyDescent="0.3">
      <c r="A4220" t="str">
        <f>IF(ISBLANK(B4220),"",IF(ROUND(B4220,0)=ROUND(G4220,0),"Pass","Fail"))</f>
        <v>Pass</v>
      </c>
      <c r="B4220">
        <f t="shared" si="167"/>
        <v>86.097999572753906</v>
      </c>
      <c r="C4220">
        <v>40</v>
      </c>
      <c r="D4220">
        <v>100</v>
      </c>
      <c r="E4220">
        <v>80</v>
      </c>
      <c r="F4220">
        <v>0</v>
      </c>
      <c r="G4220">
        <v>86.097999999999999</v>
      </c>
    </row>
    <row r="4221" spans="1:7" x14ac:dyDescent="0.3">
      <c r="A4221" t="str">
        <f>IF(ISBLANK(B4221),"",IF(ROUND(B4221,0)=ROUND(G4221,0),"Pass","Fail"))</f>
        <v>Pass</v>
      </c>
      <c r="B4221">
        <f t="shared" si="167"/>
        <v>52.76123046875</v>
      </c>
      <c r="C4221">
        <v>40</v>
      </c>
      <c r="D4221">
        <v>100</v>
      </c>
      <c r="E4221">
        <v>80</v>
      </c>
      <c r="F4221">
        <v>8</v>
      </c>
      <c r="G4221">
        <v>52.7612280807231</v>
      </c>
    </row>
    <row r="4222" spans="1:7" x14ac:dyDescent="0.3">
      <c r="A4222" t="str">
        <f>IF(ISBLANK(B4222),"",IF(ROUND(B4222,0)=ROUND(G4222,0),"Pass","Fail"))</f>
        <v>Pass</v>
      </c>
      <c r="B4222">
        <f t="shared" si="167"/>
        <v>35.979995727539063</v>
      </c>
      <c r="C4222">
        <v>40</v>
      </c>
      <c r="D4222">
        <v>100</v>
      </c>
      <c r="E4222">
        <v>80</v>
      </c>
      <c r="F4222">
        <v>16</v>
      </c>
      <c r="G4222">
        <v>35.9799972471017</v>
      </c>
    </row>
    <row r="4223" spans="1:7" x14ac:dyDescent="0.3">
      <c r="A4223" t="str">
        <f>IF(ISBLANK(B4223),"",IF(ROUND(B4223,0)=ROUND(G4223,0),"Pass","Fail"))</f>
        <v>Pass</v>
      </c>
      <c r="B4223">
        <f t="shared" si="167"/>
        <v>27.532577514648438</v>
      </c>
      <c r="C4223">
        <v>40</v>
      </c>
      <c r="D4223">
        <v>100</v>
      </c>
      <c r="E4223">
        <v>80</v>
      </c>
      <c r="F4223">
        <v>24</v>
      </c>
      <c r="G4223">
        <v>27.532577413736199</v>
      </c>
    </row>
    <row r="4224" spans="1:7" x14ac:dyDescent="0.3">
      <c r="A4224" t="str">
        <f>IF(ISBLANK(B4224),"",IF(ROUND(B4224,0)=ROUND(G4224,0),"Pass","Fail"))</f>
        <v>Pass</v>
      </c>
      <c r="B4224">
        <f t="shared" si="167"/>
        <v>23.2802734375</v>
      </c>
      <c r="C4224">
        <v>40</v>
      </c>
      <c r="D4224">
        <v>100</v>
      </c>
      <c r="E4224">
        <v>80</v>
      </c>
      <c r="F4224">
        <v>32</v>
      </c>
      <c r="G4224">
        <v>23.280273005994601</v>
      </c>
    </row>
    <row r="4225" spans="1:7" x14ac:dyDescent="0.3">
      <c r="A4225" t="str">
        <f>IF(ISBLANK(B4225),"",IF(ROUND(B4225,0)=ROUND(G4225,0),"Pass","Fail"))</f>
        <v>Pass</v>
      </c>
      <c r="B4225">
        <f t="shared" si="167"/>
        <v>21.139726638793945</v>
      </c>
      <c r="C4225">
        <v>40</v>
      </c>
      <c r="D4225">
        <v>100</v>
      </c>
      <c r="E4225">
        <v>80</v>
      </c>
      <c r="F4225">
        <v>40</v>
      </c>
      <c r="G4225">
        <v>21.139726764327101</v>
      </c>
    </row>
    <row r="4226" spans="1:7" x14ac:dyDescent="0.3">
      <c r="A4226" t="str">
        <f>IF(ISBLANK(B4226),"",IF(ROUND(B4226,0)=ROUND(G4226,0),"Pass","Fail"))</f>
        <v>Pass</v>
      </c>
      <c r="B4226">
        <f t="shared" si="167"/>
        <v>20.062206268310547</v>
      </c>
      <c r="C4226">
        <v>40</v>
      </c>
      <c r="D4226">
        <v>100</v>
      </c>
      <c r="E4226">
        <v>80</v>
      </c>
      <c r="F4226">
        <v>48</v>
      </c>
      <c r="G4226">
        <v>20.062207900819701</v>
      </c>
    </row>
    <row r="4227" spans="1:7" x14ac:dyDescent="0.3">
      <c r="A4227" t="str">
        <f>IF(ISBLANK(B4227),"",IF(ROUND(B4227,0)=ROUND(G4227,0),"Pass","Fail"))</f>
        <v>Pass</v>
      </c>
      <c r="B4227">
        <f t="shared" si="167"/>
        <v>86.097999572753906</v>
      </c>
      <c r="C4227">
        <v>40</v>
      </c>
      <c r="D4227">
        <v>100</v>
      </c>
      <c r="E4227">
        <v>90</v>
      </c>
      <c r="F4227">
        <v>0</v>
      </c>
      <c r="G4227">
        <v>86.097999999999999</v>
      </c>
    </row>
    <row r="4228" spans="1:7" x14ac:dyDescent="0.3">
      <c r="A4228" t="str">
        <f>IF(ISBLANK(B4228),"",IF(ROUND(B4228,0)=ROUND(G4228,0),"Pass","Fail"))</f>
        <v>Pass</v>
      </c>
      <c r="B4228">
        <f t="shared" si="167"/>
        <v>52.76123046875</v>
      </c>
      <c r="C4228">
        <v>40</v>
      </c>
      <c r="D4228">
        <v>100</v>
      </c>
      <c r="E4228">
        <v>90</v>
      </c>
      <c r="F4228">
        <v>8</v>
      </c>
      <c r="G4228">
        <v>52.7612280807231</v>
      </c>
    </row>
    <row r="4229" spans="1:7" x14ac:dyDescent="0.3">
      <c r="A4229" t="str">
        <f>IF(ISBLANK(B4229),"",IF(ROUND(B4229,0)=ROUND(G4229,0),"Pass","Fail"))</f>
        <v>Pass</v>
      </c>
      <c r="B4229">
        <f t="shared" si="167"/>
        <v>35.979995727539063</v>
      </c>
      <c r="C4229">
        <v>40</v>
      </c>
      <c r="D4229">
        <v>100</v>
      </c>
      <c r="E4229">
        <v>90</v>
      </c>
      <c r="F4229">
        <v>16</v>
      </c>
      <c r="G4229">
        <v>35.9799972471017</v>
      </c>
    </row>
    <row r="4230" spans="1:7" x14ac:dyDescent="0.3">
      <c r="A4230" t="str">
        <f>IF(ISBLANK(B4230),"",IF(ROUND(B4230,0)=ROUND(G4230,0),"Pass","Fail"))</f>
        <v>Pass</v>
      </c>
      <c r="B4230">
        <f t="shared" si="167"/>
        <v>27.532577514648438</v>
      </c>
      <c r="C4230">
        <v>40</v>
      </c>
      <c r="D4230">
        <v>100</v>
      </c>
      <c r="E4230">
        <v>90</v>
      </c>
      <c r="F4230">
        <v>24</v>
      </c>
      <c r="G4230">
        <v>27.532577413736199</v>
      </c>
    </row>
    <row r="4231" spans="1:7" x14ac:dyDescent="0.3">
      <c r="A4231" t="str">
        <f>IF(ISBLANK(B4231),"",IF(ROUND(B4231,0)=ROUND(G4231,0),"Pass","Fail"))</f>
        <v>Pass</v>
      </c>
      <c r="B4231">
        <f t="shared" ref="B4231:B4240" si="168">FMC_heath(C4231,D4231,E4231,F4231)</f>
        <v>23.2802734375</v>
      </c>
      <c r="C4231">
        <v>40</v>
      </c>
      <c r="D4231">
        <v>100</v>
      </c>
      <c r="E4231">
        <v>90</v>
      </c>
      <c r="F4231">
        <v>32</v>
      </c>
      <c r="G4231">
        <v>23.280273005994601</v>
      </c>
    </row>
    <row r="4232" spans="1:7" x14ac:dyDescent="0.3">
      <c r="A4232" t="str">
        <f>IF(ISBLANK(B4232),"",IF(ROUND(B4232,0)=ROUND(G4232,0),"Pass","Fail"))</f>
        <v>Pass</v>
      </c>
      <c r="B4232">
        <f t="shared" si="168"/>
        <v>21.139726638793945</v>
      </c>
      <c r="C4232">
        <v>40</v>
      </c>
      <c r="D4232">
        <v>100</v>
      </c>
      <c r="E4232">
        <v>90</v>
      </c>
      <c r="F4232">
        <v>40</v>
      </c>
      <c r="G4232">
        <v>21.139726764327101</v>
      </c>
    </row>
    <row r="4233" spans="1:7" x14ac:dyDescent="0.3">
      <c r="A4233" t="str">
        <f>IF(ISBLANK(B4233),"",IF(ROUND(B4233,0)=ROUND(G4233,0),"Pass","Fail"))</f>
        <v>Pass</v>
      </c>
      <c r="B4233">
        <f t="shared" si="168"/>
        <v>20.062206268310547</v>
      </c>
      <c r="C4233">
        <v>40</v>
      </c>
      <c r="D4233">
        <v>100</v>
      </c>
      <c r="E4233">
        <v>90</v>
      </c>
      <c r="F4233">
        <v>48</v>
      </c>
      <c r="G4233">
        <v>20.062207900819701</v>
      </c>
    </row>
    <row r="4234" spans="1:7" x14ac:dyDescent="0.3">
      <c r="A4234" t="str">
        <f>IF(ISBLANK(B4234),"",IF(ROUND(B4234,0)=ROUND(G4234,0),"Pass","Fail"))</f>
        <v>Pass</v>
      </c>
      <c r="B4234">
        <f t="shared" si="168"/>
        <v>86.097999572753906</v>
      </c>
      <c r="C4234">
        <v>40</v>
      </c>
      <c r="D4234">
        <v>100</v>
      </c>
      <c r="E4234">
        <v>100</v>
      </c>
      <c r="F4234">
        <v>0</v>
      </c>
      <c r="G4234">
        <v>86.097999999999999</v>
      </c>
    </row>
    <row r="4235" spans="1:7" x14ac:dyDescent="0.3">
      <c r="A4235" t="str">
        <f>IF(ISBLANK(B4235),"",IF(ROUND(B4235,0)=ROUND(G4235,0),"Pass","Fail"))</f>
        <v>Pass</v>
      </c>
      <c r="B4235">
        <f t="shared" si="168"/>
        <v>52.76123046875</v>
      </c>
      <c r="C4235">
        <v>40</v>
      </c>
      <c r="D4235">
        <v>100</v>
      </c>
      <c r="E4235">
        <v>100</v>
      </c>
      <c r="F4235">
        <v>8</v>
      </c>
      <c r="G4235">
        <v>52.7612280807231</v>
      </c>
    </row>
    <row r="4236" spans="1:7" x14ac:dyDescent="0.3">
      <c r="A4236" t="str">
        <f>IF(ISBLANK(B4236),"",IF(ROUND(B4236,0)=ROUND(G4236,0),"Pass","Fail"))</f>
        <v>Pass</v>
      </c>
      <c r="B4236">
        <f t="shared" si="168"/>
        <v>35.979995727539063</v>
      </c>
      <c r="C4236">
        <v>40</v>
      </c>
      <c r="D4236">
        <v>100</v>
      </c>
      <c r="E4236">
        <v>100</v>
      </c>
      <c r="F4236">
        <v>16</v>
      </c>
      <c r="G4236">
        <v>35.9799972471017</v>
      </c>
    </row>
    <row r="4237" spans="1:7" x14ac:dyDescent="0.3">
      <c r="A4237" t="str">
        <f>IF(ISBLANK(B4237),"",IF(ROUND(B4237,0)=ROUND(G4237,0),"Pass","Fail"))</f>
        <v>Pass</v>
      </c>
      <c r="B4237">
        <f t="shared" si="168"/>
        <v>27.532577514648438</v>
      </c>
      <c r="C4237">
        <v>40</v>
      </c>
      <c r="D4237">
        <v>100</v>
      </c>
      <c r="E4237">
        <v>100</v>
      </c>
      <c r="F4237">
        <v>24</v>
      </c>
      <c r="G4237">
        <v>27.532577413736199</v>
      </c>
    </row>
    <row r="4238" spans="1:7" x14ac:dyDescent="0.3">
      <c r="A4238" t="str">
        <f>IF(ISBLANK(B4238),"",IF(ROUND(B4238,0)=ROUND(G4238,0),"Pass","Fail"))</f>
        <v>Pass</v>
      </c>
      <c r="B4238">
        <f t="shared" si="168"/>
        <v>23.2802734375</v>
      </c>
      <c r="C4238">
        <v>40</v>
      </c>
      <c r="D4238">
        <v>100</v>
      </c>
      <c r="E4238">
        <v>100</v>
      </c>
      <c r="F4238">
        <v>32</v>
      </c>
      <c r="G4238">
        <v>23.280273005994601</v>
      </c>
    </row>
    <row r="4239" spans="1:7" x14ac:dyDescent="0.3">
      <c r="A4239" t="str">
        <f>IF(ISBLANK(B4239),"",IF(ROUND(B4239,0)=ROUND(G4239,0),"Pass","Fail"))</f>
        <v>Pass</v>
      </c>
      <c r="B4239">
        <f t="shared" si="168"/>
        <v>21.139726638793945</v>
      </c>
      <c r="C4239">
        <v>40</v>
      </c>
      <c r="D4239">
        <v>100</v>
      </c>
      <c r="E4239">
        <v>100</v>
      </c>
      <c r="F4239">
        <v>40</v>
      </c>
      <c r="G4239">
        <v>21.139726764327101</v>
      </c>
    </row>
    <row r="4240" spans="1:7" x14ac:dyDescent="0.3">
      <c r="A4240" t="str">
        <f>IF(ISBLANK(B4240),"",IF(ROUND(B4240,0)=ROUND(G4240,0),"Pass","Fail"))</f>
        <v>Pass</v>
      </c>
      <c r="B4240">
        <f t="shared" si="168"/>
        <v>20.062206268310547</v>
      </c>
      <c r="C4240">
        <v>40</v>
      </c>
      <c r="D4240">
        <v>100</v>
      </c>
      <c r="E4240">
        <v>100</v>
      </c>
      <c r="F4240">
        <v>48</v>
      </c>
      <c r="G4240">
        <v>20.062207900819701</v>
      </c>
    </row>
  </sheetData>
  <mergeCells count="4">
    <mergeCell ref="A4:L4"/>
    <mergeCell ref="M4:X4"/>
    <mergeCell ref="Y4:AJ4"/>
    <mergeCell ref="AK4:AV4"/>
  </mergeCells>
  <conditionalFormatting sqref="M6:M1445">
    <cfRule type="expression" dxfId="19" priority="5">
      <formula>M6="Fail"</formula>
    </cfRule>
    <cfRule type="expression" dxfId="18" priority="6">
      <formula>M6="Pass"</formula>
    </cfRule>
  </conditionalFormatting>
  <conditionalFormatting sqref="A6:A4240">
    <cfRule type="expression" dxfId="17" priority="7">
      <formula>A6="Fail"</formula>
    </cfRule>
    <cfRule type="expression" dxfId="16" priority="8">
      <formula>A6="Pass"</formula>
    </cfRule>
  </conditionalFormatting>
  <conditionalFormatting sqref="Y6:Y1318">
    <cfRule type="expression" dxfId="15" priority="3">
      <formula>Y6="Fail"</formula>
    </cfRule>
    <cfRule type="expression" dxfId="14" priority="4">
      <formula>Y6="Pass"</formula>
    </cfRule>
  </conditionalFormatting>
  <conditionalFormatting sqref="AK6:AK406">
    <cfRule type="expression" dxfId="13" priority="1">
      <formula>AK6="Fail"</formula>
    </cfRule>
    <cfRule type="expression" dxfId="12" priority="2">
      <formula>AK6="Pass"</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workbookViewId="0">
      <selection activeCell="A8" sqref="A8:L8"/>
    </sheetView>
  </sheetViews>
  <sheetFormatPr defaultRowHeight="14.4" x14ac:dyDescent="0.3"/>
  <sheetData>
    <row r="1" spans="1:12" x14ac:dyDescent="0.3">
      <c r="A1" s="41" t="s">
        <v>48</v>
      </c>
      <c r="B1" s="41">
        <f>COUNTIF(A:A,"Pass")</f>
        <v>3</v>
      </c>
    </row>
    <row r="2" spans="1:12" x14ac:dyDescent="0.3">
      <c r="A2" s="40" t="s">
        <v>49</v>
      </c>
      <c r="B2" s="40">
        <f>COUNTIF(A:A,"Fail")</f>
        <v>1</v>
      </c>
    </row>
    <row r="4" spans="1:12" ht="199.95" customHeight="1" x14ac:dyDescent="0.3">
      <c r="A4" s="60" t="s">
        <v>123</v>
      </c>
      <c r="B4" s="61"/>
      <c r="C4" s="61"/>
      <c r="D4" s="61"/>
      <c r="E4" s="61"/>
      <c r="F4" s="61"/>
      <c r="G4" s="61"/>
      <c r="H4" s="61"/>
      <c r="I4" s="61"/>
      <c r="J4" s="61"/>
      <c r="K4" s="61"/>
      <c r="L4" s="61"/>
    </row>
    <row r="5" spans="1:12" x14ac:dyDescent="0.3">
      <c r="A5" s="39" t="s">
        <v>34</v>
      </c>
      <c r="B5" s="39" t="s">
        <v>33</v>
      </c>
      <c r="C5" s="39" t="s">
        <v>43</v>
      </c>
      <c r="D5" s="39" t="s">
        <v>69</v>
      </c>
      <c r="E5" s="39" t="s">
        <v>70</v>
      </c>
      <c r="F5" s="39" t="s">
        <v>81</v>
      </c>
    </row>
    <row r="6" spans="1:12" x14ac:dyDescent="0.3">
      <c r="A6" t="str">
        <f>IF(ISBLANK(B6),"",IF(B6=C6,"Pass","Fail"))</f>
        <v>Pass</v>
      </c>
      <c r="B6">
        <v>7.38</v>
      </c>
      <c r="C6">
        <f>ROUND(FMC_pine(D6,E6),2)</f>
        <v>7.38</v>
      </c>
      <c r="D6">
        <v>25</v>
      </c>
      <c r="E6">
        <v>30</v>
      </c>
      <c r="F6" t="s">
        <v>83</v>
      </c>
    </row>
    <row r="7" spans="1:12" x14ac:dyDescent="0.3">
      <c r="A7" t="str">
        <f>IF(ISBLANK(B7),"",IF(B7=C7,"Pass","Fail"))</f>
        <v/>
      </c>
    </row>
    <row r="8" spans="1:12" ht="100.05" customHeight="1" x14ac:dyDescent="0.3">
      <c r="A8" s="60" t="s">
        <v>145</v>
      </c>
      <c r="B8" s="61"/>
      <c r="C8" s="61"/>
      <c r="D8" s="61"/>
      <c r="E8" s="61"/>
      <c r="F8" s="61"/>
      <c r="G8" s="61"/>
      <c r="H8" s="61"/>
      <c r="I8" s="61"/>
      <c r="J8" s="61"/>
      <c r="K8" s="61"/>
      <c r="L8" s="61"/>
    </row>
    <row r="9" spans="1:12" x14ac:dyDescent="0.3">
      <c r="A9" s="39" t="s">
        <v>34</v>
      </c>
      <c r="B9" s="39" t="s">
        <v>33</v>
      </c>
      <c r="C9" s="39" t="s">
        <v>43</v>
      </c>
      <c r="D9" s="39" t="s">
        <v>52</v>
      </c>
      <c r="E9" s="39" t="s">
        <v>146</v>
      </c>
      <c r="F9" s="39" t="s">
        <v>7</v>
      </c>
      <c r="G9" s="39" t="s">
        <v>81</v>
      </c>
    </row>
    <row r="10" spans="1:12" x14ac:dyDescent="0.3">
      <c r="A10" t="str">
        <f>IF(ISBLANK(B10),"",IF(B10=C10,"Pass","Fail"))</f>
        <v>Fail</v>
      </c>
      <c r="B10">
        <v>0.95</v>
      </c>
      <c r="C10">
        <f>ROUND(FA_pine(D10,E10,F10),2)</f>
        <v>0.74</v>
      </c>
      <c r="D10">
        <v>8</v>
      </c>
      <c r="E10">
        <v>100</v>
      </c>
      <c r="F10">
        <v>4</v>
      </c>
      <c r="G10" t="s">
        <v>83</v>
      </c>
    </row>
    <row r="12" spans="1:12" ht="79.95" customHeight="1" x14ac:dyDescent="0.3">
      <c r="A12" s="60" t="s">
        <v>148</v>
      </c>
      <c r="B12" s="61"/>
      <c r="C12" s="61"/>
      <c r="D12" s="61"/>
      <c r="E12" s="61"/>
      <c r="F12" s="61"/>
      <c r="G12" s="61"/>
      <c r="H12" s="61"/>
      <c r="I12" s="61"/>
      <c r="J12" s="61"/>
      <c r="K12" s="61"/>
      <c r="L12" s="61"/>
    </row>
    <row r="13" spans="1:12" x14ac:dyDescent="0.3">
      <c r="A13" s="39" t="s">
        <v>34</v>
      </c>
      <c r="B13" s="39" t="s">
        <v>33</v>
      </c>
      <c r="C13" s="39" t="s">
        <v>43</v>
      </c>
      <c r="D13" s="39" t="s">
        <v>63</v>
      </c>
      <c r="E13" s="39" t="s">
        <v>57</v>
      </c>
      <c r="F13" s="39" t="s">
        <v>81</v>
      </c>
    </row>
    <row r="14" spans="1:12" x14ac:dyDescent="0.3">
      <c r="A14" t="str">
        <f>IF(ISBLANK(B14),"",IF(B14=C14,"Pass","Fail"))</f>
        <v>Pass</v>
      </c>
      <c r="B14">
        <v>6.1</v>
      </c>
      <c r="C14">
        <f>ROUND(U_flame_height(D14,E14),2)</f>
        <v>6.1</v>
      </c>
      <c r="D14">
        <v>20</v>
      </c>
      <c r="E14">
        <v>15</v>
      </c>
      <c r="F14" t="s">
        <v>83</v>
      </c>
    </row>
    <row r="16" spans="1:12" ht="199.95" customHeight="1" x14ac:dyDescent="0.3">
      <c r="A16" s="60" t="s">
        <v>152</v>
      </c>
      <c r="B16" s="61"/>
      <c r="C16" s="61"/>
      <c r="D16" s="61"/>
      <c r="E16" s="61"/>
      <c r="F16" s="61"/>
      <c r="G16" s="61"/>
      <c r="H16" s="61"/>
      <c r="I16" s="61"/>
      <c r="J16" s="61"/>
      <c r="K16" s="61"/>
      <c r="L16" s="61"/>
    </row>
    <row r="17" spans="1:11" x14ac:dyDescent="0.3">
      <c r="A17" s="39" t="s">
        <v>34</v>
      </c>
      <c r="B17" s="39" t="s">
        <v>33</v>
      </c>
      <c r="C17" s="39" t="s">
        <v>43</v>
      </c>
      <c r="D17" s="39" t="s">
        <v>63</v>
      </c>
      <c r="E17" s="39" t="s">
        <v>99</v>
      </c>
      <c r="F17" s="39" t="s">
        <v>52</v>
      </c>
      <c r="G17" s="39" t="s">
        <v>146</v>
      </c>
      <c r="H17" s="39" t="s">
        <v>7</v>
      </c>
    </row>
    <row r="18" spans="1:11" x14ac:dyDescent="0.3">
      <c r="A18" t="str">
        <f>IF(ISBLANK(B18),"",IF(B18=C18,"Pass","Fail"))</f>
        <v>Pass</v>
      </c>
      <c r="B18">
        <v>462</v>
      </c>
      <c r="C18">
        <f>ROUND(ROS_pine(D18,E18,F18,G18),0)</f>
        <v>462</v>
      </c>
      <c r="D18">
        <v>20</v>
      </c>
      <c r="E18">
        <f>C6</f>
        <v>7.38</v>
      </c>
      <c r="F18">
        <v>8</v>
      </c>
      <c r="G18">
        <v>100</v>
      </c>
      <c r="H18">
        <v>5</v>
      </c>
      <c r="J18">
        <f>INDEX(fb_pine_ensemble(D18,E18,F18,G18),1)</f>
        <v>592.49365234375</v>
      </c>
      <c r="K18">
        <f>INDEX(fire_behaviour_pine(D18,E18,F18,G18),1)</f>
        <v>461.67861938476563</v>
      </c>
    </row>
  </sheetData>
  <mergeCells count="4">
    <mergeCell ref="A4:L4"/>
    <mergeCell ref="A8:L8"/>
    <mergeCell ref="A12:L12"/>
    <mergeCell ref="A16:L16"/>
  </mergeCells>
  <conditionalFormatting sqref="A6:A7">
    <cfRule type="expression" dxfId="11" priority="11">
      <formula>$A6="Fail"</formula>
    </cfRule>
    <cfRule type="expression" dxfId="10" priority="12">
      <formula>$A$9="Pass"</formula>
    </cfRule>
  </conditionalFormatting>
  <conditionalFormatting sqref="A14">
    <cfRule type="expression" dxfId="9" priority="3">
      <formula>$A14="Fail"</formula>
    </cfRule>
    <cfRule type="expression" dxfId="8" priority="4">
      <formula>$A$9="Pass"</formula>
    </cfRule>
  </conditionalFormatting>
  <conditionalFormatting sqref="A10">
    <cfRule type="expression" dxfId="7" priority="5">
      <formula>$A10="Fail"</formula>
    </cfRule>
    <cfRule type="expression" dxfId="6" priority="6">
      <formula>$A$9="Pass"</formula>
    </cfRule>
  </conditionalFormatting>
  <conditionalFormatting sqref="A18">
    <cfRule type="expression" dxfId="5" priority="1">
      <formula>$A18="Fail"</formula>
    </cfRule>
    <cfRule type="expression" dxfId="4" priority="2">
      <formula>$A$9="Pass"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280"/>
  <sheetViews>
    <sheetView tabSelected="1" workbookViewId="0">
      <selection activeCell="R1" sqref="R1"/>
    </sheetView>
  </sheetViews>
  <sheetFormatPr defaultRowHeight="14.4" x14ac:dyDescent="0.3"/>
  <sheetData>
    <row r="1" spans="1:24" x14ac:dyDescent="0.3">
      <c r="A1" s="41" t="s">
        <v>48</v>
      </c>
      <c r="B1" s="41">
        <f>COUNTIF(A:A,"Pass")</f>
        <v>55</v>
      </c>
      <c r="M1" s="41" t="s">
        <v>48</v>
      </c>
      <c r="N1" s="41">
        <f>COUNTIF(M:M,"Pass")</f>
        <v>275</v>
      </c>
    </row>
    <row r="2" spans="1:24" x14ac:dyDescent="0.3">
      <c r="A2" s="40" t="s">
        <v>49</v>
      </c>
      <c r="B2" s="40">
        <f>COUNTIF(A:A,"Fail")</f>
        <v>0</v>
      </c>
      <c r="M2" s="40" t="s">
        <v>49</v>
      </c>
      <c r="N2" s="40">
        <f>COUNTIF(M:M,"Fail")</f>
        <v>0</v>
      </c>
    </row>
    <row r="4" spans="1:24" ht="220.05" customHeight="1" x14ac:dyDescent="0.3">
      <c r="A4" s="60" t="s">
        <v>123</v>
      </c>
      <c r="B4" s="61"/>
      <c r="C4" s="61"/>
      <c r="D4" s="61"/>
      <c r="E4" s="61"/>
      <c r="F4" s="61"/>
      <c r="G4" s="61"/>
      <c r="H4" s="61"/>
      <c r="I4" s="61"/>
      <c r="J4" s="61"/>
      <c r="K4" s="61"/>
      <c r="L4" s="61"/>
      <c r="M4" s="60" t="s">
        <v>145</v>
      </c>
      <c r="N4" s="61"/>
      <c r="O4" s="61"/>
      <c r="P4" s="61"/>
      <c r="Q4" s="61"/>
      <c r="R4" s="61"/>
      <c r="S4" s="61"/>
      <c r="T4" s="61"/>
      <c r="U4" s="61"/>
      <c r="V4" s="61"/>
      <c r="W4" s="61"/>
      <c r="X4" s="61"/>
    </row>
    <row r="5" spans="1:24" x14ac:dyDescent="0.3">
      <c r="A5" s="39" t="s">
        <v>34</v>
      </c>
      <c r="B5" s="39" t="s">
        <v>43</v>
      </c>
      <c r="C5" s="39" t="s">
        <v>69</v>
      </c>
      <c r="D5" s="39" t="s">
        <v>70</v>
      </c>
      <c r="E5" s="39" t="s">
        <v>33</v>
      </c>
      <c r="F5" s="39"/>
      <c r="G5" s="39"/>
      <c r="H5" s="39"/>
      <c r="I5" s="39"/>
      <c r="J5" s="39"/>
      <c r="M5" s="39" t="s">
        <v>34</v>
      </c>
      <c r="N5" s="39" t="s">
        <v>43</v>
      </c>
      <c r="O5" s="39" t="s">
        <v>52</v>
      </c>
      <c r="P5" s="39" t="s">
        <v>146</v>
      </c>
      <c r="Q5" s="39" t="s">
        <v>7</v>
      </c>
      <c r="R5" s="39" t="s">
        <v>33</v>
      </c>
    </row>
    <row r="6" spans="1:24" x14ac:dyDescent="0.3">
      <c r="A6" t="str">
        <f>IF(ISBLANK(B6),"",IF(ROUND(B6,0)=ROUND(E6,0),"Pass","Fail"))</f>
        <v>Pass</v>
      </c>
      <c r="B6">
        <f>FMC_pine(C6,D6)</f>
        <v>4.3425998687744141</v>
      </c>
      <c r="C6">
        <v>0</v>
      </c>
      <c r="D6">
        <v>0</v>
      </c>
      <c r="E6">
        <v>4.3426</v>
      </c>
      <c r="M6" t="str">
        <f>IF(ISBLANK(N6),"",IF(ROUND(N6,0)=ROUND(R6,0),"Pass","Fail"))</f>
        <v>Pass</v>
      </c>
      <c r="N6">
        <f>FA_pine(O6,P6,Q6)</f>
        <v>9.5184138044714928E-3</v>
      </c>
      <c r="O6">
        <v>0</v>
      </c>
      <c r="P6">
        <v>0</v>
      </c>
      <c r="Q6">
        <v>3</v>
      </c>
      <c r="R6">
        <v>9.5184135977337096E-3</v>
      </c>
    </row>
    <row r="7" spans="1:24" x14ac:dyDescent="0.3">
      <c r="A7" t="str">
        <f t="shared" ref="A7:A60" si="0">IF(ISBLANK(B7),"",IF(ROUND(B7,0)=ROUND(E7,0),"Pass","Fail"))</f>
        <v>Pass</v>
      </c>
      <c r="B7">
        <f t="shared" ref="B7:B60" si="1">FMC_pine(C7,D7)</f>
        <v>5.5306000709533691</v>
      </c>
      <c r="C7">
        <v>0</v>
      </c>
      <c r="D7">
        <v>10</v>
      </c>
      <c r="E7">
        <v>5.5305999999999997</v>
      </c>
      <c r="M7" t="str">
        <f t="shared" ref="M7:M70" si="2">IF(ISBLANK(N7),"",IF(ROUND(N7,0)=ROUND(R7,0),"Pass","Fail"))</f>
        <v>Pass</v>
      </c>
      <c r="N7">
        <f t="shared" ref="N7:N70" si="3">FA_pine(O7,P7,Q7)</f>
        <v>9.5184138044714928E-3</v>
      </c>
      <c r="O7">
        <v>0</v>
      </c>
      <c r="P7">
        <v>0</v>
      </c>
      <c r="Q7">
        <v>3.5</v>
      </c>
      <c r="R7">
        <v>9.5184135977337096E-3</v>
      </c>
    </row>
    <row r="8" spans="1:24" x14ac:dyDescent="0.3">
      <c r="A8" t="str">
        <f t="shared" si="0"/>
        <v>Pass</v>
      </c>
      <c r="B8">
        <f t="shared" si="1"/>
        <v>6.718599796295166</v>
      </c>
      <c r="C8">
        <v>0</v>
      </c>
      <c r="D8">
        <v>20</v>
      </c>
      <c r="E8">
        <v>6.7186000000000003</v>
      </c>
      <c r="M8" t="str">
        <f t="shared" si="2"/>
        <v>Pass</v>
      </c>
      <c r="N8">
        <f t="shared" si="3"/>
        <v>9.5184138044714928E-3</v>
      </c>
      <c r="O8">
        <v>0</v>
      </c>
      <c r="P8">
        <v>0</v>
      </c>
      <c r="Q8">
        <v>4</v>
      </c>
      <c r="R8">
        <v>9.5184135977337096E-3</v>
      </c>
    </row>
    <row r="9" spans="1:24" x14ac:dyDescent="0.3">
      <c r="A9" t="str">
        <f t="shared" si="0"/>
        <v>Pass</v>
      </c>
      <c r="B9">
        <f t="shared" si="1"/>
        <v>7.9065999984741211</v>
      </c>
      <c r="C9">
        <v>0</v>
      </c>
      <c r="D9">
        <v>30</v>
      </c>
      <c r="E9">
        <v>7.9066000000000001</v>
      </c>
      <c r="M9" t="str">
        <f t="shared" si="2"/>
        <v>Pass</v>
      </c>
      <c r="N9">
        <f t="shared" si="3"/>
        <v>9.5184138044714928E-3</v>
      </c>
      <c r="O9">
        <v>0</v>
      </c>
      <c r="P9">
        <v>0</v>
      </c>
      <c r="Q9">
        <v>4.5</v>
      </c>
      <c r="R9">
        <v>9.5184135977337096E-3</v>
      </c>
    </row>
    <row r="10" spans="1:24" x14ac:dyDescent="0.3">
      <c r="A10" t="str">
        <f t="shared" si="0"/>
        <v>Pass</v>
      </c>
      <c r="B10">
        <f t="shared" si="1"/>
        <v>9.094599723815918</v>
      </c>
      <c r="C10">
        <v>0</v>
      </c>
      <c r="D10">
        <v>40</v>
      </c>
      <c r="E10">
        <v>9.0945999999999998</v>
      </c>
      <c r="M10" t="str">
        <f t="shared" si="2"/>
        <v>Pass</v>
      </c>
      <c r="N10">
        <f t="shared" si="3"/>
        <v>9.5184138044714928E-3</v>
      </c>
      <c r="O10">
        <v>0</v>
      </c>
      <c r="P10">
        <v>0</v>
      </c>
      <c r="Q10">
        <v>5</v>
      </c>
      <c r="R10">
        <v>9.5184135977337096E-3</v>
      </c>
    </row>
    <row r="11" spans="1:24" x14ac:dyDescent="0.3">
      <c r="A11" t="str">
        <f t="shared" si="0"/>
        <v>Pass</v>
      </c>
      <c r="B11">
        <f t="shared" si="1"/>
        <v>10.282600402832031</v>
      </c>
      <c r="C11">
        <v>0</v>
      </c>
      <c r="D11">
        <v>50</v>
      </c>
      <c r="E11">
        <v>10.2826</v>
      </c>
      <c r="M11" t="str">
        <f t="shared" si="2"/>
        <v>Pass</v>
      </c>
      <c r="N11">
        <f t="shared" si="3"/>
        <v>9.5184138044714928E-3</v>
      </c>
      <c r="O11">
        <v>0</v>
      </c>
      <c r="P11">
        <v>10</v>
      </c>
      <c r="Q11">
        <v>3</v>
      </c>
      <c r="R11">
        <v>9.5184135977337096E-3</v>
      </c>
    </row>
    <row r="12" spans="1:24" x14ac:dyDescent="0.3">
      <c r="A12" t="str">
        <f t="shared" si="0"/>
        <v>Pass</v>
      </c>
      <c r="B12">
        <f t="shared" si="1"/>
        <v>11.470600128173828</v>
      </c>
      <c r="C12">
        <v>0</v>
      </c>
      <c r="D12">
        <v>60</v>
      </c>
      <c r="E12">
        <v>11.470599999999999</v>
      </c>
      <c r="M12" t="str">
        <f t="shared" si="2"/>
        <v>Pass</v>
      </c>
      <c r="N12">
        <f t="shared" si="3"/>
        <v>9.5184138044714928E-3</v>
      </c>
      <c r="O12">
        <v>0</v>
      </c>
      <c r="P12">
        <v>10</v>
      </c>
      <c r="Q12">
        <v>3.5</v>
      </c>
      <c r="R12">
        <v>9.5184135977337096E-3</v>
      </c>
    </row>
    <row r="13" spans="1:24" x14ac:dyDescent="0.3">
      <c r="A13" t="str">
        <f t="shared" si="0"/>
        <v>Pass</v>
      </c>
      <c r="B13">
        <f t="shared" si="1"/>
        <v>12.658599853515625</v>
      </c>
      <c r="C13">
        <v>0</v>
      </c>
      <c r="D13">
        <v>70</v>
      </c>
      <c r="E13">
        <v>12.6586</v>
      </c>
      <c r="M13" t="str">
        <f t="shared" si="2"/>
        <v>Pass</v>
      </c>
      <c r="N13">
        <f t="shared" si="3"/>
        <v>9.5184138044714928E-3</v>
      </c>
      <c r="O13">
        <v>0</v>
      </c>
      <c r="P13">
        <v>10</v>
      </c>
      <c r="Q13">
        <v>4</v>
      </c>
      <c r="R13">
        <v>9.5184135977337096E-3</v>
      </c>
    </row>
    <row r="14" spans="1:24" x14ac:dyDescent="0.3">
      <c r="A14" t="str">
        <f t="shared" si="0"/>
        <v>Pass</v>
      </c>
      <c r="B14">
        <f t="shared" si="1"/>
        <v>13.846599578857422</v>
      </c>
      <c r="C14">
        <v>0</v>
      </c>
      <c r="D14">
        <v>80</v>
      </c>
      <c r="E14">
        <v>13.846599999999899</v>
      </c>
      <c r="M14" t="str">
        <f t="shared" si="2"/>
        <v>Pass</v>
      </c>
      <c r="N14">
        <f t="shared" si="3"/>
        <v>9.5184138044714928E-3</v>
      </c>
      <c r="O14">
        <v>0</v>
      </c>
      <c r="P14">
        <v>10</v>
      </c>
      <c r="Q14">
        <v>4.5</v>
      </c>
      <c r="R14">
        <v>9.5184135977337096E-3</v>
      </c>
    </row>
    <row r="15" spans="1:24" x14ac:dyDescent="0.3">
      <c r="A15" t="str">
        <f t="shared" si="0"/>
        <v>Pass</v>
      </c>
      <c r="B15">
        <f t="shared" si="1"/>
        <v>15.034600257873535</v>
      </c>
      <c r="C15">
        <v>0</v>
      </c>
      <c r="D15">
        <v>90</v>
      </c>
      <c r="E15">
        <v>15.034599999999999</v>
      </c>
      <c r="M15" t="str">
        <f t="shared" si="2"/>
        <v>Pass</v>
      </c>
      <c r="N15">
        <f t="shared" si="3"/>
        <v>9.5184138044714928E-3</v>
      </c>
      <c r="O15">
        <v>0</v>
      </c>
      <c r="P15">
        <v>10</v>
      </c>
      <c r="Q15">
        <v>5</v>
      </c>
      <c r="R15">
        <v>9.5184135977337096E-3</v>
      </c>
    </row>
    <row r="16" spans="1:24" x14ac:dyDescent="0.3">
      <c r="A16" t="str">
        <f t="shared" si="0"/>
        <v>Pass</v>
      </c>
      <c r="B16">
        <f t="shared" si="1"/>
        <v>16.222600936889648</v>
      </c>
      <c r="C16">
        <v>0</v>
      </c>
      <c r="D16">
        <v>100</v>
      </c>
      <c r="E16">
        <v>16.2226</v>
      </c>
      <c r="M16" t="str">
        <f t="shared" si="2"/>
        <v>Pass</v>
      </c>
      <c r="N16">
        <f t="shared" si="3"/>
        <v>9.5184138044714928E-3</v>
      </c>
      <c r="O16">
        <v>0</v>
      </c>
      <c r="P16">
        <v>20</v>
      </c>
      <c r="Q16">
        <v>3</v>
      </c>
      <c r="R16">
        <v>9.5184135977337096E-3</v>
      </c>
    </row>
    <row r="17" spans="1:18" x14ac:dyDescent="0.3">
      <c r="A17" t="str">
        <f t="shared" si="0"/>
        <v>Pass</v>
      </c>
      <c r="B17">
        <f t="shared" si="1"/>
        <v>4.1315999031066895</v>
      </c>
      <c r="C17">
        <v>10</v>
      </c>
      <c r="D17">
        <v>0</v>
      </c>
      <c r="E17">
        <v>4.1315999999999997</v>
      </c>
      <c r="M17" t="str">
        <f t="shared" si="2"/>
        <v>Pass</v>
      </c>
      <c r="N17">
        <f t="shared" si="3"/>
        <v>9.5184138044714928E-3</v>
      </c>
      <c r="O17">
        <v>0</v>
      </c>
      <c r="P17">
        <v>20</v>
      </c>
      <c r="Q17">
        <v>3.5</v>
      </c>
      <c r="R17">
        <v>9.5184135977337096E-3</v>
      </c>
    </row>
    <row r="18" spans="1:18" x14ac:dyDescent="0.3">
      <c r="A18" t="str">
        <f t="shared" si="0"/>
        <v>Pass</v>
      </c>
      <c r="B18">
        <f t="shared" si="1"/>
        <v>5.3196001052856445</v>
      </c>
      <c r="C18">
        <v>10</v>
      </c>
      <c r="D18">
        <v>10</v>
      </c>
      <c r="E18">
        <v>5.3195999999999897</v>
      </c>
      <c r="M18" t="str">
        <f t="shared" si="2"/>
        <v>Pass</v>
      </c>
      <c r="N18">
        <f t="shared" si="3"/>
        <v>9.5184138044714928E-3</v>
      </c>
      <c r="O18">
        <v>0</v>
      </c>
      <c r="P18">
        <v>20</v>
      </c>
      <c r="Q18">
        <v>4</v>
      </c>
      <c r="R18">
        <v>9.5184135977337096E-3</v>
      </c>
    </row>
    <row r="19" spans="1:18" x14ac:dyDescent="0.3">
      <c r="A19" t="str">
        <f t="shared" si="0"/>
        <v>Pass</v>
      </c>
      <c r="B19">
        <f t="shared" si="1"/>
        <v>6.5075998306274414</v>
      </c>
      <c r="C19">
        <v>10</v>
      </c>
      <c r="D19">
        <v>20</v>
      </c>
      <c r="E19">
        <v>6.5076000000000001</v>
      </c>
      <c r="M19" t="str">
        <f t="shared" si="2"/>
        <v>Pass</v>
      </c>
      <c r="N19">
        <f t="shared" si="3"/>
        <v>9.5184138044714928E-3</v>
      </c>
      <c r="O19">
        <v>0</v>
      </c>
      <c r="P19">
        <v>20</v>
      </c>
      <c r="Q19">
        <v>4.5</v>
      </c>
      <c r="R19">
        <v>9.5184135977337096E-3</v>
      </c>
    </row>
    <row r="20" spans="1:18" x14ac:dyDescent="0.3">
      <c r="A20" t="str">
        <f t="shared" si="0"/>
        <v>Pass</v>
      </c>
      <c r="B20">
        <f t="shared" si="1"/>
        <v>7.6956000328063965</v>
      </c>
      <c r="C20">
        <v>10</v>
      </c>
      <c r="D20">
        <v>30</v>
      </c>
      <c r="E20">
        <v>7.6955999999999998</v>
      </c>
      <c r="M20" t="str">
        <f t="shared" si="2"/>
        <v>Pass</v>
      </c>
      <c r="N20">
        <f t="shared" si="3"/>
        <v>9.5184138044714928E-3</v>
      </c>
      <c r="O20">
        <v>0</v>
      </c>
      <c r="P20">
        <v>20</v>
      </c>
      <c r="Q20">
        <v>5</v>
      </c>
      <c r="R20">
        <v>9.5184135977337096E-3</v>
      </c>
    </row>
    <row r="21" spans="1:18" x14ac:dyDescent="0.3">
      <c r="A21" t="str">
        <f t="shared" si="0"/>
        <v>Pass</v>
      </c>
      <c r="B21">
        <f t="shared" si="1"/>
        <v>8.8836002349853516</v>
      </c>
      <c r="C21">
        <v>10</v>
      </c>
      <c r="D21">
        <v>40</v>
      </c>
      <c r="E21">
        <v>8.8835999999999995</v>
      </c>
      <c r="M21" t="str">
        <f t="shared" si="2"/>
        <v>Pass</v>
      </c>
      <c r="N21">
        <f t="shared" si="3"/>
        <v>9.5184138044714928E-3</v>
      </c>
      <c r="O21">
        <v>0</v>
      </c>
      <c r="P21">
        <v>30</v>
      </c>
      <c r="Q21">
        <v>3</v>
      </c>
      <c r="R21">
        <v>9.5184135977337096E-3</v>
      </c>
    </row>
    <row r="22" spans="1:18" x14ac:dyDescent="0.3">
      <c r="A22" t="str">
        <f t="shared" si="0"/>
        <v>Pass</v>
      </c>
      <c r="B22">
        <f t="shared" si="1"/>
        <v>10.071599960327148</v>
      </c>
      <c r="C22">
        <v>10</v>
      </c>
      <c r="D22">
        <v>50</v>
      </c>
      <c r="E22">
        <v>10.0716</v>
      </c>
      <c r="M22" t="str">
        <f t="shared" si="2"/>
        <v>Pass</v>
      </c>
      <c r="N22">
        <f t="shared" si="3"/>
        <v>9.5184138044714928E-3</v>
      </c>
      <c r="O22">
        <v>0</v>
      </c>
      <c r="P22">
        <v>30</v>
      </c>
      <c r="Q22">
        <v>3.5</v>
      </c>
      <c r="R22">
        <v>9.5184135977337096E-3</v>
      </c>
    </row>
    <row r="23" spans="1:18" x14ac:dyDescent="0.3">
      <c r="A23" t="str">
        <f t="shared" si="0"/>
        <v>Pass</v>
      </c>
      <c r="B23">
        <f t="shared" si="1"/>
        <v>11.259599685668945</v>
      </c>
      <c r="C23">
        <v>10</v>
      </c>
      <c r="D23">
        <v>60</v>
      </c>
      <c r="E23">
        <v>11.259600000000001</v>
      </c>
      <c r="M23" t="str">
        <f t="shared" si="2"/>
        <v>Pass</v>
      </c>
      <c r="N23">
        <f t="shared" si="3"/>
        <v>9.5184138044714928E-3</v>
      </c>
      <c r="O23">
        <v>0</v>
      </c>
      <c r="P23">
        <v>30</v>
      </c>
      <c r="Q23">
        <v>4</v>
      </c>
      <c r="R23">
        <v>9.5184135977337096E-3</v>
      </c>
    </row>
    <row r="24" spans="1:18" x14ac:dyDescent="0.3">
      <c r="A24" t="str">
        <f t="shared" si="0"/>
        <v>Pass</v>
      </c>
      <c r="B24">
        <f t="shared" si="1"/>
        <v>12.447600364685059</v>
      </c>
      <c r="C24">
        <v>10</v>
      </c>
      <c r="D24">
        <v>70</v>
      </c>
      <c r="E24">
        <v>12.4476</v>
      </c>
      <c r="M24" t="str">
        <f t="shared" si="2"/>
        <v>Pass</v>
      </c>
      <c r="N24">
        <f t="shared" si="3"/>
        <v>9.5184138044714928E-3</v>
      </c>
      <c r="O24">
        <v>0</v>
      </c>
      <c r="P24">
        <v>30</v>
      </c>
      <c r="Q24">
        <v>4.5</v>
      </c>
      <c r="R24">
        <v>9.5184135977337096E-3</v>
      </c>
    </row>
    <row r="25" spans="1:18" x14ac:dyDescent="0.3">
      <c r="A25" t="str">
        <f t="shared" si="0"/>
        <v>Pass</v>
      </c>
      <c r="B25">
        <f t="shared" si="1"/>
        <v>13.635600090026855</v>
      </c>
      <c r="C25">
        <v>10</v>
      </c>
      <c r="D25">
        <v>80</v>
      </c>
      <c r="E25">
        <v>13.635599999999901</v>
      </c>
      <c r="M25" t="str">
        <f t="shared" si="2"/>
        <v>Pass</v>
      </c>
      <c r="N25">
        <f t="shared" si="3"/>
        <v>9.5184138044714928E-3</v>
      </c>
      <c r="O25">
        <v>0</v>
      </c>
      <c r="P25">
        <v>30</v>
      </c>
      <c r="Q25">
        <v>5</v>
      </c>
      <c r="R25">
        <v>9.5184135977337096E-3</v>
      </c>
    </row>
    <row r="26" spans="1:18" x14ac:dyDescent="0.3">
      <c r="A26" t="str">
        <f t="shared" si="0"/>
        <v>Pass</v>
      </c>
      <c r="B26">
        <f t="shared" si="1"/>
        <v>14.823599815368652</v>
      </c>
      <c r="C26">
        <v>10</v>
      </c>
      <c r="D26">
        <v>90</v>
      </c>
      <c r="E26">
        <v>14.823600000000001</v>
      </c>
      <c r="M26" t="str">
        <f t="shared" si="2"/>
        <v>Pass</v>
      </c>
      <c r="N26">
        <f t="shared" si="3"/>
        <v>9.5184138044714928E-3</v>
      </c>
      <c r="O26">
        <v>0</v>
      </c>
      <c r="P26">
        <v>40</v>
      </c>
      <c r="Q26">
        <v>3</v>
      </c>
      <c r="R26">
        <v>9.5184135977337096E-3</v>
      </c>
    </row>
    <row r="27" spans="1:18" x14ac:dyDescent="0.3">
      <c r="A27" t="str">
        <f t="shared" si="0"/>
        <v>Pass</v>
      </c>
      <c r="B27">
        <f t="shared" si="1"/>
        <v>16.011600494384766</v>
      </c>
      <c r="C27">
        <v>10</v>
      </c>
      <c r="D27">
        <v>100</v>
      </c>
      <c r="E27">
        <v>16.011600000000001</v>
      </c>
      <c r="M27" t="str">
        <f t="shared" si="2"/>
        <v>Pass</v>
      </c>
      <c r="N27">
        <f t="shared" si="3"/>
        <v>9.5184138044714928E-3</v>
      </c>
      <c r="O27">
        <v>0</v>
      </c>
      <c r="P27">
        <v>40</v>
      </c>
      <c r="Q27">
        <v>3.5</v>
      </c>
      <c r="R27">
        <v>9.5184135977337096E-3</v>
      </c>
    </row>
    <row r="28" spans="1:18" x14ac:dyDescent="0.3">
      <c r="A28" t="str">
        <f t="shared" si="0"/>
        <v>Pass</v>
      </c>
      <c r="B28">
        <f t="shared" si="1"/>
        <v>3.9205999374389648</v>
      </c>
      <c r="C28">
        <v>20</v>
      </c>
      <c r="D28">
        <v>0</v>
      </c>
      <c r="E28">
        <v>3.9205999999999999</v>
      </c>
      <c r="M28" t="str">
        <f t="shared" si="2"/>
        <v>Pass</v>
      </c>
      <c r="N28">
        <f t="shared" si="3"/>
        <v>9.5184138044714928E-3</v>
      </c>
      <c r="O28">
        <v>0</v>
      </c>
      <c r="P28">
        <v>40</v>
      </c>
      <c r="Q28">
        <v>4</v>
      </c>
      <c r="R28">
        <v>9.5184135977337096E-3</v>
      </c>
    </row>
    <row r="29" spans="1:18" x14ac:dyDescent="0.3">
      <c r="A29" t="str">
        <f t="shared" si="0"/>
        <v>Pass</v>
      </c>
      <c r="B29">
        <f t="shared" si="1"/>
        <v>5.1086001396179199</v>
      </c>
      <c r="C29">
        <v>20</v>
      </c>
      <c r="D29">
        <v>10</v>
      </c>
      <c r="E29">
        <v>5.1086</v>
      </c>
      <c r="M29" t="str">
        <f t="shared" si="2"/>
        <v>Pass</v>
      </c>
      <c r="N29">
        <f t="shared" si="3"/>
        <v>9.5184138044714928E-3</v>
      </c>
      <c r="O29">
        <v>0</v>
      </c>
      <c r="P29">
        <v>40</v>
      </c>
      <c r="Q29">
        <v>4.5</v>
      </c>
      <c r="R29">
        <v>9.5184135977337096E-3</v>
      </c>
    </row>
    <row r="30" spans="1:18" x14ac:dyDescent="0.3">
      <c r="A30" t="str">
        <f t="shared" si="0"/>
        <v>Pass</v>
      </c>
      <c r="B30">
        <f t="shared" si="1"/>
        <v>6.2965998649597168</v>
      </c>
      <c r="C30">
        <v>20</v>
      </c>
      <c r="D30">
        <v>20</v>
      </c>
      <c r="E30">
        <v>6.2965999999999998</v>
      </c>
      <c r="M30" t="str">
        <f t="shared" si="2"/>
        <v>Pass</v>
      </c>
      <c r="N30">
        <f t="shared" si="3"/>
        <v>9.5184138044714928E-3</v>
      </c>
      <c r="O30">
        <v>0</v>
      </c>
      <c r="P30">
        <v>40</v>
      </c>
      <c r="Q30">
        <v>5</v>
      </c>
      <c r="R30">
        <v>9.5184135977337096E-3</v>
      </c>
    </row>
    <row r="31" spans="1:18" x14ac:dyDescent="0.3">
      <c r="A31" t="str">
        <f t="shared" si="0"/>
        <v>Pass</v>
      </c>
      <c r="B31">
        <f t="shared" si="1"/>
        <v>7.4846000671386719</v>
      </c>
      <c r="C31">
        <v>20</v>
      </c>
      <c r="D31">
        <v>30</v>
      </c>
      <c r="E31">
        <v>7.4846000000000004</v>
      </c>
      <c r="M31" t="str">
        <f t="shared" si="2"/>
        <v>Pass</v>
      </c>
      <c r="N31">
        <f t="shared" si="3"/>
        <v>9.5184138044714928E-3</v>
      </c>
      <c r="O31">
        <v>0</v>
      </c>
      <c r="P31">
        <v>50</v>
      </c>
      <c r="Q31">
        <v>3</v>
      </c>
      <c r="R31">
        <v>9.5184135977337096E-3</v>
      </c>
    </row>
    <row r="32" spans="1:18" x14ac:dyDescent="0.3">
      <c r="A32" t="str">
        <f t="shared" si="0"/>
        <v>Pass</v>
      </c>
      <c r="B32">
        <f t="shared" si="1"/>
        <v>8.6725997924804688</v>
      </c>
      <c r="C32">
        <v>20</v>
      </c>
      <c r="D32">
        <v>40</v>
      </c>
      <c r="E32">
        <v>8.6725999999999992</v>
      </c>
      <c r="M32" t="str">
        <f t="shared" si="2"/>
        <v>Pass</v>
      </c>
      <c r="N32">
        <f t="shared" si="3"/>
        <v>9.5184138044714928E-3</v>
      </c>
      <c r="O32">
        <v>0</v>
      </c>
      <c r="P32">
        <v>50</v>
      </c>
      <c r="Q32">
        <v>3.5</v>
      </c>
      <c r="R32">
        <v>9.5184135977337096E-3</v>
      </c>
    </row>
    <row r="33" spans="1:18" x14ac:dyDescent="0.3">
      <c r="A33" t="str">
        <f t="shared" si="0"/>
        <v>Pass</v>
      </c>
      <c r="B33">
        <f t="shared" si="1"/>
        <v>9.860600471496582</v>
      </c>
      <c r="C33">
        <v>20</v>
      </c>
      <c r="D33">
        <v>50</v>
      </c>
      <c r="E33">
        <v>9.8605999999999998</v>
      </c>
      <c r="M33" t="str">
        <f t="shared" si="2"/>
        <v>Pass</v>
      </c>
      <c r="N33">
        <f t="shared" si="3"/>
        <v>9.5184138044714928E-3</v>
      </c>
      <c r="O33">
        <v>0</v>
      </c>
      <c r="P33">
        <v>50</v>
      </c>
      <c r="Q33">
        <v>4</v>
      </c>
      <c r="R33">
        <v>9.5184135977337096E-3</v>
      </c>
    </row>
    <row r="34" spans="1:18" x14ac:dyDescent="0.3">
      <c r="A34" t="str">
        <f t="shared" si="0"/>
        <v>Pass</v>
      </c>
      <c r="B34">
        <f t="shared" si="1"/>
        <v>11.048600196838379</v>
      </c>
      <c r="C34">
        <v>20</v>
      </c>
      <c r="D34">
        <v>60</v>
      </c>
      <c r="E34">
        <v>11.0486</v>
      </c>
      <c r="M34" t="str">
        <f t="shared" si="2"/>
        <v>Pass</v>
      </c>
      <c r="N34">
        <f t="shared" si="3"/>
        <v>9.5184138044714928E-3</v>
      </c>
      <c r="O34">
        <v>0</v>
      </c>
      <c r="P34">
        <v>50</v>
      </c>
      <c r="Q34">
        <v>4.5</v>
      </c>
      <c r="R34">
        <v>9.5184135977337096E-3</v>
      </c>
    </row>
    <row r="35" spans="1:18" x14ac:dyDescent="0.3">
      <c r="A35" t="str">
        <f t="shared" si="0"/>
        <v>Pass</v>
      </c>
      <c r="B35">
        <f t="shared" si="1"/>
        <v>12.236599922180176</v>
      </c>
      <c r="C35">
        <v>20</v>
      </c>
      <c r="D35">
        <v>70</v>
      </c>
      <c r="E35">
        <v>12.236599999999999</v>
      </c>
      <c r="M35" t="str">
        <f t="shared" si="2"/>
        <v>Pass</v>
      </c>
      <c r="N35">
        <f t="shared" si="3"/>
        <v>9.5184138044714928E-3</v>
      </c>
      <c r="O35">
        <v>0</v>
      </c>
      <c r="P35">
        <v>50</v>
      </c>
      <c r="Q35">
        <v>5</v>
      </c>
      <c r="R35">
        <v>9.5184135977337096E-3</v>
      </c>
    </row>
    <row r="36" spans="1:18" x14ac:dyDescent="0.3">
      <c r="A36" t="str">
        <f t="shared" si="0"/>
        <v>Pass</v>
      </c>
      <c r="B36">
        <f t="shared" si="1"/>
        <v>13.424599647521973</v>
      </c>
      <c r="C36">
        <v>20</v>
      </c>
      <c r="D36">
        <v>80</v>
      </c>
      <c r="E36">
        <v>13.4245999999999</v>
      </c>
      <c r="M36" t="str">
        <f t="shared" si="2"/>
        <v>Pass</v>
      </c>
      <c r="N36">
        <f t="shared" si="3"/>
        <v>9.5184138044714928E-3</v>
      </c>
      <c r="O36">
        <v>0</v>
      </c>
      <c r="P36">
        <v>60</v>
      </c>
      <c r="Q36">
        <v>3</v>
      </c>
      <c r="R36">
        <v>9.5184135977337096E-3</v>
      </c>
    </row>
    <row r="37" spans="1:18" x14ac:dyDescent="0.3">
      <c r="A37" t="str">
        <f t="shared" si="0"/>
        <v>Pass</v>
      </c>
      <c r="B37">
        <f t="shared" si="1"/>
        <v>14.612600326538086</v>
      </c>
      <c r="C37">
        <v>20</v>
      </c>
      <c r="D37">
        <v>90</v>
      </c>
      <c r="E37">
        <v>14.6126</v>
      </c>
      <c r="M37" t="str">
        <f t="shared" si="2"/>
        <v>Pass</v>
      </c>
      <c r="N37">
        <f t="shared" si="3"/>
        <v>9.5184138044714928E-3</v>
      </c>
      <c r="O37">
        <v>0</v>
      </c>
      <c r="P37">
        <v>60</v>
      </c>
      <c r="Q37">
        <v>3.5</v>
      </c>
      <c r="R37">
        <v>9.5184135977337096E-3</v>
      </c>
    </row>
    <row r="38" spans="1:18" x14ac:dyDescent="0.3">
      <c r="A38" t="str">
        <f t="shared" si="0"/>
        <v>Pass</v>
      </c>
      <c r="B38">
        <f t="shared" si="1"/>
        <v>15.800600051879883</v>
      </c>
      <c r="C38">
        <v>20</v>
      </c>
      <c r="D38">
        <v>100</v>
      </c>
      <c r="E38">
        <v>15.800599999999999</v>
      </c>
      <c r="M38" t="str">
        <f t="shared" si="2"/>
        <v>Pass</v>
      </c>
      <c r="N38">
        <f t="shared" si="3"/>
        <v>9.5184138044714928E-3</v>
      </c>
      <c r="O38">
        <v>0</v>
      </c>
      <c r="P38">
        <v>60</v>
      </c>
      <c r="Q38">
        <v>4</v>
      </c>
      <c r="R38">
        <v>9.5184135977337096E-3</v>
      </c>
    </row>
    <row r="39" spans="1:18" x14ac:dyDescent="0.3">
      <c r="A39" t="str">
        <f t="shared" si="0"/>
        <v>Pass</v>
      </c>
      <c r="B39">
        <f t="shared" si="1"/>
        <v>3.7095999717712402</v>
      </c>
      <c r="C39">
        <v>30</v>
      </c>
      <c r="D39">
        <v>0</v>
      </c>
      <c r="E39">
        <v>3.7096</v>
      </c>
      <c r="M39" t="str">
        <f t="shared" si="2"/>
        <v>Pass</v>
      </c>
      <c r="N39">
        <f t="shared" si="3"/>
        <v>9.5184138044714928E-3</v>
      </c>
      <c r="O39">
        <v>0</v>
      </c>
      <c r="P39">
        <v>60</v>
      </c>
      <c r="Q39">
        <v>4.5</v>
      </c>
      <c r="R39">
        <v>9.5184135977337096E-3</v>
      </c>
    </row>
    <row r="40" spans="1:18" x14ac:dyDescent="0.3">
      <c r="A40" t="str">
        <f t="shared" si="0"/>
        <v>Pass</v>
      </c>
      <c r="B40">
        <f t="shared" si="1"/>
        <v>4.8976001739501953</v>
      </c>
      <c r="C40">
        <v>30</v>
      </c>
      <c r="D40">
        <v>10</v>
      </c>
      <c r="E40">
        <v>4.8975999999999997</v>
      </c>
      <c r="M40" t="str">
        <f t="shared" si="2"/>
        <v>Pass</v>
      </c>
      <c r="N40">
        <f t="shared" si="3"/>
        <v>9.5184138044714928E-3</v>
      </c>
      <c r="O40">
        <v>0</v>
      </c>
      <c r="P40">
        <v>60</v>
      </c>
      <c r="Q40">
        <v>5</v>
      </c>
      <c r="R40">
        <v>9.5184135977337096E-3</v>
      </c>
    </row>
    <row r="41" spans="1:18" x14ac:dyDescent="0.3">
      <c r="A41" t="str">
        <f t="shared" si="0"/>
        <v>Pass</v>
      </c>
      <c r="B41">
        <f t="shared" si="1"/>
        <v>6.0855998992919922</v>
      </c>
      <c r="C41">
        <v>30</v>
      </c>
      <c r="D41">
        <v>20</v>
      </c>
      <c r="E41">
        <v>6.0856000000000003</v>
      </c>
      <c r="M41" t="str">
        <f t="shared" si="2"/>
        <v>Pass</v>
      </c>
      <c r="N41">
        <f t="shared" si="3"/>
        <v>9.5184138044714928E-3</v>
      </c>
      <c r="O41">
        <v>0</v>
      </c>
      <c r="P41">
        <v>70</v>
      </c>
      <c r="Q41">
        <v>3</v>
      </c>
      <c r="R41">
        <v>9.5184135977337096E-3</v>
      </c>
    </row>
    <row r="42" spans="1:18" x14ac:dyDescent="0.3">
      <c r="A42" t="str">
        <f t="shared" si="0"/>
        <v>Pass</v>
      </c>
      <c r="B42">
        <f t="shared" si="1"/>
        <v>7.2736001014709473</v>
      </c>
      <c r="C42">
        <v>30</v>
      </c>
      <c r="D42">
        <v>30</v>
      </c>
      <c r="E42">
        <v>7.2736000000000001</v>
      </c>
      <c r="M42" t="str">
        <f t="shared" si="2"/>
        <v>Pass</v>
      </c>
      <c r="N42">
        <f t="shared" si="3"/>
        <v>9.5184138044714928E-3</v>
      </c>
      <c r="O42">
        <v>0</v>
      </c>
      <c r="P42">
        <v>70</v>
      </c>
      <c r="Q42">
        <v>3.5</v>
      </c>
      <c r="R42">
        <v>9.5184135977337096E-3</v>
      </c>
    </row>
    <row r="43" spans="1:18" x14ac:dyDescent="0.3">
      <c r="A43" t="str">
        <f t="shared" si="0"/>
        <v>Pass</v>
      </c>
      <c r="B43">
        <f t="shared" si="1"/>
        <v>8.4616003036499023</v>
      </c>
      <c r="C43">
        <v>30</v>
      </c>
      <c r="D43">
        <v>40</v>
      </c>
      <c r="E43">
        <v>8.4616000000000007</v>
      </c>
      <c r="M43" t="str">
        <f t="shared" si="2"/>
        <v>Pass</v>
      </c>
      <c r="N43">
        <f t="shared" si="3"/>
        <v>9.5184138044714928E-3</v>
      </c>
      <c r="O43">
        <v>0</v>
      </c>
      <c r="P43">
        <v>70</v>
      </c>
      <c r="Q43">
        <v>4</v>
      </c>
      <c r="R43">
        <v>9.5184135977337096E-3</v>
      </c>
    </row>
    <row r="44" spans="1:18" x14ac:dyDescent="0.3">
      <c r="A44" t="str">
        <f t="shared" si="0"/>
        <v>Pass</v>
      </c>
      <c r="B44">
        <f t="shared" si="1"/>
        <v>9.6496000289916992</v>
      </c>
      <c r="C44">
        <v>30</v>
      </c>
      <c r="D44">
        <v>50</v>
      </c>
      <c r="E44">
        <v>9.6495999999999995</v>
      </c>
      <c r="M44" t="str">
        <f t="shared" si="2"/>
        <v>Pass</v>
      </c>
      <c r="N44">
        <f t="shared" si="3"/>
        <v>9.5184138044714928E-3</v>
      </c>
      <c r="O44">
        <v>0</v>
      </c>
      <c r="P44">
        <v>70</v>
      </c>
      <c r="Q44">
        <v>4.5</v>
      </c>
      <c r="R44">
        <v>9.5184135977337096E-3</v>
      </c>
    </row>
    <row r="45" spans="1:18" x14ac:dyDescent="0.3">
      <c r="A45" t="str">
        <f t="shared" si="0"/>
        <v>Pass</v>
      </c>
      <c r="B45">
        <f t="shared" si="1"/>
        <v>10.837599754333496</v>
      </c>
      <c r="C45">
        <v>30</v>
      </c>
      <c r="D45">
        <v>60</v>
      </c>
      <c r="E45">
        <v>10.8376</v>
      </c>
      <c r="M45" t="str">
        <f t="shared" si="2"/>
        <v>Pass</v>
      </c>
      <c r="N45">
        <f t="shared" si="3"/>
        <v>9.5184138044714928E-3</v>
      </c>
      <c r="O45">
        <v>0</v>
      </c>
      <c r="P45">
        <v>70</v>
      </c>
      <c r="Q45">
        <v>5</v>
      </c>
      <c r="R45">
        <v>9.5184135977337096E-3</v>
      </c>
    </row>
    <row r="46" spans="1:18" x14ac:dyDescent="0.3">
      <c r="A46" t="str">
        <f t="shared" si="0"/>
        <v>Pass</v>
      </c>
      <c r="B46">
        <f t="shared" si="1"/>
        <v>12.025600433349609</v>
      </c>
      <c r="C46">
        <v>30</v>
      </c>
      <c r="D46">
        <v>70</v>
      </c>
      <c r="E46">
        <v>12.025600000000001</v>
      </c>
      <c r="M46" t="str">
        <f t="shared" si="2"/>
        <v>Pass</v>
      </c>
      <c r="N46">
        <f t="shared" si="3"/>
        <v>9.5184138044714928E-3</v>
      </c>
      <c r="O46">
        <v>0</v>
      </c>
      <c r="P46">
        <v>80</v>
      </c>
      <c r="Q46">
        <v>3</v>
      </c>
      <c r="R46">
        <v>9.5184135977337096E-3</v>
      </c>
    </row>
    <row r="47" spans="1:18" x14ac:dyDescent="0.3">
      <c r="A47" t="str">
        <f t="shared" si="0"/>
        <v>Pass</v>
      </c>
      <c r="B47">
        <f t="shared" si="1"/>
        <v>13.213600158691406</v>
      </c>
      <c r="C47">
        <v>30</v>
      </c>
      <c r="D47">
        <v>80</v>
      </c>
      <c r="E47">
        <v>13.2136</v>
      </c>
      <c r="M47" t="str">
        <f t="shared" si="2"/>
        <v>Pass</v>
      </c>
      <c r="N47">
        <f t="shared" si="3"/>
        <v>9.5184138044714928E-3</v>
      </c>
      <c r="O47">
        <v>0</v>
      </c>
      <c r="P47">
        <v>80</v>
      </c>
      <c r="Q47">
        <v>3.5</v>
      </c>
      <c r="R47">
        <v>9.5184135977337096E-3</v>
      </c>
    </row>
    <row r="48" spans="1:18" x14ac:dyDescent="0.3">
      <c r="A48" t="str">
        <f t="shared" si="0"/>
        <v>Pass</v>
      </c>
      <c r="B48">
        <f t="shared" si="1"/>
        <v>14.401599884033203</v>
      </c>
      <c r="C48">
        <v>30</v>
      </c>
      <c r="D48">
        <v>90</v>
      </c>
      <c r="E48">
        <v>14.4016</v>
      </c>
      <c r="M48" t="str">
        <f t="shared" si="2"/>
        <v>Pass</v>
      </c>
      <c r="N48">
        <f t="shared" si="3"/>
        <v>9.5184138044714928E-3</v>
      </c>
      <c r="O48">
        <v>0</v>
      </c>
      <c r="P48">
        <v>80</v>
      </c>
      <c r="Q48">
        <v>4</v>
      </c>
      <c r="R48">
        <v>9.5184135977337096E-3</v>
      </c>
    </row>
    <row r="49" spans="1:18" x14ac:dyDescent="0.3">
      <c r="A49" t="str">
        <f t="shared" si="0"/>
        <v>Pass</v>
      </c>
      <c r="B49">
        <f t="shared" si="1"/>
        <v>15.589599609375</v>
      </c>
      <c r="C49">
        <v>30</v>
      </c>
      <c r="D49">
        <v>100</v>
      </c>
      <c r="E49">
        <v>15.589600000000001</v>
      </c>
      <c r="M49" t="str">
        <f t="shared" si="2"/>
        <v>Pass</v>
      </c>
      <c r="N49">
        <f t="shared" si="3"/>
        <v>9.5184138044714928E-3</v>
      </c>
      <c r="O49">
        <v>0</v>
      </c>
      <c r="P49">
        <v>80</v>
      </c>
      <c r="Q49">
        <v>4.5</v>
      </c>
      <c r="R49">
        <v>9.5184135977337096E-3</v>
      </c>
    </row>
    <row r="50" spans="1:18" x14ac:dyDescent="0.3">
      <c r="A50" t="str">
        <f t="shared" si="0"/>
        <v>Pass</v>
      </c>
      <c r="B50">
        <f t="shared" si="1"/>
        <v>3.4986000061035156</v>
      </c>
      <c r="C50">
        <v>40</v>
      </c>
      <c r="D50">
        <v>0</v>
      </c>
      <c r="E50">
        <v>3.4985999999999899</v>
      </c>
      <c r="M50" t="str">
        <f t="shared" si="2"/>
        <v>Pass</v>
      </c>
      <c r="N50">
        <f t="shared" si="3"/>
        <v>9.5184138044714928E-3</v>
      </c>
      <c r="O50">
        <v>0</v>
      </c>
      <c r="P50">
        <v>80</v>
      </c>
      <c r="Q50">
        <v>5</v>
      </c>
      <c r="R50">
        <v>9.5184135977337096E-3</v>
      </c>
    </row>
    <row r="51" spans="1:18" x14ac:dyDescent="0.3">
      <c r="A51" t="str">
        <f t="shared" si="0"/>
        <v>Pass</v>
      </c>
      <c r="B51">
        <f t="shared" si="1"/>
        <v>4.6866002082824707</v>
      </c>
      <c r="C51">
        <v>40</v>
      </c>
      <c r="D51">
        <v>10</v>
      </c>
      <c r="E51">
        <v>4.6865999999999897</v>
      </c>
      <c r="M51" t="str">
        <f t="shared" si="2"/>
        <v>Pass</v>
      </c>
      <c r="N51">
        <f t="shared" si="3"/>
        <v>9.5184138044714928E-3</v>
      </c>
      <c r="O51">
        <v>0</v>
      </c>
      <c r="P51">
        <v>90</v>
      </c>
      <c r="Q51">
        <v>3</v>
      </c>
      <c r="R51">
        <v>9.5184135977337096E-3</v>
      </c>
    </row>
    <row r="52" spans="1:18" x14ac:dyDescent="0.3">
      <c r="A52" t="str">
        <f t="shared" si="0"/>
        <v>Pass</v>
      </c>
      <c r="B52">
        <f t="shared" si="1"/>
        <v>5.8745999336242676</v>
      </c>
      <c r="C52">
        <v>40</v>
      </c>
      <c r="D52">
        <v>20</v>
      </c>
      <c r="E52">
        <v>5.8746</v>
      </c>
      <c r="M52" t="str">
        <f t="shared" si="2"/>
        <v>Pass</v>
      </c>
      <c r="N52">
        <f t="shared" si="3"/>
        <v>9.5184138044714928E-3</v>
      </c>
      <c r="O52">
        <v>0</v>
      </c>
      <c r="P52">
        <v>90</v>
      </c>
      <c r="Q52">
        <v>3.5</v>
      </c>
      <c r="R52">
        <v>9.5184135977337096E-3</v>
      </c>
    </row>
    <row r="53" spans="1:18" x14ac:dyDescent="0.3">
      <c r="A53" t="str">
        <f t="shared" si="0"/>
        <v>Pass</v>
      </c>
      <c r="B53">
        <f t="shared" si="1"/>
        <v>7.0626001358032227</v>
      </c>
      <c r="C53">
        <v>40</v>
      </c>
      <c r="D53">
        <v>30</v>
      </c>
      <c r="E53">
        <v>7.0625999999999998</v>
      </c>
      <c r="M53" t="str">
        <f t="shared" si="2"/>
        <v>Pass</v>
      </c>
      <c r="N53">
        <f t="shared" si="3"/>
        <v>9.5184138044714928E-3</v>
      </c>
      <c r="O53">
        <v>0</v>
      </c>
      <c r="P53">
        <v>90</v>
      </c>
      <c r="Q53">
        <v>4</v>
      </c>
      <c r="R53">
        <v>9.5184135977337096E-3</v>
      </c>
    </row>
    <row r="54" spans="1:18" x14ac:dyDescent="0.3">
      <c r="A54" t="str">
        <f t="shared" si="0"/>
        <v>Pass</v>
      </c>
      <c r="B54">
        <f t="shared" si="1"/>
        <v>8.2505998611450195</v>
      </c>
      <c r="C54">
        <v>40</v>
      </c>
      <c r="D54">
        <v>40</v>
      </c>
      <c r="E54">
        <v>8.2506000000000004</v>
      </c>
      <c r="M54" t="str">
        <f t="shared" si="2"/>
        <v>Pass</v>
      </c>
      <c r="N54">
        <f t="shared" si="3"/>
        <v>9.5184138044714928E-3</v>
      </c>
      <c r="O54">
        <v>0</v>
      </c>
      <c r="P54">
        <v>90</v>
      </c>
      <c r="Q54">
        <v>4.5</v>
      </c>
      <c r="R54">
        <v>9.5184135977337096E-3</v>
      </c>
    </row>
    <row r="55" spans="1:18" x14ac:dyDescent="0.3">
      <c r="A55" t="str">
        <f t="shared" si="0"/>
        <v>Pass</v>
      </c>
      <c r="B55">
        <f t="shared" si="1"/>
        <v>9.4385995864868164</v>
      </c>
      <c r="C55">
        <v>40</v>
      </c>
      <c r="D55">
        <v>50</v>
      </c>
      <c r="E55">
        <v>9.4385999999999992</v>
      </c>
      <c r="M55" t="str">
        <f t="shared" si="2"/>
        <v>Pass</v>
      </c>
      <c r="N55">
        <f t="shared" si="3"/>
        <v>9.5184138044714928E-3</v>
      </c>
      <c r="O55">
        <v>0</v>
      </c>
      <c r="P55">
        <v>90</v>
      </c>
      <c r="Q55">
        <v>5</v>
      </c>
      <c r="R55">
        <v>9.5184135977337096E-3</v>
      </c>
    </row>
    <row r="56" spans="1:18" x14ac:dyDescent="0.3">
      <c r="A56" t="str">
        <f t="shared" si="0"/>
        <v>Pass</v>
      </c>
      <c r="B56">
        <f t="shared" si="1"/>
        <v>10.62660026550293</v>
      </c>
      <c r="C56">
        <v>40</v>
      </c>
      <c r="D56">
        <v>60</v>
      </c>
      <c r="E56">
        <v>10.6266</v>
      </c>
      <c r="M56" t="str">
        <f t="shared" si="2"/>
        <v>Pass</v>
      </c>
      <c r="N56">
        <f t="shared" si="3"/>
        <v>9.5184138044714928E-3</v>
      </c>
      <c r="O56">
        <v>0</v>
      </c>
      <c r="P56">
        <v>100</v>
      </c>
      <c r="Q56">
        <v>3</v>
      </c>
      <c r="R56">
        <v>9.5184135977337096E-3</v>
      </c>
    </row>
    <row r="57" spans="1:18" x14ac:dyDescent="0.3">
      <c r="A57" t="str">
        <f t="shared" si="0"/>
        <v>Pass</v>
      </c>
      <c r="B57">
        <f t="shared" si="1"/>
        <v>11.814599990844727</v>
      </c>
      <c r="C57">
        <v>40</v>
      </c>
      <c r="D57">
        <v>70</v>
      </c>
      <c r="E57">
        <v>11.8146</v>
      </c>
      <c r="M57" t="str">
        <f t="shared" si="2"/>
        <v>Pass</v>
      </c>
      <c r="N57">
        <f t="shared" si="3"/>
        <v>9.5184138044714928E-3</v>
      </c>
      <c r="O57">
        <v>0</v>
      </c>
      <c r="P57">
        <v>100</v>
      </c>
      <c r="Q57">
        <v>3.5</v>
      </c>
      <c r="R57">
        <v>9.5184135977337096E-3</v>
      </c>
    </row>
    <row r="58" spans="1:18" x14ac:dyDescent="0.3">
      <c r="A58" t="str">
        <f t="shared" si="0"/>
        <v>Pass</v>
      </c>
      <c r="B58">
        <f t="shared" si="1"/>
        <v>13.002599716186523</v>
      </c>
      <c r="C58">
        <v>40</v>
      </c>
      <c r="D58">
        <v>80</v>
      </c>
      <c r="E58">
        <v>13.002599999999999</v>
      </c>
      <c r="M58" t="str">
        <f t="shared" si="2"/>
        <v>Pass</v>
      </c>
      <c r="N58">
        <f t="shared" si="3"/>
        <v>9.5184138044714928E-3</v>
      </c>
      <c r="O58">
        <v>0</v>
      </c>
      <c r="P58">
        <v>100</v>
      </c>
      <c r="Q58">
        <v>4</v>
      </c>
      <c r="R58">
        <v>9.5184135977337096E-3</v>
      </c>
    </row>
    <row r="59" spans="1:18" x14ac:dyDescent="0.3">
      <c r="A59" t="str">
        <f t="shared" si="0"/>
        <v>Pass</v>
      </c>
      <c r="B59">
        <f t="shared" si="1"/>
        <v>14.190600395202637</v>
      </c>
      <c r="C59">
        <v>40</v>
      </c>
      <c r="D59">
        <v>90</v>
      </c>
      <c r="E59">
        <v>14.1906</v>
      </c>
      <c r="M59" t="str">
        <f t="shared" si="2"/>
        <v>Pass</v>
      </c>
      <c r="N59">
        <f t="shared" si="3"/>
        <v>9.5184138044714928E-3</v>
      </c>
      <c r="O59">
        <v>0</v>
      </c>
      <c r="P59">
        <v>100</v>
      </c>
      <c r="Q59">
        <v>4.5</v>
      </c>
      <c r="R59">
        <v>9.5184135977337096E-3</v>
      </c>
    </row>
    <row r="60" spans="1:18" x14ac:dyDescent="0.3">
      <c r="A60" t="str">
        <f t="shared" si="0"/>
        <v>Pass</v>
      </c>
      <c r="B60">
        <f t="shared" si="1"/>
        <v>15.378600120544434</v>
      </c>
      <c r="C60">
        <v>40</v>
      </c>
      <c r="D60">
        <v>100</v>
      </c>
      <c r="E60">
        <v>15.3786</v>
      </c>
      <c r="M60" t="str">
        <f t="shared" si="2"/>
        <v>Pass</v>
      </c>
      <c r="N60">
        <f t="shared" si="3"/>
        <v>9.5184138044714928E-3</v>
      </c>
      <c r="O60">
        <v>0</v>
      </c>
      <c r="P60">
        <v>100</v>
      </c>
      <c r="Q60">
        <v>5</v>
      </c>
      <c r="R60">
        <v>9.5184135977337096E-3</v>
      </c>
    </row>
    <row r="61" spans="1:18" x14ac:dyDescent="0.3">
      <c r="M61" t="str">
        <f t="shared" si="2"/>
        <v>Pass</v>
      </c>
      <c r="N61">
        <f t="shared" si="3"/>
        <v>0.99847793579101563</v>
      </c>
      <c r="O61">
        <v>10</v>
      </c>
      <c r="P61">
        <v>0</v>
      </c>
      <c r="Q61">
        <v>3</v>
      </c>
      <c r="R61">
        <v>0.99847793431314602</v>
      </c>
    </row>
    <row r="62" spans="1:18" x14ac:dyDescent="0.3">
      <c r="M62" t="str">
        <f t="shared" si="2"/>
        <v>Pass</v>
      </c>
      <c r="N62">
        <f t="shared" si="3"/>
        <v>0.93939155340194702</v>
      </c>
      <c r="O62">
        <v>10</v>
      </c>
      <c r="P62">
        <v>0</v>
      </c>
      <c r="Q62">
        <v>3.5</v>
      </c>
      <c r="R62">
        <v>0.93939153376834394</v>
      </c>
    </row>
    <row r="63" spans="1:18" x14ac:dyDescent="0.3">
      <c r="M63" t="str">
        <f t="shared" si="2"/>
        <v>Pass</v>
      </c>
      <c r="N63">
        <f t="shared" si="3"/>
        <v>0.54284971952438354</v>
      </c>
      <c r="O63">
        <v>10</v>
      </c>
      <c r="P63">
        <v>0</v>
      </c>
      <c r="Q63">
        <v>4</v>
      </c>
      <c r="R63">
        <v>0.54284974452096202</v>
      </c>
    </row>
    <row r="64" spans="1:18" x14ac:dyDescent="0.3">
      <c r="M64" t="str">
        <f t="shared" si="2"/>
        <v>Pass</v>
      </c>
      <c r="N64">
        <f t="shared" si="3"/>
        <v>6.146080419421196E-2</v>
      </c>
      <c r="O64">
        <v>10</v>
      </c>
      <c r="P64">
        <v>0</v>
      </c>
      <c r="Q64">
        <v>4.5</v>
      </c>
      <c r="R64">
        <v>6.14608029963584E-2</v>
      </c>
    </row>
    <row r="65" spans="13:18" x14ac:dyDescent="0.3">
      <c r="M65" t="str">
        <f t="shared" si="2"/>
        <v>Pass</v>
      </c>
      <c r="N65">
        <f t="shared" si="3"/>
        <v>9.5184138044714928E-3</v>
      </c>
      <c r="O65">
        <v>10</v>
      </c>
      <c r="P65">
        <v>0</v>
      </c>
      <c r="Q65">
        <v>5</v>
      </c>
      <c r="R65">
        <v>9.5184135977337096E-3</v>
      </c>
    </row>
    <row r="66" spans="13:18" x14ac:dyDescent="0.3">
      <c r="M66" t="str">
        <f t="shared" si="2"/>
        <v>Pass</v>
      </c>
      <c r="N66">
        <f t="shared" si="3"/>
        <v>0.99848145246505737</v>
      </c>
      <c r="O66">
        <v>10</v>
      </c>
      <c r="P66">
        <v>10</v>
      </c>
      <c r="Q66">
        <v>3</v>
      </c>
      <c r="R66">
        <v>0.99848144468279298</v>
      </c>
    </row>
    <row r="67" spans="13:18" x14ac:dyDescent="0.3">
      <c r="M67" t="str">
        <f t="shared" si="2"/>
        <v>Pass</v>
      </c>
      <c r="N67">
        <f t="shared" si="3"/>
        <v>0.94576305150985718</v>
      </c>
      <c r="O67">
        <v>10</v>
      </c>
      <c r="P67">
        <v>10</v>
      </c>
      <c r="Q67">
        <v>3.5</v>
      </c>
      <c r="R67">
        <v>0.945763075250874</v>
      </c>
    </row>
    <row r="68" spans="13:18" x14ac:dyDescent="0.3">
      <c r="M68" t="str">
        <f t="shared" si="2"/>
        <v>Pass</v>
      </c>
      <c r="N68">
        <f t="shared" si="3"/>
        <v>0.59922420978546143</v>
      </c>
      <c r="O68">
        <v>10</v>
      </c>
      <c r="P68">
        <v>10</v>
      </c>
      <c r="Q68">
        <v>4</v>
      </c>
      <c r="R68">
        <v>0.59922422564010203</v>
      </c>
    </row>
    <row r="69" spans="13:18" x14ac:dyDescent="0.3">
      <c r="M69" t="str">
        <f t="shared" si="2"/>
        <v>Pass</v>
      </c>
      <c r="N69">
        <f t="shared" si="3"/>
        <v>8.6865738034248352E-2</v>
      </c>
      <c r="O69">
        <v>10</v>
      </c>
      <c r="P69">
        <v>10</v>
      </c>
      <c r="Q69">
        <v>4.5</v>
      </c>
      <c r="R69">
        <v>8.68657347040072E-2</v>
      </c>
    </row>
    <row r="70" spans="13:18" x14ac:dyDescent="0.3">
      <c r="M70" t="str">
        <f t="shared" si="2"/>
        <v>Pass</v>
      </c>
      <c r="N70">
        <f t="shared" si="3"/>
        <v>9.5184138044714928E-3</v>
      </c>
      <c r="O70">
        <v>10</v>
      </c>
      <c r="P70">
        <v>10</v>
      </c>
      <c r="Q70">
        <v>5</v>
      </c>
      <c r="R70">
        <v>9.5184135977337096E-3</v>
      </c>
    </row>
    <row r="71" spans="13:18" x14ac:dyDescent="0.3">
      <c r="M71" t="str">
        <f t="shared" ref="M71:M134" si="4">IF(ISBLANK(N71),"",IF(ROUND(N71,0)=ROUND(R71,0),"Pass","Fail"))</f>
        <v>Pass</v>
      </c>
      <c r="N71">
        <f t="shared" ref="N71:N134" si="5">FA_pine(O71,P71,Q71)</f>
        <v>0.99848145246505737</v>
      </c>
      <c r="O71">
        <v>10</v>
      </c>
      <c r="P71">
        <v>20</v>
      </c>
      <c r="Q71">
        <v>3</v>
      </c>
      <c r="R71">
        <v>0.99848144468279298</v>
      </c>
    </row>
    <row r="72" spans="13:18" x14ac:dyDescent="0.3">
      <c r="M72" t="str">
        <f t="shared" si="4"/>
        <v>Pass</v>
      </c>
      <c r="N72">
        <f t="shared" si="5"/>
        <v>0.95157843828201294</v>
      </c>
      <c r="O72">
        <v>10</v>
      </c>
      <c r="P72">
        <v>20</v>
      </c>
      <c r="Q72">
        <v>3.5</v>
      </c>
      <c r="R72">
        <v>0.95157844282110704</v>
      </c>
    </row>
    <row r="73" spans="13:18" x14ac:dyDescent="0.3">
      <c r="M73" t="str">
        <f t="shared" si="4"/>
        <v>Pass</v>
      </c>
      <c r="N73">
        <f t="shared" si="5"/>
        <v>0.65323150157928467</v>
      </c>
      <c r="O73">
        <v>10</v>
      </c>
      <c r="P73">
        <v>20</v>
      </c>
      <c r="Q73">
        <v>4</v>
      </c>
      <c r="R73">
        <v>0.65323149186549101</v>
      </c>
    </row>
    <row r="74" spans="13:18" x14ac:dyDescent="0.3">
      <c r="M74" t="str">
        <f t="shared" si="4"/>
        <v>Pass</v>
      </c>
      <c r="N74">
        <f t="shared" si="5"/>
        <v>0.12142471969127655</v>
      </c>
      <c r="O74">
        <v>10</v>
      </c>
      <c r="P74">
        <v>20</v>
      </c>
      <c r="Q74">
        <v>4.5</v>
      </c>
      <c r="R74">
        <v>0.121424719727174</v>
      </c>
    </row>
    <row r="75" spans="13:18" x14ac:dyDescent="0.3">
      <c r="M75" t="str">
        <f t="shared" si="4"/>
        <v>Pass</v>
      </c>
      <c r="N75">
        <f t="shared" si="5"/>
        <v>9.5184138044714928E-3</v>
      </c>
      <c r="O75">
        <v>10</v>
      </c>
      <c r="P75">
        <v>20</v>
      </c>
      <c r="Q75">
        <v>5</v>
      </c>
      <c r="R75">
        <v>9.5184135977337096E-3</v>
      </c>
    </row>
    <row r="76" spans="13:18" x14ac:dyDescent="0.3">
      <c r="M76" t="str">
        <f t="shared" si="4"/>
        <v>Pass</v>
      </c>
      <c r="N76">
        <f t="shared" si="5"/>
        <v>0.99848145246505737</v>
      </c>
      <c r="O76">
        <v>10</v>
      </c>
      <c r="P76">
        <v>30</v>
      </c>
      <c r="Q76">
        <v>3</v>
      </c>
      <c r="R76">
        <v>0.99848144468279298</v>
      </c>
    </row>
    <row r="77" spans="13:18" x14ac:dyDescent="0.3">
      <c r="M77" t="str">
        <f t="shared" si="4"/>
        <v>Pass</v>
      </c>
      <c r="N77">
        <f t="shared" si="5"/>
        <v>0.95687979459762573</v>
      </c>
      <c r="O77">
        <v>10</v>
      </c>
      <c r="P77">
        <v>30</v>
      </c>
      <c r="Q77">
        <v>3.5</v>
      </c>
      <c r="R77">
        <v>0.95687979802462597</v>
      </c>
    </row>
    <row r="78" spans="13:18" x14ac:dyDescent="0.3">
      <c r="M78" t="str">
        <f t="shared" si="4"/>
        <v>Pass</v>
      </c>
      <c r="N78">
        <f t="shared" si="5"/>
        <v>0.70372653007507324</v>
      </c>
      <c r="O78">
        <v>10</v>
      </c>
      <c r="P78">
        <v>30</v>
      </c>
      <c r="Q78">
        <v>4</v>
      </c>
      <c r="R78">
        <v>0.70372655655601302</v>
      </c>
    </row>
    <row r="79" spans="13:18" x14ac:dyDescent="0.3">
      <c r="M79" t="str">
        <f t="shared" si="4"/>
        <v>Pass</v>
      </c>
      <c r="N79">
        <f t="shared" si="5"/>
        <v>0.1672365665435791</v>
      </c>
      <c r="O79">
        <v>10</v>
      </c>
      <c r="P79">
        <v>30</v>
      </c>
      <c r="Q79">
        <v>4.5</v>
      </c>
      <c r="R79">
        <v>0.167236565409772</v>
      </c>
    </row>
    <row r="80" spans="13:18" x14ac:dyDescent="0.3">
      <c r="M80" t="str">
        <f t="shared" si="4"/>
        <v>Pass</v>
      </c>
      <c r="N80">
        <f t="shared" si="5"/>
        <v>1.1861433275043964E-2</v>
      </c>
      <c r="O80">
        <v>10</v>
      </c>
      <c r="P80">
        <v>30</v>
      </c>
      <c r="Q80">
        <v>5</v>
      </c>
      <c r="R80">
        <v>1.1861433508986E-2</v>
      </c>
    </row>
    <row r="81" spans="13:18" x14ac:dyDescent="0.3">
      <c r="M81" t="str">
        <f t="shared" si="4"/>
        <v>Pass</v>
      </c>
      <c r="N81">
        <f t="shared" si="5"/>
        <v>0.99848145246505737</v>
      </c>
      <c r="O81">
        <v>10</v>
      </c>
      <c r="P81">
        <v>40</v>
      </c>
      <c r="Q81">
        <v>3</v>
      </c>
      <c r="R81">
        <v>0.99848144468279298</v>
      </c>
    </row>
    <row r="82" spans="13:18" x14ac:dyDescent="0.3">
      <c r="M82" t="str">
        <f t="shared" si="4"/>
        <v>Pass</v>
      </c>
      <c r="N82">
        <f t="shared" si="5"/>
        <v>0.96170729398727417</v>
      </c>
      <c r="O82">
        <v>10</v>
      </c>
      <c r="P82">
        <v>40</v>
      </c>
      <c r="Q82">
        <v>3.5</v>
      </c>
      <c r="R82">
        <v>0.96170727166520797</v>
      </c>
    </row>
    <row r="83" spans="13:18" x14ac:dyDescent="0.3">
      <c r="M83" t="str">
        <f t="shared" si="4"/>
        <v>Pass</v>
      </c>
      <c r="N83">
        <f t="shared" si="5"/>
        <v>0.7498745322227478</v>
      </c>
      <c r="O83">
        <v>10</v>
      </c>
      <c r="P83">
        <v>40</v>
      </c>
      <c r="Q83">
        <v>4</v>
      </c>
      <c r="R83">
        <v>0.74987452422631096</v>
      </c>
    </row>
    <row r="84" spans="13:18" x14ac:dyDescent="0.3">
      <c r="M84" t="str">
        <f t="shared" si="4"/>
        <v>Pass</v>
      </c>
      <c r="N84">
        <f t="shared" si="5"/>
        <v>0.22592800855636597</v>
      </c>
      <c r="O84">
        <v>10</v>
      </c>
      <c r="P84">
        <v>40</v>
      </c>
      <c r="Q84">
        <v>4.5</v>
      </c>
      <c r="R84">
        <v>0.22592801456186801</v>
      </c>
    </row>
    <row r="85" spans="13:18" x14ac:dyDescent="0.3">
      <c r="M85" t="str">
        <f t="shared" si="4"/>
        <v>Pass</v>
      </c>
      <c r="N85">
        <f t="shared" si="5"/>
        <v>2.0179254934191704E-2</v>
      </c>
      <c r="O85">
        <v>10</v>
      </c>
      <c r="P85">
        <v>40</v>
      </c>
      <c r="Q85">
        <v>5</v>
      </c>
      <c r="R85">
        <v>2.0179255735540101E-2</v>
      </c>
    </row>
    <row r="86" spans="13:18" x14ac:dyDescent="0.3">
      <c r="M86" t="str">
        <f t="shared" si="4"/>
        <v>Pass</v>
      </c>
      <c r="N86">
        <f t="shared" si="5"/>
        <v>0.99848145246505737</v>
      </c>
      <c r="O86">
        <v>10</v>
      </c>
      <c r="P86">
        <v>50</v>
      </c>
      <c r="Q86">
        <v>3</v>
      </c>
      <c r="R86">
        <v>0.99848144468279298</v>
      </c>
    </row>
    <row r="87" spans="13:18" x14ac:dyDescent="0.3">
      <c r="M87" t="str">
        <f t="shared" si="4"/>
        <v>Pass</v>
      </c>
      <c r="N87">
        <f t="shared" si="5"/>
        <v>0.9660988450050354</v>
      </c>
      <c r="O87">
        <v>10</v>
      </c>
      <c r="P87">
        <v>50</v>
      </c>
      <c r="Q87">
        <v>3.5</v>
      </c>
      <c r="R87">
        <v>0.96609883129697505</v>
      </c>
    </row>
    <row r="88" spans="13:18" x14ac:dyDescent="0.3">
      <c r="M88" t="str">
        <f t="shared" si="4"/>
        <v>Pass</v>
      </c>
      <c r="N88">
        <f t="shared" si="5"/>
        <v>0.7911798357963562</v>
      </c>
      <c r="O88">
        <v>10</v>
      </c>
      <c r="P88">
        <v>50</v>
      </c>
      <c r="Q88">
        <v>4</v>
      </c>
      <c r="R88">
        <v>0.79117984664887897</v>
      </c>
    </row>
    <row r="89" spans="13:18" x14ac:dyDescent="0.3">
      <c r="M89" t="str">
        <f t="shared" si="4"/>
        <v>Pass</v>
      </c>
      <c r="N89">
        <f t="shared" si="5"/>
        <v>0.29791849851608276</v>
      </c>
      <c r="O89">
        <v>10</v>
      </c>
      <c r="P89">
        <v>50</v>
      </c>
      <c r="Q89">
        <v>4.5</v>
      </c>
      <c r="R89">
        <v>0.297918506843873</v>
      </c>
    </row>
    <row r="90" spans="13:18" x14ac:dyDescent="0.3">
      <c r="M90" t="str">
        <f t="shared" si="4"/>
        <v>Pass</v>
      </c>
      <c r="N90">
        <f t="shared" si="5"/>
        <v>3.4130096435546875E-2</v>
      </c>
      <c r="O90">
        <v>10</v>
      </c>
      <c r="P90">
        <v>50</v>
      </c>
      <c r="Q90">
        <v>5</v>
      </c>
      <c r="R90">
        <v>3.4130097148874598E-2</v>
      </c>
    </row>
    <row r="91" spans="13:18" x14ac:dyDescent="0.3">
      <c r="M91" t="str">
        <f t="shared" si="4"/>
        <v>Pass</v>
      </c>
      <c r="N91">
        <f t="shared" si="5"/>
        <v>0.99848145246505737</v>
      </c>
      <c r="O91">
        <v>10</v>
      </c>
      <c r="P91">
        <v>60</v>
      </c>
      <c r="Q91">
        <v>3</v>
      </c>
      <c r="R91">
        <v>0.99848144468279298</v>
      </c>
    </row>
    <row r="92" spans="13:18" x14ac:dyDescent="0.3">
      <c r="M92" t="str">
        <f t="shared" si="4"/>
        <v>Pass</v>
      </c>
      <c r="N92">
        <f t="shared" si="5"/>
        <v>0.97009021043777466</v>
      </c>
      <c r="O92">
        <v>10</v>
      </c>
      <c r="P92">
        <v>60</v>
      </c>
      <c r="Q92">
        <v>3.5</v>
      </c>
      <c r="R92">
        <v>0.97009020790223799</v>
      </c>
    </row>
    <row r="93" spans="13:18" x14ac:dyDescent="0.3">
      <c r="M93" t="str">
        <f t="shared" si="4"/>
        <v>Pass</v>
      </c>
      <c r="N93">
        <f t="shared" si="5"/>
        <v>0.82746678590774536</v>
      </c>
      <c r="O93">
        <v>10</v>
      </c>
      <c r="P93">
        <v>60</v>
      </c>
      <c r="Q93">
        <v>4</v>
      </c>
      <c r="R93">
        <v>0.82746676937818298</v>
      </c>
    </row>
    <row r="94" spans="13:18" x14ac:dyDescent="0.3">
      <c r="M94" t="str">
        <f t="shared" si="4"/>
        <v>Pass</v>
      </c>
      <c r="N94">
        <f t="shared" si="5"/>
        <v>0.38165384531021118</v>
      </c>
      <c r="O94">
        <v>10</v>
      </c>
      <c r="P94">
        <v>60</v>
      </c>
      <c r="Q94">
        <v>4.5</v>
      </c>
      <c r="R94">
        <v>0.38165384221569099</v>
      </c>
    </row>
    <row r="95" spans="13:18" x14ac:dyDescent="0.3">
      <c r="M95" t="str">
        <f t="shared" si="4"/>
        <v>Pass</v>
      </c>
      <c r="N95">
        <f t="shared" si="5"/>
        <v>5.7167619466781616E-2</v>
      </c>
      <c r="O95">
        <v>10</v>
      </c>
      <c r="P95">
        <v>60</v>
      </c>
      <c r="Q95">
        <v>5</v>
      </c>
      <c r="R95">
        <v>5.71676211244753E-2</v>
      </c>
    </row>
    <row r="96" spans="13:18" x14ac:dyDescent="0.3">
      <c r="M96" t="str">
        <f t="shared" si="4"/>
        <v>Pass</v>
      </c>
      <c r="N96">
        <f t="shared" si="5"/>
        <v>0.99848145246505737</v>
      </c>
      <c r="O96">
        <v>10</v>
      </c>
      <c r="P96">
        <v>70</v>
      </c>
      <c r="Q96">
        <v>3</v>
      </c>
      <c r="R96">
        <v>0.99848144468279298</v>
      </c>
    </row>
    <row r="97" spans="13:18" x14ac:dyDescent="0.3">
      <c r="M97" t="str">
        <f t="shared" si="4"/>
        <v>Pass</v>
      </c>
      <c r="N97">
        <f t="shared" si="5"/>
        <v>0.97371488809585571</v>
      </c>
      <c r="O97">
        <v>10</v>
      </c>
      <c r="P97">
        <v>70</v>
      </c>
      <c r="Q97">
        <v>3.5</v>
      </c>
      <c r="R97">
        <v>0.97371487107836097</v>
      </c>
    </row>
    <row r="98" spans="13:18" x14ac:dyDescent="0.3">
      <c r="M98" t="str">
        <f t="shared" si="4"/>
        <v>Pass</v>
      </c>
      <c r="N98">
        <f t="shared" si="5"/>
        <v>0.85882574319839478</v>
      </c>
      <c r="O98">
        <v>10</v>
      </c>
      <c r="P98">
        <v>70</v>
      </c>
      <c r="Q98">
        <v>4</v>
      </c>
      <c r="R98">
        <v>0.85882576539001199</v>
      </c>
    </row>
    <row r="99" spans="13:18" x14ac:dyDescent="0.3">
      <c r="M99" t="str">
        <f t="shared" si="4"/>
        <v>Pass</v>
      </c>
      <c r="N99">
        <f t="shared" si="5"/>
        <v>0.47323921322822571</v>
      </c>
      <c r="O99">
        <v>10</v>
      </c>
      <c r="P99">
        <v>70</v>
      </c>
      <c r="Q99">
        <v>4.5</v>
      </c>
      <c r="R99">
        <v>0.47323920371568201</v>
      </c>
    </row>
    <row r="100" spans="13:18" x14ac:dyDescent="0.3">
      <c r="M100" t="str">
        <f t="shared" si="4"/>
        <v>Pass</v>
      </c>
      <c r="N100">
        <f t="shared" si="5"/>
        <v>9.4250351190567017E-2</v>
      </c>
      <c r="O100">
        <v>10</v>
      </c>
      <c r="P100">
        <v>70</v>
      </c>
      <c r="Q100">
        <v>5</v>
      </c>
      <c r="R100">
        <v>9.4250347674013399E-2</v>
      </c>
    </row>
    <row r="101" spans="13:18" x14ac:dyDescent="0.3">
      <c r="M101" t="str">
        <f t="shared" si="4"/>
        <v>Pass</v>
      </c>
      <c r="N101">
        <f t="shared" si="5"/>
        <v>0.99848145246505737</v>
      </c>
      <c r="O101">
        <v>10</v>
      </c>
      <c r="P101">
        <v>80</v>
      </c>
      <c r="Q101">
        <v>3</v>
      </c>
      <c r="R101">
        <v>0.99848144468279298</v>
      </c>
    </row>
    <row r="102" spans="13:18" x14ac:dyDescent="0.3">
      <c r="M102" t="str">
        <f t="shared" si="4"/>
        <v>Pass</v>
      </c>
      <c r="N102">
        <f t="shared" si="5"/>
        <v>0.97700405120849609</v>
      </c>
      <c r="O102">
        <v>10</v>
      </c>
      <c r="P102">
        <v>80</v>
      </c>
      <c r="Q102">
        <v>3.5</v>
      </c>
      <c r="R102">
        <v>0.97700404318056899</v>
      </c>
    </row>
    <row r="103" spans="13:18" x14ac:dyDescent="0.3">
      <c r="M103" t="str">
        <f t="shared" si="4"/>
        <v>Pass</v>
      </c>
      <c r="N103">
        <f t="shared" si="5"/>
        <v>0.88554376363754272</v>
      </c>
      <c r="O103">
        <v>10</v>
      </c>
      <c r="P103">
        <v>80</v>
      </c>
      <c r="Q103">
        <v>4</v>
      </c>
      <c r="R103">
        <v>0.88554375482147196</v>
      </c>
    </row>
    <row r="104" spans="13:18" x14ac:dyDescent="0.3">
      <c r="M104" t="str">
        <f t="shared" si="4"/>
        <v>Pass</v>
      </c>
      <c r="N104">
        <f t="shared" si="5"/>
        <v>0.56691008806228638</v>
      </c>
      <c r="O104">
        <v>10</v>
      </c>
      <c r="P104">
        <v>80</v>
      </c>
      <c r="Q104">
        <v>4.5</v>
      </c>
      <c r="R104">
        <v>0.56691010292216204</v>
      </c>
    </row>
    <row r="105" spans="13:18" x14ac:dyDescent="0.3">
      <c r="M105" t="str">
        <f t="shared" si="4"/>
        <v>Pass</v>
      </c>
      <c r="N105">
        <f t="shared" si="5"/>
        <v>0.15155337750911713</v>
      </c>
      <c r="O105">
        <v>10</v>
      </c>
      <c r="P105">
        <v>80</v>
      </c>
      <c r="Q105">
        <v>5</v>
      </c>
      <c r="R105">
        <v>0.15155337625095</v>
      </c>
    </row>
    <row r="106" spans="13:18" x14ac:dyDescent="0.3">
      <c r="M106" t="str">
        <f t="shared" si="4"/>
        <v>Pass</v>
      </c>
      <c r="N106">
        <f t="shared" si="5"/>
        <v>0.99848145246505737</v>
      </c>
      <c r="O106">
        <v>10</v>
      </c>
      <c r="P106">
        <v>90</v>
      </c>
      <c r="Q106">
        <v>3</v>
      </c>
      <c r="R106">
        <v>0.99848144468279298</v>
      </c>
    </row>
    <row r="107" spans="13:18" x14ac:dyDescent="0.3">
      <c r="M107" t="str">
        <f t="shared" si="4"/>
        <v>Pass</v>
      </c>
      <c r="N107">
        <f t="shared" si="5"/>
        <v>0.97998672723770142</v>
      </c>
      <c r="O107">
        <v>10</v>
      </c>
      <c r="P107">
        <v>90</v>
      </c>
      <c r="Q107">
        <v>3.5</v>
      </c>
      <c r="R107">
        <v>0.97998674403458497</v>
      </c>
    </row>
    <row r="108" spans="13:18" x14ac:dyDescent="0.3">
      <c r="M108" t="str">
        <f t="shared" si="4"/>
        <v>Pass</v>
      </c>
      <c r="N108">
        <f t="shared" si="5"/>
        <v>0.90803343057632446</v>
      </c>
      <c r="O108">
        <v>10</v>
      </c>
      <c r="P108">
        <v>90</v>
      </c>
      <c r="Q108">
        <v>4</v>
      </c>
      <c r="R108">
        <v>0.90803340474844296</v>
      </c>
    </row>
    <row r="109" spans="13:18" x14ac:dyDescent="0.3">
      <c r="M109" t="str">
        <f t="shared" si="4"/>
        <v>Pass</v>
      </c>
      <c r="N109">
        <f t="shared" si="5"/>
        <v>0.65636485815048218</v>
      </c>
      <c r="O109">
        <v>10</v>
      </c>
      <c r="P109">
        <v>90</v>
      </c>
      <c r="Q109">
        <v>4.5</v>
      </c>
      <c r="R109">
        <v>0.65636484172351295</v>
      </c>
    </row>
    <row r="110" spans="13:18" x14ac:dyDescent="0.3">
      <c r="M110" t="str">
        <f t="shared" si="4"/>
        <v>Pass</v>
      </c>
      <c r="N110">
        <f t="shared" si="5"/>
        <v>0.23474553227424622</v>
      </c>
      <c r="O110">
        <v>10</v>
      </c>
      <c r="P110">
        <v>90</v>
      </c>
      <c r="Q110">
        <v>5</v>
      </c>
      <c r="R110">
        <v>0.23474553010228799</v>
      </c>
    </row>
    <row r="111" spans="13:18" x14ac:dyDescent="0.3">
      <c r="M111" t="str">
        <f t="shared" si="4"/>
        <v>Pass</v>
      </c>
      <c r="N111">
        <f t="shared" si="5"/>
        <v>0.99848145246505737</v>
      </c>
      <c r="O111">
        <v>10</v>
      </c>
      <c r="P111">
        <v>100</v>
      </c>
      <c r="Q111">
        <v>3</v>
      </c>
      <c r="R111">
        <v>0.99848144468279298</v>
      </c>
    </row>
    <row r="112" spans="13:18" x14ac:dyDescent="0.3">
      <c r="M112" t="str">
        <f t="shared" si="4"/>
        <v>Pass</v>
      </c>
      <c r="N112">
        <f t="shared" si="5"/>
        <v>0.98268985748291016</v>
      </c>
      <c r="O112">
        <v>10</v>
      </c>
      <c r="P112">
        <v>100</v>
      </c>
      <c r="Q112">
        <v>3.5</v>
      </c>
      <c r="R112">
        <v>0.98268985898204997</v>
      </c>
    </row>
    <row r="113" spans="13:18" x14ac:dyDescent="0.3">
      <c r="M113" t="str">
        <f t="shared" si="4"/>
        <v>Pass</v>
      </c>
      <c r="N113">
        <f t="shared" si="5"/>
        <v>0.92677158117294312</v>
      </c>
      <c r="O113">
        <v>10</v>
      </c>
      <c r="P113">
        <v>100</v>
      </c>
      <c r="Q113">
        <v>4</v>
      </c>
      <c r="R113">
        <v>0.92677159068666304</v>
      </c>
    </row>
    <row r="114" spans="13:18" x14ac:dyDescent="0.3">
      <c r="M114" t="str">
        <f t="shared" si="4"/>
        <v>Pass</v>
      </c>
      <c r="N114">
        <f t="shared" si="5"/>
        <v>0.7363702654838562</v>
      </c>
      <c r="O114">
        <v>10</v>
      </c>
      <c r="P114">
        <v>100</v>
      </c>
      <c r="Q114">
        <v>4.5</v>
      </c>
      <c r="R114">
        <v>0.73637027303064595</v>
      </c>
    </row>
    <row r="115" spans="13:18" x14ac:dyDescent="0.3">
      <c r="M115" t="str">
        <f t="shared" si="4"/>
        <v>Pass</v>
      </c>
      <c r="N115">
        <f t="shared" si="5"/>
        <v>0.34519800543785095</v>
      </c>
      <c r="O115">
        <v>10</v>
      </c>
      <c r="P115">
        <v>100</v>
      </c>
      <c r="Q115">
        <v>5</v>
      </c>
      <c r="R115">
        <v>0.34519800503840697</v>
      </c>
    </row>
    <row r="116" spans="13:18" x14ac:dyDescent="0.3">
      <c r="M116" t="str">
        <f t="shared" si="4"/>
        <v>Pass</v>
      </c>
      <c r="N116">
        <f t="shared" si="5"/>
        <v>1.0079991817474365</v>
      </c>
      <c r="O116">
        <v>20</v>
      </c>
      <c r="P116">
        <v>0</v>
      </c>
      <c r="Q116">
        <v>3</v>
      </c>
      <c r="R116">
        <v>1.0079991260832299</v>
      </c>
    </row>
    <row r="117" spans="13:18" x14ac:dyDescent="0.3">
      <c r="M117" t="str">
        <f t="shared" si="4"/>
        <v>Pass</v>
      </c>
      <c r="N117">
        <f t="shared" si="5"/>
        <v>1.0079487562179565</v>
      </c>
      <c r="O117">
        <v>20</v>
      </c>
      <c r="P117">
        <v>0</v>
      </c>
      <c r="Q117">
        <v>3.5</v>
      </c>
      <c r="R117">
        <v>1.0079487463146399</v>
      </c>
    </row>
    <row r="118" spans="13:18" x14ac:dyDescent="0.3">
      <c r="M118" t="str">
        <f t="shared" si="4"/>
        <v>Pass</v>
      </c>
      <c r="N118">
        <f t="shared" si="5"/>
        <v>1.0009938478469849</v>
      </c>
      <c r="O118">
        <v>20</v>
      </c>
      <c r="P118">
        <v>0</v>
      </c>
      <c r="Q118">
        <v>4</v>
      </c>
      <c r="R118">
        <v>1.00099379005379</v>
      </c>
    </row>
    <row r="119" spans="13:18" x14ac:dyDescent="0.3">
      <c r="M119" t="str">
        <f t="shared" si="4"/>
        <v>Pass</v>
      </c>
      <c r="N119">
        <f t="shared" si="5"/>
        <v>0.30910530686378479</v>
      </c>
      <c r="O119">
        <v>20</v>
      </c>
      <c r="P119">
        <v>0</v>
      </c>
      <c r="Q119">
        <v>4.5</v>
      </c>
      <c r="R119">
        <v>0.30910531846586298</v>
      </c>
    </row>
    <row r="120" spans="13:18" x14ac:dyDescent="0.3">
      <c r="M120" t="str">
        <f t="shared" si="4"/>
        <v>Pass</v>
      </c>
      <c r="N120">
        <f t="shared" si="5"/>
        <v>9.5184138044714928E-3</v>
      </c>
      <c r="O120">
        <v>20</v>
      </c>
      <c r="P120">
        <v>0</v>
      </c>
      <c r="Q120">
        <v>5</v>
      </c>
      <c r="R120">
        <v>9.5184135977337096E-3</v>
      </c>
    </row>
    <row r="121" spans="13:18" x14ac:dyDescent="0.3">
      <c r="M121" t="str">
        <f t="shared" si="4"/>
        <v>Pass</v>
      </c>
      <c r="N121">
        <f t="shared" si="5"/>
        <v>1.0079991817474365</v>
      </c>
      <c r="O121">
        <v>20</v>
      </c>
      <c r="P121">
        <v>10</v>
      </c>
      <c r="Q121">
        <v>3</v>
      </c>
      <c r="R121">
        <v>1.0079991267335999</v>
      </c>
    </row>
    <row r="122" spans="13:18" x14ac:dyDescent="0.3">
      <c r="M122" t="str">
        <f t="shared" si="4"/>
        <v>Pass</v>
      </c>
      <c r="N122">
        <f t="shared" si="5"/>
        <v>1.0079584121704102</v>
      </c>
      <c r="O122">
        <v>20</v>
      </c>
      <c r="P122">
        <v>10</v>
      </c>
      <c r="Q122">
        <v>3.5</v>
      </c>
      <c r="R122">
        <v>1.00795838990973</v>
      </c>
    </row>
    <row r="123" spans="13:18" x14ac:dyDescent="0.3">
      <c r="M123" t="str">
        <f t="shared" si="4"/>
        <v>Pass</v>
      </c>
      <c r="N123">
        <f t="shared" si="5"/>
        <v>1.0035480260848999</v>
      </c>
      <c r="O123">
        <v>20</v>
      </c>
      <c r="P123">
        <v>10</v>
      </c>
      <c r="Q123">
        <v>4</v>
      </c>
      <c r="R123">
        <v>1.00354800938915</v>
      </c>
    </row>
    <row r="124" spans="13:18" x14ac:dyDescent="0.3">
      <c r="M124" t="str">
        <f t="shared" si="4"/>
        <v>Pass</v>
      </c>
      <c r="N124">
        <f t="shared" si="5"/>
        <v>0.48649889230728149</v>
      </c>
      <c r="O124">
        <v>20</v>
      </c>
      <c r="P124">
        <v>10</v>
      </c>
      <c r="Q124">
        <v>4.5</v>
      </c>
      <c r="R124">
        <v>0.48649888433474597</v>
      </c>
    </row>
    <row r="125" spans="13:18" x14ac:dyDescent="0.3">
      <c r="M125" t="str">
        <f t="shared" si="4"/>
        <v>Pass</v>
      </c>
      <c r="N125">
        <f t="shared" si="5"/>
        <v>9.5184138044714928E-3</v>
      </c>
      <c r="O125">
        <v>20</v>
      </c>
      <c r="P125">
        <v>10</v>
      </c>
      <c r="Q125">
        <v>5</v>
      </c>
      <c r="R125">
        <v>9.5184135977337096E-3</v>
      </c>
    </row>
    <row r="126" spans="13:18" x14ac:dyDescent="0.3">
      <c r="M126" t="str">
        <f t="shared" si="4"/>
        <v>Pass</v>
      </c>
      <c r="N126">
        <f t="shared" si="5"/>
        <v>1.0079991817474365</v>
      </c>
      <c r="O126">
        <v>20</v>
      </c>
      <c r="P126">
        <v>20</v>
      </c>
      <c r="Q126">
        <v>3</v>
      </c>
      <c r="R126">
        <v>1.0079991267335999</v>
      </c>
    </row>
    <row r="127" spans="13:18" x14ac:dyDescent="0.3">
      <c r="M127" t="str">
        <f t="shared" si="4"/>
        <v>Pass</v>
      </c>
      <c r="N127">
        <f t="shared" si="5"/>
        <v>1.007966160774231</v>
      </c>
      <c r="O127">
        <v>20</v>
      </c>
      <c r="P127">
        <v>20</v>
      </c>
      <c r="Q127">
        <v>3.5</v>
      </c>
      <c r="R127">
        <v>1.00796621908291</v>
      </c>
    </row>
    <row r="128" spans="13:18" x14ac:dyDescent="0.3">
      <c r="M128" t="str">
        <f t="shared" si="4"/>
        <v>Pass</v>
      </c>
      <c r="N128">
        <f t="shared" si="5"/>
        <v>1.0051736831665039</v>
      </c>
      <c r="O128">
        <v>20</v>
      </c>
      <c r="P128">
        <v>20</v>
      </c>
      <c r="Q128">
        <v>4</v>
      </c>
      <c r="R128">
        <v>1.0051736788028001</v>
      </c>
    </row>
    <row r="129" spans="13:18" x14ac:dyDescent="0.3">
      <c r="M129" t="str">
        <f t="shared" si="4"/>
        <v>Pass</v>
      </c>
      <c r="N129">
        <f t="shared" si="5"/>
        <v>0.66834282875061035</v>
      </c>
      <c r="O129">
        <v>20</v>
      </c>
      <c r="P129">
        <v>20</v>
      </c>
      <c r="Q129">
        <v>4.5</v>
      </c>
      <c r="R129">
        <v>0.66834281187779598</v>
      </c>
    </row>
    <row r="130" spans="13:18" x14ac:dyDescent="0.3">
      <c r="M130" t="str">
        <f t="shared" si="4"/>
        <v>Pass</v>
      </c>
      <c r="N130">
        <f t="shared" si="5"/>
        <v>9.5184138044714928E-3</v>
      </c>
      <c r="O130">
        <v>20</v>
      </c>
      <c r="P130">
        <v>20</v>
      </c>
      <c r="Q130">
        <v>5</v>
      </c>
      <c r="R130">
        <v>9.5184135977337096E-3</v>
      </c>
    </row>
    <row r="131" spans="13:18" x14ac:dyDescent="0.3">
      <c r="M131" t="str">
        <f t="shared" si="4"/>
        <v>Pass</v>
      </c>
      <c r="N131">
        <f t="shared" si="5"/>
        <v>1.0079991817474365</v>
      </c>
      <c r="O131">
        <v>20</v>
      </c>
      <c r="P131">
        <v>30</v>
      </c>
      <c r="Q131">
        <v>3</v>
      </c>
      <c r="R131">
        <v>1.0079991267335999</v>
      </c>
    </row>
    <row r="132" spans="13:18" x14ac:dyDescent="0.3">
      <c r="M132" t="str">
        <f t="shared" si="4"/>
        <v>Pass</v>
      </c>
      <c r="N132">
        <f t="shared" si="5"/>
        <v>1.0079725980758667</v>
      </c>
      <c r="O132">
        <v>20</v>
      </c>
      <c r="P132">
        <v>30</v>
      </c>
      <c r="Q132">
        <v>3.5</v>
      </c>
      <c r="R132">
        <v>1.0079725751930799</v>
      </c>
    </row>
    <row r="133" spans="13:18" x14ac:dyDescent="0.3">
      <c r="M133" t="str">
        <f t="shared" si="4"/>
        <v>Pass</v>
      </c>
      <c r="N133">
        <f t="shared" si="5"/>
        <v>1.006206750869751</v>
      </c>
      <c r="O133">
        <v>20</v>
      </c>
      <c r="P133">
        <v>30</v>
      </c>
      <c r="Q133">
        <v>4</v>
      </c>
      <c r="R133">
        <v>1.00620678661383</v>
      </c>
    </row>
    <row r="134" spans="13:18" x14ac:dyDescent="0.3">
      <c r="M134" t="str">
        <f t="shared" si="4"/>
        <v>Pass</v>
      </c>
      <c r="N134">
        <f t="shared" si="5"/>
        <v>0.81228721141815186</v>
      </c>
      <c r="O134">
        <v>20</v>
      </c>
      <c r="P134">
        <v>30</v>
      </c>
      <c r="Q134">
        <v>4.5</v>
      </c>
      <c r="R134">
        <v>0.81228718436858405</v>
      </c>
    </row>
    <row r="135" spans="13:18" x14ac:dyDescent="0.3">
      <c r="M135" t="str">
        <f t="shared" ref="M135:M198" si="6">IF(ISBLANK(N135),"",IF(ROUND(N135,0)=ROUND(R135,0),"Pass","Fail"))</f>
        <v>Pass</v>
      </c>
      <c r="N135">
        <f t="shared" ref="N135:N198" si="7">FA_pine(O135,P135,Q135)</f>
        <v>1.4772670343518257E-2</v>
      </c>
      <c r="O135">
        <v>20</v>
      </c>
      <c r="P135">
        <v>30</v>
      </c>
      <c r="Q135">
        <v>5</v>
      </c>
      <c r="R135">
        <v>1.4772670042630999E-2</v>
      </c>
    </row>
    <row r="136" spans="13:18" x14ac:dyDescent="0.3">
      <c r="M136" t="str">
        <f t="shared" si="6"/>
        <v>Pass</v>
      </c>
      <c r="N136">
        <f t="shared" si="7"/>
        <v>1.0079991817474365</v>
      </c>
      <c r="O136">
        <v>20</v>
      </c>
      <c r="P136">
        <v>40</v>
      </c>
      <c r="Q136">
        <v>3</v>
      </c>
      <c r="R136">
        <v>1.0079991267335999</v>
      </c>
    </row>
    <row r="137" spans="13:18" x14ac:dyDescent="0.3">
      <c r="M137" t="str">
        <f t="shared" si="6"/>
        <v>Pass</v>
      </c>
      <c r="N137">
        <f t="shared" si="7"/>
        <v>1.0079777240753174</v>
      </c>
      <c r="O137">
        <v>20</v>
      </c>
      <c r="P137">
        <v>40</v>
      </c>
      <c r="Q137">
        <v>3.5</v>
      </c>
      <c r="R137">
        <v>1.0079777353841499</v>
      </c>
    </row>
    <row r="138" spans="13:18" x14ac:dyDescent="0.3">
      <c r="M138" t="str">
        <f t="shared" si="6"/>
        <v>Pass</v>
      </c>
      <c r="N138">
        <f t="shared" si="7"/>
        <v>1.0068626403808594</v>
      </c>
      <c r="O138">
        <v>20</v>
      </c>
      <c r="P138">
        <v>40</v>
      </c>
      <c r="Q138">
        <v>4</v>
      </c>
      <c r="R138">
        <v>1.0068626888430801</v>
      </c>
    </row>
    <row r="139" spans="13:18" x14ac:dyDescent="0.3">
      <c r="M139" t="str">
        <f t="shared" si="6"/>
        <v>Pass</v>
      </c>
      <c r="N139">
        <f t="shared" si="7"/>
        <v>0.90466111898422241</v>
      </c>
      <c r="O139">
        <v>20</v>
      </c>
      <c r="P139">
        <v>40</v>
      </c>
      <c r="Q139">
        <v>4.5</v>
      </c>
      <c r="R139">
        <v>0.90466112545815502</v>
      </c>
    </row>
    <row r="140" spans="13:18" x14ac:dyDescent="0.3">
      <c r="M140" t="str">
        <f t="shared" si="6"/>
        <v>Pass</v>
      </c>
      <c r="N140">
        <f t="shared" si="7"/>
        <v>4.2274940758943558E-2</v>
      </c>
      <c r="O140">
        <v>20</v>
      </c>
      <c r="P140">
        <v>40</v>
      </c>
      <c r="Q140">
        <v>5</v>
      </c>
      <c r="R140">
        <v>4.2274939425554103E-2</v>
      </c>
    </row>
    <row r="141" spans="13:18" x14ac:dyDescent="0.3">
      <c r="M141" t="str">
        <f t="shared" si="6"/>
        <v>Pass</v>
      </c>
      <c r="N141">
        <f t="shared" si="7"/>
        <v>1.0079991817474365</v>
      </c>
      <c r="O141">
        <v>20</v>
      </c>
      <c r="P141">
        <v>50</v>
      </c>
      <c r="Q141">
        <v>3</v>
      </c>
      <c r="R141">
        <v>1.0079991267335999</v>
      </c>
    </row>
    <row r="142" spans="13:18" x14ac:dyDescent="0.3">
      <c r="M142" t="str">
        <f t="shared" si="6"/>
        <v>Pass</v>
      </c>
      <c r="N142">
        <f t="shared" si="7"/>
        <v>1.0079818964004517</v>
      </c>
      <c r="O142">
        <v>20</v>
      </c>
      <c r="P142">
        <v>50</v>
      </c>
      <c r="Q142">
        <v>3.5</v>
      </c>
      <c r="R142">
        <v>1.0079819246624799</v>
      </c>
    </row>
    <row r="143" spans="13:18" x14ac:dyDescent="0.3">
      <c r="M143" t="str">
        <f t="shared" si="6"/>
        <v>Pass</v>
      </c>
      <c r="N143">
        <f t="shared" si="7"/>
        <v>1.0072788000106812</v>
      </c>
      <c r="O143">
        <v>20</v>
      </c>
      <c r="P143">
        <v>50</v>
      </c>
      <c r="Q143">
        <v>4</v>
      </c>
      <c r="R143">
        <v>1.0072788541794</v>
      </c>
    </row>
    <row r="144" spans="13:18" x14ac:dyDescent="0.3">
      <c r="M144" t="str">
        <f t="shared" si="6"/>
        <v>Pass</v>
      </c>
      <c r="N144">
        <f t="shared" si="7"/>
        <v>0.9562152624130249</v>
      </c>
      <c r="O144">
        <v>20</v>
      </c>
      <c r="P144">
        <v>50</v>
      </c>
      <c r="Q144">
        <v>4.5</v>
      </c>
      <c r="R144">
        <v>0.95621528214516105</v>
      </c>
    </row>
    <row r="145" spans="13:18" x14ac:dyDescent="0.3">
      <c r="M145" t="str">
        <f t="shared" si="6"/>
        <v>Pass</v>
      </c>
      <c r="N145">
        <f t="shared" si="7"/>
        <v>0.11504745483398438</v>
      </c>
      <c r="O145">
        <v>20</v>
      </c>
      <c r="P145">
        <v>50</v>
      </c>
      <c r="Q145">
        <v>5</v>
      </c>
      <c r="R145">
        <v>0.11504745780730299</v>
      </c>
    </row>
    <row r="146" spans="13:18" x14ac:dyDescent="0.3">
      <c r="M146" t="str">
        <f t="shared" si="6"/>
        <v>Pass</v>
      </c>
      <c r="N146">
        <f t="shared" si="7"/>
        <v>1.0079991817474365</v>
      </c>
      <c r="O146">
        <v>20</v>
      </c>
      <c r="P146">
        <v>60</v>
      </c>
      <c r="Q146">
        <v>3</v>
      </c>
      <c r="R146">
        <v>1.0079991267335999</v>
      </c>
    </row>
    <row r="147" spans="13:18" x14ac:dyDescent="0.3">
      <c r="M147" t="str">
        <f t="shared" si="6"/>
        <v>Pass</v>
      </c>
      <c r="N147">
        <f t="shared" si="7"/>
        <v>1.0079853534698486</v>
      </c>
      <c r="O147">
        <v>20</v>
      </c>
      <c r="P147">
        <v>60</v>
      </c>
      <c r="Q147">
        <v>3.5</v>
      </c>
      <c r="R147">
        <v>1.00798532570365</v>
      </c>
    </row>
    <row r="148" spans="13:18" x14ac:dyDescent="0.3">
      <c r="M148" t="str">
        <f t="shared" si="6"/>
        <v>Pass</v>
      </c>
      <c r="N148">
        <f t="shared" si="7"/>
        <v>1.0075428485870361</v>
      </c>
      <c r="O148">
        <v>20</v>
      </c>
      <c r="P148">
        <v>60</v>
      </c>
      <c r="Q148">
        <v>4</v>
      </c>
      <c r="R148">
        <v>1.0075428052842701</v>
      </c>
    </row>
    <row r="149" spans="13:18" x14ac:dyDescent="0.3">
      <c r="M149" t="str">
        <f t="shared" si="6"/>
        <v>Pass</v>
      </c>
      <c r="N149">
        <f t="shared" si="7"/>
        <v>0.98276722431182861</v>
      </c>
      <c r="O149">
        <v>20</v>
      </c>
      <c r="P149">
        <v>60</v>
      </c>
      <c r="Q149">
        <v>4.5</v>
      </c>
      <c r="R149">
        <v>0.98276724093702195</v>
      </c>
    </row>
    <row r="150" spans="13:18" x14ac:dyDescent="0.3">
      <c r="M150" t="str">
        <f t="shared" si="6"/>
        <v>Pass</v>
      </c>
      <c r="N150">
        <f t="shared" si="7"/>
        <v>0.27714130282402039</v>
      </c>
      <c r="O150">
        <v>20</v>
      </c>
      <c r="P150">
        <v>60</v>
      </c>
      <c r="Q150">
        <v>5</v>
      </c>
      <c r="R150">
        <v>0.27714128882353301</v>
      </c>
    </row>
    <row r="151" spans="13:18" x14ac:dyDescent="0.3">
      <c r="M151" t="str">
        <f t="shared" si="6"/>
        <v>Pass</v>
      </c>
      <c r="N151">
        <f t="shared" si="7"/>
        <v>1.0079991817474365</v>
      </c>
      <c r="O151">
        <v>20</v>
      </c>
      <c r="P151">
        <v>70</v>
      </c>
      <c r="Q151">
        <v>3</v>
      </c>
      <c r="R151">
        <v>1.0079991267335999</v>
      </c>
    </row>
    <row r="152" spans="13:18" x14ac:dyDescent="0.3">
      <c r="M152" t="str">
        <f t="shared" si="6"/>
        <v>Pass</v>
      </c>
      <c r="N152">
        <f t="shared" si="7"/>
        <v>1.0079880952835083</v>
      </c>
      <c r="O152">
        <v>20</v>
      </c>
      <c r="P152">
        <v>70</v>
      </c>
      <c r="Q152">
        <v>3.5</v>
      </c>
      <c r="R152">
        <v>1.00798808681518</v>
      </c>
    </row>
    <row r="153" spans="13:18" x14ac:dyDescent="0.3">
      <c r="M153" t="str">
        <f t="shared" si="6"/>
        <v>Pass</v>
      </c>
      <c r="N153">
        <f t="shared" si="7"/>
        <v>1.0077102184295654</v>
      </c>
      <c r="O153">
        <v>20</v>
      </c>
      <c r="P153">
        <v>70</v>
      </c>
      <c r="Q153">
        <v>4</v>
      </c>
      <c r="R153">
        <v>1.00771017378762</v>
      </c>
    </row>
    <row r="154" spans="13:18" x14ac:dyDescent="0.3">
      <c r="M154" t="str">
        <f t="shared" si="6"/>
        <v>Pass</v>
      </c>
      <c r="N154">
        <f t="shared" si="7"/>
        <v>0.99587762355804443</v>
      </c>
      <c r="O154">
        <v>20</v>
      </c>
      <c r="P154">
        <v>70</v>
      </c>
      <c r="Q154">
        <v>4.5</v>
      </c>
      <c r="R154">
        <v>0.99587761217986304</v>
      </c>
    </row>
    <row r="155" spans="13:18" x14ac:dyDescent="0.3">
      <c r="M155" t="str">
        <f t="shared" si="6"/>
        <v>Pass</v>
      </c>
      <c r="N155">
        <f t="shared" si="7"/>
        <v>0.53164267539978027</v>
      </c>
      <c r="O155">
        <v>20</v>
      </c>
      <c r="P155">
        <v>70</v>
      </c>
      <c r="Q155">
        <v>5</v>
      </c>
      <c r="R155">
        <v>0.53164265988530501</v>
      </c>
    </row>
    <row r="156" spans="13:18" x14ac:dyDescent="0.3">
      <c r="M156" t="str">
        <f t="shared" si="6"/>
        <v>Pass</v>
      </c>
      <c r="N156">
        <f t="shared" si="7"/>
        <v>1.0079991817474365</v>
      </c>
      <c r="O156">
        <v>20</v>
      </c>
      <c r="P156">
        <v>80</v>
      </c>
      <c r="Q156">
        <v>3</v>
      </c>
      <c r="R156">
        <v>1.0079991267335999</v>
      </c>
    </row>
    <row r="157" spans="13:18" x14ac:dyDescent="0.3">
      <c r="M157" t="str">
        <f t="shared" si="6"/>
        <v>Pass</v>
      </c>
      <c r="N157">
        <f t="shared" si="7"/>
        <v>1.0079903602600098</v>
      </c>
      <c r="O157">
        <v>20</v>
      </c>
      <c r="P157">
        <v>80</v>
      </c>
      <c r="Q157">
        <v>3.5</v>
      </c>
      <c r="R157">
        <v>1.00799032840172</v>
      </c>
    </row>
    <row r="158" spans="13:18" x14ac:dyDescent="0.3">
      <c r="M158" t="str">
        <f t="shared" si="6"/>
        <v>Pass</v>
      </c>
      <c r="N158">
        <f t="shared" si="7"/>
        <v>1.0078163146972656</v>
      </c>
      <c r="O158">
        <v>20</v>
      </c>
      <c r="P158">
        <v>80</v>
      </c>
      <c r="Q158">
        <v>4</v>
      </c>
      <c r="R158">
        <v>1.00781628369113</v>
      </c>
    </row>
    <row r="159" spans="13:18" x14ac:dyDescent="0.3">
      <c r="M159" t="str">
        <f t="shared" si="6"/>
        <v>Pass</v>
      </c>
      <c r="N159">
        <f t="shared" si="7"/>
        <v>1.0022162199020386</v>
      </c>
      <c r="O159">
        <v>20</v>
      </c>
      <c r="P159">
        <v>80</v>
      </c>
      <c r="Q159">
        <v>4.5</v>
      </c>
      <c r="R159">
        <v>1.00221621997688</v>
      </c>
    </row>
    <row r="160" spans="13:18" x14ac:dyDescent="0.3">
      <c r="M160" t="str">
        <f t="shared" si="6"/>
        <v>Pass</v>
      </c>
      <c r="N160">
        <f t="shared" si="7"/>
        <v>0.77274864912033081</v>
      </c>
      <c r="O160">
        <v>20</v>
      </c>
      <c r="P160">
        <v>80</v>
      </c>
      <c r="Q160">
        <v>5</v>
      </c>
      <c r="R160">
        <v>0.77274864416026001</v>
      </c>
    </row>
    <row r="161" spans="13:18" x14ac:dyDescent="0.3">
      <c r="M161" t="str">
        <f t="shared" si="6"/>
        <v>Pass</v>
      </c>
      <c r="N161">
        <f t="shared" si="7"/>
        <v>1.0079991817474365</v>
      </c>
      <c r="O161">
        <v>20</v>
      </c>
      <c r="P161">
        <v>90</v>
      </c>
      <c r="Q161">
        <v>3</v>
      </c>
      <c r="R161">
        <v>1.0079991267335999</v>
      </c>
    </row>
    <row r="162" spans="13:18" x14ac:dyDescent="0.3">
      <c r="M162" t="str">
        <f t="shared" si="6"/>
        <v>Pass</v>
      </c>
      <c r="N162">
        <f t="shared" si="7"/>
        <v>1.007992148399353</v>
      </c>
      <c r="O162">
        <v>20</v>
      </c>
      <c r="P162">
        <v>90</v>
      </c>
      <c r="Q162">
        <v>3.5</v>
      </c>
      <c r="R162">
        <v>1.0079921482142999</v>
      </c>
    </row>
    <row r="163" spans="13:18" x14ac:dyDescent="0.3">
      <c r="M163" t="str">
        <f t="shared" si="6"/>
        <v>Pass</v>
      </c>
      <c r="N163">
        <f t="shared" si="7"/>
        <v>1.0078835487365723</v>
      </c>
      <c r="O163">
        <v>20</v>
      </c>
      <c r="P163">
        <v>90</v>
      </c>
      <c r="Q163">
        <v>4</v>
      </c>
      <c r="R163">
        <v>1.0078835495908101</v>
      </c>
    </row>
    <row r="164" spans="13:18" x14ac:dyDescent="0.3">
      <c r="M164" t="str">
        <f t="shared" si="6"/>
        <v>Pass</v>
      </c>
      <c r="N164">
        <f t="shared" si="7"/>
        <v>1.0052496194839478</v>
      </c>
      <c r="O164">
        <v>20</v>
      </c>
      <c r="P164">
        <v>90</v>
      </c>
      <c r="Q164">
        <v>4.5</v>
      </c>
      <c r="R164">
        <v>1.0052496219495901</v>
      </c>
    </row>
    <row r="165" spans="13:18" x14ac:dyDescent="0.3">
      <c r="M165" t="str">
        <f t="shared" si="6"/>
        <v>Pass</v>
      </c>
      <c r="N165">
        <f t="shared" si="7"/>
        <v>0.9135095477104187</v>
      </c>
      <c r="O165">
        <v>20</v>
      </c>
      <c r="P165">
        <v>90</v>
      </c>
      <c r="Q165">
        <v>5</v>
      </c>
      <c r="R165">
        <v>0.91350956932986904</v>
      </c>
    </row>
    <row r="166" spans="13:18" x14ac:dyDescent="0.3">
      <c r="M166" t="str">
        <f t="shared" si="6"/>
        <v>Pass</v>
      </c>
      <c r="N166">
        <f t="shared" si="7"/>
        <v>1.0079991817474365</v>
      </c>
      <c r="O166">
        <v>20</v>
      </c>
      <c r="P166">
        <v>100</v>
      </c>
      <c r="Q166">
        <v>3</v>
      </c>
      <c r="R166">
        <v>1.0079991267335999</v>
      </c>
    </row>
    <row r="167" spans="13:18" x14ac:dyDescent="0.3">
      <c r="M167" t="str">
        <f t="shared" si="6"/>
        <v>Pass</v>
      </c>
      <c r="N167">
        <f t="shared" si="7"/>
        <v>1.0079935789108276</v>
      </c>
      <c r="O167">
        <v>20</v>
      </c>
      <c r="P167">
        <v>100</v>
      </c>
      <c r="Q167">
        <v>3.5</v>
      </c>
      <c r="R167">
        <v>1.0079936256122299</v>
      </c>
    </row>
    <row r="168" spans="13:18" x14ac:dyDescent="0.3">
      <c r="M168" t="str">
        <f t="shared" si="6"/>
        <v>Pass</v>
      </c>
      <c r="N168">
        <f t="shared" si="7"/>
        <v>1.0079262256622314</v>
      </c>
      <c r="O168">
        <v>20</v>
      </c>
      <c r="P168">
        <v>100</v>
      </c>
      <c r="Q168">
        <v>4</v>
      </c>
      <c r="R168">
        <v>1.0079261885539801</v>
      </c>
    </row>
    <row r="169" spans="13:18" x14ac:dyDescent="0.3">
      <c r="M169" t="str">
        <f t="shared" si="6"/>
        <v>Pass</v>
      </c>
      <c r="N169">
        <f t="shared" si="7"/>
        <v>1.0066941976547241</v>
      </c>
      <c r="O169">
        <v>20</v>
      </c>
      <c r="P169">
        <v>100</v>
      </c>
      <c r="Q169">
        <v>4.5</v>
      </c>
      <c r="R169">
        <v>1.0066941774414</v>
      </c>
    </row>
    <row r="170" spans="13:18" x14ac:dyDescent="0.3">
      <c r="M170" t="str">
        <f t="shared" si="6"/>
        <v>Pass</v>
      </c>
      <c r="N170">
        <f t="shared" si="7"/>
        <v>0.97377723455429077</v>
      </c>
      <c r="O170">
        <v>20</v>
      </c>
      <c r="P170">
        <v>100</v>
      </c>
      <c r="Q170">
        <v>5</v>
      </c>
      <c r="R170">
        <v>0.97377722787583998</v>
      </c>
    </row>
    <row r="171" spans="13:18" x14ac:dyDescent="0.3">
      <c r="M171" t="str">
        <f t="shared" si="6"/>
        <v>Pass</v>
      </c>
      <c r="N171">
        <f t="shared" si="7"/>
        <v>1.0080000162124634</v>
      </c>
      <c r="O171">
        <v>30</v>
      </c>
      <c r="P171">
        <v>0</v>
      </c>
      <c r="Q171">
        <v>3</v>
      </c>
      <c r="R171">
        <v>1.00799999992055</v>
      </c>
    </row>
    <row r="172" spans="13:18" x14ac:dyDescent="0.3">
      <c r="M172" t="str">
        <f t="shared" si="6"/>
        <v>Pass</v>
      </c>
      <c r="N172">
        <f t="shared" si="7"/>
        <v>1.0080000162124634</v>
      </c>
      <c r="O172">
        <v>30</v>
      </c>
      <c r="P172">
        <v>0</v>
      </c>
      <c r="Q172">
        <v>3.5</v>
      </c>
      <c r="R172">
        <v>1.00799996431359</v>
      </c>
    </row>
    <row r="173" spans="13:18" x14ac:dyDescent="0.3">
      <c r="M173" t="str">
        <f t="shared" si="6"/>
        <v>Pass</v>
      </c>
      <c r="N173">
        <f t="shared" si="7"/>
        <v>1.0079423189163208</v>
      </c>
      <c r="O173">
        <v>30</v>
      </c>
      <c r="P173">
        <v>0</v>
      </c>
      <c r="Q173">
        <v>4</v>
      </c>
      <c r="R173">
        <v>1.0079423730539401</v>
      </c>
    </row>
    <row r="174" spans="13:18" x14ac:dyDescent="0.3">
      <c r="M174" t="str">
        <f t="shared" si="6"/>
        <v>Pass</v>
      </c>
      <c r="N174">
        <f t="shared" si="7"/>
        <v>0.7567862868309021</v>
      </c>
      <c r="O174">
        <v>30</v>
      </c>
      <c r="P174">
        <v>0</v>
      </c>
      <c r="Q174">
        <v>4.5</v>
      </c>
      <c r="R174">
        <v>0.75678626338858201</v>
      </c>
    </row>
    <row r="175" spans="13:18" x14ac:dyDescent="0.3">
      <c r="M175" t="str">
        <f t="shared" si="6"/>
        <v>Pass</v>
      </c>
      <c r="N175">
        <f t="shared" si="7"/>
        <v>9.5184138044714928E-3</v>
      </c>
      <c r="O175">
        <v>30</v>
      </c>
      <c r="P175">
        <v>0</v>
      </c>
      <c r="Q175">
        <v>5</v>
      </c>
      <c r="R175">
        <v>9.5184135977337096E-3</v>
      </c>
    </row>
    <row r="176" spans="13:18" x14ac:dyDescent="0.3">
      <c r="M176" t="str">
        <f t="shared" si="6"/>
        <v>Pass</v>
      </c>
      <c r="N176">
        <f t="shared" si="7"/>
        <v>1.0080000162124634</v>
      </c>
      <c r="O176">
        <v>30</v>
      </c>
      <c r="P176">
        <v>10</v>
      </c>
      <c r="Q176">
        <v>3</v>
      </c>
      <c r="R176">
        <v>1.0079999999206299</v>
      </c>
    </row>
    <row r="177" spans="13:18" x14ac:dyDescent="0.3">
      <c r="M177" t="str">
        <f t="shared" si="6"/>
        <v>Pass</v>
      </c>
      <c r="N177">
        <f t="shared" si="7"/>
        <v>1.0080000162124634</v>
      </c>
      <c r="O177">
        <v>30</v>
      </c>
      <c r="P177">
        <v>10</v>
      </c>
      <c r="Q177">
        <v>3.5</v>
      </c>
      <c r="R177">
        <v>1.0079999738960099</v>
      </c>
    </row>
    <row r="178" spans="13:18" x14ac:dyDescent="0.3">
      <c r="M178" t="str">
        <f t="shared" si="6"/>
        <v>Pass</v>
      </c>
      <c r="N178">
        <f t="shared" si="7"/>
        <v>1.007970929145813</v>
      </c>
      <c r="O178">
        <v>30</v>
      </c>
      <c r="P178">
        <v>10</v>
      </c>
      <c r="Q178">
        <v>4</v>
      </c>
      <c r="R178">
        <v>1.0079709206705301</v>
      </c>
    </row>
    <row r="179" spans="13:18" x14ac:dyDescent="0.3">
      <c r="M179" t="str">
        <f t="shared" si="6"/>
        <v>Pass</v>
      </c>
      <c r="N179">
        <f t="shared" si="7"/>
        <v>0.90945112705230713</v>
      </c>
      <c r="O179">
        <v>30</v>
      </c>
      <c r="P179">
        <v>10</v>
      </c>
      <c r="Q179">
        <v>4.5</v>
      </c>
      <c r="R179">
        <v>0.90945111694525105</v>
      </c>
    </row>
    <row r="180" spans="13:18" x14ac:dyDescent="0.3">
      <c r="M180" t="str">
        <f t="shared" si="6"/>
        <v>Pass</v>
      </c>
      <c r="N180">
        <f t="shared" si="7"/>
        <v>9.5184138044714928E-3</v>
      </c>
      <c r="O180">
        <v>30</v>
      </c>
      <c r="P180">
        <v>10</v>
      </c>
      <c r="Q180">
        <v>5</v>
      </c>
      <c r="R180">
        <v>9.5184135977337096E-3</v>
      </c>
    </row>
    <row r="181" spans="13:18" x14ac:dyDescent="0.3">
      <c r="M181" t="str">
        <f t="shared" si="6"/>
        <v>Pass</v>
      </c>
      <c r="N181">
        <f t="shared" si="7"/>
        <v>1.0080000162124634</v>
      </c>
      <c r="O181">
        <v>30</v>
      </c>
      <c r="P181">
        <v>20</v>
      </c>
      <c r="Q181">
        <v>3</v>
      </c>
      <c r="R181">
        <v>1.0079999999206299</v>
      </c>
    </row>
    <row r="182" spans="13:18" x14ac:dyDescent="0.3">
      <c r="M182" t="str">
        <f t="shared" si="6"/>
        <v>Pass</v>
      </c>
      <c r="N182">
        <f t="shared" si="7"/>
        <v>1.0080000162124634</v>
      </c>
      <c r="O182">
        <v>30</v>
      </c>
      <c r="P182">
        <v>20</v>
      </c>
      <c r="Q182">
        <v>3.5</v>
      </c>
      <c r="R182">
        <v>1.0079999809053799</v>
      </c>
    </row>
    <row r="183" spans="13:18" x14ac:dyDescent="0.3">
      <c r="M183" t="str">
        <f t="shared" si="6"/>
        <v>Pass</v>
      </c>
      <c r="N183">
        <f t="shared" si="7"/>
        <v>1.0079853534698486</v>
      </c>
      <c r="O183">
        <v>30</v>
      </c>
      <c r="P183">
        <v>20</v>
      </c>
      <c r="Q183">
        <v>4</v>
      </c>
      <c r="R183">
        <v>1.00798532638642</v>
      </c>
    </row>
    <row r="184" spans="13:18" x14ac:dyDescent="0.3">
      <c r="M184" t="str">
        <f t="shared" si="6"/>
        <v>Pass</v>
      </c>
      <c r="N184">
        <f t="shared" si="7"/>
        <v>0.97356200218200684</v>
      </c>
      <c r="O184">
        <v>30</v>
      </c>
      <c r="P184">
        <v>20</v>
      </c>
      <c r="Q184">
        <v>4.5</v>
      </c>
      <c r="R184">
        <v>0.97356198153832596</v>
      </c>
    </row>
    <row r="185" spans="13:18" x14ac:dyDescent="0.3">
      <c r="M185" t="str">
        <f t="shared" si="6"/>
        <v>Pass</v>
      </c>
      <c r="N185">
        <f t="shared" si="7"/>
        <v>9.5184138044714928E-3</v>
      </c>
      <c r="O185">
        <v>30</v>
      </c>
      <c r="P185">
        <v>20</v>
      </c>
      <c r="Q185">
        <v>5</v>
      </c>
      <c r="R185">
        <v>9.5184135977337096E-3</v>
      </c>
    </row>
    <row r="186" spans="13:18" x14ac:dyDescent="0.3">
      <c r="M186" t="str">
        <f t="shared" si="6"/>
        <v>Pass</v>
      </c>
      <c r="N186">
        <f t="shared" si="7"/>
        <v>1.0080000162124634</v>
      </c>
      <c r="O186">
        <v>30</v>
      </c>
      <c r="P186">
        <v>30</v>
      </c>
      <c r="Q186">
        <v>3</v>
      </c>
      <c r="R186">
        <v>1.0079999999206299</v>
      </c>
    </row>
    <row r="187" spans="13:18" x14ac:dyDescent="0.3">
      <c r="M187" t="str">
        <f t="shared" si="6"/>
        <v>Pass</v>
      </c>
      <c r="N187">
        <f t="shared" si="7"/>
        <v>1.0080000162124634</v>
      </c>
      <c r="O187">
        <v>30</v>
      </c>
      <c r="P187">
        <v>30</v>
      </c>
      <c r="Q187">
        <v>3.5</v>
      </c>
      <c r="R187">
        <v>1.0079999860326101</v>
      </c>
    </row>
    <row r="188" spans="13:18" x14ac:dyDescent="0.3">
      <c r="M188" t="str">
        <f t="shared" si="6"/>
        <v>Pass</v>
      </c>
      <c r="N188">
        <f t="shared" si="7"/>
        <v>1.0079926252365112</v>
      </c>
      <c r="O188">
        <v>30</v>
      </c>
      <c r="P188">
        <v>30</v>
      </c>
      <c r="Q188">
        <v>4</v>
      </c>
      <c r="R188">
        <v>1.0079925956542</v>
      </c>
    </row>
    <row r="189" spans="13:18" x14ac:dyDescent="0.3">
      <c r="M189" t="str">
        <f t="shared" si="6"/>
        <v>Pass</v>
      </c>
      <c r="N189">
        <f t="shared" si="7"/>
        <v>0.99649327993392944</v>
      </c>
      <c r="O189">
        <v>30</v>
      </c>
      <c r="P189">
        <v>30</v>
      </c>
      <c r="Q189">
        <v>4.5</v>
      </c>
      <c r="R189">
        <v>0.99649329098974504</v>
      </c>
    </row>
    <row r="190" spans="13:18" x14ac:dyDescent="0.3">
      <c r="M190" t="str">
        <f t="shared" si="6"/>
        <v>Pass</v>
      </c>
      <c r="N190">
        <f t="shared" si="7"/>
        <v>1.8385244533419609E-2</v>
      </c>
      <c r="O190">
        <v>30</v>
      </c>
      <c r="P190">
        <v>30</v>
      </c>
      <c r="Q190">
        <v>5</v>
      </c>
      <c r="R190">
        <v>1.83852445466594E-2</v>
      </c>
    </row>
    <row r="191" spans="13:18" x14ac:dyDescent="0.3">
      <c r="M191" t="str">
        <f t="shared" si="6"/>
        <v>Pass</v>
      </c>
      <c r="N191">
        <f t="shared" si="7"/>
        <v>1.0080000162124634</v>
      </c>
      <c r="O191">
        <v>30</v>
      </c>
      <c r="P191">
        <v>40</v>
      </c>
      <c r="Q191">
        <v>3</v>
      </c>
      <c r="R191">
        <v>1.0079999999206299</v>
      </c>
    </row>
    <row r="192" spans="13:18" x14ac:dyDescent="0.3">
      <c r="M192" t="str">
        <f t="shared" si="6"/>
        <v>Pass</v>
      </c>
      <c r="N192">
        <f t="shared" si="7"/>
        <v>1.0080000162124634</v>
      </c>
      <c r="O192">
        <v>30</v>
      </c>
      <c r="P192">
        <v>40</v>
      </c>
      <c r="Q192">
        <v>3.5</v>
      </c>
      <c r="R192">
        <v>1.00799998978309</v>
      </c>
    </row>
    <row r="193" spans="13:18" x14ac:dyDescent="0.3">
      <c r="M193" t="str">
        <f t="shared" si="6"/>
        <v>Pass</v>
      </c>
      <c r="N193">
        <f t="shared" si="7"/>
        <v>1.0079963207244873</v>
      </c>
      <c r="O193">
        <v>30</v>
      </c>
      <c r="P193">
        <v>40</v>
      </c>
      <c r="Q193">
        <v>4</v>
      </c>
      <c r="R193">
        <v>1.0079962637600799</v>
      </c>
    </row>
    <row r="194" spans="13:18" x14ac:dyDescent="0.3">
      <c r="M194" t="str">
        <f t="shared" si="6"/>
        <v>Pass</v>
      </c>
      <c r="N194">
        <f t="shared" si="7"/>
        <v>1.0042146444320679</v>
      </c>
      <c r="O194">
        <v>30</v>
      </c>
      <c r="P194">
        <v>40</v>
      </c>
      <c r="Q194">
        <v>4.5</v>
      </c>
      <c r="R194">
        <v>1.0042146546395001</v>
      </c>
    </row>
    <row r="195" spans="13:18" x14ac:dyDescent="0.3">
      <c r="M195" t="str">
        <f t="shared" si="6"/>
        <v>Pass</v>
      </c>
      <c r="N195">
        <f t="shared" si="7"/>
        <v>8.6447432637214661E-2</v>
      </c>
      <c r="O195">
        <v>30</v>
      </c>
      <c r="P195">
        <v>40</v>
      </c>
      <c r="Q195">
        <v>5</v>
      </c>
      <c r="R195">
        <v>8.6447431964017801E-2</v>
      </c>
    </row>
    <row r="196" spans="13:18" x14ac:dyDescent="0.3">
      <c r="M196" t="str">
        <f t="shared" si="6"/>
        <v>Pass</v>
      </c>
      <c r="N196">
        <f t="shared" si="7"/>
        <v>1.0080000162124634</v>
      </c>
      <c r="O196">
        <v>30</v>
      </c>
      <c r="P196">
        <v>50</v>
      </c>
      <c r="Q196">
        <v>3</v>
      </c>
      <c r="R196">
        <v>1.0079999999206299</v>
      </c>
    </row>
    <row r="197" spans="13:18" x14ac:dyDescent="0.3">
      <c r="M197" t="str">
        <f t="shared" si="6"/>
        <v>Pass</v>
      </c>
      <c r="N197">
        <f t="shared" si="7"/>
        <v>1.0080000162124634</v>
      </c>
      <c r="O197">
        <v>30</v>
      </c>
      <c r="P197">
        <v>50</v>
      </c>
      <c r="Q197">
        <v>3.5</v>
      </c>
      <c r="R197">
        <v>1.00799999252651</v>
      </c>
    </row>
    <row r="198" spans="13:18" x14ac:dyDescent="0.3">
      <c r="M198" t="str">
        <f t="shared" si="6"/>
        <v>Pass</v>
      </c>
      <c r="N198">
        <f t="shared" si="7"/>
        <v>1.0079981088638306</v>
      </c>
      <c r="O198">
        <v>30</v>
      </c>
      <c r="P198">
        <v>50</v>
      </c>
      <c r="Q198">
        <v>4</v>
      </c>
      <c r="R198">
        <v>1.00799811469318</v>
      </c>
    </row>
    <row r="199" spans="13:18" x14ac:dyDescent="0.3">
      <c r="M199" t="str">
        <f t="shared" ref="M199:M262" si="8">IF(ISBLANK(N199),"",IF(ROUND(N199,0)=ROUND(R199,0),"Pass","Fail"))</f>
        <v>Pass</v>
      </c>
      <c r="N199">
        <f t="shared" ref="N199:N262" si="9">FA_pine(O199,P199,Q199)</f>
        <v>1.0067611932754517</v>
      </c>
      <c r="O199">
        <v>30</v>
      </c>
      <c r="P199">
        <v>50</v>
      </c>
      <c r="Q199">
        <v>4.5</v>
      </c>
      <c r="R199">
        <v>1.0067611816808999</v>
      </c>
    </row>
    <row r="200" spans="13:18" x14ac:dyDescent="0.3">
      <c r="M200" t="str">
        <f t="shared" si="8"/>
        <v>Pass</v>
      </c>
      <c r="N200">
        <f t="shared" si="9"/>
        <v>0.32398572564125061</v>
      </c>
      <c r="O200">
        <v>30</v>
      </c>
      <c r="P200">
        <v>50</v>
      </c>
      <c r="Q200">
        <v>5</v>
      </c>
      <c r="R200">
        <v>0.32398572845295498</v>
      </c>
    </row>
    <row r="201" spans="13:18" x14ac:dyDescent="0.3">
      <c r="M201" t="str">
        <f t="shared" si="8"/>
        <v>Pass</v>
      </c>
      <c r="N201">
        <f t="shared" si="9"/>
        <v>1.0080000162124634</v>
      </c>
      <c r="O201">
        <v>30</v>
      </c>
      <c r="P201">
        <v>60</v>
      </c>
      <c r="Q201">
        <v>3</v>
      </c>
      <c r="R201">
        <v>1.0079999999206299</v>
      </c>
    </row>
    <row r="202" spans="13:18" x14ac:dyDescent="0.3">
      <c r="M202" t="str">
        <f t="shared" si="8"/>
        <v>Pass</v>
      </c>
      <c r="N202">
        <f t="shared" si="9"/>
        <v>1.0080000162124634</v>
      </c>
      <c r="O202">
        <v>30</v>
      </c>
      <c r="P202">
        <v>60</v>
      </c>
      <c r="Q202">
        <v>3.5</v>
      </c>
      <c r="R202">
        <v>1.00799999453327</v>
      </c>
    </row>
    <row r="203" spans="13:18" x14ac:dyDescent="0.3">
      <c r="M203" t="str">
        <f t="shared" si="8"/>
        <v>Pass</v>
      </c>
      <c r="N203">
        <f t="shared" si="9"/>
        <v>1.007999062538147</v>
      </c>
      <c r="O203">
        <v>30</v>
      </c>
      <c r="P203">
        <v>60</v>
      </c>
      <c r="Q203">
        <v>4</v>
      </c>
      <c r="R203">
        <v>1.0079990486749699</v>
      </c>
    </row>
    <row r="204" spans="13:18" x14ac:dyDescent="0.3">
      <c r="M204" t="str">
        <f t="shared" si="8"/>
        <v>Pass</v>
      </c>
      <c r="N204">
        <f t="shared" si="9"/>
        <v>1.0075953006744385</v>
      </c>
      <c r="O204">
        <v>30</v>
      </c>
      <c r="P204">
        <v>60</v>
      </c>
      <c r="Q204">
        <v>4.5</v>
      </c>
      <c r="R204">
        <v>1.00759526619647</v>
      </c>
    </row>
    <row r="205" spans="13:18" x14ac:dyDescent="0.3">
      <c r="M205" t="str">
        <f t="shared" si="8"/>
        <v>Pass</v>
      </c>
      <c r="N205">
        <f t="shared" si="9"/>
        <v>0.71079558134078979</v>
      </c>
      <c r="O205">
        <v>30</v>
      </c>
      <c r="P205">
        <v>60</v>
      </c>
      <c r="Q205">
        <v>5</v>
      </c>
      <c r="R205">
        <v>0.71079557823015904</v>
      </c>
    </row>
    <row r="206" spans="13:18" x14ac:dyDescent="0.3">
      <c r="M206" t="str">
        <f t="shared" si="8"/>
        <v>Pass</v>
      </c>
      <c r="N206">
        <f t="shared" si="9"/>
        <v>1.0080000162124634</v>
      </c>
      <c r="O206">
        <v>30</v>
      </c>
      <c r="P206">
        <v>70</v>
      </c>
      <c r="Q206">
        <v>3</v>
      </c>
      <c r="R206">
        <v>1.0079999999206299</v>
      </c>
    </row>
    <row r="207" spans="13:18" x14ac:dyDescent="0.3">
      <c r="M207" t="str">
        <f t="shared" si="8"/>
        <v>Pass</v>
      </c>
      <c r="N207">
        <f t="shared" si="9"/>
        <v>1.0080000162124634</v>
      </c>
      <c r="O207">
        <v>30</v>
      </c>
      <c r="P207">
        <v>70</v>
      </c>
      <c r="Q207">
        <v>3.5</v>
      </c>
      <c r="R207">
        <v>1.0079999960011801</v>
      </c>
    </row>
    <row r="208" spans="13:18" x14ac:dyDescent="0.3">
      <c r="M208" t="str">
        <f t="shared" si="8"/>
        <v>Pass</v>
      </c>
      <c r="N208">
        <f t="shared" si="9"/>
        <v>1.0079995393753052</v>
      </c>
      <c r="O208">
        <v>30</v>
      </c>
      <c r="P208">
        <v>70</v>
      </c>
      <c r="Q208">
        <v>4</v>
      </c>
      <c r="R208">
        <v>1.00799951996201</v>
      </c>
    </row>
    <row r="209" spans="13:18" x14ac:dyDescent="0.3">
      <c r="M209" t="str">
        <f t="shared" si="8"/>
        <v>Pass</v>
      </c>
      <c r="N209">
        <f t="shared" si="9"/>
        <v>1.0078678131103516</v>
      </c>
      <c r="O209">
        <v>30</v>
      </c>
      <c r="P209">
        <v>70</v>
      </c>
      <c r="Q209">
        <v>4.5</v>
      </c>
      <c r="R209">
        <v>1.0078678433103201</v>
      </c>
    </row>
    <row r="210" spans="13:18" x14ac:dyDescent="0.3">
      <c r="M210" t="str">
        <f t="shared" si="8"/>
        <v>Pass</v>
      </c>
      <c r="N210">
        <f t="shared" si="9"/>
        <v>0.93091142177581787</v>
      </c>
      <c r="O210">
        <v>30</v>
      </c>
      <c r="P210">
        <v>70</v>
      </c>
      <c r="Q210">
        <v>5</v>
      </c>
      <c r="R210">
        <v>0.93091139914936205</v>
      </c>
    </row>
    <row r="211" spans="13:18" x14ac:dyDescent="0.3">
      <c r="M211" t="str">
        <f t="shared" si="8"/>
        <v>Pass</v>
      </c>
      <c r="N211">
        <f t="shared" si="9"/>
        <v>1.0080000162124634</v>
      </c>
      <c r="O211">
        <v>30</v>
      </c>
      <c r="P211">
        <v>80</v>
      </c>
      <c r="Q211">
        <v>3</v>
      </c>
      <c r="R211">
        <v>1.0079999999206299</v>
      </c>
    </row>
    <row r="212" spans="13:18" x14ac:dyDescent="0.3">
      <c r="M212" t="str">
        <f t="shared" si="8"/>
        <v>Pass</v>
      </c>
      <c r="N212">
        <f t="shared" si="9"/>
        <v>1.0080000162124634</v>
      </c>
      <c r="O212">
        <v>30</v>
      </c>
      <c r="P212">
        <v>80</v>
      </c>
      <c r="Q212">
        <v>3.5</v>
      </c>
      <c r="R212">
        <v>1.00799999707493</v>
      </c>
    </row>
    <row r="213" spans="13:18" x14ac:dyDescent="0.3">
      <c r="M213" t="str">
        <f t="shared" si="8"/>
        <v>Pass</v>
      </c>
      <c r="N213">
        <f t="shared" si="9"/>
        <v>1.0079997777938843</v>
      </c>
      <c r="O213">
        <v>30</v>
      </c>
      <c r="P213">
        <v>80</v>
      </c>
      <c r="Q213">
        <v>4</v>
      </c>
      <c r="R213">
        <v>1.0079997577731901</v>
      </c>
    </row>
    <row r="214" spans="13:18" x14ac:dyDescent="0.3">
      <c r="M214" t="str">
        <f t="shared" si="8"/>
        <v>Pass</v>
      </c>
      <c r="N214">
        <f t="shared" si="9"/>
        <v>1.007956862449646</v>
      </c>
      <c r="O214">
        <v>30</v>
      </c>
      <c r="P214">
        <v>80</v>
      </c>
      <c r="Q214">
        <v>4.5</v>
      </c>
      <c r="R214">
        <v>1.0079568550759901</v>
      </c>
    </row>
    <row r="215" spans="13:18" x14ac:dyDescent="0.3">
      <c r="M215" t="str">
        <f t="shared" si="8"/>
        <v>Pass</v>
      </c>
      <c r="N215">
        <f t="shared" si="9"/>
        <v>0.99173521995544434</v>
      </c>
      <c r="O215">
        <v>30</v>
      </c>
      <c r="P215">
        <v>80</v>
      </c>
      <c r="Q215">
        <v>5</v>
      </c>
      <c r="R215">
        <v>0.991735196990568</v>
      </c>
    </row>
    <row r="216" spans="13:18" x14ac:dyDescent="0.3">
      <c r="M216" t="str">
        <f t="shared" si="8"/>
        <v>Pass</v>
      </c>
      <c r="N216">
        <f t="shared" si="9"/>
        <v>1.0080000162124634</v>
      </c>
      <c r="O216">
        <v>30</v>
      </c>
      <c r="P216">
        <v>90</v>
      </c>
      <c r="Q216">
        <v>3</v>
      </c>
      <c r="R216">
        <v>1.0079999999206299</v>
      </c>
    </row>
    <row r="217" spans="13:18" x14ac:dyDescent="0.3">
      <c r="M217" t="str">
        <f t="shared" si="8"/>
        <v>Pass</v>
      </c>
      <c r="N217">
        <f t="shared" si="9"/>
        <v>1.0080000162124634</v>
      </c>
      <c r="O217">
        <v>30</v>
      </c>
      <c r="P217">
        <v>90</v>
      </c>
      <c r="Q217">
        <v>3.5</v>
      </c>
      <c r="R217">
        <v>1.00799999786036</v>
      </c>
    </row>
    <row r="218" spans="13:18" x14ac:dyDescent="0.3">
      <c r="M218" t="str">
        <f t="shared" si="8"/>
        <v>Pass</v>
      </c>
      <c r="N218">
        <f t="shared" si="9"/>
        <v>1.0079998970031738</v>
      </c>
      <c r="O218">
        <v>30</v>
      </c>
      <c r="P218">
        <v>90</v>
      </c>
      <c r="Q218">
        <v>4</v>
      </c>
      <c r="R218">
        <v>1.0079998777725501</v>
      </c>
    </row>
    <row r="219" spans="13:18" x14ac:dyDescent="0.3">
      <c r="M219" t="str">
        <f t="shared" si="8"/>
        <v>Pass</v>
      </c>
      <c r="N219">
        <f t="shared" si="9"/>
        <v>1.0079859495162964</v>
      </c>
      <c r="O219">
        <v>30</v>
      </c>
      <c r="P219">
        <v>90</v>
      </c>
      <c r="Q219">
        <v>4.5</v>
      </c>
      <c r="R219">
        <v>1.0079859154027699</v>
      </c>
    </row>
    <row r="220" spans="13:18" x14ac:dyDescent="0.3">
      <c r="M220" t="str">
        <f t="shared" si="8"/>
        <v>Pass</v>
      </c>
      <c r="N220">
        <f t="shared" si="9"/>
        <v>1.0047365427017212</v>
      </c>
      <c r="O220">
        <v>30</v>
      </c>
      <c r="P220">
        <v>90</v>
      </c>
      <c r="Q220">
        <v>5</v>
      </c>
      <c r="R220">
        <v>1.00473655310902</v>
      </c>
    </row>
    <row r="221" spans="13:18" x14ac:dyDescent="0.3">
      <c r="M221" t="str">
        <f t="shared" si="8"/>
        <v>Pass</v>
      </c>
      <c r="N221">
        <f t="shared" si="9"/>
        <v>1.0080000162124634</v>
      </c>
      <c r="O221">
        <v>30</v>
      </c>
      <c r="P221">
        <v>100</v>
      </c>
      <c r="Q221">
        <v>3</v>
      </c>
      <c r="R221">
        <v>1.0079999999206299</v>
      </c>
    </row>
    <row r="222" spans="13:18" x14ac:dyDescent="0.3">
      <c r="M222" t="str">
        <f t="shared" si="8"/>
        <v>Pass</v>
      </c>
      <c r="N222">
        <f t="shared" si="9"/>
        <v>1.0080000162124634</v>
      </c>
      <c r="O222">
        <v>30</v>
      </c>
      <c r="P222">
        <v>100</v>
      </c>
      <c r="Q222">
        <v>3.5</v>
      </c>
      <c r="R222">
        <v>1.00799999843489</v>
      </c>
    </row>
    <row r="223" spans="13:18" x14ac:dyDescent="0.3">
      <c r="M223" t="str">
        <f t="shared" si="8"/>
        <v>Pass</v>
      </c>
      <c r="N223">
        <f t="shared" si="9"/>
        <v>1.0079998970031738</v>
      </c>
      <c r="O223">
        <v>30</v>
      </c>
      <c r="P223">
        <v>100</v>
      </c>
      <c r="Q223">
        <v>4</v>
      </c>
      <c r="R223">
        <v>1.00799993832413</v>
      </c>
    </row>
    <row r="224" spans="13:18" x14ac:dyDescent="0.3">
      <c r="M224" t="str">
        <f t="shared" si="8"/>
        <v>Pass</v>
      </c>
      <c r="N224">
        <f t="shared" si="9"/>
        <v>1.0079953670501709</v>
      </c>
      <c r="O224">
        <v>30</v>
      </c>
      <c r="P224">
        <v>100</v>
      </c>
      <c r="Q224">
        <v>4.5</v>
      </c>
      <c r="R224">
        <v>1.0079954021931501</v>
      </c>
    </row>
    <row r="225" spans="13:18" x14ac:dyDescent="0.3">
      <c r="M225" t="str">
        <f t="shared" si="8"/>
        <v>Pass</v>
      </c>
      <c r="N225">
        <f t="shared" si="9"/>
        <v>1.0073519945144653</v>
      </c>
      <c r="O225">
        <v>30</v>
      </c>
      <c r="P225">
        <v>100</v>
      </c>
      <c r="Q225">
        <v>5</v>
      </c>
      <c r="R225">
        <v>1.0073519972265199</v>
      </c>
    </row>
    <row r="226" spans="13:18" x14ac:dyDescent="0.3">
      <c r="M226" t="str">
        <f t="shared" si="8"/>
        <v>Pass</v>
      </c>
      <c r="N226">
        <f t="shared" si="9"/>
        <v>1.0080000162124634</v>
      </c>
      <c r="O226">
        <v>40</v>
      </c>
      <c r="P226">
        <v>0</v>
      </c>
      <c r="Q226">
        <v>3</v>
      </c>
      <c r="R226">
        <v>1.00799999999999</v>
      </c>
    </row>
    <row r="227" spans="13:18" x14ac:dyDescent="0.3">
      <c r="M227" t="str">
        <f t="shared" si="8"/>
        <v>Pass</v>
      </c>
      <c r="N227">
        <f t="shared" si="9"/>
        <v>1.0080000162124634</v>
      </c>
      <c r="O227">
        <v>40</v>
      </c>
      <c r="P227">
        <v>0</v>
      </c>
      <c r="Q227">
        <v>3.5</v>
      </c>
      <c r="R227">
        <v>1.0079999999751501</v>
      </c>
    </row>
    <row r="228" spans="13:18" x14ac:dyDescent="0.3">
      <c r="M228" t="str">
        <f t="shared" si="8"/>
        <v>Pass</v>
      </c>
      <c r="N228">
        <f t="shared" si="9"/>
        <v>1.0079995393753052</v>
      </c>
      <c r="O228">
        <v>40</v>
      </c>
      <c r="P228">
        <v>0</v>
      </c>
      <c r="Q228">
        <v>4</v>
      </c>
      <c r="R228">
        <v>1.00799952925212</v>
      </c>
    </row>
    <row r="229" spans="13:18" x14ac:dyDescent="0.3">
      <c r="M229" t="str">
        <f t="shared" si="8"/>
        <v>Pass</v>
      </c>
      <c r="N229">
        <f t="shared" si="9"/>
        <v>0.96115857362747192</v>
      </c>
      <c r="O229">
        <v>40</v>
      </c>
      <c r="P229">
        <v>0</v>
      </c>
      <c r="Q229">
        <v>4.5</v>
      </c>
      <c r="R229">
        <v>0.96115857767169699</v>
      </c>
    </row>
    <row r="230" spans="13:18" x14ac:dyDescent="0.3">
      <c r="M230" t="str">
        <f t="shared" si="8"/>
        <v>Pass</v>
      </c>
      <c r="N230">
        <f t="shared" si="9"/>
        <v>9.5184138044714928E-3</v>
      </c>
      <c r="O230">
        <v>40</v>
      </c>
      <c r="P230">
        <v>0</v>
      </c>
      <c r="Q230">
        <v>5</v>
      </c>
      <c r="R230">
        <v>9.5184135977337096E-3</v>
      </c>
    </row>
    <row r="231" spans="13:18" x14ac:dyDescent="0.3">
      <c r="M231" t="str">
        <f t="shared" si="8"/>
        <v>Pass</v>
      </c>
      <c r="N231">
        <f t="shared" si="9"/>
        <v>1.0080000162124634</v>
      </c>
      <c r="O231">
        <v>40</v>
      </c>
      <c r="P231">
        <v>10</v>
      </c>
      <c r="Q231">
        <v>3</v>
      </c>
      <c r="R231">
        <v>1.00799999999999</v>
      </c>
    </row>
    <row r="232" spans="13:18" x14ac:dyDescent="0.3">
      <c r="M232" t="str">
        <f t="shared" si="8"/>
        <v>Pass</v>
      </c>
      <c r="N232">
        <f t="shared" si="9"/>
        <v>1.0080000162124634</v>
      </c>
      <c r="O232">
        <v>40</v>
      </c>
      <c r="P232">
        <v>10</v>
      </c>
      <c r="Q232">
        <v>3.5</v>
      </c>
      <c r="R232">
        <v>1.00799999998362</v>
      </c>
    </row>
    <row r="233" spans="13:18" x14ac:dyDescent="0.3">
      <c r="M233" t="str">
        <f t="shared" si="8"/>
        <v>Pass</v>
      </c>
      <c r="N233">
        <f t="shared" si="9"/>
        <v>1.0079997777938843</v>
      </c>
      <c r="O233">
        <v>40</v>
      </c>
      <c r="P233">
        <v>10</v>
      </c>
      <c r="Q233">
        <v>4</v>
      </c>
      <c r="R233">
        <v>1.0079998108888499</v>
      </c>
    </row>
    <row r="234" spans="13:18" x14ac:dyDescent="0.3">
      <c r="M234" t="str">
        <f t="shared" si="8"/>
        <v>Pass</v>
      </c>
      <c r="N234">
        <f t="shared" si="9"/>
        <v>0.9970780611038208</v>
      </c>
      <c r="O234">
        <v>40</v>
      </c>
      <c r="P234">
        <v>10</v>
      </c>
      <c r="Q234">
        <v>4.5</v>
      </c>
      <c r="R234">
        <v>0.99707804328716299</v>
      </c>
    </row>
    <row r="235" spans="13:18" x14ac:dyDescent="0.3">
      <c r="M235" t="str">
        <f t="shared" si="8"/>
        <v>Pass</v>
      </c>
      <c r="N235">
        <f t="shared" si="9"/>
        <v>9.5184138044714928E-3</v>
      </c>
      <c r="O235">
        <v>40</v>
      </c>
      <c r="P235">
        <v>10</v>
      </c>
      <c r="Q235">
        <v>5</v>
      </c>
      <c r="R235">
        <v>9.5184135977337096E-3</v>
      </c>
    </row>
    <row r="236" spans="13:18" x14ac:dyDescent="0.3">
      <c r="M236" t="str">
        <f t="shared" si="8"/>
        <v>Pass</v>
      </c>
      <c r="N236">
        <f t="shared" si="9"/>
        <v>1.0080000162124634</v>
      </c>
      <c r="O236">
        <v>40</v>
      </c>
      <c r="P236">
        <v>20</v>
      </c>
      <c r="Q236">
        <v>3</v>
      </c>
      <c r="R236">
        <v>1.00799999999999</v>
      </c>
    </row>
    <row r="237" spans="13:18" x14ac:dyDescent="0.3">
      <c r="M237" t="str">
        <f t="shared" si="8"/>
        <v>Pass</v>
      </c>
      <c r="N237">
        <f t="shared" si="9"/>
        <v>1.0080000162124634</v>
      </c>
      <c r="O237">
        <v>40</v>
      </c>
      <c r="P237">
        <v>20</v>
      </c>
      <c r="Q237">
        <v>3.5</v>
      </c>
      <c r="R237">
        <v>1.0079999999892</v>
      </c>
    </row>
    <row r="238" spans="13:18" x14ac:dyDescent="0.3">
      <c r="M238" t="str">
        <f t="shared" si="8"/>
        <v>Pass</v>
      </c>
      <c r="N238">
        <f t="shared" si="9"/>
        <v>1.0079998970031738</v>
      </c>
      <c r="O238">
        <v>40</v>
      </c>
      <c r="P238">
        <v>20</v>
      </c>
      <c r="Q238">
        <v>4</v>
      </c>
      <c r="R238">
        <v>1.00799992402935</v>
      </c>
    </row>
    <row r="239" spans="13:18" x14ac:dyDescent="0.3">
      <c r="M239" t="str">
        <f t="shared" si="8"/>
        <v>Pass</v>
      </c>
      <c r="N239">
        <f t="shared" si="9"/>
        <v>1.0055242776870728</v>
      </c>
      <c r="O239">
        <v>40</v>
      </c>
      <c r="P239">
        <v>20</v>
      </c>
      <c r="Q239">
        <v>4.5</v>
      </c>
      <c r="R239">
        <v>1.00552428793072</v>
      </c>
    </row>
    <row r="240" spans="13:18" x14ac:dyDescent="0.3">
      <c r="M240" t="str">
        <f t="shared" si="8"/>
        <v>Pass</v>
      </c>
      <c r="N240">
        <f t="shared" si="9"/>
        <v>9.5184138044714928E-3</v>
      </c>
      <c r="O240">
        <v>40</v>
      </c>
      <c r="P240">
        <v>20</v>
      </c>
      <c r="Q240">
        <v>5</v>
      </c>
      <c r="R240">
        <v>9.5184135977337096E-3</v>
      </c>
    </row>
    <row r="241" spans="13:18" x14ac:dyDescent="0.3">
      <c r="M241" t="str">
        <f t="shared" si="8"/>
        <v>Pass</v>
      </c>
      <c r="N241">
        <f t="shared" si="9"/>
        <v>1.0080000162124634</v>
      </c>
      <c r="O241">
        <v>40</v>
      </c>
      <c r="P241">
        <v>30</v>
      </c>
      <c r="Q241">
        <v>3</v>
      </c>
      <c r="R241">
        <v>1.00799999999999</v>
      </c>
    </row>
    <row r="242" spans="13:18" x14ac:dyDescent="0.3">
      <c r="M242" t="str">
        <f t="shared" si="8"/>
        <v>Pass</v>
      </c>
      <c r="N242">
        <f t="shared" si="9"/>
        <v>1.0080000162124634</v>
      </c>
      <c r="O242">
        <v>40</v>
      </c>
      <c r="P242">
        <v>30</v>
      </c>
      <c r="Q242">
        <v>3.5</v>
      </c>
      <c r="R242">
        <v>1.0079999999928799</v>
      </c>
    </row>
    <row r="243" spans="13:18" x14ac:dyDescent="0.3">
      <c r="M243" t="str">
        <f t="shared" si="8"/>
        <v>Pass</v>
      </c>
      <c r="N243">
        <f t="shared" si="9"/>
        <v>1.0080000162124634</v>
      </c>
      <c r="O243">
        <v>40</v>
      </c>
      <c r="P243">
        <v>30</v>
      </c>
      <c r="Q243">
        <v>4</v>
      </c>
      <c r="R243">
        <v>1.0079999694807</v>
      </c>
    </row>
    <row r="244" spans="13:18" x14ac:dyDescent="0.3">
      <c r="M244" t="str">
        <f t="shared" si="8"/>
        <v>Pass</v>
      </c>
      <c r="N244">
        <f t="shared" si="9"/>
        <v>1.0074424743652344</v>
      </c>
      <c r="O244">
        <v>40</v>
      </c>
      <c r="P244">
        <v>30</v>
      </c>
      <c r="Q244">
        <v>4.5</v>
      </c>
      <c r="R244">
        <v>1.0074424753207201</v>
      </c>
    </row>
    <row r="245" spans="13:18" x14ac:dyDescent="0.3">
      <c r="M245" t="str">
        <f t="shared" si="8"/>
        <v>Pass</v>
      </c>
      <c r="N245">
        <f t="shared" si="9"/>
        <v>2.2860920056700706E-2</v>
      </c>
      <c r="O245">
        <v>40</v>
      </c>
      <c r="P245">
        <v>30</v>
      </c>
      <c r="Q245">
        <v>5</v>
      </c>
      <c r="R245">
        <v>2.28609202512551E-2</v>
      </c>
    </row>
    <row r="246" spans="13:18" x14ac:dyDescent="0.3">
      <c r="M246" t="str">
        <f t="shared" si="8"/>
        <v>Pass</v>
      </c>
      <c r="N246">
        <f t="shared" si="9"/>
        <v>1.0080000162124634</v>
      </c>
      <c r="O246">
        <v>40</v>
      </c>
      <c r="P246">
        <v>40</v>
      </c>
      <c r="Q246">
        <v>3</v>
      </c>
      <c r="R246">
        <v>1.00799999999999</v>
      </c>
    </row>
    <row r="247" spans="13:18" x14ac:dyDescent="0.3">
      <c r="M247" t="str">
        <f t="shared" si="8"/>
        <v>Pass</v>
      </c>
      <c r="N247">
        <f t="shared" si="9"/>
        <v>1.0080000162124634</v>
      </c>
      <c r="O247">
        <v>40</v>
      </c>
      <c r="P247">
        <v>40</v>
      </c>
      <c r="Q247">
        <v>3.5</v>
      </c>
      <c r="R247">
        <v>1.00799999999531</v>
      </c>
    </row>
    <row r="248" spans="13:18" x14ac:dyDescent="0.3">
      <c r="M248" t="str">
        <f t="shared" si="8"/>
        <v>Pass</v>
      </c>
      <c r="N248">
        <f t="shared" si="9"/>
        <v>1.0080000162124634</v>
      </c>
      <c r="O248">
        <v>40</v>
      </c>
      <c r="P248">
        <v>40</v>
      </c>
      <c r="Q248">
        <v>4</v>
      </c>
      <c r="R248">
        <v>1.0079999877396399</v>
      </c>
    </row>
    <row r="249" spans="13:18" x14ac:dyDescent="0.3">
      <c r="M249" t="str">
        <f t="shared" si="8"/>
        <v>Pass</v>
      </c>
      <c r="N249">
        <f t="shared" si="9"/>
        <v>1.007874608039856</v>
      </c>
      <c r="O249">
        <v>40</v>
      </c>
      <c r="P249">
        <v>40</v>
      </c>
      <c r="Q249">
        <v>4.5</v>
      </c>
      <c r="R249">
        <v>1.0078746320212999</v>
      </c>
    </row>
    <row r="250" spans="13:18" x14ac:dyDescent="0.3">
      <c r="M250" t="str">
        <f t="shared" si="8"/>
        <v>Pass</v>
      </c>
      <c r="N250">
        <f t="shared" si="9"/>
        <v>0.16871184110641479</v>
      </c>
      <c r="O250">
        <v>40</v>
      </c>
      <c r="P250">
        <v>40</v>
      </c>
      <c r="Q250">
        <v>5</v>
      </c>
      <c r="R250">
        <v>0.16871184249282201</v>
      </c>
    </row>
    <row r="251" spans="13:18" x14ac:dyDescent="0.3">
      <c r="M251" t="str">
        <f t="shared" si="8"/>
        <v>Pass</v>
      </c>
      <c r="N251">
        <f t="shared" si="9"/>
        <v>1.0080000162124634</v>
      </c>
      <c r="O251">
        <v>40</v>
      </c>
      <c r="P251">
        <v>50</v>
      </c>
      <c r="Q251">
        <v>3</v>
      </c>
      <c r="R251">
        <v>1.00799999999999</v>
      </c>
    </row>
    <row r="252" spans="13:18" x14ac:dyDescent="0.3">
      <c r="M252" t="str">
        <f t="shared" si="8"/>
        <v>Pass</v>
      </c>
      <c r="N252">
        <f t="shared" si="9"/>
        <v>1.0080000162124634</v>
      </c>
      <c r="O252">
        <v>40</v>
      </c>
      <c r="P252">
        <v>50</v>
      </c>
      <c r="Q252">
        <v>3.5</v>
      </c>
      <c r="R252">
        <v>1.00799999999691</v>
      </c>
    </row>
    <row r="253" spans="13:18" x14ac:dyDescent="0.3">
      <c r="M253" t="str">
        <f t="shared" si="8"/>
        <v>Pass</v>
      </c>
      <c r="N253">
        <f t="shared" si="9"/>
        <v>1.0080000162124634</v>
      </c>
      <c r="O253">
        <v>40</v>
      </c>
      <c r="P253">
        <v>50</v>
      </c>
      <c r="Q253">
        <v>4</v>
      </c>
      <c r="R253">
        <v>1.0079999950747101</v>
      </c>
    </row>
    <row r="254" spans="13:18" x14ac:dyDescent="0.3">
      <c r="M254" t="str">
        <f t="shared" si="8"/>
        <v>Pass</v>
      </c>
      <c r="N254">
        <f t="shared" si="9"/>
        <v>1.0079717636108398</v>
      </c>
      <c r="O254">
        <v>40</v>
      </c>
      <c r="P254">
        <v>50</v>
      </c>
      <c r="Q254">
        <v>4.5</v>
      </c>
      <c r="R254">
        <v>1.00797181845686</v>
      </c>
    </row>
    <row r="255" spans="13:18" x14ac:dyDescent="0.3">
      <c r="M255" t="str">
        <f t="shared" si="8"/>
        <v>Pass</v>
      </c>
      <c r="N255">
        <f t="shared" si="9"/>
        <v>0.64029079675674438</v>
      </c>
      <c r="O255">
        <v>40</v>
      </c>
      <c r="P255">
        <v>50</v>
      </c>
      <c r="Q255">
        <v>5</v>
      </c>
      <c r="R255">
        <v>0.64029081047159597</v>
      </c>
    </row>
    <row r="256" spans="13:18" x14ac:dyDescent="0.3">
      <c r="M256" t="str">
        <f t="shared" si="8"/>
        <v>Pass</v>
      </c>
      <c r="N256">
        <f t="shared" si="9"/>
        <v>1.0080000162124634</v>
      </c>
      <c r="O256">
        <v>40</v>
      </c>
      <c r="P256">
        <v>60</v>
      </c>
      <c r="Q256">
        <v>3</v>
      </c>
      <c r="R256">
        <v>1.00799999999999</v>
      </c>
    </row>
    <row r="257" spans="13:18" x14ac:dyDescent="0.3">
      <c r="M257" t="str">
        <f t="shared" si="8"/>
        <v>Pass</v>
      </c>
      <c r="N257">
        <f t="shared" si="9"/>
        <v>1.0080000162124634</v>
      </c>
      <c r="O257">
        <v>40</v>
      </c>
      <c r="P257">
        <v>60</v>
      </c>
      <c r="Q257">
        <v>3.5</v>
      </c>
      <c r="R257">
        <v>1.0079999999979601</v>
      </c>
    </row>
    <row r="258" spans="13:18" x14ac:dyDescent="0.3">
      <c r="M258" t="str">
        <f t="shared" si="8"/>
        <v>Pass</v>
      </c>
      <c r="N258">
        <f t="shared" si="9"/>
        <v>1.0080000162124634</v>
      </c>
      <c r="O258">
        <v>40</v>
      </c>
      <c r="P258">
        <v>60</v>
      </c>
      <c r="Q258">
        <v>4</v>
      </c>
      <c r="R258">
        <v>1.0079999980213801</v>
      </c>
    </row>
    <row r="259" spans="13:18" x14ac:dyDescent="0.3">
      <c r="M259" t="str">
        <f t="shared" si="8"/>
        <v>Pass</v>
      </c>
      <c r="N259">
        <f t="shared" si="9"/>
        <v>1.0079936981201172</v>
      </c>
      <c r="O259">
        <v>40</v>
      </c>
      <c r="P259">
        <v>60</v>
      </c>
      <c r="Q259">
        <v>4.5</v>
      </c>
      <c r="R259">
        <v>1.0079936655275199</v>
      </c>
    </row>
    <row r="260" spans="13:18" x14ac:dyDescent="0.3">
      <c r="M260" t="str">
        <f t="shared" si="8"/>
        <v>Pass</v>
      </c>
      <c r="N260">
        <f t="shared" si="9"/>
        <v>0.94532829523086548</v>
      </c>
      <c r="O260">
        <v>40</v>
      </c>
      <c r="P260">
        <v>60</v>
      </c>
      <c r="Q260">
        <v>5</v>
      </c>
      <c r="R260">
        <v>0.94532828825166904</v>
      </c>
    </row>
    <row r="261" spans="13:18" x14ac:dyDescent="0.3">
      <c r="M261" t="str">
        <f t="shared" si="8"/>
        <v>Pass</v>
      </c>
      <c r="N261">
        <f t="shared" si="9"/>
        <v>1.0080000162124634</v>
      </c>
      <c r="O261">
        <v>40</v>
      </c>
      <c r="P261">
        <v>70</v>
      </c>
      <c r="Q261">
        <v>3</v>
      </c>
      <c r="R261">
        <v>1.00799999999999</v>
      </c>
    </row>
    <row r="262" spans="13:18" x14ac:dyDescent="0.3">
      <c r="M262" t="str">
        <f t="shared" si="8"/>
        <v>Pass</v>
      </c>
      <c r="N262">
        <f t="shared" si="9"/>
        <v>1.0080000162124634</v>
      </c>
      <c r="O262">
        <v>40</v>
      </c>
      <c r="P262">
        <v>70</v>
      </c>
      <c r="Q262">
        <v>3.5</v>
      </c>
      <c r="R262">
        <v>1.00799999999865</v>
      </c>
    </row>
    <row r="263" spans="13:18" x14ac:dyDescent="0.3">
      <c r="M263" t="str">
        <f t="shared" ref="M263:M280" si="10">IF(ISBLANK(N263),"",IF(ROUND(N263,0)=ROUND(R263,0),"Pass","Fail"))</f>
        <v>Pass</v>
      </c>
      <c r="N263">
        <f t="shared" ref="N263:N280" si="11">FA_pine(O263,P263,Q263)</f>
        <v>1.0080000162124634</v>
      </c>
      <c r="O263">
        <v>40</v>
      </c>
      <c r="P263">
        <v>70</v>
      </c>
      <c r="Q263">
        <v>4</v>
      </c>
      <c r="R263">
        <v>1.0079999992051401</v>
      </c>
    </row>
    <row r="264" spans="13:18" x14ac:dyDescent="0.3">
      <c r="M264" t="str">
        <f t="shared" si="10"/>
        <v>Pass</v>
      </c>
      <c r="N264">
        <f t="shared" si="11"/>
        <v>1.0079985857009888</v>
      </c>
      <c r="O264">
        <v>40</v>
      </c>
      <c r="P264">
        <v>70</v>
      </c>
      <c r="Q264">
        <v>4.5</v>
      </c>
      <c r="R264">
        <v>1.0079985762004799</v>
      </c>
    </row>
    <row r="265" spans="13:18" x14ac:dyDescent="0.3">
      <c r="M265" t="str">
        <f t="shared" si="10"/>
        <v>Pass</v>
      </c>
      <c r="N265">
        <f t="shared" si="11"/>
        <v>1.0003440380096436</v>
      </c>
      <c r="O265">
        <v>40</v>
      </c>
      <c r="P265">
        <v>70</v>
      </c>
      <c r="Q265">
        <v>5</v>
      </c>
      <c r="R265">
        <v>1.000344034334</v>
      </c>
    </row>
    <row r="266" spans="13:18" x14ac:dyDescent="0.3">
      <c r="M266" t="str">
        <f t="shared" si="10"/>
        <v>Pass</v>
      </c>
      <c r="N266">
        <f t="shared" si="11"/>
        <v>1.0080000162124634</v>
      </c>
      <c r="O266">
        <v>40</v>
      </c>
      <c r="P266">
        <v>80</v>
      </c>
      <c r="Q266">
        <v>3</v>
      </c>
      <c r="R266">
        <v>1.00799999999999</v>
      </c>
    </row>
    <row r="267" spans="13:18" x14ac:dyDescent="0.3">
      <c r="M267" t="str">
        <f t="shared" si="10"/>
        <v>Pass</v>
      </c>
      <c r="N267">
        <f t="shared" si="11"/>
        <v>1.0080000162124634</v>
      </c>
      <c r="O267">
        <v>40</v>
      </c>
      <c r="P267">
        <v>80</v>
      </c>
      <c r="Q267">
        <v>3.5</v>
      </c>
      <c r="R267">
        <v>1.0079999999991101</v>
      </c>
    </row>
    <row r="268" spans="13:18" x14ac:dyDescent="0.3">
      <c r="M268" t="str">
        <f t="shared" si="10"/>
        <v>Pass</v>
      </c>
      <c r="N268">
        <f t="shared" si="11"/>
        <v>1.0080000162124634</v>
      </c>
      <c r="O268">
        <v>40</v>
      </c>
      <c r="P268">
        <v>80</v>
      </c>
      <c r="Q268">
        <v>4</v>
      </c>
      <c r="R268">
        <v>1.0079999996806801</v>
      </c>
    </row>
    <row r="269" spans="13:18" x14ac:dyDescent="0.3">
      <c r="M269" t="str">
        <f t="shared" si="10"/>
        <v>Pass</v>
      </c>
      <c r="N269">
        <f t="shared" si="11"/>
        <v>1.0079996585845947</v>
      </c>
      <c r="O269">
        <v>40</v>
      </c>
      <c r="P269">
        <v>80</v>
      </c>
      <c r="Q269">
        <v>4.5</v>
      </c>
      <c r="R269">
        <v>1.0079996799737601</v>
      </c>
    </row>
    <row r="270" spans="13:18" x14ac:dyDescent="0.3">
      <c r="M270" t="str">
        <f t="shared" si="10"/>
        <v>Pass</v>
      </c>
      <c r="N270">
        <f t="shared" si="11"/>
        <v>1.0071102380752563</v>
      </c>
      <c r="O270">
        <v>40</v>
      </c>
      <c r="P270">
        <v>80</v>
      </c>
      <c r="Q270">
        <v>5</v>
      </c>
      <c r="R270">
        <v>1.00711020640381</v>
      </c>
    </row>
    <row r="271" spans="13:18" x14ac:dyDescent="0.3">
      <c r="M271" t="str">
        <f t="shared" si="10"/>
        <v>Pass</v>
      </c>
      <c r="N271">
        <f t="shared" si="11"/>
        <v>1.0080000162124634</v>
      </c>
      <c r="O271">
        <v>40</v>
      </c>
      <c r="P271">
        <v>90</v>
      </c>
      <c r="Q271">
        <v>3</v>
      </c>
      <c r="R271">
        <v>1.00799999999999</v>
      </c>
    </row>
    <row r="272" spans="13:18" x14ac:dyDescent="0.3">
      <c r="M272" t="str">
        <f t="shared" si="10"/>
        <v>Pass</v>
      </c>
      <c r="N272">
        <f t="shared" si="11"/>
        <v>1.0080000162124634</v>
      </c>
      <c r="O272">
        <v>40</v>
      </c>
      <c r="P272">
        <v>90</v>
      </c>
      <c r="Q272">
        <v>3.5</v>
      </c>
      <c r="R272">
        <v>1.00799999999941</v>
      </c>
    </row>
    <row r="273" spans="13:18" x14ac:dyDescent="0.3">
      <c r="M273" t="str">
        <f t="shared" si="10"/>
        <v>Pass</v>
      </c>
      <c r="N273">
        <f t="shared" si="11"/>
        <v>1.0080000162124634</v>
      </c>
      <c r="O273">
        <v>40</v>
      </c>
      <c r="P273">
        <v>90</v>
      </c>
      <c r="Q273">
        <v>4</v>
      </c>
      <c r="R273">
        <v>1.00799999987172</v>
      </c>
    </row>
    <row r="274" spans="13:18" x14ac:dyDescent="0.3">
      <c r="M274" t="str">
        <f t="shared" si="10"/>
        <v>Pass</v>
      </c>
      <c r="N274">
        <f t="shared" si="11"/>
        <v>1.0079998970031738</v>
      </c>
      <c r="O274">
        <v>40</v>
      </c>
      <c r="P274">
        <v>90</v>
      </c>
      <c r="Q274">
        <v>4.5</v>
      </c>
      <c r="R274">
        <v>1.0079999280680201</v>
      </c>
    </row>
    <row r="275" spans="13:18" x14ac:dyDescent="0.3">
      <c r="M275" t="str">
        <f t="shared" si="10"/>
        <v>Pass</v>
      </c>
      <c r="N275">
        <f t="shared" si="11"/>
        <v>1.0078972578048706</v>
      </c>
      <c r="O275">
        <v>40</v>
      </c>
      <c r="P275">
        <v>90</v>
      </c>
      <c r="Q275">
        <v>5</v>
      </c>
      <c r="R275">
        <v>1.00789720068861</v>
      </c>
    </row>
    <row r="276" spans="13:18" x14ac:dyDescent="0.3">
      <c r="M276" t="str">
        <f t="shared" si="10"/>
        <v>Pass</v>
      </c>
      <c r="N276">
        <f t="shared" si="11"/>
        <v>1.0080000162124634</v>
      </c>
      <c r="O276">
        <v>40</v>
      </c>
      <c r="P276">
        <v>100</v>
      </c>
      <c r="Q276">
        <v>3</v>
      </c>
      <c r="R276">
        <v>1.00799999999999</v>
      </c>
    </row>
    <row r="277" spans="13:18" x14ac:dyDescent="0.3">
      <c r="M277" t="str">
        <f t="shared" si="10"/>
        <v>Pass</v>
      </c>
      <c r="N277">
        <f t="shared" si="11"/>
        <v>1.0080000162124634</v>
      </c>
      <c r="O277">
        <v>40</v>
      </c>
      <c r="P277">
        <v>100</v>
      </c>
      <c r="Q277">
        <v>3.5</v>
      </c>
      <c r="R277">
        <v>1.0079999999996101</v>
      </c>
    </row>
    <row r="278" spans="13:18" x14ac:dyDescent="0.3">
      <c r="M278" t="str">
        <f t="shared" si="10"/>
        <v>Pass</v>
      </c>
      <c r="N278">
        <f t="shared" si="11"/>
        <v>1.0080000162124634</v>
      </c>
      <c r="O278">
        <v>40</v>
      </c>
      <c r="P278">
        <v>100</v>
      </c>
      <c r="Q278">
        <v>4</v>
      </c>
      <c r="R278">
        <v>1.0079999999484599</v>
      </c>
    </row>
    <row r="279" spans="13:18" x14ac:dyDescent="0.3">
      <c r="M279" t="str">
        <f t="shared" si="10"/>
        <v>Pass</v>
      </c>
      <c r="N279">
        <f t="shared" si="11"/>
        <v>1.0080000162124634</v>
      </c>
      <c r="O279">
        <v>40</v>
      </c>
      <c r="P279">
        <v>100</v>
      </c>
      <c r="Q279">
        <v>4.5</v>
      </c>
      <c r="R279">
        <v>1.00799998383192</v>
      </c>
    </row>
    <row r="280" spans="13:18" x14ac:dyDescent="0.3">
      <c r="M280" t="str">
        <f t="shared" si="10"/>
        <v>Pass</v>
      </c>
      <c r="N280">
        <f t="shared" si="11"/>
        <v>1.0079880952835083</v>
      </c>
      <c r="O280">
        <v>40</v>
      </c>
      <c r="P280">
        <v>100</v>
      </c>
      <c r="Q280">
        <v>5</v>
      </c>
      <c r="R280">
        <v>1.00798813163011</v>
      </c>
    </row>
  </sheetData>
  <mergeCells count="2">
    <mergeCell ref="A4:L4"/>
    <mergeCell ref="M4:X4"/>
  </mergeCells>
  <conditionalFormatting sqref="A6:A60">
    <cfRule type="expression" dxfId="3" priority="3">
      <formula>A6="Fail"</formula>
    </cfRule>
    <cfRule type="expression" dxfId="2" priority="4">
      <formula>A6="Pass"</formula>
    </cfRule>
  </conditionalFormatting>
  <conditionalFormatting sqref="M6:M280">
    <cfRule type="expression" dxfId="1" priority="1">
      <formula>M6="Fail"</formula>
    </cfRule>
    <cfRule type="expression" dxfId="0" priority="2">
      <formula>M6="Pass"</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18</vt:i4>
      </vt:variant>
    </vt:vector>
  </HeadingPairs>
  <TitlesOfParts>
    <vt:vector size="27" baseType="lpstr">
      <vt:lpstr>AFDRS</vt:lpstr>
      <vt:lpstr>tables</vt:lpstr>
      <vt:lpstr>tests_general</vt:lpstr>
      <vt:lpstr>tests_forest</vt:lpstr>
      <vt:lpstr>tests_grass</vt:lpstr>
      <vt:lpstr>tests_heath</vt:lpstr>
      <vt:lpstr>tests_pine_</vt:lpstr>
      <vt:lpstr>tests_pine</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2022-09-15T07:24:55Z</dcterms:modified>
</cp:coreProperties>
</file>