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activeTab="1"/>
  </bookViews>
  <sheets>
    <sheet name="AFDRS" sheetId="1" r:id="rId1"/>
    <sheet name="tests_pine" sheetId="10" r:id="rId2"/>
    <sheet name="tables" sheetId="3" r:id="rId3"/>
    <sheet name="tests_general" sheetId="6" r:id="rId4"/>
    <sheet name="tests_forest" sheetId="7" r:id="rId5"/>
    <sheet name="tests_grass" sheetId="8" r:id="rId6"/>
    <sheet name="tests_heath" sheetId="9" r:id="rId7"/>
    <sheet name="sandbox" sheetId="2" r:id="rId8"/>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0" l="1"/>
  <c r="AA16" i="1"/>
  <c r="C14" i="10"/>
  <c r="AA19" i="1"/>
  <c r="L19" i="1"/>
  <c r="V16" i="1"/>
  <c r="V17" i="1"/>
  <c r="S17" i="1" s="1"/>
  <c r="L17" i="1"/>
  <c r="H17" i="1"/>
  <c r="L18" i="1"/>
  <c r="AA20" i="1"/>
  <c r="X20" i="1" s="1" a="1"/>
  <c r="AA18" i="1"/>
  <c r="Q19" i="1"/>
  <c r="Q18" i="1"/>
  <c r="X19" i="1" a="1"/>
  <c r="H19" i="1"/>
  <c r="AA17" i="1"/>
  <c r="X17" i="1" s="1" a="1"/>
  <c r="V19" i="1"/>
  <c r="X18" i="1" a="1"/>
  <c r="Q16" i="1"/>
  <c r="N16" i="1" s="1"/>
  <c r="H18" i="1"/>
  <c r="K18" i="1" s="1"/>
  <c r="K19" i="1"/>
  <c r="L16" i="1"/>
  <c r="V18" i="1"/>
  <c r="X16" i="1" a="1"/>
  <c r="Q20" i="1"/>
  <c r="L20" i="1"/>
  <c r="N20" i="1"/>
  <c r="V20" i="1"/>
  <c r="J18" i="1"/>
  <c r="AA15" i="1"/>
  <c r="X15" i="1" s="1" a="1"/>
  <c r="Q17" i="1"/>
  <c r="C10" i="10"/>
  <c r="I18" i="1"/>
  <c r="J19" i="1"/>
  <c r="J17" i="1"/>
  <c r="I17" i="1" s="1"/>
  <c r="K17" i="1"/>
  <c r="P16" i="1"/>
  <c r="O20" i="1"/>
  <c r="P20" i="1"/>
  <c r="Z20" i="1" l="1"/>
  <c r="Y20" i="1"/>
  <c r="X20" i="1"/>
  <c r="Z16" i="1"/>
  <c r="Y16" i="1"/>
  <c r="X16" i="1"/>
  <c r="X17" i="1"/>
  <c r="Y17" i="1"/>
  <c r="Z17" i="1"/>
  <c r="X18" i="1"/>
  <c r="Z18" i="1"/>
  <c r="Y18" i="1"/>
  <c r="X19" i="1"/>
  <c r="Y19" i="1"/>
  <c r="Z19" i="1"/>
  <c r="X15" i="1"/>
  <c r="Y15" i="1"/>
  <c r="Z15" i="1"/>
  <c r="A14" i="10"/>
  <c r="A10" i="10"/>
  <c r="A53" i="6"/>
  <c r="M20" i="1"/>
  <c r="N19" i="1"/>
  <c r="W19" i="1"/>
  <c r="C21" i="9"/>
  <c r="C56" i="6"/>
  <c r="C28" i="9"/>
  <c r="C33" i="6"/>
  <c r="C34" i="6"/>
  <c r="O16" i="1"/>
  <c r="S19" i="1"/>
  <c r="N18" i="1"/>
  <c r="G17" i="1"/>
  <c r="S16" i="1"/>
  <c r="W16" i="1"/>
  <c r="C12" i="9"/>
  <c r="C6" i="9"/>
  <c r="C58" i="6"/>
  <c r="C36" i="6"/>
  <c r="C57" i="6"/>
  <c r="I19" i="1"/>
  <c r="W17" i="1"/>
  <c r="C8" i="9"/>
  <c r="C7" i="9"/>
  <c r="W18" i="1"/>
  <c r="C6" i="10"/>
  <c r="S18" i="1"/>
  <c r="G18" i="1"/>
  <c r="C15" i="9"/>
  <c r="V7" i="1"/>
  <c r="N17" i="1"/>
  <c r="W15" i="1"/>
  <c r="V15" i="1"/>
  <c r="C35" i="6"/>
  <c r="C60" i="6"/>
  <c r="H16" i="1"/>
  <c r="S20" i="1"/>
  <c r="C14" i="9"/>
  <c r="C16" i="9"/>
  <c r="C29" i="9"/>
  <c r="C26" i="9"/>
  <c r="C59" i="6"/>
  <c r="C32" i="6"/>
  <c r="C22" i="9"/>
  <c r="W20" i="1"/>
  <c r="T18" i="1"/>
  <c r="H20" i="1"/>
  <c r="C27" i="9"/>
  <c r="C61" i="6"/>
  <c r="C13" i="9"/>
  <c r="C17" i="9"/>
  <c r="C59" i="7"/>
  <c r="O19" i="1"/>
  <c r="P18" i="1"/>
  <c r="O18" i="1"/>
  <c r="T20" i="1"/>
  <c r="T17" i="1"/>
  <c r="T16" i="1"/>
  <c r="T19" i="1"/>
  <c r="P17" i="1"/>
  <c r="O17" i="1"/>
  <c r="J16" i="1"/>
  <c r="I16" i="1" s="1"/>
  <c r="K16" i="1"/>
  <c r="U18" i="1"/>
  <c r="R18" i="1"/>
  <c r="K20" i="1"/>
  <c r="J20" i="1"/>
  <c r="I20" i="1" s="1"/>
  <c r="U20" i="1"/>
  <c r="R20" i="1"/>
  <c r="R17" i="1"/>
  <c r="U17" i="1"/>
  <c r="U16" i="1"/>
  <c r="R16" i="1"/>
  <c r="U19" i="1"/>
  <c r="R19" i="1"/>
  <c r="E18" i="10" l="1"/>
  <c r="A6" i="10"/>
  <c r="A36" i="6"/>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G20" i="1"/>
  <c r="C29" i="6"/>
  <c r="C22" i="8"/>
  <c r="C30" i="8"/>
  <c r="C27" i="6"/>
  <c r="C23" i="6"/>
  <c r="C22" i="6"/>
  <c r="C8" i="8"/>
  <c r="C53" i="7"/>
  <c r="C23" i="8"/>
  <c r="C21" i="6"/>
  <c r="C36" i="8"/>
  <c r="C24" i="6"/>
  <c r="G16" i="1"/>
  <c r="C19" i="6"/>
  <c r="M17" i="1"/>
  <c r="C55" i="7"/>
  <c r="C35" i="8"/>
  <c r="C37" i="8"/>
  <c r="C19" i="8"/>
  <c r="C25" i="6"/>
  <c r="K18" i="10"/>
  <c r="C18" i="10"/>
  <c r="C31" i="6"/>
  <c r="C56" i="7"/>
  <c r="S15" i="1"/>
  <c r="C10" i="8"/>
  <c r="M18" i="1"/>
  <c r="C20" i="6"/>
  <c r="C27" i="8"/>
  <c r="C30" i="6"/>
  <c r="M19" i="1"/>
  <c r="C52" i="7"/>
  <c r="C29" i="8"/>
  <c r="C9" i="8"/>
  <c r="C14" i="8"/>
  <c r="C7" i="8"/>
  <c r="C28" i="8"/>
  <c r="C15" i="8"/>
  <c r="G19" i="1"/>
  <c r="C20" i="8"/>
  <c r="C28" i="6"/>
  <c r="M16" i="1"/>
  <c r="J18" i="10"/>
  <c r="Q15" i="1"/>
  <c r="C6" i="8"/>
  <c r="C54" i="7"/>
  <c r="C31" i="8"/>
  <c r="C57" i="7"/>
  <c r="P19" i="1"/>
  <c r="C26" i="6"/>
  <c r="C58" i="7"/>
  <c r="C21" i="8"/>
  <c r="A18" i="10" l="1"/>
  <c r="B2" i="10"/>
  <c r="B1" i="10"/>
  <c r="A6" i="9"/>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T15" i="1"/>
  <c r="U15" i="1" s="1"/>
  <c r="B2" i="9" l="1"/>
  <c r="B1" i="9"/>
  <c r="A6" i="8"/>
  <c r="B2" i="8" s="1"/>
  <c r="A52" i="7"/>
  <c r="A49" i="7"/>
  <c r="C45" i="7"/>
  <c r="R15" i="1"/>
  <c r="C48" i="7"/>
  <c r="C46" i="7"/>
  <c r="C47" i="7"/>
  <c r="B1" i="8" l="1"/>
  <c r="A48" i="7"/>
  <c r="A47" i="7"/>
  <c r="A46" i="7"/>
  <c r="A45" i="7"/>
  <c r="C44" i="7"/>
  <c r="A44" i="7" l="1"/>
  <c r="A41" i="7"/>
  <c r="A29" i="7"/>
  <c r="A19" i="7"/>
  <c r="A12" i="7"/>
  <c r="C10" i="7"/>
  <c r="C35" i="7"/>
  <c r="C24" i="7"/>
  <c r="C45" i="6"/>
  <c r="C7" i="7"/>
  <c r="C44" i="6"/>
  <c r="C8" i="7"/>
  <c r="C23" i="7"/>
  <c r="C26" i="7"/>
  <c r="C22" i="7"/>
  <c r="C15" i="7"/>
  <c r="C32" i="7"/>
  <c r="C39" i="7"/>
  <c r="C16" i="7"/>
  <c r="C43" i="6"/>
  <c r="C27" i="7"/>
  <c r="C18" i="7"/>
  <c r="C42" i="6"/>
  <c r="C6" i="7"/>
  <c r="C34" i="7"/>
  <c r="C38" i="7"/>
  <c r="C37" i="7"/>
  <c r="C28" i="7"/>
  <c r="C25" i="7"/>
  <c r="C33" i="7"/>
  <c r="C17" i="7"/>
  <c r="C36" i="7"/>
  <c r="C9" i="7"/>
  <c r="C40"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16" i="6"/>
  <c r="C15" i="6"/>
  <c r="C8" i="6"/>
  <c r="C10" i="6"/>
  <c r="C6" i="6"/>
  <c r="C7" i="6"/>
  <c r="C11" i="6"/>
  <c r="C18" i="6"/>
  <c r="C14" i="6"/>
  <c r="C17" i="6"/>
  <c r="C12" i="6"/>
  <c r="C13" i="6"/>
  <c r="C9" i="6"/>
  <c r="A13" i="6" l="1"/>
  <c r="A16" i="6"/>
  <c r="A10" i="6"/>
  <c r="A17" i="6"/>
  <c r="A14" i="6"/>
  <c r="A9" i="6"/>
  <c r="A8" i="6"/>
  <c r="A18" i="6"/>
  <c r="A15" i="6"/>
  <c r="A12" i="6"/>
  <c r="A11" i="6"/>
  <c r="A7" i="6"/>
  <c r="A6" i="6"/>
  <c r="C3" i="2"/>
  <c r="D3" i="2"/>
  <c r="C4" i="2"/>
  <c r="D4" i="2"/>
  <c r="B2" i="6" l="1"/>
  <c r="B1" i="6"/>
  <c r="D2" i="2"/>
  <c r="C2" i="2"/>
  <c r="N15" i="1"/>
  <c r="P15" i="1"/>
  <c r="O15" i="1"/>
  <c r="L15" i="1"/>
  <c r="H15" i="1"/>
  <c r="M15" i="1"/>
  <c r="K15" i="1"/>
  <c r="J15" i="1"/>
  <c r="I15" i="1"/>
  <c r="G15" i="1" s="1"/>
</calcChain>
</file>

<file path=xl/sharedStrings.xml><?xml version="1.0" encoding="utf-8"?>
<sst xmlns="http://schemas.openxmlformats.org/spreadsheetml/2006/main" count="463" uniqueCount="162">
  <si>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</si>
  <si>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</si>
  <si>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</si>
  <si>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</si>
  <si>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</si>
  <si>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</si>
  <si>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</si>
  <si>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</si>
  <si>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</si>
  <si>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</si>
  <si>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</si>
  <si>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</si>
  <si>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</si>
  <si>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</si>
  <si>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</si>
  <si>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</si>
  <si>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</si>
  <si>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</si>
  <si>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</si>
  <si>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</si>
  <si>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</si>
  <si>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</si>
  <si>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</si>
  <si>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</si>
  <si>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</si>
  <si>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</si>
  <si>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</si>
  <si>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</si>
  <si>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</si>
  <si>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</si>
  <si>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</si>
  <si>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</si>
  <si>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</si>
  <si>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</si>
  <si>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</si>
  <si>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</si>
  <si>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</si>
  <si>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</si>
  <si>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</si>
  <si>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</si>
  <si>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</si>
  <si>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</si>
  <si>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</si>
  <si>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</si>
  <si>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</si>
  <si>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</si>
  <si>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</si>
  <si>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</si>
  <si>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</si>
  <si>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</si>
  <si>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</si>
  <si>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</si>
  <si>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</si>
  <si>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</si>
  <si>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</si>
  <si>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</si>
  <si>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</si>
  <si>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</si>
  <si>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</si>
  <si>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</si>
  <si>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</si>
  <si>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</si>
  <si>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</si>
  <si>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</si>
  <si>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</si>
  <si>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</si>
  <si>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</si>
  <si>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</si>
  <si>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</si>
  <si>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</si>
  <si>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</si>
  <si>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</si>
  <si>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</si>
  <si>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</si>
  <si>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</si>
  <si>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</si>
  <si>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</si>
  <si>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</si>
  <si>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</si>
  <si>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</si>
  <si>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</si>
  <si>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</si>
  <si>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</si>
  <si>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</si>
  <si>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</si>
  <si>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</si>
  <si>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</si>
  <si>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</si>
  <si>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</si>
  <si>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</si>
  <si>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</si>
  <si>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</si>
  <si>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</si>
  <si>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</si>
  <si>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</si>
  <si>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</si>
  <si>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</si>
  <si>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</si>
  <si>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</si>
  <si>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</si>
  <si>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</si>
  <si>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</si>
  <si>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</si>
  <si>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</si>
  <si>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</si>
  <si>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</si>
  <si>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</si>
  <si>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</si>
  <si>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</si>
  <si>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</si>
  <si>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</si>
  <si>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</si>
  <si>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</si>
  <si>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</si>
  <si>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</si>
  <si>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</si>
  <si>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</si>
  <si>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</si>
  <si>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</si>
  <si>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</si>
  <si>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</si>
  <si>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</si>
  <si>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</si>
  <si>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</si>
  <si>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</si>
  <si>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</si>
  <si>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</si>
  <si>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</si>
  <si>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</si>
  <si>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</si>
  <si>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</si>
  <si>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</si>
  <si>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</si>
  <si>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</si>
  <si>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</si>
  <si>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</si>
  <si>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</si>
  <si>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</si>
  <si>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</si>
  <si>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</si>
  <si>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</si>
  <si>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</si>
  <si>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</si>
  <si>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</si>
  <si>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</si>
  <si>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</si>
  <si>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</si>
  <si>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</si>
  <si>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</si>
  <si>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</si>
  <si>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</si>
  <si>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</si>
  <si>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</si>
  <si>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</si>
  <si>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</si>
  <si>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</si>
  <si>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</si>
  <si>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</si>
  <si>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</si>
  <si>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</si>
  <si>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</si>
  <si>
    <t>FBI
pine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</si>
</sst>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55A555"/>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62">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10" borderId="1" xfId="0" applyFill="1" applyBorder="1" applyProtection="1"/>
    <xf numFmtId="0" fontId="1" fillId="10" borderId="1" xfId="0" applyFont="1" applyFill="1" applyBorder="1" applyAlignment="1" applyProtection="1">
      <alignment horizontal="center" wrapText="1"/>
    </xf>
    <xf numFmtId="0" fontId="2" fillId="10" borderId="1" xfId="0" applyFont="1" applyFill="1" applyBorder="1" applyProtection="1"/>
    <xf numFmtId="0" fontId="1" fillId="10" borderId="1" xfId="0" applyFont="1" applyFill="1" applyBorder="1" applyAlignment="1" applyProtection="1">
      <alignment horizontal="right"/>
    </xf>
    <xf numFmtId="0" fontId="0" fillId="5" borderId="1" xfId="0" applyFill="1" applyBorder="1" applyProtection="1">
      <protection locked="0"/>
    </xf>
    <xf numFmtId="167" fontId="0" fillId="10" borderId="1" xfId="0" applyNumberFormat="1" applyFill="1" applyBorder="1" applyProtection="1"/>
    <xf numFmtId="1" fontId="0" fillId="10"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54">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colors>
    <mruColors>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20"/>
  <sheetViews>
    <sheetView topLeftCell="C1" workbookViewId="0">
      <selection activeCell="AE15" sqref="AE15"/>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3" width="8.88671875" style="53"/>
    <col min="24" max="25" width="8.88671875" style="59"/>
    <col min="26" max="27" width="8.88671875" style="58"/>
    <col min="28" max="16384" width="8.88671875" style="11"/>
  </cols>
  <sheetData>
    <row r="1" spans="1:27" ht="18" x14ac:dyDescent="0.35">
      <c r="A1" s="2" t="s">
        <v>39</v>
      </c>
      <c r="B1" s="3"/>
      <c r="C1" s="4"/>
      <c r="D1" s="4"/>
      <c r="E1" s="4"/>
      <c r="F1" s="4"/>
      <c r="G1" s="5" t="s">
        <v>6</v>
      </c>
      <c r="M1" s="8" t="s">
        <v>22</v>
      </c>
      <c r="R1" s="50" t="s">
        <v>95</v>
      </c>
      <c r="U1" s="47"/>
      <c r="V1" s="47"/>
      <c r="W1" s="55" t="s">
        <v>158</v>
      </c>
      <c r="X1" s="53"/>
      <c r="Y1" s="53"/>
      <c r="Z1" s="53"/>
      <c r="AA1" s="53"/>
    </row>
    <row r="2" spans="1:27" x14ac:dyDescent="0.3">
      <c r="A2" s="12" t="s">
        <v>40</v>
      </c>
      <c r="B2" s="3"/>
      <c r="C2" s="4"/>
      <c r="D2" s="4"/>
      <c r="E2" s="4"/>
      <c r="F2" s="4"/>
      <c r="G2" s="13" t="s">
        <v>7</v>
      </c>
      <c r="H2" s="33">
        <v>3</v>
      </c>
      <c r="I2" s="14" t="s">
        <v>14</v>
      </c>
      <c r="M2" s="15"/>
      <c r="O2" s="15" t="s">
        <v>30</v>
      </c>
      <c r="U2" s="51" t="s">
        <v>101</v>
      </c>
      <c r="V2" s="49">
        <v>0</v>
      </c>
      <c r="X2" s="53"/>
      <c r="Y2" s="56" t="s">
        <v>159</v>
      </c>
      <c r="Z2" s="57">
        <v>200</v>
      </c>
      <c r="AA2" s="53"/>
    </row>
    <row r="3" spans="1:27" x14ac:dyDescent="0.3">
      <c r="A3" s="12" t="s">
        <v>41</v>
      </c>
      <c r="B3" s="3"/>
      <c r="C3" s="4"/>
      <c r="D3" s="4"/>
      <c r="E3" s="4"/>
      <c r="F3" s="4"/>
      <c r="G3" s="16"/>
      <c r="H3" s="17" t="s">
        <v>128</v>
      </c>
      <c r="I3" s="18" t="s">
        <v>30</v>
      </c>
      <c r="M3" s="19" t="s">
        <v>32</v>
      </c>
      <c r="N3" s="35" t="s">
        <v>25</v>
      </c>
      <c r="O3" s="9">
        <v>4.5</v>
      </c>
      <c r="U3" s="51" t="s">
        <v>96</v>
      </c>
      <c r="V3" s="49">
        <v>48</v>
      </c>
      <c r="X3" s="53"/>
      <c r="Y3" s="56"/>
      <c r="Z3" s="56"/>
      <c r="AA3" s="53"/>
    </row>
    <row r="4" spans="1:27" x14ac:dyDescent="0.3">
      <c r="A4" s="12" t="s">
        <v>42</v>
      </c>
      <c r="B4" s="3"/>
      <c r="C4" s="4"/>
      <c r="D4" s="4"/>
      <c r="E4" s="4"/>
      <c r="F4" s="4"/>
      <c r="G4" s="20" t="s">
        <v>15</v>
      </c>
      <c r="H4" s="21">
        <v>3</v>
      </c>
      <c r="I4" s="34">
        <v>10</v>
      </c>
      <c r="M4" s="19" t="s">
        <v>27</v>
      </c>
      <c r="N4" s="35">
        <v>100</v>
      </c>
      <c r="U4" s="51" t="s">
        <v>102</v>
      </c>
      <c r="V4" s="49" t="b">
        <v>0</v>
      </c>
      <c r="X4" s="53"/>
      <c r="Y4" s="56"/>
      <c r="Z4" s="56"/>
      <c r="AA4" s="53"/>
    </row>
    <row r="5" spans="1:27" x14ac:dyDescent="0.3">
      <c r="A5" s="12"/>
      <c r="B5" s="3"/>
      <c r="C5" s="4"/>
      <c r="D5" s="4"/>
      <c r="E5" s="4"/>
      <c r="F5" s="4"/>
      <c r="G5" s="20" t="s">
        <v>16</v>
      </c>
      <c r="H5" s="21">
        <v>1</v>
      </c>
      <c r="I5" s="34">
        <v>2</v>
      </c>
      <c r="U5" s="51" t="s">
        <v>110</v>
      </c>
      <c r="V5" s="49">
        <v>2</v>
      </c>
      <c r="X5" s="53"/>
      <c r="Y5" s="56"/>
      <c r="Z5" s="56"/>
      <c r="AA5" s="53"/>
    </row>
    <row r="6" spans="1:27" x14ac:dyDescent="0.3">
      <c r="A6" s="38"/>
      <c r="B6" s="3"/>
      <c r="C6" s="4"/>
      <c r="D6" s="4"/>
      <c r="E6" s="4"/>
      <c r="F6" s="4"/>
      <c r="G6" s="20" t="s">
        <v>17</v>
      </c>
      <c r="H6" s="21">
        <v>2</v>
      </c>
      <c r="I6" s="34">
        <v>2</v>
      </c>
      <c r="U6" s="51" t="s">
        <v>119</v>
      </c>
      <c r="V6" s="49">
        <v>25</v>
      </c>
      <c r="X6" s="53"/>
      <c r="Y6" s="56"/>
      <c r="Z6" s="56"/>
      <c r="AA6" s="53"/>
    </row>
    <row r="7" spans="1:27" x14ac:dyDescent="0.3">
      <c r="A7" s="12" t="s">
        <v>127</v>
      </c>
      <c r="B7" s="3"/>
      <c r="C7" s="4"/>
      <c r="D7" s="4"/>
      <c r="E7" s="4"/>
      <c r="F7" s="4"/>
      <c r="G7" s="20" t="s">
        <v>18</v>
      </c>
      <c r="H7" s="21">
        <v>2</v>
      </c>
      <c r="I7" s="34">
        <v>2</v>
      </c>
      <c r="U7" s="51" t="s">
        <v>51</v>
      </c>
      <c r="V7" s="47">
        <f>Fuel_load(tables!$C$9,AFDRS!$V$6,tables!$C$8)</f>
        <v>3</v>
      </c>
      <c r="X7" s="53"/>
      <c r="Y7" s="53"/>
      <c r="Z7" s="53"/>
      <c r="AA7" s="53"/>
    </row>
    <row r="8" spans="1:27" x14ac:dyDescent="0.3">
      <c r="A8" s="12"/>
      <c r="B8" s="3"/>
      <c r="C8" s="4"/>
      <c r="D8" s="4"/>
      <c r="E8" s="4"/>
      <c r="F8" s="4"/>
      <c r="G8" s="20" t="s">
        <v>31</v>
      </c>
      <c r="H8" s="21"/>
      <c r="I8" s="34">
        <v>4.5</v>
      </c>
      <c r="U8" s="47"/>
      <c r="V8" s="47"/>
      <c r="X8" s="53"/>
      <c r="Y8" s="53"/>
      <c r="Z8" s="53"/>
      <c r="AA8" s="53"/>
    </row>
    <row r="9" spans="1:27" x14ac:dyDescent="0.3">
      <c r="A9" s="38" t="s">
        <v>89</v>
      </c>
      <c r="B9" s="3"/>
      <c r="C9" s="4"/>
      <c r="D9" s="4"/>
      <c r="E9" s="4"/>
      <c r="F9" s="4"/>
      <c r="G9" s="20"/>
      <c r="H9" s="18" t="s">
        <v>19</v>
      </c>
      <c r="I9" s="21"/>
      <c r="U9" s="47"/>
      <c r="V9" s="47"/>
      <c r="X9" s="53"/>
      <c r="Y9" s="53"/>
      <c r="Z9" s="53"/>
      <c r="AA9" s="53"/>
    </row>
    <row r="10" spans="1:27" x14ac:dyDescent="0.3">
      <c r="A10" s="46" t="s">
        <v>90</v>
      </c>
      <c r="B10" s="3"/>
      <c r="C10" s="4"/>
      <c r="D10" s="4"/>
      <c r="E10" s="4"/>
      <c r="F10" s="4"/>
      <c r="G10" s="20" t="s">
        <v>16</v>
      </c>
      <c r="H10" s="33">
        <v>20</v>
      </c>
      <c r="I10" s="14" t="s">
        <v>20</v>
      </c>
      <c r="U10" s="47"/>
      <c r="V10" s="47"/>
      <c r="X10" s="53"/>
      <c r="Y10" s="53"/>
      <c r="Z10" s="53"/>
      <c r="AA10" s="53"/>
    </row>
    <row r="11" spans="1:27" x14ac:dyDescent="0.3">
      <c r="A11" s="12"/>
      <c r="B11" s="3"/>
      <c r="C11" s="4"/>
      <c r="D11" s="4"/>
      <c r="E11" s="4"/>
      <c r="F11" s="4"/>
      <c r="G11" s="20" t="s">
        <v>17</v>
      </c>
      <c r="H11" s="33">
        <v>2</v>
      </c>
      <c r="I11" s="14" t="s">
        <v>21</v>
      </c>
      <c r="U11" s="47"/>
      <c r="V11" s="47"/>
      <c r="X11" s="53"/>
      <c r="Y11" s="53"/>
      <c r="Z11" s="53"/>
      <c r="AA11" s="53"/>
    </row>
    <row r="12" spans="1:27" x14ac:dyDescent="0.3">
      <c r="A12" s="38"/>
      <c r="B12" s="3"/>
      <c r="C12" s="4"/>
      <c r="D12" s="4"/>
      <c r="E12" s="4"/>
      <c r="F12" s="4"/>
      <c r="G12" s="20" t="s">
        <v>31</v>
      </c>
      <c r="H12" s="33">
        <v>20</v>
      </c>
      <c r="I12" s="14" t="s">
        <v>21</v>
      </c>
      <c r="U12" s="47"/>
      <c r="V12" s="47"/>
      <c r="X12" s="53"/>
      <c r="Y12" s="53"/>
      <c r="Z12" s="53"/>
      <c r="AA12" s="53"/>
    </row>
    <row r="13" spans="1:27" ht="18" x14ac:dyDescent="0.35">
      <c r="A13" s="2" t="s">
        <v>5</v>
      </c>
      <c r="B13" s="3"/>
      <c r="C13" s="4"/>
      <c r="D13" s="4"/>
      <c r="E13" s="4"/>
      <c r="F13" s="4"/>
      <c r="U13" s="47"/>
      <c r="V13" s="47"/>
      <c r="X13" s="53"/>
      <c r="Y13" s="53"/>
      <c r="Z13" s="53"/>
      <c r="AA13" s="53"/>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100</v>
      </c>
      <c r="S14" s="48" t="s">
        <v>9</v>
      </c>
      <c r="T14" s="48" t="s">
        <v>10</v>
      </c>
      <c r="U14" s="48" t="s">
        <v>11</v>
      </c>
      <c r="V14" s="48" t="s">
        <v>13</v>
      </c>
      <c r="W14" s="54" t="s">
        <v>161</v>
      </c>
      <c r="X14" s="54" t="s">
        <v>9</v>
      </c>
      <c r="Y14" s="54" t="s">
        <v>10</v>
      </c>
      <c r="Z14" s="54" t="s">
        <v>11</v>
      </c>
      <c r="AA14" s="54" t="s">
        <v>13</v>
      </c>
    </row>
    <row r="15" spans="1:27" x14ac:dyDescent="0.3">
      <c r="A15" s="30">
        <v>22695</v>
      </c>
      <c r="B15" s="31">
        <v>0.625</v>
      </c>
      <c r="C15" s="32">
        <v>30</v>
      </c>
      <c r="D15" s="32">
        <v>10</v>
      </c>
      <c r="E15" s="32">
        <v>20</v>
      </c>
      <c r="F15" s="32">
        <v>9</v>
      </c>
      <c r="G15" s="6">
        <f t="shared" ref="G15" si="0">fbi(I15,$G$1)</f>
        <v>25</v>
      </c>
      <c r="H15" s="6">
        <f t="shared" ref="H15" si="1">ROS_forest(E15,fhs_s,fhs_ns,fh_ns,L15,F15,WAF)</f>
        <v>658</v>
      </c>
      <c r="I15" s="6">
        <f t="shared" ref="I15" si="2">Intensity_forest(H15,F15,J15,ffl_s,ffl_ns,ffl_e,ffl_o,ffh_o)</f>
        <v>4284</v>
      </c>
      <c r="J15" s="7">
        <f t="shared" ref="J15" si="3">Flame_height_forest(H15,ffh_e)</f>
        <v>8.0987005233764648</v>
      </c>
      <c r="K15" s="6">
        <f t="shared" ref="K15" si="4">Spotting_forest(H15,E15,fhs_s)</f>
        <v>979</v>
      </c>
      <c r="L15" s="7">
        <f>FMC_Forest(C15,D15,A15,B15)</f>
        <v>3.4389998912811279</v>
      </c>
      <c r="M15" s="9">
        <f>fbi(O15,$M$1)</f>
        <v>30</v>
      </c>
      <c r="N15" s="9">
        <f t="shared" ref="N15" si="5">ROS_grass(E15,Q15,curing,state_grass)</f>
        <v>4759</v>
      </c>
      <c r="O15" s="9">
        <f t="shared" ref="O15" si="6">Intensity(N15,fl_grass)</f>
        <v>11065</v>
      </c>
      <c r="P15" s="10">
        <f t="shared" ref="P15" si="7">Flame_height_grass(N15,state_grass)</f>
        <v>1.2161185741424561</v>
      </c>
      <c r="Q15" s="10">
        <f>FMC_Grass(C15,D15)</f>
        <v>4.809999942779541</v>
      </c>
      <c r="R15" s="47">
        <f>fbi(T15,$R$1)</f>
        <v>24</v>
      </c>
      <c r="S15" s="47">
        <f>ROS_heath(E15,$V$5,V15,$V$4)</f>
        <v>2595</v>
      </c>
      <c r="T15" s="47">
        <f>Intensity(S15,$V$7)</f>
        <v>4022</v>
      </c>
      <c r="U15" s="52">
        <f>Flame_height_heath(T15)</f>
        <v>3.0392336845397949</v>
      </c>
      <c r="V15" s="52">
        <f>FMC_heath(C15,D15,$V$2,$V$3)</f>
        <v>5.4800000190734863</v>
      </c>
      <c r="W15" s="53">
        <f>fbi(Y15,$W$1)</f>
        <v>15</v>
      </c>
      <c r="X15" s="59">
        <f t="array" ref="X15:Z15">fb_pine_ensemble(E15,AA15,F15,$Z$2)</f>
        <v>694.75830078125</v>
      </c>
      <c r="Y15" s="59">
        <v>1783.468994140625</v>
      </c>
      <c r="Z15" s="58">
        <v>2.6730432510375977</v>
      </c>
      <c r="AA15" s="58">
        <f>FMC_pine(C15,D15)</f>
        <v>4.8976001739501953</v>
      </c>
    </row>
    <row r="16" spans="1:27" x14ac:dyDescent="0.3">
      <c r="A16" s="30">
        <v>44180</v>
      </c>
      <c r="B16" s="31">
        <v>0.58333333333333337</v>
      </c>
      <c r="C16" s="32">
        <v>25</v>
      </c>
      <c r="D16" s="32">
        <v>33</v>
      </c>
      <c r="E16" s="32">
        <v>15</v>
      </c>
      <c r="F16" s="32">
        <v>8</v>
      </c>
      <c r="G16" s="6">
        <f t="shared" ref="G16:G20" si="8">fbi(I16,$G$1)</f>
        <v>13</v>
      </c>
      <c r="H16" s="6">
        <f t="shared" ref="H16:H20" si="9">ROS_forest(E16,fhs_s,fhs_ns,fh_ns,L16,F16,WAF)</f>
        <v>207</v>
      </c>
      <c r="I16" s="6">
        <f t="shared" ref="I16:I20" si="10">Intensity_forest(H16,F16,J16,ffl_s,ffl_ns,ffl_e,ffl_o,ffh_o)</f>
        <v>1198</v>
      </c>
      <c r="J16" s="7">
        <f t="shared" ref="J16:J20" si="11">Flame_height_forest(H16,ffh_e)</f>
        <v>3.5098178386688232</v>
      </c>
      <c r="K16" s="6">
        <f t="shared" ref="K16:K20" si="12">Spotting_forest(H16,E16,fhs_s)</f>
        <v>263</v>
      </c>
      <c r="L16" s="7">
        <f t="shared" ref="L16:L20" si="13">FMC_Forest(C16,D16,A16,B16)</f>
        <v>6.3845000267028809</v>
      </c>
      <c r="M16" s="9">
        <f t="shared" ref="M16:M20" si="14">fbi(O16,$M$1)</f>
        <v>16</v>
      </c>
      <c r="N16" s="9">
        <f t="shared" ref="N16:N20" si="15">ROS_grass(E16,Q16,curing,state_grass)</f>
        <v>2268</v>
      </c>
      <c r="O16" s="9">
        <f t="shared" ref="O16:O20" si="16">Intensity(N16,fl_grass)</f>
        <v>5273</v>
      </c>
      <c r="P16" s="10">
        <f t="shared" ref="P16:P20" si="17">Flame_height_grass(N16,state_grass)</f>
        <v>0.97729009389877319</v>
      </c>
      <c r="Q16" s="10">
        <f t="shared" ref="Q16:Q20" si="18">FMC_Grass(C16,D16)</f>
        <v>9.0089998245239258</v>
      </c>
      <c r="R16" s="47">
        <f t="shared" ref="R16:R20" si="19">fbi(T16,$R$1)</f>
        <v>16</v>
      </c>
      <c r="S16" s="47">
        <f t="shared" ref="S16:S20" si="20">ROS_heath(E16,$V$5,V16,$V$4)</f>
        <v>1115</v>
      </c>
      <c r="T16" s="47">
        <f t="shared" ref="T16:T20" si="21">Intensity(S16,$V$7)</f>
        <v>1728</v>
      </c>
      <c r="U16" s="52">
        <f t="shared" ref="U16:U20" si="22">Flame_height_heath(T16)</f>
        <v>1.7803994417190552</v>
      </c>
      <c r="V16" s="52">
        <f t="shared" ref="V16:V20" si="23">FMC_heath(C16,D16,$V$2,$V$3)</f>
        <v>9.6829996109008789</v>
      </c>
      <c r="W16" s="53">
        <f t="shared" ref="W16:W20" si="24">fbi(Y16,$W$1)</f>
        <v>12</v>
      </c>
      <c r="X16" s="59">
        <f t="array" ref="X16:Z16">fb_pine_ensemble(E16,AA16,F16,$Z$2)</f>
        <v>381.00921630859375</v>
      </c>
      <c r="Y16" s="59">
        <v>946.3800048828125</v>
      </c>
      <c r="Z16" s="58">
        <v>2.0382289886474609</v>
      </c>
      <c r="AA16" s="58">
        <f t="shared" ref="AA16:AA20" si="25">FMC_pine(C16,D16)</f>
        <v>7.7354998588562012</v>
      </c>
    </row>
    <row r="17" spans="1:27" x14ac:dyDescent="0.3">
      <c r="A17" s="30">
        <v>44181</v>
      </c>
      <c r="B17" s="31">
        <v>0.625</v>
      </c>
      <c r="C17" s="32">
        <v>23</v>
      </c>
      <c r="D17" s="32">
        <v>28</v>
      </c>
      <c r="E17" s="32">
        <v>40</v>
      </c>
      <c r="F17" s="32">
        <v>8</v>
      </c>
      <c r="G17" s="6">
        <f t="shared" si="8"/>
        <v>22</v>
      </c>
      <c r="H17" s="6">
        <f t="shared" si="9"/>
        <v>621</v>
      </c>
      <c r="I17" s="6">
        <f t="shared" si="10"/>
        <v>3594</v>
      </c>
      <c r="J17" s="7">
        <f t="shared" si="11"/>
        <v>7.766819953918457</v>
      </c>
      <c r="K17" s="6">
        <f t="shared" si="12"/>
        <v>593</v>
      </c>
      <c r="L17" s="7">
        <f t="shared" si="13"/>
        <v>5.8018999099731445</v>
      </c>
      <c r="M17" s="9">
        <f t="shared" si="14"/>
        <v>38</v>
      </c>
      <c r="N17" s="9">
        <f t="shared" si="15"/>
        <v>5843</v>
      </c>
      <c r="O17" s="9">
        <f t="shared" si="16"/>
        <v>13585</v>
      </c>
      <c r="P17" s="10">
        <f t="shared" si="17"/>
        <v>1.2920114994049072</v>
      </c>
      <c r="Q17" s="10">
        <f t="shared" si="18"/>
        <v>8.7290000915527344</v>
      </c>
      <c r="R17" s="47">
        <f t="shared" si="19"/>
        <v>25</v>
      </c>
      <c r="S17" s="47">
        <f t="shared" si="20"/>
        <v>3040</v>
      </c>
      <c r="T17" s="47">
        <f t="shared" si="21"/>
        <v>4712</v>
      </c>
      <c r="U17" s="52">
        <f t="shared" si="22"/>
        <v>3.3596279621124268</v>
      </c>
      <c r="V17" s="52">
        <f t="shared" si="23"/>
        <v>9.0780000686645508</v>
      </c>
      <c r="W17" s="53">
        <f t="shared" si="24"/>
        <v>22</v>
      </c>
      <c r="X17" s="59">
        <f t="array" ref="X17:Z17">fb_pine_ensemble(E17,AA17,F17,$Z$2)</f>
        <v>1356.19677734375</v>
      </c>
      <c r="Y17" s="59">
        <v>3575.550048828125</v>
      </c>
      <c r="Z17" s="58">
        <v>3.5972995758056641</v>
      </c>
      <c r="AA17" s="58">
        <f t="shared" si="25"/>
        <v>7.1837000846862793</v>
      </c>
    </row>
    <row r="18" spans="1:27" x14ac:dyDescent="0.3">
      <c r="A18" s="30">
        <v>44182</v>
      </c>
      <c r="B18" s="31">
        <v>0.625</v>
      </c>
      <c r="C18" s="32">
        <v>35</v>
      </c>
      <c r="D18" s="32">
        <v>15</v>
      </c>
      <c r="E18" s="32">
        <v>35</v>
      </c>
      <c r="F18" s="32">
        <v>10</v>
      </c>
      <c r="G18" s="6">
        <f t="shared" si="8"/>
        <v>52</v>
      </c>
      <c r="H18" s="6">
        <f t="shared" si="9"/>
        <v>1328</v>
      </c>
      <c r="I18" s="6">
        <f t="shared" si="10"/>
        <v>11150</v>
      </c>
      <c r="J18" s="7">
        <f t="shared" si="11"/>
        <v>13.455821990966797</v>
      </c>
      <c r="K18" s="6">
        <f t="shared" si="12"/>
        <v>2191</v>
      </c>
      <c r="L18" s="7">
        <f t="shared" si="13"/>
        <v>3.9655001163482666</v>
      </c>
      <c r="M18" s="9">
        <f t="shared" si="14"/>
        <v>67</v>
      </c>
      <c r="N18" s="9">
        <f t="shared" si="15"/>
        <v>8634</v>
      </c>
      <c r="O18" s="9">
        <f t="shared" si="16"/>
        <v>20074</v>
      </c>
      <c r="P18" s="10">
        <f t="shared" si="17"/>
        <v>1.4497441053390503</v>
      </c>
      <c r="Q18" s="10">
        <f t="shared" si="18"/>
        <v>4.4749999046325684</v>
      </c>
      <c r="R18" s="47">
        <f t="shared" si="19"/>
        <v>28</v>
      </c>
      <c r="S18" s="47">
        <f t="shared" si="20"/>
        <v>4187</v>
      </c>
      <c r="T18" s="47">
        <f t="shared" si="21"/>
        <v>6490</v>
      </c>
      <c r="U18" s="52">
        <f t="shared" si="22"/>
        <v>4.1143679618835449</v>
      </c>
      <c r="V18" s="52">
        <f t="shared" si="23"/>
        <v>5.7849998474121094</v>
      </c>
      <c r="W18" s="53">
        <f t="shared" si="24"/>
        <v>22</v>
      </c>
      <c r="X18" s="59">
        <f t="array" ref="X18:Z18">fb_pine_ensemble(E18,AA18,F18,$Z$2)</f>
        <v>1334.3504638671875</v>
      </c>
      <c r="Y18" s="59">
        <v>3614.528076171875</v>
      </c>
      <c r="Z18" s="58">
        <v>3.6171391010284424</v>
      </c>
      <c r="AA18" s="58">
        <f t="shared" si="25"/>
        <v>5.3860998153686523</v>
      </c>
    </row>
    <row r="19" spans="1:27" x14ac:dyDescent="0.3">
      <c r="A19" s="30">
        <v>44183</v>
      </c>
      <c r="B19" s="31">
        <v>0.625</v>
      </c>
      <c r="C19" s="32">
        <v>35</v>
      </c>
      <c r="D19" s="32">
        <v>5</v>
      </c>
      <c r="E19" s="32">
        <v>55</v>
      </c>
      <c r="F19" s="32">
        <v>10</v>
      </c>
      <c r="G19" s="6">
        <f t="shared" si="8"/>
        <v>67</v>
      </c>
      <c r="H19" s="6">
        <f t="shared" si="9"/>
        <v>2021</v>
      </c>
      <c r="I19" s="6">
        <f t="shared" si="10"/>
        <v>16968</v>
      </c>
      <c r="J19" s="7">
        <f t="shared" si="11"/>
        <v>18.228984832763672</v>
      </c>
      <c r="K19" s="6">
        <f t="shared" si="12"/>
        <v>3032</v>
      </c>
      <c r="L19" s="7">
        <f t="shared" si="13"/>
        <v>2.7255001068115234</v>
      </c>
      <c r="M19" s="9">
        <f t="shared" si="14"/>
        <v>115</v>
      </c>
      <c r="N19" s="9">
        <f t="shared" si="15"/>
        <v>15033</v>
      </c>
      <c r="O19" s="9">
        <f t="shared" si="16"/>
        <v>34952</v>
      </c>
      <c r="P19" s="10">
        <f t="shared" si="17"/>
        <v>1.7074077129364014</v>
      </c>
      <c r="Q19" s="10">
        <f t="shared" si="18"/>
        <v>3.0950000286102295</v>
      </c>
      <c r="R19" s="47">
        <f t="shared" si="19"/>
        <v>36</v>
      </c>
      <c r="S19" s="47">
        <f t="shared" si="20"/>
        <v>7418</v>
      </c>
      <c r="T19" s="47">
        <f t="shared" si="21"/>
        <v>11498</v>
      </c>
      <c r="U19" s="52">
        <f t="shared" si="22"/>
        <v>5.9091658592224121</v>
      </c>
      <c r="V19" s="52">
        <f t="shared" si="23"/>
        <v>4.1750001907348633</v>
      </c>
      <c r="W19" s="53">
        <f t="shared" si="24"/>
        <v>38</v>
      </c>
      <c r="X19" s="59">
        <f t="array" ref="X19:Z19">fb_pine_ensemble(E19,AA19,F19,$Z$2)</f>
        <v>2629.52783203125</v>
      </c>
      <c r="Y19" s="59">
        <v>7445.48876953125</v>
      </c>
      <c r="Z19" s="58">
        <v>4.9419240951538086</v>
      </c>
      <c r="AA19" s="58">
        <f t="shared" si="25"/>
        <v>4.1981000900268555</v>
      </c>
    </row>
    <row r="20" spans="1:27" x14ac:dyDescent="0.3">
      <c r="A20" s="30">
        <v>44001</v>
      </c>
      <c r="B20" s="31">
        <v>0.16666666666666666</v>
      </c>
      <c r="C20" s="32">
        <v>6</v>
      </c>
      <c r="D20" s="32">
        <v>90</v>
      </c>
      <c r="E20" s="32">
        <v>10</v>
      </c>
      <c r="F20" s="32">
        <v>10</v>
      </c>
      <c r="G20" s="6">
        <f t="shared" si="8"/>
        <v>0</v>
      </c>
      <c r="H20" s="6">
        <f t="shared" si="9"/>
        <v>0</v>
      </c>
      <c r="I20" s="6">
        <f t="shared" si="10"/>
        <v>0</v>
      </c>
      <c r="J20" s="7">
        <f t="shared" si="11"/>
        <v>0</v>
      </c>
      <c r="K20" s="6">
        <f t="shared" si="12"/>
        <v>50</v>
      </c>
      <c r="L20" s="7">
        <f t="shared" si="13"/>
        <v>20.610200881958008</v>
      </c>
      <c r="M20" s="9">
        <f t="shared" si="14"/>
        <v>0</v>
      </c>
      <c r="N20" s="9">
        <f t="shared" si="15"/>
        <v>4</v>
      </c>
      <c r="O20" s="9">
        <f t="shared" si="16"/>
        <v>9</v>
      </c>
      <c r="P20" s="10">
        <f t="shared" si="17"/>
        <v>0.15056239068508148</v>
      </c>
      <c r="Q20" s="10">
        <f t="shared" si="18"/>
        <v>20.770000457763672</v>
      </c>
      <c r="R20" s="47">
        <f t="shared" si="19"/>
        <v>6</v>
      </c>
      <c r="S20" s="47">
        <f t="shared" si="20"/>
        <v>41</v>
      </c>
      <c r="T20" s="47">
        <f t="shared" si="21"/>
        <v>64</v>
      </c>
      <c r="U20" s="52">
        <f t="shared" si="22"/>
        <v>0.22103659808635712</v>
      </c>
      <c r="V20" s="52">
        <f t="shared" si="23"/>
        <v>18.329999923706055</v>
      </c>
      <c r="W20" s="53">
        <f t="shared" si="24"/>
        <v>8</v>
      </c>
      <c r="X20" s="59">
        <f t="array" ref="X20:Z20">fb_pine_ensemble(E20,AA20,F20,$Z$2)</f>
        <v>145.21102905273438</v>
      </c>
      <c r="Y20" s="59">
        <v>414.24099731445313</v>
      </c>
      <c r="Z20" s="58">
        <v>1.4115754365921021</v>
      </c>
      <c r="AA20" s="58">
        <f t="shared" si="25"/>
        <v>14.907999992370605</v>
      </c>
    </row>
  </sheetData>
  <conditionalFormatting sqref="M15:M1048576">
    <cfRule type="expression" dxfId="53" priority="9">
      <formula>$M15&gt;=100</formula>
    </cfRule>
    <cfRule type="expression" dxfId="52" priority="10">
      <formula>$M15&gt;=50</formula>
    </cfRule>
    <cfRule type="expression" dxfId="51" priority="11">
      <formula>$M15&gt;=24</formula>
    </cfRule>
    <cfRule type="expression" dxfId="50" priority="12">
      <formula>$M15&gt;=12</formula>
    </cfRule>
  </conditionalFormatting>
  <conditionalFormatting sqref="G15:G1048576">
    <cfRule type="expression" dxfId="49" priority="13">
      <formula>$G15&gt;=100</formula>
    </cfRule>
    <cfRule type="expression" dxfId="48" priority="14">
      <formula>$G15&gt;50</formula>
    </cfRule>
    <cfRule type="expression" dxfId="47" priority="15">
      <formula>$G15&gt;=24</formula>
    </cfRule>
    <cfRule type="expression" dxfId="46" priority="16">
      <formula>$G15&gt;=12</formula>
    </cfRule>
  </conditionalFormatting>
  <conditionalFormatting sqref="R15:R21">
    <cfRule type="expression" dxfId="45" priority="8">
      <formula>$R15&gt;=12</formula>
    </cfRule>
  </conditionalFormatting>
  <conditionalFormatting sqref="R15:R21">
    <cfRule type="expression" dxfId="44" priority="5">
      <formula>$R15&gt;=100</formula>
    </cfRule>
    <cfRule type="expression" dxfId="43" priority="6">
      <formula>$R15&gt;=50</formula>
    </cfRule>
    <cfRule type="expression" dxfId="42" priority="7">
      <formula>$R15&gt;=24</formula>
    </cfRule>
  </conditionalFormatting>
  <conditionalFormatting sqref="W15:W21">
    <cfRule type="expression" dxfId="41" priority="4">
      <formula>$W15&gt;=12</formula>
    </cfRule>
  </conditionalFormatting>
  <conditionalFormatting sqref="W15:W21">
    <cfRule type="expression" dxfId="40" priority="1">
      <formula>$W15&gt;=100</formula>
    </cfRule>
    <cfRule type="expression" dxfId="39" priority="2">
      <formula>$W15&gt;=50</formula>
    </cfRule>
    <cfRule type="expression" dxfId="38" priority="3">
      <formula>$W15&gt;=24</formula>
    </cfRule>
  </conditionalFormatting>
  <dataValidations count="14">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allowBlank="1" showInputMessage="1" showErrorMessage="1" errorTitle="Invalid KBDI" error="enter a value between 0 and 200" promptTitle="KBDI" prompt="enter a value between 0 and 200_x000a_Keetch Byram Drought Index is the precipitation necessary to saturate the soil" sqref="Z2">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tabSelected="1" workbookViewId="0">
      <selection activeCell="F11" sqref="F11"/>
    </sheetView>
  </sheetViews>
  <sheetFormatPr defaultRowHeight="14.4" x14ac:dyDescent="0.3"/>
  <sheetData>
    <row r="1" spans="1:12" x14ac:dyDescent="0.3">
      <c r="A1" s="41" t="s">
        <v>48</v>
      </c>
      <c r="B1" s="41">
        <f>COUNTIF(A:A,"Pass")</f>
        <v>3</v>
      </c>
    </row>
    <row r="2" spans="1:12" x14ac:dyDescent="0.3">
      <c r="A2" s="40" t="s">
        <v>49</v>
      </c>
      <c r="B2" s="40">
        <f>COUNTIF(A:A,"Fail")</f>
        <v>1</v>
      </c>
    </row>
    <row r="4" spans="1:12" ht="79.95" customHeight="1" x14ac:dyDescent="0.3">
      <c r="A4" s="60" t="s">
        <v>131</v>
      </c>
      <c r="B4" s="61"/>
      <c r="C4" s="61"/>
      <c r="D4" s="61"/>
      <c r="E4" s="61"/>
      <c r="F4" s="61"/>
      <c r="G4" s="61"/>
      <c r="H4" s="61"/>
      <c r="I4" s="61"/>
      <c r="J4" s="61"/>
      <c r="K4" s="61"/>
      <c r="L4" s="61"/>
    </row>
    <row r="5" spans="1:12" x14ac:dyDescent="0.3">
      <c r="A5" s="39" t="s">
        <v>34</v>
      </c>
      <c r="B5" s="39" t="s">
        <v>33</v>
      </c>
      <c r="C5" s="39" t="s">
        <v>43</v>
      </c>
      <c r="D5" s="39" t="s">
        <v>69</v>
      </c>
      <c r="E5" s="39" t="s">
        <v>70</v>
      </c>
      <c r="F5" s="39" t="s">
        <v>86</v>
      </c>
    </row>
    <row r="6" spans="1:12" x14ac:dyDescent="0.3">
      <c r="A6" t="str">
        <f>IF(ISBLANK(B6),"",IF(B6=C6,"Pass","Fail"))</f>
        <v>Pass</v>
      </c>
      <c r="B6">
        <v>7.38</v>
      </c>
      <c r="C6">
        <f>ROUND(FMC_pine(D6,E6),2)</f>
        <v>7.38</v>
      </c>
      <c r="D6">
        <v>25</v>
      </c>
      <c r="E6">
        <v>30</v>
      </c>
      <c r="F6" t="s">
        <v>88</v>
      </c>
    </row>
    <row r="7" spans="1:12" x14ac:dyDescent="0.3">
      <c r="A7" t="str">
        <f>IF(ISBLANK(B7),"",IF(B7=C7,"Pass","Fail"))</f>
        <v/>
      </c>
    </row>
    <row r="8" spans="1:12" ht="100.05" customHeight="1" x14ac:dyDescent="0.3">
      <c r="A8" s="60" t="s">
        <v>153</v>
      </c>
      <c r="B8" s="61"/>
      <c r="C8" s="61"/>
      <c r="D8" s="61"/>
      <c r="E8" s="61"/>
      <c r="F8" s="61"/>
      <c r="G8" s="61"/>
      <c r="H8" s="61"/>
      <c r="I8" s="61"/>
      <c r="J8" s="61"/>
      <c r="K8" s="61"/>
      <c r="L8" s="61"/>
    </row>
    <row r="9" spans="1:12" x14ac:dyDescent="0.3">
      <c r="A9" s="39" t="s">
        <v>34</v>
      </c>
      <c r="B9" s="39" t="s">
        <v>33</v>
      </c>
      <c r="C9" s="39" t="s">
        <v>43</v>
      </c>
      <c r="D9" s="39" t="s">
        <v>52</v>
      </c>
      <c r="E9" s="39" t="s">
        <v>154</v>
      </c>
      <c r="F9" s="39" t="s">
        <v>7</v>
      </c>
      <c r="G9" s="39" t="s">
        <v>86</v>
      </c>
    </row>
    <row r="10" spans="1:12" x14ac:dyDescent="0.3">
      <c r="A10" t="str">
        <f>IF(ISBLANK(B10),"",IF(B10=C10,"Pass","Fail"))</f>
        <v>Fail</v>
      </c>
      <c r="B10">
        <v>0.95</v>
      </c>
      <c r="C10">
        <f>ROUND(FA_pine(D10,E10,F10),2)</f>
        <v>0.74</v>
      </c>
      <c r="D10">
        <v>8</v>
      </c>
      <c r="E10">
        <v>100</v>
      </c>
      <c r="F10">
        <v>4</v>
      </c>
      <c r="G10" t="s">
        <v>88</v>
      </c>
    </row>
    <row r="12" spans="1:12" ht="79.95" customHeight="1" x14ac:dyDescent="0.3">
      <c r="A12" s="60" t="s">
        <v>156</v>
      </c>
      <c r="B12" s="61"/>
      <c r="C12" s="61"/>
      <c r="D12" s="61"/>
      <c r="E12" s="61"/>
      <c r="F12" s="61"/>
      <c r="G12" s="61"/>
      <c r="H12" s="61"/>
      <c r="I12" s="61"/>
      <c r="J12" s="61"/>
      <c r="K12" s="61"/>
      <c r="L12" s="61"/>
    </row>
    <row r="13" spans="1:12" x14ac:dyDescent="0.3">
      <c r="A13" s="39" t="s">
        <v>34</v>
      </c>
      <c r="B13" s="39" t="s">
        <v>33</v>
      </c>
      <c r="C13" s="39" t="s">
        <v>43</v>
      </c>
      <c r="D13" s="39" t="s">
        <v>63</v>
      </c>
      <c r="E13" s="39" t="s">
        <v>57</v>
      </c>
      <c r="F13" s="39" t="s">
        <v>86</v>
      </c>
    </row>
    <row r="14" spans="1:12" x14ac:dyDescent="0.3">
      <c r="A14" t="str">
        <f>IF(ISBLANK(B14),"",IF(B14=C14,"Pass","Fail"))</f>
        <v>Pass</v>
      </c>
      <c r="B14">
        <v>6.1</v>
      </c>
      <c r="C14">
        <f>ROUND(U_flame_height(D14,E14),2)</f>
        <v>6.1</v>
      </c>
      <c r="D14">
        <v>20</v>
      </c>
      <c r="E14">
        <v>15</v>
      </c>
      <c r="F14" t="s">
        <v>88</v>
      </c>
    </row>
    <row r="16" spans="1:12" ht="199.95" customHeight="1" x14ac:dyDescent="0.3">
      <c r="A16" s="60" t="s">
        <v>160</v>
      </c>
      <c r="B16" s="61"/>
      <c r="C16" s="61"/>
      <c r="D16" s="61"/>
      <c r="E16" s="61"/>
      <c r="F16" s="61"/>
      <c r="G16" s="61"/>
      <c r="H16" s="61"/>
      <c r="I16" s="61"/>
      <c r="J16" s="61"/>
      <c r="K16" s="61"/>
      <c r="L16" s="61"/>
    </row>
    <row r="17" spans="1:11" x14ac:dyDescent="0.3">
      <c r="A17" s="39" t="s">
        <v>34</v>
      </c>
      <c r="B17" s="39" t="s">
        <v>33</v>
      </c>
      <c r="C17" s="39" t="s">
        <v>43</v>
      </c>
      <c r="D17" s="39" t="s">
        <v>63</v>
      </c>
      <c r="E17" s="39" t="s">
        <v>105</v>
      </c>
      <c r="F17" s="39" t="s">
        <v>52</v>
      </c>
      <c r="G17" s="39" t="s">
        <v>154</v>
      </c>
      <c r="H17" s="39" t="s">
        <v>7</v>
      </c>
    </row>
    <row r="18" spans="1:11" x14ac:dyDescent="0.3">
      <c r="A18" t="str">
        <f>IF(ISBLANK(B18),"",IF(B18=C18,"Pass","Fail"))</f>
        <v>Pass</v>
      </c>
      <c r="B18">
        <v>462</v>
      </c>
      <c r="C18">
        <f>ROUND(ROS_pine(D18,E18,F18,G18),0)</f>
        <v>462</v>
      </c>
      <c r="D18">
        <v>20</v>
      </c>
      <c r="E18">
        <f>C6</f>
        <v>7.38</v>
      </c>
      <c r="F18">
        <v>8</v>
      </c>
      <c r="G18">
        <v>100</v>
      </c>
      <c r="H18">
        <v>5</v>
      </c>
      <c r="J18">
        <f>INDEX(fb_pine_ensemble(D18,E18,F18,G18),1)</f>
        <v>590.07440185546875</v>
      </c>
      <c r="K18">
        <f>INDEX(fire_behaviour_pine(D18,E18,F18,G18),1)</f>
        <v>461.67861938476563</v>
      </c>
    </row>
  </sheetData>
  <mergeCells count="4">
    <mergeCell ref="A4:L4"/>
    <mergeCell ref="A8:L8"/>
    <mergeCell ref="A12:L12"/>
    <mergeCell ref="A16:L16"/>
  </mergeCells>
  <conditionalFormatting sqref="A6:A7">
    <cfRule type="expression" dxfId="37" priority="11">
      <formula>$A6="Fail"</formula>
    </cfRule>
    <cfRule type="expression" dxfId="36" priority="12">
      <formula>$A$9="Pass"</formula>
    </cfRule>
  </conditionalFormatting>
  <conditionalFormatting sqref="A14">
    <cfRule type="expression" dxfId="35" priority="3">
      <formula>$A14="Fail"</formula>
    </cfRule>
    <cfRule type="expression" dxfId="34" priority="4">
      <formula>$A$9="Pass"</formula>
    </cfRule>
  </conditionalFormatting>
  <conditionalFormatting sqref="A10">
    <cfRule type="expression" dxfId="33" priority="5">
      <formula>$A10="Fail"</formula>
    </cfRule>
    <cfRule type="expression" dxfId="32" priority="6">
      <formula>$A$9="Pass"</formula>
    </cfRule>
  </conditionalFormatting>
  <conditionalFormatting sqref="A18">
    <cfRule type="expression" dxfId="31" priority="1">
      <formula>$A18="Fail"</formula>
    </cfRule>
    <cfRule type="expression" dxfId="30" priority="2">
      <formula>$A$9="Pass"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D28" sqref="D28"/>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91</v>
      </c>
      <c r="F1" t="s">
        <v>23</v>
      </c>
      <c r="I1" t="s">
        <v>103</v>
      </c>
      <c r="J1" t="s">
        <v>109</v>
      </c>
      <c r="L1" t="s">
        <v>130</v>
      </c>
    </row>
    <row r="2" spans="1:12" x14ac:dyDescent="0.3">
      <c r="A2" s="39" t="s">
        <v>113</v>
      </c>
      <c r="B2" s="39" t="s">
        <v>111</v>
      </c>
      <c r="C2" s="39" t="s">
        <v>112</v>
      </c>
      <c r="D2" s="39" t="s">
        <v>116</v>
      </c>
      <c r="F2" t="s">
        <v>24</v>
      </c>
      <c r="I2" t="b">
        <v>1</v>
      </c>
      <c r="J2">
        <v>0.35</v>
      </c>
    </row>
    <row r="3" spans="1:12" x14ac:dyDescent="0.3">
      <c r="A3" t="s">
        <v>129</v>
      </c>
      <c r="B3" t="s">
        <v>70</v>
      </c>
      <c r="C3">
        <v>30</v>
      </c>
      <c r="D3" t="s">
        <v>132</v>
      </c>
      <c r="F3" t="s">
        <v>25</v>
      </c>
      <c r="I3" t="b">
        <v>0</v>
      </c>
      <c r="J3">
        <v>0.66700000000000004</v>
      </c>
    </row>
    <row r="4" spans="1:12" x14ac:dyDescent="0.3">
      <c r="A4" t="s">
        <v>129</v>
      </c>
      <c r="B4" t="s">
        <v>69</v>
      </c>
      <c r="C4">
        <v>25</v>
      </c>
      <c r="D4" t="s">
        <v>133</v>
      </c>
      <c r="F4" t="s">
        <v>26</v>
      </c>
    </row>
    <row r="5" spans="1:12" x14ac:dyDescent="0.3">
      <c r="A5" t="s">
        <v>129</v>
      </c>
      <c r="B5" t="s">
        <v>120</v>
      </c>
      <c r="C5">
        <v>25</v>
      </c>
      <c r="D5" t="s">
        <v>141</v>
      </c>
    </row>
    <row r="6" spans="1:12" x14ac:dyDescent="0.3">
      <c r="A6" t="s">
        <v>129</v>
      </c>
      <c r="B6" t="s">
        <v>63</v>
      </c>
      <c r="C6">
        <v>20</v>
      </c>
      <c r="D6" t="s">
        <v>142</v>
      </c>
    </row>
    <row r="7" spans="1:12" x14ac:dyDescent="0.3">
      <c r="A7" t="s">
        <v>47</v>
      </c>
      <c r="B7" t="s">
        <v>52</v>
      </c>
      <c r="C7">
        <v>8</v>
      </c>
      <c r="D7" t="s">
        <v>143</v>
      </c>
    </row>
    <row r="8" spans="1:12" x14ac:dyDescent="0.3">
      <c r="A8" t="s">
        <v>47</v>
      </c>
      <c r="B8" t="s">
        <v>66</v>
      </c>
      <c r="C8">
        <v>3</v>
      </c>
      <c r="D8" t="s">
        <v>134</v>
      </c>
    </row>
    <row r="9" spans="1:12" x14ac:dyDescent="0.3">
      <c r="A9" t="s">
        <v>47</v>
      </c>
      <c r="B9" t="s">
        <v>65</v>
      </c>
      <c r="C9">
        <v>3</v>
      </c>
      <c r="D9" t="s">
        <v>135</v>
      </c>
    </row>
    <row r="10" spans="1:12" x14ac:dyDescent="0.3">
      <c r="A10" t="s">
        <v>47</v>
      </c>
      <c r="B10" t="s">
        <v>55</v>
      </c>
      <c r="C10">
        <v>3</v>
      </c>
      <c r="D10" t="s">
        <v>136</v>
      </c>
    </row>
    <row r="11" spans="1:12" x14ac:dyDescent="0.3">
      <c r="A11" t="s">
        <v>47</v>
      </c>
      <c r="B11" t="s">
        <v>54</v>
      </c>
      <c r="C11">
        <v>3</v>
      </c>
      <c r="D11" t="s">
        <v>137</v>
      </c>
    </row>
    <row r="12" spans="1:12" x14ac:dyDescent="0.3">
      <c r="A12" t="s">
        <v>47</v>
      </c>
      <c r="B12" t="s">
        <v>56</v>
      </c>
      <c r="C12">
        <v>4.5</v>
      </c>
      <c r="D12" t="s">
        <v>138</v>
      </c>
    </row>
    <row r="13" spans="1:12" x14ac:dyDescent="0.3">
      <c r="A13" t="s">
        <v>47</v>
      </c>
      <c r="B13" t="s">
        <v>53</v>
      </c>
      <c r="C13">
        <v>10</v>
      </c>
      <c r="D13" t="s">
        <v>139</v>
      </c>
    </row>
    <row r="14" spans="1:12" x14ac:dyDescent="0.3">
      <c r="A14" t="s">
        <v>47</v>
      </c>
      <c r="B14" t="s">
        <v>67</v>
      </c>
      <c r="C14">
        <v>20</v>
      </c>
      <c r="D14" t="s">
        <v>140</v>
      </c>
    </row>
    <row r="15" spans="1:12" x14ac:dyDescent="0.3">
      <c r="A15" t="s">
        <v>47</v>
      </c>
      <c r="B15" t="s">
        <v>57</v>
      </c>
      <c r="C15">
        <v>20</v>
      </c>
      <c r="D15" t="s">
        <v>146</v>
      </c>
    </row>
    <row r="16" spans="1:12" x14ac:dyDescent="0.3">
      <c r="A16" t="s">
        <v>47</v>
      </c>
      <c r="B16" t="s">
        <v>7</v>
      </c>
      <c r="C16">
        <v>3</v>
      </c>
      <c r="D16" t="s">
        <v>147</v>
      </c>
    </row>
    <row r="17" spans="1:4" x14ac:dyDescent="0.3">
      <c r="A17" t="s">
        <v>85</v>
      </c>
      <c r="B17" t="s">
        <v>77</v>
      </c>
      <c r="C17">
        <v>100</v>
      </c>
      <c r="D17" t="s">
        <v>148</v>
      </c>
    </row>
    <row r="18" spans="1:4" x14ac:dyDescent="0.3">
      <c r="A18" t="s">
        <v>85</v>
      </c>
      <c r="B18" t="s">
        <v>32</v>
      </c>
      <c r="C18" t="s">
        <v>25</v>
      </c>
      <c r="D18" t="s">
        <v>149</v>
      </c>
    </row>
    <row r="19" spans="1:4" x14ac:dyDescent="0.3">
      <c r="A19" t="s">
        <v>114</v>
      </c>
      <c r="B19" t="s">
        <v>124</v>
      </c>
      <c r="C19">
        <v>20</v>
      </c>
      <c r="D19" t="s">
        <v>144</v>
      </c>
    </row>
    <row r="20" spans="1:4" x14ac:dyDescent="0.3">
      <c r="A20" t="s">
        <v>114</v>
      </c>
      <c r="B20" t="s">
        <v>115</v>
      </c>
      <c r="C20">
        <v>2</v>
      </c>
      <c r="D20" t="s">
        <v>145</v>
      </c>
    </row>
    <row r="21" spans="1:4" x14ac:dyDescent="0.3">
      <c r="A21" t="s">
        <v>114</v>
      </c>
      <c r="B21" t="s">
        <v>93</v>
      </c>
      <c r="C21">
        <v>48</v>
      </c>
      <c r="D21" t="s">
        <v>150</v>
      </c>
    </row>
    <row r="22" spans="1:4" x14ac:dyDescent="0.3">
      <c r="A22" t="s">
        <v>114</v>
      </c>
      <c r="B22" t="s">
        <v>121</v>
      </c>
      <c r="C22">
        <v>0.2</v>
      </c>
      <c r="D22" t="s">
        <v>122</v>
      </c>
    </row>
    <row r="23" spans="1:4" x14ac:dyDescent="0.3">
      <c r="A23" t="s">
        <v>114</v>
      </c>
      <c r="B23" t="s">
        <v>106</v>
      </c>
      <c r="C23" t="b">
        <v>0</v>
      </c>
      <c r="D23" t="s">
        <v>118</v>
      </c>
    </row>
    <row r="24" spans="1:4" x14ac:dyDescent="0.3">
      <c r="A24" t="s">
        <v>114</v>
      </c>
      <c r="B24" t="s">
        <v>92</v>
      </c>
    </row>
    <row r="25" spans="1:4" x14ac:dyDescent="0.3">
      <c r="A25" t="s">
        <v>151</v>
      </c>
      <c r="B25" t="s">
        <v>52</v>
      </c>
      <c r="C25">
        <v>8</v>
      </c>
      <c r="D25" t="s">
        <v>143</v>
      </c>
    </row>
    <row r="26" spans="1:4" x14ac:dyDescent="0.3">
      <c r="A26" t="s">
        <v>151</v>
      </c>
      <c r="B26" t="s">
        <v>7</v>
      </c>
      <c r="C26">
        <v>5</v>
      </c>
      <c r="D26" t="s">
        <v>152</v>
      </c>
    </row>
    <row r="27" spans="1:4" x14ac:dyDescent="0.3">
      <c r="A27" t="s">
        <v>151</v>
      </c>
      <c r="B27" t="s">
        <v>154</v>
      </c>
      <c r="C27">
        <v>100</v>
      </c>
      <c r="D27" t="s">
        <v>155</v>
      </c>
    </row>
    <row r="28" spans="1:4" x14ac:dyDescent="0.3">
      <c r="A28" t="s">
        <v>157</v>
      </c>
      <c r="B28" t="s">
        <v>53</v>
      </c>
      <c r="C28">
        <v>1.05</v>
      </c>
      <c r="D28" t="s">
        <v>139</v>
      </c>
    </row>
  </sheetData>
  <sortState ref="A3:D24">
    <sortCondition ref="A3:A24"/>
    <sortCondition ref="B3:B24"/>
  </sortState>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workbookViewId="0"/>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60" t="s">
        <v>44</v>
      </c>
      <c r="B4" s="61"/>
      <c r="C4" s="61"/>
      <c r="D4" s="61"/>
      <c r="E4" s="61"/>
      <c r="F4" s="61"/>
      <c r="G4" s="61"/>
      <c r="H4" s="61"/>
      <c r="I4" s="61"/>
      <c r="J4" s="61"/>
      <c r="K4" s="61"/>
      <c r="L4" s="61"/>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126</v>
      </c>
    </row>
    <row r="35" spans="1:12" x14ac:dyDescent="0.3">
      <c r="A35" t="str">
        <f t="shared" si="2"/>
        <v>Pass</v>
      </c>
      <c r="B35">
        <v>30</v>
      </c>
      <c r="C35">
        <f t="shared" si="3"/>
        <v>30</v>
      </c>
      <c r="D35">
        <v>5406.5439999999999</v>
      </c>
      <c r="E35" t="s">
        <v>47</v>
      </c>
      <c r="F35" t="s">
        <v>126</v>
      </c>
    </row>
    <row r="36" spans="1:12" x14ac:dyDescent="0.3">
      <c r="A36" t="str">
        <f t="shared" si="2"/>
        <v>Pass</v>
      </c>
      <c r="B36">
        <v>19</v>
      </c>
      <c r="C36" s="36">
        <f t="shared" si="3"/>
        <v>19</v>
      </c>
      <c r="D36">
        <v>2786.11</v>
      </c>
      <c r="E36" t="s">
        <v>47</v>
      </c>
      <c r="F36" t="s">
        <v>126</v>
      </c>
    </row>
    <row r="37" spans="1:12" x14ac:dyDescent="0.3">
      <c r="D37">
        <v>2786.11</v>
      </c>
    </row>
    <row r="39" spans="1:12" x14ac:dyDescent="0.3">
      <c r="A39" t="str">
        <f t="shared" si="0"/>
        <v/>
      </c>
    </row>
    <row r="40" spans="1:12" ht="100.05" customHeight="1" x14ac:dyDescent="0.3">
      <c r="A40" s="60" t="s">
        <v>60</v>
      </c>
      <c r="B40" s="61"/>
      <c r="C40" s="61"/>
      <c r="D40" s="61"/>
      <c r="E40" s="61"/>
      <c r="F40" s="61"/>
      <c r="G40" s="61"/>
      <c r="H40" s="61"/>
      <c r="I40" s="61"/>
      <c r="J40" s="61"/>
      <c r="K40" s="61"/>
      <c r="L40" s="61"/>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60" t="s">
        <v>123</v>
      </c>
      <c r="B54" s="61"/>
      <c r="C54" s="61"/>
      <c r="D54" s="61"/>
      <c r="E54" s="61"/>
      <c r="F54" s="61"/>
      <c r="G54" s="61"/>
      <c r="H54" s="61"/>
      <c r="I54" s="61"/>
      <c r="J54" s="61"/>
      <c r="K54" s="61"/>
      <c r="L54" s="61"/>
    </row>
    <row r="55" spans="1:12" x14ac:dyDescent="0.3">
      <c r="A55" s="39" t="s">
        <v>34</v>
      </c>
      <c r="B55" s="39" t="s">
        <v>33</v>
      </c>
      <c r="C55" s="39" t="s">
        <v>43</v>
      </c>
      <c r="D55" s="39" t="s">
        <v>124</v>
      </c>
      <c r="E55" s="39" t="s">
        <v>120</v>
      </c>
      <c r="F55" s="39" t="s">
        <v>121</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29" priority="5">
      <formula>$A6="Fail"</formula>
    </cfRule>
    <cfRule type="expression" dxfId="28" priority="6">
      <formula>$A$6="Pass"</formula>
    </cfRule>
  </conditionalFormatting>
  <conditionalFormatting sqref="A42:A53">
    <cfRule type="expression" dxfId="27" priority="3">
      <formula>$A42="Fail"</formula>
    </cfRule>
    <cfRule type="expression" dxfId="26" priority="4">
      <formula>$A$6="Pass"</formula>
    </cfRule>
  </conditionalFormatting>
  <conditionalFormatting sqref="A56:A61">
    <cfRule type="expression" dxfId="25" priority="1">
      <formula>$A56="Fail"</formula>
    </cfRule>
    <cfRule type="expression" dxfId="24" priority="2">
      <formula>$A$6="Pass"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topLeftCell="A31" workbookViewId="0">
      <selection activeCell="A52" sqref="A52"/>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60" t="s">
        <v>59</v>
      </c>
      <c r="B4" s="61"/>
      <c r="C4" s="61"/>
      <c r="D4" s="61"/>
      <c r="E4" s="61"/>
      <c r="F4" s="61"/>
      <c r="G4" s="61"/>
      <c r="H4" s="61"/>
      <c r="I4" s="61"/>
      <c r="J4" s="61"/>
      <c r="K4" s="61"/>
      <c r="L4" s="61"/>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60" t="s">
        <v>61</v>
      </c>
      <c r="B13" s="61"/>
      <c r="C13" s="61"/>
      <c r="D13" s="61"/>
      <c r="E13" s="61"/>
      <c r="F13" s="61"/>
      <c r="G13" s="61"/>
      <c r="H13" s="61"/>
      <c r="I13" s="61"/>
      <c r="J13" s="61"/>
      <c r="K13" s="61"/>
      <c r="L13" s="61"/>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60" t="s">
        <v>64</v>
      </c>
      <c r="B20" s="61"/>
      <c r="C20" s="61"/>
      <c r="D20" s="61"/>
      <c r="E20" s="61"/>
      <c r="F20" s="61"/>
      <c r="G20" s="61"/>
      <c r="H20" s="61"/>
      <c r="I20" s="61"/>
      <c r="J20" s="61"/>
      <c r="K20" s="61"/>
      <c r="L20" s="61"/>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60" t="s">
        <v>73</v>
      </c>
      <c r="B30" s="61"/>
      <c r="C30" s="61"/>
      <c r="D30" s="61"/>
      <c r="E30" s="61"/>
      <c r="F30" s="61"/>
      <c r="G30" s="61"/>
      <c r="H30" s="61"/>
      <c r="I30" s="61"/>
      <c r="J30" s="61"/>
      <c r="K30" s="61"/>
      <c r="L30" s="61"/>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60" t="s">
        <v>74</v>
      </c>
      <c r="B42" s="61"/>
      <c r="C42" s="61"/>
      <c r="D42" s="61"/>
      <c r="E42" s="61"/>
      <c r="F42" s="61"/>
      <c r="G42" s="61"/>
      <c r="H42" s="61"/>
      <c r="I42" s="61"/>
      <c r="J42" s="61"/>
      <c r="K42" s="61"/>
      <c r="L42" s="61"/>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60" t="s">
        <v>99</v>
      </c>
      <c r="B50" s="61"/>
      <c r="C50" s="61"/>
      <c r="D50" s="61"/>
      <c r="E50" s="61"/>
      <c r="F50" s="61"/>
      <c r="G50" s="61"/>
      <c r="H50" s="61"/>
      <c r="I50" s="61"/>
      <c r="J50" s="61"/>
      <c r="K50" s="61"/>
      <c r="L50" s="61"/>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23" priority="11">
      <formula>$A6="Fail"</formula>
    </cfRule>
    <cfRule type="expression" dxfId="22" priority="12">
      <formula>$A$9="Pass"</formula>
    </cfRule>
  </conditionalFormatting>
  <conditionalFormatting sqref="A15:A19">
    <cfRule type="expression" dxfId="21" priority="9">
      <formula>$A15="Fail"</formula>
    </cfRule>
    <cfRule type="expression" dxfId="20" priority="10">
      <formula>$A$9="Pass"</formula>
    </cfRule>
  </conditionalFormatting>
  <conditionalFormatting sqref="A22:A29">
    <cfRule type="expression" dxfId="19" priority="7">
      <formula>$A22="Fail"</formula>
    </cfRule>
    <cfRule type="expression" dxfId="18" priority="8">
      <formula>$A$9="Pass"</formula>
    </cfRule>
  </conditionalFormatting>
  <conditionalFormatting sqref="A32:A41">
    <cfRule type="expression" dxfId="17" priority="5">
      <formula>$A32="Fail"</formula>
    </cfRule>
    <cfRule type="expression" dxfId="16" priority="6">
      <formula>$A$9="Pass"</formula>
    </cfRule>
  </conditionalFormatting>
  <conditionalFormatting sqref="A44:A49">
    <cfRule type="expression" dxfId="15" priority="3">
      <formula>$A44="Fail"</formula>
    </cfRule>
    <cfRule type="expression" dxfId="14" priority="4">
      <formula>$A$9="Pass"</formula>
    </cfRule>
  </conditionalFormatting>
  <conditionalFormatting sqref="A52:A62">
    <cfRule type="expression" dxfId="13" priority="1">
      <formula>$A52="Fail"</formula>
    </cfRule>
    <cfRule type="expression" dxfId="12" priority="2">
      <formula>$A$9="Pass"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topLeftCell="A13" workbookViewId="0"/>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60" t="s">
        <v>75</v>
      </c>
      <c r="B4" s="61"/>
      <c r="C4" s="61"/>
      <c r="D4" s="61"/>
      <c r="E4" s="61"/>
      <c r="F4" s="61"/>
      <c r="G4" s="61"/>
      <c r="H4" s="61"/>
      <c r="I4" s="61"/>
      <c r="J4" s="61"/>
      <c r="K4" s="61"/>
      <c r="L4" s="61"/>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60" t="s">
        <v>76</v>
      </c>
      <c r="B12" s="61"/>
      <c r="C12" s="61"/>
      <c r="D12" s="61"/>
      <c r="E12" s="61"/>
      <c r="F12" s="61"/>
      <c r="G12" s="61"/>
      <c r="H12" s="61"/>
      <c r="I12" s="61"/>
      <c r="J12" s="61"/>
      <c r="K12" s="61"/>
      <c r="L12" s="61"/>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60" t="s">
        <v>78</v>
      </c>
      <c r="B17" s="61"/>
      <c r="C17" s="61"/>
      <c r="D17" s="61"/>
      <c r="E17" s="61"/>
      <c r="F17" s="61"/>
      <c r="G17" s="61"/>
      <c r="H17" s="61"/>
      <c r="I17" s="61"/>
      <c r="J17" s="61"/>
      <c r="K17" s="61"/>
      <c r="L17" s="61"/>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60" t="s">
        <v>79</v>
      </c>
      <c r="B25" s="61"/>
      <c r="C25" s="61"/>
      <c r="D25" s="61"/>
      <c r="E25" s="61"/>
      <c r="F25" s="61"/>
      <c r="G25" s="61"/>
      <c r="H25" s="61"/>
      <c r="I25" s="61"/>
      <c r="J25" s="61"/>
      <c r="K25" s="61"/>
      <c r="L25" s="61"/>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60" t="s">
        <v>83</v>
      </c>
      <c r="B33" s="61"/>
      <c r="C33" s="61"/>
      <c r="D33" s="61"/>
      <c r="E33" s="61"/>
      <c r="F33" s="61"/>
      <c r="G33" s="61"/>
      <c r="H33" s="61"/>
      <c r="I33" s="61"/>
      <c r="J33" s="61"/>
      <c r="K33" s="61"/>
      <c r="L33" s="61"/>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4" workbookViewId="0"/>
  </sheetViews>
  <sheetFormatPr defaultRowHeight="14.4" x14ac:dyDescent="0.3"/>
  <cols>
    <col min="7" max="7" width="10.21875" customWidth="1"/>
  </cols>
  <sheetData>
    <row r="1" spans="1:12" x14ac:dyDescent="0.3">
      <c r="A1" s="41" t="s">
        <v>48</v>
      </c>
      <c r="B1" s="41">
        <f>COUNTIF(A:A,"Pass")</f>
        <v>15</v>
      </c>
    </row>
    <row r="2" spans="1:12" x14ac:dyDescent="0.3">
      <c r="A2" s="40" t="s">
        <v>49</v>
      </c>
      <c r="B2" s="40">
        <f>COUNTIF(A:A,"Fail")</f>
        <v>0</v>
      </c>
    </row>
    <row r="4" spans="1:12" ht="220.05" customHeight="1" x14ac:dyDescent="0.3">
      <c r="A4" s="60" t="s">
        <v>94</v>
      </c>
      <c r="B4" s="61"/>
      <c r="C4" s="61"/>
      <c r="D4" s="61"/>
      <c r="E4" s="61"/>
      <c r="F4" s="61"/>
      <c r="G4" s="61"/>
      <c r="H4" s="61"/>
      <c r="I4" s="61"/>
      <c r="J4" s="61"/>
      <c r="K4" s="61"/>
      <c r="L4" s="61"/>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60" t="s">
        <v>107</v>
      </c>
      <c r="B10" s="61"/>
      <c r="C10" s="61"/>
      <c r="D10" s="61"/>
      <c r="E10" s="61"/>
      <c r="F10" s="61"/>
      <c r="G10" s="61"/>
      <c r="H10" s="61"/>
      <c r="I10" s="61"/>
      <c r="J10" s="61"/>
      <c r="K10" s="61"/>
      <c r="L10" s="61"/>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60" t="s">
        <v>117</v>
      </c>
      <c r="B19" s="61"/>
      <c r="C19" s="61"/>
      <c r="D19" s="61"/>
      <c r="E19" s="61"/>
      <c r="F19" s="61"/>
      <c r="G19" s="61"/>
      <c r="H19" s="61"/>
      <c r="I19" s="61"/>
      <c r="J19" s="61"/>
      <c r="K19" s="61"/>
      <c r="L19" s="61"/>
    </row>
    <row r="20" spans="1:12" x14ac:dyDescent="0.3">
      <c r="A20" s="39" t="s">
        <v>34</v>
      </c>
      <c r="B20" s="39" t="s">
        <v>33</v>
      </c>
      <c r="C20" s="39" t="s">
        <v>43</v>
      </c>
      <c r="D20" s="39" t="s">
        <v>63</v>
      </c>
      <c r="E20" s="39" t="s">
        <v>104</v>
      </c>
      <c r="F20" s="39" t="s">
        <v>105</v>
      </c>
      <c r="G20" s="39" t="s">
        <v>106</v>
      </c>
      <c r="H20" s="39" t="s">
        <v>86</v>
      </c>
    </row>
    <row r="21" spans="1:12" x14ac:dyDescent="0.3">
      <c r="A21" t="str">
        <f>IF(ISBLANK(B21),"",IF(B21=C21,"Pass","Fail"))</f>
        <v>Pass</v>
      </c>
      <c r="B21">
        <v>927</v>
      </c>
      <c r="C21">
        <f>ROS_heath(D21,E21,F21,G21)</f>
        <v>927</v>
      </c>
      <c r="D21">
        <v>25</v>
      </c>
      <c r="E21">
        <v>2</v>
      </c>
      <c r="F21">
        <v>10</v>
      </c>
      <c r="G21" t="b">
        <v>1</v>
      </c>
      <c r="H21" t="s">
        <v>88</v>
      </c>
    </row>
    <row r="22" spans="1:12" x14ac:dyDescent="0.3">
      <c r="A22" t="str">
        <f>IF(ISBLANK(B22),"",IF(B22=C22,"Pass","Fail"))</f>
        <v>Pass</v>
      </c>
      <c r="B22">
        <v>1670</v>
      </c>
      <c r="C22">
        <f>ROS_heath(D22,E22,F22,G22)</f>
        <v>1670</v>
      </c>
      <c r="D22">
        <v>25</v>
      </c>
      <c r="E22">
        <v>2</v>
      </c>
      <c r="F22">
        <v>10</v>
      </c>
      <c r="G22" t="b">
        <v>0</v>
      </c>
      <c r="H22" t="s">
        <v>88</v>
      </c>
    </row>
    <row r="24" spans="1:12" ht="120" customHeight="1" x14ac:dyDescent="0.3">
      <c r="A24" s="60" t="s">
        <v>125</v>
      </c>
      <c r="B24" s="61"/>
      <c r="C24" s="61"/>
      <c r="D24" s="61"/>
      <c r="E24" s="61"/>
      <c r="F24" s="61"/>
      <c r="G24" s="61"/>
      <c r="H24" s="61"/>
      <c r="I24" s="61"/>
      <c r="J24" s="61"/>
      <c r="K24" s="61"/>
      <c r="L24" s="61"/>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AFDRS</vt:lpstr>
      <vt:lpstr>tests_pine</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2022-09-14T05:58:53Z</dcterms:modified>
</cp:coreProperties>
</file>