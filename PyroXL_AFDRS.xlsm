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AFDRS" sheetId="1" r:id="rId1"/>
    <sheet name="List tables" sheetId="3" r:id="rId2"/>
    <sheet name="test" sheetId="2" r:id="rId3"/>
  </sheets>
  <functionGroups builtInGroupCount="18"/>
  <definedNames>
    <definedName name="curing">AFDRS!$N$4</definedName>
    <definedName name="FBI_forest">AFDRS!$G$13:$G$1048576</definedName>
    <definedName name="fh_e">AFDRS!$H$10</definedName>
    <definedName name="fh_ns">AFDRS!$H$9</definedName>
    <definedName name="fhs_ns">AFDRS!$H$5</definedName>
    <definedName name="fhs_s">AFDRS!$H$4</definedName>
    <definedName name="fl_b">AFDRS!$I$7</definedName>
    <definedName name="fl_e">AFDRS!$I$6</definedName>
    <definedName name="fl_grass">AFDRS!$N$3</definedName>
    <definedName name="fl_ns">AFDRS!$I$5</definedName>
    <definedName name="fl_s">AFDRS!$I$4</definedName>
    <definedName name="state_grass">AFDRS!$M$3</definedName>
    <definedName name="WAF">AFDRS!$H$2</definedName>
    <definedName name="weather">AFDRS!$A$13:$F$1048576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4" i="1" l="1"/>
  <c r="Q16" i="1"/>
  <c r="Q17" i="1"/>
  <c r="Q13" i="1"/>
  <c r="L14" i="1"/>
  <c r="L16" i="1"/>
  <c r="L17" i="1"/>
  <c r="Q15" i="1"/>
  <c r="L15" i="1"/>
  <c r="L13" i="1"/>
  <c r="I7" i="1" l="1"/>
  <c r="I6" i="1"/>
  <c r="I5" i="1"/>
  <c r="I4" i="1"/>
  <c r="N13" i="1"/>
  <c r="P13" i="1" s="1"/>
  <c r="H17" i="1"/>
  <c r="N15" i="1"/>
  <c r="P15" i="1" s="1"/>
  <c r="H16" i="1"/>
  <c r="K16" i="1" s="1"/>
  <c r="H15" i="1"/>
  <c r="K15" i="1" s="1"/>
  <c r="N17" i="1"/>
  <c r="P17" i="1" s="1"/>
  <c r="H14" i="1"/>
  <c r="N16" i="1"/>
  <c r="P16" i="1" s="1"/>
  <c r="N14" i="1"/>
  <c r="P14" i="1" s="1"/>
  <c r="J15" i="1"/>
  <c r="K17" i="1"/>
  <c r="I15" i="1"/>
  <c r="G15" i="1" s="1"/>
  <c r="J17" i="1"/>
  <c r="J16" i="1"/>
  <c r="H13" i="1"/>
  <c r="J13" i="1"/>
  <c r="B1" i="2"/>
  <c r="J14" i="1"/>
  <c r="I14" i="1" s="1"/>
  <c r="G14" i="1" s="1"/>
  <c r="K14" i="1"/>
  <c r="I13" i="1"/>
  <c r="G13" i="1" s="1"/>
  <c r="I17" i="1"/>
  <c r="G17" i="1" s="1"/>
  <c r="O14" i="1"/>
  <c r="M14" i="1" s="1"/>
  <c r="O15" i="1"/>
  <c r="M15" i="1" s="1"/>
  <c r="O13" i="1"/>
  <c r="I16" i="1"/>
  <c r="G16" i="1" s="1"/>
  <c r="O17" i="1"/>
  <c r="M17" i="1" s="1"/>
  <c r="K13" i="1"/>
  <c r="O16" i="1"/>
  <c r="M16" i="1" s="1"/>
  <c r="M13" i="1"/>
</calcChain>
</file>

<file path=xl/sharedStrings.xml><?xml version="1.0" encoding="utf-8"?>
<sst xmlns="http://schemas.openxmlformats.org/spreadsheetml/2006/main" count="41" uniqueCount="33">
  <si>
    <t>Date
(dd-mm-yyyy)</t>
  </si>
  <si>
    <t>Temp
(°C)</t>
  </si>
  <si>
    <t>Relative Humidity
(%)</t>
  </si>
  <si>
    <t>Wind Speed
(10m km/h)</t>
  </si>
  <si>
    <t>Drought Factor</t>
  </si>
  <si>
    <t>Weather</t>
  </si>
  <si>
    <t>Forest</t>
  </si>
  <si>
    <t>WAF</t>
  </si>
  <si>
    <t>Time
(hh:mm)</t>
  </si>
  <si>
    <t>ROS
(m/h)</t>
  </si>
  <si>
    <t>Intensity
(kW/m)</t>
  </si>
  <si>
    <t>Flame Height
(m)</t>
  </si>
  <si>
    <t>Spotting Distance
(m)</t>
  </si>
  <si>
    <t>FMC
(%)</t>
  </si>
  <si>
    <t>Wind adjustment factor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</si>
  <si>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</si>
  <si>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</si>
  <si>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</si>
  <si>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</si>
  <si>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</si>
  <si>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</si>
  <si>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</si>
  <si>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</si>
  <si>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State</t>
  </si>
  <si>
    <t>Grass State</t>
  </si>
  <si>
    <t>natural</t>
  </si>
  <si>
    <t>grazed</t>
  </si>
  <si>
    <t>eaten-out</t>
  </si>
  <si>
    <t>curing (%)</t>
  </si>
  <si>
    <t>FBI
grass</t>
  </si>
  <si>
    <t>FBI
forest</t>
  </si>
  <si>
    <t xml:space="preserve">Hazard Score </t>
  </si>
  <si>
    <t xml:space="preserve"> Fine Fuel Load t/ha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</si>
</sst>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-mm\-yyyy"/>
    <numFmt numFmtId="165" formatCode="hh:mm"/>
    <numFmt numFmtId="166" formatCode="[$-F400]h:mm:ss\ AM/PM"/>
    <numFmt numFmtId="167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14" fontId="0" fillId="0" borderId="0" xfId="0" applyNumberFormat="1"/>
    <xf numFmtId="20" fontId="0" fillId="0" borderId="0" xfId="0" applyNumberFormat="1"/>
    <xf numFmtId="166" fontId="0" fillId="0" borderId="0" xfId="0" applyNumberFormat="1"/>
    <xf numFmtId="164" fontId="0" fillId="3" borderId="1" xfId="0" applyNumberFormat="1" applyFill="1" applyBorder="1"/>
    <xf numFmtId="165" fontId="0" fillId="3" borderId="1" xfId="0" applyNumberFormat="1" applyFill="1" applyBorder="1"/>
    <xf numFmtId="0" fontId="0" fillId="3" borderId="1" xfId="0" applyFill="1" applyBorder="1"/>
    <xf numFmtId="0" fontId="0" fillId="4" borderId="1" xfId="0" applyFill="1" applyBorder="1"/>
    <xf numFmtId="0" fontId="0" fillId="0" borderId="1" xfId="0" applyBorder="1"/>
    <xf numFmtId="0" fontId="1" fillId="0" borderId="1" xfId="0" applyFont="1" applyBorder="1" applyAlignment="1">
      <alignment horizontal="center" wrapText="1"/>
    </xf>
    <xf numFmtId="0" fontId="0" fillId="4" borderId="1" xfId="0" applyFill="1" applyBorder="1" applyAlignment="1">
      <alignment wrapText="1"/>
    </xf>
    <xf numFmtId="0" fontId="2" fillId="5" borderId="1" xfId="0" applyFont="1" applyFill="1" applyBorder="1"/>
    <xf numFmtId="0" fontId="0" fillId="5" borderId="1" xfId="0" applyFill="1" applyBorder="1"/>
    <xf numFmtId="167" fontId="0" fillId="5" borderId="1" xfId="0" applyNumberFormat="1" applyFill="1" applyBorder="1"/>
    <xf numFmtId="0" fontId="1" fillId="5" borderId="1" xfId="0" applyFont="1" applyFill="1" applyBorder="1"/>
    <xf numFmtId="0" fontId="0" fillId="5" borderId="1" xfId="0" applyFill="1" applyBorder="1" applyAlignment="1">
      <alignment wrapText="1"/>
    </xf>
    <xf numFmtId="0" fontId="1" fillId="5" borderId="1" xfId="0" applyFont="1" applyFill="1" applyBorder="1" applyAlignment="1">
      <alignment wrapText="1"/>
    </xf>
    <xf numFmtId="0" fontId="1" fillId="5" borderId="1" xfId="0" applyFont="1" applyFill="1" applyBorder="1" applyAlignment="1">
      <alignment horizontal="center" wrapText="1"/>
    </xf>
    <xf numFmtId="167" fontId="1" fillId="5" borderId="1" xfId="0" applyNumberFormat="1" applyFont="1" applyFill="1" applyBorder="1" applyAlignment="1">
      <alignment horizontal="center" wrapText="1"/>
    </xf>
    <xf numFmtId="164" fontId="2" fillId="2" borderId="1" xfId="0" applyNumberFormat="1" applyFont="1" applyFill="1" applyBorder="1"/>
    <xf numFmtId="165" fontId="0" fillId="2" borderId="1" xfId="0" applyNumberFormat="1" applyFill="1" applyBorder="1"/>
    <xf numFmtId="0" fontId="0" fillId="2" borderId="1" xfId="0" applyFill="1" applyBorder="1"/>
    <xf numFmtId="164" fontId="0" fillId="2" borderId="1" xfId="0" applyNumberFormat="1" applyFill="1" applyBorder="1"/>
    <xf numFmtId="164" fontId="1" fillId="2" borderId="1" xfId="0" applyNumberFormat="1" applyFont="1" applyFill="1" applyBorder="1" applyAlignment="1">
      <alignment horizontal="center" wrapText="1"/>
    </xf>
    <xf numFmtId="165" fontId="1" fillId="2" borderId="1" xfId="0" applyNumberFormat="1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center" wrapText="1"/>
    </xf>
    <xf numFmtId="0" fontId="0" fillId="6" borderId="1" xfId="0" applyFill="1" applyBorder="1"/>
    <xf numFmtId="167" fontId="0" fillId="6" borderId="1" xfId="0" applyNumberFormat="1" applyFill="1" applyBorder="1"/>
    <xf numFmtId="0" fontId="1" fillId="6" borderId="1" xfId="0" applyFont="1" applyFill="1" applyBorder="1" applyAlignment="1">
      <alignment horizontal="center" wrapText="1"/>
    </xf>
    <xf numFmtId="167" fontId="1" fillId="6" borderId="1" xfId="0" applyNumberFormat="1" applyFont="1" applyFill="1" applyBorder="1" applyAlignment="1">
      <alignment horizontal="center" wrapText="1"/>
    </xf>
    <xf numFmtId="0" fontId="0" fillId="7" borderId="1" xfId="0" applyFill="1" applyBorder="1"/>
    <xf numFmtId="0" fontId="1" fillId="6" borderId="1" xfId="0" applyFont="1" applyFill="1" applyBorder="1"/>
    <xf numFmtId="0" fontId="1" fillId="5" borderId="1" xfId="0" applyFont="1" applyFill="1" applyBorder="1" applyAlignment="1"/>
    <xf numFmtId="0" fontId="1" fillId="5" borderId="1" xfId="0" applyFont="1" applyFill="1" applyBorder="1" applyAlignment="1">
      <alignment horizontal="right"/>
    </xf>
    <xf numFmtId="0" fontId="2" fillId="6" borderId="1" xfId="0" applyFont="1" applyFill="1" applyBorder="1"/>
  </cellXfs>
  <cellStyles count="1">
    <cellStyle name="Normal" xfId="0" builtinId="0"/>
  </cellStyles>
  <dxfs count="8"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1" displayName="Table1" ref="A1:A4" totalsRowShown="0">
  <autoFilter ref="A1:A4"/>
  <tableColumns count="1">
    <tableColumn id="1" name="Grass St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7"/>
  <sheetViews>
    <sheetView tabSelected="1" zoomScale="120" zoomScaleNormal="120" workbookViewId="0">
      <pane xSplit="6" ySplit="12" topLeftCell="G13" activePane="bottomRight" state="frozen"/>
      <selection pane="topRight" activeCell="H1" sqref="H1"/>
      <selection pane="bottomLeft" activeCell="A12" sqref="A12"/>
      <selection pane="bottomRight" activeCell="U9" sqref="U9"/>
    </sheetView>
  </sheetViews>
  <sheetFormatPr defaultRowHeight="14.4" x14ac:dyDescent="0.3"/>
  <cols>
    <col min="1" max="1" width="13.77734375" style="4" customWidth="1"/>
    <col min="2" max="2" width="10.77734375" style="5" customWidth="1"/>
    <col min="3" max="6" width="10.77734375" style="6" customWidth="1"/>
    <col min="7" max="9" width="8.88671875" style="12"/>
    <col min="10" max="10" width="8.88671875" style="13"/>
    <col min="11" max="11" width="8.88671875" style="12"/>
    <col min="12" max="12" width="8.88671875" style="13"/>
    <col min="13" max="15" width="8.88671875" style="26"/>
    <col min="16" max="17" width="8.88671875" style="27"/>
    <col min="18" max="16384" width="8.88671875" style="8"/>
  </cols>
  <sheetData>
    <row r="1" spans="1:17" ht="18" x14ac:dyDescent="0.35">
      <c r="A1" s="19" t="s">
        <v>5</v>
      </c>
      <c r="B1" s="20"/>
      <c r="C1" s="21"/>
      <c r="D1" s="21"/>
      <c r="E1" s="21"/>
      <c r="F1" s="21"/>
      <c r="G1" s="11" t="s">
        <v>6</v>
      </c>
      <c r="M1" s="34" t="s">
        <v>22</v>
      </c>
    </row>
    <row r="2" spans="1:17" x14ac:dyDescent="0.3">
      <c r="A2" s="22"/>
      <c r="B2" s="20"/>
      <c r="C2" s="21"/>
      <c r="D2" s="21"/>
      <c r="E2" s="21"/>
      <c r="F2" s="21"/>
      <c r="G2" s="14" t="s">
        <v>7</v>
      </c>
      <c r="H2" s="7">
        <v>3</v>
      </c>
      <c r="I2" s="14" t="s">
        <v>14</v>
      </c>
      <c r="M2" s="31" t="s">
        <v>23</v>
      </c>
      <c r="N2" s="31" t="s">
        <v>32</v>
      </c>
    </row>
    <row r="3" spans="1:17" x14ac:dyDescent="0.3">
      <c r="A3" s="22"/>
      <c r="B3" s="20"/>
      <c r="C3" s="21"/>
      <c r="D3" s="21"/>
      <c r="E3" s="21"/>
      <c r="F3" s="21"/>
      <c r="G3" s="15"/>
      <c r="H3" s="33" t="s">
        <v>31</v>
      </c>
      <c r="I3" s="32" t="s">
        <v>32</v>
      </c>
      <c r="M3" s="30" t="s">
        <v>26</v>
      </c>
      <c r="N3" s="30">
        <v>4.5</v>
      </c>
    </row>
    <row r="4" spans="1:17" x14ac:dyDescent="0.3">
      <c r="A4" s="22"/>
      <c r="B4" s="20"/>
      <c r="C4" s="21"/>
      <c r="D4" s="21"/>
      <c r="E4" s="21"/>
      <c r="F4" s="21"/>
      <c r="G4" s="16" t="s">
        <v>15</v>
      </c>
      <c r="H4" s="10">
        <v>3</v>
      </c>
      <c r="I4" s="15">
        <f>IF(H4=4,20,IF(H4=3.5,14,IF(H4=3,12,IF(H4=2,8,IF(H4=1,4,0)))))</f>
        <v>12</v>
      </c>
      <c r="M4" s="31" t="s">
        <v>28</v>
      </c>
      <c r="N4" s="30">
        <v>90</v>
      </c>
    </row>
    <row r="5" spans="1:17" ht="28.8" x14ac:dyDescent="0.3">
      <c r="A5" s="22"/>
      <c r="B5" s="20"/>
      <c r="C5" s="21"/>
      <c r="D5" s="21"/>
      <c r="E5" s="21"/>
      <c r="F5" s="21"/>
      <c r="G5" s="16" t="s">
        <v>16</v>
      </c>
      <c r="H5" s="10">
        <v>3</v>
      </c>
      <c r="I5" s="15">
        <f>IF(H5=4,4,IF(H5=3.5,3.5,IF(H5=3,3,IF(H5=2,2,IF(H5=1,1,0)))))</f>
        <v>3</v>
      </c>
    </row>
    <row r="6" spans="1:17" x14ac:dyDescent="0.3">
      <c r="A6" s="22"/>
      <c r="B6" s="20"/>
      <c r="C6" s="21"/>
      <c r="D6" s="21"/>
      <c r="E6" s="21"/>
      <c r="F6" s="21"/>
      <c r="G6" s="16" t="s">
        <v>17</v>
      </c>
      <c r="H6" s="10">
        <v>2</v>
      </c>
      <c r="I6" s="15">
        <f>IF(H6=4,6,IF(H6=3.5,4,IF(H6=3,3,IF(H6=2,2,IF(H6=1,1,0)))))</f>
        <v>2</v>
      </c>
    </row>
    <row r="7" spans="1:17" x14ac:dyDescent="0.3">
      <c r="A7" s="22"/>
      <c r="B7" s="20"/>
      <c r="C7" s="21"/>
      <c r="D7" s="21"/>
      <c r="E7" s="21"/>
      <c r="F7" s="21"/>
      <c r="G7" s="16" t="s">
        <v>18</v>
      </c>
      <c r="H7" s="10">
        <v>1</v>
      </c>
      <c r="I7" s="15">
        <f>IF(H7=4,7,IF(H7=3.5,6,IF(H7=3,5,IF(H7=2,2,IF(H7=1,1,0)))))</f>
        <v>1</v>
      </c>
    </row>
    <row r="8" spans="1:17" x14ac:dyDescent="0.3">
      <c r="A8" s="22"/>
      <c r="B8" s="20"/>
      <c r="C8" s="21"/>
      <c r="D8" s="21"/>
      <c r="E8" s="21"/>
      <c r="F8" s="21"/>
      <c r="G8" s="16"/>
      <c r="H8" s="32" t="s">
        <v>19</v>
      </c>
      <c r="I8" s="15"/>
    </row>
    <row r="9" spans="1:17" ht="28.8" x14ac:dyDescent="0.3">
      <c r="A9" s="22"/>
      <c r="B9" s="20"/>
      <c r="C9" s="21"/>
      <c r="D9" s="21"/>
      <c r="E9" s="21"/>
      <c r="F9" s="21"/>
      <c r="G9" s="16" t="s">
        <v>16</v>
      </c>
      <c r="H9" s="7">
        <v>25</v>
      </c>
      <c r="I9" s="14" t="s">
        <v>20</v>
      </c>
    </row>
    <row r="10" spans="1:17" x14ac:dyDescent="0.3">
      <c r="A10" s="22"/>
      <c r="B10" s="20"/>
      <c r="C10" s="21"/>
      <c r="D10" s="21"/>
      <c r="E10" s="21"/>
      <c r="F10" s="21"/>
      <c r="G10" s="16" t="s">
        <v>17</v>
      </c>
      <c r="H10" s="7">
        <v>0.8</v>
      </c>
      <c r="I10" s="14" t="s">
        <v>21</v>
      </c>
    </row>
    <row r="11" spans="1:17" x14ac:dyDescent="0.3">
      <c r="A11" s="22"/>
      <c r="B11" s="20"/>
      <c r="C11" s="21"/>
      <c r="D11" s="21"/>
      <c r="E11" s="21"/>
      <c r="F11" s="21"/>
    </row>
    <row r="12" spans="1:17" s="9" customFormat="1" ht="57.6" x14ac:dyDescent="0.3">
      <c r="A12" s="23" t="s">
        <v>0</v>
      </c>
      <c r="B12" s="24" t="s">
        <v>8</v>
      </c>
      <c r="C12" s="25" t="s">
        <v>1</v>
      </c>
      <c r="D12" s="25" t="s">
        <v>2</v>
      </c>
      <c r="E12" s="25" t="s">
        <v>3</v>
      </c>
      <c r="F12" s="25" t="s">
        <v>4</v>
      </c>
      <c r="G12" s="17" t="s">
        <v>30</v>
      </c>
      <c r="H12" s="17" t="s">
        <v>9</v>
      </c>
      <c r="I12" s="17" t="s">
        <v>10</v>
      </c>
      <c r="J12" s="18" t="s">
        <v>11</v>
      </c>
      <c r="K12" s="17" t="s">
        <v>12</v>
      </c>
      <c r="L12" s="18" t="s">
        <v>13</v>
      </c>
      <c r="M12" s="28" t="s">
        <v>29</v>
      </c>
      <c r="N12" s="28" t="s">
        <v>9</v>
      </c>
      <c r="O12" s="28" t="s">
        <v>10</v>
      </c>
      <c r="P12" s="29" t="s">
        <v>11</v>
      </c>
      <c r="Q12" s="29" t="s">
        <v>13</v>
      </c>
    </row>
    <row r="13" spans="1:17" x14ac:dyDescent="0.3">
      <c r="A13" s="4">
        <v>44180</v>
      </c>
      <c r="B13" s="5">
        <v>0.25</v>
      </c>
      <c r="C13" s="6">
        <v>20</v>
      </c>
      <c r="D13" s="6">
        <v>60</v>
      </c>
      <c r="E13" s="6">
        <v>5</v>
      </c>
      <c r="F13" s="6">
        <v>8</v>
      </c>
      <c r="G13" s="12">
        <f t="shared" ref="G13:G17" si="0">fbi(I13,$G$1)</f>
        <v>4</v>
      </c>
      <c r="H13" s="12">
        <f>ROS_Forest_AFDRS(E13,L13,WAF)</f>
        <v>11</v>
      </c>
      <c r="I13" s="12">
        <f>Intensity_forest_AFDRS(H13,F13,J13)</f>
        <v>59</v>
      </c>
      <c r="J13" s="13">
        <f>Flame_Height_AFDRS(H13)</f>
        <v>0.19508630037307739</v>
      </c>
      <c r="K13" s="12">
        <f>Spotting_Dist(H13,E13)</f>
        <v>23195</v>
      </c>
      <c r="L13" s="13">
        <f>FMC_Forest(C13,D13,A13,B13)</f>
        <v>13.994000434875488</v>
      </c>
      <c r="M13" s="26">
        <f>fbi(O13,$M$1)</f>
        <v>7</v>
      </c>
      <c r="N13" s="26">
        <f>ROS_Grass_AFDRS(E13,L13,curing,state_grass)</f>
        <v>194</v>
      </c>
      <c r="O13" s="26">
        <f>Intensity_AFDRS(N13,fl_grass)</f>
        <v>451</v>
      </c>
      <c r="P13" s="27">
        <f>Flame_H_Grass(N13)</f>
        <v>0.47316247224807739</v>
      </c>
      <c r="Q13" s="27">
        <f>FMC_Grass(C13,D13)</f>
        <v>13.760000228881836</v>
      </c>
    </row>
    <row r="14" spans="1:17" x14ac:dyDescent="0.3">
      <c r="A14" s="4">
        <v>44180</v>
      </c>
      <c r="B14" s="5">
        <v>0.375</v>
      </c>
      <c r="C14" s="6">
        <v>25</v>
      </c>
      <c r="D14" s="6">
        <v>40</v>
      </c>
      <c r="E14" s="6">
        <v>20</v>
      </c>
      <c r="F14" s="6">
        <v>9</v>
      </c>
      <c r="G14" s="12">
        <f t="shared" si="0"/>
        <v>22</v>
      </c>
      <c r="H14" s="12">
        <f>ROS_Forest_AFDRS(E14,L14,WAF)</f>
        <v>481</v>
      </c>
      <c r="I14" s="12">
        <f t="shared" ref="I14:I17" si="1">Intensity_forest_AFDRS(H14,F14,J14)</f>
        <v>3355</v>
      </c>
      <c r="J14" s="13">
        <f t="shared" ref="J14:J17" si="2">Flame_Height_AFDRS(H14)</f>
        <v>2.9956479072570801</v>
      </c>
      <c r="K14" s="12">
        <f t="shared" ref="K14:K17" si="3">Spotting_Dist(H14,E14)</f>
        <v>2863</v>
      </c>
      <c r="L14" s="13">
        <f t="shared" ref="L14:L17" si="4">FMC_Forest(C14,D14,A14,B14)</f>
        <v>9.2349996566772461</v>
      </c>
      <c r="M14" s="26">
        <f t="shared" ref="M14:M17" si="5">fbi(O14,$M$1)</f>
        <v>19</v>
      </c>
      <c r="N14" s="26">
        <f>ROS_Grass_AFDRS(E14,L14,curing,state_grass)</f>
        <v>2785</v>
      </c>
      <c r="O14" s="26">
        <f>Intensity_AFDRS(N14,fl_grass)</f>
        <v>6475</v>
      </c>
      <c r="P14" s="27">
        <f t="shared" ref="P14:P17" si="6">Flame_H_Grass(N14)</f>
        <v>1.0383224487304688</v>
      </c>
      <c r="Q14" s="27">
        <f t="shared" ref="Q14:Q17" si="7">FMC_Grass(C14,D14)</f>
        <v>9.9750003814697266</v>
      </c>
    </row>
    <row r="15" spans="1:17" x14ac:dyDescent="0.3">
      <c r="A15" s="4">
        <v>44180</v>
      </c>
      <c r="B15" s="5">
        <v>0.5</v>
      </c>
      <c r="C15" s="6">
        <v>25</v>
      </c>
      <c r="D15" s="6">
        <v>30</v>
      </c>
      <c r="E15" s="6">
        <v>25</v>
      </c>
      <c r="F15" s="6">
        <v>10</v>
      </c>
      <c r="G15" s="12">
        <f t="shared" si="0"/>
        <v>46</v>
      </c>
      <c r="H15" s="12">
        <f>ROS_Forest_AFDRS(E15,L15,WAF)</f>
        <v>1159</v>
      </c>
      <c r="I15" s="12">
        <f t="shared" si="1"/>
        <v>8982</v>
      </c>
      <c r="J15" s="13">
        <f t="shared" si="2"/>
        <v>5.6575994491577148</v>
      </c>
      <c r="K15" s="12">
        <f t="shared" si="3"/>
        <v>2971</v>
      </c>
      <c r="L15" s="13">
        <f t="shared" si="4"/>
        <v>6.0124998092651367</v>
      </c>
      <c r="M15" s="26">
        <f t="shared" si="5"/>
        <v>32</v>
      </c>
      <c r="N15" s="26">
        <f>ROS_Grass_AFDRS(E15,L15,curing,state_grass)</f>
        <v>4931</v>
      </c>
      <c r="O15" s="26">
        <f>Intensity_AFDRS(N15,fl_grass)</f>
        <v>11465</v>
      </c>
      <c r="P15" s="27">
        <f t="shared" si="6"/>
        <v>1.2289228439331055</v>
      </c>
      <c r="Q15" s="27">
        <f t="shared" si="7"/>
        <v>8.5950002670288086</v>
      </c>
    </row>
    <row r="16" spans="1:17" x14ac:dyDescent="0.3">
      <c r="A16" s="4">
        <v>44180</v>
      </c>
      <c r="B16" s="5">
        <v>0.625</v>
      </c>
      <c r="C16" s="6">
        <v>35</v>
      </c>
      <c r="D16" s="6">
        <v>5</v>
      </c>
      <c r="E16" s="6">
        <v>50</v>
      </c>
      <c r="F16" s="6">
        <v>10</v>
      </c>
      <c r="G16" s="12">
        <f t="shared" si="0"/>
        <v>104</v>
      </c>
      <c r="H16" s="12">
        <f>ROS_Forest_AFDRS(E16,L16,WAF)</f>
        <v>4207</v>
      </c>
      <c r="I16" s="12">
        <f t="shared" si="1"/>
        <v>32604</v>
      </c>
      <c r="J16" s="13">
        <f t="shared" si="2"/>
        <v>14.369179725646973</v>
      </c>
      <c r="K16" s="12">
        <f t="shared" si="3"/>
        <v>3007</v>
      </c>
      <c r="L16" s="13">
        <f t="shared" si="4"/>
        <v>2.7255001068115234</v>
      </c>
      <c r="M16" s="26">
        <f t="shared" si="5"/>
        <v>109</v>
      </c>
      <c r="N16" s="26">
        <f>ROS_Grass_AFDRS(E16,L16,curing,state_grass)</f>
        <v>13362</v>
      </c>
      <c r="O16" s="26">
        <f>Intensity_AFDRS(N16,fl_grass)</f>
        <v>31067</v>
      </c>
      <c r="P16" s="27">
        <f t="shared" si="6"/>
        <v>1.6490767002105713</v>
      </c>
      <c r="Q16" s="27">
        <f t="shared" si="7"/>
        <v>3.0950000286102295</v>
      </c>
    </row>
    <row r="17" spans="1:17" x14ac:dyDescent="0.3">
      <c r="A17" s="4">
        <v>44180</v>
      </c>
      <c r="B17" s="5">
        <v>0.75</v>
      </c>
      <c r="C17" s="6">
        <v>30</v>
      </c>
      <c r="D17" s="6">
        <v>10</v>
      </c>
      <c r="E17" s="6">
        <v>40</v>
      </c>
      <c r="F17" s="6">
        <v>10</v>
      </c>
      <c r="G17" s="12">
        <f t="shared" si="0"/>
        <v>91</v>
      </c>
      <c r="H17" s="12">
        <f>ROS_Forest_AFDRS(E17,L17,WAF)</f>
        <v>3403</v>
      </c>
      <c r="I17" s="12">
        <f t="shared" si="1"/>
        <v>26373</v>
      </c>
      <c r="J17" s="13">
        <f t="shared" si="2"/>
        <v>12.326394081115723</v>
      </c>
      <c r="K17" s="12">
        <f t="shared" si="3"/>
        <v>3005</v>
      </c>
      <c r="L17" s="13">
        <f t="shared" si="4"/>
        <v>3.940000057220459</v>
      </c>
      <c r="M17" s="26">
        <f t="shared" si="5"/>
        <v>77</v>
      </c>
      <c r="N17" s="26">
        <f>ROS_Grass_AFDRS(E17,L17,curing,state_grass)</f>
        <v>9252</v>
      </c>
      <c r="O17" s="26">
        <f>Intensity_AFDRS(N17,fl_grass)</f>
        <v>21511</v>
      </c>
      <c r="P17" s="27">
        <f t="shared" si="6"/>
        <v>1.4796135425567627</v>
      </c>
      <c r="Q17" s="27">
        <f t="shared" si="7"/>
        <v>4.809999942779541</v>
      </c>
    </row>
  </sheetData>
  <conditionalFormatting sqref="M13:M17">
    <cfRule type="expression" dxfId="1" priority="4">
      <formula>$M13&gt;=12</formula>
    </cfRule>
    <cfRule type="expression" dxfId="2" priority="3">
      <formula>$M13&gt;=24</formula>
    </cfRule>
    <cfRule type="expression" dxfId="3" priority="2">
      <formula>$M13&gt;=50</formula>
    </cfRule>
    <cfRule type="expression" dxfId="0" priority="1">
      <formula>$M13&gt;=100</formula>
    </cfRule>
  </conditionalFormatting>
  <conditionalFormatting sqref="G13:G17">
    <cfRule type="expression" dxfId="7" priority="5">
      <formula>$G13&gt;=100</formula>
    </cfRule>
    <cfRule type="expression" dxfId="6" priority="6">
      <formula>$G13&gt;50</formula>
    </cfRule>
    <cfRule type="expression" dxfId="5" priority="7">
      <formula>$G13&gt;=24</formula>
    </cfRule>
    <cfRule type="expression" dxfId="4" priority="8">
      <formula>$G13&gt;=12</formula>
    </cfRule>
  </conditionalFormatting>
  <dataValidations count="3">
    <dataValidation type="decimal" allowBlank="1" showInputMessage="1" showErrorMessage="1" errorTitle="Invalid Curing %" error="Choose a value between 0 and 100" promptTitle="Curing (%)" prompt="select a value betwen 0 and 100" sqref="N4:P4">
      <formula1>0</formula1>
      <formula2>100</formula2>
    </dataValidation>
    <dataValidation type="decimal" errorStyle="warning" allowBlank="1" showInputMessage="1" showErrorMessage="1" errorTitle="Invalid" promptTitle="WAF" prompt="Entera number between 1 and 6. The default for dry sclerophyll is 3" sqref="H2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H4:H7">
      <formula1>0</formula1>
      <formula2>4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please select a valid grass stat" promptTitle="Grass State" prompt="natural: fuel load ≥ 6 t/ha_x000a_grazed: fuel load between 3 and 6 t/ha_x000a_eaten-out: fuel load &lt; 3 t/ha">
          <x14:formula1>
            <xm:f>'List tables'!$A$2:$A$4</xm:f>
          </x14:formula1>
          <xm:sqref>O2:P2 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4"/>
  <sheetViews>
    <sheetView workbookViewId="0">
      <selection activeCell="D14" sqref="D14"/>
    </sheetView>
  </sheetViews>
  <sheetFormatPr defaultRowHeight="14.4" x14ac:dyDescent="0.3"/>
  <cols>
    <col min="1" max="1" width="12.109375" customWidth="1"/>
  </cols>
  <sheetData>
    <row r="1" spans="1:1" x14ac:dyDescent="0.3">
      <c r="A1" t="s">
        <v>24</v>
      </c>
    </row>
    <row r="2" spans="1:1" x14ac:dyDescent="0.3">
      <c r="A2" t="s">
        <v>25</v>
      </c>
    </row>
    <row r="3" spans="1:1" x14ac:dyDescent="0.3">
      <c r="A3" t="s">
        <v>26</v>
      </c>
    </row>
    <row r="4" spans="1:1" x14ac:dyDescent="0.3">
      <c r="A4" t="s">
        <v>27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workbookViewId="0">
      <selection activeCell="A5" sqref="A5"/>
    </sheetView>
  </sheetViews>
  <sheetFormatPr defaultRowHeight="14.4" x14ac:dyDescent="0.3"/>
  <cols>
    <col min="1" max="1" width="10.5546875" bestFit="1" customWidth="1"/>
    <col min="3" max="3" width="10.5546875" bestFit="1" customWidth="1"/>
  </cols>
  <sheetData>
    <row r="1" spans="1:3" x14ac:dyDescent="0.3">
      <c r="A1">
        <v>42</v>
      </c>
      <c r="B1" t="e">
        <f ca="1">FMC_AFDRS(A1,A2,A3,A4)</f>
        <v>#NAME?</v>
      </c>
      <c r="C1" s="3"/>
    </row>
    <row r="2" spans="1:3" x14ac:dyDescent="0.3">
      <c r="A2">
        <v>20</v>
      </c>
      <c r="C2" s="3"/>
    </row>
    <row r="3" spans="1:3" x14ac:dyDescent="0.3">
      <c r="A3" s="1">
        <v>43689</v>
      </c>
    </row>
    <row r="4" spans="1:3" x14ac:dyDescent="0.3">
      <c r="A4" s="2">
        <v>0.875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AFDRS</vt:lpstr>
      <vt:lpstr>List tables</vt:lpstr>
      <vt:lpstr>test</vt:lpstr>
      <vt:lpstr>curing</vt:lpstr>
      <vt:lpstr>FBI_forest</vt:lpstr>
      <vt:lpstr>fh_e</vt:lpstr>
      <vt:lpstr>fh_ns</vt:lpstr>
      <vt:lpstr>fhs_ns</vt:lpstr>
      <vt:lpstr>fhs_s</vt:lpstr>
      <vt:lpstr>fl_b</vt:lpstr>
      <vt:lpstr>fl_e</vt:lpstr>
      <vt:lpstr>fl_grass</vt:lpstr>
      <vt:lpstr>fl_ns</vt:lpstr>
      <vt:lpstr>fl_s</vt:lpstr>
      <vt:lpstr>state_grass</vt:lpstr>
      <vt:lpstr>WAF</vt:lpstr>
      <vt:lpstr>weather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2022-09-08T11:00:34Z</dcterms:modified>
</cp:coreProperties>
</file>