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AFDRS" sheetId="1" r:id="rId1"/>
    <sheet name="test" sheetId="2" r:id="rId2"/>
  </sheets>
  <functionGroups builtInGroupCount="18"/>
  <definedNames>
    <definedName name="FBI_forest">AFDRS!$G$13:$G$1048576</definedName>
    <definedName name="fh_e">AFDRS!$H$10</definedName>
    <definedName name="fh_ns">AFDRS!$H$9</definedName>
    <definedName name="fhs_ns">AFDRS!$H$5</definedName>
    <definedName name="fhs_s">AFDRS!$H$4</definedName>
    <definedName name="fl_b">AFDRS!$I$7</definedName>
    <definedName name="fl_e">AFDRS!$I$6</definedName>
    <definedName name="fl_ns">AFDRS!$I$5</definedName>
    <definedName name="fl_s">AFDRS!$I$4</definedName>
    <definedName name="WAF">AFDRS!$H$2</definedName>
    <definedName name="weather">AFDRS!$A$13:$F$1048576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L15" i="1"/>
  <c r="H16" i="1"/>
  <c r="J16" i="1" s="1"/>
  <c r="L17" i="1"/>
  <c r="H17" i="1" s="1"/>
  <c r="J17" i="1" s="1"/>
  <c r="I17" i="1" s="1"/>
  <c r="G17" i="1" s="1"/>
  <c r="I16" i="1"/>
  <c r="G16" i="1" s="1"/>
  <c r="K16" i="1"/>
  <c r="L14" i="1"/>
  <c r="H14" i="1" s="1"/>
  <c r="K17" i="1"/>
  <c r="H15" i="1"/>
  <c r="K14" i="1"/>
  <c r="J14" i="1"/>
  <c r="I14" i="1" s="1"/>
  <c r="G14" i="1" s="1"/>
  <c r="K15" i="1"/>
  <c r="J15" i="1"/>
  <c r="I15" i="1" s="1"/>
  <c r="G15" i="1" s="1"/>
  <c r="I7" i="1" l="1"/>
  <c r="I6" i="1"/>
  <c r="I5" i="1"/>
  <c r="I4" i="1"/>
  <c r="L13" i="1"/>
  <c r="B1" i="2"/>
  <c r="H13" i="1"/>
  <c r="K13" i="1" s="1"/>
  <c r="J13" i="1"/>
  <c r="I13" i="1" s="1"/>
  <c r="G13" i="1" s="1"/>
</calcChain>
</file>

<file path=xl/sharedStrings.xml><?xml version="1.0" encoding="utf-8"?>
<sst xmlns="http://schemas.openxmlformats.org/spreadsheetml/2006/main" count="28" uniqueCount="26">
  <si>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</si>
  <si>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</si>
  <si>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</si>
  <si>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</si>
  <si>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</si>
  <si>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</si>
  <si>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</si>
  <si>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</si>
  <si>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</si>
  <si>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</si>
  <si>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</si>
  <si>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</si>
  <si>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</si>
  <si>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</si>
  <si>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</si>
  <si>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Hazard Score</t>
  </si>
  <si>
    <t>Fine Fuel Load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</si>
  <si>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</si>
  <si>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</si>
  <si>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</si>
  <si>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</si>
  <si>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</si>
  <si>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</si>
  <si>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</si>
  <si>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</si>
  <si>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FBI forest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</si>
</sst>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6" formatCode="dd\-mm\-yyyy"/>
    <numFmt numFmtId="167" formatCode="hh:mm"/>
    <numFmt numFmtId="168" formatCode="[$-F400]h:mm:ss\ AM/PM"/>
    <numFmt numFmtId="169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20" fontId="0" fillId="0" borderId="0" xfId="0" applyNumberFormat="1"/>
    <xf numFmtId="168" fontId="0" fillId="0" borderId="0" xfId="0" applyNumberFormat="1"/>
    <xf numFmtId="166" fontId="0" fillId="3" borderId="1" xfId="0" applyNumberFormat="1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1" fillId="0" borderId="1" xfId="0" applyFont="1" applyBorder="1" applyAlignment="1">
      <alignment horizontal="center" wrapText="1"/>
    </xf>
    <xf numFmtId="0" fontId="0" fillId="4" borderId="1" xfId="0" applyFill="1" applyBorder="1" applyAlignment="1">
      <alignment wrapText="1"/>
    </xf>
    <xf numFmtId="0" fontId="2" fillId="5" borderId="1" xfId="0" applyFont="1" applyFill="1" applyBorder="1"/>
    <xf numFmtId="0" fontId="0" fillId="5" borderId="1" xfId="0" applyFill="1" applyBorder="1"/>
    <xf numFmtId="169" fontId="0" fillId="5" borderId="1" xfId="0" applyNumberFormat="1" applyFill="1" applyBorder="1"/>
    <xf numFmtId="0" fontId="1" fillId="5" borderId="1" xfId="0" applyFont="1" applyFill="1" applyBorder="1"/>
    <xf numFmtId="0" fontId="0" fillId="5" borderId="1" xfId="0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5" borderId="1" xfId="0" applyFont="1" applyFill="1" applyBorder="1" applyAlignment="1">
      <alignment horizontal="center" wrapText="1"/>
    </xf>
    <xf numFmtId="169" fontId="1" fillId="5" borderId="1" xfId="0" applyNumberFormat="1" applyFont="1" applyFill="1" applyBorder="1" applyAlignment="1">
      <alignment horizontal="center" wrapText="1"/>
    </xf>
    <xf numFmtId="166" fontId="2" fillId="2" borderId="1" xfId="0" applyNumberFormat="1" applyFont="1" applyFill="1" applyBorder="1"/>
    <xf numFmtId="167" fontId="0" fillId="2" borderId="1" xfId="0" applyNumberFormat="1" applyFill="1" applyBorder="1"/>
    <xf numFmtId="0" fontId="0" fillId="2" borderId="1" xfId="0" applyFill="1" applyBorder="1"/>
    <xf numFmtId="166" fontId="0" fillId="2" borderId="1" xfId="0" applyNumberFormat="1" applyFill="1" applyBorder="1"/>
    <xf numFmtId="166" fontId="1" fillId="2" borderId="1" xfId="0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12"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"/>
  <sheetViews>
    <sheetView tabSelected="1" zoomScale="120" zoomScaleNormal="120" workbookViewId="0">
      <pane xSplit="6" ySplit="12" topLeftCell="G13" activePane="bottomRight" state="frozen"/>
      <selection pane="topRight" activeCell="H1" sqref="H1"/>
      <selection pane="bottomLeft" activeCell="A12" sqref="A12"/>
      <selection pane="bottomRight" activeCell="E23" sqref="E23"/>
    </sheetView>
  </sheetViews>
  <sheetFormatPr defaultRowHeight="14.4" x14ac:dyDescent="0.3"/>
  <cols>
    <col min="1" max="1" width="13.77734375" style="4" customWidth="1"/>
    <col min="2" max="2" width="10.77734375" style="5" customWidth="1"/>
    <col min="3" max="6" width="10.77734375" style="6" customWidth="1"/>
    <col min="7" max="9" width="8.88671875" style="12"/>
    <col min="10" max="10" width="8.88671875" style="13"/>
    <col min="11" max="11" width="8.88671875" style="12"/>
    <col min="12" max="12" width="8.88671875" style="13"/>
    <col min="13" max="16384" width="8.88671875" style="8"/>
  </cols>
  <sheetData>
    <row r="1" spans="1:13" ht="18" x14ac:dyDescent="0.35">
      <c r="A1" s="19" t="s">
        <v>5</v>
      </c>
      <c r="B1" s="20"/>
      <c r="C1" s="21"/>
      <c r="D1" s="21"/>
      <c r="E1" s="21"/>
      <c r="F1" s="21"/>
      <c r="G1" s="11" t="s">
        <v>6</v>
      </c>
      <c r="M1" s="8" t="s">
        <v>24</v>
      </c>
    </row>
    <row r="2" spans="1:13" x14ac:dyDescent="0.3">
      <c r="A2" s="22"/>
      <c r="B2" s="20"/>
      <c r="C2" s="21"/>
      <c r="D2" s="21"/>
      <c r="E2" s="21"/>
      <c r="F2" s="21"/>
      <c r="G2" s="14" t="s">
        <v>7</v>
      </c>
      <c r="H2" s="7">
        <v>3</v>
      </c>
      <c r="I2" s="14" t="s">
        <v>14</v>
      </c>
    </row>
    <row r="3" spans="1:13" ht="28.8" x14ac:dyDescent="0.3">
      <c r="A3" s="22"/>
      <c r="B3" s="20"/>
      <c r="C3" s="21"/>
      <c r="D3" s="21"/>
      <c r="E3" s="21"/>
      <c r="F3" s="21"/>
      <c r="G3" s="15"/>
      <c r="H3" s="16" t="s">
        <v>15</v>
      </c>
      <c r="I3" s="16" t="s">
        <v>16</v>
      </c>
    </row>
    <row r="4" spans="1:13" x14ac:dyDescent="0.3">
      <c r="A4" s="22"/>
      <c r="B4" s="20"/>
      <c r="C4" s="21"/>
      <c r="D4" s="21"/>
      <c r="E4" s="21"/>
      <c r="F4" s="21"/>
      <c r="G4" s="16" t="s">
        <v>17</v>
      </c>
      <c r="H4" s="10">
        <v>3</v>
      </c>
      <c r="I4" s="15">
        <f>IF(H4=4,20,IF(H4=3.5,14,IF(H4=3,12,IF(H4=2,8,IF(H4=1,4,0)))))</f>
        <v>12</v>
      </c>
    </row>
    <row r="5" spans="1:13" ht="28.8" x14ac:dyDescent="0.3">
      <c r="A5" s="22"/>
      <c r="B5" s="20"/>
      <c r="C5" s="21"/>
      <c r="D5" s="21"/>
      <c r="E5" s="21"/>
      <c r="F5" s="21"/>
      <c r="G5" s="16" t="s">
        <v>18</v>
      </c>
      <c r="H5" s="10">
        <v>3</v>
      </c>
      <c r="I5" s="15">
        <f>IF(H5=4,4,IF(H5=3.5,3.5,IF(H5=3,3,IF(H5=2,2,IF(H5=1,1,0)))))</f>
        <v>3</v>
      </c>
    </row>
    <row r="6" spans="1:13" x14ac:dyDescent="0.3">
      <c r="A6" s="22"/>
      <c r="B6" s="20"/>
      <c r="C6" s="21"/>
      <c r="D6" s="21"/>
      <c r="E6" s="21"/>
      <c r="F6" s="21"/>
      <c r="G6" s="16" t="s">
        <v>19</v>
      </c>
      <c r="H6" s="10">
        <v>2</v>
      </c>
      <c r="I6" s="15">
        <f>IF(H6=4,6,IF(H6=3.5,4,IF(H6=3,3,IF(H6=2,2,IF(H6=1,1,0)))))</f>
        <v>2</v>
      </c>
    </row>
    <row r="7" spans="1:13" x14ac:dyDescent="0.3">
      <c r="A7" s="22"/>
      <c r="B7" s="20"/>
      <c r="C7" s="21"/>
      <c r="D7" s="21"/>
      <c r="E7" s="21"/>
      <c r="F7" s="21"/>
      <c r="G7" s="16" t="s">
        <v>20</v>
      </c>
      <c r="H7" s="10">
        <v>1</v>
      </c>
      <c r="I7" s="15">
        <f>IF(H7=4,7,IF(H7=3.5,6,IF(H7=3,5,IF(H7=2,2,IF(H7=1,1,0)))))</f>
        <v>1</v>
      </c>
    </row>
    <row r="8" spans="1:13" ht="28.8" x14ac:dyDescent="0.3">
      <c r="A8" s="22"/>
      <c r="B8" s="20"/>
      <c r="C8" s="21"/>
      <c r="D8" s="21"/>
      <c r="E8" s="21"/>
      <c r="F8" s="21"/>
      <c r="G8" s="16"/>
      <c r="H8" s="16" t="s">
        <v>21</v>
      </c>
      <c r="I8" s="15"/>
    </row>
    <row r="9" spans="1:13" ht="28.8" x14ac:dyDescent="0.3">
      <c r="A9" s="22"/>
      <c r="B9" s="20"/>
      <c r="C9" s="21"/>
      <c r="D9" s="21"/>
      <c r="E9" s="21"/>
      <c r="F9" s="21"/>
      <c r="G9" s="16" t="s">
        <v>18</v>
      </c>
      <c r="H9" s="7">
        <v>25</v>
      </c>
      <c r="I9" s="14" t="s">
        <v>22</v>
      </c>
    </row>
    <row r="10" spans="1:13" x14ac:dyDescent="0.3">
      <c r="A10" s="22"/>
      <c r="B10" s="20"/>
      <c r="C10" s="21"/>
      <c r="D10" s="21"/>
      <c r="E10" s="21"/>
      <c r="F10" s="21"/>
      <c r="G10" s="16" t="s">
        <v>19</v>
      </c>
      <c r="H10" s="7">
        <v>0.8</v>
      </c>
      <c r="I10" s="14" t="s">
        <v>23</v>
      </c>
    </row>
    <row r="11" spans="1:13" x14ac:dyDescent="0.3">
      <c r="A11" s="22"/>
      <c r="B11" s="20"/>
      <c r="C11" s="21"/>
      <c r="D11" s="21"/>
      <c r="E11" s="21"/>
      <c r="F11" s="21"/>
    </row>
    <row r="12" spans="1:13" s="9" customFormat="1" ht="57.6" x14ac:dyDescent="0.3">
      <c r="A12" s="23" t="s">
        <v>0</v>
      </c>
      <c r="B12" s="24" t="s">
        <v>8</v>
      </c>
      <c r="C12" s="25" t="s">
        <v>1</v>
      </c>
      <c r="D12" s="25" t="s">
        <v>2</v>
      </c>
      <c r="E12" s="25" t="s">
        <v>3</v>
      </c>
      <c r="F12" s="25" t="s">
        <v>4</v>
      </c>
      <c r="G12" s="17" t="s">
        <v>25</v>
      </c>
      <c r="H12" s="17" t="s">
        <v>9</v>
      </c>
      <c r="I12" s="17" t="s">
        <v>10</v>
      </c>
      <c r="J12" s="18" t="s">
        <v>11</v>
      </c>
      <c r="K12" s="17" t="s">
        <v>12</v>
      </c>
      <c r="L12" s="18" t="s">
        <v>13</v>
      </c>
      <c r="M12" s="8"/>
    </row>
    <row r="13" spans="1:13" x14ac:dyDescent="0.3">
      <c r="A13" s="4">
        <v>44180</v>
      </c>
      <c r="B13" s="5">
        <v>0.25</v>
      </c>
      <c r="C13" s="6">
        <v>20</v>
      </c>
      <c r="D13" s="6">
        <v>60</v>
      </c>
      <c r="E13" s="6">
        <v>5</v>
      </c>
      <c r="F13" s="6">
        <v>8</v>
      </c>
      <c r="G13" s="12">
        <f>fbi(I13,$G$1)</f>
        <v>4</v>
      </c>
      <c r="H13" s="12">
        <f>ROS_Forest_AFDRS(E13,L13,WAF)</f>
        <v>11</v>
      </c>
      <c r="I13" s="12">
        <f>Intensity_AFDRS(H13,F13,J13)</f>
        <v>59</v>
      </c>
      <c r="J13" s="13">
        <f>Flame_Height_AFDRS(H13)</f>
        <v>0.19508630037307739</v>
      </c>
      <c r="K13" s="12">
        <f>Spotting_Dist(H13,E13)</f>
        <v>23195</v>
      </c>
      <c r="L13" s="13">
        <f>FMC_AFDRS(C13,D13,A13,B13)</f>
        <v>13.994000434875488</v>
      </c>
    </row>
    <row r="14" spans="1:13" x14ac:dyDescent="0.3">
      <c r="A14" s="4">
        <v>44180</v>
      </c>
      <c r="B14" s="5">
        <v>0.375</v>
      </c>
      <c r="C14" s="6">
        <v>25</v>
      </c>
      <c r="D14" s="6">
        <v>40</v>
      </c>
      <c r="E14" s="6">
        <v>20</v>
      </c>
      <c r="F14" s="6">
        <v>9</v>
      </c>
      <c r="G14" s="12">
        <f t="shared" ref="G14:G17" si="0">fbi(I14,$G$1)</f>
        <v>22</v>
      </c>
      <c r="H14" s="12">
        <f>ROS_Forest_AFDRS(E14,L14,WAF)</f>
        <v>481</v>
      </c>
      <c r="I14" s="12">
        <f t="shared" ref="I14:I17" si="1">Intensity_AFDRS(H14,F14,J14)</f>
        <v>3355</v>
      </c>
      <c r="J14" s="13">
        <f t="shared" ref="J14:J17" si="2">Flame_Height_AFDRS(H14)</f>
        <v>2.9956479072570801</v>
      </c>
      <c r="K14" s="12">
        <f t="shared" ref="K14:K17" si="3">Spotting_Dist(H14,E14)</f>
        <v>2863</v>
      </c>
      <c r="L14" s="13">
        <f t="shared" ref="L14:L17" si="4">FMC_AFDRS(C14,D14,A14,B14)</f>
        <v>9.2349996566772461</v>
      </c>
    </row>
    <row r="15" spans="1:13" x14ac:dyDescent="0.3">
      <c r="A15" s="4">
        <v>44180</v>
      </c>
      <c r="B15" s="5">
        <v>0.5</v>
      </c>
      <c r="C15" s="6">
        <v>30</v>
      </c>
      <c r="D15" s="6">
        <v>30</v>
      </c>
      <c r="E15" s="6">
        <v>20</v>
      </c>
      <c r="F15" s="6">
        <v>10</v>
      </c>
      <c r="G15" s="12">
        <f t="shared" si="0"/>
        <v>38</v>
      </c>
      <c r="H15" s="12">
        <f>ROS_Forest_AFDRS(E15,L15,WAF)</f>
        <v>936</v>
      </c>
      <c r="I15" s="12">
        <f t="shared" si="1"/>
        <v>7254</v>
      </c>
      <c r="J15" s="13">
        <f t="shared" si="2"/>
        <v>4.8476614952087402</v>
      </c>
      <c r="K15" s="12">
        <f t="shared" si="3"/>
        <v>2959</v>
      </c>
      <c r="L15" s="13">
        <f t="shared" si="4"/>
        <v>5.9190001487731934</v>
      </c>
    </row>
    <row r="16" spans="1:13" x14ac:dyDescent="0.3">
      <c r="A16" s="4">
        <v>44180</v>
      </c>
      <c r="B16" s="5">
        <v>0.625</v>
      </c>
      <c r="C16" s="6">
        <v>35</v>
      </c>
      <c r="D16" s="6">
        <v>5</v>
      </c>
      <c r="E16" s="6">
        <v>50</v>
      </c>
      <c r="F16" s="6">
        <v>10</v>
      </c>
      <c r="G16" s="12">
        <f t="shared" si="0"/>
        <v>104</v>
      </c>
      <c r="H16" s="12">
        <f>ROS_Forest_AFDRS(E16,L16,WAF)</f>
        <v>4207</v>
      </c>
      <c r="I16" s="12">
        <f t="shared" si="1"/>
        <v>32604</v>
      </c>
      <c r="J16" s="13">
        <f t="shared" si="2"/>
        <v>14.369179725646973</v>
      </c>
      <c r="K16" s="12">
        <f t="shared" si="3"/>
        <v>3007</v>
      </c>
      <c r="L16" s="13">
        <f t="shared" si="4"/>
        <v>2.7255001068115234</v>
      </c>
    </row>
    <row r="17" spans="1:12" x14ac:dyDescent="0.3">
      <c r="A17" s="4">
        <v>44180</v>
      </c>
      <c r="B17" s="5">
        <v>0.75</v>
      </c>
      <c r="C17" s="6">
        <v>30</v>
      </c>
      <c r="D17" s="6">
        <v>10</v>
      </c>
      <c r="E17" s="6">
        <v>45</v>
      </c>
      <c r="F17" s="6">
        <v>10</v>
      </c>
      <c r="G17" s="12">
        <f t="shared" si="0"/>
        <v>99</v>
      </c>
      <c r="H17" s="12">
        <f>ROS_Forest_AFDRS(E17,L17,WAF)</f>
        <v>3809</v>
      </c>
      <c r="I17" s="12">
        <f t="shared" si="1"/>
        <v>29520</v>
      </c>
      <c r="J17" s="13">
        <f t="shared" si="2"/>
        <v>13.372918128967285</v>
      </c>
      <c r="K17" s="12">
        <f t="shared" si="3"/>
        <v>3006</v>
      </c>
      <c r="L17" s="13">
        <f t="shared" si="4"/>
        <v>3.940000057220459</v>
      </c>
    </row>
  </sheetData>
  <conditionalFormatting sqref="G13:G17">
    <cfRule type="expression" dxfId="4" priority="2">
      <formula>$G13&gt;50</formula>
    </cfRule>
    <cfRule type="expression" dxfId="3" priority="3">
      <formula>$G13&gt;=24</formula>
    </cfRule>
    <cfRule type="expression" dxfId="2" priority="4">
      <formula>$G13&gt;=12</formula>
    </cfRule>
    <cfRule type="expression" dxfId="5" priority="1">
      <formula>$G13&gt;=100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A5" sqref="A5"/>
    </sheetView>
  </sheetViews>
  <sheetFormatPr defaultRowHeight="14.4" x14ac:dyDescent="0.3"/>
  <cols>
    <col min="1" max="1" width="10.5546875" bestFit="1" customWidth="1"/>
    <col min="3" max="3" width="10.5546875" bestFit="1" customWidth="1"/>
  </cols>
  <sheetData>
    <row r="1" spans="1:3" x14ac:dyDescent="0.3">
      <c r="A1">
        <v>42</v>
      </c>
      <c r="B1">
        <f>FMC_AFDRS(A1,A2,A3,A4)</f>
        <v>5.0114002227783203</v>
      </c>
      <c r="C1" s="3"/>
    </row>
    <row r="2" spans="1:3" x14ac:dyDescent="0.3">
      <c r="A2">
        <v>20</v>
      </c>
      <c r="C2" s="3"/>
    </row>
    <row r="3" spans="1:3" x14ac:dyDescent="0.3">
      <c r="A3" s="1">
        <v>43689</v>
      </c>
    </row>
    <row r="4" spans="1:3" x14ac:dyDescent="0.3">
      <c r="A4" s="2">
        <v>0.875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AFDRS</vt:lpstr>
      <vt:lpstr>test</vt:lpstr>
      <vt:lpstr>FBI_forest</vt:lpstr>
      <vt:lpstr>fh_e</vt:lpstr>
      <vt:lpstr>fh_ns</vt:lpstr>
      <vt:lpstr>fhs_ns</vt:lpstr>
      <vt:lpstr>fhs_s</vt:lpstr>
      <vt:lpstr>fl_b</vt:lpstr>
      <vt:lpstr>fl_e</vt:lpstr>
      <vt:lpstr>fl_ns</vt:lpstr>
      <vt:lpstr>fl_s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2022-09-08T04:19:21Z</dcterms:modified>
</cp:coreProperties>
</file>