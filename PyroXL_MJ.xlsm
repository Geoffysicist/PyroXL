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8800" windowHeight="13512"/>
  </bookViews>
  <sheets>
    <sheet name="AFDRS" sheetId="1" r:id="rId1"/>
    <sheet name="models_tables" sheetId="3" r:id="rId2"/>
    <sheet name="models_fuel_paramss" sheetId="22" r:id="rId3"/>
    <sheet name="tests_sandbox" sheetId="2" r:id="rId4"/>
  </sheets>
  <functionGroups builtInGroupCount="18"/>
  <definedNames>
    <definedName name="AWAP_uf">AFDRS!$AT$2</definedName>
    <definedName name="cov_o_mallee">AFDRS!$AO$4</definedName>
    <definedName name="curing_grass">AFDRS!$P$4</definedName>
    <definedName name="curing_woodland">AFDRS!$Y$5</definedName>
    <definedName name="current_date">AFDRS!$B$2</definedName>
    <definedName name="current_time">AFDRS!$B$3</definedName>
    <definedName name="date_row1">AFDRS!$A$15</definedName>
    <definedName name="df_row1">AFDRS!$G$15</definedName>
    <definedName name="fhs_b">AFDRS!$J$7</definedName>
    <definedName name="fhs_e">AFDRS!$J$6</definedName>
    <definedName name="fhs_ns">AFDRS!$J$5</definedName>
    <definedName name="fhs_s">AFDRS!$J$4</definedName>
    <definedName name="fl_b_forest">AFDRS!$K$7</definedName>
    <definedName name="fl_e_forest">AFDRS!$K$6</definedName>
    <definedName name="fl_heath">AFDRS!$AE$7</definedName>
    <definedName name="fl_ns_forest">AFDRS!$K$5</definedName>
    <definedName name="fl_o_forest">AFDRS!$K$8</definedName>
    <definedName name="fl_o_mallee">AFDRS!$AO$3</definedName>
    <definedName name="fl_s_forest">AFDRS!$K$4</definedName>
    <definedName name="fl_s_grass">AFDRS!$Q$3</definedName>
    <definedName name="fl_s_mallee">AFDRS!$AO$2</definedName>
    <definedName name="fl_total_max_heath">models_tables!$C$19</definedName>
    <definedName name="fl_woodland">AFDRS!$Y$4</definedName>
    <definedName name="Forest">AFDRS!$I$1</definedName>
    <definedName name="Grass">AFDRS!$O$1</definedName>
    <definedName name="h_e_forest">AFDRS!$J$11</definedName>
    <definedName name="h_el_heath">AFDRS!$AE$5</definedName>
    <definedName name="h_ns_forest">AFDRS!$J$10</definedName>
    <definedName name="h_o_forest">AFDRS!$J$12</definedName>
    <definedName name="h_o_mallee">AFDRS!$AO$5</definedName>
    <definedName name="Heath">AFDRS!$AA$1</definedName>
    <definedName name="kbdi">AFDRS!$G$13</definedName>
    <definedName name="Mallee">AFDRS!$AK$1</definedName>
    <definedName name="outputs_r1">AFDRS!$H$15:$AT$15</definedName>
    <definedName name="overstorey_heath">AFDRS!$AE$4</definedName>
    <definedName name="Pine">AFDRS!$AF$1</definedName>
    <definedName name="productivity_spinifex">AFDRS!$AT$6</definedName>
    <definedName name="rain_heath">AFDRS!$AE$2</definedName>
    <definedName name="rain_mallee">AFDRS!$AO$7</definedName>
    <definedName name="rain_spinifex">AFDRS!$AT$4</definedName>
    <definedName name="rh_row1">AFDRS!$D$15</definedName>
    <definedName name="Spinifex">AFDRS!$AP$1</definedName>
    <definedName name="state_grass">AFDRS!$P$3</definedName>
    <definedName name="submodel_forest">AFDRS!$M$10</definedName>
    <definedName name="subtype_spinifex">AFDRS!$AT$8</definedName>
    <definedName name="subtype_woodland">AFDRS!$Y$3</definedName>
    <definedName name="temp_row1">AFDRS!$C$15</definedName>
    <definedName name="time_row1">AFDRS!$B$15</definedName>
    <definedName name="tsf" comment="time since fire">AFDRS!$G$12</definedName>
    <definedName name="tsf_heath">AFDRS!$AE$6</definedName>
    <definedName name="tsf_mallee">AFDRS!$AO$6</definedName>
    <definedName name="tsf_spinifex">AFDRS!$AT$3</definedName>
    <definedName name="tsr_heath">AFDRS!$AE$3</definedName>
    <definedName name="tsr_mallee">AFDRS!$AO$8</definedName>
    <definedName name="tsr_spinifex">AFDRS!$AT$5</definedName>
    <definedName name="waf_forest">AFDRS!$J$2</definedName>
    <definedName name="waf_spinifex">AFDRS!$AT$7</definedName>
    <definedName name="waf_woodland">AFDRS!$Y$6</definedName>
    <definedName name="wind_dir_row1">AFDRS!$E$15</definedName>
    <definedName name="wind_mag_row1">AFDRS!$F$15</definedName>
    <definedName name="Woodland">AFDRS!$V$1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D3" i="2"/>
  <c r="C4" i="2"/>
  <c r="D4" i="2"/>
  <c r="T15" i="1"/>
  <c r="N15" i="1"/>
  <c r="H15" i="1"/>
  <c r="AT15" i="1"/>
  <c r="AE7" i="1"/>
  <c r="AO15" i="1"/>
  <c r="AE15" i="1"/>
  <c r="D2" i="2" l="1"/>
  <c r="C2" i="2"/>
  <c r="J5" i="1"/>
  <c r="AJ15" i="1"/>
  <c r="J7" i="1"/>
  <c r="J6" i="1"/>
  <c r="J4" i="1"/>
  <c r="S15" i="1"/>
  <c r="P15" i="1" s="1"/>
  <c r="J15" i="1"/>
  <c r="M15" i="1"/>
  <c r="Z15" i="1"/>
  <c r="Q3" i="1"/>
  <c r="L15" i="1"/>
  <c r="K15" i="1" s="1"/>
  <c r="AQ15" i="1"/>
  <c r="AK15" i="1"/>
  <c r="AL15" i="1"/>
  <c r="W15" i="1"/>
  <c r="AS15" i="1"/>
  <c r="AM15" i="1"/>
  <c r="AN15" i="1" s="1"/>
  <c r="AR15" i="1"/>
  <c r="AB15" i="1"/>
  <c r="AC15" i="1" s="1"/>
  <c r="AG15" i="1" a="1"/>
  <c r="AP15" i="1"/>
  <c r="X15" i="1"/>
  <c r="AA15" i="1"/>
  <c r="U15" i="1"/>
  <c r="Q15" i="1"/>
  <c r="AI15" i="1" l="1"/>
  <c r="AG15" i="1"/>
  <c r="AH15" i="1"/>
  <c r="R15" i="1"/>
  <c r="I15" i="1"/>
  <c r="O15" i="1"/>
  <c r="V15" i="1"/>
  <c r="AD15" i="1"/>
  <c r="AF15" i="1"/>
  <c r="Y15" i="1"/>
</calcChain>
</file>

<file path=xl/sharedStrings.xml><?xml version="1.0" encoding="utf-8"?>
<sst xmlns="http://schemas.openxmlformats.org/spreadsheetml/2006/main" count="1594" uniqueCount="635">
  <si>
    <t>Drought Factor</t>
  </si>
  <si>
    <t>Weather</t>
  </si>
  <si>
    <t>Forest</t>
  </si>
  <si>
    <t>WAF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</si>
  <si>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</si>
  <si>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</si>
  <si>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</si>
  <si>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</si>
  <si>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</si>
  <si>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</si>
  <si>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</si>
  <si>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</si>
  <si>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</si>
  <si>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</si>
  <si>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</si>
  <si>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</si>
  <si>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</si>
  <si>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</si>
  <si>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</si>
  <si>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</si>
  <si>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</si>
  <si>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</si>
  <si>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</si>
  <si>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</si>
  <si>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</si>
  <si>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input1</t>
  </si>
  <si>
    <t>input2</t>
  </si>
  <si>
    <t>output1</t>
  </si>
  <si>
    <t>output2</t>
  </si>
  <si>
    <t>Instructions</t>
  </si>
  <si>
    <t>Use inputs are light colored cells</t>
  </si>
  <si>
    <t>Darker cells are locked to protect formulae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</si>
  <si>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</si>
  <si>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</si>
  <si>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</si>
  <si>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</si>
  <si>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</si>
  <si>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</si>
  <si>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</si>
  <si>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</si>
  <si>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</si>
  <si>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</si>
  <si>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</si>
  <si>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</si>
  <si>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</si>
  <si>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</si>
  <si>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</si>
  <si>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</si>
  <si>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</si>
  <si>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to contribute to testing please use the development version (no date suffix) in the repository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</si>
  <si>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</si>
  <si>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</si>
  <si>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</si>
  <si>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</si>
  <si>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</si>
  <si>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</si>
  <si>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</si>
  <si>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</si>
  <si>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</si>
  <si>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</si>
  <si>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</si>
  <si>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</si>
  <si>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</si>
  <si>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</si>
  <si>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</si>
  <si>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</si>
  <si>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</si>
  <si>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</si>
  <si>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</si>
  <si>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tsf</t>
  </si>
  <si>
    <t>fuel accumulation parameter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</si>
  <si>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</si>
  <si>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</si>
  <si>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</si>
  <si>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</si>
  <si>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</si>
  <si>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</si>
  <si>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</si>
  <si>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</si>
  <si>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</si>
  <si>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</si>
  <si>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</si>
  <si>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</si>
  <si>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</si>
  <si>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</si>
  <si>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</si>
  <si>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</si>
  <si>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</si>
  <si>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</si>
  <si>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</si>
  <si>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</si>
  <si>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</si>
  <si>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</si>
  <si>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</si>
  <si>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</si>
  <si>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</si>
  <si>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</si>
  <si>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</si>
  <si>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</si>
  <si>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</si>
  <si>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</t>
  </si>
  <si>
    <t>FHS_s</t>
  </si>
  <si>
    <t>FHS_ns</t>
  </si>
  <si>
    <t>FL_s</t>
  </si>
  <si>
    <t>FL_ns</t>
  </si>
  <si>
    <t>FL_el</t>
  </si>
  <si>
    <t>FL_o</t>
  </si>
  <si>
    <t>Fk_s</t>
  </si>
  <si>
    <t>Fk_ns</t>
  </si>
  <si>
    <t>Fk_el</t>
  </si>
  <si>
    <t>Fk_b</t>
  </si>
  <si>
    <t>Hk_ns</t>
  </si>
  <si>
    <t>H_ns</t>
  </si>
  <si>
    <t>H_el</t>
  </si>
  <si>
    <t>H_o</t>
  </si>
  <si>
    <t>WRF_For</t>
  </si>
  <si>
    <t>FL_b</t>
  </si>
  <si>
    <t>FL_total</t>
  </si>
  <si>
    <t>Fk_o</t>
  </si>
  <si>
    <t>Cov_o</t>
  </si>
  <si>
    <t>fl_total_max</t>
  </si>
  <si>
    <t>fk_total</t>
  </si>
  <si>
    <t>submodel</t>
  </si>
  <si>
    <t>Forest subtypes</t>
  </si>
  <si>
    <t>dry</t>
  </si>
  <si>
    <t>wet</t>
  </si>
  <si>
    <t>note: requires KBDI</t>
  </si>
  <si>
    <t>Mallee</t>
  </si>
  <si>
    <t>wet submodel requires KBDI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</si>
  <si>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</si>
  <si>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</si>
  <si>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</si>
  <si>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</si>
  <si>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</si>
  <si>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</si>
  <si>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</si>
  <si>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</si>
  <si>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</si>
  <si>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</si>
  <si>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</si>
  <si>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</si>
  <si>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</si>
  <si>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</si>
  <si>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WF_Sav</t>
  </si>
  <si>
    <t>Woodland</t>
  </si>
  <si>
    <t>subtype</t>
  </si>
  <si>
    <t>grass fuel load (t/ha)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</si>
  <si>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</si>
  <si>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</si>
  <si>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</si>
  <si>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</si>
  <si>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</si>
  <si>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</si>
  <si>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</si>
  <si>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</si>
  <si>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N</t>
  </si>
  <si>
    <t>Spinifex</t>
  </si>
  <si>
    <t>monthly relative soil moisture (AWAP)</t>
  </si>
  <si>
    <t>productivity</t>
  </si>
  <si>
    <t>Spinifex subtypes</t>
  </si>
  <si>
    <t>open</t>
  </si>
  <si>
    <t>Name</t>
  </si>
  <si>
    <t>Address</t>
  </si>
  <si>
    <t>AWAP_uf</t>
  </si>
  <si>
    <t>cov_o_mallee</t>
  </si>
  <si>
    <t>curing_grass</t>
  </si>
  <si>
    <t>curing_woodland</t>
  </si>
  <si>
    <t>current_date</t>
  </si>
  <si>
    <t>current_time</t>
  </si>
  <si>
    <t>date_row1</t>
  </si>
  <si>
    <t>df_row1</t>
  </si>
  <si>
    <t>fl_b_forest</t>
  </si>
  <si>
    <t>fl_e_forest</t>
  </si>
  <si>
    <t>fl_ns_forest</t>
  </si>
  <si>
    <t>fl_o_forest</t>
  </si>
  <si>
    <t>fl_o_mallee</t>
  </si>
  <si>
    <t>fl_s_forest</t>
  </si>
  <si>
    <t>fl_s_mallee</t>
  </si>
  <si>
    <t>fl_woodland</t>
  </si>
  <si>
    <t>h_e_forest</t>
  </si>
  <si>
    <t>h_el_heath</t>
  </si>
  <si>
    <t>h_ns_forest</t>
  </si>
  <si>
    <t>h_o_forest</t>
  </si>
  <si>
    <t>h_o_mallee</t>
  </si>
  <si>
    <t>kbdi</t>
  </si>
  <si>
    <t>outputs_r1</t>
  </si>
  <si>
    <t>overstorey_heath</t>
  </si>
  <si>
    <t>productivity_spinifex</t>
  </si>
  <si>
    <t>rain_heath</t>
  </si>
  <si>
    <t>rain_mallee</t>
  </si>
  <si>
    <t>rain_spinifex</t>
  </si>
  <si>
    <t>rh_row1</t>
  </si>
  <si>
    <t>state_grass</t>
  </si>
  <si>
    <t>submodel_forest</t>
  </si>
  <si>
    <t>subtype_spinifex</t>
  </si>
  <si>
    <t>subtype_woodland</t>
  </si>
  <si>
    <t>temp_row1</t>
  </si>
  <si>
    <t>time_row1</t>
  </si>
  <si>
    <t>tsf_heath</t>
  </si>
  <si>
    <t>tsf_mallee</t>
  </si>
  <si>
    <t>tsf_spinifex</t>
  </si>
  <si>
    <t>tsr_heath</t>
  </si>
  <si>
    <t>tsr_mallee</t>
  </si>
  <si>
    <t>tsr_spinifex</t>
  </si>
  <si>
    <t>waf_forest</t>
  </si>
  <si>
    <t>waf_spinifex</t>
  </si>
  <si>
    <t>waf_woodland</t>
  </si>
  <si>
    <t>wind_dir_row1</t>
  </si>
  <si>
    <t>wind_mag_row1</t>
  </si>
  <si>
    <t>$AR$2</t>
  </si>
  <si>
    <t>$AM$4</t>
  </si>
  <si>
    <t>$P$4</t>
  </si>
  <si>
    <t>$W$5</t>
  </si>
  <si>
    <t>$B$2</t>
  </si>
  <si>
    <t>$B$3</t>
  </si>
  <si>
    <t>$A$15</t>
  </si>
  <si>
    <t>$G$15</t>
  </si>
  <si>
    <t>$K$7</t>
  </si>
  <si>
    <t>$K$6</t>
  </si>
  <si>
    <t>$K$5</t>
  </si>
  <si>
    <t>$K$8</t>
  </si>
  <si>
    <t>$AM$3</t>
  </si>
  <si>
    <t>$K$4</t>
  </si>
  <si>
    <t>$AM$2</t>
  </si>
  <si>
    <t>$W$4</t>
  </si>
  <si>
    <t>$J$11</t>
  </si>
  <si>
    <t>$AC$5</t>
  </si>
  <si>
    <t>$J$10</t>
  </si>
  <si>
    <t>$J$12</t>
  </si>
  <si>
    <t>$AM$5</t>
  </si>
  <si>
    <t>$G$13</t>
  </si>
  <si>
    <t>$H$15:$AM$15</t>
  </si>
  <si>
    <t>$AC$4</t>
  </si>
  <si>
    <t>$AR$6</t>
  </si>
  <si>
    <t>$AC$2</t>
  </si>
  <si>
    <t>$AM$7</t>
  </si>
  <si>
    <t>$AR$4</t>
  </si>
  <si>
    <t>$D$15</t>
  </si>
  <si>
    <t>$P$3</t>
  </si>
  <si>
    <t>$M$10</t>
  </si>
  <si>
    <t>$AR$8</t>
  </si>
  <si>
    <t>$W$3</t>
  </si>
  <si>
    <t>$C$15</t>
  </si>
  <si>
    <t>$B$15</t>
  </si>
  <si>
    <t>$AC$6</t>
  </si>
  <si>
    <t>$AM$6</t>
  </si>
  <si>
    <t>$AR$3</t>
  </si>
  <si>
    <t>$AC$3</t>
  </si>
  <si>
    <t>$AM$8</t>
  </si>
  <si>
    <t>$AR$5</t>
  </si>
  <si>
    <t>$J$2</t>
  </si>
  <si>
    <t>$AR$7</t>
  </si>
  <si>
    <t>$W$6</t>
  </si>
  <si>
    <t>$E$15</t>
  </si>
  <si>
    <t>$F$15</t>
  </si>
  <si>
    <t>Wet_forest</t>
  </si>
  <si>
    <t>Vesta</t>
  </si>
  <si>
    <t>Semi-mesic Sclerophyll forest</t>
  </si>
  <si>
    <t>Swamp Forest</t>
  </si>
  <si>
    <t>Wet Forest with rainforest understorey</t>
  </si>
  <si>
    <t>Rainforest</t>
  </si>
  <si>
    <t>Riparian Forest shrub</t>
  </si>
  <si>
    <t>Damp Forest  shrub</t>
  </si>
  <si>
    <t>Wet Forest shrub &amp; wiregrass</t>
  </si>
  <si>
    <t>Moist Woodland</t>
  </si>
  <si>
    <t>Grassy wet sclerophyll forests</t>
  </si>
  <si>
    <t>Shrubby wet sclerophyll forests</t>
  </si>
  <si>
    <t>Riparian shrubland</t>
  </si>
  <si>
    <t>Swamp Closed Shrubland</t>
  </si>
  <si>
    <t>Damp Forest with shrub</t>
  </si>
  <si>
    <t>Wet High Elevation Woodland shrub</t>
  </si>
  <si>
    <t>Wet Forest with shrub</t>
  </si>
  <si>
    <t>Floodplain forests</t>
  </si>
  <si>
    <t>Swamp forests</t>
  </si>
  <si>
    <t>Montane grassy wet sclerophyll forests</t>
  </si>
  <si>
    <t>Rainforests</t>
  </si>
  <si>
    <t>Jarrah-Karri Mosaic</t>
  </si>
  <si>
    <t>Open forest dominated wetlands</t>
  </si>
  <si>
    <t>Open forests in coastal locations with species such as she-oak or swamp box</t>
  </si>
  <si>
    <t>Melaluca woodlands on seasonally inundated lowland coastal swamps</t>
  </si>
  <si>
    <t>Melaleuca open forests on seasonally inundated lowland coastal swamps</t>
  </si>
  <si>
    <t>Moist to dry eucalypt woodland on coastal lowlands and ranges</t>
  </si>
  <si>
    <t>Moist to dry eucalypt open forests on coastal lowlands and ranges</t>
  </si>
  <si>
    <t>Wet eucalypt tall woodland</t>
  </si>
  <si>
    <t>Wet Eucalypt tall open forst</t>
  </si>
  <si>
    <t>Semi-evergreen to deciduous microphyll vine forest</t>
  </si>
  <si>
    <t>Mesophyll to Notophyll vine forest sparse</t>
  </si>
  <si>
    <t>Hardwood Plantation</t>
  </si>
  <si>
    <t>Dry Forest shrubs</t>
  </si>
  <si>
    <t>Gum Woodland grass/herbs</t>
  </si>
  <si>
    <t>Gum Woodland heath/shrub</t>
  </si>
  <si>
    <t>Woodland bracken/shrubby</t>
  </si>
  <si>
    <t>High Elevation Woodland grass</t>
  </si>
  <si>
    <t>High Elevation Woodland shrub</t>
  </si>
  <si>
    <t>Woodland Grass/Herb-rich</t>
  </si>
  <si>
    <t>Dry Open Forest shrub/herbs</t>
  </si>
  <si>
    <t>Forest herb-rich</t>
  </si>
  <si>
    <t>Forest with shrub</t>
  </si>
  <si>
    <t>Woodland Heath</t>
  </si>
  <si>
    <t>Subalpine woodlands</t>
  </si>
  <si>
    <t>Tableland shrubby dry sclerophyll forests</t>
  </si>
  <si>
    <t>Plantation Hardwood Selective logging</t>
  </si>
  <si>
    <t>Plantation Hardwood</t>
  </si>
  <si>
    <t>Woodland Callitris/Belah</t>
  </si>
  <si>
    <t>Dry High Elevation Woodland shrub</t>
  </si>
  <si>
    <t>Dry forest with shrub</t>
  </si>
  <si>
    <t>Hardwood plantation</t>
  </si>
  <si>
    <t>Hinterland shrubby dry sclerophyll forests</t>
  </si>
  <si>
    <t>South East dry sclerophyll forests</t>
  </si>
  <si>
    <t>Coastal sand shrubby dry sclerophyll forests</t>
  </si>
  <si>
    <t>Coastal shrubby dry sclerophyll forests</t>
  </si>
  <si>
    <t>Coastal valley grassy woodlands</t>
  </si>
  <si>
    <t>Western shrubby dry sclerophyll forests</t>
  </si>
  <si>
    <t>Piliga shrub grass dry sclerophyll forests</t>
  </si>
  <si>
    <t>Western shrub grass dry sclerophyll forests</t>
  </si>
  <si>
    <t>Shrub grass dry sclerophyll forests</t>
  </si>
  <si>
    <t>Plantation from ALUM</t>
  </si>
  <si>
    <t>Woodland with shrub</t>
  </si>
  <si>
    <t>Melaleuca Open forest</t>
  </si>
  <si>
    <t>Open forest</t>
  </si>
  <si>
    <t>Jarrah South</t>
  </si>
  <si>
    <t>Jarrah North West</t>
  </si>
  <si>
    <t>Jarrah North East</t>
  </si>
  <si>
    <t>Woodlands dominated by white cypress pine or coast cypress pine</t>
  </si>
  <si>
    <t>Open forests dominated by white cypress pine or coast cypress pine</t>
  </si>
  <si>
    <t>Eucalyptus dominated forest on drainage lines and alluvial plains</t>
  </si>
  <si>
    <t>Temperate eucalypt woodlands</t>
  </si>
  <si>
    <t>Temperate open eucalypt forests</t>
  </si>
  <si>
    <t>Dry eucalypt open forests / woodlands on sandstone and shallow soils</t>
  </si>
  <si>
    <t>Spotted gum dominated open forests / woodlands</t>
  </si>
  <si>
    <t>Gum Plantation 5</t>
  </si>
  <si>
    <t>Gum Plantation 4</t>
  </si>
  <si>
    <t>Smooth Bark Eucalypt Forest &amp; Woodland with Shrubby/Heathy Understorey</t>
  </si>
  <si>
    <t>Stringbark Forest &amp; Woodland (Dominant) with Shrubby/Heathy Understroy</t>
  </si>
  <si>
    <t>Plantation (Hardwood)</t>
  </si>
  <si>
    <t>Woody Native Vegetation</t>
  </si>
  <si>
    <t>Gum Plantation 3</t>
  </si>
  <si>
    <t>Gum Plantation class 2</t>
  </si>
  <si>
    <t>Gum Plantation</t>
  </si>
  <si>
    <t>Callitris woodlands</t>
  </si>
  <si>
    <t>Tall Mallee with Surface Fuel and minimal understorey</t>
  </si>
  <si>
    <t>Platy Bark Eucalypt Woodland with Shrubby Understorey</t>
  </si>
  <si>
    <t>Smooth Bark Eucalypt Woodland with Grass Understorey</t>
  </si>
  <si>
    <t>Spinifex_woodland</t>
  </si>
  <si>
    <t>Mallee Spinifex (costata)</t>
  </si>
  <si>
    <t>Mallee spinifex</t>
  </si>
  <si>
    <t>Spinifex woodland (high CFI)</t>
  </si>
  <si>
    <t>Spinifex open woodland (high CFI)</t>
  </si>
  <si>
    <t>Spinifex woodland (low CFI)</t>
  </si>
  <si>
    <t>Spinifex open woodland (low CFI)</t>
  </si>
  <si>
    <t>Spinifex woodland (arid)</t>
  </si>
  <si>
    <t>Spinifex open woodland (arid)</t>
  </si>
  <si>
    <t>lWHu Woodland with hummock grass</t>
  </si>
  <si>
    <t>hWHu Sandstone Woodland with hummock grass</t>
  </si>
  <si>
    <t>Dune mallee woodlands</t>
  </si>
  <si>
    <t>Spinifex shrubland (low rainfall)</t>
  </si>
  <si>
    <t>Spinifex woodland (low rainfall)</t>
  </si>
  <si>
    <t>Spinifex shrubland (arid)</t>
  </si>
  <si>
    <t>lWHu Woodland with Hummock grass</t>
  </si>
  <si>
    <t>hWHu Woodland with Hummock grass</t>
  </si>
  <si>
    <t>Shrubland / Grassland associated with low open eucalypt woodlands dominated by snappy gum Cloncurry Box or Normanton box</t>
  </si>
  <si>
    <t>Low open eucalyptus woodlands dominated by snappy gum Cloncurry Box or Normanton box</t>
  </si>
  <si>
    <t>Mallee over Spinifex/Hummock Grass</t>
  </si>
  <si>
    <t>Spinifex shrubland</t>
  </si>
  <si>
    <t>Triodia hummock grassland</t>
  </si>
  <si>
    <t>lSHH Shrubland heath with hummock grass</t>
  </si>
  <si>
    <t>hSHH Sandstone Heath with Hummock Grass</t>
  </si>
  <si>
    <t>lSHH Shrubland with Hummock grass</t>
  </si>
  <si>
    <t>hSHH Shrubland with Hummock grass</t>
  </si>
  <si>
    <t>Hummock grasslands on dunefields or sandplains</t>
  </si>
  <si>
    <t>Shrublands / Sedgeland associated with hummock grasslands / grasslands dominated by spinifex or sandhill canegrass</t>
  </si>
  <si>
    <t>Spinifex and Hummock Grasses</t>
  </si>
  <si>
    <t>Woody_horticulture</t>
  </si>
  <si>
    <t>Savanna</t>
  </si>
  <si>
    <t>Orchard / Vineyard</t>
  </si>
  <si>
    <t>Woody horticulture</t>
  </si>
  <si>
    <t>Woody horticulture  from ALUM</t>
  </si>
  <si>
    <t>Vineyard</t>
  </si>
  <si>
    <t>Orchard</t>
  </si>
  <si>
    <t>Orchards/ Vineyards</t>
  </si>
  <si>
    <t>Savanna grasslands</t>
  </si>
  <si>
    <t>Broombush / Shrubland / Tea-tree</t>
  </si>
  <si>
    <t>Other open woodland</t>
  </si>
  <si>
    <t>Other woodland</t>
  </si>
  <si>
    <t>Melaleuca open woodland</t>
  </si>
  <si>
    <t>Melaleuca woodland</t>
  </si>
  <si>
    <t>Eucalyptus open woodland</t>
  </si>
  <si>
    <t>Eucalyptus woodland</t>
  </si>
  <si>
    <t>Eucalyptus open forest</t>
  </si>
  <si>
    <t>lOWM Open woodland with mixed grass</t>
  </si>
  <si>
    <t>lWTu Woodland with tussock grass</t>
  </si>
  <si>
    <t>lWMi Woodland with mixed grass</t>
  </si>
  <si>
    <t>hWMi Eucalypt Woodland mixed grass</t>
  </si>
  <si>
    <t>hOFM Eucalypt Open Forest mixed grass</t>
  </si>
  <si>
    <t>Tableland grassy woodlands</t>
  </si>
  <si>
    <t>Inland riverine forests</t>
  </si>
  <si>
    <t>Western grassy woodlands</t>
  </si>
  <si>
    <t>Semi-arid woodlands (grassy)</t>
  </si>
  <si>
    <t>Pindan woodland</t>
  </si>
  <si>
    <t>Open woodland with tussock grass</t>
  </si>
  <si>
    <t>Woodland with tussock grass</t>
  </si>
  <si>
    <t>lOWM Open Woodland with Mixed grasses</t>
  </si>
  <si>
    <t>lWMi Woodland with Mixed grasses</t>
  </si>
  <si>
    <t>lWTu Woodland with Tussock grass</t>
  </si>
  <si>
    <t>hWMi Woodland with Mixed grasses</t>
  </si>
  <si>
    <t>hOFM Open Forest with Mixed grasses</t>
  </si>
  <si>
    <t>Woodlands / Shrublands associated with inland forblands to tussock grasslands</t>
  </si>
  <si>
    <t>Woodlands / Shrublands associated with Mitchell grass or bluegrass</t>
  </si>
  <si>
    <t>Mixed species open forests / woodlands dominated by western whitewood boree or wooded downs</t>
  </si>
  <si>
    <t>Melalueca dry woodlands on sandplains or depositional plains</t>
  </si>
  <si>
    <t>Melaleuca dry open forest on sandplains or depositional plains</t>
  </si>
  <si>
    <t>Dry open forests / woodlands on sand or depositional plains</t>
  </si>
  <si>
    <t>Sedgeland associated with Eucalyptus woodlands on drainage lines</t>
  </si>
  <si>
    <t>Shrubland associated with eucalyptus woodlands on drainage lines</t>
  </si>
  <si>
    <t>Eucalyptus dominated woodland on drainage lines and alluvial plains</t>
  </si>
  <si>
    <t>Open forests / woodlands dominated by Darwin Stringybark Melville Island bloodwood or scarlet gum</t>
  </si>
  <si>
    <t>Shrubland associated with dry to moist eucalypt woodlands on undulating terrain</t>
  </si>
  <si>
    <t>Dry to moist eucalypt open forests / woodlands on undulating metamorphics and granite</t>
  </si>
  <si>
    <t>Moist to dry eucalypt woodlands on basalt areas</t>
  </si>
  <si>
    <t>Mulga (Acacia aneura) woodlands and tall shrublands with tussock grass</t>
  </si>
  <si>
    <t>Casuarina and Allocasuarina forests and woodlands</t>
  </si>
  <si>
    <t>Acacia Shrubland (not arid/semi arid)</t>
  </si>
  <si>
    <t>Mallee over tussock Grass</t>
  </si>
  <si>
    <t>Eucalypt over chenopod/saltbush</t>
  </si>
  <si>
    <t>Gum grassy open woodland (eg red gum tree patches in paddocks)</t>
  </si>
  <si>
    <t>River Red Gum woodland - creek line</t>
  </si>
  <si>
    <t>Platy Bark Eucalypt Woodland with grassy Understorey</t>
  </si>
  <si>
    <t>Urban</t>
  </si>
  <si>
    <t>Residential</t>
  </si>
  <si>
    <t>Medium Density Buildings</t>
  </si>
  <si>
    <t>Urban from ALUM</t>
  </si>
  <si>
    <t>Low to moderate tree cover in built-up areas</t>
  </si>
  <si>
    <t>Urban Area</t>
  </si>
  <si>
    <t>Exotic Vegetation</t>
  </si>
  <si>
    <t>Urban Interface</t>
  </si>
  <si>
    <t>Rural</t>
  </si>
  <si>
    <t>Rural / Remnant woodland</t>
  </si>
  <si>
    <t>Low Density Buildings</t>
  </si>
  <si>
    <t>Rural  from ALUM</t>
  </si>
  <si>
    <t>Planted Wind Break</t>
  </si>
  <si>
    <t>Gamba</t>
  </si>
  <si>
    <t>Woodland with gamba (Present)</t>
  </si>
  <si>
    <t>Woodland with gamba (Abundant)</t>
  </si>
  <si>
    <t>Woodland with gamba (Dominant)</t>
  </si>
  <si>
    <t>Acacia_woodland</t>
  </si>
  <si>
    <t>Mallee chenopod</t>
  </si>
  <si>
    <t>Acacia shrubland</t>
  </si>
  <si>
    <t>Acacia open woodland</t>
  </si>
  <si>
    <t>Lancewood</t>
  </si>
  <si>
    <t>Arid shrublands (acacia)</t>
  </si>
  <si>
    <t>Semi-arid woodlands (shrubby)</t>
  </si>
  <si>
    <t>Shrubland with chenopod</t>
  </si>
  <si>
    <t>Arid shrubland</t>
  </si>
  <si>
    <t>Woodland with chenopod</t>
  </si>
  <si>
    <t>Arid woodland</t>
  </si>
  <si>
    <t>Gidgee blackwood woodland</t>
  </si>
  <si>
    <t>Gidgee blackwood dominated open forest</t>
  </si>
  <si>
    <t>Brigalow belah woodlands on heavy clay soils</t>
  </si>
  <si>
    <t>Brigalow belah open forests / woodlands on heavy clay soils</t>
  </si>
  <si>
    <t>Shrublands / Grassland associated with Acacia on residuals</t>
  </si>
  <si>
    <t>Acacia open forest / woodlands on residuals</t>
  </si>
  <si>
    <t>Mulga / Shrubland / Grassland associated with mulga on red earth plains sandplains or residuals</t>
  </si>
  <si>
    <t>Other arid/semi-arid shrubland</t>
  </si>
  <si>
    <t>Other open shrub/woodland</t>
  </si>
  <si>
    <t>Arid/Semi arid Callitris woodlands</t>
  </si>
  <si>
    <t>Arid and semi arid Acacia Shrubland</t>
  </si>
  <si>
    <t>Open  Melaleuca Shrubland (Tea-Tree)</t>
  </si>
  <si>
    <t>Softwood Plantation</t>
  </si>
  <si>
    <t>Softwood plantation</t>
  </si>
  <si>
    <t>Plantation Pine slash</t>
  </si>
  <si>
    <t>Plantation Softwood</t>
  </si>
  <si>
    <t>Pinus</t>
  </si>
  <si>
    <t>Hoop plantations</t>
  </si>
  <si>
    <t>Plantation (Softwood)</t>
  </si>
  <si>
    <t>PRAD06</t>
  </si>
  <si>
    <t>PRAD05</t>
  </si>
  <si>
    <t>PRAD020304</t>
  </si>
  <si>
    <t>PRAD01 (2R)</t>
  </si>
  <si>
    <t>PRAD01 (1R)</t>
  </si>
  <si>
    <t>Non_combustible</t>
  </si>
  <si>
    <t>Non-Combustible</t>
  </si>
  <si>
    <t>Mangroves / Aquatic Herbs</t>
  </si>
  <si>
    <t>Water - sand - no vegetation</t>
  </si>
  <si>
    <t>No fuel</t>
  </si>
  <si>
    <t>Saline wetland</t>
  </si>
  <si>
    <t>Fuel absent (Water / sand / no vegetation)</t>
  </si>
  <si>
    <t>Non-combustible wetland</t>
  </si>
  <si>
    <t>Saline wetlands</t>
  </si>
  <si>
    <t>Water</t>
  </si>
  <si>
    <t>Mangrove</t>
  </si>
  <si>
    <t>Non combustible from ALUM</t>
  </si>
  <si>
    <t>Water bodies or very low vegetation cover</t>
  </si>
  <si>
    <t>Mangroves and saltmarshes</t>
  </si>
  <si>
    <t>Water Unspecified</t>
  </si>
  <si>
    <t>Disturbed Ground / Outcrop</t>
  </si>
  <si>
    <t>Salt Lake/ Saltpan</t>
  </si>
  <si>
    <t>Natural Low Cover</t>
  </si>
  <si>
    <t>Saltmarsh Vegetation</t>
  </si>
  <si>
    <t>Mangrove Vegetation</t>
  </si>
  <si>
    <t>No Fuel</t>
  </si>
  <si>
    <t>Horticulture</t>
  </si>
  <si>
    <t>Horticulture from ALUM</t>
  </si>
  <si>
    <t>Irrigated Crop Horticulture or Pasture</t>
  </si>
  <si>
    <t>Irrigated Non-Woody</t>
  </si>
  <si>
    <t>Built_up</t>
  </si>
  <si>
    <t>Built Up</t>
  </si>
  <si>
    <t>Urban Built up</t>
  </si>
  <si>
    <t>High Density Buildings</t>
  </si>
  <si>
    <t>Built up from ALUM</t>
  </si>
  <si>
    <t>Low grass or tree cover in built-up areas</t>
  </si>
  <si>
    <t>Built-up Area</t>
  </si>
  <si>
    <t>Mallee heath</t>
  </si>
  <si>
    <t>Mallee Shrub/Heath (discontinuous)</t>
  </si>
  <si>
    <t>Mallee Shrub/heath (costata)</t>
  </si>
  <si>
    <t>MalleeDryHeath</t>
  </si>
  <si>
    <t>Mallee shrub/heath</t>
  </si>
  <si>
    <t>Sand Plain Mallee Woodlands</t>
  </si>
  <si>
    <t>Mallee Heath</t>
  </si>
  <si>
    <t>Open Mallee with minimal understorey</t>
  </si>
  <si>
    <t>Semi-arid Mallee Heath</t>
  </si>
  <si>
    <t>Wet_heath</t>
  </si>
  <si>
    <t>Heathland</t>
  </si>
  <si>
    <t>Wet Scrub</t>
  </si>
  <si>
    <t>Wet Heath</t>
  </si>
  <si>
    <t>Moist Shrubland</t>
  </si>
  <si>
    <t>Tall Wet Heath Scrub</t>
  </si>
  <si>
    <t>Medium Wet Heath</t>
  </si>
  <si>
    <t>Shrubland within moist to dry eucalypt on coastal lowlands and ranges</t>
  </si>
  <si>
    <t>Dry Closed Shrubland</t>
  </si>
  <si>
    <t>Dry Heath</t>
  </si>
  <si>
    <t>High Elevation Shrubland/Heath</t>
  </si>
  <si>
    <t>Sparse shrubland</t>
  </si>
  <si>
    <t>Montane &amp; Alpine heath</t>
  </si>
  <si>
    <t>Gorse weed and bracken</t>
  </si>
  <si>
    <t>Tall Heath Scrub</t>
  </si>
  <si>
    <t>Medium Heath</t>
  </si>
  <si>
    <t>Low Heath</t>
  </si>
  <si>
    <t>Alpine heath</t>
  </si>
  <si>
    <t>Alpine fjaeldmarks</t>
  </si>
  <si>
    <t>Short heath</t>
  </si>
  <si>
    <t>Tall heath</t>
  </si>
  <si>
    <t>Open shrubland</t>
  </si>
  <si>
    <t>Shrubland</t>
  </si>
  <si>
    <t>Closed shrubland</t>
  </si>
  <si>
    <t>Banksia woodland</t>
  </si>
  <si>
    <t>Grassland / Sedgeland communities associated with heathlands scrubs and shrublands</t>
  </si>
  <si>
    <t>Woodlands / Heathlands associated scrubs and shrublands</t>
  </si>
  <si>
    <t>Forests associated with heathlands and scrubs</t>
  </si>
  <si>
    <t>Shrubland / Woodlands in coastal locations</t>
  </si>
  <si>
    <t>Coastal Heath</t>
  </si>
  <si>
    <t>Melaleuca Shrubland (Broombush)(uncinata/brevifolia)</t>
  </si>
  <si>
    <t>Closed Melaleuca Shrubland (Tea-Tree)</t>
  </si>
  <si>
    <t>Mallee with high continuous heath understory (KI)</t>
  </si>
  <si>
    <t>Pasture</t>
  </si>
  <si>
    <t>Grassland</t>
  </si>
  <si>
    <t>Pasture Grassland</t>
  </si>
  <si>
    <t>Pasture from ALUM</t>
  </si>
  <si>
    <t>Eaten Out Grass</t>
  </si>
  <si>
    <t>Grazed/Cut Grass</t>
  </si>
  <si>
    <t>Low_wetland</t>
  </si>
  <si>
    <t>Wet Herbland</t>
  </si>
  <si>
    <t>Alpine Herbland</t>
  </si>
  <si>
    <t>Wet herbland</t>
  </si>
  <si>
    <t>Ephemeral grass/sedge/herbs</t>
  </si>
  <si>
    <t>Moist Sedgeland / Grassland</t>
  </si>
  <si>
    <t>Xerochloa grassland</t>
  </si>
  <si>
    <t>Oryza tussock grassland</t>
  </si>
  <si>
    <t>Melaleuca forest</t>
  </si>
  <si>
    <t>Monsoon forest</t>
  </si>
  <si>
    <t>Herbland</t>
  </si>
  <si>
    <t>Alpine sedgeland</t>
  </si>
  <si>
    <t>Sedgeland</t>
  </si>
  <si>
    <t>Freshwater wetlands</t>
  </si>
  <si>
    <t>Alpine Herbfields</t>
  </si>
  <si>
    <t>Forbland</t>
  </si>
  <si>
    <t>Wetlands: Swamps lakes claypans</t>
  </si>
  <si>
    <t>Sedgeland associated with woodlands in coastal locations</t>
  </si>
  <si>
    <t>Wetland Vegetation</t>
  </si>
  <si>
    <t>Temperate Grassland / Sedgeland</t>
  </si>
  <si>
    <t>High Elevation Grassland</t>
  </si>
  <si>
    <t>Tussock sparse grassland</t>
  </si>
  <si>
    <t>Tussock open grassland</t>
  </si>
  <si>
    <t>Tussock grassland</t>
  </si>
  <si>
    <t>Grass (broad NVIS)</t>
  </si>
  <si>
    <t>Plantation 5CG First rotation</t>
  </si>
  <si>
    <t>Exotic gassland</t>
  </si>
  <si>
    <t>Native grassland</t>
  </si>
  <si>
    <t>Native Grasslands</t>
  </si>
  <si>
    <t>Open Grassland</t>
  </si>
  <si>
    <t>Tussock grassland southern</t>
  </si>
  <si>
    <t>Tussock grassland northern</t>
  </si>
  <si>
    <t>Closed tussock grasslands in coastal locations</t>
  </si>
  <si>
    <t>Mitchell grass or bluegrass tussock grasslands</t>
  </si>
  <si>
    <t>Sedgelands associated with Mitchell grass or bluegrass</t>
  </si>
  <si>
    <t>Grassland associated with woodlands in coastal locations</t>
  </si>
  <si>
    <t>Sedgeland communities associated with mixed species woodlands</t>
  </si>
  <si>
    <t>Grassland communities associated with mixed spcies woodlands</t>
  </si>
  <si>
    <t>Natural Grass</t>
  </si>
  <si>
    <t>Non-Woody Native Vegetation</t>
  </si>
  <si>
    <t>Crop</t>
  </si>
  <si>
    <t>Crop from ALUM</t>
  </si>
  <si>
    <t>Cropping and Horticulture</t>
  </si>
  <si>
    <t>Dryland Agriculture</t>
  </si>
  <si>
    <t>Chenopod_shrubland</t>
  </si>
  <si>
    <t>Low flammable Shrubs</t>
  </si>
  <si>
    <t>Chenopod shrubland</t>
  </si>
  <si>
    <t>Chenopod shrublands</t>
  </si>
  <si>
    <t>Chenopod</t>
  </si>
  <si>
    <t>Mixed open forblands to tussock grasslands in inland locations</t>
  </si>
  <si>
    <t>Chenopod and low flammability shrubland (may have some other species such as aciacia but generally low flamability)</t>
  </si>
  <si>
    <t>Buttongrass</t>
  </si>
  <si>
    <t>Buttongrass  moderate productivity</t>
  </si>
  <si>
    <t>Buttongrass  low productivity</t>
  </si>
  <si>
    <t>WF_Heath</t>
  </si>
  <si>
    <t>Spotting</t>
  </si>
  <si>
    <t>Fk_total</t>
  </si>
  <si>
    <t>FTno_FDR</t>
  </si>
  <si>
    <t>FI_total</t>
  </si>
  <si>
    <t>Prod_BG</t>
  </si>
  <si>
    <t>FHS_el</t>
  </si>
  <si>
    <t>FI_ns</t>
  </si>
  <si>
    <t>FI_el</t>
  </si>
  <si>
    <t>FHS_b</t>
  </si>
  <si>
    <t>FI_s</t>
  </si>
  <si>
    <t>FI_o</t>
  </si>
  <si>
    <t>FI_b</t>
  </si>
  <si>
    <t>FTno_State</t>
  </si>
  <si>
    <t>Fuel_FDR</t>
  </si>
  <si>
    <t>FBM</t>
  </si>
  <si>
    <t>Fuel_Name</t>
  </si>
  <si>
    <t>Time Since Fire</t>
  </si>
  <si>
    <t>Fuel type</t>
  </si>
  <si>
    <t>Forest fuel types</t>
  </si>
  <si>
    <t>GFDI</t>
  </si>
  <si>
    <t>FMC Mk5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</si>
</sst>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\-mm\-yyyy"/>
    <numFmt numFmtId="165" formatCode="[$-F400]h:mm:ss\ AM/PM"/>
    <numFmt numFmtId="166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C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  <fill>
      <patternFill patternType="solid">
        <fgColor rgb="FFFFE8C6"/>
        <bgColor indexed="64"/>
      </patternFill>
    </fill>
    <fill>
      <patternFill patternType="solid">
        <fgColor rgb="FFFFF5E7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43">
    <xf numFmtId="0" fontId="0" fillId="0" borderId="0" xfId="0"/>
    <xf numFmtId="165" fontId="0" fillId="0" borderId="0" xfId="0" applyNumberFormat="1"/>
    <xf numFmtId="20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6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6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0" fontId="0" fillId="0" borderId="0" xfId="0" applyNumberFormat="1"/>
    <xf numFmtId="164" fontId="3" fillId="2" borderId="1" xfId="0" applyNumberFormat="1" applyFont="1" applyFill="1" applyBorder="1" applyProtection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 applyProtection="1"/>
    <xf numFmtId="0" fontId="0" fillId="9" borderId="1" xfId="0" applyFill="1" applyBorder="1" applyProtection="1">
      <protection locked="0"/>
    </xf>
    <xf numFmtId="0" fontId="2" fillId="8" borderId="1" xfId="0" applyFont="1" applyFill="1" applyBorder="1" applyProtection="1"/>
    <xf numFmtId="0" fontId="1" fillId="8" borderId="1" xfId="0" applyFont="1" applyFill="1" applyBorder="1" applyAlignment="1" applyProtection="1">
      <alignment horizontal="right"/>
    </xf>
    <xf numFmtId="166" fontId="0" fillId="8" borderId="1" xfId="0" applyNumberFormat="1" applyFill="1" applyBorder="1" applyProtection="1"/>
    <xf numFmtId="1" fontId="0" fillId="5" borderId="1" xfId="0" applyNumberFormat="1" applyFill="1" applyBorder="1" applyProtection="1"/>
    <xf numFmtId="1" fontId="0" fillId="6" borderId="1" xfId="0" applyNumberFormat="1" applyFill="1" applyBorder="1" applyProtection="1"/>
    <xf numFmtId="1" fontId="0" fillId="8" borderId="1" xfId="0" applyNumberFormat="1" applyFill="1" applyBorder="1" applyProtection="1"/>
    <xf numFmtId="164" fontId="2" fillId="2" borderId="4" xfId="0" applyNumberFormat="1" applyFont="1" applyFill="1" applyBorder="1" applyProtection="1"/>
    <xf numFmtId="20" fontId="0" fillId="2" borderId="4" xfId="0" applyNumberFormat="1" applyFill="1" applyBorder="1" applyProtection="1"/>
    <xf numFmtId="0" fontId="0" fillId="2" borderId="4" xfId="0" applyFill="1" applyBorder="1" applyProtection="1"/>
    <xf numFmtId="0" fontId="0" fillId="5" borderId="4" xfId="0" applyFill="1" applyBorder="1" applyProtection="1"/>
    <xf numFmtId="166" fontId="0" fillId="5" borderId="4" xfId="0" applyNumberFormat="1" applyFill="1" applyBorder="1" applyProtection="1"/>
    <xf numFmtId="0" fontId="0" fillId="6" borderId="4" xfId="0" applyFill="1" applyBorder="1" applyProtection="1"/>
    <xf numFmtId="166" fontId="0" fillId="6" borderId="4" xfId="0" applyNumberFormat="1" applyFill="1" applyBorder="1" applyProtection="1"/>
    <xf numFmtId="0" fontId="0" fillId="8" borderId="4" xfId="0" applyFill="1" applyBorder="1" applyProtection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 applyProtection="1"/>
    <xf numFmtId="1" fontId="0" fillId="5" borderId="5" xfId="0" applyNumberFormat="1" applyFill="1" applyBorder="1" applyProtection="1"/>
    <xf numFmtId="166" fontId="0" fillId="5" borderId="5" xfId="0" applyNumberFormat="1" applyFill="1" applyBorder="1" applyProtection="1"/>
    <xf numFmtId="0" fontId="0" fillId="6" borderId="5" xfId="0" applyFill="1" applyBorder="1" applyProtection="1"/>
    <xf numFmtId="1" fontId="0" fillId="6" borderId="5" xfId="0" applyNumberFormat="1" applyFill="1" applyBorder="1" applyProtection="1"/>
    <xf numFmtId="166" fontId="0" fillId="6" borderId="5" xfId="0" applyNumberFormat="1" applyFill="1" applyBorder="1" applyProtection="1"/>
    <xf numFmtId="0" fontId="0" fillId="8" borderId="5" xfId="0" applyFill="1" applyBorder="1" applyProtection="1"/>
    <xf numFmtId="1" fontId="0" fillId="8" borderId="5" xfId="0" applyNumberFormat="1" applyFill="1" applyBorder="1" applyProtection="1"/>
    <xf numFmtId="166" fontId="0" fillId="8" borderId="5" xfId="0" applyNumberFormat="1" applyFill="1" applyBorder="1" applyProtection="1"/>
    <xf numFmtId="164" fontId="1" fillId="2" borderId="3" xfId="0" applyNumberFormat="1" applyFont="1" applyFill="1" applyBorder="1" applyAlignment="1" applyProtection="1">
      <alignment horizontal="center" wrapText="1"/>
    </xf>
    <xf numFmtId="20" fontId="1" fillId="2" borderId="3" xfId="0" applyNumberFormat="1" applyFont="1" applyFill="1" applyBorder="1" applyAlignment="1" applyProtection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3" xfId="0" applyFont="1" applyFill="1" applyBorder="1" applyAlignment="1" applyProtection="1">
      <alignment horizontal="center" wrapText="1"/>
    </xf>
    <xf numFmtId="0" fontId="1" fillId="5" borderId="3" xfId="0" applyFont="1" applyFill="1" applyBorder="1" applyAlignment="1" applyProtection="1">
      <alignment horizontal="center" wrapText="1"/>
    </xf>
    <xf numFmtId="166" fontId="1" fillId="5" borderId="3" xfId="0" applyNumberFormat="1" applyFont="1" applyFill="1" applyBorder="1" applyAlignment="1" applyProtection="1">
      <alignment horizontal="center" wrapText="1"/>
    </xf>
    <xf numFmtId="0" fontId="1" fillId="6" borderId="3" xfId="0" applyFont="1" applyFill="1" applyBorder="1" applyAlignment="1" applyProtection="1">
      <alignment horizontal="center" wrapText="1"/>
    </xf>
    <xf numFmtId="166" fontId="1" fillId="6" borderId="3" xfId="0" applyNumberFormat="1" applyFont="1" applyFill="1" applyBorder="1" applyAlignment="1" applyProtection="1">
      <alignment horizontal="center" wrapText="1"/>
    </xf>
    <xf numFmtId="0" fontId="1" fillId="8" borderId="3" xfId="0" applyFont="1" applyFill="1" applyBorder="1" applyAlignment="1" applyProtection="1">
      <alignment horizontal="center" wrapText="1"/>
    </xf>
    <xf numFmtId="0" fontId="1" fillId="2" borderId="4" xfId="0" applyFont="1" applyFill="1" applyBorder="1" applyProtection="1"/>
    <xf numFmtId="0" fontId="0" fillId="3" borderId="4" xfId="0" applyFill="1" applyBorder="1" applyProtection="1">
      <protection locked="0"/>
    </xf>
    <xf numFmtId="166" fontId="0" fillId="4" borderId="1" xfId="0" applyNumberFormat="1" applyFill="1" applyBorder="1" applyProtection="1">
      <protection locked="0"/>
    </xf>
    <xf numFmtId="0" fontId="0" fillId="0" borderId="4" xfId="0" applyBorder="1" applyProtection="1"/>
    <xf numFmtId="0" fontId="0" fillId="0" borderId="5" xfId="0" applyBorder="1" applyProtection="1"/>
    <xf numFmtId="0" fontId="1" fillId="0" borderId="3" xfId="0" applyFont="1" applyBorder="1" applyAlignment="1" applyProtection="1">
      <alignment horizontal="center" wrapText="1"/>
    </xf>
    <xf numFmtId="0" fontId="0" fillId="2" borderId="5" xfId="0" applyFill="1" applyBorder="1" applyProtection="1"/>
    <xf numFmtId="0" fontId="0" fillId="2" borderId="6" xfId="0" applyFill="1" applyBorder="1" applyProtection="1"/>
    <xf numFmtId="0" fontId="2" fillId="10" borderId="1" xfId="0" applyFont="1" applyFill="1" applyBorder="1" applyProtection="1"/>
    <xf numFmtId="0" fontId="0" fillId="10" borderId="1" xfId="0" applyFill="1" applyBorder="1" applyProtection="1"/>
    <xf numFmtId="0" fontId="0" fillId="10" borderId="4" xfId="0" applyFill="1" applyBorder="1" applyProtection="1"/>
    <xf numFmtId="0" fontId="1" fillId="10" borderId="3" xfId="0" applyFont="1" applyFill="1" applyBorder="1" applyAlignment="1" applyProtection="1">
      <alignment horizontal="center" wrapText="1"/>
    </xf>
    <xf numFmtId="166" fontId="1" fillId="10" borderId="3" xfId="0" applyNumberFormat="1" applyFont="1" applyFill="1" applyBorder="1" applyAlignment="1" applyProtection="1">
      <alignment horizontal="center" wrapText="1"/>
    </xf>
    <xf numFmtId="0" fontId="0" fillId="10" borderId="5" xfId="0" applyFill="1" applyBorder="1" applyProtection="1"/>
    <xf numFmtId="0" fontId="0" fillId="11" borderId="1" xfId="0" applyFill="1" applyBorder="1" applyProtection="1"/>
    <xf numFmtId="0" fontId="0" fillId="11" borderId="4" xfId="0" applyFill="1" applyBorder="1" applyProtection="1"/>
    <xf numFmtId="0" fontId="0" fillId="11" borderId="5" xfId="0" applyFill="1" applyBorder="1" applyProtection="1"/>
    <xf numFmtId="0" fontId="1" fillId="11" borderId="3" xfId="0" applyFont="1" applyFill="1" applyBorder="1" applyAlignment="1" applyProtection="1">
      <alignment horizontal="center" wrapText="1"/>
    </xf>
    <xf numFmtId="166" fontId="0" fillId="10" borderId="1" xfId="0" applyNumberFormat="1" applyFill="1" applyBorder="1" applyProtection="1"/>
    <xf numFmtId="0" fontId="1" fillId="10" borderId="1" xfId="0" applyFont="1" applyFill="1" applyBorder="1" applyAlignment="1" applyProtection="1">
      <alignment horizontal="right"/>
    </xf>
    <xf numFmtId="0" fontId="0" fillId="12" borderId="1" xfId="0" applyFill="1" applyBorder="1" applyProtection="1">
      <protection locked="0"/>
    </xf>
    <xf numFmtId="166" fontId="0" fillId="10" borderId="5" xfId="0" applyNumberFormat="1" applyFill="1" applyBorder="1" applyProtection="1"/>
    <xf numFmtId="1" fontId="0" fillId="10" borderId="5" xfId="0" applyNumberFormat="1" applyFill="1" applyBorder="1" applyProtection="1"/>
    <xf numFmtId="1" fontId="0" fillId="10" borderId="1" xfId="0" applyNumberFormat="1" applyFill="1" applyBorder="1" applyProtection="1"/>
    <xf numFmtId="164" fontId="1" fillId="2" borderId="1" xfId="0" applyNumberFormat="1" applyFont="1" applyFill="1" applyBorder="1" applyProtection="1"/>
    <xf numFmtId="164" fontId="6" fillId="2" borderId="1" xfId="0" applyNumberFormat="1" applyFont="1" applyFill="1" applyBorder="1" applyProtection="1"/>
    <xf numFmtId="1" fontId="0" fillId="13" borderId="1" xfId="0" applyNumberFormat="1" applyFill="1" applyBorder="1" applyProtection="1"/>
    <xf numFmtId="1" fontId="2" fillId="13" borderId="1" xfId="0" applyNumberFormat="1" applyFont="1" applyFill="1" applyBorder="1" applyProtection="1"/>
    <xf numFmtId="166" fontId="0" fillId="13" borderId="1" xfId="0" applyNumberFormat="1" applyFill="1" applyBorder="1" applyProtection="1"/>
    <xf numFmtId="1" fontId="1" fillId="13" borderId="1" xfId="0" applyNumberFormat="1" applyFont="1" applyFill="1" applyBorder="1" applyAlignment="1" applyProtection="1">
      <alignment horizontal="right"/>
    </xf>
    <xf numFmtId="1" fontId="0" fillId="13" borderId="4" xfId="0" applyNumberFormat="1" applyFill="1" applyBorder="1" applyProtection="1"/>
    <xf numFmtId="166" fontId="0" fillId="13" borderId="4" xfId="0" applyNumberFormat="1" applyFill="1" applyBorder="1" applyProtection="1"/>
    <xf numFmtId="1" fontId="1" fillId="13" borderId="3" xfId="0" applyNumberFormat="1" applyFont="1" applyFill="1" applyBorder="1" applyAlignment="1" applyProtection="1">
      <alignment horizontal="center" wrapText="1"/>
    </xf>
    <xf numFmtId="166" fontId="1" fillId="13" borderId="3" xfId="0" applyNumberFormat="1" applyFont="1" applyFill="1" applyBorder="1" applyAlignment="1" applyProtection="1">
      <alignment horizontal="center" wrapText="1"/>
    </xf>
    <xf numFmtId="0" fontId="0" fillId="13" borderId="5" xfId="0" applyFill="1" applyBorder="1" applyProtection="1"/>
    <xf numFmtId="1" fontId="0" fillId="13" borderId="5" xfId="0" applyNumberFormat="1" applyFill="1" applyBorder="1" applyProtection="1"/>
    <xf numFmtId="166" fontId="0" fillId="13" borderId="5" xfId="0" applyNumberFormat="1" applyFill="1" applyBorder="1" applyProtection="1"/>
    <xf numFmtId="166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 applyProtection="1"/>
    <xf numFmtId="0" fontId="0" fillId="15" borderId="1" xfId="0" applyFill="1" applyBorder="1" applyProtection="1"/>
    <xf numFmtId="0" fontId="1" fillId="15" borderId="1" xfId="0" applyFont="1" applyFill="1" applyBorder="1" applyProtection="1"/>
    <xf numFmtId="0" fontId="1" fillId="15" borderId="1" xfId="0" applyFont="1" applyFill="1" applyBorder="1" applyAlignment="1" applyProtection="1">
      <alignment horizontal="right"/>
    </xf>
    <xf numFmtId="166" fontId="0" fillId="15" borderId="1" xfId="0" applyNumberFormat="1" applyFill="1" applyBorder="1" applyProtection="1"/>
    <xf numFmtId="0" fontId="0" fillId="15" borderId="4" xfId="0" applyFill="1" applyBorder="1" applyProtection="1"/>
    <xf numFmtId="0" fontId="1" fillId="15" borderId="3" xfId="0" applyFont="1" applyFill="1" applyBorder="1" applyAlignment="1" applyProtection="1">
      <alignment horizontal="center" wrapText="1"/>
    </xf>
    <xf numFmtId="0" fontId="0" fillId="15" borderId="5" xfId="0" applyFill="1" applyBorder="1" applyProtection="1"/>
    <xf numFmtId="1" fontId="0" fillId="15" borderId="5" xfId="0" applyNumberFormat="1" applyFill="1" applyBorder="1" applyProtection="1"/>
    <xf numFmtId="166" fontId="0" fillId="15" borderId="5" xfId="0" applyNumberFormat="1" applyFill="1" applyBorder="1" applyProtection="1"/>
    <xf numFmtId="1" fontId="0" fillId="15" borderId="1" xfId="0" applyNumberFormat="1" applyFill="1" applyBorder="1" applyProtection="1"/>
    <xf numFmtId="166" fontId="5" fillId="14" borderId="1" xfId="0" applyNumberFormat="1" applyFont="1" applyFill="1" applyBorder="1" applyProtection="1">
      <protection locked="0"/>
    </xf>
    <xf numFmtId="0" fontId="0" fillId="16" borderId="1" xfId="0" applyFill="1" applyBorder="1" applyProtection="1"/>
    <xf numFmtId="0" fontId="0" fillId="16" borderId="4" xfId="0" applyFill="1" applyBorder="1" applyProtection="1"/>
    <xf numFmtId="0" fontId="1" fillId="16" borderId="3" xfId="0" applyFont="1" applyFill="1" applyBorder="1" applyAlignment="1" applyProtection="1">
      <alignment horizontal="center" wrapText="1"/>
    </xf>
    <xf numFmtId="166" fontId="1" fillId="16" borderId="3" xfId="0" applyNumberFormat="1" applyFont="1" applyFill="1" applyBorder="1" applyAlignment="1" applyProtection="1">
      <alignment horizontal="center" wrapText="1"/>
    </xf>
    <xf numFmtId="0" fontId="0" fillId="16" borderId="5" xfId="0" applyFill="1" applyBorder="1" applyProtection="1"/>
    <xf numFmtId="0" fontId="2" fillId="16" borderId="1" xfId="0" applyFont="1" applyFill="1" applyBorder="1" applyProtection="1"/>
    <xf numFmtId="0" fontId="0" fillId="17" borderId="1" xfId="0" applyFill="1" applyBorder="1" applyProtection="1">
      <protection locked="0"/>
    </xf>
    <xf numFmtId="166" fontId="0" fillId="17" borderId="1" xfId="0" applyNumberFormat="1" applyFill="1" applyBorder="1" applyProtection="1">
      <protection locked="0"/>
    </xf>
    <xf numFmtId="166" fontId="0" fillId="16" borderId="1" xfId="0" applyNumberFormat="1" applyFill="1" applyBorder="1" applyProtection="1"/>
    <xf numFmtId="166" fontId="0" fillId="16" borderId="4" xfId="0" applyNumberFormat="1" applyFill="1" applyBorder="1" applyProtection="1"/>
    <xf numFmtId="166" fontId="0" fillId="16" borderId="5" xfId="0" applyNumberFormat="1" applyFill="1" applyBorder="1" applyProtection="1"/>
    <xf numFmtId="1" fontId="0" fillId="16" borderId="1" xfId="0" applyNumberFormat="1" applyFill="1" applyBorder="1" applyProtection="1"/>
    <xf numFmtId="1" fontId="0" fillId="16" borderId="4" xfId="0" applyNumberFormat="1" applyFill="1" applyBorder="1" applyProtection="1"/>
    <xf numFmtId="1" fontId="1" fillId="16" borderId="3" xfId="0" applyNumberFormat="1" applyFont="1" applyFill="1" applyBorder="1" applyAlignment="1" applyProtection="1">
      <alignment horizontal="center" wrapText="1"/>
    </xf>
    <xf numFmtId="1" fontId="0" fillId="16" borderId="5" xfId="0" applyNumberFormat="1" applyFill="1" applyBorder="1" applyProtection="1"/>
    <xf numFmtId="166" fontId="1" fillId="16" borderId="1" xfId="0" applyNumberFormat="1" applyFont="1" applyFill="1" applyBorder="1" applyAlignment="1" applyProtection="1">
      <alignment horizontal="right"/>
    </xf>
    <xf numFmtId="0" fontId="0" fillId="0" borderId="0" xfId="0" applyFont="1"/>
    <xf numFmtId="0" fontId="7" fillId="0" borderId="0" xfId="0" applyFont="1"/>
    <xf numFmtId="0" fontId="1" fillId="2" borderId="1" xfId="0" applyFont="1" applyFill="1" applyBorder="1" applyAlignment="1" applyProtection="1">
      <alignment horizontal="right"/>
    </xf>
    <xf numFmtId="166" fontId="1" fillId="5" borderId="1" xfId="0" applyNumberFormat="1" applyFont="1" applyFill="1" applyBorder="1" applyAlignment="1" applyProtection="1">
      <alignment horizontal="right"/>
    </xf>
    <xf numFmtId="20" fontId="0" fillId="3" borderId="7" xfId="0" applyNumberFormat="1" applyFill="1" applyBorder="1" applyAlignment="1" applyProtection="1">
      <protection locked="0"/>
    </xf>
    <xf numFmtId="0" fontId="0" fillId="3" borderId="2" xfId="0" applyFill="1" applyBorder="1" applyAlignment="1" applyProtection="1">
      <protection locked="0"/>
    </xf>
    <xf numFmtId="166" fontId="0" fillId="14" borderId="7" xfId="0" applyNumberFormat="1" applyFill="1" applyBorder="1" applyAlignment="1" applyProtection="1">
      <protection locked="0"/>
    </xf>
    <xf numFmtId="0" fontId="0" fillId="0" borderId="2" xfId="0" applyBorder="1" applyAlignment="1"/>
  </cellXfs>
  <cellStyles count="2">
    <cellStyle name="Hyperlink" xfId="1" builtinId="8"/>
    <cellStyle name="Normal" xfId="0" builtinId="0"/>
  </cellStyles>
  <dxfs count="36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E8C6"/>
      <color rgb="FFFFF5E7"/>
      <color rgb="FFACD4AC"/>
      <color rgb="FFEBEFE5"/>
      <color rgb="FFC6D2B4"/>
      <color rgb="FF93C793"/>
      <color rgb="FFE3C3C3"/>
      <color rgb="FFF1E3E3"/>
      <color rgb="FFF4E8E8"/>
      <color rgb="FFDA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I1:I4" totalsRowShown="0">
  <autoFilter ref="I1:I4"/>
  <tableColumns count="1">
    <tableColumn id="1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heath_overstorey" displayName="Table_heath_overstorey" ref="K1:L3" totalsRowShown="0">
  <autoFilter ref="K1:L3"/>
  <tableColumns count="2">
    <tableColumn id="1" name="Heath overstorey"/>
    <tableColumn id="2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AT60"/>
  <sheetViews>
    <sheetView tabSelected="1" zoomScale="120" zoomScaleNormal="120" workbookViewId="0">
      <pane xSplit="8" ySplit="14" topLeftCell="I15" activePane="bottomRight" state="frozen"/>
      <selection pane="topRight" activeCell="I1" sqref="I1"/>
      <selection pane="bottomLeft" activeCell="A15" sqref="A15"/>
      <selection pane="bottomRight" activeCell="U16" sqref="U16"/>
    </sheetView>
  </sheetViews>
  <sheetFormatPr defaultRowHeight="14.4" x14ac:dyDescent="0.3"/>
  <cols>
    <col min="1" max="1" width="13.77734375" style="21" customWidth="1"/>
    <col min="2" max="2" width="10.77734375" style="22" customWidth="1"/>
    <col min="3" max="7" width="10.77734375" style="23" customWidth="1"/>
    <col min="8" max="8" width="10.77734375" style="82" customWidth="1"/>
    <col min="9" max="9" width="12.77734375" style="5" customWidth="1"/>
    <col min="10" max="11" width="8.88671875" style="36"/>
    <col min="12" max="12" width="8.88671875" style="6"/>
    <col min="13" max="13" width="8.88671875" style="5"/>
    <col min="14" max="14" width="8.88671875" style="6"/>
    <col min="15" max="15" width="8.88671875" style="8"/>
    <col min="16" max="17" width="8.88671875" style="37"/>
    <col min="18" max="21" width="8.88671875" style="9"/>
    <col min="22" max="24" width="8.88671875" style="94"/>
    <col min="25" max="26" width="8.88671875" style="96"/>
    <col min="27" max="27" width="8.88671875" style="31"/>
    <col min="28" max="29" width="8.88671875" style="38"/>
    <col min="30" max="31" width="8.88671875" style="35"/>
    <col min="32" max="32" width="8.88671875" style="108"/>
    <col min="33" max="34" width="8.88671875" style="117"/>
    <col min="35" max="36" width="8.88671875" style="111"/>
    <col min="37" max="37" width="8.88671875" style="77"/>
    <col min="38" max="39" width="8.88671875" style="91"/>
    <col min="40" max="40" width="8.88671875" style="86"/>
    <col min="41" max="41" width="8.88671875" style="77"/>
    <col min="42" max="42" width="8.88671875" style="119"/>
    <col min="43" max="44" width="8.88671875" style="130"/>
    <col min="45" max="45" width="8.88671875" style="127"/>
    <col min="46" max="46" width="8.88671875" style="119"/>
    <col min="47" max="16384" width="8.88671875" style="10"/>
  </cols>
  <sheetData>
    <row r="1" spans="1:46" ht="18" x14ac:dyDescent="0.35">
      <c r="A1" s="92" t="s">
        <v>140</v>
      </c>
      <c r="B1" s="139"/>
      <c r="C1" s="140"/>
      <c r="D1" s="3"/>
      <c r="E1" s="3"/>
      <c r="F1" s="3"/>
      <c r="G1" s="3"/>
      <c r="I1" s="4" t="s">
        <v>2</v>
      </c>
      <c r="J1" s="5"/>
      <c r="O1" s="7" t="s">
        <v>16</v>
      </c>
      <c r="P1" s="8"/>
      <c r="Q1" s="8"/>
      <c r="V1" s="95" t="s">
        <v>144</v>
      </c>
      <c r="AA1" s="33" t="s">
        <v>54</v>
      </c>
      <c r="AB1" s="31"/>
      <c r="AC1" s="31"/>
      <c r="AD1" s="31"/>
      <c r="AE1" s="31"/>
      <c r="AF1" s="107" t="s">
        <v>98</v>
      </c>
      <c r="AG1" s="108"/>
      <c r="AH1" s="108"/>
      <c r="AI1" s="108"/>
      <c r="AJ1" s="108"/>
      <c r="AK1" s="76" t="s">
        <v>127</v>
      </c>
      <c r="AL1" s="77"/>
      <c r="AM1" s="77"/>
      <c r="AN1" s="77"/>
      <c r="AP1" s="124" t="s">
        <v>156</v>
      </c>
    </row>
    <row r="2" spans="1:46" x14ac:dyDescent="0.3">
      <c r="A2" s="92" t="s">
        <v>141</v>
      </c>
      <c r="B2" s="47">
        <v>44898</v>
      </c>
      <c r="C2" s="3"/>
      <c r="D2" s="3"/>
      <c r="E2" s="3"/>
      <c r="F2" s="3"/>
      <c r="G2" s="3"/>
      <c r="I2" s="12" t="s">
        <v>60</v>
      </c>
      <c r="J2" s="24">
        <v>3</v>
      </c>
      <c r="K2" s="13" t="s">
        <v>154</v>
      </c>
      <c r="O2" s="14"/>
      <c r="P2" s="8"/>
      <c r="Q2" s="14" t="s">
        <v>22</v>
      </c>
      <c r="AB2" s="31"/>
      <c r="AC2" s="31"/>
      <c r="AD2" s="34" t="s">
        <v>56</v>
      </c>
      <c r="AE2" s="32">
        <v>0</v>
      </c>
      <c r="AF2" s="109" t="s">
        <v>126</v>
      </c>
      <c r="AG2" s="108"/>
      <c r="AH2" s="110"/>
      <c r="AJ2" s="108"/>
      <c r="AL2" s="77"/>
      <c r="AM2" s="77"/>
      <c r="AN2" s="87" t="s">
        <v>136</v>
      </c>
      <c r="AO2" s="88">
        <v>3</v>
      </c>
      <c r="AS2" s="134" t="s">
        <v>157</v>
      </c>
      <c r="AT2" s="125">
        <v>0</v>
      </c>
    </row>
    <row r="3" spans="1:46" x14ac:dyDescent="0.3">
      <c r="A3" s="92" t="s">
        <v>142</v>
      </c>
      <c r="B3" s="48">
        <v>0.39525462962962959</v>
      </c>
      <c r="C3" s="3"/>
      <c r="D3" s="3"/>
      <c r="E3" s="3"/>
      <c r="F3" s="3"/>
      <c r="G3" s="3"/>
      <c r="I3" s="15"/>
      <c r="J3" s="16" t="s">
        <v>72</v>
      </c>
      <c r="K3" s="17" t="s">
        <v>22</v>
      </c>
      <c r="O3" s="18" t="s">
        <v>24</v>
      </c>
      <c r="P3" s="26" t="s">
        <v>19</v>
      </c>
      <c r="Q3" s="8">
        <f>state_to_load_grass(P3)</f>
        <v>4.5</v>
      </c>
      <c r="X3" s="97" t="s">
        <v>145</v>
      </c>
      <c r="Y3" s="141" t="s">
        <v>148</v>
      </c>
      <c r="Z3" s="142"/>
      <c r="AB3" s="31"/>
      <c r="AC3" s="31"/>
      <c r="AD3" s="34" t="s">
        <v>55</v>
      </c>
      <c r="AE3" s="32">
        <v>48</v>
      </c>
      <c r="AG3" s="108"/>
      <c r="AH3" s="110"/>
      <c r="AI3" s="110"/>
      <c r="AJ3" s="108"/>
      <c r="AL3" s="77"/>
      <c r="AM3" s="77"/>
      <c r="AN3" s="87" t="s">
        <v>137</v>
      </c>
      <c r="AO3" s="88">
        <v>1</v>
      </c>
      <c r="AS3" s="134"/>
      <c r="AT3" s="134">
        <v>25</v>
      </c>
    </row>
    <row r="4" spans="1:46" x14ac:dyDescent="0.3">
      <c r="A4" s="92"/>
      <c r="B4" s="2"/>
      <c r="C4" s="3"/>
      <c r="D4" s="3"/>
      <c r="E4" s="3"/>
      <c r="F4" s="3"/>
      <c r="G4" s="3"/>
      <c r="I4" s="19" t="s">
        <v>9</v>
      </c>
      <c r="J4" s="20">
        <f>fl_to_fhs(I4,K4)</f>
        <v>3</v>
      </c>
      <c r="K4" s="25">
        <v>10</v>
      </c>
      <c r="O4" s="18" t="s">
        <v>21</v>
      </c>
      <c r="P4" s="26">
        <v>80</v>
      </c>
      <c r="Q4" s="8"/>
      <c r="X4" s="97" t="s">
        <v>146</v>
      </c>
      <c r="Y4" s="118">
        <v>4.5</v>
      </c>
      <c r="AB4" s="31"/>
      <c r="AC4" s="31"/>
      <c r="AD4" s="34" t="s">
        <v>57</v>
      </c>
      <c r="AE4" s="32" t="b">
        <v>0</v>
      </c>
      <c r="AG4" s="108"/>
      <c r="AH4" s="110"/>
      <c r="AI4" s="110"/>
      <c r="AJ4" s="108"/>
      <c r="AL4" s="77"/>
      <c r="AM4" s="77"/>
      <c r="AN4" s="87" t="s">
        <v>138</v>
      </c>
      <c r="AO4" s="88">
        <v>18</v>
      </c>
      <c r="AS4" s="134" t="s">
        <v>56</v>
      </c>
      <c r="AT4" s="125">
        <v>0</v>
      </c>
    </row>
    <row r="5" spans="1:46" ht="15.6" x14ac:dyDescent="0.3">
      <c r="A5" s="93" t="s">
        <v>29</v>
      </c>
      <c r="B5" s="2"/>
      <c r="C5" s="3"/>
      <c r="D5" s="3"/>
      <c r="E5" s="3"/>
      <c r="F5" s="3"/>
      <c r="G5" s="3"/>
      <c r="I5" s="19" t="s">
        <v>10</v>
      </c>
      <c r="J5" s="20">
        <f t="shared" ref="J5:J7" si="0">fl_to_fhs(I5,K5)</f>
        <v>3</v>
      </c>
      <c r="K5" s="25">
        <v>3.5</v>
      </c>
      <c r="P5" s="8"/>
      <c r="Q5" s="8"/>
      <c r="X5" s="97" t="s">
        <v>21</v>
      </c>
      <c r="Y5" s="106">
        <v>80</v>
      </c>
      <c r="AB5" s="31"/>
      <c r="AC5" s="31"/>
      <c r="AD5" s="34" t="s">
        <v>61</v>
      </c>
      <c r="AE5" s="32">
        <v>2</v>
      </c>
      <c r="AG5" s="108"/>
      <c r="AH5" s="110"/>
      <c r="AI5" s="110"/>
      <c r="AJ5" s="108"/>
      <c r="AL5" s="77"/>
      <c r="AM5" s="77"/>
      <c r="AN5" s="87" t="s">
        <v>139</v>
      </c>
      <c r="AO5" s="88">
        <v>4.5</v>
      </c>
      <c r="AS5" s="134" t="s">
        <v>55</v>
      </c>
      <c r="AT5" s="125">
        <v>48</v>
      </c>
    </row>
    <row r="6" spans="1:46" x14ac:dyDescent="0.3">
      <c r="A6" s="11" t="s">
        <v>30</v>
      </c>
      <c r="B6" s="2"/>
      <c r="C6" s="3"/>
      <c r="D6" s="3"/>
      <c r="E6" s="3"/>
      <c r="F6" s="3"/>
      <c r="G6" s="3"/>
      <c r="I6" s="19" t="s">
        <v>11</v>
      </c>
      <c r="J6" s="20">
        <f t="shared" si="0"/>
        <v>2</v>
      </c>
      <c r="K6" s="25">
        <v>2</v>
      </c>
      <c r="P6" s="8"/>
      <c r="Q6" s="8"/>
      <c r="X6" s="97" t="s">
        <v>153</v>
      </c>
      <c r="Y6" s="105">
        <v>0.5</v>
      </c>
      <c r="AB6" s="31"/>
      <c r="AC6" s="31"/>
      <c r="AD6" s="34"/>
      <c r="AE6" s="34">
        <v>25</v>
      </c>
      <c r="AG6" s="108"/>
      <c r="AH6" s="110"/>
      <c r="AI6" s="110"/>
      <c r="AJ6" s="108"/>
      <c r="AL6" s="77"/>
      <c r="AM6" s="77"/>
      <c r="AN6" s="87"/>
      <c r="AO6" s="87">
        <v>20</v>
      </c>
      <c r="AS6" s="134" t="s">
        <v>158</v>
      </c>
      <c r="AT6" s="125">
        <v>1</v>
      </c>
    </row>
    <row r="7" spans="1:46" x14ac:dyDescent="0.3">
      <c r="A7" s="28" t="s">
        <v>31</v>
      </c>
      <c r="B7" s="2"/>
      <c r="C7" s="3"/>
      <c r="D7" s="3"/>
      <c r="E7" s="3"/>
      <c r="F7" s="3"/>
      <c r="G7" s="75"/>
      <c r="H7" s="83"/>
      <c r="I7" s="19" t="s">
        <v>12</v>
      </c>
      <c r="J7" s="20">
        <f t="shared" si="0"/>
        <v>2</v>
      </c>
      <c r="K7" s="25">
        <v>2</v>
      </c>
      <c r="P7" s="8"/>
      <c r="Q7" s="8"/>
      <c r="AB7" s="31"/>
      <c r="AC7" s="31"/>
      <c r="AD7" s="34" t="s">
        <v>34</v>
      </c>
      <c r="AE7" s="38">
        <f>fuel_amount(models_tables!$C$19,tsf,models_tables!$C$22)</f>
        <v>19.633687222225316</v>
      </c>
      <c r="AG7" s="108"/>
      <c r="AH7" s="108"/>
      <c r="AI7" s="108"/>
      <c r="AJ7" s="108"/>
      <c r="AL7" s="77"/>
      <c r="AM7" s="77"/>
      <c r="AN7" s="87" t="s">
        <v>56</v>
      </c>
      <c r="AO7" s="88">
        <v>0</v>
      </c>
      <c r="AS7" s="134" t="s">
        <v>153</v>
      </c>
      <c r="AT7" s="126">
        <v>0.5</v>
      </c>
    </row>
    <row r="8" spans="1:46" x14ac:dyDescent="0.3">
      <c r="A8" s="11" t="s">
        <v>32</v>
      </c>
      <c r="B8" s="2"/>
      <c r="C8" s="3"/>
      <c r="D8" s="3"/>
      <c r="E8" s="3"/>
      <c r="F8" s="3"/>
      <c r="G8" s="74"/>
      <c r="H8" s="84"/>
      <c r="I8" s="19" t="s">
        <v>23</v>
      </c>
      <c r="J8" s="20"/>
      <c r="K8" s="25">
        <v>4.5</v>
      </c>
      <c r="P8" s="8"/>
      <c r="Q8" s="8"/>
      <c r="AB8" s="31"/>
      <c r="AC8" s="31"/>
      <c r="AD8" s="31"/>
      <c r="AE8" s="31"/>
      <c r="AG8" s="108"/>
      <c r="AH8" s="108"/>
      <c r="AI8" s="108"/>
      <c r="AJ8" s="108"/>
      <c r="AL8" s="77"/>
      <c r="AM8" s="77"/>
      <c r="AN8" s="87" t="s">
        <v>55</v>
      </c>
      <c r="AO8" s="88">
        <v>48</v>
      </c>
      <c r="AS8" s="134" t="s">
        <v>145</v>
      </c>
      <c r="AT8" s="125" t="s">
        <v>160</v>
      </c>
    </row>
    <row r="9" spans="1:46" x14ac:dyDescent="0.3">
      <c r="A9" s="11" t="s">
        <v>71</v>
      </c>
      <c r="B9" s="2"/>
      <c r="C9" s="3"/>
      <c r="D9" s="3"/>
      <c r="E9" s="3"/>
      <c r="F9" s="3"/>
      <c r="G9" s="3"/>
      <c r="I9" s="19"/>
      <c r="J9" s="17" t="s">
        <v>13</v>
      </c>
      <c r="K9" s="20"/>
      <c r="L9" s="138" t="s">
        <v>631</v>
      </c>
      <c r="P9" s="8"/>
      <c r="Q9" s="8"/>
      <c r="AB9" s="31"/>
      <c r="AC9" s="31"/>
      <c r="AD9" s="31"/>
      <c r="AE9" s="31"/>
      <c r="AG9" s="108"/>
      <c r="AH9" s="108"/>
      <c r="AI9" s="108"/>
      <c r="AJ9" s="108"/>
      <c r="AL9" s="77"/>
      <c r="AM9" s="77"/>
      <c r="AN9" s="77"/>
    </row>
    <row r="10" spans="1:46" x14ac:dyDescent="0.3">
      <c r="A10" s="28" t="s">
        <v>49</v>
      </c>
      <c r="B10" s="2"/>
      <c r="C10" s="3"/>
      <c r="D10" s="3"/>
      <c r="E10" s="3"/>
      <c r="F10" s="3"/>
      <c r="G10" s="3"/>
      <c r="I10" s="19" t="s">
        <v>10</v>
      </c>
      <c r="J10" s="24">
        <v>20</v>
      </c>
      <c r="K10" s="13" t="s">
        <v>14</v>
      </c>
      <c r="L10" s="16" t="s">
        <v>122</v>
      </c>
      <c r="M10" s="70" t="s">
        <v>124</v>
      </c>
      <c r="P10" s="8"/>
      <c r="Q10" s="8"/>
      <c r="AB10" s="31"/>
      <c r="AC10" s="31"/>
      <c r="AD10" s="31"/>
      <c r="AE10" s="31"/>
      <c r="AG10" s="108"/>
      <c r="AH10" s="108"/>
      <c r="AI10" s="108"/>
      <c r="AJ10" s="108"/>
      <c r="AL10" s="77"/>
      <c r="AM10" s="77"/>
      <c r="AN10" s="77"/>
    </row>
    <row r="11" spans="1:46" x14ac:dyDescent="0.3">
      <c r="A11" s="30" t="s">
        <v>50</v>
      </c>
      <c r="B11" s="2"/>
      <c r="C11" s="3"/>
      <c r="D11" s="3"/>
      <c r="E11" s="3"/>
      <c r="F11" s="3"/>
      <c r="G11" s="3"/>
      <c r="I11" s="19" t="s">
        <v>11</v>
      </c>
      <c r="J11" s="24">
        <v>2</v>
      </c>
      <c r="K11" s="13" t="s">
        <v>15</v>
      </c>
      <c r="L11" s="6" t="s">
        <v>128</v>
      </c>
      <c r="P11" s="8"/>
      <c r="Q11" s="8"/>
      <c r="AB11" s="31"/>
      <c r="AC11" s="31"/>
      <c r="AD11" s="31"/>
      <c r="AE11" s="31"/>
      <c r="AG11" s="108"/>
      <c r="AH11" s="108"/>
      <c r="AI11" s="108"/>
      <c r="AJ11" s="108"/>
      <c r="AL11" s="77"/>
      <c r="AM11" s="77"/>
      <c r="AN11" s="77"/>
    </row>
    <row r="12" spans="1:46" x14ac:dyDescent="0.3">
      <c r="A12" s="28"/>
      <c r="B12" s="2"/>
      <c r="C12" s="3"/>
      <c r="D12" s="3"/>
      <c r="E12" s="3"/>
      <c r="F12" s="137" t="s">
        <v>630</v>
      </c>
      <c r="G12" s="69">
        <v>20</v>
      </c>
      <c r="I12" s="19" t="s">
        <v>23</v>
      </c>
      <c r="J12" s="24">
        <v>20</v>
      </c>
      <c r="K12" s="13" t="s">
        <v>15</v>
      </c>
      <c r="P12" s="8"/>
      <c r="Q12" s="8"/>
      <c r="AB12" s="31"/>
      <c r="AC12" s="31"/>
      <c r="AD12" s="31"/>
      <c r="AE12" s="31"/>
      <c r="AG12" s="108"/>
      <c r="AH12" s="108"/>
      <c r="AI12" s="108"/>
      <c r="AJ12" s="108"/>
      <c r="AL12" s="77"/>
      <c r="AM12" s="77"/>
      <c r="AN12" s="77"/>
    </row>
    <row r="13" spans="1:46" s="71" customFormat="1" ht="18" x14ac:dyDescent="0.35">
      <c r="A13" s="39" t="s">
        <v>1</v>
      </c>
      <c r="B13" s="40"/>
      <c r="C13" s="41"/>
      <c r="D13" s="41"/>
      <c r="E13" s="41"/>
      <c r="F13" s="68" t="s">
        <v>99</v>
      </c>
      <c r="G13" s="69">
        <v>100</v>
      </c>
      <c r="H13" s="83"/>
      <c r="I13" s="42"/>
      <c r="J13" s="42"/>
      <c r="K13" s="42"/>
      <c r="L13" s="43"/>
      <c r="M13" s="42"/>
      <c r="N13" s="43"/>
      <c r="O13" s="44"/>
      <c r="P13" s="44"/>
      <c r="Q13" s="44"/>
      <c r="R13" s="45"/>
      <c r="S13" s="45"/>
      <c r="T13" s="45"/>
      <c r="U13" s="45"/>
      <c r="V13" s="98"/>
      <c r="W13" s="98"/>
      <c r="X13" s="98"/>
      <c r="Y13" s="99"/>
      <c r="Z13" s="99"/>
      <c r="AA13" s="46"/>
      <c r="AB13" s="46"/>
      <c r="AC13" s="46"/>
      <c r="AD13" s="46"/>
      <c r="AE13" s="46"/>
      <c r="AF13" s="112"/>
      <c r="AG13" s="112"/>
      <c r="AH13" s="112"/>
      <c r="AI13" s="112"/>
      <c r="AJ13" s="112"/>
      <c r="AK13" s="78"/>
      <c r="AL13" s="78"/>
      <c r="AM13" s="78"/>
      <c r="AN13" s="78"/>
      <c r="AO13" s="78"/>
      <c r="AP13" s="120"/>
      <c r="AQ13" s="131"/>
      <c r="AR13" s="131"/>
      <c r="AS13" s="128"/>
      <c r="AT13" s="120"/>
    </row>
    <row r="14" spans="1:46" s="73" customFormat="1" ht="60" customHeight="1" x14ac:dyDescent="0.3">
      <c r="A14" s="59" t="s">
        <v>129</v>
      </c>
      <c r="B14" s="60" t="s">
        <v>130</v>
      </c>
      <c r="C14" s="61" t="s">
        <v>131</v>
      </c>
      <c r="D14" s="61" t="s">
        <v>132</v>
      </c>
      <c r="E14" s="61" t="s">
        <v>133</v>
      </c>
      <c r="F14" s="62" t="s">
        <v>134</v>
      </c>
      <c r="G14" s="62" t="s">
        <v>0</v>
      </c>
      <c r="H14" s="85" t="s">
        <v>135</v>
      </c>
      <c r="I14" s="63" t="s">
        <v>100</v>
      </c>
      <c r="J14" s="63" t="s">
        <v>4</v>
      </c>
      <c r="K14" s="63" t="s">
        <v>5</v>
      </c>
      <c r="L14" s="64" t="s">
        <v>6</v>
      </c>
      <c r="M14" s="63" t="s">
        <v>7</v>
      </c>
      <c r="N14" s="64" t="s">
        <v>8</v>
      </c>
      <c r="O14" s="65" t="s">
        <v>100</v>
      </c>
      <c r="P14" s="65" t="s">
        <v>4</v>
      </c>
      <c r="Q14" s="65" t="s">
        <v>5</v>
      </c>
      <c r="R14" s="66" t="s">
        <v>6</v>
      </c>
      <c r="S14" s="66" t="s">
        <v>8</v>
      </c>
      <c r="T14" s="66" t="s">
        <v>634</v>
      </c>
      <c r="U14" s="66" t="s">
        <v>633</v>
      </c>
      <c r="V14" s="100" t="s">
        <v>100</v>
      </c>
      <c r="W14" s="100" t="s">
        <v>4</v>
      </c>
      <c r="X14" s="100" t="s">
        <v>5</v>
      </c>
      <c r="Y14" s="101" t="s">
        <v>6</v>
      </c>
      <c r="Z14" s="101" t="s">
        <v>8</v>
      </c>
      <c r="AA14" s="67" t="s">
        <v>100</v>
      </c>
      <c r="AB14" s="67" t="s">
        <v>4</v>
      </c>
      <c r="AC14" s="67" t="s">
        <v>5</v>
      </c>
      <c r="AD14" s="67" t="s">
        <v>6</v>
      </c>
      <c r="AE14" s="67" t="s">
        <v>8</v>
      </c>
      <c r="AF14" s="113" t="s">
        <v>100</v>
      </c>
      <c r="AG14" s="113" t="s">
        <v>4</v>
      </c>
      <c r="AH14" s="113" t="s">
        <v>5</v>
      </c>
      <c r="AI14" s="113" t="s">
        <v>6</v>
      </c>
      <c r="AJ14" s="113" t="s">
        <v>8</v>
      </c>
      <c r="AK14" s="79" t="s">
        <v>100</v>
      </c>
      <c r="AL14" s="79" t="s">
        <v>4</v>
      </c>
      <c r="AM14" s="79" t="s">
        <v>5</v>
      </c>
      <c r="AN14" s="80" t="s">
        <v>6</v>
      </c>
      <c r="AO14" s="80" t="s">
        <v>8</v>
      </c>
      <c r="AP14" s="121" t="s">
        <v>100</v>
      </c>
      <c r="AQ14" s="132" t="s">
        <v>4</v>
      </c>
      <c r="AR14" s="132" t="s">
        <v>5</v>
      </c>
      <c r="AS14" s="122" t="s">
        <v>6</v>
      </c>
      <c r="AT14" s="122" t="s">
        <v>8</v>
      </c>
    </row>
    <row r="15" spans="1:46" s="72" customFormat="1" x14ac:dyDescent="0.3">
      <c r="A15" s="47">
        <v>44898</v>
      </c>
      <c r="B15" s="48">
        <v>0.39525462962962959</v>
      </c>
      <c r="C15" s="49">
        <v>25</v>
      </c>
      <c r="D15" s="49">
        <v>30</v>
      </c>
      <c r="E15" s="49" t="s">
        <v>155</v>
      </c>
      <c r="F15" s="49">
        <v>20</v>
      </c>
      <c r="G15" s="49">
        <v>8</v>
      </c>
      <c r="H15" s="84">
        <f>backbearing(E15)</f>
        <v>180</v>
      </c>
      <c r="I15" s="50">
        <f t="shared" ref="I15" si="1">fbi(K15,Forest)</f>
        <v>18</v>
      </c>
      <c r="J15" s="51">
        <f t="shared" ref="J15" si="2">ROS_forest(F15,fhs_s,fhs_ns,h_ns_forest,N15,G15,waf_forest,kbdi,submodel_forest)</f>
        <v>408.61795303209414</v>
      </c>
      <c r="K15" s="51">
        <f t="shared" ref="K15" si="3">Intensity_forest(J15,G15,L15,fl_s_forest,fl_ns_forest,fl_e_forest,fl_o_forest,h_o_forest,waf_forest,kbdi,submodel_forest)</f>
        <v>2617.8790392261863</v>
      </c>
      <c r="L15" s="52">
        <f t="shared" ref="L15" si="4">Flame_height_forest(J15,h_e_forest)</f>
        <v>5.738792896270752</v>
      </c>
      <c r="M15" s="50">
        <f t="shared" ref="M15" si="5">Spotting_forest(J15,F15,fhs_s)</f>
        <v>252</v>
      </c>
      <c r="N15" s="52">
        <f t="shared" ref="N15" si="6">FMC_Forest(C15,D15,A15,B15,submodel_forest)</f>
        <v>7.5449999999999999</v>
      </c>
      <c r="O15" s="53">
        <f t="shared" ref="O15" si="7">fbi(Q15,Grass)</f>
        <v>18</v>
      </c>
      <c r="P15" s="54">
        <f t="shared" ref="P15" si="8">ROS_grass(F15,S15,curing_grass,state_grass)</f>
        <v>2633.49365234375</v>
      </c>
      <c r="Q15" s="54">
        <f t="shared" ref="Q15" si="9">Intensity_grass(P15,fl_s_grass)</f>
        <v>6122.8725794984839</v>
      </c>
      <c r="R15" s="55">
        <f t="shared" ref="R15" si="10">Flame_height_grass(P15,state_grass)</f>
        <v>1.0213292837142944</v>
      </c>
      <c r="S15" s="55">
        <f>FMC_Grass(C15,D15)</f>
        <v>8.5950002670288086</v>
      </c>
      <c r="T15" s="55">
        <f>FMC_grass_Mk5(temp_row1,rh_row1,curing_grass)</f>
        <v>14.324444770812988</v>
      </c>
      <c r="U15" s="55">
        <f>GFDI(wind_mag_row1,fl_s_grass,T15)</f>
        <v>9.3384008407592773</v>
      </c>
      <c r="V15" s="102">
        <f t="shared" ref="V15" si="11">fbi(X15,Woodland)</f>
        <v>12</v>
      </c>
      <c r="W15" s="103">
        <f t="shared" ref="W15" si="12">ROS_woodland(F15,Z15,curing_woodland,subtype_woodland,fl_woodland,waf_woodland)</f>
        <v>1316.746826171875</v>
      </c>
      <c r="X15" s="103">
        <f t="shared" ref="X15" si="13">Intensity_woodland(W15,fl_woodland)</f>
        <v>3061.436289749242</v>
      </c>
      <c r="Y15" s="104">
        <f t="shared" ref="Y15" si="14">Flame_height_woodland(W15,fl_woodland)</f>
        <v>0.83245730400085449</v>
      </c>
      <c r="Z15" s="104">
        <f>FMC_woodland(C15,D15)</f>
        <v>8.5950002670288086</v>
      </c>
      <c r="AA15" s="56">
        <f t="shared" ref="AA15" si="15">fbi(AC15,Heath)</f>
        <v>14</v>
      </c>
      <c r="AB15" s="57">
        <f t="shared" ref="AB15" si="16">ROS_heath(F15,h_el_heath,AE15,overstorey_heath)</f>
        <v>117.61177465976716</v>
      </c>
      <c r="AC15" s="57">
        <f t="shared" ref="AC15" si="17">intensity_heath(AB15,fl_total_max_heath,fl_heath,0.2)</f>
        <v>1191.3702750956784</v>
      </c>
      <c r="AD15" s="58">
        <f>Flame_height_heath(AC15)</f>
        <v>1.406986256164984</v>
      </c>
      <c r="AE15" s="58">
        <f t="shared" ref="AE15" si="18">FMC_heath(C15,D15,rain_heath,tsr_heath)</f>
        <v>8.3899999999999988</v>
      </c>
      <c r="AF15" s="114">
        <f t="shared" ref="AF15" si="19">fbi(AH15,Pine)</f>
        <v>17</v>
      </c>
      <c r="AG15" s="115">
        <f t="array" ref="AG15:AI15">fb_pine_ensemble(F15,AJ15,G15,kbdi)</f>
        <v>816.03883812382151</v>
      </c>
      <c r="AH15" s="115">
        <v>2251.8909951973737</v>
      </c>
      <c r="AI15" s="116">
        <v>4.0868029594421387</v>
      </c>
      <c r="AJ15" s="116">
        <f>FMC_pine(C15,D15)</f>
        <v>7.3790998458862305</v>
      </c>
      <c r="AK15" s="81">
        <f t="shared" ref="AK15" si="20">FBI_mallee(F15,AO15,cov_o_mallee,AM15)</f>
        <v>5</v>
      </c>
      <c r="AL15" s="90">
        <f t="shared" ref="AL15" si="21">ROS_mallee(F15,AO15,cov_o_mallee,h_o_mallee)</f>
        <v>0</v>
      </c>
      <c r="AM15" s="90">
        <f>Intensity(AL15,fuel_load_mallee(F15,tsf,AO15,fl_s_mallee,fl_o_mallee))</f>
        <v>0</v>
      </c>
      <c r="AN15" s="89">
        <f>flame_height_mallee(AM15)</f>
        <v>0</v>
      </c>
      <c r="AO15" s="81">
        <f t="shared" ref="AO15" si="22">FMC_mallee(C15,D15,A15,B15,rain_mallee,tsr_mallee)</f>
        <v>9.98</v>
      </c>
      <c r="AP15" s="123">
        <f t="shared" ref="AP15" si="23">fbi(AQ15,Spinifex)</f>
        <v>22</v>
      </c>
      <c r="AQ15" s="133">
        <f t="shared" ref="AQ15" si="24">ROS_spinifex(F15,tsf,AT15,waf_spinifex,productivity_spinifex)</f>
        <v>1148.6068395263198</v>
      </c>
      <c r="AR15" s="133">
        <f t="shared" ref="AR15" si="25">intensity_spinifex(AQ15,tsf,productivity_spinifex,subtype_spinifex)</f>
        <v>4272.8738546060531</v>
      </c>
      <c r="AS15" s="129">
        <f t="shared" ref="AS15" si="26">flame_height_spinifex(AQ15,tsf,productivity_spinifex,subtype_spinifex)</f>
        <v>2.6587612628936768</v>
      </c>
      <c r="AT15" s="123">
        <f t="shared" ref="AT15" si="27">FMC_spinifex(AWAP_uf,tsf,D15,C15,productivity_spinifex)</f>
        <v>14</v>
      </c>
    </row>
    <row r="16" spans="1:46" x14ac:dyDescent="0.3">
      <c r="A16" s="47"/>
      <c r="B16" s="48"/>
      <c r="C16" s="49"/>
      <c r="D16" s="49"/>
      <c r="E16" s="49"/>
      <c r="F16" s="49"/>
      <c r="G16" s="49"/>
      <c r="H16" s="84"/>
      <c r="I16" s="50"/>
      <c r="J16" s="51"/>
      <c r="K16" s="51"/>
      <c r="L16" s="52"/>
      <c r="M16" s="50"/>
      <c r="N16" s="52"/>
      <c r="O16" s="53"/>
      <c r="P16" s="54"/>
      <c r="Q16" s="54"/>
      <c r="R16" s="55"/>
      <c r="S16" s="55"/>
      <c r="T16" s="55"/>
      <c r="U16" s="55"/>
      <c r="V16" s="102"/>
      <c r="W16" s="103"/>
      <c r="X16" s="103"/>
      <c r="Y16" s="104"/>
      <c r="Z16" s="104"/>
      <c r="AA16" s="56"/>
      <c r="AB16" s="57"/>
      <c r="AC16" s="57"/>
      <c r="AD16" s="58"/>
      <c r="AE16" s="58"/>
      <c r="AF16" s="114"/>
      <c r="AG16" s="115"/>
      <c r="AH16" s="115"/>
      <c r="AI16" s="116"/>
      <c r="AJ16" s="116"/>
      <c r="AK16" s="81"/>
      <c r="AL16" s="90"/>
      <c r="AM16" s="90"/>
      <c r="AN16" s="89"/>
      <c r="AO16" s="81"/>
      <c r="AP16" s="123"/>
      <c r="AQ16" s="133"/>
      <c r="AR16" s="133"/>
      <c r="AS16" s="129"/>
      <c r="AT16" s="123"/>
    </row>
    <row r="17" spans="1:46" x14ac:dyDescent="0.3">
      <c r="A17" s="47"/>
      <c r="B17" s="48"/>
      <c r="C17" s="49"/>
      <c r="D17" s="49"/>
      <c r="E17" s="49"/>
      <c r="F17" s="49"/>
      <c r="G17" s="49"/>
      <c r="H17" s="84"/>
      <c r="I17" s="50"/>
      <c r="J17" s="51"/>
      <c r="K17" s="51"/>
      <c r="L17" s="52"/>
      <c r="M17" s="50"/>
      <c r="N17" s="52"/>
      <c r="O17" s="53"/>
      <c r="P17" s="54"/>
      <c r="Q17" s="54"/>
      <c r="R17" s="55"/>
      <c r="S17" s="55"/>
      <c r="T17" s="55"/>
      <c r="U17" s="55"/>
      <c r="V17" s="102"/>
      <c r="W17" s="103"/>
      <c r="X17" s="103"/>
      <c r="Y17" s="104"/>
      <c r="Z17" s="104"/>
      <c r="AA17" s="56"/>
      <c r="AB17" s="57"/>
      <c r="AC17" s="57"/>
      <c r="AD17" s="58"/>
      <c r="AE17" s="58"/>
      <c r="AF17" s="114"/>
      <c r="AG17" s="115"/>
      <c r="AH17" s="115"/>
      <c r="AI17" s="116"/>
      <c r="AJ17" s="116"/>
      <c r="AK17" s="81"/>
      <c r="AL17" s="90"/>
      <c r="AM17" s="90"/>
      <c r="AN17" s="89"/>
      <c r="AO17" s="81"/>
      <c r="AP17" s="123"/>
      <c r="AQ17" s="133"/>
      <c r="AR17" s="133"/>
      <c r="AS17" s="129"/>
      <c r="AT17" s="123"/>
    </row>
    <row r="18" spans="1:46" x14ac:dyDescent="0.3">
      <c r="A18" s="47"/>
      <c r="B18" s="48"/>
      <c r="C18" s="49"/>
      <c r="D18" s="49"/>
      <c r="E18" s="49"/>
      <c r="F18" s="49"/>
      <c r="G18" s="49"/>
      <c r="H18" s="84"/>
      <c r="I18" s="50"/>
      <c r="J18" s="51"/>
      <c r="K18" s="51"/>
      <c r="L18" s="52"/>
      <c r="M18" s="50"/>
      <c r="N18" s="52"/>
      <c r="O18" s="53"/>
      <c r="P18" s="54"/>
      <c r="Q18" s="54"/>
      <c r="R18" s="55"/>
      <c r="S18" s="55"/>
      <c r="T18" s="55"/>
      <c r="U18" s="55"/>
      <c r="V18" s="102"/>
      <c r="W18" s="103"/>
      <c r="X18" s="103"/>
      <c r="Y18" s="104"/>
      <c r="Z18" s="104"/>
      <c r="AA18" s="56"/>
      <c r="AB18" s="57"/>
      <c r="AC18" s="57"/>
      <c r="AD18" s="58"/>
      <c r="AE18" s="58"/>
      <c r="AF18" s="114"/>
      <c r="AG18" s="115"/>
      <c r="AH18" s="115"/>
      <c r="AI18" s="116"/>
      <c r="AJ18" s="116"/>
      <c r="AK18" s="81"/>
      <c r="AL18" s="90"/>
      <c r="AM18" s="90"/>
      <c r="AN18" s="89"/>
      <c r="AO18" s="81"/>
      <c r="AP18" s="123"/>
      <c r="AQ18" s="133"/>
      <c r="AR18" s="133"/>
      <c r="AS18" s="129"/>
      <c r="AT18" s="123"/>
    </row>
    <row r="19" spans="1:46" x14ac:dyDescent="0.3">
      <c r="A19" s="47"/>
      <c r="B19" s="48"/>
      <c r="C19" s="49"/>
      <c r="D19" s="49"/>
      <c r="E19" s="49"/>
      <c r="F19" s="49"/>
      <c r="G19" s="49"/>
      <c r="H19" s="84"/>
      <c r="I19" s="50"/>
      <c r="J19" s="51"/>
      <c r="K19" s="51"/>
      <c r="L19" s="52"/>
      <c r="M19" s="50"/>
      <c r="N19" s="52"/>
      <c r="O19" s="53"/>
      <c r="P19" s="54"/>
      <c r="Q19" s="54"/>
      <c r="R19" s="55"/>
      <c r="S19" s="55"/>
      <c r="T19" s="55"/>
      <c r="U19" s="55"/>
      <c r="V19" s="102"/>
      <c r="W19" s="103"/>
      <c r="X19" s="103"/>
      <c r="Y19" s="104"/>
      <c r="Z19" s="104"/>
      <c r="AA19" s="56"/>
      <c r="AB19" s="57"/>
      <c r="AC19" s="57"/>
      <c r="AD19" s="58"/>
      <c r="AE19" s="58"/>
      <c r="AF19" s="114"/>
      <c r="AG19" s="115"/>
      <c r="AH19" s="115"/>
      <c r="AI19" s="116"/>
      <c r="AJ19" s="116"/>
      <c r="AK19" s="81"/>
      <c r="AL19" s="90"/>
      <c r="AM19" s="90"/>
      <c r="AN19" s="89"/>
      <c r="AO19" s="81"/>
      <c r="AP19" s="123"/>
      <c r="AQ19" s="133"/>
      <c r="AR19" s="133"/>
      <c r="AS19" s="129"/>
      <c r="AT19" s="123"/>
    </row>
    <row r="20" spans="1:46" x14ac:dyDescent="0.3">
      <c r="A20" s="47"/>
      <c r="B20" s="48"/>
      <c r="C20" s="49"/>
      <c r="D20" s="49"/>
      <c r="E20" s="49"/>
      <c r="F20" s="49"/>
      <c r="G20" s="49"/>
      <c r="H20" s="84"/>
      <c r="I20" s="50"/>
      <c r="J20" s="51"/>
      <c r="K20" s="51"/>
      <c r="L20" s="52"/>
      <c r="M20" s="50"/>
      <c r="N20" s="52"/>
      <c r="O20" s="53"/>
      <c r="P20" s="54"/>
      <c r="Q20" s="54"/>
      <c r="R20" s="55"/>
      <c r="S20" s="55"/>
      <c r="T20" s="55"/>
      <c r="U20" s="55"/>
      <c r="V20" s="102"/>
      <c r="W20" s="103"/>
      <c r="X20" s="103"/>
      <c r="Y20" s="104"/>
      <c r="Z20" s="104"/>
      <c r="AA20" s="56"/>
      <c r="AB20" s="57"/>
      <c r="AC20" s="57"/>
      <c r="AD20" s="58"/>
      <c r="AE20" s="58"/>
      <c r="AF20" s="114"/>
      <c r="AG20" s="115"/>
      <c r="AH20" s="115"/>
      <c r="AI20" s="116"/>
      <c r="AJ20" s="116"/>
      <c r="AK20" s="81"/>
      <c r="AL20" s="90"/>
      <c r="AM20" s="90"/>
      <c r="AN20" s="89"/>
      <c r="AO20" s="81"/>
      <c r="AP20" s="123"/>
      <c r="AQ20" s="133"/>
      <c r="AR20" s="133"/>
      <c r="AS20" s="129"/>
      <c r="AT20" s="123"/>
    </row>
    <row r="21" spans="1:46" x14ac:dyDescent="0.3">
      <c r="A21" s="47"/>
      <c r="B21" s="48"/>
      <c r="C21" s="49"/>
      <c r="D21" s="49"/>
      <c r="E21" s="49"/>
      <c r="F21" s="49"/>
      <c r="G21" s="49"/>
      <c r="H21" s="84"/>
      <c r="I21" s="50"/>
      <c r="J21" s="51"/>
      <c r="K21" s="51"/>
      <c r="L21" s="52"/>
      <c r="M21" s="50"/>
      <c r="N21" s="52"/>
      <c r="O21" s="53"/>
      <c r="P21" s="54"/>
      <c r="Q21" s="54"/>
      <c r="R21" s="55"/>
      <c r="S21" s="55"/>
      <c r="T21" s="55"/>
      <c r="U21" s="55"/>
      <c r="V21" s="102"/>
      <c r="W21" s="103"/>
      <c r="X21" s="103"/>
      <c r="Y21" s="104"/>
      <c r="Z21" s="104"/>
      <c r="AA21" s="56"/>
      <c r="AB21" s="57"/>
      <c r="AC21" s="57"/>
      <c r="AD21" s="58"/>
      <c r="AE21" s="58"/>
      <c r="AF21" s="114"/>
      <c r="AG21" s="115"/>
      <c r="AH21" s="115"/>
      <c r="AI21" s="116"/>
      <c r="AJ21" s="116"/>
      <c r="AK21" s="81"/>
      <c r="AL21" s="90"/>
      <c r="AM21" s="90"/>
      <c r="AN21" s="89"/>
      <c r="AO21" s="81"/>
      <c r="AP21" s="123"/>
      <c r="AQ21" s="133"/>
      <c r="AR21" s="133"/>
      <c r="AS21" s="129"/>
      <c r="AT21" s="123"/>
    </row>
    <row r="22" spans="1:46" x14ac:dyDescent="0.3">
      <c r="A22" s="47"/>
      <c r="B22" s="48"/>
      <c r="C22" s="49"/>
      <c r="D22" s="49"/>
      <c r="E22" s="49"/>
      <c r="F22" s="49"/>
      <c r="G22" s="49"/>
      <c r="H22" s="84"/>
      <c r="I22" s="50"/>
      <c r="J22" s="51"/>
      <c r="K22" s="51"/>
      <c r="L22" s="52"/>
      <c r="M22" s="50"/>
      <c r="N22" s="52"/>
      <c r="O22" s="53"/>
      <c r="P22" s="54"/>
      <c r="Q22" s="54"/>
      <c r="R22" s="55"/>
      <c r="S22" s="55"/>
      <c r="T22" s="55"/>
      <c r="U22" s="55"/>
      <c r="V22" s="102"/>
      <c r="W22" s="103"/>
      <c r="X22" s="103"/>
      <c r="Y22" s="104"/>
      <c r="Z22" s="104"/>
      <c r="AA22" s="56"/>
      <c r="AB22" s="57"/>
      <c r="AC22" s="57"/>
      <c r="AD22" s="58"/>
      <c r="AE22" s="58"/>
      <c r="AF22" s="114"/>
      <c r="AG22" s="115"/>
      <c r="AH22" s="115"/>
      <c r="AI22" s="116"/>
      <c r="AJ22" s="116"/>
      <c r="AK22" s="81"/>
      <c r="AL22" s="90"/>
      <c r="AM22" s="90"/>
      <c r="AN22" s="89"/>
      <c r="AO22" s="81"/>
      <c r="AP22" s="123"/>
      <c r="AQ22" s="133"/>
      <c r="AR22" s="133"/>
      <c r="AS22" s="129"/>
      <c r="AT22" s="123"/>
    </row>
    <row r="23" spans="1:46" x14ac:dyDescent="0.3">
      <c r="A23" s="47"/>
      <c r="B23" s="48"/>
      <c r="C23" s="49"/>
      <c r="D23" s="49"/>
      <c r="E23" s="49"/>
      <c r="F23" s="49"/>
      <c r="G23" s="49"/>
      <c r="H23" s="84"/>
      <c r="I23" s="50"/>
      <c r="J23" s="51"/>
      <c r="K23" s="51"/>
      <c r="L23" s="52"/>
      <c r="M23" s="50"/>
      <c r="N23" s="52"/>
      <c r="O23" s="53"/>
      <c r="P23" s="54"/>
      <c r="Q23" s="54"/>
      <c r="R23" s="55"/>
      <c r="S23" s="55"/>
      <c r="T23" s="55"/>
      <c r="U23" s="55"/>
      <c r="V23" s="102"/>
      <c r="W23" s="103"/>
      <c r="X23" s="103"/>
      <c r="Y23" s="104"/>
      <c r="Z23" s="104"/>
      <c r="AA23" s="56"/>
      <c r="AB23" s="57"/>
      <c r="AC23" s="57"/>
      <c r="AD23" s="58"/>
      <c r="AE23" s="58"/>
      <c r="AF23" s="114"/>
      <c r="AG23" s="115"/>
      <c r="AH23" s="115"/>
      <c r="AI23" s="116"/>
      <c r="AJ23" s="116"/>
      <c r="AK23" s="81"/>
      <c r="AL23" s="90"/>
      <c r="AM23" s="90"/>
      <c r="AN23" s="89"/>
      <c r="AO23" s="81"/>
      <c r="AP23" s="123"/>
      <c r="AQ23" s="133"/>
      <c r="AR23" s="133"/>
      <c r="AS23" s="129"/>
      <c r="AT23" s="123"/>
    </row>
    <row r="24" spans="1:46" x14ac:dyDescent="0.3">
      <c r="A24" s="47"/>
      <c r="B24" s="48"/>
      <c r="C24" s="49"/>
      <c r="D24" s="49"/>
      <c r="E24" s="49"/>
      <c r="F24" s="49"/>
      <c r="G24" s="49"/>
      <c r="H24" s="84"/>
      <c r="I24" s="50"/>
      <c r="J24" s="51"/>
      <c r="K24" s="51"/>
      <c r="L24" s="52"/>
      <c r="M24" s="50"/>
      <c r="N24" s="52"/>
      <c r="O24" s="53"/>
      <c r="P24" s="54"/>
      <c r="Q24" s="54"/>
      <c r="R24" s="55"/>
      <c r="S24" s="55"/>
      <c r="T24" s="55"/>
      <c r="U24" s="55"/>
      <c r="V24" s="102"/>
      <c r="W24" s="103"/>
      <c r="X24" s="103"/>
      <c r="Y24" s="104"/>
      <c r="Z24" s="104"/>
      <c r="AA24" s="56"/>
      <c r="AB24" s="57"/>
      <c r="AC24" s="57"/>
      <c r="AD24" s="58"/>
      <c r="AE24" s="58"/>
      <c r="AF24" s="114"/>
      <c r="AG24" s="115"/>
      <c r="AH24" s="115"/>
      <c r="AI24" s="116"/>
      <c r="AJ24" s="116"/>
      <c r="AK24" s="81"/>
      <c r="AL24" s="90"/>
      <c r="AM24" s="90"/>
      <c r="AN24" s="89"/>
      <c r="AO24" s="81"/>
      <c r="AP24" s="123"/>
      <c r="AQ24" s="133"/>
      <c r="AR24" s="133"/>
      <c r="AS24" s="129"/>
      <c r="AT24" s="123"/>
    </row>
    <row r="25" spans="1:46" x14ac:dyDescent="0.3">
      <c r="H25" s="84"/>
      <c r="I25" s="50"/>
      <c r="J25" s="51"/>
      <c r="K25" s="51"/>
      <c r="L25" s="52"/>
      <c r="M25" s="50"/>
      <c r="N25" s="52"/>
      <c r="O25" s="53"/>
      <c r="P25" s="54"/>
      <c r="Q25" s="54"/>
      <c r="R25" s="55"/>
      <c r="S25" s="55"/>
      <c r="T25" s="55"/>
      <c r="U25" s="55"/>
      <c r="V25" s="102"/>
      <c r="W25" s="103"/>
      <c r="X25" s="103"/>
      <c r="Y25" s="104"/>
      <c r="Z25" s="104"/>
      <c r="AA25" s="56"/>
      <c r="AB25" s="57"/>
      <c r="AC25" s="57"/>
      <c r="AD25" s="58"/>
      <c r="AE25" s="58"/>
      <c r="AF25" s="114"/>
      <c r="AG25" s="115"/>
      <c r="AH25" s="115"/>
      <c r="AI25" s="116"/>
      <c r="AJ25" s="116"/>
      <c r="AK25" s="81"/>
      <c r="AL25" s="90"/>
      <c r="AM25" s="90"/>
      <c r="AN25" s="89"/>
      <c r="AO25" s="81"/>
      <c r="AP25" s="123"/>
      <c r="AQ25" s="133"/>
      <c r="AR25" s="133"/>
      <c r="AS25" s="129"/>
      <c r="AT25" s="123"/>
    </row>
    <row r="26" spans="1:46" x14ac:dyDescent="0.3">
      <c r="H26" s="84"/>
      <c r="I26" s="50"/>
      <c r="J26" s="51"/>
      <c r="K26" s="51"/>
      <c r="L26" s="52"/>
      <c r="M26" s="50"/>
      <c r="N26" s="52"/>
      <c r="O26" s="53"/>
      <c r="P26" s="54"/>
      <c r="Q26" s="54"/>
      <c r="R26" s="55"/>
      <c r="S26" s="55"/>
      <c r="T26" s="55"/>
      <c r="U26" s="55"/>
      <c r="V26" s="102"/>
      <c r="W26" s="103"/>
      <c r="X26" s="103"/>
      <c r="Y26" s="104"/>
      <c r="Z26" s="104"/>
      <c r="AA26" s="56"/>
      <c r="AB26" s="57"/>
      <c r="AC26" s="57"/>
      <c r="AD26" s="58"/>
      <c r="AE26" s="58"/>
      <c r="AF26" s="114"/>
      <c r="AG26" s="115"/>
      <c r="AH26" s="115"/>
      <c r="AI26" s="116"/>
      <c r="AJ26" s="116"/>
      <c r="AK26" s="81"/>
      <c r="AL26" s="90"/>
      <c r="AM26" s="90"/>
      <c r="AN26" s="89"/>
      <c r="AO26" s="81"/>
      <c r="AP26" s="123"/>
      <c r="AQ26" s="133"/>
      <c r="AR26" s="133"/>
      <c r="AS26" s="129"/>
      <c r="AT26" s="123"/>
    </row>
    <row r="27" spans="1:46" x14ac:dyDescent="0.3">
      <c r="H27" s="84"/>
      <c r="I27" s="50"/>
      <c r="J27" s="51"/>
      <c r="K27" s="51"/>
      <c r="L27" s="52"/>
      <c r="M27" s="50"/>
      <c r="N27" s="52"/>
      <c r="O27" s="53"/>
      <c r="P27" s="54"/>
      <c r="Q27" s="54"/>
      <c r="R27" s="55"/>
      <c r="S27" s="55"/>
      <c r="T27" s="55"/>
      <c r="U27" s="55"/>
      <c r="V27" s="102"/>
      <c r="W27" s="103"/>
      <c r="X27" s="103"/>
      <c r="Y27" s="104"/>
      <c r="Z27" s="104"/>
      <c r="AA27" s="56"/>
      <c r="AB27" s="57"/>
      <c r="AC27" s="57"/>
      <c r="AD27" s="58"/>
      <c r="AE27" s="58"/>
      <c r="AF27" s="114"/>
      <c r="AG27" s="115"/>
      <c r="AH27" s="115"/>
      <c r="AI27" s="116"/>
      <c r="AJ27" s="116"/>
      <c r="AK27" s="81"/>
      <c r="AL27" s="90"/>
      <c r="AM27" s="90"/>
      <c r="AN27" s="89"/>
      <c r="AO27" s="81"/>
      <c r="AP27" s="123"/>
      <c r="AQ27" s="133"/>
      <c r="AR27" s="133"/>
      <c r="AS27" s="129"/>
      <c r="AT27" s="123"/>
    </row>
    <row r="28" spans="1:46" x14ac:dyDescent="0.3">
      <c r="H28" s="84"/>
      <c r="I28" s="50"/>
      <c r="J28" s="51"/>
      <c r="K28" s="51"/>
      <c r="L28" s="52"/>
      <c r="M28" s="50"/>
      <c r="N28" s="52"/>
      <c r="O28" s="53"/>
      <c r="P28" s="54"/>
      <c r="Q28" s="54"/>
      <c r="R28" s="55"/>
      <c r="S28" s="55"/>
      <c r="T28" s="55"/>
      <c r="U28" s="55"/>
      <c r="V28" s="102"/>
      <c r="W28" s="103"/>
      <c r="X28" s="103"/>
      <c r="Y28" s="104"/>
      <c r="Z28" s="104"/>
      <c r="AA28" s="56"/>
      <c r="AB28" s="57"/>
      <c r="AC28" s="57"/>
      <c r="AD28" s="58"/>
      <c r="AE28" s="58"/>
      <c r="AF28" s="114"/>
      <c r="AG28" s="115"/>
      <c r="AH28" s="115"/>
      <c r="AI28" s="116"/>
      <c r="AJ28" s="116"/>
      <c r="AK28" s="81"/>
      <c r="AL28" s="90"/>
      <c r="AM28" s="90"/>
      <c r="AN28" s="89"/>
      <c r="AO28" s="81"/>
      <c r="AP28" s="123"/>
      <c r="AQ28" s="133"/>
      <c r="AR28" s="133"/>
      <c r="AS28" s="129"/>
      <c r="AT28" s="123"/>
    </row>
    <row r="29" spans="1:46" x14ac:dyDescent="0.3">
      <c r="H29" s="84"/>
      <c r="I29" s="50"/>
      <c r="J29" s="51"/>
      <c r="K29" s="51"/>
      <c r="L29" s="52"/>
      <c r="M29" s="50"/>
      <c r="N29" s="52"/>
      <c r="O29" s="53"/>
      <c r="P29" s="54"/>
      <c r="Q29" s="54"/>
      <c r="R29" s="55"/>
      <c r="S29" s="55"/>
      <c r="T29" s="55"/>
      <c r="U29" s="55"/>
      <c r="V29" s="102"/>
      <c r="W29" s="103"/>
      <c r="X29" s="103"/>
      <c r="Y29" s="104"/>
      <c r="Z29" s="104"/>
      <c r="AA29" s="56"/>
      <c r="AB29" s="57"/>
      <c r="AC29" s="57"/>
      <c r="AD29" s="58"/>
      <c r="AE29" s="58"/>
      <c r="AF29" s="114"/>
      <c r="AG29" s="115"/>
      <c r="AH29" s="115"/>
      <c r="AI29" s="116"/>
      <c r="AJ29" s="116"/>
      <c r="AK29" s="81"/>
      <c r="AL29" s="90"/>
      <c r="AM29" s="90"/>
      <c r="AN29" s="89"/>
      <c r="AO29" s="81"/>
      <c r="AP29" s="123"/>
      <c r="AQ29" s="133"/>
      <c r="AR29" s="133"/>
      <c r="AS29" s="129"/>
      <c r="AT29" s="123"/>
    </row>
    <row r="30" spans="1:46" x14ac:dyDescent="0.3">
      <c r="H30" s="84"/>
      <c r="I30" s="50"/>
      <c r="J30" s="51"/>
      <c r="K30" s="51"/>
      <c r="L30" s="52"/>
      <c r="M30" s="50"/>
      <c r="N30" s="52"/>
      <c r="O30" s="53"/>
      <c r="P30" s="54"/>
      <c r="Q30" s="54"/>
      <c r="R30" s="55"/>
      <c r="S30" s="55"/>
      <c r="T30" s="55"/>
      <c r="U30" s="55"/>
      <c r="V30" s="102"/>
      <c r="W30" s="103"/>
      <c r="X30" s="103"/>
      <c r="Y30" s="104"/>
      <c r="Z30" s="104"/>
      <c r="AA30" s="56"/>
      <c r="AB30" s="57"/>
      <c r="AC30" s="57"/>
      <c r="AD30" s="58"/>
      <c r="AE30" s="58"/>
      <c r="AF30" s="114"/>
      <c r="AG30" s="115"/>
      <c r="AH30" s="115"/>
      <c r="AI30" s="116"/>
      <c r="AJ30" s="116"/>
      <c r="AK30" s="81"/>
      <c r="AL30" s="90"/>
      <c r="AM30" s="90"/>
      <c r="AN30" s="89"/>
      <c r="AO30" s="81"/>
      <c r="AP30" s="123"/>
      <c r="AQ30" s="133"/>
      <c r="AR30" s="133"/>
      <c r="AS30" s="129"/>
      <c r="AT30" s="123"/>
    </row>
    <row r="31" spans="1:46" x14ac:dyDescent="0.3">
      <c r="H31" s="84"/>
      <c r="I31" s="50"/>
      <c r="J31" s="51"/>
      <c r="K31" s="51"/>
      <c r="L31" s="52"/>
      <c r="M31" s="50"/>
      <c r="N31" s="52"/>
      <c r="O31" s="53"/>
      <c r="P31" s="54"/>
      <c r="Q31" s="54"/>
      <c r="R31" s="55"/>
      <c r="S31" s="55"/>
      <c r="T31" s="55"/>
      <c r="U31" s="55"/>
      <c r="V31" s="102"/>
      <c r="W31" s="103"/>
      <c r="X31" s="103"/>
      <c r="Y31" s="104"/>
      <c r="Z31" s="104"/>
      <c r="AA31" s="56"/>
      <c r="AB31" s="57"/>
      <c r="AC31" s="57"/>
      <c r="AD31" s="58"/>
      <c r="AE31" s="58"/>
      <c r="AF31" s="114"/>
      <c r="AG31" s="115"/>
      <c r="AH31" s="115"/>
      <c r="AI31" s="116"/>
      <c r="AJ31" s="116"/>
      <c r="AK31" s="81"/>
      <c r="AL31" s="90"/>
      <c r="AM31" s="90"/>
      <c r="AN31" s="89"/>
      <c r="AO31" s="81"/>
      <c r="AP31" s="123"/>
      <c r="AQ31" s="133"/>
      <c r="AR31" s="133"/>
      <c r="AS31" s="129"/>
      <c r="AT31" s="123"/>
    </row>
    <row r="32" spans="1:46" x14ac:dyDescent="0.3">
      <c r="H32" s="84"/>
      <c r="I32" s="50"/>
      <c r="J32" s="51"/>
      <c r="K32" s="51"/>
      <c r="L32" s="52"/>
      <c r="M32" s="50"/>
      <c r="N32" s="52"/>
      <c r="O32" s="53"/>
      <c r="P32" s="54"/>
      <c r="Q32" s="54"/>
      <c r="R32" s="55"/>
      <c r="S32" s="55"/>
      <c r="T32" s="55"/>
      <c r="U32" s="55"/>
      <c r="V32" s="102"/>
      <c r="W32" s="103"/>
      <c r="X32" s="103"/>
      <c r="Y32" s="104"/>
      <c r="Z32" s="104"/>
      <c r="AA32" s="56"/>
      <c r="AB32" s="57"/>
      <c r="AC32" s="57"/>
      <c r="AD32" s="58"/>
      <c r="AE32" s="58"/>
      <c r="AF32" s="114"/>
      <c r="AG32" s="115"/>
      <c r="AH32" s="115"/>
      <c r="AI32" s="116"/>
      <c r="AJ32" s="116"/>
      <c r="AK32" s="81"/>
      <c r="AL32" s="90"/>
      <c r="AM32" s="90"/>
      <c r="AN32" s="89"/>
      <c r="AO32" s="81"/>
      <c r="AP32" s="123"/>
      <c r="AQ32" s="133"/>
      <c r="AR32" s="133"/>
      <c r="AS32" s="129"/>
      <c r="AT32" s="123"/>
    </row>
    <row r="33" spans="8:46" x14ac:dyDescent="0.3">
      <c r="H33" s="84"/>
      <c r="I33" s="50"/>
      <c r="J33" s="51"/>
      <c r="K33" s="51"/>
      <c r="L33" s="52"/>
      <c r="M33" s="50"/>
      <c r="N33" s="52"/>
      <c r="O33" s="53"/>
      <c r="P33" s="54"/>
      <c r="Q33" s="54"/>
      <c r="R33" s="55"/>
      <c r="S33" s="55"/>
      <c r="T33" s="55"/>
      <c r="U33" s="55"/>
      <c r="V33" s="102"/>
      <c r="W33" s="103"/>
      <c r="X33" s="103"/>
      <c r="Y33" s="104"/>
      <c r="Z33" s="104"/>
      <c r="AA33" s="56"/>
      <c r="AB33" s="57"/>
      <c r="AC33" s="57"/>
      <c r="AD33" s="58"/>
      <c r="AE33" s="58"/>
      <c r="AF33" s="114"/>
      <c r="AG33" s="115"/>
      <c r="AH33" s="115"/>
      <c r="AI33" s="116"/>
      <c r="AJ33" s="116"/>
      <c r="AK33" s="81"/>
      <c r="AL33" s="90"/>
      <c r="AM33" s="90"/>
      <c r="AN33" s="89"/>
      <c r="AO33" s="81"/>
      <c r="AP33" s="123"/>
      <c r="AQ33" s="133"/>
      <c r="AR33" s="133"/>
      <c r="AS33" s="129"/>
      <c r="AT33" s="123"/>
    </row>
    <row r="34" spans="8:46" x14ac:dyDescent="0.3">
      <c r="H34" s="84"/>
      <c r="I34" s="50"/>
      <c r="J34" s="51"/>
      <c r="K34" s="51"/>
      <c r="L34" s="52"/>
      <c r="M34" s="50"/>
      <c r="N34" s="52"/>
      <c r="O34" s="53"/>
      <c r="P34" s="54"/>
      <c r="Q34" s="54"/>
      <c r="R34" s="55"/>
      <c r="S34" s="55"/>
      <c r="T34" s="55"/>
      <c r="U34" s="55"/>
      <c r="V34" s="102"/>
      <c r="W34" s="103"/>
      <c r="X34" s="103"/>
      <c r="Y34" s="104"/>
      <c r="Z34" s="104"/>
      <c r="AA34" s="56"/>
      <c r="AB34" s="57"/>
      <c r="AC34" s="57"/>
      <c r="AD34" s="58"/>
      <c r="AE34" s="58"/>
      <c r="AF34" s="114"/>
      <c r="AG34" s="115"/>
      <c r="AH34" s="115"/>
      <c r="AI34" s="116"/>
      <c r="AJ34" s="116"/>
      <c r="AK34" s="81"/>
      <c r="AL34" s="90"/>
      <c r="AM34" s="90"/>
      <c r="AN34" s="89"/>
      <c r="AO34" s="81"/>
      <c r="AP34" s="123"/>
      <c r="AQ34" s="133"/>
      <c r="AR34" s="133"/>
      <c r="AS34" s="129"/>
      <c r="AT34" s="123"/>
    </row>
    <row r="35" spans="8:46" x14ac:dyDescent="0.3">
      <c r="H35" s="84"/>
      <c r="I35" s="50"/>
      <c r="J35" s="51"/>
      <c r="K35" s="51"/>
      <c r="L35" s="52"/>
      <c r="M35" s="50"/>
      <c r="N35" s="52"/>
      <c r="O35" s="53"/>
      <c r="P35" s="54"/>
      <c r="Q35" s="54"/>
      <c r="R35" s="55"/>
      <c r="S35" s="55"/>
      <c r="T35" s="55"/>
      <c r="U35" s="55"/>
      <c r="V35" s="102"/>
      <c r="W35" s="103"/>
      <c r="X35" s="103"/>
      <c r="Y35" s="104"/>
      <c r="Z35" s="104"/>
      <c r="AA35" s="56"/>
      <c r="AB35" s="57"/>
      <c r="AC35" s="57"/>
      <c r="AD35" s="58"/>
      <c r="AE35" s="58"/>
      <c r="AF35" s="114"/>
      <c r="AG35" s="115"/>
      <c r="AH35" s="115"/>
      <c r="AI35" s="116"/>
      <c r="AJ35" s="116"/>
      <c r="AK35" s="81"/>
      <c r="AL35" s="90"/>
      <c r="AM35" s="90"/>
      <c r="AN35" s="89"/>
      <c r="AO35" s="81"/>
      <c r="AP35" s="123"/>
      <c r="AQ35" s="133"/>
      <c r="AR35" s="133"/>
      <c r="AS35" s="129"/>
      <c r="AT35" s="123"/>
    </row>
    <row r="36" spans="8:46" x14ac:dyDescent="0.3">
      <c r="H36" s="84"/>
      <c r="I36" s="50"/>
      <c r="J36" s="51"/>
      <c r="K36" s="51"/>
      <c r="L36" s="52"/>
      <c r="M36" s="50"/>
      <c r="N36" s="52"/>
      <c r="O36" s="53"/>
      <c r="P36" s="54"/>
      <c r="Q36" s="54"/>
      <c r="R36" s="55"/>
      <c r="S36" s="55"/>
      <c r="T36" s="55"/>
      <c r="U36" s="55"/>
      <c r="V36" s="102"/>
      <c r="W36" s="103"/>
      <c r="X36" s="103"/>
      <c r="Y36" s="104"/>
      <c r="Z36" s="104"/>
      <c r="AA36" s="56"/>
      <c r="AB36" s="57"/>
      <c r="AC36" s="57"/>
      <c r="AD36" s="58"/>
      <c r="AE36" s="58"/>
      <c r="AF36" s="114"/>
      <c r="AG36" s="115"/>
      <c r="AH36" s="115"/>
      <c r="AI36" s="116"/>
      <c r="AJ36" s="116"/>
      <c r="AK36" s="81"/>
      <c r="AL36" s="90"/>
      <c r="AM36" s="90"/>
      <c r="AN36" s="89"/>
      <c r="AO36" s="81"/>
      <c r="AP36" s="123"/>
      <c r="AQ36" s="133"/>
      <c r="AR36" s="133"/>
      <c r="AS36" s="129"/>
      <c r="AT36" s="123"/>
    </row>
    <row r="37" spans="8:46" x14ac:dyDescent="0.3">
      <c r="H37" s="84"/>
      <c r="I37" s="50"/>
      <c r="J37" s="51"/>
      <c r="K37" s="51"/>
      <c r="L37" s="52"/>
      <c r="M37" s="50"/>
      <c r="N37" s="52"/>
      <c r="O37" s="53"/>
      <c r="P37" s="54"/>
      <c r="Q37" s="54"/>
      <c r="R37" s="55"/>
      <c r="S37" s="55"/>
      <c r="T37" s="55"/>
      <c r="U37" s="55"/>
      <c r="V37" s="102"/>
      <c r="W37" s="103"/>
      <c r="X37" s="103"/>
      <c r="Y37" s="104"/>
      <c r="Z37" s="104"/>
      <c r="AA37" s="56"/>
      <c r="AB37" s="57"/>
      <c r="AC37" s="57"/>
      <c r="AD37" s="58"/>
      <c r="AE37" s="58"/>
      <c r="AF37" s="114"/>
      <c r="AG37" s="115"/>
      <c r="AH37" s="115"/>
      <c r="AI37" s="116"/>
      <c r="AJ37" s="116"/>
      <c r="AK37" s="81"/>
      <c r="AL37" s="90"/>
      <c r="AM37" s="90"/>
      <c r="AN37" s="89"/>
      <c r="AO37" s="81"/>
      <c r="AP37" s="123"/>
      <c r="AQ37" s="133"/>
      <c r="AR37" s="133"/>
      <c r="AS37" s="129"/>
      <c r="AT37" s="123"/>
    </row>
    <row r="38" spans="8:46" x14ac:dyDescent="0.3">
      <c r="H38" s="84"/>
      <c r="I38" s="50"/>
      <c r="J38" s="51"/>
      <c r="K38" s="51"/>
      <c r="L38" s="52"/>
      <c r="M38" s="50"/>
      <c r="N38" s="52"/>
      <c r="O38" s="53"/>
      <c r="P38" s="54"/>
      <c r="Q38" s="54"/>
      <c r="R38" s="55"/>
      <c r="S38" s="55"/>
      <c r="T38" s="55"/>
      <c r="U38" s="55"/>
      <c r="V38" s="102"/>
      <c r="W38" s="103"/>
      <c r="X38" s="103"/>
      <c r="Y38" s="104"/>
      <c r="Z38" s="104"/>
      <c r="AA38" s="56"/>
      <c r="AB38" s="57"/>
      <c r="AC38" s="57"/>
      <c r="AD38" s="58"/>
      <c r="AE38" s="58"/>
      <c r="AF38" s="114"/>
      <c r="AG38" s="115"/>
      <c r="AH38" s="115"/>
      <c r="AI38" s="116"/>
      <c r="AJ38" s="116"/>
      <c r="AK38" s="81"/>
      <c r="AL38" s="90"/>
      <c r="AM38" s="90"/>
      <c r="AN38" s="89"/>
      <c r="AO38" s="81"/>
      <c r="AP38" s="123"/>
      <c r="AQ38" s="133"/>
      <c r="AR38" s="133"/>
      <c r="AS38" s="129"/>
      <c r="AT38" s="123"/>
    </row>
    <row r="39" spans="8:46" x14ac:dyDescent="0.3">
      <c r="H39" s="84"/>
      <c r="I39" s="50"/>
      <c r="J39" s="51"/>
      <c r="K39" s="51"/>
      <c r="L39" s="52"/>
      <c r="M39" s="50"/>
      <c r="N39" s="52"/>
      <c r="O39" s="53"/>
      <c r="P39" s="54"/>
      <c r="Q39" s="54"/>
      <c r="R39" s="55"/>
      <c r="S39" s="55"/>
      <c r="T39" s="55"/>
      <c r="U39" s="55"/>
      <c r="V39" s="102"/>
      <c r="W39" s="103"/>
      <c r="X39" s="103"/>
      <c r="Y39" s="104"/>
      <c r="Z39" s="104"/>
      <c r="AA39" s="56"/>
      <c r="AB39" s="57"/>
      <c r="AC39" s="57"/>
      <c r="AD39" s="58"/>
      <c r="AE39" s="58"/>
      <c r="AF39" s="114"/>
      <c r="AG39" s="115"/>
      <c r="AH39" s="115"/>
      <c r="AI39" s="116"/>
      <c r="AJ39" s="116"/>
      <c r="AK39" s="81"/>
      <c r="AL39" s="90"/>
      <c r="AM39" s="90"/>
      <c r="AN39" s="89"/>
      <c r="AO39" s="81"/>
      <c r="AP39" s="123"/>
      <c r="AQ39" s="133"/>
      <c r="AR39" s="133"/>
      <c r="AS39" s="129"/>
      <c r="AT39" s="123"/>
    </row>
    <row r="40" spans="8:46" x14ac:dyDescent="0.3">
      <c r="P40" s="8"/>
      <c r="Q40" s="8"/>
      <c r="T40" s="55"/>
      <c r="U40" s="55"/>
      <c r="V40" s="103"/>
      <c r="W40" s="103"/>
      <c r="X40" s="103"/>
      <c r="Y40" s="104"/>
      <c r="Z40" s="104"/>
      <c r="AA40" s="56"/>
      <c r="AB40" s="56"/>
      <c r="AC40" s="56"/>
      <c r="AF40" s="114"/>
      <c r="AG40" s="114"/>
    </row>
    <row r="41" spans="8:46" x14ac:dyDescent="0.3">
      <c r="P41" s="8"/>
      <c r="Q41" s="8"/>
      <c r="T41" s="55"/>
      <c r="U41" s="55"/>
      <c r="V41" s="103"/>
      <c r="W41" s="103"/>
      <c r="X41" s="103"/>
      <c r="Y41" s="104"/>
      <c r="Z41" s="104"/>
      <c r="AA41" s="56"/>
      <c r="AB41" s="56"/>
      <c r="AC41" s="56"/>
      <c r="AF41" s="114"/>
      <c r="AG41" s="114"/>
    </row>
    <row r="42" spans="8:46" x14ac:dyDescent="0.3">
      <c r="P42" s="8"/>
      <c r="Q42" s="8"/>
      <c r="T42" s="55"/>
      <c r="U42" s="55"/>
      <c r="V42" s="103"/>
      <c r="W42" s="103"/>
      <c r="X42" s="103"/>
      <c r="Y42" s="104"/>
      <c r="Z42" s="104"/>
      <c r="AA42" s="56"/>
      <c r="AB42" s="56"/>
      <c r="AC42" s="56"/>
      <c r="AF42" s="114"/>
      <c r="AG42" s="114"/>
    </row>
    <row r="43" spans="8:46" x14ac:dyDescent="0.3">
      <c r="P43" s="8"/>
      <c r="Q43" s="8"/>
      <c r="T43" s="55"/>
      <c r="U43" s="55"/>
      <c r="V43" s="103"/>
      <c r="W43" s="103"/>
      <c r="X43" s="103"/>
      <c r="Y43" s="104"/>
      <c r="Z43" s="104"/>
      <c r="AA43" s="56"/>
      <c r="AB43" s="56"/>
      <c r="AC43" s="56"/>
      <c r="AF43" s="114"/>
      <c r="AG43" s="114"/>
    </row>
    <row r="44" spans="8:46" x14ac:dyDescent="0.3">
      <c r="P44" s="8"/>
      <c r="Q44" s="8"/>
      <c r="T44" s="55"/>
      <c r="U44" s="55"/>
      <c r="V44" s="103"/>
      <c r="W44" s="103"/>
      <c r="X44" s="103"/>
      <c r="Y44" s="104"/>
      <c r="Z44" s="104"/>
      <c r="AA44" s="56"/>
      <c r="AB44" s="56"/>
      <c r="AC44" s="56"/>
      <c r="AF44" s="114"/>
      <c r="AG44" s="114"/>
    </row>
    <row r="45" spans="8:46" x14ac:dyDescent="0.3">
      <c r="P45" s="8"/>
      <c r="Q45" s="8"/>
      <c r="T45" s="55"/>
      <c r="U45" s="55"/>
      <c r="V45" s="103"/>
      <c r="W45" s="103"/>
      <c r="X45" s="103"/>
      <c r="Y45" s="104"/>
      <c r="Z45" s="104"/>
      <c r="AA45" s="56"/>
      <c r="AB45" s="56"/>
      <c r="AC45" s="56"/>
      <c r="AF45" s="114"/>
      <c r="AG45" s="114"/>
    </row>
    <row r="46" spans="8:46" x14ac:dyDescent="0.3">
      <c r="P46" s="8"/>
      <c r="Q46" s="8"/>
      <c r="T46" s="55"/>
      <c r="U46" s="55"/>
      <c r="V46" s="103"/>
      <c r="W46" s="103"/>
      <c r="X46" s="103"/>
      <c r="Y46" s="104"/>
      <c r="Z46" s="104"/>
      <c r="AA46" s="56"/>
      <c r="AB46" s="56"/>
      <c r="AC46" s="56"/>
      <c r="AF46" s="114"/>
      <c r="AG46" s="114"/>
    </row>
    <row r="47" spans="8:46" x14ac:dyDescent="0.3">
      <c r="P47" s="8"/>
      <c r="Q47" s="8"/>
      <c r="T47" s="55"/>
      <c r="U47" s="55"/>
      <c r="V47" s="103"/>
      <c r="W47" s="103"/>
      <c r="X47" s="103"/>
      <c r="Y47" s="104"/>
      <c r="Z47" s="104"/>
      <c r="AA47" s="56"/>
      <c r="AB47" s="56"/>
      <c r="AC47" s="56"/>
      <c r="AF47" s="114"/>
      <c r="AG47" s="114"/>
    </row>
    <row r="48" spans="8:46" x14ac:dyDescent="0.3">
      <c r="P48" s="8"/>
      <c r="Q48" s="8"/>
      <c r="T48" s="55"/>
      <c r="U48" s="55"/>
      <c r="V48" s="103"/>
      <c r="W48" s="103"/>
      <c r="X48" s="103"/>
      <c r="Y48" s="104"/>
      <c r="Z48" s="104"/>
      <c r="AA48" s="56"/>
      <c r="AB48" s="56"/>
      <c r="AC48" s="56"/>
      <c r="AF48" s="114"/>
      <c r="AG48" s="114"/>
    </row>
    <row r="49" spans="16:33" x14ac:dyDescent="0.3">
      <c r="P49" s="8"/>
      <c r="Q49" s="8"/>
      <c r="T49" s="55"/>
      <c r="U49" s="55"/>
      <c r="V49" s="103"/>
      <c r="W49" s="103"/>
      <c r="X49" s="103"/>
      <c r="Y49" s="104"/>
      <c r="Z49" s="104"/>
      <c r="AA49" s="56"/>
      <c r="AB49" s="56"/>
      <c r="AC49" s="56"/>
      <c r="AF49" s="114"/>
      <c r="AG49" s="114"/>
    </row>
    <row r="50" spans="16:33" x14ac:dyDescent="0.3">
      <c r="P50" s="8"/>
      <c r="Q50" s="8"/>
      <c r="T50" s="55"/>
      <c r="U50" s="55"/>
      <c r="V50" s="103"/>
      <c r="W50" s="103"/>
      <c r="X50" s="103"/>
      <c r="Y50" s="104"/>
      <c r="Z50" s="104"/>
      <c r="AA50" s="56"/>
      <c r="AB50" s="56"/>
      <c r="AC50" s="56"/>
      <c r="AF50" s="114"/>
      <c r="AG50" s="114"/>
    </row>
    <row r="51" spans="16:33" x14ac:dyDescent="0.3">
      <c r="P51" s="8"/>
      <c r="Q51" s="8"/>
      <c r="T51" s="55"/>
      <c r="U51" s="55"/>
      <c r="V51" s="103"/>
      <c r="W51" s="103"/>
      <c r="X51" s="103"/>
      <c r="Y51" s="104"/>
      <c r="Z51" s="104"/>
      <c r="AA51" s="56"/>
      <c r="AB51" s="56"/>
      <c r="AC51" s="56"/>
      <c r="AF51" s="114"/>
      <c r="AG51" s="114"/>
    </row>
    <row r="52" spans="16:33" x14ac:dyDescent="0.3">
      <c r="P52" s="8"/>
      <c r="Q52" s="8"/>
      <c r="T52" s="55"/>
      <c r="U52" s="55"/>
      <c r="V52" s="103"/>
      <c r="W52" s="103"/>
      <c r="X52" s="103"/>
      <c r="Y52" s="104"/>
      <c r="Z52" s="104"/>
      <c r="AA52" s="56"/>
      <c r="AB52" s="56"/>
      <c r="AC52" s="56"/>
      <c r="AF52" s="114"/>
      <c r="AG52" s="114"/>
    </row>
    <row r="53" spans="16:33" x14ac:dyDescent="0.3">
      <c r="P53" s="8"/>
      <c r="Q53" s="8"/>
      <c r="T53" s="55"/>
      <c r="U53" s="55"/>
      <c r="V53" s="103"/>
      <c r="W53" s="103"/>
      <c r="X53" s="103"/>
      <c r="Y53" s="104"/>
      <c r="Z53" s="104"/>
      <c r="AA53" s="56"/>
      <c r="AB53" s="56"/>
      <c r="AC53" s="56"/>
      <c r="AF53" s="114"/>
      <c r="AG53" s="114"/>
    </row>
    <row r="54" spans="16:33" x14ac:dyDescent="0.3">
      <c r="P54" s="8"/>
      <c r="Q54" s="8"/>
      <c r="T54" s="55"/>
      <c r="U54" s="55"/>
      <c r="V54" s="103"/>
      <c r="W54" s="103"/>
      <c r="X54" s="103"/>
      <c r="Y54" s="104"/>
      <c r="Z54" s="104"/>
      <c r="AA54" s="56"/>
      <c r="AB54" s="56"/>
      <c r="AC54" s="56"/>
      <c r="AF54" s="114"/>
      <c r="AG54" s="114"/>
    </row>
    <row r="55" spans="16:33" x14ac:dyDescent="0.3">
      <c r="P55" s="8"/>
      <c r="Q55" s="8"/>
      <c r="T55" s="55"/>
      <c r="U55" s="55"/>
      <c r="V55" s="103"/>
      <c r="W55" s="103"/>
      <c r="X55" s="103"/>
      <c r="Y55" s="104"/>
      <c r="Z55" s="104"/>
      <c r="AA55" s="56"/>
      <c r="AB55" s="56"/>
      <c r="AC55" s="56"/>
      <c r="AF55" s="114"/>
      <c r="AG55" s="114"/>
    </row>
    <row r="56" spans="16:33" x14ac:dyDescent="0.3">
      <c r="P56" s="8"/>
      <c r="Q56" s="8"/>
      <c r="T56" s="55"/>
      <c r="U56" s="55"/>
      <c r="V56" s="103"/>
      <c r="W56" s="103"/>
      <c r="X56" s="103"/>
      <c r="Y56" s="104"/>
      <c r="Z56" s="104"/>
      <c r="AA56" s="56"/>
      <c r="AB56" s="56"/>
      <c r="AC56" s="56"/>
      <c r="AF56" s="114"/>
      <c r="AG56" s="114"/>
    </row>
    <row r="57" spans="16:33" x14ac:dyDescent="0.3">
      <c r="P57" s="8"/>
      <c r="Q57" s="8"/>
      <c r="T57" s="55"/>
      <c r="U57" s="55"/>
      <c r="V57" s="103"/>
      <c r="W57" s="103"/>
      <c r="X57" s="103"/>
      <c r="Y57" s="104"/>
      <c r="Z57" s="104"/>
      <c r="AA57" s="56"/>
      <c r="AB57" s="56"/>
      <c r="AC57" s="56"/>
    </row>
    <row r="58" spans="16:33" x14ac:dyDescent="0.3">
      <c r="P58" s="8"/>
      <c r="Q58" s="8"/>
      <c r="T58" s="55"/>
      <c r="U58" s="55"/>
      <c r="V58" s="103"/>
      <c r="W58" s="103"/>
      <c r="X58" s="103"/>
      <c r="Y58" s="104"/>
      <c r="Z58" s="104"/>
      <c r="AA58" s="56"/>
      <c r="AB58" s="56"/>
      <c r="AC58" s="56"/>
    </row>
    <row r="59" spans="16:33" x14ac:dyDescent="0.3">
      <c r="P59" s="8"/>
      <c r="Q59" s="8"/>
      <c r="T59" s="55"/>
      <c r="U59" s="55"/>
      <c r="V59" s="103"/>
      <c r="W59" s="103"/>
      <c r="X59" s="103"/>
      <c r="Y59" s="104"/>
      <c r="Z59" s="104"/>
      <c r="AA59" s="56"/>
      <c r="AB59" s="56"/>
      <c r="AC59" s="56"/>
    </row>
    <row r="60" spans="16:33" x14ac:dyDescent="0.3">
      <c r="P60" s="8"/>
      <c r="Q60" s="8"/>
    </row>
  </sheetData>
  <mergeCells count="2">
    <mergeCell ref="B1:C1"/>
    <mergeCell ref="Y3:Z3"/>
  </mergeCells>
  <conditionalFormatting sqref="O40:Q60 O15:O1048576">
    <cfRule type="expression" dxfId="35" priority="29">
      <formula>$O15&gt;=100</formula>
    </cfRule>
    <cfRule type="expression" dxfId="34" priority="30">
      <formula>$O15&gt;=50</formula>
    </cfRule>
    <cfRule type="expression" dxfId="33" priority="31">
      <formula>$O15&gt;=24</formula>
    </cfRule>
    <cfRule type="expression" dxfId="32" priority="32">
      <formula>$O15&gt;=12</formula>
    </cfRule>
  </conditionalFormatting>
  <conditionalFormatting sqref="I15:I1048576">
    <cfRule type="expression" dxfId="31" priority="33">
      <formula>$I15&gt;=100</formula>
    </cfRule>
    <cfRule type="expression" dxfId="30" priority="34">
      <formula>$I15&gt;50</formula>
    </cfRule>
    <cfRule type="expression" dxfId="29" priority="35">
      <formula>$I15&gt;=24</formula>
    </cfRule>
    <cfRule type="expression" dxfId="28" priority="36">
      <formula>$I15&gt;=12</formula>
    </cfRule>
  </conditionalFormatting>
  <conditionalFormatting sqref="AA60:AA179 AA15:AA39">
    <cfRule type="expression" dxfId="27" priority="28">
      <formula>$AA15&gt;=12</formula>
    </cfRule>
  </conditionalFormatting>
  <conditionalFormatting sqref="AA60:AA179 AA15:AA39">
    <cfRule type="expression" dxfId="26" priority="25">
      <formula>$AA15&gt;=100</formula>
    </cfRule>
    <cfRule type="expression" dxfId="25" priority="26">
      <formula>$AA15&gt;=50</formula>
    </cfRule>
    <cfRule type="expression" dxfId="24" priority="27">
      <formula>$AA15&gt;=24</formula>
    </cfRule>
  </conditionalFormatting>
  <conditionalFormatting sqref="AF57:AF179 AF15:AF39">
    <cfRule type="expression" dxfId="23" priority="24">
      <formula>$AF15&gt;=12</formula>
    </cfRule>
  </conditionalFormatting>
  <conditionalFormatting sqref="AF57:AF179 AF15:AF39">
    <cfRule type="expression" dxfId="22" priority="21">
      <formula>$AF15&gt;=100</formula>
    </cfRule>
    <cfRule type="expression" dxfId="21" priority="22">
      <formula>$AF15&gt;=50</formula>
    </cfRule>
    <cfRule type="expression" dxfId="20" priority="23">
      <formula>$AF15&gt;=24</formula>
    </cfRule>
  </conditionalFormatting>
  <conditionalFormatting sqref="AK15:AK39">
    <cfRule type="expression" dxfId="19" priority="20">
      <formula>AK15&gt;=12</formula>
    </cfRule>
  </conditionalFormatting>
  <conditionalFormatting sqref="AK15:AK39">
    <cfRule type="expression" dxfId="18" priority="17">
      <formula>AK15&gt;=100</formula>
    </cfRule>
    <cfRule type="expression" dxfId="17" priority="18">
      <formula>AK15&gt;=50</formula>
    </cfRule>
    <cfRule type="expression" dxfId="16" priority="19">
      <formula>AK15&gt;=24</formula>
    </cfRule>
  </conditionalFormatting>
  <conditionalFormatting sqref="AA40:AC59">
    <cfRule type="expression" dxfId="15" priority="16">
      <formula>$AA40&gt;=12</formula>
    </cfRule>
  </conditionalFormatting>
  <conditionalFormatting sqref="AA40:AC59">
    <cfRule type="expression" dxfId="14" priority="13">
      <formula>$AA40&gt;=100</formula>
    </cfRule>
    <cfRule type="expression" dxfId="13" priority="14">
      <formula>$AA40&gt;=50</formula>
    </cfRule>
    <cfRule type="expression" dxfId="12" priority="15">
      <formula>$AA40&gt;=24</formula>
    </cfRule>
  </conditionalFormatting>
  <conditionalFormatting sqref="AF40:AG56">
    <cfRule type="expression" dxfId="11" priority="12">
      <formula>$AF40&gt;=12</formula>
    </cfRule>
  </conditionalFormatting>
  <conditionalFormatting sqref="AF40:AG56">
    <cfRule type="expression" dxfId="10" priority="9">
      <formula>$AF40&gt;=100</formula>
    </cfRule>
    <cfRule type="expression" dxfId="9" priority="10">
      <formula>$AF40&gt;=50</formula>
    </cfRule>
    <cfRule type="expression" dxfId="8" priority="11">
      <formula>$AF40&gt;=24</formula>
    </cfRule>
  </conditionalFormatting>
  <conditionalFormatting sqref="V15:V39">
    <cfRule type="expression" dxfId="7" priority="5">
      <formula>$O15&gt;=100</formula>
    </cfRule>
    <cfRule type="expression" dxfId="6" priority="6">
      <formula>$O15&gt;=50</formula>
    </cfRule>
    <cfRule type="expression" dxfId="5" priority="7">
      <formula>$O15&gt;=24</formula>
    </cfRule>
    <cfRule type="expression" dxfId="4" priority="8">
      <formula>$O15&gt;=12</formula>
    </cfRule>
  </conditionalFormatting>
  <conditionalFormatting sqref="AP15:AP39">
    <cfRule type="expression" dxfId="3" priority="1">
      <formula>$AF15&gt;=100</formula>
    </cfRule>
    <cfRule type="expression" dxfId="2" priority="2">
      <formula>$AF15&gt;=50</formula>
    </cfRule>
    <cfRule type="expression" dxfId="1" priority="3">
      <formula>$AF15&gt;=24</formula>
    </cfRule>
  </conditionalFormatting>
  <conditionalFormatting sqref="AP15:AP39">
    <cfRule type="expression" dxfId="0" priority="4">
      <formula>$AF15&gt;=12</formula>
    </cfRule>
  </conditionalFormatting>
  <dataValidations count="25">
    <dataValidation type="decimal" allowBlank="1" showInputMessage="1" showErrorMessage="1" errorTitle="Invalid Curing %" error="Choose a value between 0 and 100" promptTitle="Curing (%)" prompt="select a value betwen 0 and 100" sqref="Q4:R4">
      <formula1>0</formula1>
      <formula2>100</formula2>
    </dataValidation>
    <dataValidation type="decimal" errorStyle="warning" showInputMessage="1" showErrorMessage="1" errorTitle="Invalid WAF" error="Enter a number between 1 and 6" promptTitle="WAF" prompt="Enter a number between 1 and 6._x000a_Dry-open eucalypt forest typically has values 3.0 to 3.5_x000a_Wet forest typically has values 4.5 to 6_x000a_" sqref="J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R2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">
      <formula1>0</formula1>
      <formula2>4</formula2>
    </dataValidation>
    <dataValidation type="decimal" showInputMessage="1" showErrorMessage="1" promptTitle="Canopy Fuel Height" prompt="Enter an AVERAGE canopy fuel height between 10 and 60 m" sqref="J12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P4 Y5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G13:H13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AE2 AO7 AT4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AE3 AO8 AT5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E5">
      <formula1>0</formula1>
      <formula2>4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O2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O3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O5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Y6">
      <formula1>0.3</formula1>
      <formula2>1</formula2>
    </dataValidation>
    <dataValidation type="decimal" allowBlank="1" showInputMessage="1" showErrorMessage="1" errorTitle="Invalid grass fue load" error="Enter a value between 1 to 12 t/ha" promptTitle="Fuel load (grass)" prompt="enter the fuel load of the grass stratum (t/ha) in the range 1 to 12" sqref="Y4">
      <formula1>1</formula1>
      <formula2>12</formula2>
    </dataValidation>
    <dataValidation type="decimal" allowBlank="1" showInputMessage="1" showErrorMessage="1" errorTitle="invalid AWAP value" error="enter a value between 0 and 1" promptTitle="Realtive soil moisture (AWAP)" prompt="enter a value between 0 and 1._x000a_monthly relative soil moisture (upper layer) fraction, 𝐴𝑊𝐴𝑃𝑢𝑓, from the Australian Water Resources Assessment Landscape (AWRA-L) model" sqref="AT2">
      <formula1>0</formula1>
      <formula2>1</formula2>
    </dataValidation>
    <dataValidation type="whole" allowBlank="1" showInputMessage="1" showErrorMessage="1" errorTitle="Invalid fuel productivity" error="enter a whole number between 1 and 3" promptTitle="Fuel productivity" prompt="enter a whole number from 1 to 3_x000a_Fuel productivity, based on the Carbon Farming Initiative mapping (CFI 2013), is set as 1 for arid fuels and at 2 or 3 for more productive fuels." sqref="AT6">
      <formula1>1</formula1>
      <formula2>3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open spinifex 0.7, spinifex woodland 0.5." sqref="AT7">
      <formula1>0.3</formula1>
      <formula2>1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>
          <x14:formula1>
            <xm:f>models_tables!$I$2:$I$4</xm:f>
          </x14:formula1>
          <xm:sqref>P3</xm:sqref>
        </x14:dataValidation>
        <x14:dataValidation type="list" showInputMessage="1" showErrorMessage="1" promptTitle="Presence of overstorey" prompt="Choose TRUE if there is a woodland overstorey and FALSE if the overstorey is absent">
          <x14:formula1>
            <xm:f>models_tables!$K$2:$K$3</xm:f>
          </x14:formula1>
          <xm:sqref>AE4</xm:sqref>
        </x14:dataValidation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>
          <x14:formula1>
            <xm:f>models_tables!$N$2:$N$3</xm:f>
          </x14:formula1>
          <xm:sqref>M10</xm:sqref>
        </x14:dataValidation>
        <x14:dataValidation type="list" showInputMessage="1" showErrorMessage="1" errorTitle="Invalid " error="Choose a woodland subtype from the list" promptTitle="Woodland subtype" prompt="Choose a woodland subtype">
          <x14:formula1>
            <xm:f>models_tables!$R$2:$R$6</xm:f>
          </x14:formula1>
          <xm:sqref>Y3</xm:sqref>
        </x14:dataValidation>
        <x14:dataValidation type="list" showInputMessage="1" showErrorMessage="1" errorTitle="Invalid" error="choose a value from the list" promptTitle="Subtype" prompt="open spinifex or spinifex woodland">
          <x14:formula1>
            <xm:f>models_tables!$U$2:$U$3</xm:f>
          </x14:formula1>
          <xm:sqref>AT8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s"/>
  <dimension ref="A1:U47"/>
  <sheetViews>
    <sheetView workbookViewId="0">
      <selection activeCell="C19" sqref="C19"/>
    </sheetView>
  </sheetViews>
  <sheetFormatPr defaultRowHeight="14.4" x14ac:dyDescent="0.3"/>
  <cols>
    <col min="2" max="2" width="9.77734375" bestFit="1" customWidth="1"/>
    <col min="4" max="4" width="28.77734375" bestFit="1" customWidth="1"/>
    <col min="5" max="5" width="13.77734375" customWidth="1"/>
    <col min="6" max="6" width="18.109375" customWidth="1"/>
    <col min="7" max="7" width="28.77734375" customWidth="1"/>
    <col min="9" max="9" width="12.109375" customWidth="1"/>
    <col min="11" max="11" width="17.33203125" customWidth="1"/>
  </cols>
  <sheetData>
    <row r="1" spans="1:21" x14ac:dyDescent="0.3">
      <c r="A1" s="29" t="s">
        <v>51</v>
      </c>
      <c r="F1" s="29" t="s">
        <v>161</v>
      </c>
      <c r="G1" s="29" t="s">
        <v>162</v>
      </c>
      <c r="I1" t="s">
        <v>17</v>
      </c>
      <c r="K1" t="s">
        <v>58</v>
      </c>
      <c r="L1" t="s">
        <v>60</v>
      </c>
      <c r="N1" s="29" t="s">
        <v>123</v>
      </c>
      <c r="P1" s="29" t="s">
        <v>632</v>
      </c>
      <c r="R1" s="29" t="s">
        <v>147</v>
      </c>
      <c r="U1" s="29" t="s">
        <v>159</v>
      </c>
    </row>
    <row r="2" spans="1:21" x14ac:dyDescent="0.3">
      <c r="A2" s="29" t="s">
        <v>64</v>
      </c>
      <c r="B2" s="29" t="s">
        <v>62</v>
      </c>
      <c r="C2" s="29" t="s">
        <v>63</v>
      </c>
      <c r="D2" s="29" t="s">
        <v>67</v>
      </c>
      <c r="E2" s="29"/>
      <c r="F2" t="s">
        <v>169</v>
      </c>
      <c r="G2" t="s">
        <v>215</v>
      </c>
      <c r="I2" t="s">
        <v>18</v>
      </c>
      <c r="K2" t="b">
        <v>1</v>
      </c>
      <c r="L2">
        <v>0.35</v>
      </c>
      <c r="N2" t="s">
        <v>124</v>
      </c>
      <c r="R2" t="s">
        <v>148</v>
      </c>
      <c r="U2" t="s">
        <v>160</v>
      </c>
    </row>
    <row r="3" spans="1:21" x14ac:dyDescent="0.3">
      <c r="A3" t="s">
        <v>73</v>
      </c>
      <c r="B3" t="s">
        <v>46</v>
      </c>
      <c r="C3">
        <v>30</v>
      </c>
      <c r="D3" t="s">
        <v>74</v>
      </c>
      <c r="F3" t="s">
        <v>188</v>
      </c>
      <c r="G3" t="s">
        <v>234</v>
      </c>
      <c r="I3" t="s">
        <v>19</v>
      </c>
      <c r="K3" t="b">
        <v>0</v>
      </c>
      <c r="L3">
        <v>0.66700000000000004</v>
      </c>
      <c r="N3" t="s">
        <v>125</v>
      </c>
      <c r="R3" t="s">
        <v>149</v>
      </c>
      <c r="U3" t="s">
        <v>148</v>
      </c>
    </row>
    <row r="4" spans="1:21" x14ac:dyDescent="0.3">
      <c r="A4" t="s">
        <v>73</v>
      </c>
      <c r="B4" t="s">
        <v>45</v>
      </c>
      <c r="C4">
        <v>25</v>
      </c>
      <c r="D4" t="s">
        <v>75</v>
      </c>
      <c r="F4" t="s">
        <v>201</v>
      </c>
      <c r="G4" t="s">
        <v>247</v>
      </c>
      <c r="I4" t="s">
        <v>20</v>
      </c>
      <c r="R4" t="s">
        <v>150</v>
      </c>
    </row>
    <row r="5" spans="1:21" x14ac:dyDescent="0.3">
      <c r="A5" t="s">
        <v>73</v>
      </c>
      <c r="B5" t="s">
        <v>69</v>
      </c>
      <c r="C5">
        <v>25</v>
      </c>
      <c r="D5" t="s">
        <v>83</v>
      </c>
      <c r="F5" t="s">
        <v>186</v>
      </c>
      <c r="G5" t="s">
        <v>232</v>
      </c>
      <c r="R5" t="s">
        <v>151</v>
      </c>
    </row>
    <row r="6" spans="1:21" x14ac:dyDescent="0.3">
      <c r="A6" t="s">
        <v>73</v>
      </c>
      <c r="B6" t="s">
        <v>41</v>
      </c>
      <c r="C6">
        <v>20</v>
      </c>
      <c r="D6" t="s">
        <v>84</v>
      </c>
      <c r="F6" t="s">
        <v>180</v>
      </c>
      <c r="G6" t="s">
        <v>226</v>
      </c>
      <c r="R6" t="s">
        <v>152</v>
      </c>
    </row>
    <row r="7" spans="1:21" x14ac:dyDescent="0.3">
      <c r="A7" t="s">
        <v>33</v>
      </c>
      <c r="B7" t="s">
        <v>35</v>
      </c>
      <c r="C7">
        <v>8</v>
      </c>
      <c r="D7" t="s">
        <v>85</v>
      </c>
      <c r="F7" t="s">
        <v>198</v>
      </c>
      <c r="G7" t="s">
        <v>244</v>
      </c>
    </row>
    <row r="8" spans="1:21" x14ac:dyDescent="0.3">
      <c r="A8" t="s">
        <v>33</v>
      </c>
      <c r="B8" t="s">
        <v>43</v>
      </c>
      <c r="C8">
        <v>3</v>
      </c>
      <c r="D8" t="s">
        <v>76</v>
      </c>
      <c r="F8" t="s">
        <v>177</v>
      </c>
      <c r="G8" t="s">
        <v>223</v>
      </c>
    </row>
    <row r="9" spans="1:21" x14ac:dyDescent="0.3">
      <c r="A9" t="s">
        <v>33</v>
      </c>
      <c r="B9" t="s">
        <v>42</v>
      </c>
      <c r="C9">
        <v>3</v>
      </c>
      <c r="D9" t="s">
        <v>77</v>
      </c>
      <c r="F9" t="s">
        <v>175</v>
      </c>
      <c r="G9" t="s">
        <v>221</v>
      </c>
    </row>
    <row r="10" spans="1:21" x14ac:dyDescent="0.3">
      <c r="A10" t="s">
        <v>33</v>
      </c>
      <c r="B10" t="s">
        <v>38</v>
      </c>
      <c r="C10">
        <v>3</v>
      </c>
      <c r="D10" t="s">
        <v>78</v>
      </c>
      <c r="F10" t="s">
        <v>164</v>
      </c>
      <c r="G10" t="s">
        <v>210</v>
      </c>
    </row>
    <row r="11" spans="1:21" x14ac:dyDescent="0.3">
      <c r="A11" t="s">
        <v>33</v>
      </c>
      <c r="B11" t="s">
        <v>37</v>
      </c>
      <c r="C11">
        <v>3</v>
      </c>
      <c r="D11" t="s">
        <v>79</v>
      </c>
      <c r="F11" t="s">
        <v>183</v>
      </c>
      <c r="G11" t="s">
        <v>229</v>
      </c>
    </row>
    <row r="12" spans="1:21" x14ac:dyDescent="0.3">
      <c r="A12" t="s">
        <v>33</v>
      </c>
      <c r="B12" t="s">
        <v>39</v>
      </c>
      <c r="C12">
        <v>4.5</v>
      </c>
      <c r="D12" t="s">
        <v>80</v>
      </c>
      <c r="F12" t="s">
        <v>199</v>
      </c>
      <c r="G12" t="s">
        <v>245</v>
      </c>
    </row>
    <row r="13" spans="1:21" x14ac:dyDescent="0.3">
      <c r="A13" t="s">
        <v>33</v>
      </c>
      <c r="B13" t="s">
        <v>36</v>
      </c>
      <c r="C13">
        <v>10</v>
      </c>
      <c r="D13" t="s">
        <v>81</v>
      </c>
      <c r="F13" t="s">
        <v>189</v>
      </c>
      <c r="G13" t="s">
        <v>235</v>
      </c>
    </row>
    <row r="14" spans="1:21" x14ac:dyDescent="0.3">
      <c r="A14" t="s">
        <v>33</v>
      </c>
      <c r="B14" t="s">
        <v>44</v>
      </c>
      <c r="C14">
        <v>20</v>
      </c>
      <c r="D14" t="s">
        <v>82</v>
      </c>
      <c r="F14" t="s">
        <v>202</v>
      </c>
      <c r="G14" t="s">
        <v>248</v>
      </c>
    </row>
    <row r="15" spans="1:21" x14ac:dyDescent="0.3">
      <c r="A15" t="s">
        <v>33</v>
      </c>
      <c r="B15" t="s">
        <v>40</v>
      </c>
      <c r="C15">
        <v>20</v>
      </c>
      <c r="D15" t="s">
        <v>88</v>
      </c>
      <c r="F15" s="135" t="s">
        <v>163</v>
      </c>
      <c r="G15" s="135" t="s">
        <v>209</v>
      </c>
    </row>
    <row r="16" spans="1:21" x14ac:dyDescent="0.3">
      <c r="A16" t="s">
        <v>33</v>
      </c>
      <c r="B16" t="s">
        <v>3</v>
      </c>
      <c r="C16">
        <v>3</v>
      </c>
      <c r="D16" t="s">
        <v>89</v>
      </c>
      <c r="F16" t="s">
        <v>200</v>
      </c>
      <c r="G16" t="s">
        <v>246</v>
      </c>
    </row>
    <row r="17" spans="1:7" x14ac:dyDescent="0.3">
      <c r="A17" t="s">
        <v>48</v>
      </c>
      <c r="B17" t="s">
        <v>47</v>
      </c>
      <c r="C17">
        <v>100</v>
      </c>
      <c r="D17" t="s">
        <v>90</v>
      </c>
      <c r="F17" t="s">
        <v>190</v>
      </c>
      <c r="G17" t="s">
        <v>236</v>
      </c>
    </row>
    <row r="18" spans="1:7" x14ac:dyDescent="0.3">
      <c r="A18" t="s">
        <v>48</v>
      </c>
      <c r="B18" t="s">
        <v>24</v>
      </c>
      <c r="C18" t="s">
        <v>19</v>
      </c>
      <c r="D18" t="s">
        <v>91</v>
      </c>
      <c r="F18" t="s">
        <v>203</v>
      </c>
      <c r="G18" t="s">
        <v>249</v>
      </c>
    </row>
    <row r="19" spans="1:7" x14ac:dyDescent="0.3">
      <c r="A19" t="s">
        <v>65</v>
      </c>
      <c r="B19" t="s">
        <v>120</v>
      </c>
      <c r="C19">
        <v>20</v>
      </c>
      <c r="D19" t="s">
        <v>86</v>
      </c>
      <c r="F19" t="s">
        <v>187</v>
      </c>
      <c r="G19" t="s">
        <v>233</v>
      </c>
    </row>
    <row r="20" spans="1:7" x14ac:dyDescent="0.3">
      <c r="A20" t="s">
        <v>65</v>
      </c>
      <c r="B20" t="s">
        <v>66</v>
      </c>
      <c r="C20">
        <v>2</v>
      </c>
      <c r="D20" t="s">
        <v>87</v>
      </c>
      <c r="F20" t="s">
        <v>205</v>
      </c>
      <c r="G20" t="s">
        <v>251</v>
      </c>
    </row>
    <row r="21" spans="1:7" x14ac:dyDescent="0.3">
      <c r="A21" t="s">
        <v>65</v>
      </c>
      <c r="B21" t="s">
        <v>53</v>
      </c>
      <c r="C21">
        <v>48</v>
      </c>
      <c r="D21" t="s">
        <v>92</v>
      </c>
      <c r="F21" t="s">
        <v>194</v>
      </c>
      <c r="G21" t="s">
        <v>240</v>
      </c>
    </row>
    <row r="22" spans="1:7" x14ac:dyDescent="0.3">
      <c r="A22" t="s">
        <v>65</v>
      </c>
      <c r="B22" t="s">
        <v>121</v>
      </c>
      <c r="C22">
        <v>0.2</v>
      </c>
      <c r="D22" t="s">
        <v>70</v>
      </c>
      <c r="F22" t="s">
        <v>197</v>
      </c>
      <c r="G22" t="s">
        <v>243</v>
      </c>
    </row>
    <row r="23" spans="1:7" x14ac:dyDescent="0.3">
      <c r="A23" t="s">
        <v>65</v>
      </c>
      <c r="B23" t="s">
        <v>59</v>
      </c>
      <c r="C23" t="b">
        <v>0</v>
      </c>
      <c r="D23" t="s">
        <v>68</v>
      </c>
      <c r="F23" t="s">
        <v>167</v>
      </c>
      <c r="G23" t="s">
        <v>213</v>
      </c>
    </row>
    <row r="24" spans="1:7" x14ac:dyDescent="0.3">
      <c r="A24" t="s">
        <v>65</v>
      </c>
      <c r="B24" t="s">
        <v>52</v>
      </c>
      <c r="F24" t="s">
        <v>168</v>
      </c>
      <c r="G24" t="s">
        <v>214</v>
      </c>
    </row>
    <row r="25" spans="1:7" x14ac:dyDescent="0.3">
      <c r="A25" t="s">
        <v>93</v>
      </c>
      <c r="B25" t="s">
        <v>35</v>
      </c>
      <c r="C25">
        <v>8</v>
      </c>
      <c r="D25" t="s">
        <v>85</v>
      </c>
      <c r="F25" t="s">
        <v>196</v>
      </c>
      <c r="G25" t="s">
        <v>242</v>
      </c>
    </row>
    <row r="26" spans="1:7" x14ac:dyDescent="0.3">
      <c r="A26" t="s">
        <v>93</v>
      </c>
      <c r="B26" t="s">
        <v>3</v>
      </c>
      <c r="C26">
        <v>5</v>
      </c>
      <c r="D26" t="s">
        <v>94</v>
      </c>
      <c r="F26" t="s">
        <v>191</v>
      </c>
      <c r="G26" t="s">
        <v>237</v>
      </c>
    </row>
    <row r="27" spans="1:7" x14ac:dyDescent="0.3">
      <c r="A27" t="s">
        <v>93</v>
      </c>
      <c r="B27" t="s">
        <v>95</v>
      </c>
      <c r="C27">
        <v>100</v>
      </c>
      <c r="D27" t="s">
        <v>96</v>
      </c>
      <c r="F27" t="s">
        <v>207</v>
      </c>
      <c r="G27" t="s">
        <v>253</v>
      </c>
    </row>
    <row r="28" spans="1:7" x14ac:dyDescent="0.3">
      <c r="A28" t="s">
        <v>97</v>
      </c>
      <c r="B28" t="s">
        <v>36</v>
      </c>
      <c r="C28">
        <v>1.05</v>
      </c>
      <c r="D28" t="s">
        <v>81</v>
      </c>
      <c r="F28" t="s">
        <v>208</v>
      </c>
      <c r="G28" t="s">
        <v>254</v>
      </c>
    </row>
    <row r="29" spans="1:7" x14ac:dyDescent="0.3">
      <c r="F29" t="s">
        <v>184</v>
      </c>
      <c r="G29" t="s">
        <v>230</v>
      </c>
    </row>
    <row r="30" spans="1:7" x14ac:dyDescent="0.3">
      <c r="F30" t="s">
        <v>170</v>
      </c>
      <c r="G30" t="s">
        <v>216</v>
      </c>
    </row>
    <row r="31" spans="1:7" x14ac:dyDescent="0.3">
      <c r="F31" t="s">
        <v>185</v>
      </c>
      <c r="G31" t="s">
        <v>231</v>
      </c>
    </row>
    <row r="32" spans="1:7" x14ac:dyDescent="0.3">
      <c r="F32" t="s">
        <v>181</v>
      </c>
      <c r="G32" t="s">
        <v>227</v>
      </c>
    </row>
    <row r="33" spans="6:7" x14ac:dyDescent="0.3">
      <c r="F33" t="s">
        <v>179</v>
      </c>
      <c r="G33" t="s">
        <v>225</v>
      </c>
    </row>
    <row r="34" spans="6:7" x14ac:dyDescent="0.3">
      <c r="F34" t="s">
        <v>182</v>
      </c>
      <c r="G34" t="s">
        <v>228</v>
      </c>
    </row>
    <row r="35" spans="6:7" x14ac:dyDescent="0.3">
      <c r="F35" t="s">
        <v>204</v>
      </c>
      <c r="G35" t="s">
        <v>250</v>
      </c>
    </row>
    <row r="36" spans="6:7" x14ac:dyDescent="0.3">
      <c r="F36" t="s">
        <v>176</v>
      </c>
      <c r="G36" t="s">
        <v>222</v>
      </c>
    </row>
    <row r="37" spans="6:7" x14ac:dyDescent="0.3">
      <c r="F37" t="s">
        <v>173</v>
      </c>
      <c r="G37" t="s">
        <v>219</v>
      </c>
    </row>
    <row r="38" spans="6:7" x14ac:dyDescent="0.3">
      <c r="F38" t="s">
        <v>172</v>
      </c>
      <c r="G38" t="s">
        <v>218</v>
      </c>
    </row>
    <row r="39" spans="6:7" x14ac:dyDescent="0.3">
      <c r="F39" t="s">
        <v>171</v>
      </c>
      <c r="G39" t="s">
        <v>217</v>
      </c>
    </row>
    <row r="40" spans="6:7" x14ac:dyDescent="0.3">
      <c r="F40" t="s">
        <v>174</v>
      </c>
      <c r="G40" t="s">
        <v>220</v>
      </c>
    </row>
    <row r="41" spans="6:7" x14ac:dyDescent="0.3">
      <c r="F41" t="s">
        <v>193</v>
      </c>
      <c r="G41" t="s">
        <v>239</v>
      </c>
    </row>
    <row r="42" spans="6:7" x14ac:dyDescent="0.3">
      <c r="F42" t="s">
        <v>192</v>
      </c>
      <c r="G42" t="s">
        <v>238</v>
      </c>
    </row>
    <row r="43" spans="6:7" x14ac:dyDescent="0.3">
      <c r="F43" t="s">
        <v>165</v>
      </c>
      <c r="G43" t="s">
        <v>211</v>
      </c>
    </row>
    <row r="44" spans="6:7" x14ac:dyDescent="0.3">
      <c r="F44" t="s">
        <v>195</v>
      </c>
      <c r="G44" t="s">
        <v>241</v>
      </c>
    </row>
    <row r="45" spans="6:7" x14ac:dyDescent="0.3">
      <c r="F45" t="s">
        <v>178</v>
      </c>
      <c r="G45" t="s">
        <v>224</v>
      </c>
    </row>
    <row r="46" spans="6:7" x14ac:dyDescent="0.3">
      <c r="F46" t="s">
        <v>166</v>
      </c>
      <c r="G46" t="s">
        <v>212</v>
      </c>
    </row>
    <row r="47" spans="6:7" x14ac:dyDescent="0.3">
      <c r="F47" t="s">
        <v>206</v>
      </c>
      <c r="G47" t="s">
        <v>252</v>
      </c>
    </row>
  </sheetData>
  <sortState ref="F2:G47">
    <sortCondition ref="G2:G47"/>
  </sortState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415"/>
  <sheetViews>
    <sheetView zoomScale="120" zoomScaleNormal="120" workbookViewId="0">
      <pane ySplit="1" topLeftCell="A2" activePane="bottomLeft" state="frozen"/>
      <selection pane="bottomLeft" activeCell="D327" sqref="D327"/>
    </sheetView>
  </sheetViews>
  <sheetFormatPr defaultRowHeight="14.4" x14ac:dyDescent="0.3"/>
  <cols>
    <col min="1" max="1" width="107.88671875" bestFit="1" customWidth="1"/>
    <col min="2" max="2" width="15.44140625" bestFit="1" customWidth="1"/>
    <col min="3" max="3" width="18.44140625" bestFit="1" customWidth="1"/>
    <col min="4" max="4" width="10.21875" bestFit="1" customWidth="1"/>
    <col min="5" max="5" width="4.33203125" bestFit="1" customWidth="1"/>
    <col min="6" max="6" width="5" bestFit="1" customWidth="1"/>
    <col min="7" max="7" width="4.5546875" bestFit="1" customWidth="1"/>
    <col min="8" max="9" width="5" bestFit="1" customWidth="1"/>
    <col min="10" max="10" width="4.88671875" bestFit="1" customWidth="1"/>
    <col min="11" max="12" width="5" bestFit="1" customWidth="1"/>
    <col min="13" max="13" width="4.88671875" bestFit="1" customWidth="1"/>
    <col min="14" max="14" width="6" bestFit="1" customWidth="1"/>
    <col min="15" max="16" width="5" bestFit="1" customWidth="1"/>
    <col min="17" max="17" width="6.21875" bestFit="1" customWidth="1"/>
    <col min="18" max="18" width="6" bestFit="1" customWidth="1"/>
    <col min="19" max="19" width="5.77734375" bestFit="1" customWidth="1"/>
    <col min="20" max="20" width="5" bestFit="1" customWidth="1"/>
    <col min="21" max="22" width="5.21875" bestFit="1" customWidth="1"/>
    <col min="23" max="23" width="5.5546875" bestFit="1" customWidth="1"/>
    <col min="24" max="24" width="5.21875" bestFit="1" customWidth="1"/>
    <col min="25" max="25" width="5.5546875" bestFit="1" customWidth="1"/>
    <col min="26" max="26" width="5.88671875" bestFit="1" customWidth="1"/>
    <col min="27" max="27" width="6.44140625" bestFit="1" customWidth="1"/>
    <col min="28" max="28" width="6.77734375" bestFit="1" customWidth="1"/>
    <col min="29" max="29" width="7.44140625" bestFit="1" customWidth="1"/>
    <col min="30" max="30" width="8.109375" bestFit="1" customWidth="1"/>
    <col min="31" max="31" width="8.44140625" bestFit="1" customWidth="1"/>
    <col min="32" max="32" width="7.33203125" bestFit="1" customWidth="1"/>
    <col min="33" max="33" width="7.6640625" bestFit="1" customWidth="1"/>
    <col min="34" max="34" width="9.21875" bestFit="1" customWidth="1"/>
    <col min="35" max="36" width="7.6640625" bestFit="1" customWidth="1"/>
    <col min="37" max="37" width="9.5546875" bestFit="1" customWidth="1"/>
  </cols>
  <sheetData>
    <row r="1" spans="1:37" x14ac:dyDescent="0.3">
      <c r="A1" t="s">
        <v>629</v>
      </c>
      <c r="B1" t="s">
        <v>628</v>
      </c>
      <c r="C1" t="s">
        <v>627</v>
      </c>
      <c r="D1" t="s">
        <v>626</v>
      </c>
      <c r="E1" t="s">
        <v>114</v>
      </c>
      <c r="F1" t="s">
        <v>625</v>
      </c>
      <c r="G1" t="s">
        <v>624</v>
      </c>
      <c r="H1" t="s">
        <v>623</v>
      </c>
      <c r="I1" t="s">
        <v>116</v>
      </c>
      <c r="J1" t="s">
        <v>106</v>
      </c>
      <c r="K1" t="s">
        <v>103</v>
      </c>
      <c r="L1" t="s">
        <v>110</v>
      </c>
      <c r="M1" t="s">
        <v>118</v>
      </c>
      <c r="N1" t="s">
        <v>107</v>
      </c>
      <c r="O1" t="s">
        <v>113</v>
      </c>
      <c r="P1" t="s">
        <v>112</v>
      </c>
      <c r="Q1" t="s">
        <v>119</v>
      </c>
      <c r="R1" t="s">
        <v>622</v>
      </c>
      <c r="S1" t="s">
        <v>101</v>
      </c>
      <c r="T1" t="s">
        <v>621</v>
      </c>
      <c r="U1" t="s">
        <v>620</v>
      </c>
      <c r="V1" t="s">
        <v>105</v>
      </c>
      <c r="W1" t="s">
        <v>104</v>
      </c>
      <c r="X1" t="s">
        <v>109</v>
      </c>
      <c r="Y1" t="s">
        <v>108</v>
      </c>
      <c r="Z1" t="s">
        <v>111</v>
      </c>
      <c r="AA1" t="s">
        <v>619</v>
      </c>
      <c r="AB1" t="s">
        <v>102</v>
      </c>
      <c r="AC1" t="s">
        <v>143</v>
      </c>
      <c r="AD1" t="s">
        <v>618</v>
      </c>
      <c r="AE1" t="s">
        <v>115</v>
      </c>
      <c r="AF1" t="s">
        <v>617</v>
      </c>
      <c r="AG1" t="s">
        <v>117</v>
      </c>
      <c r="AH1" t="s">
        <v>616</v>
      </c>
      <c r="AI1" t="s">
        <v>615</v>
      </c>
      <c r="AJ1" t="s">
        <v>614</v>
      </c>
      <c r="AK1" t="s">
        <v>613</v>
      </c>
    </row>
    <row r="2" spans="1:37" x14ac:dyDescent="0.3">
      <c r="A2" t="s">
        <v>612</v>
      </c>
      <c r="B2" t="s">
        <v>610</v>
      </c>
      <c r="C2" t="s">
        <v>610</v>
      </c>
      <c r="D2">
        <v>7701</v>
      </c>
      <c r="AD2">
        <v>1</v>
      </c>
      <c r="AF2">
        <v>0</v>
      </c>
      <c r="AG2">
        <v>11.7</v>
      </c>
      <c r="AH2">
        <v>700</v>
      </c>
      <c r="AI2">
        <v>0.106</v>
      </c>
    </row>
    <row r="3" spans="1:37" x14ac:dyDescent="0.3">
      <c r="A3" t="s">
        <v>611</v>
      </c>
      <c r="B3" t="s">
        <v>610</v>
      </c>
      <c r="C3" t="s">
        <v>610</v>
      </c>
      <c r="D3">
        <v>7702</v>
      </c>
      <c r="AD3">
        <v>2</v>
      </c>
      <c r="AF3">
        <v>0</v>
      </c>
      <c r="AG3">
        <v>44.6</v>
      </c>
      <c r="AH3">
        <v>700</v>
      </c>
      <c r="AI3">
        <v>4.0999999999999898E-2</v>
      </c>
    </row>
    <row r="4" spans="1:37" x14ac:dyDescent="0.3">
      <c r="A4" t="s">
        <v>609</v>
      </c>
      <c r="B4" t="s">
        <v>554</v>
      </c>
      <c r="C4" t="s">
        <v>603</v>
      </c>
      <c r="D4">
        <v>5038</v>
      </c>
      <c r="AF4">
        <v>0</v>
      </c>
      <c r="AG4">
        <v>4.5</v>
      </c>
      <c r="AH4">
        <v>550</v>
      </c>
      <c r="AI4">
        <v>1</v>
      </c>
    </row>
    <row r="5" spans="1:37" x14ac:dyDescent="0.3">
      <c r="A5" t="s">
        <v>608</v>
      </c>
      <c r="B5" t="s">
        <v>554</v>
      </c>
      <c r="C5" t="s">
        <v>603</v>
      </c>
      <c r="D5">
        <v>4050</v>
      </c>
      <c r="AF5">
        <v>0</v>
      </c>
      <c r="AG5">
        <v>4.5</v>
      </c>
      <c r="AH5">
        <v>550</v>
      </c>
      <c r="AI5">
        <v>1</v>
      </c>
    </row>
    <row r="6" spans="1:37" x14ac:dyDescent="0.3">
      <c r="A6" t="s">
        <v>603</v>
      </c>
      <c r="B6" t="s">
        <v>554</v>
      </c>
      <c r="C6" t="s">
        <v>603</v>
      </c>
      <c r="D6">
        <v>4550</v>
      </c>
      <c r="AF6">
        <v>0</v>
      </c>
      <c r="AG6">
        <v>4.5</v>
      </c>
      <c r="AH6">
        <v>550</v>
      </c>
      <c r="AI6">
        <v>1</v>
      </c>
    </row>
    <row r="7" spans="1:37" x14ac:dyDescent="0.3">
      <c r="A7" t="s">
        <v>607</v>
      </c>
      <c r="B7" t="s">
        <v>554</v>
      </c>
      <c r="C7" t="s">
        <v>603</v>
      </c>
      <c r="D7">
        <v>6551</v>
      </c>
      <c r="AF7">
        <v>0</v>
      </c>
      <c r="AG7">
        <v>4.5</v>
      </c>
      <c r="AH7">
        <v>550</v>
      </c>
      <c r="AI7">
        <v>1</v>
      </c>
    </row>
    <row r="8" spans="1:37" x14ac:dyDescent="0.3">
      <c r="A8" t="s">
        <v>606</v>
      </c>
      <c r="B8" t="s">
        <v>554</v>
      </c>
      <c r="C8" t="s">
        <v>603</v>
      </c>
      <c r="D8">
        <v>2551</v>
      </c>
      <c r="F8">
        <v>0</v>
      </c>
      <c r="AF8">
        <v>0</v>
      </c>
      <c r="AG8">
        <v>4.5</v>
      </c>
      <c r="AH8">
        <v>550</v>
      </c>
      <c r="AI8">
        <v>1</v>
      </c>
    </row>
    <row r="9" spans="1:37" x14ac:dyDescent="0.3">
      <c r="A9" t="s">
        <v>605</v>
      </c>
      <c r="B9" t="s">
        <v>554</v>
      </c>
      <c r="C9" t="s">
        <v>603</v>
      </c>
      <c r="D9">
        <v>8551</v>
      </c>
      <c r="AF9">
        <v>0</v>
      </c>
      <c r="AG9">
        <v>4.5</v>
      </c>
      <c r="AH9">
        <v>550</v>
      </c>
      <c r="AI9">
        <v>1</v>
      </c>
    </row>
    <row r="10" spans="1:37" x14ac:dyDescent="0.3">
      <c r="A10" t="s">
        <v>604</v>
      </c>
      <c r="B10" t="s">
        <v>554</v>
      </c>
      <c r="C10" t="s">
        <v>603</v>
      </c>
      <c r="D10">
        <v>3003</v>
      </c>
      <c r="AF10">
        <v>0</v>
      </c>
      <c r="AG10">
        <v>4.5</v>
      </c>
      <c r="AH10">
        <v>550</v>
      </c>
      <c r="AI10">
        <v>1</v>
      </c>
    </row>
    <row r="11" spans="1:37" x14ac:dyDescent="0.3">
      <c r="A11" t="s">
        <v>602</v>
      </c>
      <c r="B11" t="s">
        <v>554</v>
      </c>
      <c r="C11" t="s">
        <v>599</v>
      </c>
      <c r="D11">
        <v>5008</v>
      </c>
      <c r="AF11">
        <v>0</v>
      </c>
      <c r="AG11">
        <v>4.5</v>
      </c>
      <c r="AH11">
        <v>820</v>
      </c>
      <c r="AI11">
        <v>1</v>
      </c>
    </row>
    <row r="12" spans="1:37" x14ac:dyDescent="0.3">
      <c r="A12" t="s">
        <v>601</v>
      </c>
      <c r="B12" t="s">
        <v>554</v>
      </c>
      <c r="C12" t="s">
        <v>599</v>
      </c>
      <c r="D12">
        <v>4058</v>
      </c>
      <c r="AF12">
        <v>0</v>
      </c>
      <c r="AG12">
        <v>4.5</v>
      </c>
      <c r="AH12">
        <v>820</v>
      </c>
      <c r="AI12">
        <v>1</v>
      </c>
    </row>
    <row r="13" spans="1:37" x14ac:dyDescent="0.3">
      <c r="A13" t="s">
        <v>599</v>
      </c>
      <c r="B13" t="s">
        <v>554</v>
      </c>
      <c r="C13" t="s">
        <v>599</v>
      </c>
      <c r="D13">
        <v>4820</v>
      </c>
      <c r="AF13">
        <v>0</v>
      </c>
      <c r="AG13">
        <v>4.5</v>
      </c>
      <c r="AH13">
        <v>820</v>
      </c>
      <c r="AI13">
        <v>1</v>
      </c>
    </row>
    <row r="14" spans="1:37" x14ac:dyDescent="0.3">
      <c r="A14" t="s">
        <v>600</v>
      </c>
      <c r="B14" t="s">
        <v>554</v>
      </c>
      <c r="C14" t="s">
        <v>599</v>
      </c>
      <c r="D14">
        <v>6820</v>
      </c>
      <c r="AF14">
        <v>0</v>
      </c>
      <c r="AG14">
        <v>4.5</v>
      </c>
      <c r="AH14">
        <v>820</v>
      </c>
      <c r="AI14">
        <v>1</v>
      </c>
    </row>
    <row r="15" spans="1:37" x14ac:dyDescent="0.3">
      <c r="A15" t="s">
        <v>599</v>
      </c>
      <c r="B15" t="s">
        <v>554</v>
      </c>
      <c r="C15" t="s">
        <v>599</v>
      </c>
      <c r="D15">
        <v>2820</v>
      </c>
      <c r="AF15">
        <v>0</v>
      </c>
      <c r="AG15">
        <v>4.5</v>
      </c>
      <c r="AH15">
        <v>820</v>
      </c>
      <c r="AI15">
        <v>1</v>
      </c>
    </row>
    <row r="16" spans="1:37" x14ac:dyDescent="0.3">
      <c r="A16" t="s">
        <v>599</v>
      </c>
      <c r="B16" t="s">
        <v>554</v>
      </c>
      <c r="C16" t="s">
        <v>599</v>
      </c>
      <c r="D16">
        <v>7820</v>
      </c>
      <c r="AF16">
        <v>0</v>
      </c>
      <c r="AG16">
        <v>4.5</v>
      </c>
      <c r="AH16">
        <v>820</v>
      </c>
      <c r="AI16">
        <v>1</v>
      </c>
    </row>
    <row r="17" spans="1:35" x14ac:dyDescent="0.3">
      <c r="A17" t="s">
        <v>599</v>
      </c>
      <c r="B17" t="s">
        <v>554</v>
      </c>
      <c r="C17" t="s">
        <v>599</v>
      </c>
      <c r="D17">
        <v>1820</v>
      </c>
      <c r="AF17">
        <v>0</v>
      </c>
      <c r="AG17">
        <v>4.5</v>
      </c>
      <c r="AH17">
        <v>820</v>
      </c>
      <c r="AI17">
        <v>1</v>
      </c>
    </row>
    <row r="18" spans="1:35" x14ac:dyDescent="0.3">
      <c r="A18" t="s">
        <v>599</v>
      </c>
      <c r="B18" t="s">
        <v>554</v>
      </c>
      <c r="C18" t="s">
        <v>599</v>
      </c>
      <c r="D18">
        <v>8820</v>
      </c>
      <c r="AF18">
        <v>0</v>
      </c>
      <c r="AG18">
        <v>4.5</v>
      </c>
      <c r="AH18">
        <v>820</v>
      </c>
      <c r="AI18">
        <v>1</v>
      </c>
    </row>
    <row r="19" spans="1:35" x14ac:dyDescent="0.3">
      <c r="A19" t="s">
        <v>599</v>
      </c>
      <c r="B19" t="s">
        <v>554</v>
      </c>
      <c r="C19" t="s">
        <v>599</v>
      </c>
      <c r="D19">
        <v>3820</v>
      </c>
      <c r="AF19">
        <v>0</v>
      </c>
      <c r="AG19">
        <v>4.5</v>
      </c>
      <c r="AH19">
        <v>820</v>
      </c>
      <c r="AI19">
        <v>1</v>
      </c>
    </row>
    <row r="20" spans="1:35" x14ac:dyDescent="0.3">
      <c r="A20" t="s">
        <v>598</v>
      </c>
      <c r="B20" t="s">
        <v>554</v>
      </c>
      <c r="C20" t="s">
        <v>16</v>
      </c>
      <c r="D20">
        <v>5003</v>
      </c>
      <c r="AF20">
        <v>0</v>
      </c>
      <c r="AG20">
        <v>4.5</v>
      </c>
      <c r="AH20">
        <v>800</v>
      </c>
      <c r="AI20">
        <v>1</v>
      </c>
    </row>
    <row r="21" spans="1:35" x14ac:dyDescent="0.3">
      <c r="A21" t="s">
        <v>597</v>
      </c>
      <c r="B21" t="s">
        <v>554</v>
      </c>
      <c r="C21" t="s">
        <v>16</v>
      </c>
      <c r="D21">
        <v>5062</v>
      </c>
      <c r="AF21">
        <v>0</v>
      </c>
      <c r="AG21">
        <v>4.5</v>
      </c>
      <c r="AH21">
        <v>800</v>
      </c>
      <c r="AI21">
        <v>1</v>
      </c>
    </row>
    <row r="22" spans="1:35" x14ac:dyDescent="0.3">
      <c r="A22" t="s">
        <v>596</v>
      </c>
      <c r="B22" t="s">
        <v>554</v>
      </c>
      <c r="C22" t="s">
        <v>16</v>
      </c>
      <c r="D22">
        <v>4038</v>
      </c>
      <c r="AF22">
        <v>0</v>
      </c>
      <c r="AG22">
        <v>4.5</v>
      </c>
      <c r="AH22">
        <v>800</v>
      </c>
      <c r="AI22">
        <v>1</v>
      </c>
    </row>
    <row r="23" spans="1:35" x14ac:dyDescent="0.3">
      <c r="A23" t="s">
        <v>595</v>
      </c>
      <c r="B23" t="s">
        <v>554</v>
      </c>
      <c r="C23" t="s">
        <v>16</v>
      </c>
      <c r="D23">
        <v>4039</v>
      </c>
      <c r="AF23">
        <v>0</v>
      </c>
      <c r="AG23">
        <v>4.5</v>
      </c>
      <c r="AH23">
        <v>800</v>
      </c>
      <c r="AI23">
        <v>1</v>
      </c>
    </row>
    <row r="24" spans="1:35" x14ac:dyDescent="0.3">
      <c r="A24" t="s">
        <v>594</v>
      </c>
      <c r="B24" t="s">
        <v>554</v>
      </c>
      <c r="C24" t="s">
        <v>16</v>
      </c>
      <c r="D24">
        <v>4042</v>
      </c>
      <c r="AF24">
        <v>0</v>
      </c>
      <c r="AG24">
        <v>4.5</v>
      </c>
      <c r="AH24">
        <v>800</v>
      </c>
      <c r="AI24">
        <v>1</v>
      </c>
    </row>
    <row r="25" spans="1:35" x14ac:dyDescent="0.3">
      <c r="A25" t="s">
        <v>593</v>
      </c>
      <c r="B25" t="s">
        <v>554</v>
      </c>
      <c r="C25" t="s">
        <v>16</v>
      </c>
      <c r="D25">
        <v>4048</v>
      </c>
      <c r="AF25">
        <v>0</v>
      </c>
      <c r="AG25">
        <v>4.5</v>
      </c>
      <c r="AH25">
        <v>800</v>
      </c>
      <c r="AI25">
        <v>1</v>
      </c>
    </row>
    <row r="26" spans="1:35" x14ac:dyDescent="0.3">
      <c r="A26" t="s">
        <v>16</v>
      </c>
      <c r="B26" t="s">
        <v>554</v>
      </c>
      <c r="C26" t="s">
        <v>16</v>
      </c>
      <c r="D26">
        <v>4800</v>
      </c>
      <c r="AF26">
        <v>0</v>
      </c>
      <c r="AG26">
        <v>4.5</v>
      </c>
      <c r="AH26">
        <v>800</v>
      </c>
      <c r="AI26">
        <v>1</v>
      </c>
    </row>
    <row r="27" spans="1:35" x14ac:dyDescent="0.3">
      <c r="A27" t="s">
        <v>592</v>
      </c>
      <c r="B27" t="s">
        <v>554</v>
      </c>
      <c r="C27" t="s">
        <v>16</v>
      </c>
      <c r="D27">
        <v>4130</v>
      </c>
      <c r="AF27">
        <v>0</v>
      </c>
      <c r="AG27">
        <v>4.5</v>
      </c>
      <c r="AH27">
        <v>800</v>
      </c>
      <c r="AI27">
        <v>1</v>
      </c>
    </row>
    <row r="28" spans="1:35" x14ac:dyDescent="0.3">
      <c r="A28" t="s">
        <v>591</v>
      </c>
      <c r="B28" t="s">
        <v>554</v>
      </c>
      <c r="C28" t="s">
        <v>16</v>
      </c>
      <c r="D28">
        <v>4132</v>
      </c>
      <c r="AF28">
        <v>0</v>
      </c>
      <c r="AG28">
        <v>4.5</v>
      </c>
      <c r="AH28">
        <v>800</v>
      </c>
      <c r="AI28">
        <v>1</v>
      </c>
    </row>
    <row r="29" spans="1:35" x14ac:dyDescent="0.3">
      <c r="A29" t="s">
        <v>590</v>
      </c>
      <c r="B29" t="s">
        <v>554</v>
      </c>
      <c r="C29" t="s">
        <v>16</v>
      </c>
      <c r="D29">
        <v>6801</v>
      </c>
      <c r="AF29">
        <v>0</v>
      </c>
      <c r="AG29">
        <v>4.5</v>
      </c>
      <c r="AH29">
        <v>800</v>
      </c>
      <c r="AI29">
        <v>1</v>
      </c>
    </row>
    <row r="30" spans="1:35" x14ac:dyDescent="0.3">
      <c r="A30" t="s">
        <v>589</v>
      </c>
      <c r="B30" t="s">
        <v>554</v>
      </c>
      <c r="C30" t="s">
        <v>16</v>
      </c>
      <c r="D30">
        <v>6802</v>
      </c>
      <c r="AF30">
        <v>0</v>
      </c>
      <c r="AG30">
        <v>4.5</v>
      </c>
      <c r="AH30">
        <v>800</v>
      </c>
      <c r="AI30">
        <v>1</v>
      </c>
    </row>
    <row r="31" spans="1:35" x14ac:dyDescent="0.3">
      <c r="A31" t="s">
        <v>588</v>
      </c>
      <c r="B31" t="s">
        <v>554</v>
      </c>
      <c r="C31" t="s">
        <v>16</v>
      </c>
      <c r="D31">
        <v>6803</v>
      </c>
      <c r="AF31">
        <v>0</v>
      </c>
      <c r="AG31">
        <v>4.5</v>
      </c>
      <c r="AH31">
        <v>800</v>
      </c>
      <c r="AI31">
        <v>1</v>
      </c>
    </row>
    <row r="32" spans="1:35" x14ac:dyDescent="0.3">
      <c r="A32" t="s">
        <v>587</v>
      </c>
      <c r="B32" t="s">
        <v>554</v>
      </c>
      <c r="C32" t="s">
        <v>16</v>
      </c>
      <c r="D32">
        <v>2800</v>
      </c>
      <c r="AF32">
        <v>0</v>
      </c>
      <c r="AG32">
        <v>4.5</v>
      </c>
      <c r="AH32">
        <v>800</v>
      </c>
      <c r="AI32">
        <v>1</v>
      </c>
    </row>
    <row r="33" spans="1:35" x14ac:dyDescent="0.3">
      <c r="A33" t="s">
        <v>16</v>
      </c>
      <c r="B33" t="s">
        <v>554</v>
      </c>
      <c r="C33" t="s">
        <v>16</v>
      </c>
      <c r="D33">
        <v>7800</v>
      </c>
      <c r="AF33">
        <v>0</v>
      </c>
      <c r="AG33">
        <v>4.5</v>
      </c>
      <c r="AH33">
        <v>800</v>
      </c>
      <c r="AI33">
        <v>1</v>
      </c>
    </row>
    <row r="34" spans="1:35" x14ac:dyDescent="0.3">
      <c r="A34" t="s">
        <v>586</v>
      </c>
      <c r="B34" t="s">
        <v>554</v>
      </c>
      <c r="C34" t="s">
        <v>16</v>
      </c>
      <c r="D34">
        <v>7801</v>
      </c>
      <c r="AF34">
        <v>0</v>
      </c>
      <c r="AG34">
        <v>4.5</v>
      </c>
      <c r="AH34">
        <v>800</v>
      </c>
      <c r="AI34">
        <v>1</v>
      </c>
    </row>
    <row r="35" spans="1:35" x14ac:dyDescent="0.3">
      <c r="A35" t="s">
        <v>585</v>
      </c>
      <c r="B35" t="s">
        <v>554</v>
      </c>
      <c r="C35" t="s">
        <v>16</v>
      </c>
      <c r="D35">
        <v>7802</v>
      </c>
      <c r="AF35">
        <v>0</v>
      </c>
      <c r="AG35">
        <v>4.5</v>
      </c>
      <c r="AH35">
        <v>800</v>
      </c>
      <c r="AI35">
        <v>1</v>
      </c>
    </row>
    <row r="36" spans="1:35" x14ac:dyDescent="0.3">
      <c r="A36" t="s">
        <v>584</v>
      </c>
      <c r="B36" t="s">
        <v>554</v>
      </c>
      <c r="C36" t="s">
        <v>16</v>
      </c>
      <c r="D36">
        <v>7803</v>
      </c>
      <c r="AF36">
        <v>0</v>
      </c>
      <c r="AG36">
        <v>4.5</v>
      </c>
      <c r="AH36">
        <v>800</v>
      </c>
      <c r="AI36">
        <v>1</v>
      </c>
    </row>
    <row r="37" spans="1:35" x14ac:dyDescent="0.3">
      <c r="A37" t="s">
        <v>583</v>
      </c>
      <c r="B37" t="s">
        <v>554</v>
      </c>
      <c r="C37" t="s">
        <v>16</v>
      </c>
      <c r="D37">
        <v>8800</v>
      </c>
      <c r="AF37">
        <v>0</v>
      </c>
      <c r="AG37">
        <v>4.5</v>
      </c>
      <c r="AH37">
        <v>800</v>
      </c>
      <c r="AI37">
        <v>1</v>
      </c>
    </row>
    <row r="38" spans="1:35" x14ac:dyDescent="0.3">
      <c r="A38" t="s">
        <v>582</v>
      </c>
      <c r="B38" t="s">
        <v>554</v>
      </c>
      <c r="C38" t="s">
        <v>16</v>
      </c>
      <c r="D38">
        <v>8801</v>
      </c>
      <c r="AF38">
        <v>0</v>
      </c>
      <c r="AG38">
        <v>4.5</v>
      </c>
      <c r="AH38">
        <v>800</v>
      </c>
      <c r="AI38">
        <v>1</v>
      </c>
    </row>
    <row r="39" spans="1:35" x14ac:dyDescent="0.3">
      <c r="A39" t="s">
        <v>581</v>
      </c>
      <c r="B39" t="s">
        <v>554</v>
      </c>
      <c r="C39" t="s">
        <v>16</v>
      </c>
      <c r="D39">
        <v>8802</v>
      </c>
      <c r="AF39">
        <v>0</v>
      </c>
      <c r="AG39">
        <v>4.5</v>
      </c>
      <c r="AH39">
        <v>800</v>
      </c>
      <c r="AI39">
        <v>1</v>
      </c>
    </row>
    <row r="40" spans="1:35" x14ac:dyDescent="0.3">
      <c r="A40" t="s">
        <v>580</v>
      </c>
      <c r="B40" t="s">
        <v>554</v>
      </c>
      <c r="C40" t="s">
        <v>16</v>
      </c>
      <c r="D40">
        <v>8803</v>
      </c>
      <c r="AF40">
        <v>0</v>
      </c>
      <c r="AG40">
        <v>4.5</v>
      </c>
      <c r="AH40">
        <v>800</v>
      </c>
      <c r="AI40">
        <v>1</v>
      </c>
    </row>
    <row r="41" spans="1:35" x14ac:dyDescent="0.3">
      <c r="A41" t="s">
        <v>579</v>
      </c>
      <c r="B41" t="s">
        <v>554</v>
      </c>
      <c r="C41" t="s">
        <v>16</v>
      </c>
      <c r="D41">
        <v>3016</v>
      </c>
      <c r="AF41">
        <v>0</v>
      </c>
      <c r="AG41">
        <v>4.5</v>
      </c>
      <c r="AH41">
        <v>800</v>
      </c>
      <c r="AI41">
        <v>1</v>
      </c>
    </row>
    <row r="42" spans="1:35" x14ac:dyDescent="0.3">
      <c r="A42" t="s">
        <v>578</v>
      </c>
      <c r="B42" t="s">
        <v>554</v>
      </c>
      <c r="C42" t="s">
        <v>16</v>
      </c>
      <c r="D42">
        <v>3020</v>
      </c>
      <c r="AF42">
        <v>0</v>
      </c>
      <c r="AG42">
        <v>4.5</v>
      </c>
      <c r="AH42">
        <v>800</v>
      </c>
      <c r="AI42">
        <v>1</v>
      </c>
    </row>
    <row r="43" spans="1:35" x14ac:dyDescent="0.3">
      <c r="A43" t="s">
        <v>557</v>
      </c>
      <c r="B43" t="s">
        <v>554</v>
      </c>
      <c r="C43" t="s">
        <v>16</v>
      </c>
      <c r="D43">
        <v>3046</v>
      </c>
      <c r="AF43">
        <v>0</v>
      </c>
      <c r="AG43">
        <v>4.5</v>
      </c>
      <c r="AH43">
        <v>800</v>
      </c>
      <c r="AI43">
        <v>1</v>
      </c>
    </row>
    <row r="44" spans="1:35" x14ac:dyDescent="0.3">
      <c r="A44" t="s">
        <v>577</v>
      </c>
      <c r="B44" t="s">
        <v>554</v>
      </c>
      <c r="C44" t="s">
        <v>559</v>
      </c>
      <c r="D44">
        <v>5005</v>
      </c>
      <c r="AF44">
        <v>0</v>
      </c>
      <c r="AG44">
        <v>4.5</v>
      </c>
      <c r="AH44">
        <v>750</v>
      </c>
      <c r="AI44">
        <v>1</v>
      </c>
    </row>
    <row r="45" spans="1:35" x14ac:dyDescent="0.3">
      <c r="A45" t="s">
        <v>559</v>
      </c>
      <c r="B45" t="s">
        <v>554</v>
      </c>
      <c r="C45" t="s">
        <v>559</v>
      </c>
      <c r="D45">
        <v>4750</v>
      </c>
      <c r="AD45">
        <v>1</v>
      </c>
      <c r="AF45">
        <v>0</v>
      </c>
      <c r="AG45">
        <v>4.5</v>
      </c>
      <c r="AH45">
        <v>750</v>
      </c>
      <c r="AI45">
        <v>1</v>
      </c>
    </row>
    <row r="46" spans="1:35" x14ac:dyDescent="0.3">
      <c r="A46" t="s">
        <v>576</v>
      </c>
      <c r="B46" t="s">
        <v>554</v>
      </c>
      <c r="C46" t="s">
        <v>559</v>
      </c>
      <c r="D46">
        <v>4043</v>
      </c>
      <c r="AD46">
        <v>1</v>
      </c>
      <c r="AF46">
        <v>0</v>
      </c>
      <c r="AG46">
        <v>4.5</v>
      </c>
      <c r="AH46">
        <v>750</v>
      </c>
      <c r="AI46">
        <v>1</v>
      </c>
    </row>
    <row r="47" spans="1:35" x14ac:dyDescent="0.3">
      <c r="A47" t="s">
        <v>575</v>
      </c>
      <c r="B47" t="s">
        <v>554</v>
      </c>
      <c r="C47" t="s">
        <v>559</v>
      </c>
      <c r="D47">
        <v>4134</v>
      </c>
      <c r="AF47">
        <v>0</v>
      </c>
      <c r="AG47">
        <v>4.5</v>
      </c>
      <c r="AH47">
        <v>750</v>
      </c>
      <c r="AI47">
        <v>1</v>
      </c>
    </row>
    <row r="48" spans="1:35" x14ac:dyDescent="0.3">
      <c r="A48" t="s">
        <v>571</v>
      </c>
      <c r="B48" t="s">
        <v>554</v>
      </c>
      <c r="C48" t="s">
        <v>559</v>
      </c>
      <c r="D48">
        <v>6751</v>
      </c>
      <c r="AF48">
        <v>0</v>
      </c>
      <c r="AG48">
        <v>4.5</v>
      </c>
      <c r="AH48">
        <v>750</v>
      </c>
      <c r="AI48">
        <v>1</v>
      </c>
    </row>
    <row r="49" spans="1:35" x14ac:dyDescent="0.3">
      <c r="A49" t="s">
        <v>574</v>
      </c>
      <c r="B49" t="s">
        <v>554</v>
      </c>
      <c r="C49" t="s">
        <v>559</v>
      </c>
      <c r="D49">
        <v>6752</v>
      </c>
      <c r="AF49">
        <v>0</v>
      </c>
      <c r="AG49">
        <v>4.5</v>
      </c>
      <c r="AH49">
        <v>750</v>
      </c>
      <c r="AI49">
        <v>1</v>
      </c>
    </row>
    <row r="50" spans="1:35" x14ac:dyDescent="0.3">
      <c r="A50" t="s">
        <v>573</v>
      </c>
      <c r="B50" t="s">
        <v>554</v>
      </c>
      <c r="C50" t="s">
        <v>559</v>
      </c>
      <c r="D50">
        <v>2751</v>
      </c>
      <c r="AF50">
        <v>0</v>
      </c>
      <c r="AG50">
        <v>4.5</v>
      </c>
      <c r="AH50">
        <v>750</v>
      </c>
      <c r="AI50">
        <v>1</v>
      </c>
    </row>
    <row r="51" spans="1:35" x14ac:dyDescent="0.3">
      <c r="A51" t="s">
        <v>572</v>
      </c>
      <c r="B51" t="s">
        <v>554</v>
      </c>
      <c r="C51" t="s">
        <v>559</v>
      </c>
      <c r="D51">
        <v>2752</v>
      </c>
      <c r="AF51">
        <v>0</v>
      </c>
      <c r="AG51">
        <v>4.5</v>
      </c>
      <c r="AH51">
        <v>750</v>
      </c>
      <c r="AI51">
        <v>1</v>
      </c>
    </row>
    <row r="52" spans="1:35" x14ac:dyDescent="0.3">
      <c r="A52" t="s">
        <v>571</v>
      </c>
      <c r="B52" t="s">
        <v>554</v>
      </c>
      <c r="C52" t="s">
        <v>559</v>
      </c>
      <c r="D52">
        <v>7751</v>
      </c>
      <c r="AF52">
        <v>0</v>
      </c>
      <c r="AG52">
        <v>4.5</v>
      </c>
      <c r="AH52">
        <v>750</v>
      </c>
      <c r="AI52">
        <v>1</v>
      </c>
    </row>
    <row r="53" spans="1:35" x14ac:dyDescent="0.3">
      <c r="A53" t="s">
        <v>570</v>
      </c>
      <c r="B53" t="s">
        <v>554</v>
      </c>
      <c r="C53" t="s">
        <v>559</v>
      </c>
      <c r="D53">
        <v>7752</v>
      </c>
      <c r="AF53">
        <v>0</v>
      </c>
      <c r="AG53">
        <v>4.5</v>
      </c>
      <c r="AH53">
        <v>750</v>
      </c>
      <c r="AI53">
        <v>1</v>
      </c>
    </row>
    <row r="54" spans="1:35" x14ac:dyDescent="0.3">
      <c r="A54" t="s">
        <v>569</v>
      </c>
      <c r="B54" t="s">
        <v>554</v>
      </c>
      <c r="C54" t="s">
        <v>559</v>
      </c>
      <c r="D54">
        <v>7753</v>
      </c>
      <c r="AF54">
        <v>0</v>
      </c>
      <c r="AG54">
        <v>4.5</v>
      </c>
      <c r="AH54">
        <v>750</v>
      </c>
      <c r="AI54">
        <v>1</v>
      </c>
    </row>
    <row r="55" spans="1:35" x14ac:dyDescent="0.3">
      <c r="A55" t="s">
        <v>568</v>
      </c>
      <c r="B55" t="s">
        <v>554</v>
      </c>
      <c r="C55" t="s">
        <v>559</v>
      </c>
      <c r="D55">
        <v>8151</v>
      </c>
      <c r="AF55">
        <v>0</v>
      </c>
      <c r="AG55">
        <v>4.5</v>
      </c>
      <c r="AH55">
        <v>150</v>
      </c>
      <c r="AI55">
        <v>1</v>
      </c>
    </row>
    <row r="56" spans="1:35" x14ac:dyDescent="0.3">
      <c r="A56" t="s">
        <v>567</v>
      </c>
      <c r="B56" t="s">
        <v>554</v>
      </c>
      <c r="C56" t="s">
        <v>559</v>
      </c>
      <c r="D56">
        <v>8154</v>
      </c>
      <c r="AF56">
        <v>0</v>
      </c>
      <c r="AG56">
        <v>4.5</v>
      </c>
      <c r="AH56">
        <v>150</v>
      </c>
      <c r="AI56">
        <v>1</v>
      </c>
    </row>
    <row r="57" spans="1:35" x14ac:dyDescent="0.3">
      <c r="A57" t="s">
        <v>566</v>
      </c>
      <c r="B57" t="s">
        <v>554</v>
      </c>
      <c r="C57" t="s">
        <v>559</v>
      </c>
      <c r="D57">
        <v>8804</v>
      </c>
      <c r="AF57">
        <v>0</v>
      </c>
      <c r="AG57">
        <v>4.5</v>
      </c>
      <c r="AH57">
        <v>750</v>
      </c>
      <c r="AI57">
        <v>1</v>
      </c>
    </row>
    <row r="58" spans="1:35" x14ac:dyDescent="0.3">
      <c r="A58" t="s">
        <v>565</v>
      </c>
      <c r="B58" t="s">
        <v>554</v>
      </c>
      <c r="C58" t="s">
        <v>559</v>
      </c>
      <c r="D58">
        <v>8805</v>
      </c>
      <c r="AF58">
        <v>0</v>
      </c>
      <c r="AG58">
        <v>4.5</v>
      </c>
      <c r="AH58">
        <v>750</v>
      </c>
      <c r="AI58">
        <v>1</v>
      </c>
    </row>
    <row r="59" spans="1:35" x14ac:dyDescent="0.3">
      <c r="A59" t="s">
        <v>564</v>
      </c>
      <c r="B59" t="s">
        <v>554</v>
      </c>
      <c r="C59" t="s">
        <v>559</v>
      </c>
      <c r="D59">
        <v>3004</v>
      </c>
      <c r="AF59">
        <v>0</v>
      </c>
      <c r="AG59">
        <v>4.5</v>
      </c>
      <c r="AH59">
        <v>750</v>
      </c>
      <c r="AI59">
        <v>1</v>
      </c>
    </row>
    <row r="60" spans="1:35" x14ac:dyDescent="0.3">
      <c r="A60" t="s">
        <v>563</v>
      </c>
      <c r="B60" t="s">
        <v>554</v>
      </c>
      <c r="C60" t="s">
        <v>559</v>
      </c>
      <c r="D60">
        <v>3029</v>
      </c>
      <c r="AF60">
        <v>0</v>
      </c>
      <c r="AG60">
        <v>4.5</v>
      </c>
      <c r="AH60">
        <v>750</v>
      </c>
      <c r="AI60">
        <v>1</v>
      </c>
    </row>
    <row r="61" spans="1:35" x14ac:dyDescent="0.3">
      <c r="A61" t="s">
        <v>562</v>
      </c>
      <c r="B61" t="s">
        <v>554</v>
      </c>
      <c r="C61" t="s">
        <v>559</v>
      </c>
      <c r="D61">
        <v>3034</v>
      </c>
      <c r="AF61">
        <v>0</v>
      </c>
      <c r="AG61">
        <v>4.5</v>
      </c>
      <c r="AH61">
        <v>750</v>
      </c>
      <c r="AI61">
        <v>1</v>
      </c>
    </row>
    <row r="62" spans="1:35" x14ac:dyDescent="0.3">
      <c r="A62" t="s">
        <v>561</v>
      </c>
      <c r="B62" t="s">
        <v>554</v>
      </c>
      <c r="C62" t="s">
        <v>559</v>
      </c>
      <c r="D62">
        <v>3036</v>
      </c>
      <c r="AF62">
        <v>0</v>
      </c>
      <c r="AG62">
        <v>4.5</v>
      </c>
      <c r="AH62">
        <v>750</v>
      </c>
      <c r="AI62">
        <v>1</v>
      </c>
    </row>
    <row r="63" spans="1:35" x14ac:dyDescent="0.3">
      <c r="A63" t="s">
        <v>560</v>
      </c>
      <c r="B63" t="s">
        <v>554</v>
      </c>
      <c r="C63" t="s">
        <v>559</v>
      </c>
      <c r="D63">
        <v>3037</v>
      </c>
      <c r="AF63">
        <v>0</v>
      </c>
      <c r="AG63">
        <v>4.5</v>
      </c>
      <c r="AH63">
        <v>750</v>
      </c>
      <c r="AI63">
        <v>1</v>
      </c>
    </row>
    <row r="64" spans="1:35" x14ac:dyDescent="0.3">
      <c r="A64" t="s">
        <v>558</v>
      </c>
      <c r="B64" t="s">
        <v>554</v>
      </c>
      <c r="C64" t="s">
        <v>553</v>
      </c>
      <c r="D64">
        <v>5063</v>
      </c>
      <c r="AF64">
        <v>0</v>
      </c>
      <c r="AG64">
        <v>4.5</v>
      </c>
      <c r="AH64">
        <v>810</v>
      </c>
      <c r="AI64">
        <v>1</v>
      </c>
    </row>
    <row r="65" spans="1:37" x14ac:dyDescent="0.3">
      <c r="A65" t="s">
        <v>557</v>
      </c>
      <c r="B65" t="s">
        <v>554</v>
      </c>
      <c r="C65" t="s">
        <v>553</v>
      </c>
      <c r="D65">
        <v>5064</v>
      </c>
      <c r="AF65">
        <v>0</v>
      </c>
      <c r="AG65">
        <v>4.5</v>
      </c>
      <c r="AH65">
        <v>810</v>
      </c>
      <c r="AI65">
        <v>1</v>
      </c>
    </row>
    <row r="66" spans="1:37" x14ac:dyDescent="0.3">
      <c r="A66" t="s">
        <v>553</v>
      </c>
      <c r="B66" t="s">
        <v>554</v>
      </c>
      <c r="C66" t="s">
        <v>553</v>
      </c>
      <c r="D66">
        <v>4810</v>
      </c>
      <c r="AF66">
        <v>0</v>
      </c>
      <c r="AG66">
        <v>4.5</v>
      </c>
      <c r="AH66">
        <v>810</v>
      </c>
      <c r="AI66">
        <v>1</v>
      </c>
    </row>
    <row r="67" spans="1:37" x14ac:dyDescent="0.3">
      <c r="A67" t="s">
        <v>556</v>
      </c>
      <c r="B67" t="s">
        <v>554</v>
      </c>
      <c r="C67" t="s">
        <v>553</v>
      </c>
      <c r="D67">
        <v>6810</v>
      </c>
      <c r="AF67">
        <v>0</v>
      </c>
      <c r="AG67">
        <v>4.5</v>
      </c>
      <c r="AH67">
        <v>810</v>
      </c>
      <c r="AI67">
        <v>1</v>
      </c>
    </row>
    <row r="68" spans="1:37" x14ac:dyDescent="0.3">
      <c r="A68" t="s">
        <v>555</v>
      </c>
      <c r="B68" t="s">
        <v>554</v>
      </c>
      <c r="C68" t="s">
        <v>553</v>
      </c>
      <c r="D68">
        <v>2810</v>
      </c>
      <c r="AF68">
        <v>0</v>
      </c>
      <c r="AG68">
        <v>4.5</v>
      </c>
      <c r="AH68">
        <v>810</v>
      </c>
      <c r="AI68">
        <v>1</v>
      </c>
    </row>
    <row r="69" spans="1:37" x14ac:dyDescent="0.3">
      <c r="A69" t="s">
        <v>553</v>
      </c>
      <c r="B69" t="s">
        <v>554</v>
      </c>
      <c r="C69" t="s">
        <v>553</v>
      </c>
      <c r="D69">
        <v>7810</v>
      </c>
      <c r="AF69">
        <v>0</v>
      </c>
      <c r="AG69">
        <v>4.5</v>
      </c>
      <c r="AH69">
        <v>810</v>
      </c>
      <c r="AI69">
        <v>1</v>
      </c>
    </row>
    <row r="70" spans="1:37" x14ac:dyDescent="0.3">
      <c r="A70" t="s">
        <v>555</v>
      </c>
      <c r="B70" t="s">
        <v>554</v>
      </c>
      <c r="C70" t="s">
        <v>553</v>
      </c>
      <c r="D70">
        <v>1810</v>
      </c>
      <c r="AF70">
        <v>0</v>
      </c>
      <c r="AG70">
        <v>4.5</v>
      </c>
      <c r="AH70">
        <v>810</v>
      </c>
      <c r="AI70">
        <v>1</v>
      </c>
    </row>
    <row r="71" spans="1:37" x14ac:dyDescent="0.3">
      <c r="A71" t="s">
        <v>553</v>
      </c>
      <c r="B71" t="s">
        <v>554</v>
      </c>
      <c r="C71" t="s">
        <v>553</v>
      </c>
      <c r="D71">
        <v>8810</v>
      </c>
      <c r="AF71">
        <v>0</v>
      </c>
      <c r="AG71">
        <v>4.5</v>
      </c>
      <c r="AH71">
        <v>810</v>
      </c>
      <c r="AI71">
        <v>1</v>
      </c>
    </row>
    <row r="72" spans="1:37" x14ac:dyDescent="0.3">
      <c r="A72" t="s">
        <v>553</v>
      </c>
      <c r="B72" t="s">
        <v>554</v>
      </c>
      <c r="C72" t="s">
        <v>553</v>
      </c>
      <c r="D72">
        <v>3810</v>
      </c>
      <c r="AF72">
        <v>0</v>
      </c>
      <c r="AG72">
        <v>4.5</v>
      </c>
      <c r="AH72">
        <v>810</v>
      </c>
      <c r="AI72">
        <v>1</v>
      </c>
    </row>
    <row r="73" spans="1:37" x14ac:dyDescent="0.3">
      <c r="A73" t="s">
        <v>552</v>
      </c>
      <c r="B73" t="s">
        <v>521</v>
      </c>
      <c r="C73" t="s">
        <v>54</v>
      </c>
      <c r="D73">
        <v>5029</v>
      </c>
      <c r="O73">
        <v>1.3</v>
      </c>
      <c r="AF73">
        <v>1.2</v>
      </c>
      <c r="AG73">
        <v>15.8</v>
      </c>
      <c r="AH73">
        <v>600</v>
      </c>
      <c r="AI73">
        <v>0.14000000000000001</v>
      </c>
      <c r="AK73">
        <v>0.35</v>
      </c>
    </row>
    <row r="74" spans="1:37" x14ac:dyDescent="0.3">
      <c r="A74" t="s">
        <v>551</v>
      </c>
      <c r="B74" t="s">
        <v>521</v>
      </c>
      <c r="C74" t="s">
        <v>54</v>
      </c>
      <c r="D74">
        <v>5033</v>
      </c>
      <c r="O74">
        <v>1.3</v>
      </c>
      <c r="AF74">
        <v>1.3</v>
      </c>
      <c r="AG74">
        <v>12.4</v>
      </c>
      <c r="AH74">
        <v>600</v>
      </c>
      <c r="AI74">
        <v>0.1</v>
      </c>
      <c r="AK74">
        <v>0.67</v>
      </c>
    </row>
    <row r="75" spans="1:37" x14ac:dyDescent="0.3">
      <c r="A75" t="s">
        <v>550</v>
      </c>
      <c r="B75" t="s">
        <v>521</v>
      </c>
      <c r="C75" t="s">
        <v>54</v>
      </c>
      <c r="D75">
        <v>5035</v>
      </c>
      <c r="O75">
        <v>1.3</v>
      </c>
      <c r="AF75">
        <v>0.5</v>
      </c>
      <c r="AG75">
        <v>10.7</v>
      </c>
      <c r="AH75">
        <v>600</v>
      </c>
      <c r="AI75">
        <v>0.1</v>
      </c>
      <c r="AK75">
        <v>0.67</v>
      </c>
    </row>
    <row r="76" spans="1:37" x14ac:dyDescent="0.3">
      <c r="A76" t="s">
        <v>54</v>
      </c>
      <c r="B76" t="s">
        <v>521</v>
      </c>
      <c r="C76" t="s">
        <v>54</v>
      </c>
      <c r="D76">
        <v>5039</v>
      </c>
      <c r="O76">
        <v>1.3</v>
      </c>
      <c r="AF76">
        <v>0.5</v>
      </c>
      <c r="AG76">
        <v>10.6</v>
      </c>
      <c r="AH76">
        <v>600</v>
      </c>
      <c r="AI76">
        <v>0.1</v>
      </c>
      <c r="AK76">
        <v>0.67</v>
      </c>
    </row>
    <row r="77" spans="1:37" x14ac:dyDescent="0.3">
      <c r="A77" t="s">
        <v>549</v>
      </c>
      <c r="B77" t="s">
        <v>521</v>
      </c>
      <c r="C77" t="s">
        <v>54</v>
      </c>
      <c r="D77">
        <v>5040</v>
      </c>
      <c r="O77">
        <v>1.3</v>
      </c>
      <c r="AF77">
        <v>0.7</v>
      </c>
      <c r="AG77">
        <v>9.8000000000000007</v>
      </c>
      <c r="AH77">
        <v>600</v>
      </c>
      <c r="AI77">
        <v>0.1</v>
      </c>
      <c r="AK77">
        <v>0.67</v>
      </c>
    </row>
    <row r="78" spans="1:37" x14ac:dyDescent="0.3">
      <c r="A78" t="s">
        <v>548</v>
      </c>
      <c r="B78" t="s">
        <v>521</v>
      </c>
      <c r="C78" t="s">
        <v>54</v>
      </c>
      <c r="D78">
        <v>4041</v>
      </c>
      <c r="O78">
        <v>1.3</v>
      </c>
      <c r="AF78">
        <v>1.69</v>
      </c>
      <c r="AG78">
        <v>17.899999999999999</v>
      </c>
      <c r="AH78">
        <v>600</v>
      </c>
      <c r="AI78">
        <v>0.4</v>
      </c>
      <c r="AK78">
        <v>0.35</v>
      </c>
    </row>
    <row r="79" spans="1:37" x14ac:dyDescent="0.3">
      <c r="A79" t="s">
        <v>547</v>
      </c>
      <c r="B79" t="s">
        <v>521</v>
      </c>
      <c r="C79" t="s">
        <v>54</v>
      </c>
      <c r="D79">
        <v>4044</v>
      </c>
      <c r="O79">
        <v>1.3</v>
      </c>
      <c r="AF79">
        <v>4.92</v>
      </c>
      <c r="AG79">
        <v>24.9</v>
      </c>
      <c r="AH79">
        <v>600</v>
      </c>
      <c r="AI79">
        <v>0.67</v>
      </c>
      <c r="AK79">
        <v>0.35</v>
      </c>
    </row>
    <row r="80" spans="1:37" x14ac:dyDescent="0.3">
      <c r="A80" t="s">
        <v>546</v>
      </c>
      <c r="B80" t="s">
        <v>521</v>
      </c>
      <c r="C80" t="s">
        <v>54</v>
      </c>
      <c r="D80">
        <v>4045</v>
      </c>
      <c r="O80">
        <v>1.3</v>
      </c>
      <c r="AF80">
        <v>2.04</v>
      </c>
      <c r="AG80">
        <v>20.5</v>
      </c>
      <c r="AH80">
        <v>600</v>
      </c>
      <c r="AI80">
        <v>0.4</v>
      </c>
      <c r="AK80">
        <v>0.35</v>
      </c>
    </row>
    <row r="81" spans="1:37" x14ac:dyDescent="0.3">
      <c r="A81" t="s">
        <v>545</v>
      </c>
      <c r="B81" t="s">
        <v>521</v>
      </c>
      <c r="C81" t="s">
        <v>54</v>
      </c>
      <c r="D81">
        <v>4046</v>
      </c>
      <c r="O81">
        <v>1.3</v>
      </c>
      <c r="AF81">
        <v>0.98</v>
      </c>
      <c r="AG81">
        <v>11.4</v>
      </c>
      <c r="AH81">
        <v>600</v>
      </c>
      <c r="AI81">
        <v>0.6</v>
      </c>
      <c r="AK81">
        <v>0.67</v>
      </c>
    </row>
    <row r="82" spans="1:37" x14ac:dyDescent="0.3">
      <c r="A82" t="s">
        <v>54</v>
      </c>
      <c r="B82" t="s">
        <v>521</v>
      </c>
      <c r="C82" t="s">
        <v>54</v>
      </c>
      <c r="D82">
        <v>4600</v>
      </c>
      <c r="O82">
        <v>1.3</v>
      </c>
      <c r="AF82">
        <v>6</v>
      </c>
      <c r="AG82">
        <v>20</v>
      </c>
      <c r="AH82">
        <v>600</v>
      </c>
      <c r="AI82">
        <v>0.2</v>
      </c>
      <c r="AK82">
        <v>0.67</v>
      </c>
    </row>
    <row r="83" spans="1:37" x14ac:dyDescent="0.3">
      <c r="A83" t="s">
        <v>544</v>
      </c>
      <c r="B83" t="s">
        <v>521</v>
      </c>
      <c r="C83" t="s">
        <v>54</v>
      </c>
      <c r="D83">
        <v>6111</v>
      </c>
      <c r="O83">
        <v>1</v>
      </c>
      <c r="AF83">
        <v>0.7</v>
      </c>
      <c r="AG83">
        <v>15</v>
      </c>
      <c r="AH83">
        <v>600</v>
      </c>
      <c r="AI83">
        <v>0.1</v>
      </c>
      <c r="AK83">
        <v>0.35</v>
      </c>
    </row>
    <row r="84" spans="1:37" x14ac:dyDescent="0.3">
      <c r="A84" t="s">
        <v>54</v>
      </c>
      <c r="B84" t="s">
        <v>521</v>
      </c>
      <c r="C84" t="s">
        <v>54</v>
      </c>
      <c r="D84">
        <v>6601</v>
      </c>
      <c r="O84">
        <v>1.2</v>
      </c>
      <c r="AF84">
        <v>0</v>
      </c>
      <c r="AG84">
        <v>6.09</v>
      </c>
      <c r="AH84">
        <v>600</v>
      </c>
      <c r="AI84">
        <v>0.27</v>
      </c>
      <c r="AK84">
        <v>0.67</v>
      </c>
    </row>
    <row r="85" spans="1:37" x14ac:dyDescent="0.3">
      <c r="A85" t="s">
        <v>543</v>
      </c>
      <c r="B85" t="s">
        <v>521</v>
      </c>
      <c r="C85" t="s">
        <v>54</v>
      </c>
      <c r="D85">
        <v>6602</v>
      </c>
      <c r="O85">
        <v>2</v>
      </c>
      <c r="AF85">
        <v>0</v>
      </c>
      <c r="AG85">
        <v>10</v>
      </c>
      <c r="AH85">
        <v>600</v>
      </c>
      <c r="AI85">
        <v>0.05</v>
      </c>
      <c r="AK85">
        <v>0.67</v>
      </c>
    </row>
    <row r="86" spans="1:37" x14ac:dyDescent="0.3">
      <c r="A86" t="s">
        <v>542</v>
      </c>
      <c r="B86" t="s">
        <v>521</v>
      </c>
      <c r="C86" t="s">
        <v>54</v>
      </c>
      <c r="D86">
        <v>6603</v>
      </c>
      <c r="O86">
        <v>2</v>
      </c>
      <c r="AF86">
        <v>0</v>
      </c>
      <c r="AG86">
        <v>10</v>
      </c>
      <c r="AH86">
        <v>600</v>
      </c>
      <c r="AI86">
        <v>0.05</v>
      </c>
      <c r="AK86">
        <v>0.67</v>
      </c>
    </row>
    <row r="87" spans="1:37" x14ac:dyDescent="0.3">
      <c r="A87" t="s">
        <v>541</v>
      </c>
      <c r="B87" t="s">
        <v>521</v>
      </c>
      <c r="C87" t="s">
        <v>54</v>
      </c>
      <c r="D87">
        <v>6604</v>
      </c>
      <c r="O87">
        <v>2</v>
      </c>
      <c r="AF87">
        <v>0</v>
      </c>
      <c r="AG87">
        <v>10</v>
      </c>
      <c r="AH87">
        <v>600</v>
      </c>
      <c r="AI87">
        <v>0.05</v>
      </c>
      <c r="AK87">
        <v>0.67</v>
      </c>
    </row>
    <row r="88" spans="1:37" x14ac:dyDescent="0.3">
      <c r="A88" t="s">
        <v>531</v>
      </c>
      <c r="B88" t="s">
        <v>521</v>
      </c>
      <c r="C88" t="s">
        <v>54</v>
      </c>
      <c r="D88">
        <v>6605</v>
      </c>
      <c r="O88">
        <v>2</v>
      </c>
      <c r="AF88">
        <v>0</v>
      </c>
      <c r="AG88">
        <v>10</v>
      </c>
      <c r="AH88">
        <v>600</v>
      </c>
      <c r="AI88">
        <v>0.05</v>
      </c>
      <c r="AK88">
        <v>0.67</v>
      </c>
    </row>
    <row r="89" spans="1:37" x14ac:dyDescent="0.3">
      <c r="A89" t="s">
        <v>540</v>
      </c>
      <c r="B89" t="s">
        <v>521</v>
      </c>
      <c r="C89" t="s">
        <v>54</v>
      </c>
      <c r="D89">
        <v>2601</v>
      </c>
      <c r="F89">
        <v>0</v>
      </c>
      <c r="O89">
        <v>4</v>
      </c>
      <c r="AF89">
        <v>4.3</v>
      </c>
      <c r="AG89">
        <v>25</v>
      </c>
      <c r="AH89">
        <v>600</v>
      </c>
      <c r="AI89">
        <v>7.0000000000000007E-2</v>
      </c>
      <c r="AK89">
        <v>0.67</v>
      </c>
    </row>
    <row r="90" spans="1:37" x14ac:dyDescent="0.3">
      <c r="A90" t="s">
        <v>539</v>
      </c>
      <c r="B90" t="s">
        <v>521</v>
      </c>
      <c r="C90" t="s">
        <v>54</v>
      </c>
      <c r="D90">
        <v>2602</v>
      </c>
      <c r="F90">
        <v>0</v>
      </c>
      <c r="O90">
        <v>1.5</v>
      </c>
      <c r="AF90">
        <v>2</v>
      </c>
      <c r="AG90">
        <v>11.8</v>
      </c>
      <c r="AH90">
        <v>600</v>
      </c>
      <c r="AI90">
        <v>0.6</v>
      </c>
      <c r="AK90">
        <v>0.67</v>
      </c>
    </row>
    <row r="91" spans="1:37" x14ac:dyDescent="0.3">
      <c r="A91" t="s">
        <v>532</v>
      </c>
      <c r="B91" t="s">
        <v>521</v>
      </c>
      <c r="C91" t="s">
        <v>54</v>
      </c>
      <c r="D91">
        <v>2603</v>
      </c>
      <c r="F91">
        <v>0</v>
      </c>
      <c r="O91">
        <v>1</v>
      </c>
      <c r="AF91">
        <v>1.6</v>
      </c>
      <c r="AG91">
        <v>12.6</v>
      </c>
      <c r="AH91">
        <v>600</v>
      </c>
      <c r="AI91">
        <v>0.1</v>
      </c>
      <c r="AK91">
        <v>0.67</v>
      </c>
    </row>
    <row r="92" spans="1:37" x14ac:dyDescent="0.3">
      <c r="A92" t="s">
        <v>538</v>
      </c>
      <c r="B92" t="s">
        <v>521</v>
      </c>
      <c r="C92" t="s">
        <v>54</v>
      </c>
      <c r="D92">
        <v>2604</v>
      </c>
      <c r="F92">
        <v>0</v>
      </c>
      <c r="O92">
        <v>0.25</v>
      </c>
      <c r="AF92">
        <v>0.7</v>
      </c>
      <c r="AG92">
        <v>2.6</v>
      </c>
      <c r="AH92">
        <v>600</v>
      </c>
      <c r="AI92">
        <v>0.15</v>
      </c>
      <c r="AK92">
        <v>0.67</v>
      </c>
    </row>
    <row r="93" spans="1:37" x14ac:dyDescent="0.3">
      <c r="A93" t="s">
        <v>537</v>
      </c>
      <c r="B93" t="s">
        <v>521</v>
      </c>
      <c r="C93" t="s">
        <v>54</v>
      </c>
      <c r="D93">
        <v>7601</v>
      </c>
      <c r="O93">
        <v>0.5</v>
      </c>
      <c r="AF93">
        <v>0</v>
      </c>
      <c r="AG93">
        <v>5.9</v>
      </c>
      <c r="AH93">
        <v>600</v>
      </c>
      <c r="AI93">
        <v>0.95</v>
      </c>
      <c r="AK93">
        <v>0.67</v>
      </c>
    </row>
    <row r="94" spans="1:37" x14ac:dyDescent="0.3">
      <c r="A94" t="s">
        <v>536</v>
      </c>
      <c r="B94" t="s">
        <v>521</v>
      </c>
      <c r="C94" t="s">
        <v>54</v>
      </c>
      <c r="D94">
        <v>7602</v>
      </c>
      <c r="O94">
        <v>0.5</v>
      </c>
      <c r="AF94">
        <v>0</v>
      </c>
      <c r="AG94">
        <v>5.9</v>
      </c>
      <c r="AH94">
        <v>600</v>
      </c>
      <c r="AI94">
        <v>1</v>
      </c>
      <c r="AK94">
        <v>0.67</v>
      </c>
    </row>
    <row r="95" spans="1:37" x14ac:dyDescent="0.3">
      <c r="A95" t="s">
        <v>535</v>
      </c>
      <c r="B95" t="s">
        <v>521</v>
      </c>
      <c r="C95" t="s">
        <v>54</v>
      </c>
      <c r="D95">
        <v>7603</v>
      </c>
      <c r="O95">
        <v>1.5</v>
      </c>
      <c r="AF95">
        <v>0</v>
      </c>
      <c r="AG95">
        <v>11.8</v>
      </c>
      <c r="AH95">
        <v>600</v>
      </c>
      <c r="AI95">
        <v>0.6</v>
      </c>
      <c r="AK95">
        <v>0.67</v>
      </c>
    </row>
    <row r="96" spans="1:37" x14ac:dyDescent="0.3">
      <c r="A96" t="s">
        <v>534</v>
      </c>
      <c r="B96" t="s">
        <v>521</v>
      </c>
      <c r="C96" t="s">
        <v>54</v>
      </c>
      <c r="D96">
        <v>7604</v>
      </c>
      <c r="O96">
        <v>3.5</v>
      </c>
      <c r="AF96">
        <v>0</v>
      </c>
      <c r="AG96">
        <v>13.6</v>
      </c>
      <c r="AH96">
        <v>600</v>
      </c>
      <c r="AI96">
        <v>0.2</v>
      </c>
      <c r="AK96">
        <v>0.67</v>
      </c>
    </row>
    <row r="97" spans="1:37" x14ac:dyDescent="0.3">
      <c r="A97" t="s">
        <v>298</v>
      </c>
      <c r="B97" t="s">
        <v>521</v>
      </c>
      <c r="C97" t="s">
        <v>54</v>
      </c>
      <c r="D97">
        <v>7605</v>
      </c>
      <c r="O97">
        <v>1.5</v>
      </c>
      <c r="AF97">
        <v>0</v>
      </c>
      <c r="AG97">
        <v>22</v>
      </c>
      <c r="AH97">
        <v>600</v>
      </c>
      <c r="AI97">
        <v>0.15</v>
      </c>
      <c r="AK97">
        <v>0.35</v>
      </c>
    </row>
    <row r="98" spans="1:37" x14ac:dyDescent="0.3">
      <c r="A98" t="s">
        <v>533</v>
      </c>
      <c r="B98" t="s">
        <v>521</v>
      </c>
      <c r="C98" t="s">
        <v>54</v>
      </c>
      <c r="D98">
        <v>7610</v>
      </c>
      <c r="O98">
        <v>3</v>
      </c>
      <c r="AF98">
        <v>0</v>
      </c>
      <c r="AG98">
        <v>24</v>
      </c>
      <c r="AH98">
        <v>600</v>
      </c>
      <c r="AI98">
        <v>0.3</v>
      </c>
      <c r="AK98">
        <v>0.67</v>
      </c>
    </row>
    <row r="99" spans="1:37" x14ac:dyDescent="0.3">
      <c r="A99" t="s">
        <v>532</v>
      </c>
      <c r="B99" t="s">
        <v>521</v>
      </c>
      <c r="C99" t="s">
        <v>54</v>
      </c>
      <c r="D99">
        <v>1603</v>
      </c>
      <c r="O99">
        <v>1.3</v>
      </c>
      <c r="AF99">
        <v>1.6</v>
      </c>
      <c r="AG99">
        <v>12.6</v>
      </c>
      <c r="AH99">
        <v>600</v>
      </c>
      <c r="AI99">
        <v>0.1</v>
      </c>
      <c r="AK99">
        <v>0.67</v>
      </c>
    </row>
    <row r="100" spans="1:37" x14ac:dyDescent="0.3">
      <c r="A100" t="s">
        <v>531</v>
      </c>
      <c r="B100" t="s">
        <v>521</v>
      </c>
      <c r="C100" t="s">
        <v>54</v>
      </c>
      <c r="D100">
        <v>3010</v>
      </c>
      <c r="O100">
        <v>1.3</v>
      </c>
      <c r="AF100">
        <v>1.2</v>
      </c>
      <c r="AG100">
        <v>6.2</v>
      </c>
      <c r="AH100">
        <v>600</v>
      </c>
      <c r="AI100">
        <v>0.25</v>
      </c>
      <c r="AK100">
        <v>0.67</v>
      </c>
    </row>
    <row r="101" spans="1:37" x14ac:dyDescent="0.3">
      <c r="A101" t="s">
        <v>530</v>
      </c>
      <c r="B101" t="s">
        <v>521</v>
      </c>
      <c r="C101" t="s">
        <v>54</v>
      </c>
      <c r="D101">
        <v>3017</v>
      </c>
      <c r="O101">
        <v>1.3</v>
      </c>
      <c r="AF101">
        <v>1.6</v>
      </c>
      <c r="AG101">
        <v>12.6</v>
      </c>
      <c r="AH101">
        <v>600</v>
      </c>
      <c r="AI101">
        <v>0.1</v>
      </c>
      <c r="AK101">
        <v>0.67</v>
      </c>
    </row>
    <row r="102" spans="1:37" x14ac:dyDescent="0.3">
      <c r="A102" t="s">
        <v>529</v>
      </c>
      <c r="B102" t="s">
        <v>521</v>
      </c>
      <c r="C102" t="s">
        <v>54</v>
      </c>
      <c r="D102">
        <v>3024</v>
      </c>
      <c r="O102">
        <v>1.3</v>
      </c>
      <c r="AF102">
        <v>2</v>
      </c>
      <c r="AG102">
        <v>11.8</v>
      </c>
      <c r="AH102">
        <v>600</v>
      </c>
      <c r="AI102">
        <v>0.6</v>
      </c>
      <c r="AK102">
        <v>0.67</v>
      </c>
    </row>
    <row r="103" spans="1:37" x14ac:dyDescent="0.3">
      <c r="A103" t="s">
        <v>528</v>
      </c>
      <c r="B103" t="s">
        <v>521</v>
      </c>
      <c r="C103" t="s">
        <v>54</v>
      </c>
      <c r="D103">
        <v>3031</v>
      </c>
      <c r="O103">
        <v>1.3</v>
      </c>
      <c r="AF103">
        <v>0.6</v>
      </c>
      <c r="AG103">
        <v>13.6</v>
      </c>
      <c r="AH103">
        <v>600</v>
      </c>
      <c r="AI103">
        <v>0.2</v>
      </c>
      <c r="AK103">
        <v>0.67</v>
      </c>
    </row>
    <row r="104" spans="1:37" x14ac:dyDescent="0.3">
      <c r="A104" t="s">
        <v>527</v>
      </c>
      <c r="B104" t="s">
        <v>521</v>
      </c>
      <c r="C104" t="s">
        <v>520</v>
      </c>
      <c r="D104">
        <v>4007</v>
      </c>
      <c r="O104">
        <v>1.3</v>
      </c>
      <c r="AF104">
        <v>2.52</v>
      </c>
      <c r="AG104">
        <v>12.7</v>
      </c>
      <c r="AH104">
        <v>650</v>
      </c>
      <c r="AI104">
        <v>0.25</v>
      </c>
      <c r="AK104">
        <v>0.35</v>
      </c>
    </row>
    <row r="105" spans="1:37" x14ac:dyDescent="0.3">
      <c r="A105" t="s">
        <v>520</v>
      </c>
      <c r="B105" t="s">
        <v>521</v>
      </c>
      <c r="C105" t="s">
        <v>520</v>
      </c>
      <c r="D105">
        <v>4650</v>
      </c>
      <c r="O105">
        <v>1.3</v>
      </c>
      <c r="AF105">
        <v>2.9</v>
      </c>
      <c r="AG105">
        <v>12.7</v>
      </c>
      <c r="AH105">
        <v>650</v>
      </c>
      <c r="AI105">
        <v>0.25</v>
      </c>
      <c r="AK105">
        <v>0.67</v>
      </c>
    </row>
    <row r="106" spans="1:37" x14ac:dyDescent="0.3">
      <c r="A106" t="s">
        <v>526</v>
      </c>
      <c r="B106" t="s">
        <v>521</v>
      </c>
      <c r="C106" t="s">
        <v>520</v>
      </c>
      <c r="D106">
        <v>7651</v>
      </c>
      <c r="O106">
        <v>1.5</v>
      </c>
      <c r="AF106">
        <v>0</v>
      </c>
      <c r="AG106">
        <v>11.8</v>
      </c>
      <c r="AH106">
        <v>650</v>
      </c>
      <c r="AI106">
        <v>0.56999999999999995</v>
      </c>
      <c r="AK106">
        <v>0.67</v>
      </c>
    </row>
    <row r="107" spans="1:37" x14ac:dyDescent="0.3">
      <c r="A107" t="s">
        <v>525</v>
      </c>
      <c r="B107" t="s">
        <v>521</v>
      </c>
      <c r="C107" t="s">
        <v>520</v>
      </c>
      <c r="D107">
        <v>7652</v>
      </c>
      <c r="O107">
        <v>3.5</v>
      </c>
      <c r="AF107">
        <v>0</v>
      </c>
      <c r="AG107">
        <v>15.6</v>
      </c>
      <c r="AH107">
        <v>650</v>
      </c>
      <c r="AI107">
        <v>0.35</v>
      </c>
      <c r="AK107">
        <v>0.67</v>
      </c>
    </row>
    <row r="108" spans="1:37" x14ac:dyDescent="0.3">
      <c r="A108" t="s">
        <v>524</v>
      </c>
      <c r="B108" t="s">
        <v>521</v>
      </c>
      <c r="C108" t="s">
        <v>520</v>
      </c>
      <c r="D108">
        <v>3001</v>
      </c>
      <c r="O108">
        <v>1.3</v>
      </c>
      <c r="AF108">
        <v>1.3</v>
      </c>
      <c r="AG108">
        <v>15.6</v>
      </c>
      <c r="AH108">
        <v>650</v>
      </c>
      <c r="AI108">
        <v>0.25</v>
      </c>
      <c r="AK108">
        <v>0.67</v>
      </c>
    </row>
    <row r="109" spans="1:37" x14ac:dyDescent="0.3">
      <c r="A109" t="s">
        <v>267</v>
      </c>
      <c r="B109" t="s">
        <v>521</v>
      </c>
      <c r="C109" t="s">
        <v>520</v>
      </c>
      <c r="D109">
        <v>3014</v>
      </c>
      <c r="O109">
        <v>1.3</v>
      </c>
      <c r="AF109">
        <v>2.7</v>
      </c>
      <c r="AG109">
        <v>13.6</v>
      </c>
      <c r="AH109">
        <v>650</v>
      </c>
      <c r="AI109">
        <v>0.2</v>
      </c>
      <c r="AK109">
        <v>0.67</v>
      </c>
    </row>
    <row r="110" spans="1:37" x14ac:dyDescent="0.3">
      <c r="A110" t="s">
        <v>523</v>
      </c>
      <c r="B110" t="s">
        <v>521</v>
      </c>
      <c r="C110" t="s">
        <v>520</v>
      </c>
      <c r="D110">
        <v>3023</v>
      </c>
      <c r="O110">
        <v>1.3</v>
      </c>
      <c r="AF110">
        <v>0.1</v>
      </c>
      <c r="AG110">
        <v>11.8</v>
      </c>
      <c r="AH110">
        <v>650</v>
      </c>
      <c r="AI110">
        <v>0.56999999999999995</v>
      </c>
      <c r="AK110">
        <v>0.67</v>
      </c>
    </row>
    <row r="111" spans="1:37" x14ac:dyDescent="0.3">
      <c r="A111" t="s">
        <v>522</v>
      </c>
      <c r="B111" t="s">
        <v>521</v>
      </c>
      <c r="C111" t="s">
        <v>520</v>
      </c>
      <c r="D111">
        <v>3035</v>
      </c>
      <c r="O111">
        <v>1.3</v>
      </c>
      <c r="AF111">
        <v>2.7</v>
      </c>
      <c r="AG111">
        <v>15.6</v>
      </c>
      <c r="AH111">
        <v>650</v>
      </c>
      <c r="AI111">
        <v>0.35</v>
      </c>
      <c r="AK111">
        <v>0.67</v>
      </c>
    </row>
    <row r="112" spans="1:37" x14ac:dyDescent="0.3">
      <c r="A112" t="s">
        <v>519</v>
      </c>
      <c r="B112" t="s">
        <v>511</v>
      </c>
      <c r="C112" t="s">
        <v>127</v>
      </c>
      <c r="D112">
        <v>5031</v>
      </c>
      <c r="E112">
        <v>4.5</v>
      </c>
      <c r="F112">
        <v>0</v>
      </c>
      <c r="G112">
        <v>0</v>
      </c>
      <c r="H112">
        <v>1.2</v>
      </c>
      <c r="I112">
        <v>2.1</v>
      </c>
      <c r="J112">
        <v>1</v>
      </c>
      <c r="K112">
        <v>6.6</v>
      </c>
      <c r="L112">
        <v>0.25</v>
      </c>
      <c r="M112">
        <v>0.3</v>
      </c>
      <c r="N112">
        <v>7.0000000000000007E-2</v>
      </c>
      <c r="Q112">
        <v>18</v>
      </c>
      <c r="T112">
        <v>0</v>
      </c>
      <c r="U112">
        <v>0</v>
      </c>
      <c r="V112">
        <v>4.5</v>
      </c>
      <c r="W112">
        <v>0</v>
      </c>
      <c r="X112">
        <v>0.3</v>
      </c>
      <c r="Y112">
        <v>7.0000000000000007E-2</v>
      </c>
      <c r="AF112">
        <v>1.2</v>
      </c>
      <c r="AG112">
        <v>14.2</v>
      </c>
      <c r="AH112">
        <v>500</v>
      </c>
      <c r="AI112">
        <v>7.0000000000000007E-2</v>
      </c>
    </row>
    <row r="113" spans="1:35" x14ac:dyDescent="0.3">
      <c r="A113" t="s">
        <v>518</v>
      </c>
      <c r="B113" t="s">
        <v>511</v>
      </c>
      <c r="C113" t="s">
        <v>127</v>
      </c>
      <c r="D113">
        <v>5032</v>
      </c>
      <c r="E113">
        <v>4.5</v>
      </c>
      <c r="F113">
        <v>0</v>
      </c>
      <c r="G113">
        <v>0</v>
      </c>
      <c r="H113">
        <v>1.2</v>
      </c>
      <c r="I113">
        <v>1.1000000000000001</v>
      </c>
      <c r="J113">
        <v>1</v>
      </c>
      <c r="K113">
        <v>5.8</v>
      </c>
      <c r="L113">
        <v>0.2</v>
      </c>
      <c r="M113">
        <v>0.3</v>
      </c>
      <c r="N113">
        <v>0.05</v>
      </c>
      <c r="Q113">
        <v>18</v>
      </c>
      <c r="T113">
        <v>0</v>
      </c>
      <c r="U113">
        <v>0</v>
      </c>
      <c r="V113">
        <v>2.8</v>
      </c>
      <c r="W113">
        <v>0</v>
      </c>
      <c r="X113">
        <v>0.2</v>
      </c>
      <c r="Y113">
        <v>0.05</v>
      </c>
      <c r="AF113">
        <v>1.2</v>
      </c>
      <c r="AG113">
        <v>10.7</v>
      </c>
      <c r="AH113">
        <v>500</v>
      </c>
      <c r="AI113">
        <v>0.05</v>
      </c>
    </row>
    <row r="114" spans="1:35" x14ac:dyDescent="0.3">
      <c r="A114" t="s">
        <v>127</v>
      </c>
      <c r="B114" t="s">
        <v>511</v>
      </c>
      <c r="C114" t="s">
        <v>127</v>
      </c>
      <c r="D114">
        <v>4500</v>
      </c>
      <c r="E114">
        <v>4</v>
      </c>
      <c r="F114">
        <v>0</v>
      </c>
      <c r="G114">
        <v>0.2</v>
      </c>
      <c r="H114">
        <v>0.6</v>
      </c>
      <c r="I114">
        <v>0</v>
      </c>
      <c r="J114">
        <v>1</v>
      </c>
      <c r="K114">
        <v>3</v>
      </c>
      <c r="L114">
        <v>0.1</v>
      </c>
      <c r="M114">
        <v>0.3</v>
      </c>
      <c r="N114">
        <v>0.3</v>
      </c>
      <c r="Q114">
        <v>18</v>
      </c>
      <c r="T114">
        <v>0.5</v>
      </c>
      <c r="U114">
        <v>0.3</v>
      </c>
      <c r="V114">
        <v>2.2999999999999998</v>
      </c>
      <c r="W114">
        <v>1.5</v>
      </c>
      <c r="X114">
        <v>0.2</v>
      </c>
      <c r="Y114">
        <v>0.2</v>
      </c>
      <c r="AF114">
        <v>1.6</v>
      </c>
      <c r="AG114">
        <v>7.8</v>
      </c>
      <c r="AH114">
        <v>500</v>
      </c>
      <c r="AI114">
        <v>0.3</v>
      </c>
    </row>
    <row r="115" spans="1:35" x14ac:dyDescent="0.3">
      <c r="A115" t="s">
        <v>517</v>
      </c>
      <c r="B115" t="s">
        <v>511</v>
      </c>
      <c r="C115" t="s">
        <v>127</v>
      </c>
      <c r="D115">
        <v>6501</v>
      </c>
      <c r="E115">
        <v>4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6.64</v>
      </c>
      <c r="L115">
        <v>1</v>
      </c>
      <c r="M115">
        <v>1</v>
      </c>
      <c r="N115">
        <v>6.4000000000000001E-2</v>
      </c>
      <c r="Q115">
        <v>35</v>
      </c>
      <c r="T115">
        <v>0</v>
      </c>
      <c r="U115">
        <v>0</v>
      </c>
      <c r="V115">
        <v>9.7799999999999994</v>
      </c>
      <c r="W115">
        <v>0</v>
      </c>
      <c r="X115">
        <v>0.22</v>
      </c>
      <c r="Y115">
        <v>1</v>
      </c>
      <c r="AF115">
        <v>0</v>
      </c>
      <c r="AG115">
        <v>13.31</v>
      </c>
      <c r="AH115">
        <v>500</v>
      </c>
      <c r="AI115">
        <v>0.25</v>
      </c>
    </row>
    <row r="116" spans="1:35" x14ac:dyDescent="0.3">
      <c r="A116" t="s">
        <v>516</v>
      </c>
      <c r="B116" t="s">
        <v>511</v>
      </c>
      <c r="C116" t="s">
        <v>127</v>
      </c>
      <c r="D116">
        <v>2501</v>
      </c>
      <c r="E116">
        <v>8</v>
      </c>
      <c r="F116">
        <v>0</v>
      </c>
      <c r="G116">
        <v>0</v>
      </c>
      <c r="H116">
        <v>2.6</v>
      </c>
      <c r="I116">
        <v>5</v>
      </c>
      <c r="J116">
        <v>0</v>
      </c>
      <c r="K116">
        <v>7.8</v>
      </c>
      <c r="L116">
        <v>0.3</v>
      </c>
      <c r="M116">
        <v>1</v>
      </c>
      <c r="N116">
        <v>0.25</v>
      </c>
      <c r="Q116">
        <v>21</v>
      </c>
      <c r="T116">
        <v>0</v>
      </c>
      <c r="U116">
        <v>0</v>
      </c>
      <c r="V116">
        <v>5.5</v>
      </c>
      <c r="W116">
        <v>0</v>
      </c>
      <c r="X116">
        <v>0.8</v>
      </c>
      <c r="Y116">
        <v>0.25</v>
      </c>
      <c r="AF116">
        <v>2.7</v>
      </c>
      <c r="AG116">
        <v>18.3</v>
      </c>
      <c r="AH116">
        <v>500</v>
      </c>
      <c r="AI116">
        <v>0.25</v>
      </c>
    </row>
    <row r="117" spans="1:35" x14ac:dyDescent="0.3">
      <c r="A117" t="s">
        <v>515</v>
      </c>
      <c r="B117" t="s">
        <v>511</v>
      </c>
      <c r="C117" t="s">
        <v>127</v>
      </c>
      <c r="D117">
        <v>3025</v>
      </c>
      <c r="E117">
        <v>6</v>
      </c>
      <c r="F117">
        <v>0</v>
      </c>
      <c r="G117">
        <v>1</v>
      </c>
      <c r="H117">
        <v>0</v>
      </c>
      <c r="I117">
        <v>5</v>
      </c>
      <c r="J117">
        <v>1</v>
      </c>
      <c r="K117">
        <v>7.8</v>
      </c>
      <c r="L117">
        <v>0.3</v>
      </c>
      <c r="M117">
        <v>1</v>
      </c>
      <c r="N117">
        <v>0.25</v>
      </c>
      <c r="Q117">
        <v>25</v>
      </c>
      <c r="T117">
        <v>0</v>
      </c>
      <c r="U117">
        <v>0</v>
      </c>
      <c r="V117">
        <v>5.5</v>
      </c>
      <c r="W117">
        <v>0</v>
      </c>
      <c r="X117">
        <v>0.8</v>
      </c>
      <c r="Y117">
        <v>0</v>
      </c>
      <c r="AF117">
        <v>1</v>
      </c>
      <c r="AG117">
        <v>19.3</v>
      </c>
      <c r="AH117">
        <v>500</v>
      </c>
      <c r="AI117">
        <v>0.25</v>
      </c>
    </row>
    <row r="118" spans="1:35" x14ac:dyDescent="0.3">
      <c r="A118" t="s">
        <v>514</v>
      </c>
      <c r="B118" t="s">
        <v>511</v>
      </c>
      <c r="C118" t="s">
        <v>127</v>
      </c>
      <c r="D118">
        <v>3048</v>
      </c>
      <c r="E118">
        <v>6</v>
      </c>
      <c r="F118">
        <v>0</v>
      </c>
      <c r="G118">
        <v>1</v>
      </c>
      <c r="H118">
        <v>0</v>
      </c>
      <c r="I118">
        <v>0</v>
      </c>
      <c r="J118">
        <v>1</v>
      </c>
      <c r="K118">
        <v>5.8</v>
      </c>
      <c r="L118">
        <v>0</v>
      </c>
      <c r="M118">
        <v>1</v>
      </c>
      <c r="N118">
        <v>0.6</v>
      </c>
      <c r="Q118">
        <v>25</v>
      </c>
      <c r="T118">
        <v>0</v>
      </c>
      <c r="U118">
        <v>0</v>
      </c>
      <c r="V118">
        <v>6</v>
      </c>
      <c r="W118">
        <v>0</v>
      </c>
      <c r="X118">
        <v>0.6</v>
      </c>
      <c r="Y118">
        <v>0</v>
      </c>
      <c r="AF118">
        <v>1</v>
      </c>
      <c r="AG118">
        <v>12.8</v>
      </c>
      <c r="AH118">
        <v>500</v>
      </c>
      <c r="AI118">
        <v>0.6</v>
      </c>
    </row>
    <row r="119" spans="1:35" x14ac:dyDescent="0.3">
      <c r="A119" t="s">
        <v>513</v>
      </c>
      <c r="B119" t="s">
        <v>511</v>
      </c>
      <c r="C119" t="s">
        <v>127</v>
      </c>
      <c r="D119">
        <v>3049</v>
      </c>
      <c r="E119">
        <v>6</v>
      </c>
      <c r="F119">
        <v>0</v>
      </c>
      <c r="G119">
        <v>1</v>
      </c>
      <c r="H119">
        <v>0</v>
      </c>
      <c r="I119">
        <v>5</v>
      </c>
      <c r="J119">
        <v>1</v>
      </c>
      <c r="K119">
        <v>7.8</v>
      </c>
      <c r="L119">
        <v>0.3</v>
      </c>
      <c r="M119">
        <v>1</v>
      </c>
      <c r="N119">
        <v>0.25</v>
      </c>
      <c r="Q119">
        <v>25</v>
      </c>
      <c r="T119">
        <v>0</v>
      </c>
      <c r="U119">
        <v>0</v>
      </c>
      <c r="V119">
        <v>5.5</v>
      </c>
      <c r="W119">
        <v>0</v>
      </c>
      <c r="X119">
        <v>0.8</v>
      </c>
      <c r="Y119">
        <v>0</v>
      </c>
      <c r="AF119">
        <v>1</v>
      </c>
      <c r="AG119">
        <v>19.3</v>
      </c>
      <c r="AH119">
        <v>500</v>
      </c>
      <c r="AI119">
        <v>0.25</v>
      </c>
    </row>
    <row r="120" spans="1:35" x14ac:dyDescent="0.3">
      <c r="A120" t="s">
        <v>512</v>
      </c>
      <c r="B120" t="s">
        <v>511</v>
      </c>
      <c r="C120" t="s">
        <v>127</v>
      </c>
      <c r="D120">
        <v>3051</v>
      </c>
      <c r="E120">
        <v>6</v>
      </c>
      <c r="F120">
        <v>0</v>
      </c>
      <c r="G120">
        <v>1</v>
      </c>
      <c r="H120">
        <v>0</v>
      </c>
      <c r="I120">
        <v>5</v>
      </c>
      <c r="J120">
        <v>1</v>
      </c>
      <c r="K120">
        <v>7.8</v>
      </c>
      <c r="L120">
        <v>0.3</v>
      </c>
      <c r="M120">
        <v>1</v>
      </c>
      <c r="N120">
        <v>0.25</v>
      </c>
      <c r="Q120">
        <v>25</v>
      </c>
      <c r="T120">
        <v>0</v>
      </c>
      <c r="U120">
        <v>0</v>
      </c>
      <c r="V120">
        <v>5.5</v>
      </c>
      <c r="W120">
        <v>0</v>
      </c>
      <c r="X120">
        <v>0.8</v>
      </c>
      <c r="Y120">
        <v>0</v>
      </c>
      <c r="AF120">
        <v>1</v>
      </c>
      <c r="AG120">
        <v>19.3</v>
      </c>
      <c r="AH120">
        <v>500</v>
      </c>
      <c r="AI120">
        <v>0.25</v>
      </c>
    </row>
    <row r="121" spans="1:35" x14ac:dyDescent="0.3">
      <c r="A121" t="s">
        <v>510</v>
      </c>
      <c r="B121" t="s">
        <v>479</v>
      </c>
      <c r="C121" t="s">
        <v>504</v>
      </c>
      <c r="D121">
        <v>5015</v>
      </c>
      <c r="AH121">
        <v>950</v>
      </c>
    </row>
    <row r="122" spans="1:35" x14ac:dyDescent="0.3">
      <c r="A122" t="s">
        <v>509</v>
      </c>
      <c r="B122" t="s">
        <v>479</v>
      </c>
      <c r="C122" t="s">
        <v>504</v>
      </c>
      <c r="D122">
        <v>4061</v>
      </c>
      <c r="AH122">
        <v>950</v>
      </c>
    </row>
    <row r="123" spans="1:35" x14ac:dyDescent="0.3">
      <c r="A123" t="s">
        <v>504</v>
      </c>
      <c r="B123" t="s">
        <v>479</v>
      </c>
      <c r="C123" t="s">
        <v>504</v>
      </c>
      <c r="D123">
        <v>4950</v>
      </c>
      <c r="AH123">
        <v>950</v>
      </c>
    </row>
    <row r="124" spans="1:35" x14ac:dyDescent="0.3">
      <c r="A124" t="s">
        <v>508</v>
      </c>
      <c r="B124" t="s">
        <v>479</v>
      </c>
      <c r="C124" t="s">
        <v>504</v>
      </c>
      <c r="D124">
        <v>6950</v>
      </c>
      <c r="AH124">
        <v>950</v>
      </c>
    </row>
    <row r="125" spans="1:35" x14ac:dyDescent="0.3">
      <c r="A125" t="s">
        <v>507</v>
      </c>
      <c r="B125" t="s">
        <v>479</v>
      </c>
      <c r="C125" t="s">
        <v>504</v>
      </c>
      <c r="D125">
        <v>6951</v>
      </c>
      <c r="AH125">
        <v>950</v>
      </c>
    </row>
    <row r="126" spans="1:35" x14ac:dyDescent="0.3">
      <c r="A126" t="s">
        <v>506</v>
      </c>
      <c r="B126" t="s">
        <v>479</v>
      </c>
      <c r="C126" t="s">
        <v>504</v>
      </c>
      <c r="D126">
        <v>2950</v>
      </c>
      <c r="AH126">
        <v>950</v>
      </c>
    </row>
    <row r="127" spans="1:35" x14ac:dyDescent="0.3">
      <c r="A127" t="s">
        <v>504</v>
      </c>
      <c r="B127" t="s">
        <v>479</v>
      </c>
      <c r="C127" t="s">
        <v>504</v>
      </c>
      <c r="D127">
        <v>7950</v>
      </c>
      <c r="AH127">
        <v>950</v>
      </c>
    </row>
    <row r="128" spans="1:35" x14ac:dyDescent="0.3">
      <c r="A128" t="s">
        <v>506</v>
      </c>
      <c r="B128" t="s">
        <v>479</v>
      </c>
      <c r="C128" t="s">
        <v>504</v>
      </c>
      <c r="D128">
        <v>1950</v>
      </c>
      <c r="AH128">
        <v>950</v>
      </c>
    </row>
    <row r="129" spans="1:34" x14ac:dyDescent="0.3">
      <c r="A129" t="s">
        <v>505</v>
      </c>
      <c r="B129" t="s">
        <v>479</v>
      </c>
      <c r="C129" t="s">
        <v>504</v>
      </c>
      <c r="D129">
        <v>8950</v>
      </c>
      <c r="AH129">
        <v>950</v>
      </c>
    </row>
    <row r="130" spans="1:34" x14ac:dyDescent="0.3">
      <c r="A130" t="s">
        <v>504</v>
      </c>
      <c r="B130" t="s">
        <v>479</v>
      </c>
      <c r="C130" t="s">
        <v>504</v>
      </c>
      <c r="D130">
        <v>3950</v>
      </c>
      <c r="AH130">
        <v>950</v>
      </c>
    </row>
    <row r="131" spans="1:34" x14ac:dyDescent="0.3">
      <c r="A131" t="s">
        <v>503</v>
      </c>
      <c r="B131" t="s">
        <v>479</v>
      </c>
      <c r="C131" t="s">
        <v>500</v>
      </c>
      <c r="D131">
        <v>5010</v>
      </c>
      <c r="AH131">
        <v>830</v>
      </c>
    </row>
    <row r="132" spans="1:34" x14ac:dyDescent="0.3">
      <c r="A132" t="s">
        <v>502</v>
      </c>
      <c r="B132" t="s">
        <v>479</v>
      </c>
      <c r="C132" t="s">
        <v>500</v>
      </c>
      <c r="D132">
        <v>5060</v>
      </c>
      <c r="AH132">
        <v>830</v>
      </c>
    </row>
    <row r="133" spans="1:34" x14ac:dyDescent="0.3">
      <c r="A133" t="s">
        <v>500</v>
      </c>
      <c r="B133" t="s">
        <v>479</v>
      </c>
      <c r="C133" t="s">
        <v>500</v>
      </c>
      <c r="D133">
        <v>4830</v>
      </c>
      <c r="AH133">
        <v>830</v>
      </c>
    </row>
    <row r="134" spans="1:34" x14ac:dyDescent="0.3">
      <c r="A134" t="s">
        <v>501</v>
      </c>
      <c r="B134" t="s">
        <v>479</v>
      </c>
      <c r="C134" t="s">
        <v>500</v>
      </c>
      <c r="D134">
        <v>6830</v>
      </c>
      <c r="AH134">
        <v>830</v>
      </c>
    </row>
    <row r="135" spans="1:34" x14ac:dyDescent="0.3">
      <c r="A135" t="s">
        <v>500</v>
      </c>
      <c r="B135" t="s">
        <v>479</v>
      </c>
      <c r="C135" t="s">
        <v>500</v>
      </c>
      <c r="D135">
        <v>7830</v>
      </c>
      <c r="AH135">
        <v>830</v>
      </c>
    </row>
    <row r="136" spans="1:34" x14ac:dyDescent="0.3">
      <c r="A136" t="s">
        <v>500</v>
      </c>
      <c r="B136" t="s">
        <v>479</v>
      </c>
      <c r="C136" t="s">
        <v>500</v>
      </c>
      <c r="D136">
        <v>8830</v>
      </c>
      <c r="AH136">
        <v>830</v>
      </c>
    </row>
    <row r="137" spans="1:34" x14ac:dyDescent="0.3">
      <c r="A137" t="s">
        <v>500</v>
      </c>
      <c r="B137" t="s">
        <v>479</v>
      </c>
      <c r="C137" t="s">
        <v>500</v>
      </c>
      <c r="D137">
        <v>3830</v>
      </c>
      <c r="AH137">
        <v>830</v>
      </c>
    </row>
    <row r="138" spans="1:34" x14ac:dyDescent="0.3">
      <c r="A138" t="s">
        <v>499</v>
      </c>
      <c r="B138" t="s">
        <v>479</v>
      </c>
      <c r="C138" t="s">
        <v>479</v>
      </c>
      <c r="D138">
        <v>5000</v>
      </c>
      <c r="AH138">
        <v>900</v>
      </c>
    </row>
    <row r="139" spans="1:34" x14ac:dyDescent="0.3">
      <c r="A139" t="s">
        <v>498</v>
      </c>
      <c r="B139" t="s">
        <v>479</v>
      </c>
      <c r="C139" t="s">
        <v>479</v>
      </c>
      <c r="D139">
        <v>5002</v>
      </c>
      <c r="AH139">
        <v>900</v>
      </c>
    </row>
    <row r="140" spans="1:34" x14ac:dyDescent="0.3">
      <c r="A140" t="s">
        <v>497</v>
      </c>
      <c r="B140" t="s">
        <v>479</v>
      </c>
      <c r="C140" t="s">
        <v>479</v>
      </c>
      <c r="D140">
        <v>5004</v>
      </c>
      <c r="AH140">
        <v>900</v>
      </c>
    </row>
    <row r="141" spans="1:34" x14ac:dyDescent="0.3">
      <c r="A141" t="s">
        <v>496</v>
      </c>
      <c r="B141" t="s">
        <v>479</v>
      </c>
      <c r="C141" t="s">
        <v>479</v>
      </c>
      <c r="D141">
        <v>5006</v>
      </c>
      <c r="AH141">
        <v>900</v>
      </c>
    </row>
    <row r="142" spans="1:34" x14ac:dyDescent="0.3">
      <c r="A142" t="s">
        <v>495</v>
      </c>
      <c r="B142" t="s">
        <v>479</v>
      </c>
      <c r="C142" t="s">
        <v>479</v>
      </c>
      <c r="D142">
        <v>5007</v>
      </c>
      <c r="AH142">
        <v>900</v>
      </c>
    </row>
    <row r="143" spans="1:34" x14ac:dyDescent="0.3">
      <c r="A143" t="s">
        <v>494</v>
      </c>
      <c r="B143" t="s">
        <v>479</v>
      </c>
      <c r="C143" t="s">
        <v>479</v>
      </c>
      <c r="D143">
        <v>5016</v>
      </c>
      <c r="AH143">
        <v>900</v>
      </c>
    </row>
    <row r="144" spans="1:34" x14ac:dyDescent="0.3">
      <c r="A144" t="s">
        <v>493</v>
      </c>
      <c r="B144" t="s">
        <v>479</v>
      </c>
      <c r="C144" t="s">
        <v>479</v>
      </c>
      <c r="D144">
        <v>5017</v>
      </c>
      <c r="AH144">
        <v>900</v>
      </c>
    </row>
    <row r="145" spans="1:34" x14ac:dyDescent="0.3">
      <c r="A145" t="s">
        <v>492</v>
      </c>
      <c r="B145" t="s">
        <v>479</v>
      </c>
      <c r="C145" t="s">
        <v>479</v>
      </c>
      <c r="D145">
        <v>4055</v>
      </c>
      <c r="AH145">
        <v>900</v>
      </c>
    </row>
    <row r="146" spans="1:34" x14ac:dyDescent="0.3">
      <c r="A146" t="s">
        <v>491</v>
      </c>
      <c r="B146" t="s">
        <v>479</v>
      </c>
      <c r="C146" t="s">
        <v>479</v>
      </c>
      <c r="D146">
        <v>4063</v>
      </c>
      <c r="AH146">
        <v>900</v>
      </c>
    </row>
    <row r="147" spans="1:34" x14ac:dyDescent="0.3">
      <c r="A147" t="s">
        <v>479</v>
      </c>
      <c r="B147" t="s">
        <v>479</v>
      </c>
      <c r="C147" t="s">
        <v>479</v>
      </c>
      <c r="D147">
        <v>4900</v>
      </c>
      <c r="AH147">
        <v>900</v>
      </c>
    </row>
    <row r="148" spans="1:34" x14ac:dyDescent="0.3">
      <c r="A148" t="s">
        <v>490</v>
      </c>
      <c r="B148" t="s">
        <v>479</v>
      </c>
      <c r="C148" t="s">
        <v>479</v>
      </c>
      <c r="D148">
        <v>6900</v>
      </c>
      <c r="AH148">
        <v>900</v>
      </c>
    </row>
    <row r="149" spans="1:34" x14ac:dyDescent="0.3">
      <c r="A149" t="s">
        <v>483</v>
      </c>
      <c r="B149" t="s">
        <v>479</v>
      </c>
      <c r="C149" t="s">
        <v>479</v>
      </c>
      <c r="D149">
        <v>6901</v>
      </c>
      <c r="AH149">
        <v>900</v>
      </c>
    </row>
    <row r="150" spans="1:34" x14ac:dyDescent="0.3">
      <c r="A150" t="s">
        <v>489</v>
      </c>
      <c r="B150" t="s">
        <v>479</v>
      </c>
      <c r="C150" t="s">
        <v>479</v>
      </c>
      <c r="D150">
        <v>6902</v>
      </c>
      <c r="AH150">
        <v>900</v>
      </c>
    </row>
    <row r="151" spans="1:34" x14ac:dyDescent="0.3">
      <c r="A151" t="s">
        <v>488</v>
      </c>
      <c r="B151" t="s">
        <v>479</v>
      </c>
      <c r="C151" t="s">
        <v>479</v>
      </c>
      <c r="D151">
        <v>6903</v>
      </c>
      <c r="AH151">
        <v>900</v>
      </c>
    </row>
    <row r="152" spans="1:34" x14ac:dyDescent="0.3">
      <c r="A152" t="s">
        <v>485</v>
      </c>
      <c r="B152" t="s">
        <v>479</v>
      </c>
      <c r="C152" t="s">
        <v>479</v>
      </c>
      <c r="D152">
        <v>2900</v>
      </c>
      <c r="AH152">
        <v>900</v>
      </c>
    </row>
    <row r="153" spans="1:34" x14ac:dyDescent="0.3">
      <c r="A153" t="s">
        <v>487</v>
      </c>
      <c r="B153" t="s">
        <v>479</v>
      </c>
      <c r="C153" t="s">
        <v>479</v>
      </c>
      <c r="D153">
        <v>2901</v>
      </c>
      <c r="AH153">
        <v>900</v>
      </c>
    </row>
    <row r="154" spans="1:34" x14ac:dyDescent="0.3">
      <c r="A154" t="s">
        <v>479</v>
      </c>
      <c r="B154" t="s">
        <v>479</v>
      </c>
      <c r="C154" t="s">
        <v>479</v>
      </c>
      <c r="D154">
        <v>7900</v>
      </c>
      <c r="AH154">
        <v>900</v>
      </c>
    </row>
    <row r="155" spans="1:34" x14ac:dyDescent="0.3">
      <c r="A155" t="s">
        <v>486</v>
      </c>
      <c r="B155" t="s">
        <v>479</v>
      </c>
      <c r="C155" t="s">
        <v>479</v>
      </c>
      <c r="D155">
        <v>7901</v>
      </c>
      <c r="AH155">
        <v>900</v>
      </c>
    </row>
    <row r="156" spans="1:34" x14ac:dyDescent="0.3">
      <c r="A156" t="s">
        <v>485</v>
      </c>
      <c r="B156" t="s">
        <v>479</v>
      </c>
      <c r="C156" t="s">
        <v>479</v>
      </c>
      <c r="D156">
        <v>1900</v>
      </c>
      <c r="AH156">
        <v>900</v>
      </c>
    </row>
    <row r="157" spans="1:34" x14ac:dyDescent="0.3">
      <c r="A157" t="s">
        <v>483</v>
      </c>
      <c r="B157" t="s">
        <v>479</v>
      </c>
      <c r="C157" t="s">
        <v>479</v>
      </c>
      <c r="D157">
        <v>8900</v>
      </c>
      <c r="AH157">
        <v>900</v>
      </c>
    </row>
    <row r="158" spans="1:34" x14ac:dyDescent="0.3">
      <c r="A158" t="s">
        <v>484</v>
      </c>
      <c r="B158" t="s">
        <v>479</v>
      </c>
      <c r="C158" t="s">
        <v>479</v>
      </c>
      <c r="D158">
        <v>8901</v>
      </c>
      <c r="AH158">
        <v>900</v>
      </c>
    </row>
    <row r="159" spans="1:34" x14ac:dyDescent="0.3">
      <c r="A159" t="s">
        <v>483</v>
      </c>
      <c r="B159" t="s">
        <v>479</v>
      </c>
      <c r="C159" t="s">
        <v>479</v>
      </c>
      <c r="D159">
        <v>8903</v>
      </c>
      <c r="AH159">
        <v>900</v>
      </c>
    </row>
    <row r="160" spans="1:34" x14ac:dyDescent="0.3">
      <c r="A160" t="s">
        <v>482</v>
      </c>
      <c r="B160" t="s">
        <v>479</v>
      </c>
      <c r="C160" t="s">
        <v>479</v>
      </c>
      <c r="D160">
        <v>3000</v>
      </c>
      <c r="AH160">
        <v>900</v>
      </c>
    </row>
    <row r="161" spans="1:34" x14ac:dyDescent="0.3">
      <c r="A161" t="s">
        <v>481</v>
      </c>
      <c r="B161" t="s">
        <v>479</v>
      </c>
      <c r="C161" t="s">
        <v>479</v>
      </c>
      <c r="D161">
        <v>3038</v>
      </c>
      <c r="AH161">
        <v>900</v>
      </c>
    </row>
    <row r="162" spans="1:34" x14ac:dyDescent="0.3">
      <c r="A162" t="s">
        <v>480</v>
      </c>
      <c r="B162" t="s">
        <v>479</v>
      </c>
      <c r="C162" t="s">
        <v>479</v>
      </c>
      <c r="D162">
        <v>3047</v>
      </c>
      <c r="AH162">
        <v>900</v>
      </c>
    </row>
    <row r="163" spans="1:34" x14ac:dyDescent="0.3">
      <c r="A163" t="s">
        <v>479</v>
      </c>
      <c r="B163" t="s">
        <v>479</v>
      </c>
      <c r="C163" t="s">
        <v>479</v>
      </c>
      <c r="D163">
        <v>3900</v>
      </c>
      <c r="AH163">
        <v>900</v>
      </c>
    </row>
    <row r="164" spans="1:34" x14ac:dyDescent="0.3">
      <c r="A164" t="s">
        <v>478</v>
      </c>
      <c r="B164" t="s">
        <v>98</v>
      </c>
      <c r="C164" t="s">
        <v>98</v>
      </c>
      <c r="D164">
        <v>5048</v>
      </c>
      <c r="AH164">
        <v>200</v>
      </c>
    </row>
    <row r="165" spans="1:34" x14ac:dyDescent="0.3">
      <c r="A165" t="s">
        <v>477</v>
      </c>
      <c r="B165" t="s">
        <v>98</v>
      </c>
      <c r="C165" t="s">
        <v>98</v>
      </c>
      <c r="D165">
        <v>5049</v>
      </c>
      <c r="AH165">
        <v>200</v>
      </c>
    </row>
    <row r="166" spans="1:34" x14ac:dyDescent="0.3">
      <c r="A166" t="s">
        <v>476</v>
      </c>
      <c r="B166" t="s">
        <v>98</v>
      </c>
      <c r="C166" t="s">
        <v>98</v>
      </c>
      <c r="D166">
        <v>5050</v>
      </c>
      <c r="AH166">
        <v>200</v>
      </c>
    </row>
    <row r="167" spans="1:34" x14ac:dyDescent="0.3">
      <c r="A167" t="s">
        <v>475</v>
      </c>
      <c r="B167" t="s">
        <v>98</v>
      </c>
      <c r="C167" t="s">
        <v>98</v>
      </c>
      <c r="D167">
        <v>5051</v>
      </c>
      <c r="AH167">
        <v>200</v>
      </c>
    </row>
    <row r="168" spans="1:34" x14ac:dyDescent="0.3">
      <c r="A168" t="s">
        <v>474</v>
      </c>
      <c r="B168" t="s">
        <v>98</v>
      </c>
      <c r="C168" t="s">
        <v>98</v>
      </c>
      <c r="D168">
        <v>5052</v>
      </c>
      <c r="AH168">
        <v>200</v>
      </c>
    </row>
    <row r="169" spans="1:34" x14ac:dyDescent="0.3">
      <c r="A169" t="s">
        <v>473</v>
      </c>
      <c r="B169" t="s">
        <v>98</v>
      </c>
      <c r="C169" t="s">
        <v>98</v>
      </c>
      <c r="D169">
        <v>5012</v>
      </c>
      <c r="AH169">
        <v>200</v>
      </c>
    </row>
    <row r="170" spans="1:34" x14ac:dyDescent="0.3">
      <c r="A170" t="s">
        <v>472</v>
      </c>
      <c r="B170" t="s">
        <v>98</v>
      </c>
      <c r="C170" t="s">
        <v>98</v>
      </c>
      <c r="D170">
        <v>4057</v>
      </c>
      <c r="AH170">
        <v>200</v>
      </c>
    </row>
    <row r="171" spans="1:34" x14ac:dyDescent="0.3">
      <c r="A171" t="s">
        <v>98</v>
      </c>
      <c r="B171" t="s">
        <v>98</v>
      </c>
      <c r="C171" t="s">
        <v>98</v>
      </c>
      <c r="D171">
        <v>4200</v>
      </c>
      <c r="AH171">
        <v>200</v>
      </c>
    </row>
    <row r="172" spans="1:34" x14ac:dyDescent="0.3">
      <c r="A172" t="s">
        <v>471</v>
      </c>
      <c r="B172" t="s">
        <v>98</v>
      </c>
      <c r="C172" t="s">
        <v>98</v>
      </c>
      <c r="D172">
        <v>6201</v>
      </c>
      <c r="AH172">
        <v>200</v>
      </c>
    </row>
    <row r="173" spans="1:34" x14ac:dyDescent="0.3">
      <c r="A173" t="s">
        <v>468</v>
      </c>
      <c r="B173" t="s">
        <v>98</v>
      </c>
      <c r="C173" t="s">
        <v>98</v>
      </c>
      <c r="D173">
        <v>2200</v>
      </c>
      <c r="AH173">
        <v>200</v>
      </c>
    </row>
    <row r="174" spans="1:34" x14ac:dyDescent="0.3">
      <c r="A174" t="s">
        <v>470</v>
      </c>
      <c r="B174" t="s">
        <v>98</v>
      </c>
      <c r="C174" t="s">
        <v>98</v>
      </c>
      <c r="D174">
        <v>7200</v>
      </c>
      <c r="AH174">
        <v>200</v>
      </c>
    </row>
    <row r="175" spans="1:34" x14ac:dyDescent="0.3">
      <c r="A175" t="s">
        <v>469</v>
      </c>
      <c r="B175" t="s">
        <v>98</v>
      </c>
      <c r="C175" t="s">
        <v>98</v>
      </c>
      <c r="D175">
        <v>7202</v>
      </c>
      <c r="AH175">
        <v>200</v>
      </c>
    </row>
    <row r="176" spans="1:34" x14ac:dyDescent="0.3">
      <c r="A176" t="s">
        <v>468</v>
      </c>
      <c r="B176" t="s">
        <v>98</v>
      </c>
      <c r="C176" t="s">
        <v>98</v>
      </c>
      <c r="D176">
        <v>1200</v>
      </c>
      <c r="AH176">
        <v>200</v>
      </c>
    </row>
    <row r="177" spans="1:35" x14ac:dyDescent="0.3">
      <c r="A177" t="s">
        <v>467</v>
      </c>
      <c r="B177" t="s">
        <v>98</v>
      </c>
      <c r="C177" t="s">
        <v>98</v>
      </c>
      <c r="D177">
        <v>3098</v>
      </c>
      <c r="AH177">
        <v>200</v>
      </c>
    </row>
    <row r="178" spans="1:35" x14ac:dyDescent="0.3">
      <c r="A178" t="s">
        <v>466</v>
      </c>
      <c r="B178" t="s">
        <v>373</v>
      </c>
      <c r="C178" t="s">
        <v>444</v>
      </c>
      <c r="D178">
        <v>5034</v>
      </c>
      <c r="AC178">
        <v>0.5</v>
      </c>
      <c r="AF178">
        <v>1</v>
      </c>
      <c r="AG178">
        <v>10.8</v>
      </c>
      <c r="AH178">
        <v>310</v>
      </c>
      <c r="AI178">
        <v>0.1</v>
      </c>
    </row>
    <row r="179" spans="1:35" x14ac:dyDescent="0.3">
      <c r="A179" t="s">
        <v>465</v>
      </c>
      <c r="B179" t="s">
        <v>373</v>
      </c>
      <c r="C179" t="s">
        <v>444</v>
      </c>
      <c r="D179">
        <v>5037</v>
      </c>
      <c r="AC179">
        <v>0.5</v>
      </c>
      <c r="AF179">
        <v>1.2</v>
      </c>
      <c r="AG179">
        <v>8.8000000000000007</v>
      </c>
      <c r="AH179">
        <v>310</v>
      </c>
      <c r="AI179">
        <v>0.19</v>
      </c>
    </row>
    <row r="180" spans="1:35" x14ac:dyDescent="0.3">
      <c r="A180" t="s">
        <v>464</v>
      </c>
      <c r="B180" t="s">
        <v>373</v>
      </c>
      <c r="C180" t="s">
        <v>444</v>
      </c>
      <c r="D180">
        <v>5044</v>
      </c>
      <c r="AC180">
        <v>0.5</v>
      </c>
      <c r="AF180">
        <v>0.2</v>
      </c>
      <c r="AG180">
        <v>8.8000000000000007</v>
      </c>
      <c r="AH180">
        <v>310</v>
      </c>
      <c r="AI180">
        <v>0.05</v>
      </c>
    </row>
    <row r="181" spans="1:35" x14ac:dyDescent="0.3">
      <c r="A181" t="s">
        <v>463</v>
      </c>
      <c r="B181" t="s">
        <v>373</v>
      </c>
      <c r="C181" t="s">
        <v>444</v>
      </c>
      <c r="D181">
        <v>5045</v>
      </c>
      <c r="AC181">
        <v>0.5</v>
      </c>
      <c r="AF181">
        <v>0.5</v>
      </c>
      <c r="AG181">
        <v>6.6</v>
      </c>
      <c r="AH181">
        <v>310</v>
      </c>
      <c r="AI181">
        <v>0.25</v>
      </c>
    </row>
    <row r="182" spans="1:35" x14ac:dyDescent="0.3">
      <c r="A182" t="s">
        <v>462</v>
      </c>
      <c r="B182" t="s">
        <v>373</v>
      </c>
      <c r="C182" t="s">
        <v>444</v>
      </c>
      <c r="D182">
        <v>5046</v>
      </c>
      <c r="AC182">
        <v>0.5</v>
      </c>
      <c r="AF182">
        <v>0.2</v>
      </c>
      <c r="AG182">
        <v>6.3</v>
      </c>
      <c r="AH182">
        <v>310</v>
      </c>
      <c r="AI182">
        <v>0.15</v>
      </c>
    </row>
    <row r="183" spans="1:35" x14ac:dyDescent="0.3">
      <c r="A183" t="s">
        <v>461</v>
      </c>
      <c r="B183" t="s">
        <v>373</v>
      </c>
      <c r="C183" t="s">
        <v>444</v>
      </c>
      <c r="D183">
        <v>4030</v>
      </c>
      <c r="AC183">
        <v>0.5</v>
      </c>
      <c r="AF183">
        <v>0.49</v>
      </c>
      <c r="AG183">
        <v>4.9000000000000004</v>
      </c>
      <c r="AH183">
        <v>310</v>
      </c>
      <c r="AI183">
        <v>0.4</v>
      </c>
    </row>
    <row r="184" spans="1:35" x14ac:dyDescent="0.3">
      <c r="A184" t="s">
        <v>460</v>
      </c>
      <c r="B184" t="s">
        <v>373</v>
      </c>
      <c r="C184" t="s">
        <v>444</v>
      </c>
      <c r="D184">
        <v>4031</v>
      </c>
      <c r="AC184">
        <v>0.5</v>
      </c>
      <c r="AF184">
        <v>0.83</v>
      </c>
      <c r="AG184">
        <v>8.5</v>
      </c>
      <c r="AH184">
        <v>310</v>
      </c>
      <c r="AI184">
        <v>0.67</v>
      </c>
    </row>
    <row r="185" spans="1:35" x14ac:dyDescent="0.3">
      <c r="A185" t="s">
        <v>459</v>
      </c>
      <c r="B185" t="s">
        <v>373</v>
      </c>
      <c r="C185" t="s">
        <v>444</v>
      </c>
      <c r="D185">
        <v>4032</v>
      </c>
      <c r="AC185">
        <v>0.6</v>
      </c>
      <c r="AF185">
        <v>0.6</v>
      </c>
      <c r="AG185">
        <v>6.8</v>
      </c>
      <c r="AH185">
        <v>310</v>
      </c>
      <c r="AI185">
        <v>0.25</v>
      </c>
    </row>
    <row r="186" spans="1:35" x14ac:dyDescent="0.3">
      <c r="A186" t="s">
        <v>458</v>
      </c>
      <c r="B186" t="s">
        <v>373</v>
      </c>
      <c r="C186" t="s">
        <v>444</v>
      </c>
      <c r="D186">
        <v>4033</v>
      </c>
      <c r="AC186">
        <v>0.5</v>
      </c>
      <c r="AF186">
        <v>3.02</v>
      </c>
      <c r="AG186">
        <v>15</v>
      </c>
      <c r="AH186">
        <v>310</v>
      </c>
      <c r="AI186">
        <v>0.67</v>
      </c>
    </row>
    <row r="187" spans="1:35" x14ac:dyDescent="0.3">
      <c r="A187" t="s">
        <v>457</v>
      </c>
      <c r="B187" t="s">
        <v>373</v>
      </c>
      <c r="C187" t="s">
        <v>444</v>
      </c>
      <c r="D187">
        <v>4034</v>
      </c>
      <c r="AC187">
        <v>0.5</v>
      </c>
      <c r="AF187">
        <v>0.61</v>
      </c>
      <c r="AG187">
        <v>6.1</v>
      </c>
      <c r="AH187">
        <v>310</v>
      </c>
      <c r="AI187">
        <v>0.4</v>
      </c>
    </row>
    <row r="188" spans="1:35" x14ac:dyDescent="0.3">
      <c r="A188" t="s">
        <v>456</v>
      </c>
      <c r="B188" t="s">
        <v>373</v>
      </c>
      <c r="C188" t="s">
        <v>444</v>
      </c>
      <c r="D188">
        <v>4035</v>
      </c>
      <c r="AC188">
        <v>0.5</v>
      </c>
      <c r="AF188">
        <v>1.72</v>
      </c>
      <c r="AG188">
        <v>8.4</v>
      </c>
      <c r="AH188">
        <v>310</v>
      </c>
      <c r="AI188">
        <v>0.67</v>
      </c>
    </row>
    <row r="189" spans="1:35" x14ac:dyDescent="0.3">
      <c r="A189" t="s">
        <v>455</v>
      </c>
      <c r="B189" t="s">
        <v>373</v>
      </c>
      <c r="C189" t="s">
        <v>444</v>
      </c>
      <c r="D189">
        <v>4036</v>
      </c>
      <c r="AC189">
        <v>0.5</v>
      </c>
      <c r="AF189">
        <v>0.39</v>
      </c>
      <c r="AG189">
        <v>3.9</v>
      </c>
      <c r="AH189">
        <v>310</v>
      </c>
      <c r="AI189">
        <v>0.4</v>
      </c>
    </row>
    <row r="190" spans="1:35" x14ac:dyDescent="0.3">
      <c r="A190" t="s">
        <v>454</v>
      </c>
      <c r="B190" t="s">
        <v>373</v>
      </c>
      <c r="C190" t="s">
        <v>444</v>
      </c>
      <c r="D190">
        <v>6311</v>
      </c>
      <c r="AC190">
        <v>0.5</v>
      </c>
      <c r="AF190">
        <v>0</v>
      </c>
      <c r="AG190">
        <v>4.5</v>
      </c>
      <c r="AH190">
        <v>310</v>
      </c>
      <c r="AI190">
        <v>0.6</v>
      </c>
    </row>
    <row r="191" spans="1:35" x14ac:dyDescent="0.3">
      <c r="A191" t="s">
        <v>453</v>
      </c>
      <c r="B191" t="s">
        <v>373</v>
      </c>
      <c r="C191" t="s">
        <v>444</v>
      </c>
      <c r="D191">
        <v>6312</v>
      </c>
      <c r="AC191">
        <v>0.5</v>
      </c>
      <c r="AF191">
        <v>0</v>
      </c>
      <c r="AG191">
        <v>4.5</v>
      </c>
      <c r="AH191">
        <v>310</v>
      </c>
      <c r="AI191">
        <v>0.6</v>
      </c>
    </row>
    <row r="192" spans="1:35" x14ac:dyDescent="0.3">
      <c r="A192" t="s">
        <v>452</v>
      </c>
      <c r="B192" t="s">
        <v>373</v>
      </c>
      <c r="C192" t="s">
        <v>444</v>
      </c>
      <c r="D192">
        <v>6313</v>
      </c>
      <c r="AC192">
        <v>0.6</v>
      </c>
      <c r="AF192">
        <v>0</v>
      </c>
      <c r="AG192">
        <v>4.5</v>
      </c>
      <c r="AH192">
        <v>310</v>
      </c>
      <c r="AI192">
        <v>0.6</v>
      </c>
    </row>
    <row r="193" spans="1:35" x14ac:dyDescent="0.3">
      <c r="A193" t="s">
        <v>451</v>
      </c>
      <c r="B193" t="s">
        <v>373</v>
      </c>
      <c r="C193" t="s">
        <v>444</v>
      </c>
      <c r="D193">
        <v>6314</v>
      </c>
      <c r="AC193">
        <v>0.6</v>
      </c>
      <c r="AF193">
        <v>0</v>
      </c>
      <c r="AG193">
        <v>4.5</v>
      </c>
      <c r="AH193">
        <v>310</v>
      </c>
      <c r="AI193">
        <v>0.6</v>
      </c>
    </row>
    <row r="194" spans="1:35" x14ac:dyDescent="0.3">
      <c r="A194" t="s">
        <v>450</v>
      </c>
      <c r="B194" t="s">
        <v>373</v>
      </c>
      <c r="C194" t="s">
        <v>444</v>
      </c>
      <c r="D194">
        <v>2311</v>
      </c>
      <c r="AC194">
        <v>0.5</v>
      </c>
      <c r="AF194">
        <v>0</v>
      </c>
      <c r="AG194">
        <v>6.7</v>
      </c>
      <c r="AH194">
        <v>310</v>
      </c>
      <c r="AI194">
        <v>0.3</v>
      </c>
    </row>
    <row r="195" spans="1:35" x14ac:dyDescent="0.3">
      <c r="A195" t="s">
        <v>449</v>
      </c>
      <c r="B195" t="s">
        <v>373</v>
      </c>
      <c r="C195" t="s">
        <v>444</v>
      </c>
      <c r="D195">
        <v>2312</v>
      </c>
      <c r="AC195">
        <v>0.64</v>
      </c>
      <c r="AF195">
        <v>1.2</v>
      </c>
      <c r="AG195">
        <v>6.2</v>
      </c>
      <c r="AH195">
        <v>310</v>
      </c>
      <c r="AI195">
        <v>0.25</v>
      </c>
    </row>
    <row r="196" spans="1:35" x14ac:dyDescent="0.3">
      <c r="A196" t="s">
        <v>448</v>
      </c>
      <c r="B196" t="s">
        <v>373</v>
      </c>
      <c r="C196" t="s">
        <v>444</v>
      </c>
      <c r="D196">
        <v>8311</v>
      </c>
      <c r="AC196">
        <v>0.5</v>
      </c>
      <c r="AF196">
        <v>0</v>
      </c>
      <c r="AG196">
        <v>2</v>
      </c>
      <c r="AH196">
        <v>310</v>
      </c>
      <c r="AI196">
        <v>1</v>
      </c>
    </row>
    <row r="197" spans="1:35" x14ac:dyDescent="0.3">
      <c r="A197" t="s">
        <v>447</v>
      </c>
      <c r="B197" t="s">
        <v>373</v>
      </c>
      <c r="C197" t="s">
        <v>444</v>
      </c>
      <c r="D197">
        <v>8313</v>
      </c>
      <c r="AC197">
        <v>0.6</v>
      </c>
      <c r="AF197">
        <v>0</v>
      </c>
      <c r="AG197">
        <v>2</v>
      </c>
      <c r="AH197">
        <v>310</v>
      </c>
      <c r="AI197">
        <v>1</v>
      </c>
    </row>
    <row r="198" spans="1:35" x14ac:dyDescent="0.3">
      <c r="A198" t="s">
        <v>446</v>
      </c>
      <c r="B198" t="s">
        <v>373</v>
      </c>
      <c r="C198" t="s">
        <v>444</v>
      </c>
      <c r="D198">
        <v>8314</v>
      </c>
      <c r="AC198">
        <v>0.7</v>
      </c>
      <c r="AF198">
        <v>0</v>
      </c>
      <c r="AG198">
        <v>2</v>
      </c>
      <c r="AH198">
        <v>310</v>
      </c>
      <c r="AI198">
        <v>1</v>
      </c>
    </row>
    <row r="199" spans="1:35" x14ac:dyDescent="0.3">
      <c r="A199" t="s">
        <v>445</v>
      </c>
      <c r="B199" t="s">
        <v>373</v>
      </c>
      <c r="C199" t="s">
        <v>444</v>
      </c>
      <c r="D199">
        <v>3027</v>
      </c>
      <c r="AC199">
        <v>0.5</v>
      </c>
      <c r="AF199">
        <v>1</v>
      </c>
      <c r="AG199">
        <v>7.7</v>
      </c>
      <c r="AH199">
        <v>310</v>
      </c>
      <c r="AI199">
        <v>0.3</v>
      </c>
    </row>
    <row r="200" spans="1:35" x14ac:dyDescent="0.3">
      <c r="A200" t="s">
        <v>303</v>
      </c>
      <c r="B200" t="s">
        <v>373</v>
      </c>
      <c r="C200" t="s">
        <v>444</v>
      </c>
      <c r="D200">
        <v>3028</v>
      </c>
      <c r="AC200">
        <v>0.5</v>
      </c>
      <c r="AF200">
        <v>3.3</v>
      </c>
      <c r="AG200">
        <v>9.1</v>
      </c>
      <c r="AH200">
        <v>310</v>
      </c>
      <c r="AI200">
        <v>0.35</v>
      </c>
    </row>
    <row r="201" spans="1:35" x14ac:dyDescent="0.3">
      <c r="A201" t="s">
        <v>443</v>
      </c>
      <c r="B201" t="s">
        <v>373</v>
      </c>
      <c r="C201" t="s">
        <v>440</v>
      </c>
      <c r="D201">
        <v>8330</v>
      </c>
      <c r="AC201">
        <v>0.5</v>
      </c>
      <c r="AF201">
        <v>2</v>
      </c>
      <c r="AG201">
        <v>20</v>
      </c>
      <c r="AH201">
        <v>330</v>
      </c>
      <c r="AI201">
        <v>1</v>
      </c>
    </row>
    <row r="202" spans="1:35" x14ac:dyDescent="0.3">
      <c r="A202" t="s">
        <v>442</v>
      </c>
      <c r="B202" t="s">
        <v>373</v>
      </c>
      <c r="C202" t="s">
        <v>440</v>
      </c>
      <c r="D202">
        <v>8331</v>
      </c>
      <c r="AC202">
        <v>0.5</v>
      </c>
      <c r="AF202">
        <v>2</v>
      </c>
      <c r="AG202">
        <v>12</v>
      </c>
      <c r="AH202">
        <v>330</v>
      </c>
      <c r="AI202">
        <v>1</v>
      </c>
    </row>
    <row r="203" spans="1:35" x14ac:dyDescent="0.3">
      <c r="A203" t="s">
        <v>441</v>
      </c>
      <c r="B203" t="s">
        <v>373</v>
      </c>
      <c r="C203" t="s">
        <v>440</v>
      </c>
      <c r="D203">
        <v>8332</v>
      </c>
      <c r="AC203">
        <v>0.5</v>
      </c>
      <c r="AF203">
        <v>2</v>
      </c>
      <c r="AG203">
        <v>7</v>
      </c>
      <c r="AH203">
        <v>330</v>
      </c>
      <c r="AI203">
        <v>1</v>
      </c>
    </row>
    <row r="204" spans="1:35" x14ac:dyDescent="0.3">
      <c r="A204" t="s">
        <v>439</v>
      </c>
      <c r="B204" t="s">
        <v>373</v>
      </c>
      <c r="C204" t="s">
        <v>435</v>
      </c>
      <c r="D204">
        <v>5061</v>
      </c>
      <c r="AC204">
        <v>0.5</v>
      </c>
      <c r="AF204">
        <v>1</v>
      </c>
      <c r="AG204">
        <v>11.7</v>
      </c>
      <c r="AH204">
        <v>360</v>
      </c>
      <c r="AI204">
        <v>0.14000000000000001</v>
      </c>
    </row>
    <row r="205" spans="1:35" x14ac:dyDescent="0.3">
      <c r="A205" t="s">
        <v>435</v>
      </c>
      <c r="B205" t="s">
        <v>373</v>
      </c>
      <c r="C205" t="s">
        <v>435</v>
      </c>
      <c r="D205">
        <v>4360</v>
      </c>
      <c r="AC205">
        <v>0.5</v>
      </c>
      <c r="AF205">
        <v>3.2</v>
      </c>
      <c r="AG205">
        <v>3.2</v>
      </c>
      <c r="AH205">
        <v>360</v>
      </c>
      <c r="AI205">
        <v>1</v>
      </c>
    </row>
    <row r="206" spans="1:35" x14ac:dyDescent="0.3">
      <c r="A206" t="s">
        <v>438</v>
      </c>
      <c r="B206" t="s">
        <v>373</v>
      </c>
      <c r="C206" t="s">
        <v>435</v>
      </c>
      <c r="D206">
        <v>6360</v>
      </c>
      <c r="AC206">
        <v>0.5</v>
      </c>
      <c r="AF206">
        <v>0</v>
      </c>
      <c r="AG206">
        <v>4.5</v>
      </c>
      <c r="AH206">
        <v>360</v>
      </c>
      <c r="AI206">
        <v>0.6</v>
      </c>
    </row>
    <row r="207" spans="1:35" x14ac:dyDescent="0.3">
      <c r="A207" t="s">
        <v>437</v>
      </c>
      <c r="B207" t="s">
        <v>373</v>
      </c>
      <c r="C207" t="s">
        <v>435</v>
      </c>
      <c r="D207">
        <v>6361</v>
      </c>
      <c r="AC207">
        <v>0.5</v>
      </c>
      <c r="AF207">
        <v>0</v>
      </c>
      <c r="AG207">
        <v>1.5</v>
      </c>
      <c r="AH207">
        <v>360</v>
      </c>
      <c r="AI207">
        <v>0.6</v>
      </c>
    </row>
    <row r="208" spans="1:35" x14ac:dyDescent="0.3">
      <c r="A208" t="s">
        <v>436</v>
      </c>
      <c r="B208" t="s">
        <v>373</v>
      </c>
      <c r="C208" t="s">
        <v>435</v>
      </c>
      <c r="D208">
        <v>2360</v>
      </c>
      <c r="F208">
        <v>0</v>
      </c>
      <c r="AC208">
        <v>0.5</v>
      </c>
      <c r="AF208">
        <v>1.4</v>
      </c>
      <c r="AG208">
        <v>16.8</v>
      </c>
      <c r="AH208">
        <v>360</v>
      </c>
      <c r="AI208">
        <v>0.4</v>
      </c>
    </row>
    <row r="209" spans="1:35" x14ac:dyDescent="0.3">
      <c r="A209" t="s">
        <v>435</v>
      </c>
      <c r="B209" t="s">
        <v>373</v>
      </c>
      <c r="C209" t="s">
        <v>435</v>
      </c>
      <c r="D209">
        <v>7360</v>
      </c>
      <c r="AC209">
        <v>0.5</v>
      </c>
      <c r="AF209">
        <v>0</v>
      </c>
      <c r="AG209">
        <v>3.2</v>
      </c>
      <c r="AH209">
        <v>360</v>
      </c>
      <c r="AI209">
        <v>0.6</v>
      </c>
    </row>
    <row r="210" spans="1:35" x14ac:dyDescent="0.3">
      <c r="A210" t="s">
        <v>436</v>
      </c>
      <c r="B210" t="s">
        <v>373</v>
      </c>
      <c r="C210" t="s">
        <v>435</v>
      </c>
      <c r="D210">
        <v>1360</v>
      </c>
      <c r="AC210">
        <v>0.5</v>
      </c>
      <c r="AF210">
        <v>1.4</v>
      </c>
      <c r="AG210">
        <v>16.8</v>
      </c>
      <c r="AH210">
        <v>360</v>
      </c>
      <c r="AI210">
        <v>0.4</v>
      </c>
    </row>
    <row r="211" spans="1:35" x14ac:dyDescent="0.3">
      <c r="A211" t="s">
        <v>435</v>
      </c>
      <c r="B211" t="s">
        <v>373</v>
      </c>
      <c r="C211" t="s">
        <v>435</v>
      </c>
      <c r="D211">
        <v>8360</v>
      </c>
      <c r="AC211">
        <v>0.5</v>
      </c>
      <c r="AF211">
        <v>1</v>
      </c>
      <c r="AG211">
        <v>3.2</v>
      </c>
      <c r="AH211">
        <v>360</v>
      </c>
      <c r="AI211">
        <v>1</v>
      </c>
    </row>
    <row r="212" spans="1:35" x14ac:dyDescent="0.3">
      <c r="A212" t="s">
        <v>435</v>
      </c>
      <c r="B212" t="s">
        <v>373</v>
      </c>
      <c r="C212" t="s">
        <v>435</v>
      </c>
      <c r="D212">
        <v>3360</v>
      </c>
      <c r="AC212">
        <v>0.5</v>
      </c>
      <c r="AF212">
        <v>1</v>
      </c>
      <c r="AG212">
        <v>4.5</v>
      </c>
      <c r="AH212">
        <v>360</v>
      </c>
      <c r="AI212">
        <v>0.5</v>
      </c>
    </row>
    <row r="213" spans="1:35" x14ac:dyDescent="0.3">
      <c r="A213" t="s">
        <v>434</v>
      </c>
      <c r="B213" t="s">
        <v>373</v>
      </c>
      <c r="C213" t="s">
        <v>427</v>
      </c>
      <c r="D213">
        <v>5047</v>
      </c>
      <c r="AC213">
        <v>0.5</v>
      </c>
      <c r="AF213">
        <v>5.5</v>
      </c>
      <c r="AG213">
        <v>5.5</v>
      </c>
      <c r="AH213">
        <v>370</v>
      </c>
      <c r="AI213">
        <v>0</v>
      </c>
    </row>
    <row r="214" spans="1:35" x14ac:dyDescent="0.3">
      <c r="A214" t="s">
        <v>433</v>
      </c>
      <c r="B214" t="s">
        <v>373</v>
      </c>
      <c r="C214" t="s">
        <v>427</v>
      </c>
      <c r="D214">
        <v>5009</v>
      </c>
      <c r="AC214">
        <v>1</v>
      </c>
      <c r="AF214">
        <v>0</v>
      </c>
      <c r="AG214">
        <v>0</v>
      </c>
      <c r="AH214">
        <v>370</v>
      </c>
      <c r="AI214">
        <v>0</v>
      </c>
    </row>
    <row r="215" spans="1:35" x14ac:dyDescent="0.3">
      <c r="A215" t="s">
        <v>432</v>
      </c>
      <c r="B215" t="s">
        <v>373</v>
      </c>
      <c r="C215" t="s">
        <v>427</v>
      </c>
      <c r="D215">
        <v>5014</v>
      </c>
      <c r="AC215">
        <v>0.5</v>
      </c>
      <c r="AF215">
        <v>0</v>
      </c>
      <c r="AG215">
        <v>0</v>
      </c>
      <c r="AH215">
        <v>370</v>
      </c>
      <c r="AI215">
        <v>0</v>
      </c>
    </row>
    <row r="216" spans="1:35" x14ac:dyDescent="0.3">
      <c r="A216" t="s">
        <v>431</v>
      </c>
      <c r="B216" t="s">
        <v>373</v>
      </c>
      <c r="C216" t="s">
        <v>427</v>
      </c>
      <c r="D216">
        <v>4059</v>
      </c>
      <c r="AC216">
        <v>0.5</v>
      </c>
      <c r="AF216">
        <v>0.8</v>
      </c>
      <c r="AG216">
        <v>8</v>
      </c>
      <c r="AH216">
        <v>370</v>
      </c>
      <c r="AI216">
        <v>0.4</v>
      </c>
    </row>
    <row r="217" spans="1:35" x14ac:dyDescent="0.3">
      <c r="A217" t="s">
        <v>427</v>
      </c>
      <c r="B217" t="s">
        <v>373</v>
      </c>
      <c r="C217" t="s">
        <v>427</v>
      </c>
      <c r="D217">
        <v>4370</v>
      </c>
      <c r="AC217">
        <v>0.5</v>
      </c>
      <c r="AF217">
        <v>0.8</v>
      </c>
      <c r="AG217">
        <v>8</v>
      </c>
      <c r="AH217">
        <v>370</v>
      </c>
      <c r="AI217">
        <v>0.4</v>
      </c>
    </row>
    <row r="218" spans="1:35" x14ac:dyDescent="0.3">
      <c r="A218" t="s">
        <v>430</v>
      </c>
      <c r="B218" t="s">
        <v>373</v>
      </c>
      <c r="C218" t="s">
        <v>427</v>
      </c>
      <c r="D218">
        <v>6370</v>
      </c>
      <c r="AC218">
        <v>0.5</v>
      </c>
      <c r="AF218">
        <v>0</v>
      </c>
      <c r="AG218">
        <v>4.5</v>
      </c>
      <c r="AH218">
        <v>370</v>
      </c>
      <c r="AI218">
        <v>0.6</v>
      </c>
    </row>
    <row r="219" spans="1:35" x14ac:dyDescent="0.3">
      <c r="A219" t="s">
        <v>429</v>
      </c>
      <c r="B219" t="s">
        <v>373</v>
      </c>
      <c r="C219" t="s">
        <v>427</v>
      </c>
      <c r="D219">
        <v>6371</v>
      </c>
      <c r="AC219">
        <v>0.5</v>
      </c>
      <c r="AF219">
        <v>0</v>
      </c>
      <c r="AG219">
        <v>0.5</v>
      </c>
      <c r="AH219">
        <v>370</v>
      </c>
      <c r="AI219">
        <v>0.6</v>
      </c>
    </row>
    <row r="220" spans="1:35" x14ac:dyDescent="0.3">
      <c r="A220" t="s">
        <v>427</v>
      </c>
      <c r="B220" t="s">
        <v>373</v>
      </c>
      <c r="C220" t="s">
        <v>427</v>
      </c>
      <c r="D220">
        <v>2370</v>
      </c>
      <c r="F220">
        <v>0</v>
      </c>
      <c r="AC220">
        <v>0.5</v>
      </c>
      <c r="AF220">
        <v>0</v>
      </c>
      <c r="AG220">
        <v>3.1</v>
      </c>
      <c r="AH220">
        <v>370</v>
      </c>
      <c r="AI220">
        <v>1</v>
      </c>
    </row>
    <row r="221" spans="1:35" x14ac:dyDescent="0.3">
      <c r="A221" t="s">
        <v>428</v>
      </c>
      <c r="B221" t="s">
        <v>373</v>
      </c>
      <c r="C221" t="s">
        <v>427</v>
      </c>
      <c r="D221">
        <v>7370</v>
      </c>
      <c r="AC221">
        <v>0.5</v>
      </c>
      <c r="AF221">
        <v>0</v>
      </c>
      <c r="AG221">
        <v>1.1000000000000001</v>
      </c>
      <c r="AH221">
        <v>370</v>
      </c>
      <c r="AI221">
        <v>0.6</v>
      </c>
    </row>
    <row r="222" spans="1:35" x14ac:dyDescent="0.3">
      <c r="A222" t="s">
        <v>427</v>
      </c>
      <c r="B222" t="s">
        <v>373</v>
      </c>
      <c r="C222" t="s">
        <v>427</v>
      </c>
      <c r="D222">
        <v>1370</v>
      </c>
      <c r="AC222">
        <v>0.5</v>
      </c>
      <c r="AF222">
        <v>0</v>
      </c>
      <c r="AG222">
        <v>3.1</v>
      </c>
      <c r="AH222">
        <v>370</v>
      </c>
      <c r="AI222">
        <v>1</v>
      </c>
    </row>
    <row r="223" spans="1:35" x14ac:dyDescent="0.3">
      <c r="A223" t="s">
        <v>427</v>
      </c>
      <c r="B223" t="s">
        <v>373</v>
      </c>
      <c r="C223" t="s">
        <v>427</v>
      </c>
      <c r="D223">
        <v>8370</v>
      </c>
      <c r="AC223">
        <v>0.5</v>
      </c>
      <c r="AF223">
        <v>1</v>
      </c>
      <c r="AG223">
        <v>1.1000000000000001</v>
      </c>
      <c r="AH223">
        <v>370</v>
      </c>
      <c r="AI223">
        <v>1</v>
      </c>
    </row>
    <row r="224" spans="1:35" x14ac:dyDescent="0.3">
      <c r="A224" t="s">
        <v>427</v>
      </c>
      <c r="B224" t="s">
        <v>373</v>
      </c>
      <c r="C224" t="s">
        <v>427</v>
      </c>
      <c r="D224">
        <v>3370</v>
      </c>
      <c r="AC224">
        <v>0.5</v>
      </c>
      <c r="AF224">
        <v>1</v>
      </c>
      <c r="AG224">
        <v>4.5</v>
      </c>
      <c r="AH224">
        <v>370</v>
      </c>
      <c r="AI224">
        <v>0.5</v>
      </c>
    </row>
    <row r="225" spans="1:35" x14ac:dyDescent="0.3">
      <c r="A225" t="s">
        <v>426</v>
      </c>
      <c r="B225" t="s">
        <v>373</v>
      </c>
      <c r="C225" t="s">
        <v>144</v>
      </c>
      <c r="D225">
        <v>5022</v>
      </c>
      <c r="AC225">
        <v>0.5</v>
      </c>
      <c r="AF225">
        <v>0.6</v>
      </c>
      <c r="AG225">
        <v>17.2</v>
      </c>
      <c r="AH225">
        <v>300</v>
      </c>
      <c r="AI225">
        <v>0.55000000000000004</v>
      </c>
    </row>
    <row r="226" spans="1:35" x14ac:dyDescent="0.3">
      <c r="A226" t="s">
        <v>425</v>
      </c>
      <c r="B226" t="s">
        <v>373</v>
      </c>
      <c r="C226" t="s">
        <v>144</v>
      </c>
      <c r="D226">
        <v>5023</v>
      </c>
      <c r="AC226">
        <v>0.5</v>
      </c>
      <c r="AF226">
        <v>4.2</v>
      </c>
      <c r="AG226">
        <v>17</v>
      </c>
      <c r="AH226">
        <v>300</v>
      </c>
      <c r="AI226">
        <v>0.3</v>
      </c>
    </row>
    <row r="227" spans="1:35" x14ac:dyDescent="0.3">
      <c r="A227" t="s">
        <v>424</v>
      </c>
      <c r="B227" t="s">
        <v>373</v>
      </c>
      <c r="C227" t="s">
        <v>144</v>
      </c>
      <c r="D227">
        <v>5024</v>
      </c>
      <c r="AC227">
        <v>0.5</v>
      </c>
      <c r="AF227">
        <v>0.5</v>
      </c>
      <c r="AG227">
        <v>15.9</v>
      </c>
      <c r="AH227">
        <v>300</v>
      </c>
      <c r="AI227">
        <v>0.4</v>
      </c>
    </row>
    <row r="228" spans="1:35" x14ac:dyDescent="0.3">
      <c r="A228" t="s">
        <v>423</v>
      </c>
      <c r="B228" t="s">
        <v>373</v>
      </c>
      <c r="C228" t="s">
        <v>144</v>
      </c>
      <c r="D228">
        <v>5025</v>
      </c>
      <c r="AC228">
        <v>0.5</v>
      </c>
      <c r="AF228">
        <v>0.1</v>
      </c>
      <c r="AG228">
        <v>2</v>
      </c>
      <c r="AH228">
        <v>300</v>
      </c>
      <c r="AI228">
        <v>0.36</v>
      </c>
    </row>
    <row r="229" spans="1:35" x14ac:dyDescent="0.3">
      <c r="A229" t="s">
        <v>422</v>
      </c>
      <c r="B229" t="s">
        <v>373</v>
      </c>
      <c r="C229" t="s">
        <v>144</v>
      </c>
      <c r="D229">
        <v>5028</v>
      </c>
      <c r="AC229">
        <v>0.5</v>
      </c>
      <c r="AF229">
        <v>1.2</v>
      </c>
      <c r="AG229">
        <v>9.5</v>
      </c>
      <c r="AH229">
        <v>300</v>
      </c>
      <c r="AI229">
        <v>0.5</v>
      </c>
    </row>
    <row r="230" spans="1:35" x14ac:dyDescent="0.3">
      <c r="A230" t="s">
        <v>421</v>
      </c>
      <c r="B230" t="s">
        <v>373</v>
      </c>
      <c r="C230" t="s">
        <v>144</v>
      </c>
      <c r="D230">
        <v>5036</v>
      </c>
      <c r="AC230">
        <v>0.5</v>
      </c>
      <c r="AF230">
        <v>0.7</v>
      </c>
      <c r="AG230">
        <v>18.100000000000001</v>
      </c>
      <c r="AH230">
        <v>300</v>
      </c>
      <c r="AI230">
        <v>0.3</v>
      </c>
    </row>
    <row r="231" spans="1:35" x14ac:dyDescent="0.3">
      <c r="A231" t="s">
        <v>420</v>
      </c>
      <c r="B231" t="s">
        <v>373</v>
      </c>
      <c r="C231" t="s">
        <v>144</v>
      </c>
      <c r="D231">
        <v>5041</v>
      </c>
      <c r="AC231">
        <v>0.5</v>
      </c>
      <c r="AF231">
        <v>0.5</v>
      </c>
      <c r="AG231">
        <v>12.6</v>
      </c>
      <c r="AH231">
        <v>300</v>
      </c>
      <c r="AI231">
        <v>7.0000000000000007E-2</v>
      </c>
    </row>
    <row r="232" spans="1:35" x14ac:dyDescent="0.3">
      <c r="A232" t="s">
        <v>419</v>
      </c>
      <c r="B232" t="s">
        <v>373</v>
      </c>
      <c r="C232" t="s">
        <v>144</v>
      </c>
      <c r="D232">
        <v>5042</v>
      </c>
      <c r="AC232">
        <v>0.5</v>
      </c>
      <c r="AF232">
        <v>1.5</v>
      </c>
      <c r="AG232">
        <v>17.899999999999999</v>
      </c>
      <c r="AH232">
        <v>300</v>
      </c>
      <c r="AI232">
        <v>7.0000000000000007E-2</v>
      </c>
    </row>
    <row r="233" spans="1:35" x14ac:dyDescent="0.3">
      <c r="A233" t="s">
        <v>418</v>
      </c>
      <c r="B233" t="s">
        <v>373</v>
      </c>
      <c r="C233" t="s">
        <v>144</v>
      </c>
      <c r="D233">
        <v>4009</v>
      </c>
      <c r="AC233">
        <v>0.5</v>
      </c>
      <c r="AF233">
        <v>1.2</v>
      </c>
      <c r="AG233">
        <v>13</v>
      </c>
      <c r="AH233">
        <v>300</v>
      </c>
      <c r="AI233">
        <v>0.4</v>
      </c>
    </row>
    <row r="234" spans="1:35" x14ac:dyDescent="0.3">
      <c r="A234" t="s">
        <v>417</v>
      </c>
      <c r="B234" t="s">
        <v>373</v>
      </c>
      <c r="C234" t="s">
        <v>144</v>
      </c>
      <c r="D234">
        <v>4011</v>
      </c>
      <c r="AC234">
        <v>0.5</v>
      </c>
      <c r="AF234">
        <v>2.4700000000000002</v>
      </c>
      <c r="AG234">
        <v>15.1</v>
      </c>
      <c r="AH234">
        <v>300</v>
      </c>
      <c r="AI234">
        <v>0.67</v>
      </c>
    </row>
    <row r="235" spans="1:35" x14ac:dyDescent="0.3">
      <c r="A235" t="s">
        <v>416</v>
      </c>
      <c r="B235" t="s">
        <v>373</v>
      </c>
      <c r="C235" t="s">
        <v>144</v>
      </c>
      <c r="D235">
        <v>4012</v>
      </c>
      <c r="AC235">
        <v>0.5</v>
      </c>
      <c r="AF235">
        <v>1.7</v>
      </c>
      <c r="AG235">
        <v>9.4</v>
      </c>
      <c r="AH235">
        <v>300</v>
      </c>
      <c r="AI235">
        <v>0.25</v>
      </c>
    </row>
    <row r="236" spans="1:35" x14ac:dyDescent="0.3">
      <c r="A236" t="s">
        <v>415</v>
      </c>
      <c r="B236" t="s">
        <v>373</v>
      </c>
      <c r="C236" t="s">
        <v>144</v>
      </c>
      <c r="D236">
        <v>4013</v>
      </c>
      <c r="AC236">
        <v>0.5</v>
      </c>
      <c r="AF236">
        <v>1.89</v>
      </c>
      <c r="AG236">
        <v>13.5</v>
      </c>
      <c r="AH236">
        <v>300</v>
      </c>
      <c r="AI236">
        <v>0.67</v>
      </c>
    </row>
    <row r="237" spans="1:35" x14ac:dyDescent="0.3">
      <c r="A237" t="s">
        <v>414</v>
      </c>
      <c r="B237" t="s">
        <v>373</v>
      </c>
      <c r="C237" t="s">
        <v>144</v>
      </c>
      <c r="D237">
        <v>4018</v>
      </c>
      <c r="AC237">
        <v>0.5</v>
      </c>
      <c r="AF237">
        <v>1.1100000000000001</v>
      </c>
      <c r="AG237">
        <v>11.6</v>
      </c>
      <c r="AH237">
        <v>300</v>
      </c>
      <c r="AI237">
        <v>0.4</v>
      </c>
    </row>
    <row r="238" spans="1:35" x14ac:dyDescent="0.3">
      <c r="A238" t="s">
        <v>413</v>
      </c>
      <c r="B238" t="s">
        <v>373</v>
      </c>
      <c r="C238" t="s">
        <v>144</v>
      </c>
      <c r="D238">
        <v>4019</v>
      </c>
      <c r="AC238">
        <v>0.5</v>
      </c>
      <c r="AF238">
        <v>1.7</v>
      </c>
      <c r="AG238">
        <v>8.6</v>
      </c>
      <c r="AH238">
        <v>300</v>
      </c>
      <c r="AI238">
        <v>0.25</v>
      </c>
    </row>
    <row r="239" spans="1:35" x14ac:dyDescent="0.3">
      <c r="A239" t="s">
        <v>412</v>
      </c>
      <c r="B239" t="s">
        <v>373</v>
      </c>
      <c r="C239" t="s">
        <v>144</v>
      </c>
      <c r="D239">
        <v>4020</v>
      </c>
      <c r="AC239">
        <v>0.5</v>
      </c>
      <c r="AF239">
        <v>1.01</v>
      </c>
      <c r="AG239">
        <v>10.8</v>
      </c>
      <c r="AH239">
        <v>300</v>
      </c>
      <c r="AI239">
        <v>0.6</v>
      </c>
    </row>
    <row r="240" spans="1:35" x14ac:dyDescent="0.3">
      <c r="A240" t="s">
        <v>411</v>
      </c>
      <c r="B240" t="s">
        <v>373</v>
      </c>
      <c r="C240" t="s">
        <v>144</v>
      </c>
      <c r="D240">
        <v>4021</v>
      </c>
      <c r="AC240">
        <v>0.5</v>
      </c>
      <c r="AF240">
        <v>1.02</v>
      </c>
      <c r="AG240">
        <v>10.5</v>
      </c>
      <c r="AH240">
        <v>300</v>
      </c>
      <c r="AI240">
        <v>0.67</v>
      </c>
    </row>
    <row r="241" spans="1:35" x14ac:dyDescent="0.3">
      <c r="A241" t="s">
        <v>410</v>
      </c>
      <c r="B241" t="s">
        <v>373</v>
      </c>
      <c r="C241" t="s">
        <v>144</v>
      </c>
      <c r="D241">
        <v>4026</v>
      </c>
      <c r="AC241">
        <v>0.5</v>
      </c>
      <c r="AF241">
        <v>3.02</v>
      </c>
      <c r="AG241">
        <v>14.9</v>
      </c>
      <c r="AH241">
        <v>300</v>
      </c>
      <c r="AI241">
        <v>0.67</v>
      </c>
    </row>
    <row r="242" spans="1:35" x14ac:dyDescent="0.3">
      <c r="A242" t="s">
        <v>409</v>
      </c>
      <c r="B242" t="s">
        <v>373</v>
      </c>
      <c r="C242" t="s">
        <v>144</v>
      </c>
      <c r="D242">
        <v>4027</v>
      </c>
      <c r="AC242">
        <v>0.5</v>
      </c>
      <c r="AF242">
        <v>1.02</v>
      </c>
      <c r="AG242">
        <v>8.4</v>
      </c>
      <c r="AH242">
        <v>300</v>
      </c>
      <c r="AI242">
        <v>0.67</v>
      </c>
    </row>
    <row r="243" spans="1:35" x14ac:dyDescent="0.3">
      <c r="A243" t="s">
        <v>408</v>
      </c>
      <c r="B243" t="s">
        <v>373</v>
      </c>
      <c r="C243" t="s">
        <v>144</v>
      </c>
      <c r="D243">
        <v>4037</v>
      </c>
      <c r="AC243">
        <v>0.5</v>
      </c>
      <c r="AF243">
        <v>0.28999999999999998</v>
      </c>
      <c r="AG243">
        <v>4.7</v>
      </c>
      <c r="AH243">
        <v>300</v>
      </c>
      <c r="AI243">
        <v>0.67</v>
      </c>
    </row>
    <row r="244" spans="1:35" x14ac:dyDescent="0.3">
      <c r="A244" t="s">
        <v>407</v>
      </c>
      <c r="B244" t="s">
        <v>373</v>
      </c>
      <c r="C244" t="s">
        <v>144</v>
      </c>
      <c r="D244">
        <v>4047</v>
      </c>
      <c r="AC244">
        <v>0.5</v>
      </c>
      <c r="AF244">
        <v>0.35</v>
      </c>
      <c r="AG244">
        <v>4</v>
      </c>
      <c r="AH244">
        <v>300</v>
      </c>
      <c r="AI244">
        <v>0.4</v>
      </c>
    </row>
    <row r="245" spans="1:35" x14ac:dyDescent="0.3">
      <c r="A245" t="s">
        <v>406</v>
      </c>
      <c r="B245" t="s">
        <v>373</v>
      </c>
      <c r="C245" t="s">
        <v>144</v>
      </c>
      <c r="D245">
        <v>4049</v>
      </c>
      <c r="AC245">
        <v>0.5</v>
      </c>
      <c r="AF245">
        <v>0.41</v>
      </c>
      <c r="AG245">
        <v>4.4000000000000004</v>
      </c>
      <c r="AH245">
        <v>300</v>
      </c>
      <c r="AI245">
        <v>0.4</v>
      </c>
    </row>
    <row r="246" spans="1:35" x14ac:dyDescent="0.3">
      <c r="A246" t="s">
        <v>144</v>
      </c>
      <c r="B246" t="s">
        <v>373</v>
      </c>
      <c r="C246" t="s">
        <v>144</v>
      </c>
      <c r="D246">
        <v>4300</v>
      </c>
      <c r="AC246">
        <v>0.5</v>
      </c>
      <c r="AF246">
        <v>3</v>
      </c>
      <c r="AG246">
        <v>4.5</v>
      </c>
      <c r="AH246">
        <v>300</v>
      </c>
      <c r="AI246">
        <v>0.67</v>
      </c>
    </row>
    <row r="247" spans="1:35" x14ac:dyDescent="0.3">
      <c r="A247" t="s">
        <v>405</v>
      </c>
      <c r="B247" t="s">
        <v>373</v>
      </c>
      <c r="C247" t="s">
        <v>144</v>
      </c>
      <c r="D247">
        <v>6301</v>
      </c>
      <c r="AC247">
        <v>0.5</v>
      </c>
      <c r="AF247">
        <v>1</v>
      </c>
      <c r="AG247">
        <v>7.76</v>
      </c>
      <c r="AH247">
        <v>300</v>
      </c>
      <c r="AI247">
        <v>0.7</v>
      </c>
    </row>
    <row r="248" spans="1:35" x14ac:dyDescent="0.3">
      <c r="A248" t="s">
        <v>404</v>
      </c>
      <c r="B248" t="s">
        <v>373</v>
      </c>
      <c r="C248" t="s">
        <v>144</v>
      </c>
      <c r="D248">
        <v>6302</v>
      </c>
      <c r="AC248">
        <v>0.5</v>
      </c>
      <c r="AF248">
        <v>1</v>
      </c>
      <c r="AG248">
        <v>6.23</v>
      </c>
      <c r="AH248">
        <v>300</v>
      </c>
      <c r="AI248">
        <v>1</v>
      </c>
    </row>
    <row r="249" spans="1:35" x14ac:dyDescent="0.3">
      <c r="A249" t="s">
        <v>403</v>
      </c>
      <c r="B249" t="s">
        <v>373</v>
      </c>
      <c r="C249" t="s">
        <v>144</v>
      </c>
      <c r="D249">
        <v>6303</v>
      </c>
      <c r="AC249">
        <v>0.5</v>
      </c>
      <c r="AF249">
        <v>1</v>
      </c>
      <c r="AG249">
        <v>7.02</v>
      </c>
      <c r="AH249">
        <v>300</v>
      </c>
      <c r="AI249">
        <v>0.6</v>
      </c>
    </row>
    <row r="250" spans="1:35" x14ac:dyDescent="0.3">
      <c r="A250" t="s">
        <v>402</v>
      </c>
      <c r="B250" t="s">
        <v>373</v>
      </c>
      <c r="C250" t="s">
        <v>144</v>
      </c>
      <c r="D250">
        <v>6304</v>
      </c>
      <c r="AC250">
        <v>0.5</v>
      </c>
      <c r="AF250">
        <v>1</v>
      </c>
      <c r="AG250">
        <v>3.26</v>
      </c>
      <c r="AH250">
        <v>300</v>
      </c>
      <c r="AI250">
        <v>1</v>
      </c>
    </row>
    <row r="251" spans="1:35" x14ac:dyDescent="0.3">
      <c r="A251" t="s">
        <v>401</v>
      </c>
      <c r="B251" t="s">
        <v>373</v>
      </c>
      <c r="C251" t="s">
        <v>144</v>
      </c>
      <c r="D251">
        <v>6305</v>
      </c>
      <c r="AC251">
        <v>0.6</v>
      </c>
      <c r="AF251">
        <v>1</v>
      </c>
      <c r="AG251">
        <v>4.1900000000000004</v>
      </c>
      <c r="AH251">
        <v>300</v>
      </c>
      <c r="AI251">
        <v>1</v>
      </c>
    </row>
    <row r="252" spans="1:35" x14ac:dyDescent="0.3">
      <c r="A252" t="s">
        <v>400</v>
      </c>
      <c r="B252" t="s">
        <v>373</v>
      </c>
      <c r="C252" t="s">
        <v>144</v>
      </c>
      <c r="D252">
        <v>6306</v>
      </c>
      <c r="AC252">
        <v>0.5</v>
      </c>
      <c r="AF252">
        <v>1</v>
      </c>
      <c r="AG252">
        <v>7.02</v>
      </c>
      <c r="AH252">
        <v>300</v>
      </c>
      <c r="AI252">
        <v>0.6</v>
      </c>
    </row>
    <row r="253" spans="1:35" x14ac:dyDescent="0.3">
      <c r="A253" t="s">
        <v>399</v>
      </c>
      <c r="B253" t="s">
        <v>373</v>
      </c>
      <c r="C253" t="s">
        <v>144</v>
      </c>
      <c r="D253">
        <v>6307</v>
      </c>
      <c r="AC253">
        <v>0.6</v>
      </c>
      <c r="AF253">
        <v>1</v>
      </c>
      <c r="AG253">
        <v>7.02</v>
      </c>
      <c r="AH253">
        <v>300</v>
      </c>
      <c r="AI253">
        <v>0.6</v>
      </c>
    </row>
    <row r="254" spans="1:35" x14ac:dyDescent="0.3">
      <c r="A254" t="s">
        <v>398</v>
      </c>
      <c r="B254" t="s">
        <v>373</v>
      </c>
      <c r="C254" t="s">
        <v>144</v>
      </c>
      <c r="D254">
        <v>6308</v>
      </c>
      <c r="AC254">
        <v>0.5</v>
      </c>
      <c r="AF254">
        <v>1</v>
      </c>
      <c r="AG254">
        <v>7.02</v>
      </c>
      <c r="AH254">
        <v>300</v>
      </c>
      <c r="AI254">
        <v>0.6</v>
      </c>
    </row>
    <row r="255" spans="1:35" x14ac:dyDescent="0.3">
      <c r="A255" t="s">
        <v>397</v>
      </c>
      <c r="B255" t="s">
        <v>373</v>
      </c>
      <c r="C255" t="s">
        <v>144</v>
      </c>
      <c r="D255">
        <v>2301</v>
      </c>
      <c r="AC255">
        <v>0.5</v>
      </c>
      <c r="AF255">
        <v>1.3</v>
      </c>
      <c r="AG255">
        <v>10.8</v>
      </c>
      <c r="AH255">
        <v>300</v>
      </c>
      <c r="AI255">
        <v>0.6</v>
      </c>
    </row>
    <row r="256" spans="1:35" x14ac:dyDescent="0.3">
      <c r="A256" t="s">
        <v>396</v>
      </c>
      <c r="B256" t="s">
        <v>373</v>
      </c>
      <c r="C256" t="s">
        <v>144</v>
      </c>
      <c r="D256">
        <v>2302</v>
      </c>
      <c r="AC256">
        <v>0.5</v>
      </c>
      <c r="AF256">
        <v>1.7</v>
      </c>
      <c r="AG256">
        <v>16.399999999999999</v>
      </c>
      <c r="AH256">
        <v>300</v>
      </c>
      <c r="AI256">
        <v>0.4</v>
      </c>
    </row>
    <row r="257" spans="1:35" x14ac:dyDescent="0.3">
      <c r="A257" t="s">
        <v>394</v>
      </c>
      <c r="B257" t="s">
        <v>373</v>
      </c>
      <c r="C257" t="s">
        <v>144</v>
      </c>
      <c r="D257">
        <v>2303</v>
      </c>
      <c r="AC257">
        <v>0.5</v>
      </c>
      <c r="AF257">
        <v>2.2999999999999998</v>
      </c>
      <c r="AG257">
        <v>18.3</v>
      </c>
      <c r="AH257">
        <v>300</v>
      </c>
      <c r="AI257">
        <v>0.4</v>
      </c>
    </row>
    <row r="258" spans="1:35" x14ac:dyDescent="0.3">
      <c r="A258" t="s">
        <v>395</v>
      </c>
      <c r="B258" t="s">
        <v>373</v>
      </c>
      <c r="C258" t="s">
        <v>144</v>
      </c>
      <c r="D258">
        <v>2304</v>
      </c>
      <c r="AC258">
        <v>0.5</v>
      </c>
      <c r="AF258">
        <v>1.8</v>
      </c>
      <c r="AG258">
        <v>15.1</v>
      </c>
      <c r="AH258">
        <v>300</v>
      </c>
      <c r="AI258">
        <v>0.25</v>
      </c>
    </row>
    <row r="259" spans="1:35" x14ac:dyDescent="0.3">
      <c r="A259" t="s">
        <v>394</v>
      </c>
      <c r="B259" t="s">
        <v>373</v>
      </c>
      <c r="C259" t="s">
        <v>144</v>
      </c>
      <c r="D259">
        <v>1303</v>
      </c>
      <c r="AC259">
        <v>0.5</v>
      </c>
      <c r="AF259">
        <v>2.2999999999999998</v>
      </c>
      <c r="AG259">
        <v>18.3</v>
      </c>
      <c r="AH259">
        <v>300</v>
      </c>
      <c r="AI259">
        <v>0.4</v>
      </c>
    </row>
    <row r="260" spans="1:35" x14ac:dyDescent="0.3">
      <c r="A260" t="s">
        <v>393</v>
      </c>
      <c r="B260" t="s">
        <v>373</v>
      </c>
      <c r="C260" t="s">
        <v>144</v>
      </c>
      <c r="D260">
        <v>8301</v>
      </c>
      <c r="AC260">
        <v>0.5</v>
      </c>
      <c r="AF260">
        <v>0</v>
      </c>
      <c r="AG260">
        <v>7.76</v>
      </c>
      <c r="AH260">
        <v>300</v>
      </c>
      <c r="AI260">
        <v>0.6</v>
      </c>
    </row>
    <row r="261" spans="1:35" x14ac:dyDescent="0.3">
      <c r="A261" t="s">
        <v>392</v>
      </c>
      <c r="B261" t="s">
        <v>373</v>
      </c>
      <c r="C261" t="s">
        <v>144</v>
      </c>
      <c r="D261">
        <v>8302</v>
      </c>
      <c r="AC261">
        <v>0.5</v>
      </c>
      <c r="AF261">
        <v>0</v>
      </c>
      <c r="AG261">
        <v>6.23</v>
      </c>
      <c r="AH261">
        <v>300</v>
      </c>
      <c r="AI261">
        <v>1</v>
      </c>
    </row>
    <row r="262" spans="1:35" x14ac:dyDescent="0.3">
      <c r="A262" t="s">
        <v>391</v>
      </c>
      <c r="B262" t="s">
        <v>373</v>
      </c>
      <c r="C262" t="s">
        <v>144</v>
      </c>
      <c r="D262">
        <v>8303</v>
      </c>
      <c r="AC262">
        <v>0.5</v>
      </c>
      <c r="AF262">
        <v>0</v>
      </c>
      <c r="AG262">
        <v>3.26</v>
      </c>
      <c r="AH262">
        <v>300</v>
      </c>
      <c r="AI262">
        <v>1</v>
      </c>
    </row>
    <row r="263" spans="1:35" x14ac:dyDescent="0.3">
      <c r="A263" t="s">
        <v>390</v>
      </c>
      <c r="B263" t="s">
        <v>373</v>
      </c>
      <c r="C263" t="s">
        <v>144</v>
      </c>
      <c r="D263">
        <v>8304</v>
      </c>
      <c r="AC263">
        <v>0.5</v>
      </c>
      <c r="AF263">
        <v>0</v>
      </c>
      <c r="AG263">
        <v>7.3</v>
      </c>
      <c r="AH263">
        <v>300</v>
      </c>
      <c r="AI263">
        <v>0.54</v>
      </c>
    </row>
    <row r="264" spans="1:35" x14ac:dyDescent="0.3">
      <c r="A264" t="s">
        <v>389</v>
      </c>
      <c r="B264" t="s">
        <v>373</v>
      </c>
      <c r="C264" t="s">
        <v>144</v>
      </c>
      <c r="D264">
        <v>8305</v>
      </c>
      <c r="AC264">
        <v>0.6</v>
      </c>
      <c r="AF264">
        <v>0</v>
      </c>
      <c r="AG264">
        <v>4.2</v>
      </c>
      <c r="AH264">
        <v>300</v>
      </c>
      <c r="AI264">
        <v>1</v>
      </c>
    </row>
    <row r="265" spans="1:35" x14ac:dyDescent="0.3">
      <c r="A265" t="s">
        <v>388</v>
      </c>
      <c r="B265" t="s">
        <v>373</v>
      </c>
      <c r="C265" t="s">
        <v>144</v>
      </c>
      <c r="D265">
        <v>8306</v>
      </c>
      <c r="AC265">
        <v>0.5</v>
      </c>
      <c r="AF265">
        <v>0</v>
      </c>
      <c r="AG265">
        <v>7.76</v>
      </c>
      <c r="AH265">
        <v>300</v>
      </c>
      <c r="AI265">
        <v>0.6</v>
      </c>
    </row>
    <row r="266" spans="1:35" x14ac:dyDescent="0.3">
      <c r="A266" t="s">
        <v>387</v>
      </c>
      <c r="B266" t="s">
        <v>373</v>
      </c>
      <c r="C266" t="s">
        <v>144</v>
      </c>
      <c r="D266">
        <v>8307</v>
      </c>
      <c r="AC266">
        <v>0.5</v>
      </c>
      <c r="AF266">
        <v>0</v>
      </c>
      <c r="AG266">
        <v>3.26</v>
      </c>
      <c r="AH266">
        <v>300</v>
      </c>
      <c r="AI266">
        <v>1</v>
      </c>
    </row>
    <row r="267" spans="1:35" x14ac:dyDescent="0.3">
      <c r="A267" t="s">
        <v>386</v>
      </c>
      <c r="B267" t="s">
        <v>373</v>
      </c>
      <c r="C267" t="s">
        <v>144</v>
      </c>
      <c r="D267">
        <v>8308</v>
      </c>
      <c r="AC267">
        <v>0.5</v>
      </c>
      <c r="AF267">
        <v>0</v>
      </c>
      <c r="AG267">
        <v>4.2</v>
      </c>
      <c r="AH267">
        <v>300</v>
      </c>
      <c r="AI267">
        <v>1</v>
      </c>
    </row>
    <row r="268" spans="1:35" x14ac:dyDescent="0.3">
      <c r="A268" t="s">
        <v>385</v>
      </c>
      <c r="B268" t="s">
        <v>373</v>
      </c>
      <c r="C268" t="s">
        <v>144</v>
      </c>
      <c r="D268">
        <v>8321</v>
      </c>
      <c r="AC268">
        <v>0.5</v>
      </c>
      <c r="AF268">
        <v>0</v>
      </c>
      <c r="AG268">
        <v>3.26</v>
      </c>
      <c r="AH268">
        <v>300</v>
      </c>
      <c r="AI268">
        <v>1</v>
      </c>
    </row>
    <row r="269" spans="1:35" x14ac:dyDescent="0.3">
      <c r="A269" t="s">
        <v>384</v>
      </c>
      <c r="B269" t="s">
        <v>373</v>
      </c>
      <c r="C269" t="s">
        <v>144</v>
      </c>
      <c r="D269">
        <v>8322</v>
      </c>
      <c r="AC269">
        <v>0.6</v>
      </c>
      <c r="AF269">
        <v>0</v>
      </c>
      <c r="AG269">
        <v>4.2</v>
      </c>
      <c r="AH269">
        <v>300</v>
      </c>
      <c r="AI269">
        <v>1</v>
      </c>
    </row>
    <row r="270" spans="1:35" x14ac:dyDescent="0.3">
      <c r="A270" t="s">
        <v>383</v>
      </c>
      <c r="B270" t="s">
        <v>373</v>
      </c>
      <c r="C270" t="s">
        <v>144</v>
      </c>
      <c r="D270">
        <v>8324</v>
      </c>
      <c r="AC270">
        <v>0.5</v>
      </c>
      <c r="AF270">
        <v>0</v>
      </c>
      <c r="AG270">
        <v>3.26</v>
      </c>
      <c r="AH270">
        <v>300</v>
      </c>
      <c r="AI270">
        <v>1</v>
      </c>
    </row>
    <row r="271" spans="1:35" x14ac:dyDescent="0.3">
      <c r="A271" t="s">
        <v>382</v>
      </c>
      <c r="B271" t="s">
        <v>373</v>
      </c>
      <c r="C271" t="s">
        <v>144</v>
      </c>
      <c r="D271">
        <v>8325</v>
      </c>
      <c r="AC271">
        <v>0.6</v>
      </c>
      <c r="AF271">
        <v>0</v>
      </c>
      <c r="AG271">
        <v>4.2</v>
      </c>
      <c r="AH271">
        <v>300</v>
      </c>
      <c r="AI271">
        <v>1</v>
      </c>
    </row>
    <row r="272" spans="1:35" x14ac:dyDescent="0.3">
      <c r="A272" t="s">
        <v>381</v>
      </c>
      <c r="B272" t="s">
        <v>373</v>
      </c>
      <c r="C272" t="s">
        <v>144</v>
      </c>
      <c r="D272">
        <v>3021</v>
      </c>
      <c r="AC272">
        <v>0.5</v>
      </c>
      <c r="AF272">
        <v>1.3</v>
      </c>
      <c r="AG272">
        <v>7.6</v>
      </c>
      <c r="AH272">
        <v>300</v>
      </c>
      <c r="AI272">
        <v>0.25</v>
      </c>
    </row>
    <row r="273" spans="1:35" x14ac:dyDescent="0.3">
      <c r="A273" t="s">
        <v>380</v>
      </c>
      <c r="B273" t="s">
        <v>373</v>
      </c>
      <c r="C273" t="s">
        <v>144</v>
      </c>
      <c r="D273">
        <v>3039</v>
      </c>
      <c r="AC273">
        <v>0.5</v>
      </c>
      <c r="AF273">
        <v>1.2</v>
      </c>
      <c r="AG273">
        <v>10.6</v>
      </c>
      <c r="AH273">
        <v>300</v>
      </c>
      <c r="AI273">
        <v>0.6</v>
      </c>
    </row>
    <row r="274" spans="1:35" x14ac:dyDescent="0.3">
      <c r="A274" t="s">
        <v>379</v>
      </c>
      <c r="B274" t="s">
        <v>373</v>
      </c>
      <c r="C274" t="s">
        <v>372</v>
      </c>
      <c r="D274">
        <v>5011</v>
      </c>
      <c r="AC274">
        <v>0.5</v>
      </c>
      <c r="AF274">
        <v>0</v>
      </c>
      <c r="AG274">
        <v>3</v>
      </c>
      <c r="AH274">
        <v>350</v>
      </c>
      <c r="AI274">
        <v>0.2</v>
      </c>
    </row>
    <row r="275" spans="1:35" x14ac:dyDescent="0.3">
      <c r="A275" t="s">
        <v>378</v>
      </c>
      <c r="B275" t="s">
        <v>373</v>
      </c>
      <c r="C275" t="s">
        <v>372</v>
      </c>
      <c r="D275">
        <v>5058</v>
      </c>
      <c r="AC275">
        <v>0.5</v>
      </c>
      <c r="AF275">
        <v>0</v>
      </c>
      <c r="AG275">
        <v>3.5</v>
      </c>
      <c r="AH275">
        <v>350</v>
      </c>
      <c r="AI275">
        <v>0.15</v>
      </c>
    </row>
    <row r="276" spans="1:35" x14ac:dyDescent="0.3">
      <c r="A276" t="s">
        <v>377</v>
      </c>
      <c r="B276" t="s">
        <v>373</v>
      </c>
      <c r="C276" t="s">
        <v>372</v>
      </c>
      <c r="D276">
        <v>5059</v>
      </c>
      <c r="AC276">
        <v>0.5</v>
      </c>
      <c r="AF276">
        <v>0</v>
      </c>
      <c r="AG276">
        <v>3</v>
      </c>
      <c r="AH276">
        <v>350</v>
      </c>
      <c r="AI276">
        <v>0.2</v>
      </c>
    </row>
    <row r="277" spans="1:35" x14ac:dyDescent="0.3">
      <c r="A277" t="s">
        <v>372</v>
      </c>
      <c r="B277" t="s">
        <v>373</v>
      </c>
      <c r="C277" t="s">
        <v>372</v>
      </c>
      <c r="D277">
        <v>4350</v>
      </c>
      <c r="AC277">
        <v>0.5</v>
      </c>
      <c r="AF277">
        <v>1.6</v>
      </c>
      <c r="AG277">
        <v>1.6</v>
      </c>
      <c r="AH277">
        <v>350</v>
      </c>
      <c r="AI277">
        <v>1</v>
      </c>
    </row>
    <row r="278" spans="1:35" x14ac:dyDescent="0.3">
      <c r="A278" t="s">
        <v>376</v>
      </c>
      <c r="B278" t="s">
        <v>373</v>
      </c>
      <c r="C278" t="s">
        <v>372</v>
      </c>
      <c r="D278">
        <v>6350</v>
      </c>
      <c r="AC278">
        <v>0.5</v>
      </c>
      <c r="AF278">
        <v>0</v>
      </c>
      <c r="AG278">
        <v>4.5</v>
      </c>
      <c r="AH278">
        <v>350</v>
      </c>
      <c r="AI278">
        <v>0.6</v>
      </c>
    </row>
    <row r="279" spans="1:35" x14ac:dyDescent="0.3">
      <c r="A279" t="s">
        <v>374</v>
      </c>
      <c r="B279" t="s">
        <v>373</v>
      </c>
      <c r="C279" t="s">
        <v>372</v>
      </c>
      <c r="D279">
        <v>2350</v>
      </c>
      <c r="AC279">
        <v>0.64</v>
      </c>
      <c r="AF279">
        <v>0.2</v>
      </c>
      <c r="AG279">
        <v>2.9</v>
      </c>
      <c r="AH279">
        <v>350</v>
      </c>
      <c r="AI279">
        <v>0.8</v>
      </c>
    </row>
    <row r="280" spans="1:35" x14ac:dyDescent="0.3">
      <c r="A280" t="s">
        <v>372</v>
      </c>
      <c r="B280" t="s">
        <v>373</v>
      </c>
      <c r="C280" t="s">
        <v>372</v>
      </c>
      <c r="D280">
        <v>7350</v>
      </c>
      <c r="AC280">
        <v>0.5</v>
      </c>
      <c r="AF280">
        <v>0</v>
      </c>
      <c r="AG280">
        <v>1.6</v>
      </c>
      <c r="AH280">
        <v>350</v>
      </c>
      <c r="AI280">
        <v>0.6</v>
      </c>
    </row>
    <row r="281" spans="1:35" x14ac:dyDescent="0.3">
      <c r="A281" t="s">
        <v>375</v>
      </c>
      <c r="B281" t="s">
        <v>373</v>
      </c>
      <c r="C281" t="s">
        <v>372</v>
      </c>
      <c r="D281">
        <v>8350</v>
      </c>
      <c r="AC281">
        <v>0.5</v>
      </c>
      <c r="AF281">
        <v>1</v>
      </c>
      <c r="AG281">
        <v>1.6</v>
      </c>
      <c r="AH281">
        <v>350</v>
      </c>
      <c r="AI281">
        <v>1</v>
      </c>
    </row>
    <row r="282" spans="1:35" x14ac:dyDescent="0.3">
      <c r="A282" t="s">
        <v>374</v>
      </c>
      <c r="B282" t="s">
        <v>373</v>
      </c>
      <c r="C282" t="s">
        <v>372</v>
      </c>
      <c r="D282">
        <v>3097</v>
      </c>
      <c r="AC282">
        <v>0.6</v>
      </c>
      <c r="AF282">
        <v>0.2</v>
      </c>
      <c r="AG282">
        <v>2.9</v>
      </c>
      <c r="AH282">
        <v>350</v>
      </c>
      <c r="AI282">
        <v>0.8</v>
      </c>
    </row>
    <row r="283" spans="1:35" x14ac:dyDescent="0.3">
      <c r="A283" t="s">
        <v>372</v>
      </c>
      <c r="B283" t="s">
        <v>373</v>
      </c>
      <c r="C283" t="s">
        <v>372</v>
      </c>
      <c r="D283">
        <v>3350</v>
      </c>
      <c r="AC283">
        <v>0.5</v>
      </c>
      <c r="AF283">
        <v>1</v>
      </c>
      <c r="AG283">
        <v>4.5</v>
      </c>
      <c r="AH283">
        <v>350</v>
      </c>
      <c r="AI283">
        <v>0.5</v>
      </c>
    </row>
    <row r="284" spans="1:35" x14ac:dyDescent="0.3">
      <c r="A284" t="s">
        <v>371</v>
      </c>
      <c r="B284" t="s">
        <v>156</v>
      </c>
      <c r="C284" t="s">
        <v>156</v>
      </c>
      <c r="D284">
        <v>5026</v>
      </c>
      <c r="AC284">
        <v>1</v>
      </c>
      <c r="AD284">
        <v>1</v>
      </c>
      <c r="AH284">
        <v>400</v>
      </c>
    </row>
    <row r="285" spans="1:35" x14ac:dyDescent="0.3">
      <c r="A285" t="s">
        <v>370</v>
      </c>
      <c r="B285" t="s">
        <v>156</v>
      </c>
      <c r="C285" t="s">
        <v>156</v>
      </c>
      <c r="D285">
        <v>4052</v>
      </c>
      <c r="AC285">
        <v>1</v>
      </c>
      <c r="AD285">
        <v>1</v>
      </c>
      <c r="AH285">
        <v>400</v>
      </c>
    </row>
    <row r="286" spans="1:35" x14ac:dyDescent="0.3">
      <c r="A286" t="s">
        <v>369</v>
      </c>
      <c r="B286" t="s">
        <v>156</v>
      </c>
      <c r="C286" t="s">
        <v>156</v>
      </c>
      <c r="D286">
        <v>4133</v>
      </c>
      <c r="AC286">
        <v>1</v>
      </c>
      <c r="AD286">
        <v>1</v>
      </c>
      <c r="AH286">
        <v>400</v>
      </c>
    </row>
    <row r="287" spans="1:35" x14ac:dyDescent="0.3">
      <c r="A287" t="s">
        <v>156</v>
      </c>
      <c r="B287" t="s">
        <v>156</v>
      </c>
      <c r="C287" t="s">
        <v>156</v>
      </c>
      <c r="D287">
        <v>4400</v>
      </c>
      <c r="AC287">
        <v>1</v>
      </c>
      <c r="AD287">
        <v>1</v>
      </c>
      <c r="AH287">
        <v>400</v>
      </c>
    </row>
    <row r="288" spans="1:35" x14ac:dyDescent="0.3">
      <c r="A288" t="s">
        <v>368</v>
      </c>
      <c r="B288" t="s">
        <v>156</v>
      </c>
      <c r="C288" t="s">
        <v>156</v>
      </c>
      <c r="D288">
        <v>6401</v>
      </c>
      <c r="AC288">
        <v>1</v>
      </c>
      <c r="AD288">
        <v>3</v>
      </c>
      <c r="AH288">
        <v>400</v>
      </c>
    </row>
    <row r="289" spans="1:34" x14ac:dyDescent="0.3">
      <c r="A289" t="s">
        <v>367</v>
      </c>
      <c r="B289" t="s">
        <v>156</v>
      </c>
      <c r="C289" t="s">
        <v>156</v>
      </c>
      <c r="D289">
        <v>6402</v>
      </c>
      <c r="AC289">
        <v>1</v>
      </c>
      <c r="AD289">
        <v>2</v>
      </c>
      <c r="AH289">
        <v>400</v>
      </c>
    </row>
    <row r="290" spans="1:34" x14ac:dyDescent="0.3">
      <c r="A290" t="s">
        <v>364</v>
      </c>
      <c r="B290" t="s">
        <v>156</v>
      </c>
      <c r="C290" t="s">
        <v>156</v>
      </c>
      <c r="D290">
        <v>6403</v>
      </c>
      <c r="AC290">
        <v>1</v>
      </c>
      <c r="AD290">
        <v>1</v>
      </c>
      <c r="AH290">
        <v>400</v>
      </c>
    </row>
    <row r="291" spans="1:34" x14ac:dyDescent="0.3">
      <c r="A291" t="s">
        <v>366</v>
      </c>
      <c r="B291" t="s">
        <v>156</v>
      </c>
      <c r="C291" t="s">
        <v>156</v>
      </c>
      <c r="D291">
        <v>8401</v>
      </c>
      <c r="AC291">
        <v>1</v>
      </c>
      <c r="AD291">
        <v>3</v>
      </c>
      <c r="AH291">
        <v>400</v>
      </c>
    </row>
    <row r="292" spans="1:34" x14ac:dyDescent="0.3">
      <c r="A292" t="s">
        <v>365</v>
      </c>
      <c r="B292" t="s">
        <v>156</v>
      </c>
      <c r="C292" t="s">
        <v>156</v>
      </c>
      <c r="D292">
        <v>8402</v>
      </c>
      <c r="AC292">
        <v>1</v>
      </c>
      <c r="AD292">
        <v>2</v>
      </c>
      <c r="AH292">
        <v>400</v>
      </c>
    </row>
    <row r="293" spans="1:34" x14ac:dyDescent="0.3">
      <c r="A293" t="s">
        <v>364</v>
      </c>
      <c r="B293" t="s">
        <v>156</v>
      </c>
      <c r="C293" t="s">
        <v>156</v>
      </c>
      <c r="D293">
        <v>8403</v>
      </c>
      <c r="AC293">
        <v>1</v>
      </c>
      <c r="AD293">
        <v>1</v>
      </c>
      <c r="AH293">
        <v>400</v>
      </c>
    </row>
    <row r="294" spans="1:34" x14ac:dyDescent="0.3">
      <c r="A294" t="s">
        <v>363</v>
      </c>
      <c r="B294" t="s">
        <v>156</v>
      </c>
      <c r="C294" t="s">
        <v>156</v>
      </c>
      <c r="D294">
        <v>8404</v>
      </c>
      <c r="AC294">
        <v>1</v>
      </c>
      <c r="AD294">
        <v>1</v>
      </c>
      <c r="AH294">
        <v>400</v>
      </c>
    </row>
    <row r="295" spans="1:34" x14ac:dyDescent="0.3">
      <c r="A295" t="s">
        <v>362</v>
      </c>
      <c r="B295" t="s">
        <v>156</v>
      </c>
      <c r="C295" t="s">
        <v>343</v>
      </c>
      <c r="D295">
        <v>5027</v>
      </c>
      <c r="AC295">
        <v>0.5</v>
      </c>
      <c r="AD295">
        <v>1</v>
      </c>
      <c r="AH295">
        <v>450</v>
      </c>
    </row>
    <row r="296" spans="1:34" x14ac:dyDescent="0.3">
      <c r="A296" t="s">
        <v>361</v>
      </c>
      <c r="B296" t="s">
        <v>156</v>
      </c>
      <c r="C296" t="s">
        <v>343</v>
      </c>
      <c r="D296">
        <v>4022</v>
      </c>
      <c r="AC296">
        <v>0.5</v>
      </c>
      <c r="AD296">
        <v>1</v>
      </c>
      <c r="AH296">
        <v>450</v>
      </c>
    </row>
    <row r="297" spans="1:34" x14ac:dyDescent="0.3">
      <c r="A297" t="s">
        <v>360</v>
      </c>
      <c r="B297" t="s">
        <v>156</v>
      </c>
      <c r="C297" t="s">
        <v>343</v>
      </c>
      <c r="D297">
        <v>4023</v>
      </c>
      <c r="AC297">
        <v>0.5</v>
      </c>
      <c r="AD297">
        <v>1</v>
      </c>
      <c r="AH297">
        <v>450</v>
      </c>
    </row>
    <row r="298" spans="1:34" x14ac:dyDescent="0.3">
      <c r="A298" t="s">
        <v>343</v>
      </c>
      <c r="B298" t="s">
        <v>156</v>
      </c>
      <c r="C298" t="s">
        <v>343</v>
      </c>
      <c r="D298">
        <v>4450</v>
      </c>
      <c r="AC298">
        <v>0.5</v>
      </c>
      <c r="AD298">
        <v>2</v>
      </c>
      <c r="AH298">
        <v>450</v>
      </c>
    </row>
    <row r="299" spans="1:34" x14ac:dyDescent="0.3">
      <c r="A299" t="s">
        <v>359</v>
      </c>
      <c r="B299" t="s">
        <v>156</v>
      </c>
      <c r="C299" t="s">
        <v>343</v>
      </c>
      <c r="D299">
        <v>6451</v>
      </c>
      <c r="AC299">
        <v>0.5</v>
      </c>
      <c r="AD299">
        <v>3</v>
      </c>
      <c r="AH299">
        <v>450</v>
      </c>
    </row>
    <row r="300" spans="1:34" x14ac:dyDescent="0.3">
      <c r="A300" t="s">
        <v>358</v>
      </c>
      <c r="B300" t="s">
        <v>156</v>
      </c>
      <c r="C300" t="s">
        <v>343</v>
      </c>
      <c r="D300">
        <v>6452</v>
      </c>
      <c r="AC300">
        <v>0.5</v>
      </c>
      <c r="AD300">
        <v>2</v>
      </c>
      <c r="AH300">
        <v>450</v>
      </c>
    </row>
    <row r="301" spans="1:34" x14ac:dyDescent="0.3">
      <c r="A301" t="s">
        <v>350</v>
      </c>
      <c r="B301" t="s">
        <v>156</v>
      </c>
      <c r="C301" t="s">
        <v>343</v>
      </c>
      <c r="D301">
        <v>6453</v>
      </c>
      <c r="AC301">
        <v>0.5</v>
      </c>
      <c r="AD301">
        <v>1</v>
      </c>
      <c r="AH301">
        <v>450</v>
      </c>
    </row>
    <row r="302" spans="1:34" x14ac:dyDescent="0.3">
      <c r="A302" t="s">
        <v>357</v>
      </c>
      <c r="B302" t="s">
        <v>156</v>
      </c>
      <c r="C302" t="s">
        <v>343</v>
      </c>
      <c r="D302">
        <v>6454</v>
      </c>
      <c r="AC302">
        <v>0.6</v>
      </c>
      <c r="AD302">
        <v>1</v>
      </c>
      <c r="AH302">
        <v>450</v>
      </c>
    </row>
    <row r="303" spans="1:34" x14ac:dyDescent="0.3">
      <c r="A303" t="s">
        <v>356</v>
      </c>
      <c r="B303" t="s">
        <v>156</v>
      </c>
      <c r="C303" t="s">
        <v>343</v>
      </c>
      <c r="D303">
        <v>6455</v>
      </c>
      <c r="AC303">
        <v>0.5</v>
      </c>
      <c r="AD303">
        <v>2</v>
      </c>
      <c r="AH303">
        <v>450</v>
      </c>
    </row>
    <row r="304" spans="1:34" x14ac:dyDescent="0.3">
      <c r="A304" t="s">
        <v>355</v>
      </c>
      <c r="B304" t="s">
        <v>156</v>
      </c>
      <c r="C304" t="s">
        <v>343</v>
      </c>
      <c r="D304">
        <v>6456</v>
      </c>
      <c r="AC304">
        <v>0.6</v>
      </c>
      <c r="AD304">
        <v>2</v>
      </c>
      <c r="AH304">
        <v>450</v>
      </c>
    </row>
    <row r="305" spans="1:36" x14ac:dyDescent="0.3">
      <c r="A305" t="s">
        <v>354</v>
      </c>
      <c r="B305" t="s">
        <v>156</v>
      </c>
      <c r="C305" t="s">
        <v>343</v>
      </c>
      <c r="D305">
        <v>2451</v>
      </c>
      <c r="F305">
        <v>0</v>
      </c>
      <c r="AC305">
        <v>0.64</v>
      </c>
      <c r="AD305">
        <v>1</v>
      </c>
      <c r="AH305">
        <v>450</v>
      </c>
    </row>
    <row r="306" spans="1:36" x14ac:dyDescent="0.3">
      <c r="A306" t="s">
        <v>353</v>
      </c>
      <c r="B306" t="s">
        <v>156</v>
      </c>
      <c r="C306" t="s">
        <v>343</v>
      </c>
      <c r="D306">
        <v>8451</v>
      </c>
      <c r="AC306">
        <v>0.5</v>
      </c>
      <c r="AD306">
        <v>3</v>
      </c>
      <c r="AH306">
        <v>450</v>
      </c>
    </row>
    <row r="307" spans="1:36" x14ac:dyDescent="0.3">
      <c r="A307" t="s">
        <v>352</v>
      </c>
      <c r="B307" t="s">
        <v>156</v>
      </c>
      <c r="C307" t="s">
        <v>343</v>
      </c>
      <c r="D307">
        <v>8452</v>
      </c>
      <c r="AC307">
        <v>0.5</v>
      </c>
      <c r="AD307">
        <v>2</v>
      </c>
      <c r="AH307">
        <v>450</v>
      </c>
    </row>
    <row r="308" spans="1:36" x14ac:dyDescent="0.3">
      <c r="A308" t="s">
        <v>351</v>
      </c>
      <c r="B308" t="s">
        <v>156</v>
      </c>
      <c r="C308" t="s">
        <v>343</v>
      </c>
      <c r="D308">
        <v>8454</v>
      </c>
      <c r="AC308">
        <v>0.6</v>
      </c>
      <c r="AD308">
        <v>1</v>
      </c>
      <c r="AH308">
        <v>450</v>
      </c>
    </row>
    <row r="309" spans="1:36" x14ac:dyDescent="0.3">
      <c r="A309" t="s">
        <v>350</v>
      </c>
      <c r="B309" t="s">
        <v>156</v>
      </c>
      <c r="C309" t="s">
        <v>343</v>
      </c>
      <c r="D309">
        <v>8455</v>
      </c>
      <c r="AC309">
        <v>0.5</v>
      </c>
      <c r="AD309">
        <v>1</v>
      </c>
      <c r="AH309">
        <v>450</v>
      </c>
    </row>
    <row r="310" spans="1:36" x14ac:dyDescent="0.3">
      <c r="A310" t="s">
        <v>349</v>
      </c>
      <c r="B310" t="s">
        <v>156</v>
      </c>
      <c r="C310" t="s">
        <v>343</v>
      </c>
      <c r="D310">
        <v>8456</v>
      </c>
      <c r="AC310">
        <v>0.6</v>
      </c>
      <c r="AD310">
        <v>2</v>
      </c>
      <c r="AH310">
        <v>450</v>
      </c>
    </row>
    <row r="311" spans="1:36" x14ac:dyDescent="0.3">
      <c r="A311" t="s">
        <v>348</v>
      </c>
      <c r="B311" t="s">
        <v>156</v>
      </c>
      <c r="C311" t="s">
        <v>343</v>
      </c>
      <c r="D311">
        <v>8457</v>
      </c>
      <c r="AC311">
        <v>0.5</v>
      </c>
      <c r="AD311">
        <v>2</v>
      </c>
      <c r="AH311">
        <v>450</v>
      </c>
    </row>
    <row r="312" spans="1:36" x14ac:dyDescent="0.3">
      <c r="A312" t="s">
        <v>347</v>
      </c>
      <c r="B312" t="s">
        <v>156</v>
      </c>
      <c r="C312" t="s">
        <v>343</v>
      </c>
      <c r="D312">
        <v>8458</v>
      </c>
      <c r="AC312">
        <v>0.6</v>
      </c>
      <c r="AD312">
        <v>3</v>
      </c>
      <c r="AH312">
        <v>450</v>
      </c>
    </row>
    <row r="313" spans="1:36" x14ac:dyDescent="0.3">
      <c r="A313" t="s">
        <v>346</v>
      </c>
      <c r="B313" t="s">
        <v>156</v>
      </c>
      <c r="C313" t="s">
        <v>343</v>
      </c>
      <c r="D313">
        <v>8459</v>
      </c>
      <c r="AC313">
        <v>0.5</v>
      </c>
      <c r="AD313">
        <v>3</v>
      </c>
      <c r="AH313">
        <v>450</v>
      </c>
    </row>
    <row r="314" spans="1:36" x14ac:dyDescent="0.3">
      <c r="A314" t="s">
        <v>345</v>
      </c>
      <c r="B314" t="s">
        <v>156</v>
      </c>
      <c r="C314" t="s">
        <v>343</v>
      </c>
      <c r="D314">
        <v>3026</v>
      </c>
      <c r="AC314">
        <v>0.5</v>
      </c>
      <c r="AD314">
        <v>1</v>
      </c>
      <c r="AH314">
        <v>450</v>
      </c>
    </row>
    <row r="315" spans="1:36" x14ac:dyDescent="0.3">
      <c r="A315" t="s">
        <v>344</v>
      </c>
      <c r="B315" t="s">
        <v>156</v>
      </c>
      <c r="C315" t="s">
        <v>343</v>
      </c>
      <c r="D315">
        <v>3050</v>
      </c>
      <c r="AC315">
        <v>0.5</v>
      </c>
      <c r="AD315">
        <v>1</v>
      </c>
      <c r="AH315">
        <v>450</v>
      </c>
    </row>
    <row r="316" spans="1:36" x14ac:dyDescent="0.3">
      <c r="A316" t="s">
        <v>342</v>
      </c>
      <c r="B316" t="s">
        <v>256</v>
      </c>
      <c r="C316" t="s">
        <v>2</v>
      </c>
      <c r="D316">
        <v>5020</v>
      </c>
      <c r="E316">
        <v>20</v>
      </c>
      <c r="F316">
        <v>0</v>
      </c>
      <c r="G316">
        <v>0</v>
      </c>
      <c r="H316">
        <v>1</v>
      </c>
      <c r="I316">
        <v>2.9</v>
      </c>
      <c r="J316">
        <v>4.5</v>
      </c>
      <c r="K316">
        <v>11</v>
      </c>
      <c r="L316">
        <v>0.25</v>
      </c>
      <c r="M316">
        <v>0.3</v>
      </c>
      <c r="N316">
        <v>0.5</v>
      </c>
      <c r="O316">
        <v>1.5</v>
      </c>
      <c r="P316">
        <v>25</v>
      </c>
      <c r="S316">
        <v>3.65</v>
      </c>
      <c r="T316">
        <v>0</v>
      </c>
      <c r="U316">
        <v>0</v>
      </c>
      <c r="V316">
        <v>2.1</v>
      </c>
      <c r="W316">
        <v>0</v>
      </c>
      <c r="X316">
        <v>0.25</v>
      </c>
      <c r="Y316">
        <v>0.5</v>
      </c>
      <c r="Z316">
        <v>0.3</v>
      </c>
      <c r="AB316">
        <v>3</v>
      </c>
      <c r="AE316">
        <v>3</v>
      </c>
      <c r="AH316">
        <v>100</v>
      </c>
      <c r="AJ316">
        <v>0</v>
      </c>
    </row>
    <row r="317" spans="1:36" x14ac:dyDescent="0.3">
      <c r="A317" t="s">
        <v>341</v>
      </c>
      <c r="B317" t="s">
        <v>256</v>
      </c>
      <c r="C317" t="s">
        <v>2</v>
      </c>
      <c r="D317">
        <v>5021</v>
      </c>
      <c r="E317">
        <v>20</v>
      </c>
      <c r="F317">
        <v>0</v>
      </c>
      <c r="G317">
        <v>0</v>
      </c>
      <c r="H317">
        <v>0.7</v>
      </c>
      <c r="I317">
        <v>4.0999999999999996</v>
      </c>
      <c r="J317">
        <v>4.5</v>
      </c>
      <c r="K317">
        <v>11</v>
      </c>
      <c r="L317">
        <v>0.3</v>
      </c>
      <c r="M317">
        <v>0.3</v>
      </c>
      <c r="N317">
        <v>0.3</v>
      </c>
      <c r="O317">
        <v>1.5</v>
      </c>
      <c r="P317">
        <v>25</v>
      </c>
      <c r="S317">
        <v>3.41</v>
      </c>
      <c r="T317">
        <v>0</v>
      </c>
      <c r="U317">
        <v>0</v>
      </c>
      <c r="V317">
        <v>3</v>
      </c>
      <c r="W317">
        <v>0</v>
      </c>
      <c r="X317">
        <v>0.3</v>
      </c>
      <c r="Y317">
        <v>0.3</v>
      </c>
      <c r="Z317">
        <v>0.3</v>
      </c>
      <c r="AB317">
        <v>2.92</v>
      </c>
      <c r="AE317">
        <v>3</v>
      </c>
      <c r="AH317">
        <v>100</v>
      </c>
      <c r="AJ317">
        <v>0</v>
      </c>
    </row>
    <row r="318" spans="1:36" x14ac:dyDescent="0.3">
      <c r="A318" t="s">
        <v>340</v>
      </c>
      <c r="B318" t="s">
        <v>256</v>
      </c>
      <c r="C318" t="s">
        <v>2</v>
      </c>
      <c r="D318">
        <v>5030</v>
      </c>
      <c r="E318">
        <v>20</v>
      </c>
      <c r="F318">
        <v>0</v>
      </c>
      <c r="G318">
        <v>0</v>
      </c>
      <c r="H318">
        <v>1.2</v>
      </c>
      <c r="I318">
        <v>2.7</v>
      </c>
      <c r="J318">
        <v>4.5</v>
      </c>
      <c r="K318">
        <v>11</v>
      </c>
      <c r="L318">
        <v>0.25</v>
      </c>
      <c r="M318">
        <v>0.3</v>
      </c>
      <c r="N318">
        <v>0.1</v>
      </c>
      <c r="O318">
        <v>1.5</v>
      </c>
      <c r="P318">
        <v>25</v>
      </c>
      <c r="S318">
        <v>3.37</v>
      </c>
      <c r="T318">
        <v>0.1</v>
      </c>
      <c r="U318">
        <v>0</v>
      </c>
      <c r="V318">
        <v>3.8</v>
      </c>
      <c r="W318">
        <v>0</v>
      </c>
      <c r="X318">
        <v>0.31</v>
      </c>
      <c r="Y318">
        <v>0.1</v>
      </c>
      <c r="Z318">
        <v>0.3</v>
      </c>
      <c r="AB318">
        <v>2.89</v>
      </c>
      <c r="AE318">
        <v>3</v>
      </c>
      <c r="AH318">
        <v>100</v>
      </c>
      <c r="AJ318">
        <v>0</v>
      </c>
    </row>
    <row r="319" spans="1:36" x14ac:dyDescent="0.3">
      <c r="A319" t="s">
        <v>339</v>
      </c>
      <c r="B319" t="s">
        <v>256</v>
      </c>
      <c r="C319" t="s">
        <v>2</v>
      </c>
      <c r="D319">
        <v>5043</v>
      </c>
      <c r="E319">
        <v>20</v>
      </c>
      <c r="F319">
        <v>0</v>
      </c>
      <c r="G319">
        <v>0</v>
      </c>
      <c r="H319">
        <v>0.7</v>
      </c>
      <c r="I319">
        <v>1.8</v>
      </c>
      <c r="J319">
        <v>4.5</v>
      </c>
      <c r="K319">
        <v>11</v>
      </c>
      <c r="L319">
        <v>0.15</v>
      </c>
      <c r="M319">
        <v>0.3</v>
      </c>
      <c r="N319">
        <v>7.0000000000000007E-2</v>
      </c>
      <c r="O319">
        <v>1.5</v>
      </c>
      <c r="P319">
        <v>25</v>
      </c>
      <c r="S319">
        <v>3.07</v>
      </c>
      <c r="T319">
        <v>0</v>
      </c>
      <c r="U319">
        <v>0</v>
      </c>
      <c r="V319">
        <v>4.5</v>
      </c>
      <c r="W319">
        <v>0</v>
      </c>
      <c r="X319">
        <v>0.2</v>
      </c>
      <c r="Y319">
        <v>7.0000000000000007E-2</v>
      </c>
      <c r="Z319">
        <v>0.3</v>
      </c>
      <c r="AB319">
        <v>2.63</v>
      </c>
      <c r="AE319">
        <v>3</v>
      </c>
      <c r="AH319">
        <v>100</v>
      </c>
      <c r="AJ319">
        <v>0</v>
      </c>
    </row>
    <row r="320" spans="1:36" x14ac:dyDescent="0.3">
      <c r="A320" t="s">
        <v>338</v>
      </c>
      <c r="B320" t="s">
        <v>256</v>
      </c>
      <c r="C320" t="s">
        <v>2</v>
      </c>
      <c r="D320">
        <v>5053</v>
      </c>
      <c r="E320">
        <v>20</v>
      </c>
      <c r="F320">
        <v>0</v>
      </c>
      <c r="G320">
        <v>0</v>
      </c>
      <c r="H320">
        <v>0.4</v>
      </c>
      <c r="I320">
        <v>0.4</v>
      </c>
      <c r="J320">
        <v>4.5</v>
      </c>
      <c r="K320">
        <v>5.9</v>
      </c>
      <c r="L320">
        <v>0.15</v>
      </c>
      <c r="M320">
        <v>0.3</v>
      </c>
      <c r="N320">
        <v>0.15</v>
      </c>
      <c r="O320">
        <v>1.5</v>
      </c>
      <c r="P320">
        <v>25</v>
      </c>
      <c r="S320">
        <v>2.0299999999999998</v>
      </c>
      <c r="T320">
        <v>0</v>
      </c>
      <c r="U320">
        <v>0</v>
      </c>
      <c r="V320">
        <v>0</v>
      </c>
      <c r="W320">
        <v>0</v>
      </c>
      <c r="X320">
        <v>1</v>
      </c>
      <c r="Y320">
        <v>0.15</v>
      </c>
      <c r="Z320">
        <v>0.3</v>
      </c>
      <c r="AB320">
        <v>1.74</v>
      </c>
      <c r="AE320">
        <v>4</v>
      </c>
      <c r="AH320">
        <v>100</v>
      </c>
      <c r="AJ320">
        <v>0</v>
      </c>
    </row>
    <row r="321" spans="1:36" x14ac:dyDescent="0.3">
      <c r="A321" t="s">
        <v>337</v>
      </c>
      <c r="B321" t="s">
        <v>256</v>
      </c>
      <c r="C321" t="s">
        <v>2</v>
      </c>
      <c r="D321">
        <v>5054</v>
      </c>
      <c r="E321">
        <v>20</v>
      </c>
      <c r="F321">
        <v>0</v>
      </c>
      <c r="G321">
        <v>0</v>
      </c>
      <c r="H321">
        <v>0</v>
      </c>
      <c r="I321">
        <v>0</v>
      </c>
      <c r="J321">
        <v>4.5</v>
      </c>
      <c r="K321">
        <v>0</v>
      </c>
      <c r="L321">
        <v>0</v>
      </c>
      <c r="M321">
        <v>0.3</v>
      </c>
      <c r="N321">
        <v>0</v>
      </c>
      <c r="O321">
        <v>1.5</v>
      </c>
      <c r="P321">
        <v>25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0.3</v>
      </c>
      <c r="AB321">
        <v>0</v>
      </c>
      <c r="AE321">
        <v>3</v>
      </c>
      <c r="AH321">
        <v>100</v>
      </c>
      <c r="AJ321">
        <v>0</v>
      </c>
    </row>
    <row r="322" spans="1:36" x14ac:dyDescent="0.3">
      <c r="A322" t="s">
        <v>336</v>
      </c>
      <c r="B322" t="s">
        <v>256</v>
      </c>
      <c r="C322" t="s">
        <v>2</v>
      </c>
      <c r="D322">
        <v>5055</v>
      </c>
      <c r="E322">
        <v>20</v>
      </c>
      <c r="F322">
        <v>0</v>
      </c>
      <c r="G322">
        <v>0</v>
      </c>
      <c r="H322">
        <v>0</v>
      </c>
      <c r="I322">
        <v>0</v>
      </c>
      <c r="J322">
        <v>4.5</v>
      </c>
      <c r="K322">
        <v>0</v>
      </c>
      <c r="L322">
        <v>0</v>
      </c>
      <c r="M322">
        <v>0.3</v>
      </c>
      <c r="N322">
        <v>0</v>
      </c>
      <c r="O322">
        <v>1.5</v>
      </c>
      <c r="P322">
        <v>25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0.3</v>
      </c>
      <c r="AB322">
        <v>0</v>
      </c>
      <c r="AE322">
        <v>2.5</v>
      </c>
      <c r="AH322">
        <v>100</v>
      </c>
      <c r="AJ322">
        <v>0</v>
      </c>
    </row>
    <row r="323" spans="1:36" x14ac:dyDescent="0.3">
      <c r="A323" t="s">
        <v>335</v>
      </c>
      <c r="B323" t="s">
        <v>256</v>
      </c>
      <c r="C323" t="s">
        <v>2</v>
      </c>
      <c r="D323">
        <v>5001</v>
      </c>
      <c r="E323">
        <v>20</v>
      </c>
      <c r="F323">
        <v>0</v>
      </c>
      <c r="G323">
        <v>0</v>
      </c>
      <c r="H323">
        <v>0.7</v>
      </c>
      <c r="I323">
        <v>5</v>
      </c>
      <c r="J323">
        <v>4.5</v>
      </c>
      <c r="K323">
        <v>11</v>
      </c>
      <c r="L323">
        <v>0.14000000000000001</v>
      </c>
      <c r="M323">
        <v>0.3</v>
      </c>
      <c r="N323">
        <v>0.3</v>
      </c>
      <c r="O323">
        <v>1.5</v>
      </c>
      <c r="P323">
        <v>25</v>
      </c>
      <c r="S323">
        <v>3.57</v>
      </c>
      <c r="T323">
        <v>0</v>
      </c>
      <c r="U323">
        <v>0</v>
      </c>
      <c r="V323">
        <v>2.5</v>
      </c>
      <c r="W323">
        <v>0</v>
      </c>
      <c r="X323">
        <v>0.2</v>
      </c>
      <c r="Y323">
        <v>0.3</v>
      </c>
      <c r="Z323">
        <v>0.3</v>
      </c>
      <c r="AB323">
        <v>3</v>
      </c>
      <c r="AE323">
        <v>3</v>
      </c>
      <c r="AH323">
        <v>100</v>
      </c>
      <c r="AJ323">
        <v>1</v>
      </c>
    </row>
    <row r="324" spans="1:36" x14ac:dyDescent="0.3">
      <c r="A324" t="s">
        <v>334</v>
      </c>
      <c r="B324" t="s">
        <v>256</v>
      </c>
      <c r="C324" t="s">
        <v>2</v>
      </c>
      <c r="D324">
        <v>5013</v>
      </c>
      <c r="E324">
        <v>20</v>
      </c>
      <c r="F324">
        <v>0</v>
      </c>
      <c r="G324">
        <v>0</v>
      </c>
      <c r="H324">
        <v>0.4</v>
      </c>
      <c r="I324">
        <v>0.4</v>
      </c>
      <c r="J324">
        <v>4.5</v>
      </c>
      <c r="K324">
        <v>5.9</v>
      </c>
      <c r="L324">
        <v>0.15</v>
      </c>
      <c r="M324">
        <v>0.3</v>
      </c>
      <c r="N324">
        <v>0.15</v>
      </c>
      <c r="O324">
        <v>1.5</v>
      </c>
      <c r="P324">
        <v>25</v>
      </c>
      <c r="S324">
        <v>2.0299999999999998</v>
      </c>
      <c r="T324">
        <v>0</v>
      </c>
      <c r="U324">
        <v>0</v>
      </c>
      <c r="V324">
        <v>0</v>
      </c>
      <c r="W324">
        <v>0</v>
      </c>
      <c r="X324">
        <v>1</v>
      </c>
      <c r="Y324">
        <v>0.15</v>
      </c>
      <c r="Z324">
        <v>0.3</v>
      </c>
      <c r="AB324">
        <v>1.74</v>
      </c>
      <c r="AE324">
        <v>4</v>
      </c>
      <c r="AH324">
        <v>100</v>
      </c>
      <c r="AJ324">
        <v>0</v>
      </c>
    </row>
    <row r="325" spans="1:36" x14ac:dyDescent="0.3">
      <c r="A325" t="s">
        <v>333</v>
      </c>
      <c r="B325" t="s">
        <v>256</v>
      </c>
      <c r="C325" t="s">
        <v>2</v>
      </c>
      <c r="D325">
        <v>5018</v>
      </c>
      <c r="E325">
        <v>20</v>
      </c>
      <c r="F325">
        <v>0</v>
      </c>
      <c r="G325">
        <v>0</v>
      </c>
      <c r="H325">
        <v>1.2</v>
      </c>
      <c r="I325">
        <v>5</v>
      </c>
      <c r="J325">
        <v>4.5</v>
      </c>
      <c r="K325">
        <v>11</v>
      </c>
      <c r="L325">
        <v>0.14000000000000001</v>
      </c>
      <c r="M325">
        <v>0.3</v>
      </c>
      <c r="N325">
        <v>0.3</v>
      </c>
      <c r="O325">
        <v>1.5</v>
      </c>
      <c r="P325">
        <v>25</v>
      </c>
      <c r="S325">
        <v>4</v>
      </c>
      <c r="T325">
        <v>0.1</v>
      </c>
      <c r="U325">
        <v>0</v>
      </c>
      <c r="V325">
        <v>3</v>
      </c>
      <c r="W325">
        <v>0</v>
      </c>
      <c r="X325">
        <v>0.3</v>
      </c>
      <c r="Y325">
        <v>0.3</v>
      </c>
      <c r="Z325">
        <v>0.3</v>
      </c>
      <c r="AB325">
        <v>3</v>
      </c>
      <c r="AE325">
        <v>4</v>
      </c>
      <c r="AH325">
        <v>100</v>
      </c>
      <c r="AJ325">
        <v>1</v>
      </c>
    </row>
    <row r="326" spans="1:36" x14ac:dyDescent="0.3">
      <c r="A326" t="s">
        <v>332</v>
      </c>
      <c r="B326" t="s">
        <v>256</v>
      </c>
      <c r="C326" t="s">
        <v>2</v>
      </c>
      <c r="D326">
        <v>5019</v>
      </c>
      <c r="E326">
        <v>20</v>
      </c>
      <c r="F326">
        <v>0</v>
      </c>
      <c r="G326">
        <v>0</v>
      </c>
      <c r="H326">
        <v>0.7</v>
      </c>
      <c r="I326">
        <v>3</v>
      </c>
      <c r="J326">
        <v>4.5</v>
      </c>
      <c r="K326">
        <v>11</v>
      </c>
      <c r="L326">
        <v>0.2</v>
      </c>
      <c r="M326">
        <v>0.3</v>
      </c>
      <c r="N326">
        <v>0.3</v>
      </c>
      <c r="O326">
        <v>1.5</v>
      </c>
      <c r="P326">
        <v>25</v>
      </c>
      <c r="S326">
        <v>3.57</v>
      </c>
      <c r="T326">
        <v>0</v>
      </c>
      <c r="U326">
        <v>0</v>
      </c>
      <c r="V326">
        <v>2.5</v>
      </c>
      <c r="W326">
        <v>0</v>
      </c>
      <c r="X326">
        <v>0.2</v>
      </c>
      <c r="Y326">
        <v>0.3</v>
      </c>
      <c r="Z326">
        <v>0.3</v>
      </c>
      <c r="AB326">
        <v>3</v>
      </c>
      <c r="AE326">
        <v>3</v>
      </c>
      <c r="AH326">
        <v>100</v>
      </c>
      <c r="AJ326">
        <v>0</v>
      </c>
    </row>
    <row r="327" spans="1:36" x14ac:dyDescent="0.3">
      <c r="A327" t="s">
        <v>331</v>
      </c>
      <c r="B327" t="s">
        <v>256</v>
      </c>
      <c r="C327" t="s">
        <v>2</v>
      </c>
      <c r="D327">
        <v>5056</v>
      </c>
      <c r="E327">
        <v>20</v>
      </c>
      <c r="F327">
        <v>0</v>
      </c>
      <c r="G327">
        <v>0</v>
      </c>
      <c r="H327">
        <v>0</v>
      </c>
      <c r="I327">
        <v>0</v>
      </c>
      <c r="J327">
        <v>4.5</v>
      </c>
      <c r="K327">
        <v>0</v>
      </c>
      <c r="L327">
        <v>0</v>
      </c>
      <c r="M327">
        <v>0.3</v>
      </c>
      <c r="N327">
        <v>0</v>
      </c>
      <c r="O327">
        <v>1.5</v>
      </c>
      <c r="P327">
        <v>25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0.3</v>
      </c>
      <c r="AB327">
        <v>0</v>
      </c>
      <c r="AE327">
        <v>2</v>
      </c>
      <c r="AH327">
        <v>100</v>
      </c>
      <c r="AJ327">
        <v>0</v>
      </c>
    </row>
    <row r="328" spans="1:36" x14ac:dyDescent="0.3">
      <c r="A328" t="s">
        <v>330</v>
      </c>
      <c r="B328" t="s">
        <v>256</v>
      </c>
      <c r="C328" t="s">
        <v>2</v>
      </c>
      <c r="D328">
        <v>5057</v>
      </c>
      <c r="E328">
        <v>20</v>
      </c>
      <c r="F328">
        <v>0</v>
      </c>
      <c r="G328">
        <v>0</v>
      </c>
      <c r="H328">
        <v>0</v>
      </c>
      <c r="I328">
        <v>0</v>
      </c>
      <c r="J328">
        <v>4.5</v>
      </c>
      <c r="K328">
        <v>0</v>
      </c>
      <c r="L328">
        <v>0</v>
      </c>
      <c r="M328">
        <v>0.3</v>
      </c>
      <c r="N328">
        <v>0</v>
      </c>
      <c r="O328">
        <v>1.5</v>
      </c>
      <c r="P328">
        <v>25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0.3</v>
      </c>
      <c r="AB328">
        <v>0</v>
      </c>
      <c r="AE328">
        <v>3</v>
      </c>
      <c r="AH328">
        <v>100</v>
      </c>
      <c r="AJ328">
        <v>0</v>
      </c>
    </row>
    <row r="329" spans="1:36" x14ac:dyDescent="0.3">
      <c r="A329" t="s">
        <v>329</v>
      </c>
      <c r="B329" t="s">
        <v>256</v>
      </c>
      <c r="C329" t="s">
        <v>2</v>
      </c>
      <c r="D329">
        <v>4008</v>
      </c>
      <c r="E329">
        <v>20</v>
      </c>
      <c r="F329">
        <v>0</v>
      </c>
      <c r="G329">
        <v>0</v>
      </c>
      <c r="H329">
        <v>1.47</v>
      </c>
      <c r="I329">
        <v>0</v>
      </c>
      <c r="J329">
        <v>4.5</v>
      </c>
      <c r="K329">
        <v>11</v>
      </c>
      <c r="L329">
        <v>0.1</v>
      </c>
      <c r="M329">
        <v>0.3</v>
      </c>
      <c r="N329">
        <v>0.67</v>
      </c>
      <c r="O329">
        <v>1.5</v>
      </c>
      <c r="P329">
        <v>25</v>
      </c>
      <c r="S329">
        <v>3.3</v>
      </c>
      <c r="T329">
        <v>0.08</v>
      </c>
      <c r="U329">
        <v>0.3</v>
      </c>
      <c r="V329">
        <v>1.2</v>
      </c>
      <c r="W329">
        <v>2</v>
      </c>
      <c r="X329">
        <v>0.25</v>
      </c>
      <c r="Y329">
        <v>0.67</v>
      </c>
      <c r="Z329">
        <v>0.3</v>
      </c>
      <c r="AB329">
        <v>2</v>
      </c>
      <c r="AE329">
        <v>3</v>
      </c>
      <c r="AH329">
        <v>100</v>
      </c>
      <c r="AJ329">
        <v>0</v>
      </c>
    </row>
    <row r="330" spans="1:36" x14ac:dyDescent="0.3">
      <c r="A330" t="s">
        <v>328</v>
      </c>
      <c r="B330" t="s">
        <v>256</v>
      </c>
      <c r="C330" t="s">
        <v>2</v>
      </c>
      <c r="D330">
        <v>4010</v>
      </c>
      <c r="E330">
        <v>20</v>
      </c>
      <c r="F330">
        <v>0.1</v>
      </c>
      <c r="G330">
        <v>0</v>
      </c>
      <c r="H330">
        <v>1.2</v>
      </c>
      <c r="I330">
        <v>1</v>
      </c>
      <c r="J330">
        <v>4.5</v>
      </c>
      <c r="K330">
        <v>11</v>
      </c>
      <c r="L330">
        <v>0.1</v>
      </c>
      <c r="M330">
        <v>0.3</v>
      </c>
      <c r="N330">
        <v>0.25</v>
      </c>
      <c r="O330">
        <v>1.5</v>
      </c>
      <c r="P330">
        <v>25</v>
      </c>
      <c r="S330">
        <v>3.62</v>
      </c>
      <c r="T330">
        <v>0.11</v>
      </c>
      <c r="U330">
        <v>0.26</v>
      </c>
      <c r="V330">
        <v>1.8</v>
      </c>
      <c r="W330">
        <v>2.5</v>
      </c>
      <c r="X330">
        <v>0.25</v>
      </c>
      <c r="Y330">
        <v>0.25</v>
      </c>
      <c r="Z330">
        <v>0.3</v>
      </c>
      <c r="AB330">
        <v>3</v>
      </c>
      <c r="AE330">
        <v>3</v>
      </c>
      <c r="AH330">
        <v>100</v>
      </c>
      <c r="AJ330">
        <v>0</v>
      </c>
    </row>
    <row r="331" spans="1:36" x14ac:dyDescent="0.3">
      <c r="A331" t="s">
        <v>327</v>
      </c>
      <c r="B331" t="s">
        <v>256</v>
      </c>
      <c r="C331" t="s">
        <v>2</v>
      </c>
      <c r="D331">
        <v>4015</v>
      </c>
      <c r="E331">
        <v>20</v>
      </c>
      <c r="F331">
        <v>0.2</v>
      </c>
      <c r="G331">
        <v>0</v>
      </c>
      <c r="H331">
        <v>4.76</v>
      </c>
      <c r="I331">
        <v>1</v>
      </c>
      <c r="J331">
        <v>4.5</v>
      </c>
      <c r="K331">
        <v>11</v>
      </c>
      <c r="L331">
        <v>0.1</v>
      </c>
      <c r="M331">
        <v>0.3</v>
      </c>
      <c r="N331">
        <v>0.67</v>
      </c>
      <c r="O331">
        <v>1.5</v>
      </c>
      <c r="P331">
        <v>25</v>
      </c>
      <c r="S331">
        <v>3.98</v>
      </c>
      <c r="T331">
        <v>0.32</v>
      </c>
      <c r="U331">
        <v>0.06</v>
      </c>
      <c r="V331">
        <v>1.8</v>
      </c>
      <c r="W331">
        <v>0.3</v>
      </c>
      <c r="X331">
        <v>0.25</v>
      </c>
      <c r="Y331">
        <v>0.67</v>
      </c>
      <c r="Z331">
        <v>0.3</v>
      </c>
      <c r="AB331">
        <v>3</v>
      </c>
      <c r="AE331">
        <v>3</v>
      </c>
      <c r="AH331">
        <v>100</v>
      </c>
      <c r="AJ331">
        <v>0</v>
      </c>
    </row>
    <row r="332" spans="1:36" x14ac:dyDescent="0.3">
      <c r="A332" t="s">
        <v>326</v>
      </c>
      <c r="B332" t="s">
        <v>256</v>
      </c>
      <c r="C332" t="s">
        <v>2</v>
      </c>
      <c r="D332">
        <v>4016</v>
      </c>
      <c r="E332">
        <v>20</v>
      </c>
      <c r="F332">
        <v>0</v>
      </c>
      <c r="G332">
        <v>0</v>
      </c>
      <c r="H332">
        <v>1.02</v>
      </c>
      <c r="I332">
        <v>0</v>
      </c>
      <c r="J332">
        <v>4.5</v>
      </c>
      <c r="K332">
        <v>10.199999999999999</v>
      </c>
      <c r="L332">
        <v>0.1</v>
      </c>
      <c r="M332">
        <v>0.3</v>
      </c>
      <c r="N332">
        <v>0.4</v>
      </c>
      <c r="O332">
        <v>1.5</v>
      </c>
      <c r="P332">
        <v>25</v>
      </c>
      <c r="S332">
        <v>3.13</v>
      </c>
      <c r="T332">
        <v>0.2</v>
      </c>
      <c r="U332">
        <v>0.18</v>
      </c>
      <c r="V332">
        <v>1.8</v>
      </c>
      <c r="W332">
        <v>1.8</v>
      </c>
      <c r="X332">
        <v>0.35</v>
      </c>
      <c r="Y332">
        <v>0.4</v>
      </c>
      <c r="Z332">
        <v>0.3</v>
      </c>
      <c r="AB332">
        <v>2.68</v>
      </c>
      <c r="AE332">
        <v>3</v>
      </c>
      <c r="AH332">
        <v>100</v>
      </c>
      <c r="AJ332">
        <v>0</v>
      </c>
    </row>
    <row r="333" spans="1:36" x14ac:dyDescent="0.3">
      <c r="A333" t="s">
        <v>325</v>
      </c>
      <c r="B333" t="s">
        <v>256</v>
      </c>
      <c r="C333" t="s">
        <v>2</v>
      </c>
      <c r="D333">
        <v>4017</v>
      </c>
      <c r="E333">
        <v>20</v>
      </c>
      <c r="F333">
        <v>0.2</v>
      </c>
      <c r="G333">
        <v>0</v>
      </c>
      <c r="H333">
        <v>2.78</v>
      </c>
      <c r="I333">
        <v>1</v>
      </c>
      <c r="J333">
        <v>4.5</v>
      </c>
      <c r="K333">
        <v>10</v>
      </c>
      <c r="L333">
        <v>0.1</v>
      </c>
      <c r="M333">
        <v>0.3</v>
      </c>
      <c r="N333">
        <v>0.67</v>
      </c>
      <c r="O333">
        <v>1.5</v>
      </c>
      <c r="P333">
        <v>25</v>
      </c>
      <c r="S333">
        <v>2.93</v>
      </c>
      <c r="T333">
        <v>0.22</v>
      </c>
      <c r="U333">
        <v>1.06</v>
      </c>
      <c r="V333">
        <v>1.2</v>
      </c>
      <c r="W333">
        <v>2.5</v>
      </c>
      <c r="X333">
        <v>0.25</v>
      </c>
      <c r="Y333">
        <v>0.67</v>
      </c>
      <c r="Z333">
        <v>0.3</v>
      </c>
      <c r="AB333">
        <v>2.5099999999999998</v>
      </c>
      <c r="AE333">
        <v>3</v>
      </c>
      <c r="AH333">
        <v>100</v>
      </c>
      <c r="AJ333">
        <v>0</v>
      </c>
    </row>
    <row r="334" spans="1:36" x14ac:dyDescent="0.3">
      <c r="A334" t="s">
        <v>324</v>
      </c>
      <c r="B334" t="s">
        <v>256</v>
      </c>
      <c r="C334" t="s">
        <v>2</v>
      </c>
      <c r="D334">
        <v>4024</v>
      </c>
      <c r="E334">
        <v>20</v>
      </c>
      <c r="F334">
        <v>7.0000000000000007E-2</v>
      </c>
      <c r="G334">
        <v>0</v>
      </c>
      <c r="H334">
        <v>2.5299999999999998</v>
      </c>
      <c r="I334">
        <v>1</v>
      </c>
      <c r="J334">
        <v>4.5</v>
      </c>
      <c r="K334">
        <v>11</v>
      </c>
      <c r="L334">
        <v>0.1</v>
      </c>
      <c r="M334">
        <v>0.3</v>
      </c>
      <c r="N334">
        <v>0.67</v>
      </c>
      <c r="O334">
        <v>1.5</v>
      </c>
      <c r="P334">
        <v>25</v>
      </c>
      <c r="S334">
        <v>3.36</v>
      </c>
      <c r="T334">
        <v>0.1</v>
      </c>
      <c r="U334">
        <v>0.49</v>
      </c>
      <c r="V334">
        <v>0.6</v>
      </c>
      <c r="W334">
        <v>2.4</v>
      </c>
      <c r="X334">
        <v>0.25</v>
      </c>
      <c r="Y334">
        <v>0.67</v>
      </c>
      <c r="Z334">
        <v>0.3</v>
      </c>
      <c r="AB334">
        <v>2.88</v>
      </c>
      <c r="AE334">
        <v>3</v>
      </c>
      <c r="AH334">
        <v>100</v>
      </c>
      <c r="AJ334">
        <v>0</v>
      </c>
    </row>
    <row r="335" spans="1:36" x14ac:dyDescent="0.3">
      <c r="A335" t="s">
        <v>323</v>
      </c>
      <c r="B335" t="s">
        <v>256</v>
      </c>
      <c r="C335" t="s">
        <v>2</v>
      </c>
      <c r="D335">
        <v>4025</v>
      </c>
      <c r="E335">
        <v>20</v>
      </c>
      <c r="F335">
        <v>0</v>
      </c>
      <c r="G335">
        <v>0</v>
      </c>
      <c r="H335">
        <v>0.51</v>
      </c>
      <c r="I335">
        <v>0</v>
      </c>
      <c r="J335">
        <v>4.5</v>
      </c>
      <c r="K335">
        <v>5.4</v>
      </c>
      <c r="L335">
        <v>0.1</v>
      </c>
      <c r="M335">
        <v>0.3</v>
      </c>
      <c r="N335">
        <v>0.4</v>
      </c>
      <c r="O335">
        <v>1.5</v>
      </c>
      <c r="P335">
        <v>25</v>
      </c>
      <c r="S335">
        <v>2.66</v>
      </c>
      <c r="T335">
        <v>0.1</v>
      </c>
      <c r="U335">
        <v>0.28999999999999998</v>
      </c>
      <c r="V335">
        <v>0.8</v>
      </c>
      <c r="W335">
        <v>3.1</v>
      </c>
      <c r="X335">
        <v>0.35</v>
      </c>
      <c r="Y335">
        <v>0.4</v>
      </c>
      <c r="Z335">
        <v>0.3</v>
      </c>
      <c r="AB335">
        <v>2.2799999999999998</v>
      </c>
      <c r="AE335">
        <v>3</v>
      </c>
      <c r="AH335">
        <v>100</v>
      </c>
      <c r="AJ335">
        <v>0</v>
      </c>
    </row>
    <row r="336" spans="1:36" x14ac:dyDescent="0.3">
      <c r="A336" t="s">
        <v>2</v>
      </c>
      <c r="B336" t="s">
        <v>256</v>
      </c>
      <c r="C336" t="s">
        <v>2</v>
      </c>
      <c r="D336">
        <v>4100</v>
      </c>
      <c r="E336">
        <v>20</v>
      </c>
      <c r="F336">
        <v>0</v>
      </c>
      <c r="G336">
        <v>0</v>
      </c>
      <c r="H336">
        <v>0</v>
      </c>
      <c r="I336">
        <v>5</v>
      </c>
      <c r="J336">
        <v>4.5</v>
      </c>
      <c r="K336">
        <v>11</v>
      </c>
      <c r="L336">
        <v>0.1</v>
      </c>
      <c r="M336">
        <v>0.3</v>
      </c>
      <c r="N336">
        <v>0.3</v>
      </c>
      <c r="O336">
        <v>1.5</v>
      </c>
      <c r="P336">
        <v>25</v>
      </c>
      <c r="S336">
        <v>3.5</v>
      </c>
      <c r="T336">
        <v>0</v>
      </c>
      <c r="U336">
        <v>0</v>
      </c>
      <c r="V336">
        <v>2</v>
      </c>
      <c r="W336">
        <v>2.5</v>
      </c>
      <c r="X336">
        <v>0.2</v>
      </c>
      <c r="Y336">
        <v>0.2</v>
      </c>
      <c r="Z336">
        <v>0.3</v>
      </c>
      <c r="AB336">
        <v>3</v>
      </c>
      <c r="AE336">
        <v>3</v>
      </c>
      <c r="AH336">
        <v>100</v>
      </c>
      <c r="AJ336">
        <v>0</v>
      </c>
    </row>
    <row r="337" spans="1:36" x14ac:dyDescent="0.3">
      <c r="A337" t="s">
        <v>322</v>
      </c>
      <c r="B337" t="s">
        <v>256</v>
      </c>
      <c r="C337" t="s">
        <v>2</v>
      </c>
      <c r="D337">
        <v>6101</v>
      </c>
      <c r="E337">
        <v>30</v>
      </c>
      <c r="F337">
        <v>0</v>
      </c>
      <c r="G337">
        <v>0</v>
      </c>
      <c r="H337">
        <v>1</v>
      </c>
      <c r="I337">
        <v>5</v>
      </c>
      <c r="J337">
        <v>4.5</v>
      </c>
      <c r="K337">
        <v>11</v>
      </c>
      <c r="L337">
        <v>0.1</v>
      </c>
      <c r="M337">
        <v>1</v>
      </c>
      <c r="N337">
        <v>0.2</v>
      </c>
      <c r="O337">
        <v>0.5</v>
      </c>
      <c r="P337">
        <v>20</v>
      </c>
      <c r="S337">
        <v>3</v>
      </c>
      <c r="T337">
        <v>0</v>
      </c>
      <c r="U337">
        <v>0.5</v>
      </c>
      <c r="V337">
        <v>2</v>
      </c>
      <c r="W337">
        <v>3</v>
      </c>
      <c r="X337">
        <v>0.2</v>
      </c>
      <c r="Y337">
        <v>0.15</v>
      </c>
      <c r="Z337">
        <v>0.3</v>
      </c>
      <c r="AB337">
        <v>3</v>
      </c>
      <c r="AE337">
        <v>3</v>
      </c>
      <c r="AH337">
        <v>100</v>
      </c>
      <c r="AJ337">
        <v>1</v>
      </c>
    </row>
    <row r="338" spans="1:36" x14ac:dyDescent="0.3">
      <c r="A338" t="s">
        <v>321</v>
      </c>
      <c r="B338" t="s">
        <v>256</v>
      </c>
      <c r="C338" t="s">
        <v>2</v>
      </c>
      <c r="D338">
        <v>6102</v>
      </c>
      <c r="E338">
        <v>30</v>
      </c>
      <c r="F338">
        <v>0</v>
      </c>
      <c r="G338">
        <v>0</v>
      </c>
      <c r="H338">
        <v>2</v>
      </c>
      <c r="I338">
        <v>5</v>
      </c>
      <c r="J338">
        <v>4.5</v>
      </c>
      <c r="K338">
        <v>11</v>
      </c>
      <c r="L338">
        <v>0.1</v>
      </c>
      <c r="M338">
        <v>1</v>
      </c>
      <c r="N338">
        <v>0.25</v>
      </c>
      <c r="O338">
        <v>0.5</v>
      </c>
      <c r="P338">
        <v>25</v>
      </c>
      <c r="S338">
        <v>3.5</v>
      </c>
      <c r="T338">
        <v>0</v>
      </c>
      <c r="U338">
        <v>0.5</v>
      </c>
      <c r="V338">
        <v>2.5</v>
      </c>
      <c r="W338">
        <v>3</v>
      </c>
      <c r="X338">
        <v>0.2</v>
      </c>
      <c r="Y338">
        <v>0.15</v>
      </c>
      <c r="Z338">
        <v>0.3</v>
      </c>
      <c r="AB338">
        <v>3</v>
      </c>
      <c r="AE338">
        <v>3</v>
      </c>
      <c r="AH338">
        <v>100</v>
      </c>
      <c r="AJ338">
        <v>1</v>
      </c>
    </row>
    <row r="339" spans="1:36" x14ac:dyDescent="0.3">
      <c r="A339" t="s">
        <v>320</v>
      </c>
      <c r="B339" t="s">
        <v>256</v>
      </c>
      <c r="C339" t="s">
        <v>2</v>
      </c>
      <c r="D339">
        <v>6103</v>
      </c>
      <c r="E339">
        <v>30</v>
      </c>
      <c r="F339">
        <v>0</v>
      </c>
      <c r="G339">
        <v>0</v>
      </c>
      <c r="H339">
        <v>2</v>
      </c>
      <c r="I339">
        <v>5</v>
      </c>
      <c r="J339">
        <v>4.5</v>
      </c>
      <c r="K339">
        <v>11</v>
      </c>
      <c r="L339">
        <v>0.1</v>
      </c>
      <c r="M339">
        <v>1</v>
      </c>
      <c r="N339">
        <v>0.35</v>
      </c>
      <c r="O339">
        <v>1.8</v>
      </c>
      <c r="P339">
        <v>30</v>
      </c>
      <c r="S339">
        <v>3.5</v>
      </c>
      <c r="T339">
        <v>0</v>
      </c>
      <c r="U339">
        <v>0.75</v>
      </c>
      <c r="V339">
        <v>3</v>
      </c>
      <c r="W339">
        <v>4</v>
      </c>
      <c r="X339">
        <v>0.2</v>
      </c>
      <c r="Y339">
        <v>0.2</v>
      </c>
      <c r="Z339">
        <v>0.3</v>
      </c>
      <c r="AB339">
        <v>3</v>
      </c>
      <c r="AE339">
        <v>3.5</v>
      </c>
      <c r="AH339">
        <v>100</v>
      </c>
      <c r="AJ339">
        <v>1</v>
      </c>
    </row>
    <row r="340" spans="1:36" x14ac:dyDescent="0.3">
      <c r="A340" t="s">
        <v>319</v>
      </c>
      <c r="B340" t="s">
        <v>256</v>
      </c>
      <c r="C340" t="s">
        <v>2</v>
      </c>
      <c r="D340">
        <v>6105</v>
      </c>
      <c r="E340">
        <v>20</v>
      </c>
      <c r="F340">
        <v>0</v>
      </c>
      <c r="G340">
        <v>0</v>
      </c>
      <c r="H340">
        <v>0.9</v>
      </c>
      <c r="I340">
        <v>4.5</v>
      </c>
      <c r="J340">
        <v>4.5</v>
      </c>
      <c r="K340">
        <v>10.8</v>
      </c>
      <c r="L340">
        <v>0.1</v>
      </c>
      <c r="M340">
        <v>1</v>
      </c>
      <c r="N340">
        <v>0.2</v>
      </c>
      <c r="O340">
        <v>0.5</v>
      </c>
      <c r="P340">
        <v>20</v>
      </c>
      <c r="S340">
        <v>2.7</v>
      </c>
      <c r="T340">
        <v>0</v>
      </c>
      <c r="U340">
        <v>0.5</v>
      </c>
      <c r="V340">
        <v>1.8</v>
      </c>
      <c r="W340">
        <v>2.7</v>
      </c>
      <c r="X340">
        <v>0.2</v>
      </c>
      <c r="Y340">
        <v>0.15</v>
      </c>
      <c r="Z340">
        <v>0.3</v>
      </c>
      <c r="AB340">
        <v>2.7</v>
      </c>
      <c r="AE340">
        <v>3</v>
      </c>
      <c r="AH340">
        <v>100</v>
      </c>
      <c r="AJ340">
        <v>0</v>
      </c>
    </row>
    <row r="341" spans="1:36" x14ac:dyDescent="0.3">
      <c r="A341" t="s">
        <v>318</v>
      </c>
      <c r="B341" t="s">
        <v>256</v>
      </c>
      <c r="C341" t="s">
        <v>2</v>
      </c>
      <c r="D341">
        <v>6106</v>
      </c>
      <c r="E341">
        <v>20</v>
      </c>
      <c r="F341">
        <v>0</v>
      </c>
      <c r="G341">
        <v>0</v>
      </c>
      <c r="H341">
        <v>0.9</v>
      </c>
      <c r="I341">
        <v>4.5</v>
      </c>
      <c r="J341">
        <v>4.5</v>
      </c>
      <c r="K341">
        <v>10.8</v>
      </c>
      <c r="L341">
        <v>0.1</v>
      </c>
      <c r="M341">
        <v>1</v>
      </c>
      <c r="N341">
        <v>0.2</v>
      </c>
      <c r="O341">
        <v>0.5</v>
      </c>
      <c r="P341">
        <v>20</v>
      </c>
      <c r="S341">
        <v>2.7</v>
      </c>
      <c r="T341">
        <v>0</v>
      </c>
      <c r="U341">
        <v>0.5</v>
      </c>
      <c r="V341">
        <v>1.8</v>
      </c>
      <c r="W341">
        <v>2.7</v>
      </c>
      <c r="X341">
        <v>0.2</v>
      </c>
      <c r="Y341">
        <v>0.15</v>
      </c>
      <c r="Z341">
        <v>0.3</v>
      </c>
      <c r="AB341">
        <v>2.7</v>
      </c>
      <c r="AE341">
        <v>3</v>
      </c>
      <c r="AH341">
        <v>100</v>
      </c>
      <c r="AJ341">
        <v>0</v>
      </c>
    </row>
    <row r="342" spans="1:36" x14ac:dyDescent="0.3">
      <c r="A342" t="s">
        <v>317</v>
      </c>
      <c r="B342" t="s">
        <v>256</v>
      </c>
      <c r="C342" t="s">
        <v>2</v>
      </c>
      <c r="D342">
        <v>6112</v>
      </c>
      <c r="E342">
        <v>13</v>
      </c>
      <c r="F342">
        <v>0</v>
      </c>
      <c r="G342">
        <v>0</v>
      </c>
      <c r="H342">
        <v>0.5</v>
      </c>
      <c r="I342">
        <v>2.5</v>
      </c>
      <c r="J342">
        <v>4.5</v>
      </c>
      <c r="K342">
        <v>6</v>
      </c>
      <c r="L342">
        <v>0.1</v>
      </c>
      <c r="M342">
        <v>1</v>
      </c>
      <c r="N342">
        <v>0.2</v>
      </c>
      <c r="O342">
        <v>1.6</v>
      </c>
      <c r="P342">
        <v>20</v>
      </c>
      <c r="S342">
        <v>1.7</v>
      </c>
      <c r="T342">
        <v>0</v>
      </c>
      <c r="U342">
        <v>0.25</v>
      </c>
      <c r="V342">
        <v>1</v>
      </c>
      <c r="W342">
        <v>1.5</v>
      </c>
      <c r="X342">
        <v>0.2</v>
      </c>
      <c r="Y342">
        <v>0.15</v>
      </c>
      <c r="Z342">
        <v>0.3</v>
      </c>
      <c r="AB342">
        <v>0.9</v>
      </c>
      <c r="AE342">
        <v>2.5</v>
      </c>
      <c r="AH342">
        <v>100</v>
      </c>
      <c r="AJ342">
        <v>0</v>
      </c>
    </row>
    <row r="343" spans="1:36" x14ac:dyDescent="0.3">
      <c r="A343" t="s">
        <v>316</v>
      </c>
      <c r="B343" t="s">
        <v>256</v>
      </c>
      <c r="C343" t="s">
        <v>2</v>
      </c>
      <c r="D343">
        <v>6150</v>
      </c>
      <c r="E343">
        <v>20</v>
      </c>
      <c r="F343">
        <v>0</v>
      </c>
      <c r="G343">
        <v>0</v>
      </c>
      <c r="H343">
        <v>0.5</v>
      </c>
      <c r="I343">
        <v>2</v>
      </c>
      <c r="J343">
        <v>4.5</v>
      </c>
      <c r="K343">
        <v>11</v>
      </c>
      <c r="L343">
        <v>0.1</v>
      </c>
      <c r="M343">
        <v>0.3</v>
      </c>
      <c r="N343">
        <v>0.3</v>
      </c>
      <c r="O343">
        <v>1.5</v>
      </c>
      <c r="P343">
        <v>20</v>
      </c>
      <c r="S343">
        <v>2.5</v>
      </c>
      <c r="T343">
        <v>0</v>
      </c>
      <c r="U343">
        <v>0.25</v>
      </c>
      <c r="V343">
        <v>1</v>
      </c>
      <c r="W343">
        <v>2.5</v>
      </c>
      <c r="X343">
        <v>0.2</v>
      </c>
      <c r="Y343">
        <v>0.2</v>
      </c>
      <c r="Z343">
        <v>0.3</v>
      </c>
      <c r="AB343">
        <v>1</v>
      </c>
      <c r="AE343">
        <v>5</v>
      </c>
      <c r="AH343">
        <v>100</v>
      </c>
      <c r="AJ343">
        <v>1</v>
      </c>
    </row>
    <row r="344" spans="1:36" x14ac:dyDescent="0.3">
      <c r="A344" t="s">
        <v>315</v>
      </c>
      <c r="B344" t="s">
        <v>256</v>
      </c>
      <c r="C344" t="s">
        <v>2</v>
      </c>
      <c r="D344">
        <v>2101</v>
      </c>
      <c r="E344">
        <v>25</v>
      </c>
      <c r="F344">
        <v>1</v>
      </c>
      <c r="G344">
        <v>0</v>
      </c>
      <c r="H344">
        <v>1</v>
      </c>
      <c r="I344">
        <v>2.4300000000000002</v>
      </c>
      <c r="J344">
        <v>4.5</v>
      </c>
      <c r="K344">
        <v>11</v>
      </c>
      <c r="L344">
        <v>0.1</v>
      </c>
      <c r="M344">
        <v>1</v>
      </c>
      <c r="N344">
        <v>0.3</v>
      </c>
      <c r="O344">
        <v>1.3</v>
      </c>
      <c r="P344">
        <v>25</v>
      </c>
      <c r="S344">
        <v>2.8</v>
      </c>
      <c r="T344">
        <v>0.1</v>
      </c>
      <c r="U344">
        <v>0</v>
      </c>
      <c r="V344">
        <v>2</v>
      </c>
      <c r="W344">
        <v>1</v>
      </c>
      <c r="X344">
        <v>0.2</v>
      </c>
      <c r="Y344">
        <v>0.3</v>
      </c>
      <c r="Z344">
        <v>0.3</v>
      </c>
      <c r="AB344">
        <v>2.7</v>
      </c>
      <c r="AE344">
        <v>3</v>
      </c>
      <c r="AH344">
        <v>100</v>
      </c>
      <c r="AJ344">
        <v>1</v>
      </c>
    </row>
    <row r="345" spans="1:36" x14ac:dyDescent="0.3">
      <c r="A345" t="s">
        <v>314</v>
      </c>
      <c r="B345" t="s">
        <v>256</v>
      </c>
      <c r="C345" t="s">
        <v>2</v>
      </c>
      <c r="D345">
        <v>2102</v>
      </c>
      <c r="E345">
        <v>25</v>
      </c>
      <c r="F345">
        <v>0.67</v>
      </c>
      <c r="G345">
        <v>0</v>
      </c>
      <c r="H345">
        <v>1</v>
      </c>
      <c r="I345">
        <v>1.67</v>
      </c>
      <c r="J345">
        <v>4.5</v>
      </c>
      <c r="K345">
        <v>11</v>
      </c>
      <c r="L345">
        <v>0.1</v>
      </c>
      <c r="M345">
        <v>1</v>
      </c>
      <c r="N345">
        <v>0.3</v>
      </c>
      <c r="O345">
        <v>1.3</v>
      </c>
      <c r="P345">
        <v>25</v>
      </c>
      <c r="S345">
        <v>2.8</v>
      </c>
      <c r="T345">
        <v>0.1</v>
      </c>
      <c r="U345">
        <v>0</v>
      </c>
      <c r="V345">
        <v>2</v>
      </c>
      <c r="W345">
        <v>1</v>
      </c>
      <c r="X345">
        <v>0.2</v>
      </c>
      <c r="Y345">
        <v>0.3</v>
      </c>
      <c r="Z345">
        <v>0.3</v>
      </c>
      <c r="AB345">
        <v>2.7</v>
      </c>
      <c r="AE345">
        <v>3</v>
      </c>
      <c r="AH345">
        <v>100</v>
      </c>
      <c r="AJ345">
        <v>0</v>
      </c>
    </row>
    <row r="346" spans="1:36" x14ac:dyDescent="0.3">
      <c r="A346" t="s">
        <v>313</v>
      </c>
      <c r="B346" t="s">
        <v>256</v>
      </c>
      <c r="C346" t="s">
        <v>2</v>
      </c>
      <c r="D346">
        <v>2103</v>
      </c>
      <c r="E346">
        <v>25</v>
      </c>
      <c r="F346">
        <v>0.55000000000000004</v>
      </c>
      <c r="G346">
        <v>0</v>
      </c>
      <c r="H346">
        <v>0.5</v>
      </c>
      <c r="I346">
        <v>1.45</v>
      </c>
      <c r="J346">
        <v>2.2999999999999998</v>
      </c>
      <c r="K346">
        <v>5.5</v>
      </c>
      <c r="L346">
        <v>0.1</v>
      </c>
      <c r="M346">
        <v>1</v>
      </c>
      <c r="N346">
        <v>0.25</v>
      </c>
      <c r="O346">
        <v>1.3</v>
      </c>
      <c r="P346">
        <v>25</v>
      </c>
      <c r="S346">
        <v>2.1</v>
      </c>
      <c r="T346">
        <v>0.1</v>
      </c>
      <c r="U346">
        <v>0</v>
      </c>
      <c r="V346">
        <v>1</v>
      </c>
      <c r="W346">
        <v>0.5</v>
      </c>
      <c r="X346">
        <v>0.2</v>
      </c>
      <c r="Y346">
        <v>0.25</v>
      </c>
      <c r="Z346">
        <v>0.3</v>
      </c>
      <c r="AB346">
        <v>1.8</v>
      </c>
      <c r="AE346">
        <v>2.5</v>
      </c>
      <c r="AH346">
        <v>100</v>
      </c>
      <c r="AJ346">
        <v>0</v>
      </c>
    </row>
    <row r="347" spans="1:36" x14ac:dyDescent="0.3">
      <c r="A347" t="s">
        <v>300</v>
      </c>
      <c r="B347" t="s">
        <v>256</v>
      </c>
      <c r="C347" t="s">
        <v>2</v>
      </c>
      <c r="D347">
        <v>2105</v>
      </c>
      <c r="E347">
        <v>20</v>
      </c>
      <c r="F347">
        <v>1</v>
      </c>
      <c r="G347">
        <v>0</v>
      </c>
      <c r="H347">
        <v>1</v>
      </c>
      <c r="I347">
        <v>2.5499999999999998</v>
      </c>
      <c r="J347">
        <v>5.8</v>
      </c>
      <c r="K347">
        <v>11</v>
      </c>
      <c r="L347">
        <v>0.1</v>
      </c>
      <c r="M347">
        <v>1</v>
      </c>
      <c r="N347">
        <v>0.15</v>
      </c>
      <c r="O347">
        <v>0.9</v>
      </c>
      <c r="P347">
        <v>18</v>
      </c>
      <c r="S347">
        <v>2.8</v>
      </c>
      <c r="T347">
        <v>0.3</v>
      </c>
      <c r="U347">
        <v>0</v>
      </c>
      <c r="V347">
        <v>2</v>
      </c>
      <c r="W347">
        <v>1</v>
      </c>
      <c r="X347">
        <v>0.15</v>
      </c>
      <c r="Y347">
        <v>0.15</v>
      </c>
      <c r="Z347">
        <v>0.3</v>
      </c>
      <c r="AB347">
        <v>2.8</v>
      </c>
      <c r="AE347">
        <v>3</v>
      </c>
      <c r="AH347">
        <v>100</v>
      </c>
      <c r="AJ347">
        <v>1</v>
      </c>
    </row>
    <row r="348" spans="1:36" x14ac:dyDescent="0.3">
      <c r="A348" t="s">
        <v>312</v>
      </c>
      <c r="B348" t="s">
        <v>256</v>
      </c>
      <c r="C348" t="s">
        <v>2</v>
      </c>
      <c r="D348">
        <v>2106</v>
      </c>
      <c r="E348">
        <v>25</v>
      </c>
      <c r="F348">
        <v>0.14000000000000001</v>
      </c>
      <c r="G348">
        <v>0</v>
      </c>
      <c r="H348">
        <v>1</v>
      </c>
      <c r="I348">
        <v>0.86</v>
      </c>
      <c r="J348">
        <v>4.5</v>
      </c>
      <c r="K348">
        <v>11</v>
      </c>
      <c r="L348">
        <v>0.1</v>
      </c>
      <c r="M348">
        <v>1</v>
      </c>
      <c r="N348">
        <v>0.16</v>
      </c>
      <c r="O348">
        <v>1.3</v>
      </c>
      <c r="P348">
        <v>25</v>
      </c>
      <c r="S348">
        <v>2.8</v>
      </c>
      <c r="T348">
        <v>0.3</v>
      </c>
      <c r="U348">
        <v>0</v>
      </c>
      <c r="V348">
        <v>2.5</v>
      </c>
      <c r="W348">
        <v>0.5</v>
      </c>
      <c r="X348">
        <v>0.15</v>
      </c>
      <c r="Y348">
        <v>0.16</v>
      </c>
      <c r="Z348">
        <v>0.3</v>
      </c>
      <c r="AB348">
        <v>2.7</v>
      </c>
      <c r="AE348">
        <v>3</v>
      </c>
      <c r="AH348">
        <v>100</v>
      </c>
      <c r="AJ348">
        <v>0</v>
      </c>
    </row>
    <row r="349" spans="1:36" x14ac:dyDescent="0.3">
      <c r="A349" t="s">
        <v>311</v>
      </c>
      <c r="B349" t="s">
        <v>256</v>
      </c>
      <c r="C349" t="s">
        <v>2</v>
      </c>
      <c r="D349">
        <v>2108</v>
      </c>
      <c r="E349">
        <v>35</v>
      </c>
      <c r="F349">
        <v>0.56000000000000005</v>
      </c>
      <c r="G349">
        <v>0</v>
      </c>
      <c r="H349">
        <v>1</v>
      </c>
      <c r="I349">
        <v>1.67</v>
      </c>
      <c r="J349">
        <v>4.5</v>
      </c>
      <c r="K349">
        <v>6.5</v>
      </c>
      <c r="L349">
        <v>0.1</v>
      </c>
      <c r="M349">
        <v>1</v>
      </c>
      <c r="N349">
        <v>0.45</v>
      </c>
      <c r="O349">
        <v>1.8</v>
      </c>
      <c r="P349">
        <v>16</v>
      </c>
      <c r="S349">
        <v>3</v>
      </c>
      <c r="T349">
        <v>0.1</v>
      </c>
      <c r="U349">
        <v>0</v>
      </c>
      <c r="V349">
        <v>2</v>
      </c>
      <c r="W349">
        <v>1.5</v>
      </c>
      <c r="X349">
        <v>0.3</v>
      </c>
      <c r="Y349">
        <v>0.45</v>
      </c>
      <c r="Z349">
        <v>0.3</v>
      </c>
      <c r="AB349">
        <v>3.2</v>
      </c>
      <c r="AE349">
        <v>3</v>
      </c>
      <c r="AH349">
        <v>100</v>
      </c>
      <c r="AJ349">
        <v>0</v>
      </c>
    </row>
    <row r="350" spans="1:36" x14ac:dyDescent="0.3">
      <c r="A350" t="s">
        <v>299</v>
      </c>
      <c r="B350" t="s">
        <v>256</v>
      </c>
      <c r="C350" t="s">
        <v>2</v>
      </c>
      <c r="D350">
        <v>2109</v>
      </c>
      <c r="E350">
        <v>15</v>
      </c>
      <c r="F350">
        <v>0.5</v>
      </c>
      <c r="G350">
        <v>0</v>
      </c>
      <c r="H350">
        <v>2</v>
      </c>
      <c r="I350">
        <v>1</v>
      </c>
      <c r="J350">
        <v>4.5</v>
      </c>
      <c r="K350">
        <v>9</v>
      </c>
      <c r="L350">
        <v>0.1</v>
      </c>
      <c r="M350">
        <v>1</v>
      </c>
      <c r="N350">
        <v>0.3</v>
      </c>
      <c r="O350">
        <v>1.3</v>
      </c>
      <c r="P350">
        <v>25</v>
      </c>
      <c r="S350">
        <v>2.6</v>
      </c>
      <c r="T350">
        <v>0.1</v>
      </c>
      <c r="U350">
        <v>0</v>
      </c>
      <c r="V350">
        <v>1</v>
      </c>
      <c r="W350">
        <v>1</v>
      </c>
      <c r="X350">
        <v>0.2</v>
      </c>
      <c r="Y350">
        <v>0.3</v>
      </c>
      <c r="Z350">
        <v>0.3</v>
      </c>
      <c r="AB350">
        <v>2.8</v>
      </c>
      <c r="AE350">
        <v>2.5</v>
      </c>
      <c r="AH350">
        <v>100</v>
      </c>
      <c r="AJ350">
        <v>1</v>
      </c>
    </row>
    <row r="351" spans="1:36" s="136" customFormat="1" x14ac:dyDescent="0.3">
      <c r="A351" s="136" t="s">
        <v>310</v>
      </c>
      <c r="B351" s="136" t="s">
        <v>256</v>
      </c>
      <c r="C351" s="136" t="s">
        <v>2</v>
      </c>
      <c r="D351" s="136">
        <v>2111</v>
      </c>
      <c r="E351" s="136">
        <v>25</v>
      </c>
      <c r="F351" s="136">
        <v>0.88</v>
      </c>
      <c r="G351" s="136">
        <v>0</v>
      </c>
      <c r="H351" s="136">
        <v>1.7</v>
      </c>
      <c r="I351" s="136">
        <v>2.5</v>
      </c>
      <c r="J351" s="136">
        <v>3.5</v>
      </c>
      <c r="K351" s="136">
        <v>11</v>
      </c>
      <c r="L351" s="136">
        <v>0.1</v>
      </c>
      <c r="M351" s="136">
        <v>1</v>
      </c>
      <c r="N351" s="136">
        <v>0.17</v>
      </c>
      <c r="O351" s="136">
        <v>2.2000000000000002</v>
      </c>
      <c r="P351" s="136">
        <v>25</v>
      </c>
      <c r="S351" s="136">
        <v>3.5</v>
      </c>
      <c r="T351" s="136">
        <v>0.7</v>
      </c>
      <c r="U351" s="136">
        <v>0</v>
      </c>
      <c r="V351" s="136">
        <v>2.5</v>
      </c>
      <c r="W351" s="136">
        <v>1.9</v>
      </c>
      <c r="X351" s="136">
        <v>0.2</v>
      </c>
      <c r="Y351" s="136">
        <v>0.17</v>
      </c>
      <c r="Z351" s="136">
        <v>0.3</v>
      </c>
      <c r="AB351" s="136">
        <v>3</v>
      </c>
      <c r="AE351" s="136">
        <v>3.5</v>
      </c>
      <c r="AH351" s="136">
        <v>100</v>
      </c>
      <c r="AJ351" s="136">
        <v>0</v>
      </c>
    </row>
    <row r="352" spans="1:36" x14ac:dyDescent="0.3">
      <c r="A352" t="s">
        <v>309</v>
      </c>
      <c r="B352" t="s">
        <v>256</v>
      </c>
      <c r="C352" t="s">
        <v>2</v>
      </c>
      <c r="D352">
        <v>2112</v>
      </c>
      <c r="E352">
        <v>35</v>
      </c>
      <c r="F352">
        <v>0.8</v>
      </c>
      <c r="G352">
        <v>0</v>
      </c>
      <c r="H352">
        <v>1</v>
      </c>
      <c r="I352">
        <v>2.2000000000000002</v>
      </c>
      <c r="J352">
        <v>8.4</v>
      </c>
      <c r="K352">
        <v>11</v>
      </c>
      <c r="L352">
        <v>0.1</v>
      </c>
      <c r="M352">
        <v>1</v>
      </c>
      <c r="N352">
        <v>0.32</v>
      </c>
      <c r="O352">
        <v>1.3</v>
      </c>
      <c r="P352">
        <v>25</v>
      </c>
      <c r="S352">
        <v>3.6</v>
      </c>
      <c r="T352">
        <v>0.5</v>
      </c>
      <c r="U352">
        <v>0</v>
      </c>
      <c r="V352">
        <v>2.5</v>
      </c>
      <c r="W352">
        <v>1</v>
      </c>
      <c r="X352">
        <v>0.25</v>
      </c>
      <c r="Y352">
        <v>0.32</v>
      </c>
      <c r="Z352">
        <v>0.3</v>
      </c>
      <c r="AB352">
        <v>3</v>
      </c>
      <c r="AE352">
        <v>3.5</v>
      </c>
      <c r="AH352">
        <v>100</v>
      </c>
      <c r="AJ352">
        <v>1</v>
      </c>
    </row>
    <row r="353" spans="1:36" x14ac:dyDescent="0.3">
      <c r="A353" t="s">
        <v>308</v>
      </c>
      <c r="B353" t="s">
        <v>256</v>
      </c>
      <c r="C353" t="s">
        <v>2</v>
      </c>
      <c r="D353">
        <v>2113</v>
      </c>
      <c r="E353">
        <v>30</v>
      </c>
      <c r="F353">
        <v>1.2</v>
      </c>
      <c r="G353">
        <v>0</v>
      </c>
      <c r="H353">
        <v>1</v>
      </c>
      <c r="I353">
        <v>3.4</v>
      </c>
      <c r="J353">
        <v>2.7</v>
      </c>
      <c r="K353">
        <v>10</v>
      </c>
      <c r="L353">
        <v>0.1</v>
      </c>
      <c r="M353">
        <v>1</v>
      </c>
      <c r="N353">
        <v>0.19</v>
      </c>
      <c r="O353">
        <v>1.7</v>
      </c>
      <c r="P353">
        <v>25</v>
      </c>
      <c r="S353">
        <v>3.4</v>
      </c>
      <c r="T353">
        <v>0.7</v>
      </c>
      <c r="U353">
        <v>0</v>
      </c>
      <c r="V353">
        <v>2</v>
      </c>
      <c r="W353">
        <v>2</v>
      </c>
      <c r="X353">
        <v>0.19</v>
      </c>
      <c r="Y353">
        <v>0.19</v>
      </c>
      <c r="Z353">
        <v>0.3</v>
      </c>
      <c r="AB353">
        <v>3.1</v>
      </c>
      <c r="AE353">
        <v>3.5</v>
      </c>
      <c r="AH353">
        <v>100</v>
      </c>
      <c r="AJ353">
        <v>1</v>
      </c>
    </row>
    <row r="354" spans="1:36" x14ac:dyDescent="0.3">
      <c r="A354" t="s">
        <v>307</v>
      </c>
      <c r="B354" t="s">
        <v>256</v>
      </c>
      <c r="C354" t="s">
        <v>2</v>
      </c>
      <c r="D354">
        <v>2114</v>
      </c>
      <c r="E354">
        <v>25</v>
      </c>
      <c r="F354">
        <v>0.92</v>
      </c>
      <c r="G354">
        <v>0</v>
      </c>
      <c r="H354">
        <v>1.7</v>
      </c>
      <c r="I354">
        <v>2.62</v>
      </c>
      <c r="J354">
        <v>3.5</v>
      </c>
      <c r="K354">
        <v>11</v>
      </c>
      <c r="L354">
        <v>0.1</v>
      </c>
      <c r="M354">
        <v>1</v>
      </c>
      <c r="N354">
        <v>0.17</v>
      </c>
      <c r="O354">
        <v>1.3</v>
      </c>
      <c r="P354">
        <v>25</v>
      </c>
      <c r="S354">
        <v>2.8</v>
      </c>
      <c r="T354">
        <v>0.7</v>
      </c>
      <c r="U354">
        <v>0</v>
      </c>
      <c r="V354">
        <v>2.5</v>
      </c>
      <c r="W354">
        <v>1.9</v>
      </c>
      <c r="X354">
        <v>0.2</v>
      </c>
      <c r="Y354">
        <v>0.17</v>
      </c>
      <c r="Z354">
        <v>0.3</v>
      </c>
      <c r="AB354">
        <v>2.9</v>
      </c>
      <c r="AE354">
        <v>3.5</v>
      </c>
      <c r="AH354">
        <v>100</v>
      </c>
      <c r="AJ354">
        <v>1</v>
      </c>
    </row>
    <row r="355" spans="1:36" x14ac:dyDescent="0.3">
      <c r="A355" t="s">
        <v>306</v>
      </c>
      <c r="B355" t="s">
        <v>256</v>
      </c>
      <c r="C355" t="s">
        <v>2</v>
      </c>
      <c r="D355">
        <v>2170</v>
      </c>
      <c r="E355">
        <v>20</v>
      </c>
      <c r="F355">
        <v>0</v>
      </c>
      <c r="G355">
        <v>0</v>
      </c>
      <c r="H355">
        <v>0</v>
      </c>
      <c r="I355">
        <v>2</v>
      </c>
      <c r="J355">
        <v>10</v>
      </c>
      <c r="K355">
        <v>12</v>
      </c>
      <c r="L355">
        <v>0.45</v>
      </c>
      <c r="M355">
        <v>1</v>
      </c>
      <c r="N355">
        <v>0.6</v>
      </c>
      <c r="O355">
        <v>1.3</v>
      </c>
      <c r="P355">
        <v>20</v>
      </c>
      <c r="S355">
        <v>2.5</v>
      </c>
      <c r="T355">
        <v>0</v>
      </c>
      <c r="U355">
        <v>0</v>
      </c>
      <c r="V355">
        <v>1</v>
      </c>
      <c r="W355">
        <v>2.5</v>
      </c>
      <c r="X355">
        <v>0.5</v>
      </c>
      <c r="Y355">
        <v>0.6</v>
      </c>
      <c r="Z355">
        <v>0.3</v>
      </c>
      <c r="AB355">
        <v>1</v>
      </c>
      <c r="AE355">
        <v>4</v>
      </c>
      <c r="AH355">
        <v>100</v>
      </c>
      <c r="AJ355">
        <v>1</v>
      </c>
    </row>
    <row r="356" spans="1:36" x14ac:dyDescent="0.3">
      <c r="A356" t="s">
        <v>305</v>
      </c>
      <c r="B356" t="s">
        <v>256</v>
      </c>
      <c r="C356" t="s">
        <v>2</v>
      </c>
      <c r="D356">
        <v>7101</v>
      </c>
      <c r="E356">
        <v>20</v>
      </c>
      <c r="F356">
        <v>0</v>
      </c>
      <c r="G356">
        <v>0</v>
      </c>
      <c r="H356">
        <v>0</v>
      </c>
      <c r="I356">
        <v>5</v>
      </c>
      <c r="J356">
        <v>4.5</v>
      </c>
      <c r="K356">
        <v>11</v>
      </c>
      <c r="L356">
        <v>0.25</v>
      </c>
      <c r="M356">
        <v>0</v>
      </c>
      <c r="N356">
        <v>0.15</v>
      </c>
      <c r="O356">
        <v>1.5</v>
      </c>
      <c r="P356">
        <v>25</v>
      </c>
      <c r="S356">
        <v>3.8</v>
      </c>
      <c r="T356">
        <v>0</v>
      </c>
      <c r="U356">
        <v>0</v>
      </c>
      <c r="V356">
        <v>4.5999999999999996</v>
      </c>
      <c r="W356">
        <v>0</v>
      </c>
      <c r="X356">
        <v>0.1</v>
      </c>
      <c r="Y356">
        <v>0.2</v>
      </c>
      <c r="Z356">
        <v>0.3</v>
      </c>
      <c r="AB356">
        <v>3</v>
      </c>
      <c r="AE356">
        <v>3.5</v>
      </c>
      <c r="AH356">
        <v>100</v>
      </c>
      <c r="AJ356">
        <v>1</v>
      </c>
    </row>
    <row r="357" spans="1:36" x14ac:dyDescent="0.3">
      <c r="A357" t="s">
        <v>304</v>
      </c>
      <c r="B357" t="s">
        <v>256</v>
      </c>
      <c r="C357" t="s">
        <v>2</v>
      </c>
      <c r="D357">
        <v>7102</v>
      </c>
      <c r="E357">
        <v>20</v>
      </c>
      <c r="F357">
        <v>0</v>
      </c>
      <c r="G357">
        <v>0</v>
      </c>
      <c r="H357">
        <v>0</v>
      </c>
      <c r="I357">
        <v>1.8</v>
      </c>
      <c r="J357">
        <v>4.5</v>
      </c>
      <c r="K357">
        <v>10.1</v>
      </c>
      <c r="L357">
        <v>0.25</v>
      </c>
      <c r="M357">
        <v>0</v>
      </c>
      <c r="N357">
        <v>0.2</v>
      </c>
      <c r="O357">
        <v>1.5</v>
      </c>
      <c r="P357">
        <v>25</v>
      </c>
      <c r="S357">
        <v>3</v>
      </c>
      <c r="T357">
        <v>0</v>
      </c>
      <c r="U357">
        <v>0</v>
      </c>
      <c r="V357">
        <v>3.6</v>
      </c>
      <c r="W357">
        <v>0</v>
      </c>
      <c r="X357">
        <v>0.15</v>
      </c>
      <c r="Y357">
        <v>0.2</v>
      </c>
      <c r="Z357">
        <v>0.3</v>
      </c>
      <c r="AB357">
        <v>2.6</v>
      </c>
      <c r="AE357">
        <v>2.5</v>
      </c>
      <c r="AH357">
        <v>100</v>
      </c>
      <c r="AJ357">
        <v>0</v>
      </c>
    </row>
    <row r="358" spans="1:36" x14ac:dyDescent="0.3">
      <c r="A358" t="s">
        <v>295</v>
      </c>
      <c r="B358" t="s">
        <v>256</v>
      </c>
      <c r="C358" t="s">
        <v>2</v>
      </c>
      <c r="D358">
        <v>7103</v>
      </c>
      <c r="E358">
        <v>20</v>
      </c>
      <c r="F358">
        <v>0</v>
      </c>
      <c r="G358">
        <v>0</v>
      </c>
      <c r="H358">
        <v>0</v>
      </c>
      <c r="I358">
        <v>1.8</v>
      </c>
      <c r="J358">
        <v>4.5</v>
      </c>
      <c r="K358">
        <v>8.5</v>
      </c>
      <c r="L358">
        <v>0.35</v>
      </c>
      <c r="M358">
        <v>0</v>
      </c>
      <c r="N358">
        <v>0.4</v>
      </c>
      <c r="O358">
        <v>1.5</v>
      </c>
      <c r="P358">
        <v>25</v>
      </c>
      <c r="S358">
        <v>2.7</v>
      </c>
      <c r="T358">
        <v>0</v>
      </c>
      <c r="U358">
        <v>0</v>
      </c>
      <c r="V358">
        <v>2</v>
      </c>
      <c r="W358">
        <v>0</v>
      </c>
      <c r="X358">
        <v>0.8</v>
      </c>
      <c r="Y358">
        <v>0.2</v>
      </c>
      <c r="Z358">
        <v>0.3</v>
      </c>
      <c r="AB358">
        <v>2.2999999999999998</v>
      </c>
      <c r="AE358">
        <v>3</v>
      </c>
      <c r="AH358">
        <v>100</v>
      </c>
      <c r="AJ358">
        <v>0</v>
      </c>
    </row>
    <row r="359" spans="1:36" x14ac:dyDescent="0.3">
      <c r="A359" t="s">
        <v>296</v>
      </c>
      <c r="B359" t="s">
        <v>256</v>
      </c>
      <c r="C359" t="s">
        <v>2</v>
      </c>
      <c r="D359">
        <v>7104</v>
      </c>
      <c r="E359">
        <v>20</v>
      </c>
      <c r="F359">
        <v>0</v>
      </c>
      <c r="G359">
        <v>0</v>
      </c>
      <c r="H359">
        <v>0</v>
      </c>
      <c r="I359">
        <v>5</v>
      </c>
      <c r="J359">
        <v>4.5</v>
      </c>
      <c r="K359">
        <v>10.5</v>
      </c>
      <c r="L359">
        <v>0.25</v>
      </c>
      <c r="M359">
        <v>0</v>
      </c>
      <c r="N359">
        <v>0.25</v>
      </c>
      <c r="O359">
        <v>1.5</v>
      </c>
      <c r="P359">
        <v>25</v>
      </c>
      <c r="S359">
        <v>3.2</v>
      </c>
      <c r="T359">
        <v>0</v>
      </c>
      <c r="U359">
        <v>0</v>
      </c>
      <c r="V359">
        <v>3.2</v>
      </c>
      <c r="W359">
        <v>0</v>
      </c>
      <c r="X359">
        <v>0.45</v>
      </c>
      <c r="Y359">
        <v>0.2</v>
      </c>
      <c r="Z359">
        <v>0.3</v>
      </c>
      <c r="AB359">
        <v>2.8</v>
      </c>
      <c r="AE359">
        <v>3</v>
      </c>
      <c r="AH359">
        <v>100</v>
      </c>
      <c r="AJ359">
        <v>1</v>
      </c>
    </row>
    <row r="360" spans="1:36" x14ac:dyDescent="0.3">
      <c r="A360" t="s">
        <v>264</v>
      </c>
      <c r="B360" t="s">
        <v>256</v>
      </c>
      <c r="C360" t="s">
        <v>2</v>
      </c>
      <c r="D360">
        <v>7105</v>
      </c>
      <c r="E360">
        <v>20</v>
      </c>
      <c r="F360">
        <v>0</v>
      </c>
      <c r="G360">
        <v>0</v>
      </c>
      <c r="H360">
        <v>0</v>
      </c>
      <c r="I360">
        <v>5</v>
      </c>
      <c r="J360">
        <v>4.5</v>
      </c>
      <c r="K360">
        <v>11</v>
      </c>
      <c r="L360">
        <v>0.25</v>
      </c>
      <c r="M360">
        <v>0</v>
      </c>
      <c r="N360">
        <v>0.2</v>
      </c>
      <c r="O360">
        <v>1.5</v>
      </c>
      <c r="P360">
        <v>25</v>
      </c>
      <c r="S360">
        <v>3.5</v>
      </c>
      <c r="T360">
        <v>0</v>
      </c>
      <c r="U360">
        <v>0</v>
      </c>
      <c r="V360">
        <v>6</v>
      </c>
      <c r="W360">
        <v>0</v>
      </c>
      <c r="X360">
        <v>0.15</v>
      </c>
      <c r="Y360">
        <v>0.2</v>
      </c>
      <c r="Z360">
        <v>0.3</v>
      </c>
      <c r="AB360">
        <v>3</v>
      </c>
      <c r="AE360">
        <v>3</v>
      </c>
      <c r="AH360">
        <v>100</v>
      </c>
      <c r="AJ360">
        <v>1</v>
      </c>
    </row>
    <row r="361" spans="1:36" x14ac:dyDescent="0.3">
      <c r="A361" t="s">
        <v>303</v>
      </c>
      <c r="B361" t="s">
        <v>256</v>
      </c>
      <c r="C361" t="s">
        <v>2</v>
      </c>
      <c r="D361">
        <v>7106</v>
      </c>
      <c r="E361">
        <v>20</v>
      </c>
      <c r="F361">
        <v>0</v>
      </c>
      <c r="G361">
        <v>0</v>
      </c>
      <c r="H361">
        <v>0</v>
      </c>
      <c r="I361">
        <v>0</v>
      </c>
      <c r="J361">
        <v>4.5</v>
      </c>
      <c r="K361">
        <v>10.8</v>
      </c>
      <c r="L361">
        <v>0</v>
      </c>
      <c r="M361">
        <v>0</v>
      </c>
      <c r="N361">
        <v>0.35</v>
      </c>
      <c r="O361">
        <v>1.5</v>
      </c>
      <c r="P361">
        <v>25</v>
      </c>
      <c r="S361">
        <v>2.7</v>
      </c>
      <c r="T361">
        <v>0</v>
      </c>
      <c r="U361">
        <v>0</v>
      </c>
      <c r="V361">
        <v>1.5</v>
      </c>
      <c r="W361">
        <v>0</v>
      </c>
      <c r="X361">
        <v>0.8</v>
      </c>
      <c r="Y361">
        <v>0.2</v>
      </c>
      <c r="Z361">
        <v>0.3</v>
      </c>
      <c r="AB361">
        <v>2.2999999999999998</v>
      </c>
      <c r="AE361">
        <v>2.5</v>
      </c>
      <c r="AH361">
        <v>100</v>
      </c>
      <c r="AJ361">
        <v>0</v>
      </c>
    </row>
    <row r="362" spans="1:36" x14ac:dyDescent="0.3">
      <c r="A362" t="s">
        <v>294</v>
      </c>
      <c r="B362" t="s">
        <v>256</v>
      </c>
      <c r="C362" t="s">
        <v>2</v>
      </c>
      <c r="D362">
        <v>7107</v>
      </c>
      <c r="E362">
        <v>20</v>
      </c>
      <c r="F362">
        <v>0</v>
      </c>
      <c r="G362">
        <v>0</v>
      </c>
      <c r="H362">
        <v>0</v>
      </c>
      <c r="I362">
        <v>2.4</v>
      </c>
      <c r="J362">
        <v>4.5</v>
      </c>
      <c r="K362">
        <v>11</v>
      </c>
      <c r="L362">
        <v>0.2</v>
      </c>
      <c r="M362">
        <v>0</v>
      </c>
      <c r="N362">
        <v>0.25</v>
      </c>
      <c r="O362">
        <v>1.5</v>
      </c>
      <c r="P362">
        <v>25</v>
      </c>
      <c r="S362">
        <v>2.4</v>
      </c>
      <c r="T362">
        <v>0</v>
      </c>
      <c r="U362">
        <v>0</v>
      </c>
      <c r="V362">
        <v>1.8</v>
      </c>
      <c r="W362">
        <v>0</v>
      </c>
      <c r="X362">
        <v>0.6</v>
      </c>
      <c r="Y362">
        <v>0.2</v>
      </c>
      <c r="Z362">
        <v>0.3</v>
      </c>
      <c r="AB362">
        <v>2.1</v>
      </c>
      <c r="AE362">
        <v>2.5</v>
      </c>
      <c r="AH362">
        <v>100</v>
      </c>
      <c r="AJ362">
        <v>0</v>
      </c>
    </row>
    <row r="363" spans="1:36" x14ac:dyDescent="0.3">
      <c r="A363" t="s">
        <v>302</v>
      </c>
      <c r="B363" t="s">
        <v>256</v>
      </c>
      <c r="C363" t="s">
        <v>2</v>
      </c>
      <c r="D363">
        <v>7160</v>
      </c>
      <c r="E363">
        <v>20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11</v>
      </c>
      <c r="L363">
        <v>0</v>
      </c>
      <c r="M363">
        <v>0</v>
      </c>
      <c r="N363">
        <v>0.6</v>
      </c>
      <c r="O363">
        <v>1.5</v>
      </c>
      <c r="P363">
        <v>20</v>
      </c>
      <c r="S363">
        <v>3.2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0.2</v>
      </c>
      <c r="Z363">
        <v>0.3</v>
      </c>
      <c r="AB363">
        <v>2.8</v>
      </c>
      <c r="AE363">
        <v>4</v>
      </c>
      <c r="AH363">
        <v>100</v>
      </c>
      <c r="AJ363">
        <v>1</v>
      </c>
    </row>
    <row r="364" spans="1:36" x14ac:dyDescent="0.3">
      <c r="A364" t="s">
        <v>301</v>
      </c>
      <c r="B364" t="s">
        <v>256</v>
      </c>
      <c r="C364" t="s">
        <v>2</v>
      </c>
      <c r="D364">
        <v>7161</v>
      </c>
      <c r="E364">
        <v>20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11</v>
      </c>
      <c r="L364">
        <v>0</v>
      </c>
      <c r="M364">
        <v>0</v>
      </c>
      <c r="N364">
        <v>0.6</v>
      </c>
      <c r="O364">
        <v>1.5</v>
      </c>
      <c r="P364">
        <v>20</v>
      </c>
      <c r="S364">
        <v>2.2000000000000002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0.2</v>
      </c>
      <c r="Z364">
        <v>0.3</v>
      </c>
      <c r="AB364">
        <v>1.9</v>
      </c>
      <c r="AE364">
        <v>3.5</v>
      </c>
      <c r="AH364">
        <v>100</v>
      </c>
      <c r="AJ364">
        <v>1</v>
      </c>
    </row>
    <row r="365" spans="1:36" x14ac:dyDescent="0.3">
      <c r="A365" t="s">
        <v>300</v>
      </c>
      <c r="B365" t="s">
        <v>256</v>
      </c>
      <c r="C365" t="s">
        <v>2</v>
      </c>
      <c r="D365">
        <v>1105</v>
      </c>
      <c r="E365">
        <v>20</v>
      </c>
      <c r="F365">
        <v>1</v>
      </c>
      <c r="G365">
        <v>0</v>
      </c>
      <c r="H365">
        <v>1</v>
      </c>
      <c r="I365">
        <v>2.5499999999999998</v>
      </c>
      <c r="J365">
        <v>5.8</v>
      </c>
      <c r="K365">
        <v>11</v>
      </c>
      <c r="L365">
        <v>0.1</v>
      </c>
      <c r="M365">
        <v>1</v>
      </c>
      <c r="N365">
        <v>0.15</v>
      </c>
      <c r="O365">
        <v>0.9</v>
      </c>
      <c r="P365">
        <v>18</v>
      </c>
      <c r="S365">
        <v>2.8</v>
      </c>
      <c r="T365">
        <v>0.3</v>
      </c>
      <c r="U365">
        <v>0</v>
      </c>
      <c r="V365">
        <v>2.5</v>
      </c>
      <c r="W365">
        <v>1</v>
      </c>
      <c r="X365">
        <v>0.15</v>
      </c>
      <c r="Y365">
        <v>0.15</v>
      </c>
      <c r="Z365">
        <v>0.3</v>
      </c>
      <c r="AB365">
        <v>2.8</v>
      </c>
      <c r="AE365">
        <v>3</v>
      </c>
      <c r="AH365">
        <v>100</v>
      </c>
      <c r="AJ365">
        <v>1</v>
      </c>
    </row>
    <row r="366" spans="1:36" x14ac:dyDescent="0.3">
      <c r="A366" t="s">
        <v>299</v>
      </c>
      <c r="B366" t="s">
        <v>256</v>
      </c>
      <c r="C366" t="s">
        <v>2</v>
      </c>
      <c r="D366">
        <v>1109</v>
      </c>
      <c r="E366">
        <v>15</v>
      </c>
      <c r="F366">
        <v>0.5</v>
      </c>
      <c r="G366">
        <v>0</v>
      </c>
      <c r="H366">
        <v>2</v>
      </c>
      <c r="I366">
        <v>1</v>
      </c>
      <c r="J366">
        <v>4.5</v>
      </c>
      <c r="K366">
        <v>9</v>
      </c>
      <c r="L366">
        <v>0.1</v>
      </c>
      <c r="M366">
        <v>1</v>
      </c>
      <c r="N366">
        <v>0.3</v>
      </c>
      <c r="O366">
        <v>1.3</v>
      </c>
      <c r="P366">
        <v>25</v>
      </c>
      <c r="S366">
        <v>2.6</v>
      </c>
      <c r="T366">
        <v>0.1</v>
      </c>
      <c r="U366">
        <v>0</v>
      </c>
      <c r="V366">
        <v>1</v>
      </c>
      <c r="W366">
        <v>1</v>
      </c>
      <c r="X366">
        <v>0.2</v>
      </c>
      <c r="Y366">
        <v>0.3</v>
      </c>
      <c r="Z366">
        <v>0.3</v>
      </c>
      <c r="AB366">
        <v>2.8</v>
      </c>
      <c r="AE366">
        <v>2.5</v>
      </c>
      <c r="AH366">
        <v>100</v>
      </c>
      <c r="AJ366">
        <v>1</v>
      </c>
    </row>
    <row r="367" spans="1:36" x14ac:dyDescent="0.3">
      <c r="A367" t="s">
        <v>298</v>
      </c>
      <c r="B367" t="s">
        <v>256</v>
      </c>
      <c r="C367" t="s">
        <v>2</v>
      </c>
      <c r="D367">
        <v>3005</v>
      </c>
      <c r="E367">
        <v>20</v>
      </c>
      <c r="F367">
        <v>0.1</v>
      </c>
      <c r="G367">
        <v>6</v>
      </c>
      <c r="H367">
        <v>2.6</v>
      </c>
      <c r="I367">
        <v>5</v>
      </c>
      <c r="J367">
        <v>4.5</v>
      </c>
      <c r="K367">
        <v>11</v>
      </c>
      <c r="L367">
        <v>0.1</v>
      </c>
      <c r="M367">
        <v>1</v>
      </c>
      <c r="N367">
        <v>0.15</v>
      </c>
      <c r="O367">
        <v>1.5</v>
      </c>
      <c r="P367">
        <v>25</v>
      </c>
      <c r="S367">
        <v>3.26</v>
      </c>
      <c r="T367">
        <v>0.1</v>
      </c>
      <c r="U367">
        <v>0</v>
      </c>
      <c r="V367">
        <v>6</v>
      </c>
      <c r="W367">
        <v>0</v>
      </c>
      <c r="X367">
        <v>0.08</v>
      </c>
      <c r="Y367">
        <v>0.2</v>
      </c>
      <c r="Z367">
        <v>0.3</v>
      </c>
      <c r="AB367">
        <v>2.79</v>
      </c>
      <c r="AE367">
        <v>2.5</v>
      </c>
      <c r="AH367">
        <v>100</v>
      </c>
      <c r="AJ367">
        <v>1</v>
      </c>
    </row>
    <row r="368" spans="1:36" x14ac:dyDescent="0.3">
      <c r="A368" t="s">
        <v>297</v>
      </c>
      <c r="B368" t="s">
        <v>256</v>
      </c>
      <c r="C368" t="s">
        <v>2</v>
      </c>
      <c r="D368">
        <v>3006</v>
      </c>
      <c r="E368">
        <v>20</v>
      </c>
      <c r="F368">
        <v>0.3</v>
      </c>
      <c r="G368">
        <v>6</v>
      </c>
      <c r="H368">
        <v>4.0999999999999996</v>
      </c>
      <c r="I368">
        <v>5</v>
      </c>
      <c r="J368">
        <v>4.5</v>
      </c>
      <c r="K368">
        <v>11</v>
      </c>
      <c r="L368">
        <v>0.25</v>
      </c>
      <c r="M368">
        <v>1</v>
      </c>
      <c r="N368">
        <v>0.15</v>
      </c>
      <c r="O368">
        <v>1.5</v>
      </c>
      <c r="P368">
        <v>25</v>
      </c>
      <c r="S368">
        <v>3.74</v>
      </c>
      <c r="T368">
        <v>0.1</v>
      </c>
      <c r="U368">
        <v>0</v>
      </c>
      <c r="V368">
        <v>6</v>
      </c>
      <c r="W368">
        <v>0</v>
      </c>
      <c r="X368">
        <v>0.25</v>
      </c>
      <c r="Y368">
        <v>0.2</v>
      </c>
      <c r="Z368">
        <v>0.3</v>
      </c>
      <c r="AB368">
        <v>3</v>
      </c>
      <c r="AE368">
        <v>3.5</v>
      </c>
      <c r="AH368">
        <v>100</v>
      </c>
      <c r="AJ368">
        <v>1</v>
      </c>
    </row>
    <row r="369" spans="1:36" x14ac:dyDescent="0.3">
      <c r="A369" t="s">
        <v>296</v>
      </c>
      <c r="B369" t="s">
        <v>256</v>
      </c>
      <c r="C369" t="s">
        <v>2</v>
      </c>
      <c r="D369">
        <v>3007</v>
      </c>
      <c r="E369">
        <v>20</v>
      </c>
      <c r="F369">
        <v>0.3</v>
      </c>
      <c r="G369">
        <v>6</v>
      </c>
      <c r="H369">
        <v>3.2</v>
      </c>
      <c r="I369">
        <v>5</v>
      </c>
      <c r="J369">
        <v>4.5</v>
      </c>
      <c r="K369">
        <v>11</v>
      </c>
      <c r="L369">
        <v>0.25</v>
      </c>
      <c r="M369">
        <v>1</v>
      </c>
      <c r="N369">
        <v>0.25</v>
      </c>
      <c r="O369">
        <v>1.5</v>
      </c>
      <c r="P369">
        <v>25</v>
      </c>
      <c r="S369">
        <v>3.24</v>
      </c>
      <c r="T369">
        <v>0.1</v>
      </c>
      <c r="U369">
        <v>0</v>
      </c>
      <c r="V369">
        <v>1.8</v>
      </c>
      <c r="W369">
        <v>0</v>
      </c>
      <c r="X369">
        <v>0.2</v>
      </c>
      <c r="Y369">
        <v>0.2</v>
      </c>
      <c r="Z369">
        <v>0.3</v>
      </c>
      <c r="AB369">
        <v>2.78</v>
      </c>
      <c r="AE369">
        <v>3</v>
      </c>
      <c r="AH369">
        <v>100</v>
      </c>
      <c r="AJ369">
        <v>1</v>
      </c>
    </row>
    <row r="370" spans="1:36" x14ac:dyDescent="0.3">
      <c r="A370" t="s">
        <v>295</v>
      </c>
      <c r="B370" t="s">
        <v>256</v>
      </c>
      <c r="C370" t="s">
        <v>2</v>
      </c>
      <c r="D370">
        <v>3008</v>
      </c>
      <c r="E370">
        <v>20</v>
      </c>
      <c r="F370">
        <v>0.5</v>
      </c>
      <c r="G370">
        <v>6</v>
      </c>
      <c r="H370">
        <v>3.2</v>
      </c>
      <c r="I370">
        <v>1.8</v>
      </c>
      <c r="J370">
        <v>4.5</v>
      </c>
      <c r="K370">
        <v>8.6999999999999993</v>
      </c>
      <c r="L370">
        <v>0.35</v>
      </c>
      <c r="M370">
        <v>1</v>
      </c>
      <c r="N370">
        <v>0.4</v>
      </c>
      <c r="O370">
        <v>1.5</v>
      </c>
      <c r="P370">
        <v>25</v>
      </c>
      <c r="S370">
        <v>2.7</v>
      </c>
      <c r="T370">
        <v>0.1</v>
      </c>
      <c r="U370">
        <v>0</v>
      </c>
      <c r="V370">
        <v>1.8</v>
      </c>
      <c r="W370">
        <v>0</v>
      </c>
      <c r="X370">
        <v>0.35</v>
      </c>
      <c r="Y370">
        <v>0.2</v>
      </c>
      <c r="Z370">
        <v>0.3</v>
      </c>
      <c r="AB370">
        <v>2.31</v>
      </c>
      <c r="AE370">
        <v>3</v>
      </c>
      <c r="AH370">
        <v>100</v>
      </c>
      <c r="AJ370">
        <v>0</v>
      </c>
    </row>
    <row r="371" spans="1:36" x14ac:dyDescent="0.3">
      <c r="A371" t="s">
        <v>294</v>
      </c>
      <c r="B371" t="s">
        <v>256</v>
      </c>
      <c r="C371" t="s">
        <v>2</v>
      </c>
      <c r="D371">
        <v>3009</v>
      </c>
      <c r="E371">
        <v>20</v>
      </c>
      <c r="F371">
        <v>0</v>
      </c>
      <c r="G371">
        <v>6</v>
      </c>
      <c r="H371">
        <v>1.7</v>
      </c>
      <c r="I371">
        <v>2.4</v>
      </c>
      <c r="J371">
        <v>4.5</v>
      </c>
      <c r="K371">
        <v>7.4</v>
      </c>
      <c r="L371">
        <v>0.2</v>
      </c>
      <c r="M371">
        <v>1</v>
      </c>
      <c r="N371">
        <v>0.25</v>
      </c>
      <c r="O371">
        <v>1.5</v>
      </c>
      <c r="P371">
        <v>25</v>
      </c>
      <c r="S371">
        <v>2.4</v>
      </c>
      <c r="T371">
        <v>0.1</v>
      </c>
      <c r="U371">
        <v>0</v>
      </c>
      <c r="V371">
        <v>0.8</v>
      </c>
      <c r="W371">
        <v>0</v>
      </c>
      <c r="X371">
        <v>0.2</v>
      </c>
      <c r="Y371">
        <v>0.2</v>
      </c>
      <c r="Z371">
        <v>0.3</v>
      </c>
      <c r="AB371">
        <v>2.06</v>
      </c>
      <c r="AE371">
        <v>2.5</v>
      </c>
      <c r="AH371">
        <v>100</v>
      </c>
      <c r="AJ371">
        <v>0</v>
      </c>
    </row>
    <row r="372" spans="1:36" x14ac:dyDescent="0.3">
      <c r="A372" t="s">
        <v>293</v>
      </c>
      <c r="B372" t="s">
        <v>256</v>
      </c>
      <c r="C372" t="s">
        <v>2</v>
      </c>
      <c r="D372">
        <v>3018</v>
      </c>
      <c r="E372">
        <v>20</v>
      </c>
      <c r="F372">
        <v>0.1</v>
      </c>
      <c r="G372">
        <v>6</v>
      </c>
      <c r="H372">
        <v>2.6</v>
      </c>
      <c r="I372">
        <v>1.8</v>
      </c>
      <c r="J372">
        <v>4.5</v>
      </c>
      <c r="K372">
        <v>10.1</v>
      </c>
      <c r="L372">
        <v>0.25</v>
      </c>
      <c r="M372">
        <v>1</v>
      </c>
      <c r="N372">
        <v>0.2</v>
      </c>
      <c r="O372">
        <v>1.5</v>
      </c>
      <c r="P372">
        <v>25</v>
      </c>
      <c r="S372">
        <v>3</v>
      </c>
      <c r="T372">
        <v>0.1</v>
      </c>
      <c r="U372">
        <v>0</v>
      </c>
      <c r="V372">
        <v>3.6</v>
      </c>
      <c r="W372">
        <v>0</v>
      </c>
      <c r="X372">
        <v>0.15</v>
      </c>
      <c r="Y372">
        <v>0.2</v>
      </c>
      <c r="Z372">
        <v>0.3</v>
      </c>
      <c r="AB372">
        <v>2.57</v>
      </c>
      <c r="AE372">
        <v>2.5</v>
      </c>
      <c r="AH372">
        <v>100</v>
      </c>
      <c r="AJ372">
        <v>0</v>
      </c>
    </row>
    <row r="373" spans="1:36" x14ac:dyDescent="0.3">
      <c r="A373" t="s">
        <v>292</v>
      </c>
      <c r="B373" t="s">
        <v>256</v>
      </c>
      <c r="C373" t="s">
        <v>2</v>
      </c>
      <c r="D373">
        <v>3019</v>
      </c>
      <c r="E373">
        <v>20</v>
      </c>
      <c r="F373">
        <v>0.1</v>
      </c>
      <c r="G373">
        <v>6</v>
      </c>
      <c r="H373">
        <v>2.6</v>
      </c>
      <c r="I373">
        <v>0.3</v>
      </c>
      <c r="J373">
        <v>4.5</v>
      </c>
      <c r="K373">
        <v>11</v>
      </c>
      <c r="L373">
        <v>0.25</v>
      </c>
      <c r="M373">
        <v>1</v>
      </c>
      <c r="N373">
        <v>0.25</v>
      </c>
      <c r="O373">
        <v>1.5</v>
      </c>
      <c r="P373">
        <v>25</v>
      </c>
      <c r="S373">
        <v>3.5</v>
      </c>
      <c r="T373">
        <v>0.1</v>
      </c>
      <c r="U373">
        <v>0</v>
      </c>
      <c r="V373">
        <v>0.4</v>
      </c>
      <c r="W373">
        <v>0</v>
      </c>
      <c r="X373">
        <v>0.35</v>
      </c>
      <c r="Y373">
        <v>0.2</v>
      </c>
      <c r="Z373">
        <v>0.3</v>
      </c>
      <c r="AB373">
        <v>3</v>
      </c>
      <c r="AE373">
        <v>2.5</v>
      </c>
      <c r="AH373">
        <v>100</v>
      </c>
      <c r="AJ373">
        <v>0</v>
      </c>
    </row>
    <row r="374" spans="1:36" x14ac:dyDescent="0.3">
      <c r="A374" t="s">
        <v>291</v>
      </c>
      <c r="B374" t="s">
        <v>256</v>
      </c>
      <c r="C374" t="s">
        <v>2</v>
      </c>
      <c r="D374">
        <v>3022</v>
      </c>
      <c r="E374">
        <v>20</v>
      </c>
      <c r="F374">
        <v>0.3</v>
      </c>
      <c r="G374">
        <v>6</v>
      </c>
      <c r="H374">
        <v>2.6</v>
      </c>
      <c r="I374">
        <v>1.8</v>
      </c>
      <c r="J374">
        <v>4.5</v>
      </c>
      <c r="K374">
        <v>11</v>
      </c>
      <c r="L374">
        <v>0.2</v>
      </c>
      <c r="M374">
        <v>1</v>
      </c>
      <c r="N374">
        <v>0.25</v>
      </c>
      <c r="O374">
        <v>1.5</v>
      </c>
      <c r="P374">
        <v>25</v>
      </c>
      <c r="S374">
        <v>3.5</v>
      </c>
      <c r="T374">
        <v>0.1</v>
      </c>
      <c r="U374">
        <v>0</v>
      </c>
      <c r="V374">
        <v>6</v>
      </c>
      <c r="W374">
        <v>0</v>
      </c>
      <c r="X374">
        <v>0.25</v>
      </c>
      <c r="Y374">
        <v>0.2</v>
      </c>
      <c r="Z374">
        <v>0.3</v>
      </c>
      <c r="AB374">
        <v>3</v>
      </c>
      <c r="AE374">
        <v>3</v>
      </c>
      <c r="AH374">
        <v>100</v>
      </c>
      <c r="AJ374">
        <v>0</v>
      </c>
    </row>
    <row r="375" spans="1:36" x14ac:dyDescent="0.3">
      <c r="A375" t="s">
        <v>290</v>
      </c>
      <c r="B375" t="s">
        <v>256</v>
      </c>
      <c r="C375" t="s">
        <v>2</v>
      </c>
      <c r="D375">
        <v>3041</v>
      </c>
      <c r="E375">
        <v>20</v>
      </c>
      <c r="F375">
        <v>0.1</v>
      </c>
      <c r="G375">
        <v>6</v>
      </c>
      <c r="H375">
        <v>1.2</v>
      </c>
      <c r="I375">
        <v>0.3</v>
      </c>
      <c r="J375">
        <v>4.5</v>
      </c>
      <c r="K375">
        <v>10.1</v>
      </c>
      <c r="L375">
        <v>0.2</v>
      </c>
      <c r="M375">
        <v>1</v>
      </c>
      <c r="N375">
        <v>0.4</v>
      </c>
      <c r="O375">
        <v>1.5</v>
      </c>
      <c r="P375">
        <v>25</v>
      </c>
      <c r="S375">
        <v>3</v>
      </c>
      <c r="T375">
        <v>0</v>
      </c>
      <c r="U375">
        <v>0</v>
      </c>
      <c r="V375">
        <v>1.8</v>
      </c>
      <c r="W375">
        <v>0</v>
      </c>
      <c r="X375">
        <v>0.3</v>
      </c>
      <c r="Y375">
        <v>0.2</v>
      </c>
      <c r="Z375">
        <v>0.3</v>
      </c>
      <c r="AB375">
        <v>2.57</v>
      </c>
      <c r="AE375">
        <v>2.5</v>
      </c>
      <c r="AH375">
        <v>100</v>
      </c>
      <c r="AJ375">
        <v>0</v>
      </c>
    </row>
    <row r="376" spans="1:36" x14ac:dyDescent="0.3">
      <c r="A376" t="s">
        <v>289</v>
      </c>
      <c r="B376" t="s">
        <v>256</v>
      </c>
      <c r="C376" t="s">
        <v>2</v>
      </c>
      <c r="D376">
        <v>3043</v>
      </c>
      <c r="E376">
        <v>20</v>
      </c>
      <c r="F376">
        <v>0.1</v>
      </c>
      <c r="G376">
        <v>6</v>
      </c>
      <c r="H376">
        <v>1.2</v>
      </c>
      <c r="I376">
        <v>0.3</v>
      </c>
      <c r="J376">
        <v>4.5</v>
      </c>
      <c r="K376">
        <v>10.1</v>
      </c>
      <c r="L376">
        <v>0.2</v>
      </c>
      <c r="M376">
        <v>1</v>
      </c>
      <c r="N376">
        <v>0.6</v>
      </c>
      <c r="O376">
        <v>1.5</v>
      </c>
      <c r="P376">
        <v>25</v>
      </c>
      <c r="S376">
        <v>3</v>
      </c>
      <c r="T376">
        <v>0</v>
      </c>
      <c r="U376">
        <v>0</v>
      </c>
      <c r="V376">
        <v>0.4</v>
      </c>
      <c r="W376">
        <v>0</v>
      </c>
      <c r="X376">
        <v>0.2</v>
      </c>
      <c r="Y376">
        <v>0.2</v>
      </c>
      <c r="Z376">
        <v>0.3</v>
      </c>
      <c r="AB376">
        <v>2.57</v>
      </c>
      <c r="AE376">
        <v>2.5</v>
      </c>
      <c r="AH376">
        <v>100</v>
      </c>
      <c r="AJ376">
        <v>0</v>
      </c>
    </row>
    <row r="377" spans="1:36" x14ac:dyDescent="0.3">
      <c r="A377" t="s">
        <v>288</v>
      </c>
      <c r="B377" t="s">
        <v>256</v>
      </c>
      <c r="C377" t="s">
        <v>2</v>
      </c>
      <c r="D377">
        <v>3045</v>
      </c>
      <c r="E377">
        <v>20</v>
      </c>
      <c r="F377">
        <v>0</v>
      </c>
      <c r="G377">
        <v>6</v>
      </c>
      <c r="H377">
        <v>2</v>
      </c>
      <c r="I377">
        <v>5</v>
      </c>
      <c r="J377">
        <v>4.5</v>
      </c>
      <c r="K377">
        <v>11</v>
      </c>
      <c r="L377">
        <v>0.15</v>
      </c>
      <c r="M377">
        <v>1</v>
      </c>
      <c r="N377">
        <v>0.15</v>
      </c>
      <c r="O377">
        <v>1.5</v>
      </c>
      <c r="P377">
        <v>25</v>
      </c>
      <c r="S377">
        <v>3.5</v>
      </c>
      <c r="T377">
        <v>0</v>
      </c>
      <c r="U377">
        <v>0</v>
      </c>
      <c r="V377">
        <v>1.8</v>
      </c>
      <c r="W377">
        <v>0</v>
      </c>
      <c r="X377">
        <v>0.1</v>
      </c>
      <c r="Y377">
        <v>0.2</v>
      </c>
      <c r="Z377">
        <v>0.3</v>
      </c>
      <c r="AB377">
        <v>3</v>
      </c>
      <c r="AE377">
        <v>3.5</v>
      </c>
      <c r="AH377">
        <v>100</v>
      </c>
      <c r="AJ377">
        <v>1</v>
      </c>
    </row>
    <row r="378" spans="1:36" x14ac:dyDescent="0.3">
      <c r="A378" t="s">
        <v>287</v>
      </c>
      <c r="B378" t="s">
        <v>256</v>
      </c>
      <c r="C378" t="s">
        <v>2</v>
      </c>
      <c r="D378">
        <v>3099</v>
      </c>
      <c r="E378">
        <v>20</v>
      </c>
      <c r="F378">
        <v>0</v>
      </c>
      <c r="G378">
        <v>8</v>
      </c>
      <c r="H378">
        <v>1.7</v>
      </c>
      <c r="I378">
        <v>5</v>
      </c>
      <c r="J378">
        <v>8</v>
      </c>
      <c r="K378">
        <v>11</v>
      </c>
      <c r="L378">
        <v>0.45</v>
      </c>
      <c r="M378">
        <v>1</v>
      </c>
      <c r="N378">
        <v>0.6</v>
      </c>
      <c r="O378">
        <v>1.5</v>
      </c>
      <c r="P378">
        <v>25</v>
      </c>
      <c r="S378">
        <v>3.24</v>
      </c>
      <c r="T378">
        <v>0</v>
      </c>
      <c r="U378">
        <v>0</v>
      </c>
      <c r="V378">
        <v>0.1</v>
      </c>
      <c r="W378">
        <v>0</v>
      </c>
      <c r="X378">
        <v>0.5</v>
      </c>
      <c r="Y378">
        <v>0.2</v>
      </c>
      <c r="Z378">
        <v>0.3</v>
      </c>
      <c r="AB378">
        <v>2.78</v>
      </c>
      <c r="AE378">
        <v>4</v>
      </c>
      <c r="AH378">
        <v>100</v>
      </c>
      <c r="AJ378">
        <v>1</v>
      </c>
    </row>
    <row r="379" spans="1:36" x14ac:dyDescent="0.3">
      <c r="A379" t="s">
        <v>286</v>
      </c>
      <c r="B379" t="s">
        <v>256</v>
      </c>
      <c r="C379" t="s">
        <v>255</v>
      </c>
      <c r="D379">
        <v>4001</v>
      </c>
      <c r="E379">
        <v>20</v>
      </c>
      <c r="F379">
        <v>0</v>
      </c>
      <c r="G379">
        <v>0</v>
      </c>
      <c r="H379">
        <v>0.25</v>
      </c>
      <c r="I379">
        <v>0</v>
      </c>
      <c r="J379">
        <v>8</v>
      </c>
      <c r="K379">
        <v>3.8</v>
      </c>
      <c r="L379">
        <v>0.1</v>
      </c>
      <c r="M379">
        <v>0.3</v>
      </c>
      <c r="N379">
        <v>0.67</v>
      </c>
      <c r="O379">
        <v>1.5</v>
      </c>
      <c r="P379">
        <v>25</v>
      </c>
      <c r="S379">
        <v>1.62</v>
      </c>
      <c r="T379">
        <v>0</v>
      </c>
      <c r="U379">
        <v>0</v>
      </c>
      <c r="V379">
        <v>0</v>
      </c>
      <c r="W379">
        <v>0</v>
      </c>
      <c r="X379">
        <v>0.25</v>
      </c>
      <c r="Y379">
        <v>0.67</v>
      </c>
      <c r="Z379">
        <v>0.3</v>
      </c>
      <c r="AB379">
        <v>0</v>
      </c>
      <c r="AE379">
        <v>5</v>
      </c>
      <c r="AH379">
        <v>150</v>
      </c>
      <c r="AJ379">
        <v>0</v>
      </c>
    </row>
    <row r="380" spans="1:36" x14ac:dyDescent="0.3">
      <c r="A380" t="s">
        <v>285</v>
      </c>
      <c r="B380" t="s">
        <v>256</v>
      </c>
      <c r="C380" t="s">
        <v>255</v>
      </c>
      <c r="D380">
        <v>4002</v>
      </c>
      <c r="E380">
        <v>20</v>
      </c>
      <c r="F380">
        <v>0</v>
      </c>
      <c r="G380">
        <v>0</v>
      </c>
      <c r="H380">
        <v>0.6</v>
      </c>
      <c r="I380">
        <v>0</v>
      </c>
      <c r="J380">
        <v>8</v>
      </c>
      <c r="K380">
        <v>6</v>
      </c>
      <c r="L380">
        <v>0.1</v>
      </c>
      <c r="M380">
        <v>0.3</v>
      </c>
      <c r="N380">
        <v>0.67</v>
      </c>
      <c r="O380">
        <v>1.5</v>
      </c>
      <c r="P380">
        <v>25</v>
      </c>
      <c r="S380">
        <v>2.04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0.67</v>
      </c>
      <c r="Z380">
        <v>0.3</v>
      </c>
      <c r="AB380">
        <v>0</v>
      </c>
      <c r="AE380">
        <v>4</v>
      </c>
      <c r="AH380">
        <v>150</v>
      </c>
      <c r="AJ380">
        <v>0</v>
      </c>
    </row>
    <row r="381" spans="1:36" x14ac:dyDescent="0.3">
      <c r="A381" t="s">
        <v>284</v>
      </c>
      <c r="B381" t="s">
        <v>256</v>
      </c>
      <c r="C381" t="s">
        <v>255</v>
      </c>
      <c r="D381">
        <v>4003</v>
      </c>
      <c r="E381">
        <v>20</v>
      </c>
      <c r="F381">
        <v>0.2</v>
      </c>
      <c r="G381">
        <v>0</v>
      </c>
      <c r="H381">
        <v>5.1100000000000003</v>
      </c>
      <c r="I381">
        <v>2</v>
      </c>
      <c r="J381">
        <v>8</v>
      </c>
      <c r="K381">
        <v>11</v>
      </c>
      <c r="L381">
        <v>0.1</v>
      </c>
      <c r="M381">
        <v>0.3</v>
      </c>
      <c r="N381">
        <v>0.67</v>
      </c>
      <c r="O381">
        <v>1.5</v>
      </c>
      <c r="P381">
        <v>25</v>
      </c>
      <c r="S381">
        <v>3.5</v>
      </c>
      <c r="T381">
        <v>0.4</v>
      </c>
      <c r="U381">
        <v>0.55000000000000004</v>
      </c>
      <c r="V381">
        <v>2</v>
      </c>
      <c r="W381">
        <v>2.5</v>
      </c>
      <c r="X381">
        <v>0.25</v>
      </c>
      <c r="Y381">
        <v>0.67</v>
      </c>
      <c r="Z381">
        <v>0.3</v>
      </c>
      <c r="AB381">
        <v>3</v>
      </c>
      <c r="AE381">
        <v>3</v>
      </c>
      <c r="AH381">
        <v>150</v>
      </c>
      <c r="AJ381">
        <v>0</v>
      </c>
    </row>
    <row r="382" spans="1:36" x14ac:dyDescent="0.3">
      <c r="A382" t="s">
        <v>283</v>
      </c>
      <c r="B382" t="s">
        <v>256</v>
      </c>
      <c r="C382" t="s">
        <v>255</v>
      </c>
      <c r="D382">
        <v>4004</v>
      </c>
      <c r="E382">
        <v>20</v>
      </c>
      <c r="F382">
        <v>0.2</v>
      </c>
      <c r="G382">
        <v>0</v>
      </c>
      <c r="H382">
        <v>1.79</v>
      </c>
      <c r="I382">
        <v>1</v>
      </c>
      <c r="J382">
        <v>4.5</v>
      </c>
      <c r="K382">
        <v>11</v>
      </c>
      <c r="L382">
        <v>0.1</v>
      </c>
      <c r="M382">
        <v>0.3</v>
      </c>
      <c r="N382">
        <v>0.4</v>
      </c>
      <c r="O382">
        <v>1.5</v>
      </c>
      <c r="P382">
        <v>25</v>
      </c>
      <c r="S382">
        <v>3.2</v>
      </c>
      <c r="T382">
        <v>0.2</v>
      </c>
      <c r="U382">
        <v>0.31</v>
      </c>
      <c r="V382">
        <v>1.7</v>
      </c>
      <c r="W382">
        <v>2</v>
      </c>
      <c r="X382">
        <v>0.35</v>
      </c>
      <c r="Y382">
        <v>0.4</v>
      </c>
      <c r="Z382">
        <v>0.3</v>
      </c>
      <c r="AB382">
        <v>2</v>
      </c>
      <c r="AE382">
        <v>3</v>
      </c>
      <c r="AH382">
        <v>150</v>
      </c>
      <c r="AJ382">
        <v>0</v>
      </c>
    </row>
    <row r="383" spans="1:36" x14ac:dyDescent="0.3">
      <c r="A383" t="s">
        <v>282</v>
      </c>
      <c r="B383" t="s">
        <v>256</v>
      </c>
      <c r="C383" t="s">
        <v>255</v>
      </c>
      <c r="D383">
        <v>4005</v>
      </c>
      <c r="E383">
        <v>20</v>
      </c>
      <c r="F383">
        <v>0.2</v>
      </c>
      <c r="G383">
        <v>0</v>
      </c>
      <c r="H383">
        <v>4.3099999999999996</v>
      </c>
      <c r="I383">
        <v>1</v>
      </c>
      <c r="J383">
        <v>4.5</v>
      </c>
      <c r="K383">
        <v>11</v>
      </c>
      <c r="L383">
        <v>0.1</v>
      </c>
      <c r="M383">
        <v>0.3</v>
      </c>
      <c r="N383">
        <v>0.67</v>
      </c>
      <c r="O383">
        <v>1.5</v>
      </c>
      <c r="P383">
        <v>25</v>
      </c>
      <c r="S383">
        <v>3.11</v>
      </c>
      <c r="T383">
        <v>0.42</v>
      </c>
      <c r="U383">
        <v>0.86</v>
      </c>
      <c r="V383">
        <v>1.5</v>
      </c>
      <c r="W383">
        <v>2</v>
      </c>
      <c r="X383">
        <v>0.25</v>
      </c>
      <c r="Y383">
        <v>0.67</v>
      </c>
      <c r="Z383">
        <v>0.3</v>
      </c>
      <c r="AB383">
        <v>2.67</v>
      </c>
      <c r="AE383">
        <v>3</v>
      </c>
      <c r="AH383">
        <v>150</v>
      </c>
      <c r="AJ383">
        <v>0</v>
      </c>
    </row>
    <row r="384" spans="1:36" x14ac:dyDescent="0.3">
      <c r="A384" t="s">
        <v>281</v>
      </c>
      <c r="B384" t="s">
        <v>256</v>
      </c>
      <c r="C384" t="s">
        <v>255</v>
      </c>
      <c r="D384">
        <v>4006</v>
      </c>
      <c r="E384">
        <v>20</v>
      </c>
      <c r="F384">
        <v>0.1</v>
      </c>
      <c r="G384">
        <v>0</v>
      </c>
      <c r="H384">
        <v>1.1499999999999999</v>
      </c>
      <c r="I384">
        <v>1</v>
      </c>
      <c r="J384">
        <v>4.5</v>
      </c>
      <c r="K384">
        <v>11</v>
      </c>
      <c r="L384">
        <v>0.1</v>
      </c>
      <c r="M384">
        <v>0.3</v>
      </c>
      <c r="N384">
        <v>0.4</v>
      </c>
      <c r="O384">
        <v>1.5</v>
      </c>
      <c r="P384">
        <v>25</v>
      </c>
      <c r="S384">
        <v>3.18</v>
      </c>
      <c r="T384">
        <v>0.1</v>
      </c>
      <c r="U384">
        <v>0.35</v>
      </c>
      <c r="V384">
        <v>1.3</v>
      </c>
      <c r="W384">
        <v>2</v>
      </c>
      <c r="X384">
        <v>0.35</v>
      </c>
      <c r="Y384">
        <v>0.4</v>
      </c>
      <c r="Z384">
        <v>0.3</v>
      </c>
      <c r="AB384">
        <v>2.9</v>
      </c>
      <c r="AE384">
        <v>3</v>
      </c>
      <c r="AH384">
        <v>150</v>
      </c>
      <c r="AJ384">
        <v>0</v>
      </c>
    </row>
    <row r="385" spans="1:36" x14ac:dyDescent="0.3">
      <c r="A385" t="s">
        <v>280</v>
      </c>
      <c r="B385" t="s">
        <v>256</v>
      </c>
      <c r="C385" t="s">
        <v>255</v>
      </c>
      <c r="D385">
        <v>4028</v>
      </c>
      <c r="E385">
        <v>20</v>
      </c>
      <c r="F385">
        <v>0.4</v>
      </c>
      <c r="G385">
        <v>0</v>
      </c>
      <c r="H385">
        <v>3.11</v>
      </c>
      <c r="I385">
        <v>2</v>
      </c>
      <c r="J385">
        <v>8</v>
      </c>
      <c r="K385">
        <v>11</v>
      </c>
      <c r="L385">
        <v>0.1</v>
      </c>
      <c r="M385">
        <v>0.3</v>
      </c>
      <c r="N385">
        <v>0.67</v>
      </c>
      <c r="O385">
        <v>1.5</v>
      </c>
      <c r="P385">
        <v>25</v>
      </c>
      <c r="S385">
        <v>3.94</v>
      </c>
      <c r="T385">
        <v>0.6</v>
      </c>
      <c r="U385">
        <v>1.61</v>
      </c>
      <c r="V385">
        <v>2.5</v>
      </c>
      <c r="W385">
        <v>2.5</v>
      </c>
      <c r="X385">
        <v>0.25</v>
      </c>
      <c r="Y385">
        <v>0.67</v>
      </c>
      <c r="Z385">
        <v>0.3</v>
      </c>
      <c r="AB385">
        <v>3</v>
      </c>
      <c r="AE385">
        <v>3</v>
      </c>
      <c r="AH385">
        <v>150</v>
      </c>
      <c r="AJ385">
        <v>0</v>
      </c>
    </row>
    <row r="386" spans="1:36" x14ac:dyDescent="0.3">
      <c r="A386" t="s">
        <v>279</v>
      </c>
      <c r="B386" t="s">
        <v>256</v>
      </c>
      <c r="C386" t="s">
        <v>255</v>
      </c>
      <c r="D386">
        <v>4029</v>
      </c>
      <c r="E386">
        <v>20</v>
      </c>
      <c r="F386">
        <v>0.05</v>
      </c>
      <c r="G386">
        <v>0</v>
      </c>
      <c r="H386">
        <v>1.05</v>
      </c>
      <c r="I386">
        <v>1</v>
      </c>
      <c r="J386">
        <v>8</v>
      </c>
      <c r="K386">
        <v>10.3</v>
      </c>
      <c r="L386">
        <v>0.1</v>
      </c>
      <c r="M386">
        <v>0.3</v>
      </c>
      <c r="N386">
        <v>0.4</v>
      </c>
      <c r="O386">
        <v>1.5</v>
      </c>
      <c r="P386">
        <v>25</v>
      </c>
      <c r="S386">
        <v>3.54</v>
      </c>
      <c r="T386">
        <v>0.05</v>
      </c>
      <c r="U386">
        <v>0.7</v>
      </c>
      <c r="V386">
        <v>1</v>
      </c>
      <c r="W386">
        <v>2.5</v>
      </c>
      <c r="X386">
        <v>0.35</v>
      </c>
      <c r="Y386">
        <v>0.4</v>
      </c>
      <c r="Z386">
        <v>0.3</v>
      </c>
      <c r="AB386">
        <v>3</v>
      </c>
      <c r="AE386">
        <v>3</v>
      </c>
      <c r="AH386">
        <v>150</v>
      </c>
      <c r="AJ386">
        <v>0</v>
      </c>
    </row>
    <row r="387" spans="1:36" x14ac:dyDescent="0.3">
      <c r="A387" t="s">
        <v>278</v>
      </c>
      <c r="B387" t="s">
        <v>256</v>
      </c>
      <c r="C387" t="s">
        <v>255</v>
      </c>
      <c r="D387">
        <v>4040</v>
      </c>
      <c r="E387">
        <v>20</v>
      </c>
      <c r="F387">
        <v>0</v>
      </c>
      <c r="G387">
        <v>0</v>
      </c>
      <c r="H387">
        <v>4.33</v>
      </c>
      <c r="I387">
        <v>0</v>
      </c>
      <c r="J387">
        <v>8</v>
      </c>
      <c r="K387">
        <v>11</v>
      </c>
      <c r="L387">
        <v>0.1</v>
      </c>
      <c r="M387">
        <v>0.3</v>
      </c>
      <c r="N387">
        <v>0.67</v>
      </c>
      <c r="O387">
        <v>1.5</v>
      </c>
      <c r="P387">
        <v>25</v>
      </c>
      <c r="S387">
        <v>4</v>
      </c>
      <c r="T387">
        <v>0.42</v>
      </c>
      <c r="U387">
        <v>0.53</v>
      </c>
      <c r="V387">
        <v>2</v>
      </c>
      <c r="W387">
        <v>2.5</v>
      </c>
      <c r="X387">
        <v>0.25</v>
      </c>
      <c r="Y387">
        <v>0.67</v>
      </c>
      <c r="Z387">
        <v>0.3</v>
      </c>
      <c r="AB387">
        <v>3</v>
      </c>
      <c r="AE387">
        <v>3</v>
      </c>
      <c r="AH387">
        <v>150</v>
      </c>
      <c r="AJ387">
        <v>0</v>
      </c>
    </row>
    <row r="388" spans="1:36" x14ac:dyDescent="0.3">
      <c r="A388" t="s">
        <v>277</v>
      </c>
      <c r="B388" t="s">
        <v>256</v>
      </c>
      <c r="C388" t="s">
        <v>255</v>
      </c>
      <c r="D388">
        <v>4053</v>
      </c>
      <c r="E388">
        <v>20</v>
      </c>
      <c r="F388">
        <v>0.34</v>
      </c>
      <c r="G388">
        <v>0</v>
      </c>
      <c r="H388">
        <v>1.18</v>
      </c>
      <c r="I388">
        <v>1.7</v>
      </c>
      <c r="J388">
        <v>8</v>
      </c>
      <c r="K388">
        <v>6</v>
      </c>
      <c r="L388">
        <v>0.1</v>
      </c>
      <c r="M388">
        <v>0.3</v>
      </c>
      <c r="N388">
        <v>0.67</v>
      </c>
      <c r="O388">
        <v>1.5</v>
      </c>
      <c r="P388">
        <v>25</v>
      </c>
      <c r="S388">
        <v>2.46</v>
      </c>
      <c r="T388">
        <v>1.08</v>
      </c>
      <c r="U388">
        <v>0.67</v>
      </c>
      <c r="V388">
        <v>5.3</v>
      </c>
      <c r="W388">
        <v>3.4</v>
      </c>
      <c r="X388">
        <v>0.25</v>
      </c>
      <c r="Y388">
        <v>0.67</v>
      </c>
      <c r="Z388">
        <v>0.3</v>
      </c>
      <c r="AB388">
        <v>2.11</v>
      </c>
      <c r="AE388">
        <v>3</v>
      </c>
      <c r="AH388">
        <v>150</v>
      </c>
      <c r="AJ388">
        <v>0</v>
      </c>
    </row>
    <row r="389" spans="1:36" x14ac:dyDescent="0.3">
      <c r="A389" t="s">
        <v>255</v>
      </c>
      <c r="B389" t="s">
        <v>256</v>
      </c>
      <c r="C389" t="s">
        <v>255</v>
      </c>
      <c r="D389">
        <v>4150</v>
      </c>
      <c r="E389">
        <v>20</v>
      </c>
      <c r="F389">
        <v>0</v>
      </c>
      <c r="G389">
        <v>0</v>
      </c>
      <c r="H389">
        <v>0</v>
      </c>
      <c r="I389">
        <v>5</v>
      </c>
      <c r="J389">
        <v>8</v>
      </c>
      <c r="K389">
        <v>11</v>
      </c>
      <c r="L389">
        <v>0.1</v>
      </c>
      <c r="M389">
        <v>0.3</v>
      </c>
      <c r="N389">
        <v>0.35</v>
      </c>
      <c r="O389">
        <v>1.5</v>
      </c>
      <c r="P389">
        <v>25</v>
      </c>
      <c r="S389">
        <v>3.5</v>
      </c>
      <c r="T389">
        <v>0</v>
      </c>
      <c r="U389">
        <v>0</v>
      </c>
      <c r="V389">
        <v>2</v>
      </c>
      <c r="W389">
        <v>2.5</v>
      </c>
      <c r="X389">
        <v>0.15</v>
      </c>
      <c r="Y389">
        <v>0.2</v>
      </c>
      <c r="Z389">
        <v>0.3</v>
      </c>
      <c r="AB389">
        <v>3</v>
      </c>
      <c r="AE389">
        <v>3</v>
      </c>
      <c r="AH389">
        <v>150</v>
      </c>
      <c r="AJ389">
        <v>0</v>
      </c>
    </row>
    <row r="390" spans="1:36" x14ac:dyDescent="0.3">
      <c r="A390" t="s">
        <v>276</v>
      </c>
      <c r="B390" t="s">
        <v>256</v>
      </c>
      <c r="C390" t="s">
        <v>255</v>
      </c>
      <c r="D390">
        <v>6104</v>
      </c>
      <c r="E390">
        <v>60</v>
      </c>
      <c r="F390">
        <v>0</v>
      </c>
      <c r="G390">
        <v>0</v>
      </c>
      <c r="H390">
        <v>2</v>
      </c>
      <c r="I390">
        <v>5</v>
      </c>
      <c r="J390">
        <v>8</v>
      </c>
      <c r="K390">
        <v>11</v>
      </c>
      <c r="L390">
        <v>0.1</v>
      </c>
      <c r="M390">
        <v>1</v>
      </c>
      <c r="N390">
        <v>0.15</v>
      </c>
      <c r="O390">
        <v>2</v>
      </c>
      <c r="P390">
        <v>35</v>
      </c>
      <c r="S390">
        <v>4</v>
      </c>
      <c r="T390">
        <v>0</v>
      </c>
      <c r="U390">
        <v>0.75</v>
      </c>
      <c r="V390">
        <v>4</v>
      </c>
      <c r="W390">
        <v>3.5</v>
      </c>
      <c r="X390">
        <v>0.15</v>
      </c>
      <c r="Y390">
        <v>0.2</v>
      </c>
      <c r="Z390">
        <v>0.3</v>
      </c>
      <c r="AB390">
        <v>3</v>
      </c>
      <c r="AE390">
        <v>3.5</v>
      </c>
      <c r="AH390">
        <v>150</v>
      </c>
      <c r="AJ390">
        <v>1</v>
      </c>
    </row>
    <row r="391" spans="1:36" x14ac:dyDescent="0.3">
      <c r="A391" t="s">
        <v>275</v>
      </c>
      <c r="B391" t="s">
        <v>256</v>
      </c>
      <c r="C391" t="s">
        <v>255</v>
      </c>
      <c r="D391">
        <v>2151</v>
      </c>
      <c r="E391">
        <v>40</v>
      </c>
      <c r="F391">
        <v>0.5</v>
      </c>
      <c r="G391">
        <v>0</v>
      </c>
      <c r="H391">
        <v>0</v>
      </c>
      <c r="I391">
        <v>1</v>
      </c>
      <c r="J391">
        <v>8</v>
      </c>
      <c r="K391">
        <v>8</v>
      </c>
      <c r="L391">
        <v>0.1</v>
      </c>
      <c r="M391">
        <v>1</v>
      </c>
      <c r="N391">
        <v>0.75</v>
      </c>
      <c r="O391">
        <v>1.3</v>
      </c>
      <c r="P391">
        <v>25</v>
      </c>
      <c r="S391">
        <v>2.8</v>
      </c>
      <c r="T391">
        <v>0.1</v>
      </c>
      <c r="U391">
        <v>0</v>
      </c>
      <c r="V391">
        <v>1</v>
      </c>
      <c r="W391">
        <v>1</v>
      </c>
      <c r="X391">
        <v>0.3</v>
      </c>
      <c r="Y391">
        <v>0.75</v>
      </c>
      <c r="Z391">
        <v>0.3</v>
      </c>
      <c r="AB391">
        <v>2.4</v>
      </c>
      <c r="AE391">
        <v>5</v>
      </c>
      <c r="AH391">
        <v>150</v>
      </c>
      <c r="AJ391">
        <v>0</v>
      </c>
    </row>
    <row r="392" spans="1:36" x14ac:dyDescent="0.3">
      <c r="A392" t="s">
        <v>266</v>
      </c>
      <c r="B392" t="s">
        <v>256</v>
      </c>
      <c r="C392" t="s">
        <v>255</v>
      </c>
      <c r="D392">
        <v>2152</v>
      </c>
      <c r="E392">
        <v>60</v>
      </c>
      <c r="F392">
        <v>1.38</v>
      </c>
      <c r="G392">
        <v>0</v>
      </c>
      <c r="H392">
        <v>1</v>
      </c>
      <c r="I392">
        <v>3.88</v>
      </c>
      <c r="J392">
        <v>6.9</v>
      </c>
      <c r="K392">
        <v>11</v>
      </c>
      <c r="L392">
        <v>0.1</v>
      </c>
      <c r="M392">
        <v>1</v>
      </c>
      <c r="N392">
        <v>0.35</v>
      </c>
      <c r="O392">
        <v>2</v>
      </c>
      <c r="P392">
        <v>25</v>
      </c>
      <c r="S392">
        <v>3.7</v>
      </c>
      <c r="T392">
        <v>0.1</v>
      </c>
      <c r="U392">
        <v>0</v>
      </c>
      <c r="V392">
        <v>3</v>
      </c>
      <c r="W392">
        <v>2</v>
      </c>
      <c r="X392">
        <v>0.15</v>
      </c>
      <c r="Y392">
        <v>0.35</v>
      </c>
      <c r="Z392">
        <v>0.3</v>
      </c>
      <c r="AB392">
        <v>3</v>
      </c>
      <c r="AE392">
        <v>4.5</v>
      </c>
      <c r="AH392">
        <v>150</v>
      </c>
      <c r="AJ392">
        <v>0</v>
      </c>
    </row>
    <row r="393" spans="1:36" x14ac:dyDescent="0.3">
      <c r="A393" t="s">
        <v>265</v>
      </c>
      <c r="B393" t="s">
        <v>256</v>
      </c>
      <c r="C393" t="s">
        <v>255</v>
      </c>
      <c r="D393">
        <v>2153</v>
      </c>
      <c r="E393">
        <v>40</v>
      </c>
      <c r="F393">
        <v>1.1299999999999999</v>
      </c>
      <c r="G393">
        <v>0</v>
      </c>
      <c r="H393">
        <v>1</v>
      </c>
      <c r="I393">
        <v>3.5</v>
      </c>
      <c r="J393">
        <v>9.6</v>
      </c>
      <c r="K393">
        <v>11</v>
      </c>
      <c r="L393">
        <v>0.1</v>
      </c>
      <c r="M393">
        <v>1</v>
      </c>
      <c r="N393">
        <v>0.35</v>
      </c>
      <c r="O393">
        <v>1.7</v>
      </c>
      <c r="P393">
        <v>25</v>
      </c>
      <c r="S393">
        <v>3.8</v>
      </c>
      <c r="T393">
        <v>0.1</v>
      </c>
      <c r="U393">
        <v>0</v>
      </c>
      <c r="V393">
        <v>2</v>
      </c>
      <c r="W393">
        <v>0</v>
      </c>
      <c r="X393">
        <v>0.15</v>
      </c>
      <c r="Y393">
        <v>0.35</v>
      </c>
      <c r="Z393">
        <v>0.3</v>
      </c>
      <c r="AB393">
        <v>3</v>
      </c>
      <c r="AE393">
        <v>4.5</v>
      </c>
      <c r="AH393">
        <v>150</v>
      </c>
      <c r="AJ393">
        <v>0</v>
      </c>
    </row>
    <row r="394" spans="1:36" x14ac:dyDescent="0.3">
      <c r="A394" t="s">
        <v>274</v>
      </c>
      <c r="B394" t="s">
        <v>256</v>
      </c>
      <c r="C394" t="s">
        <v>255</v>
      </c>
      <c r="D394">
        <v>2154</v>
      </c>
      <c r="E394">
        <v>35</v>
      </c>
      <c r="F394">
        <v>1</v>
      </c>
      <c r="G394">
        <v>0</v>
      </c>
      <c r="H394">
        <v>1</v>
      </c>
      <c r="I394">
        <v>2.6</v>
      </c>
      <c r="J394">
        <v>8</v>
      </c>
      <c r="K394">
        <v>11</v>
      </c>
      <c r="L394">
        <v>0.1</v>
      </c>
      <c r="M394">
        <v>1</v>
      </c>
      <c r="N394">
        <v>0.2</v>
      </c>
      <c r="O394">
        <v>1.3</v>
      </c>
      <c r="P394">
        <v>25</v>
      </c>
      <c r="S394">
        <v>4</v>
      </c>
      <c r="T394">
        <v>0.1</v>
      </c>
      <c r="U394">
        <v>0</v>
      </c>
      <c r="V394">
        <v>2</v>
      </c>
      <c r="W394">
        <v>0</v>
      </c>
      <c r="X394">
        <v>0.15</v>
      </c>
      <c r="Y394">
        <v>0.2</v>
      </c>
      <c r="Z394">
        <v>0.3</v>
      </c>
      <c r="AB394">
        <v>3</v>
      </c>
      <c r="AE394">
        <v>3.5</v>
      </c>
      <c r="AH394">
        <v>150</v>
      </c>
      <c r="AJ394">
        <v>1</v>
      </c>
    </row>
    <row r="395" spans="1:36" x14ac:dyDescent="0.3">
      <c r="A395" t="s">
        <v>273</v>
      </c>
      <c r="B395" t="s">
        <v>256</v>
      </c>
      <c r="C395" t="s">
        <v>255</v>
      </c>
      <c r="D395">
        <v>2161</v>
      </c>
      <c r="E395">
        <v>20</v>
      </c>
      <c r="F395">
        <v>0.3</v>
      </c>
      <c r="G395">
        <v>0</v>
      </c>
      <c r="H395">
        <v>5</v>
      </c>
      <c r="I395">
        <v>5</v>
      </c>
      <c r="J395">
        <v>4.5</v>
      </c>
      <c r="K395">
        <v>11.2</v>
      </c>
      <c r="L395">
        <v>0.12</v>
      </c>
      <c r="M395">
        <v>1</v>
      </c>
      <c r="N395">
        <v>0.13</v>
      </c>
      <c r="O395">
        <v>1.3</v>
      </c>
      <c r="P395">
        <v>25</v>
      </c>
      <c r="S395">
        <v>3.7</v>
      </c>
      <c r="T395">
        <v>0</v>
      </c>
      <c r="U395">
        <v>0</v>
      </c>
      <c r="V395">
        <v>3.75</v>
      </c>
      <c r="W395">
        <v>7.6</v>
      </c>
      <c r="X395">
        <v>0.4</v>
      </c>
      <c r="Y395">
        <v>0.13</v>
      </c>
      <c r="Z395">
        <v>0.3</v>
      </c>
      <c r="AB395">
        <v>3</v>
      </c>
      <c r="AE395">
        <v>3.5</v>
      </c>
      <c r="AH395">
        <v>150</v>
      </c>
      <c r="AJ395">
        <v>1</v>
      </c>
    </row>
    <row r="396" spans="1:36" x14ac:dyDescent="0.3">
      <c r="A396" t="s">
        <v>272</v>
      </c>
      <c r="B396" t="s">
        <v>256</v>
      </c>
      <c r="C396" t="s">
        <v>255</v>
      </c>
      <c r="D396">
        <v>2162</v>
      </c>
      <c r="E396">
        <v>30</v>
      </c>
      <c r="F396">
        <v>0.1</v>
      </c>
      <c r="G396">
        <v>0</v>
      </c>
      <c r="H396">
        <v>0</v>
      </c>
      <c r="I396">
        <v>0.3</v>
      </c>
      <c r="J396">
        <v>4.5</v>
      </c>
      <c r="K396">
        <v>11.3</v>
      </c>
      <c r="L396">
        <v>0.2</v>
      </c>
      <c r="M396">
        <v>1</v>
      </c>
      <c r="N396">
        <v>0.68</v>
      </c>
      <c r="O396">
        <v>1.3</v>
      </c>
      <c r="P396">
        <v>25</v>
      </c>
      <c r="S396">
        <v>3</v>
      </c>
      <c r="T396">
        <v>0</v>
      </c>
      <c r="U396">
        <v>0</v>
      </c>
      <c r="V396">
        <v>0.4</v>
      </c>
      <c r="W396">
        <v>0</v>
      </c>
      <c r="X396">
        <v>0.2</v>
      </c>
      <c r="Y396">
        <v>0.68</v>
      </c>
      <c r="Z396">
        <v>0.3</v>
      </c>
      <c r="AB396">
        <v>2.6</v>
      </c>
      <c r="AE396">
        <v>2.5</v>
      </c>
      <c r="AH396">
        <v>150</v>
      </c>
      <c r="AJ396">
        <v>0</v>
      </c>
    </row>
    <row r="397" spans="1:36" x14ac:dyDescent="0.3">
      <c r="A397" t="s">
        <v>260</v>
      </c>
      <c r="B397" t="s">
        <v>256</v>
      </c>
      <c r="C397" t="s">
        <v>255</v>
      </c>
      <c r="D397">
        <v>7151</v>
      </c>
      <c r="E397">
        <v>40</v>
      </c>
      <c r="F397">
        <v>0</v>
      </c>
      <c r="G397">
        <v>0</v>
      </c>
      <c r="H397">
        <v>0</v>
      </c>
      <c r="I397">
        <v>0.3</v>
      </c>
      <c r="J397">
        <v>8</v>
      </c>
      <c r="K397">
        <v>9.1</v>
      </c>
      <c r="L397">
        <v>0.25</v>
      </c>
      <c r="M397">
        <v>0</v>
      </c>
      <c r="N397">
        <v>0.2</v>
      </c>
      <c r="O397">
        <v>1.5</v>
      </c>
      <c r="P397">
        <v>25</v>
      </c>
      <c r="S397">
        <v>2.8</v>
      </c>
      <c r="T397">
        <v>0</v>
      </c>
      <c r="U397">
        <v>0</v>
      </c>
      <c r="V397">
        <v>0.4</v>
      </c>
      <c r="W397">
        <v>0</v>
      </c>
      <c r="X397">
        <v>0.35</v>
      </c>
      <c r="Y397">
        <v>0.2</v>
      </c>
      <c r="Z397">
        <v>0.3</v>
      </c>
      <c r="AB397">
        <v>2.4</v>
      </c>
      <c r="AE397">
        <v>5</v>
      </c>
      <c r="AH397">
        <v>150</v>
      </c>
      <c r="AJ397">
        <v>0</v>
      </c>
    </row>
    <row r="398" spans="1:36" x14ac:dyDescent="0.3">
      <c r="A398" t="s">
        <v>259</v>
      </c>
      <c r="B398" t="s">
        <v>256</v>
      </c>
      <c r="C398" t="s">
        <v>255</v>
      </c>
      <c r="D398">
        <v>7152</v>
      </c>
      <c r="E398">
        <v>40</v>
      </c>
      <c r="F398">
        <v>0</v>
      </c>
      <c r="G398">
        <v>0</v>
      </c>
      <c r="H398">
        <v>0</v>
      </c>
      <c r="I398">
        <v>5</v>
      </c>
      <c r="J398">
        <v>8</v>
      </c>
      <c r="K398">
        <v>11</v>
      </c>
      <c r="L398">
        <v>0.2</v>
      </c>
      <c r="M398">
        <v>0</v>
      </c>
      <c r="N398">
        <v>0.4</v>
      </c>
      <c r="O398">
        <v>1.5</v>
      </c>
      <c r="P398">
        <v>25</v>
      </c>
      <c r="S398">
        <v>3.5</v>
      </c>
      <c r="T398">
        <v>0</v>
      </c>
      <c r="U398">
        <v>0</v>
      </c>
      <c r="V398">
        <v>0.4</v>
      </c>
      <c r="W398">
        <v>0</v>
      </c>
      <c r="X398">
        <v>0.25</v>
      </c>
      <c r="Y398">
        <v>0.2</v>
      </c>
      <c r="Z398">
        <v>0.3</v>
      </c>
      <c r="AB398">
        <v>3</v>
      </c>
      <c r="AE398">
        <v>4.5</v>
      </c>
      <c r="AH398">
        <v>150</v>
      </c>
      <c r="AJ398">
        <v>1</v>
      </c>
    </row>
    <row r="399" spans="1:36" x14ac:dyDescent="0.3">
      <c r="A399" t="s">
        <v>271</v>
      </c>
      <c r="B399" t="s">
        <v>256</v>
      </c>
      <c r="C399" t="s">
        <v>255</v>
      </c>
      <c r="D399">
        <v>7153</v>
      </c>
      <c r="E399">
        <v>40</v>
      </c>
      <c r="F399">
        <v>0</v>
      </c>
      <c r="G399">
        <v>0</v>
      </c>
      <c r="H399">
        <v>0</v>
      </c>
      <c r="I399">
        <v>5</v>
      </c>
      <c r="J399">
        <v>8</v>
      </c>
      <c r="K399">
        <v>11</v>
      </c>
      <c r="L399">
        <v>0.25</v>
      </c>
      <c r="M399">
        <v>0</v>
      </c>
      <c r="N399">
        <v>0.15</v>
      </c>
      <c r="O399">
        <v>1.5</v>
      </c>
      <c r="P399">
        <v>25</v>
      </c>
      <c r="S399">
        <v>3.8</v>
      </c>
      <c r="T399">
        <v>0</v>
      </c>
      <c r="U399">
        <v>0</v>
      </c>
      <c r="V399">
        <v>6</v>
      </c>
      <c r="W399">
        <v>0</v>
      </c>
      <c r="X399">
        <v>0.25</v>
      </c>
      <c r="Y399">
        <v>0.2</v>
      </c>
      <c r="Z399">
        <v>0.3</v>
      </c>
      <c r="AB399">
        <v>3</v>
      </c>
      <c r="AE399">
        <v>4.5</v>
      </c>
      <c r="AH399">
        <v>150</v>
      </c>
      <c r="AJ399">
        <v>1</v>
      </c>
    </row>
    <row r="400" spans="1:36" x14ac:dyDescent="0.3">
      <c r="A400" t="s">
        <v>263</v>
      </c>
      <c r="B400" t="s">
        <v>256</v>
      </c>
      <c r="C400" t="s">
        <v>255</v>
      </c>
      <c r="D400">
        <v>7154</v>
      </c>
      <c r="E400">
        <v>40</v>
      </c>
      <c r="F400">
        <v>0</v>
      </c>
      <c r="G400">
        <v>0</v>
      </c>
      <c r="H400">
        <v>0</v>
      </c>
      <c r="I400">
        <v>5</v>
      </c>
      <c r="J400">
        <v>8</v>
      </c>
      <c r="K400">
        <v>11</v>
      </c>
      <c r="L400">
        <v>0.2</v>
      </c>
      <c r="M400">
        <v>0</v>
      </c>
      <c r="N400">
        <v>0.31</v>
      </c>
      <c r="O400">
        <v>1.5</v>
      </c>
      <c r="P400">
        <v>25</v>
      </c>
      <c r="S400">
        <v>4</v>
      </c>
      <c r="T400">
        <v>0</v>
      </c>
      <c r="U400">
        <v>0</v>
      </c>
      <c r="V400">
        <v>6</v>
      </c>
      <c r="W400">
        <v>0</v>
      </c>
      <c r="X400">
        <v>0.3</v>
      </c>
      <c r="Y400">
        <v>0.2</v>
      </c>
      <c r="Z400">
        <v>0.3</v>
      </c>
      <c r="AB400">
        <v>3</v>
      </c>
      <c r="AE400">
        <v>4.5</v>
      </c>
      <c r="AH400">
        <v>150</v>
      </c>
      <c r="AJ400">
        <v>1</v>
      </c>
    </row>
    <row r="401" spans="1:36" x14ac:dyDescent="0.3">
      <c r="A401" t="s">
        <v>270</v>
      </c>
      <c r="B401" t="s">
        <v>256</v>
      </c>
      <c r="C401" t="s">
        <v>255</v>
      </c>
      <c r="D401">
        <v>7155</v>
      </c>
      <c r="E401">
        <v>20</v>
      </c>
      <c r="F401">
        <v>0</v>
      </c>
      <c r="G401">
        <v>0</v>
      </c>
      <c r="H401">
        <v>0</v>
      </c>
      <c r="I401">
        <v>1.8</v>
      </c>
      <c r="J401">
        <v>8</v>
      </c>
      <c r="K401">
        <v>10.1</v>
      </c>
      <c r="L401">
        <v>0.25</v>
      </c>
      <c r="M401">
        <v>0</v>
      </c>
      <c r="N401">
        <v>0.2</v>
      </c>
      <c r="O401">
        <v>1.5</v>
      </c>
      <c r="P401">
        <v>25</v>
      </c>
      <c r="S401">
        <v>3</v>
      </c>
      <c r="T401">
        <v>0</v>
      </c>
      <c r="U401">
        <v>0</v>
      </c>
      <c r="V401">
        <v>3.6</v>
      </c>
      <c r="W401">
        <v>0</v>
      </c>
      <c r="X401">
        <v>0.15</v>
      </c>
      <c r="Y401">
        <v>0.2</v>
      </c>
      <c r="Z401">
        <v>0.3</v>
      </c>
      <c r="AB401">
        <v>2.6</v>
      </c>
      <c r="AE401">
        <v>4</v>
      </c>
      <c r="AH401">
        <v>150</v>
      </c>
      <c r="AJ401">
        <v>0</v>
      </c>
    </row>
    <row r="402" spans="1:36" x14ac:dyDescent="0.3">
      <c r="A402" t="s">
        <v>269</v>
      </c>
      <c r="B402" t="s">
        <v>256</v>
      </c>
      <c r="C402" t="s">
        <v>255</v>
      </c>
      <c r="D402">
        <v>7156</v>
      </c>
      <c r="E402">
        <v>20</v>
      </c>
      <c r="F402">
        <v>0</v>
      </c>
      <c r="G402">
        <v>0</v>
      </c>
      <c r="H402">
        <v>0</v>
      </c>
      <c r="I402">
        <v>5</v>
      </c>
      <c r="J402">
        <v>8</v>
      </c>
      <c r="K402">
        <v>11</v>
      </c>
      <c r="L402">
        <v>0.25</v>
      </c>
      <c r="M402">
        <v>0</v>
      </c>
      <c r="N402">
        <v>0.67</v>
      </c>
      <c r="O402">
        <v>1.5</v>
      </c>
      <c r="P402">
        <v>25</v>
      </c>
      <c r="S402">
        <v>3.8</v>
      </c>
      <c r="T402">
        <v>0</v>
      </c>
      <c r="U402">
        <v>0</v>
      </c>
      <c r="V402">
        <v>6</v>
      </c>
      <c r="W402">
        <v>0</v>
      </c>
      <c r="X402">
        <v>0.25</v>
      </c>
      <c r="Y402">
        <v>0.2</v>
      </c>
      <c r="Z402">
        <v>0.3</v>
      </c>
      <c r="AB402">
        <v>3</v>
      </c>
      <c r="AE402">
        <v>4</v>
      </c>
      <c r="AH402">
        <v>150</v>
      </c>
      <c r="AJ402">
        <v>1</v>
      </c>
    </row>
    <row r="403" spans="1:36" x14ac:dyDescent="0.3">
      <c r="A403" t="s">
        <v>258</v>
      </c>
      <c r="B403" t="s">
        <v>256</v>
      </c>
      <c r="C403" t="s">
        <v>255</v>
      </c>
      <c r="D403">
        <v>7157</v>
      </c>
      <c r="E403">
        <v>20</v>
      </c>
      <c r="F403">
        <v>0</v>
      </c>
      <c r="G403">
        <v>0</v>
      </c>
      <c r="H403">
        <v>0</v>
      </c>
      <c r="I403">
        <v>0.5</v>
      </c>
      <c r="J403">
        <v>8</v>
      </c>
      <c r="K403">
        <v>2.6</v>
      </c>
      <c r="L403">
        <v>0.15</v>
      </c>
      <c r="M403">
        <v>0</v>
      </c>
      <c r="N403">
        <v>0.25</v>
      </c>
      <c r="O403">
        <v>1.5</v>
      </c>
      <c r="P403">
        <v>25</v>
      </c>
      <c r="S403">
        <v>1</v>
      </c>
      <c r="T403">
        <v>0</v>
      </c>
      <c r="U403">
        <v>0</v>
      </c>
      <c r="V403">
        <v>0.1</v>
      </c>
      <c r="W403">
        <v>0</v>
      </c>
      <c r="X403">
        <v>0.35</v>
      </c>
      <c r="Y403">
        <v>0.2</v>
      </c>
      <c r="Z403">
        <v>0.3</v>
      </c>
      <c r="AB403">
        <v>0.9</v>
      </c>
      <c r="AE403">
        <v>4</v>
      </c>
      <c r="AH403">
        <v>150</v>
      </c>
      <c r="AJ403">
        <v>0</v>
      </c>
    </row>
    <row r="404" spans="1:36" x14ac:dyDescent="0.3">
      <c r="A404" t="s">
        <v>268</v>
      </c>
      <c r="B404" t="s">
        <v>256</v>
      </c>
      <c r="C404" t="s">
        <v>255</v>
      </c>
      <c r="D404">
        <v>7158</v>
      </c>
      <c r="E404">
        <v>20</v>
      </c>
      <c r="F404">
        <v>0</v>
      </c>
      <c r="G404">
        <v>0</v>
      </c>
      <c r="H404">
        <v>0</v>
      </c>
      <c r="I404">
        <v>1.8</v>
      </c>
      <c r="J404">
        <v>8</v>
      </c>
      <c r="K404">
        <v>5.8</v>
      </c>
      <c r="L404">
        <v>0.15</v>
      </c>
      <c r="M404">
        <v>0</v>
      </c>
      <c r="N404">
        <v>0.2</v>
      </c>
      <c r="O404">
        <v>1.5</v>
      </c>
      <c r="P404">
        <v>25</v>
      </c>
      <c r="S404">
        <v>2</v>
      </c>
      <c r="T404">
        <v>0</v>
      </c>
      <c r="U404">
        <v>0</v>
      </c>
      <c r="V404">
        <v>6</v>
      </c>
      <c r="W404">
        <v>0</v>
      </c>
      <c r="X404">
        <v>0.35</v>
      </c>
      <c r="Y404">
        <v>0.2</v>
      </c>
      <c r="Z404">
        <v>0.3</v>
      </c>
      <c r="AB404">
        <v>1.7</v>
      </c>
      <c r="AE404">
        <v>4</v>
      </c>
      <c r="AH404">
        <v>150</v>
      </c>
      <c r="AJ404">
        <v>0</v>
      </c>
    </row>
    <row r="405" spans="1:36" x14ac:dyDescent="0.3">
      <c r="A405" t="s">
        <v>267</v>
      </c>
      <c r="B405" t="s">
        <v>256</v>
      </c>
      <c r="C405" t="s">
        <v>255</v>
      </c>
      <c r="D405">
        <v>7159</v>
      </c>
      <c r="E405">
        <v>20</v>
      </c>
      <c r="F405">
        <v>0</v>
      </c>
      <c r="G405">
        <v>0</v>
      </c>
      <c r="H405">
        <v>0</v>
      </c>
      <c r="I405">
        <v>0</v>
      </c>
      <c r="J405">
        <v>8</v>
      </c>
      <c r="K405">
        <v>9.1</v>
      </c>
      <c r="L405">
        <v>0</v>
      </c>
      <c r="M405">
        <v>0</v>
      </c>
      <c r="N405">
        <v>0.2</v>
      </c>
      <c r="O405">
        <v>1.5</v>
      </c>
      <c r="P405">
        <v>25</v>
      </c>
      <c r="S405">
        <v>2.8</v>
      </c>
      <c r="T405">
        <v>0</v>
      </c>
      <c r="U405">
        <v>0</v>
      </c>
      <c r="V405">
        <v>4.5</v>
      </c>
      <c r="W405">
        <v>0</v>
      </c>
      <c r="X405">
        <v>0.25</v>
      </c>
      <c r="Y405">
        <v>0.2</v>
      </c>
      <c r="Z405">
        <v>0.3</v>
      </c>
      <c r="AB405">
        <v>2.4</v>
      </c>
      <c r="AE405">
        <v>2.5</v>
      </c>
      <c r="AH405">
        <v>150</v>
      </c>
      <c r="AJ405">
        <v>0</v>
      </c>
    </row>
    <row r="406" spans="1:36" x14ac:dyDescent="0.3">
      <c r="A406" t="s">
        <v>266</v>
      </c>
      <c r="B406" t="s">
        <v>256</v>
      </c>
      <c r="C406" t="s">
        <v>255</v>
      </c>
      <c r="D406">
        <v>1152</v>
      </c>
      <c r="E406">
        <v>60</v>
      </c>
      <c r="F406">
        <v>1.38</v>
      </c>
      <c r="G406">
        <v>0</v>
      </c>
      <c r="H406">
        <v>1</v>
      </c>
      <c r="I406">
        <v>3.88</v>
      </c>
      <c r="J406">
        <v>6.9</v>
      </c>
      <c r="K406">
        <v>11</v>
      </c>
      <c r="L406">
        <v>0.1</v>
      </c>
      <c r="M406">
        <v>1</v>
      </c>
      <c r="N406">
        <v>0.35</v>
      </c>
      <c r="O406">
        <v>2</v>
      </c>
      <c r="P406">
        <v>25</v>
      </c>
      <c r="S406">
        <v>3.7</v>
      </c>
      <c r="T406">
        <v>0.1</v>
      </c>
      <c r="U406">
        <v>0</v>
      </c>
      <c r="V406">
        <v>3</v>
      </c>
      <c r="W406">
        <v>2</v>
      </c>
      <c r="X406">
        <v>0.15</v>
      </c>
      <c r="Y406">
        <v>0.35</v>
      </c>
      <c r="Z406">
        <v>0.3</v>
      </c>
      <c r="AB406">
        <v>3</v>
      </c>
      <c r="AE406">
        <v>4.5</v>
      </c>
      <c r="AH406">
        <v>150</v>
      </c>
      <c r="AJ406">
        <v>0</v>
      </c>
    </row>
    <row r="407" spans="1:36" x14ac:dyDescent="0.3">
      <c r="A407" t="s">
        <v>265</v>
      </c>
      <c r="B407" t="s">
        <v>256</v>
      </c>
      <c r="C407" t="s">
        <v>255</v>
      </c>
      <c r="D407">
        <v>1153</v>
      </c>
      <c r="E407">
        <v>40</v>
      </c>
      <c r="F407">
        <v>1.1299999999999999</v>
      </c>
      <c r="G407">
        <v>0</v>
      </c>
      <c r="H407">
        <v>1</v>
      </c>
      <c r="I407">
        <v>3.5</v>
      </c>
      <c r="J407">
        <v>9.6</v>
      </c>
      <c r="K407">
        <v>11</v>
      </c>
      <c r="L407">
        <v>0.1</v>
      </c>
      <c r="M407">
        <v>1</v>
      </c>
      <c r="N407">
        <v>0.35</v>
      </c>
      <c r="O407">
        <v>1.7</v>
      </c>
      <c r="P407">
        <v>25</v>
      </c>
      <c r="S407">
        <v>3.8</v>
      </c>
      <c r="T407">
        <v>0.1</v>
      </c>
      <c r="U407">
        <v>0</v>
      </c>
      <c r="V407">
        <v>2</v>
      </c>
      <c r="W407">
        <v>0</v>
      </c>
      <c r="X407">
        <v>0.15</v>
      </c>
      <c r="Y407">
        <v>0.35</v>
      </c>
      <c r="Z407">
        <v>0.3</v>
      </c>
      <c r="AB407">
        <v>3</v>
      </c>
      <c r="AE407">
        <v>4.5</v>
      </c>
      <c r="AH407">
        <v>150</v>
      </c>
      <c r="AJ407">
        <v>0</v>
      </c>
    </row>
    <row r="408" spans="1:36" x14ac:dyDescent="0.3">
      <c r="A408" t="s">
        <v>264</v>
      </c>
      <c r="B408" t="s">
        <v>256</v>
      </c>
      <c r="C408" t="s">
        <v>255</v>
      </c>
      <c r="D408">
        <v>3002</v>
      </c>
      <c r="E408">
        <v>20</v>
      </c>
      <c r="F408">
        <v>0.3</v>
      </c>
      <c r="G408">
        <v>8</v>
      </c>
      <c r="H408">
        <v>5.8</v>
      </c>
      <c r="I408">
        <v>5</v>
      </c>
      <c r="J408">
        <v>8</v>
      </c>
      <c r="K408">
        <v>11</v>
      </c>
      <c r="L408">
        <v>0.25</v>
      </c>
      <c r="M408">
        <v>1</v>
      </c>
      <c r="N408">
        <v>0.2</v>
      </c>
      <c r="O408">
        <v>1.5</v>
      </c>
      <c r="P408">
        <v>25</v>
      </c>
      <c r="S408">
        <v>3.5</v>
      </c>
      <c r="T408">
        <v>0.1</v>
      </c>
      <c r="U408">
        <v>0</v>
      </c>
      <c r="V408">
        <v>6</v>
      </c>
      <c r="W408">
        <v>0</v>
      </c>
      <c r="X408">
        <v>0.15</v>
      </c>
      <c r="Y408">
        <v>0.2</v>
      </c>
      <c r="Z408">
        <v>0.3</v>
      </c>
      <c r="AB408">
        <v>3</v>
      </c>
      <c r="AE408">
        <v>3</v>
      </c>
      <c r="AH408">
        <v>150</v>
      </c>
      <c r="AJ408">
        <v>1</v>
      </c>
    </row>
    <row r="409" spans="1:36" x14ac:dyDescent="0.3">
      <c r="A409" t="s">
        <v>263</v>
      </c>
      <c r="B409" t="s">
        <v>256</v>
      </c>
      <c r="C409" t="s">
        <v>255</v>
      </c>
      <c r="D409">
        <v>3011</v>
      </c>
      <c r="E409">
        <v>40</v>
      </c>
      <c r="F409">
        <v>0.8</v>
      </c>
      <c r="G409">
        <v>8</v>
      </c>
      <c r="H409">
        <v>3.5</v>
      </c>
      <c r="I409">
        <v>5</v>
      </c>
      <c r="J409">
        <v>8</v>
      </c>
      <c r="K409">
        <v>11</v>
      </c>
      <c r="L409">
        <v>0.2</v>
      </c>
      <c r="M409">
        <v>1</v>
      </c>
      <c r="N409">
        <v>0.31</v>
      </c>
      <c r="O409">
        <v>1.5</v>
      </c>
      <c r="P409">
        <v>25</v>
      </c>
      <c r="S409">
        <v>4</v>
      </c>
      <c r="T409">
        <v>0.1</v>
      </c>
      <c r="U409">
        <v>0</v>
      </c>
      <c r="V409">
        <v>6</v>
      </c>
      <c r="W409">
        <v>0</v>
      </c>
      <c r="X409">
        <v>0.3</v>
      </c>
      <c r="Y409">
        <v>0.2</v>
      </c>
      <c r="Z409">
        <v>0.3</v>
      </c>
      <c r="AB409">
        <v>3</v>
      </c>
      <c r="AE409">
        <v>4.5</v>
      </c>
      <c r="AH409">
        <v>150</v>
      </c>
      <c r="AJ409">
        <v>1</v>
      </c>
    </row>
    <row r="410" spans="1:36" x14ac:dyDescent="0.3">
      <c r="A410" t="s">
        <v>262</v>
      </c>
      <c r="B410" t="s">
        <v>256</v>
      </c>
      <c r="C410" t="s">
        <v>255</v>
      </c>
      <c r="D410">
        <v>3012</v>
      </c>
      <c r="E410">
        <v>20</v>
      </c>
      <c r="F410">
        <v>0.1</v>
      </c>
      <c r="G410">
        <v>8</v>
      </c>
      <c r="H410">
        <v>4.0999999999999996</v>
      </c>
      <c r="I410">
        <v>5</v>
      </c>
      <c r="J410">
        <v>8</v>
      </c>
      <c r="K410">
        <v>11</v>
      </c>
      <c r="L410">
        <v>0.25</v>
      </c>
      <c r="M410">
        <v>1</v>
      </c>
      <c r="N410">
        <v>0.67</v>
      </c>
      <c r="O410">
        <v>1.5</v>
      </c>
      <c r="P410">
        <v>25</v>
      </c>
      <c r="S410">
        <v>3.84</v>
      </c>
      <c r="T410">
        <v>0.1</v>
      </c>
      <c r="U410">
        <v>0</v>
      </c>
      <c r="V410">
        <v>6</v>
      </c>
      <c r="W410">
        <v>0</v>
      </c>
      <c r="X410">
        <v>0.25</v>
      </c>
      <c r="Y410">
        <v>0.2</v>
      </c>
      <c r="Z410">
        <v>0.3</v>
      </c>
      <c r="AB410">
        <v>3</v>
      </c>
      <c r="AE410">
        <v>4</v>
      </c>
      <c r="AH410">
        <v>150</v>
      </c>
      <c r="AJ410">
        <v>1</v>
      </c>
    </row>
    <row r="411" spans="1:36" x14ac:dyDescent="0.3">
      <c r="A411" t="s">
        <v>261</v>
      </c>
      <c r="B411" t="s">
        <v>256</v>
      </c>
      <c r="C411" t="s">
        <v>255</v>
      </c>
      <c r="D411">
        <v>3013</v>
      </c>
      <c r="E411">
        <v>20</v>
      </c>
      <c r="F411">
        <v>0.3</v>
      </c>
      <c r="G411">
        <v>8</v>
      </c>
      <c r="H411">
        <v>2.6</v>
      </c>
      <c r="I411">
        <v>5</v>
      </c>
      <c r="J411">
        <v>8</v>
      </c>
      <c r="K411">
        <v>11</v>
      </c>
      <c r="L411">
        <v>0.12</v>
      </c>
      <c r="M411">
        <v>1</v>
      </c>
      <c r="N411">
        <v>0.2</v>
      </c>
      <c r="O411">
        <v>1.5</v>
      </c>
      <c r="P411">
        <v>25</v>
      </c>
      <c r="S411">
        <v>3.5</v>
      </c>
      <c r="T411">
        <v>0.1</v>
      </c>
      <c r="U411">
        <v>0</v>
      </c>
      <c r="V411">
        <v>4.5</v>
      </c>
      <c r="W411">
        <v>0</v>
      </c>
      <c r="X411">
        <v>0.15</v>
      </c>
      <c r="Y411">
        <v>0.2</v>
      </c>
      <c r="Z411">
        <v>0.3</v>
      </c>
      <c r="AB411">
        <v>3</v>
      </c>
      <c r="AE411">
        <v>5</v>
      </c>
      <c r="AH411">
        <v>150</v>
      </c>
      <c r="AJ411">
        <v>1</v>
      </c>
    </row>
    <row r="412" spans="1:36" x14ac:dyDescent="0.3">
      <c r="A412" t="s">
        <v>260</v>
      </c>
      <c r="B412" t="s">
        <v>256</v>
      </c>
      <c r="C412" t="s">
        <v>255</v>
      </c>
      <c r="D412">
        <v>3015</v>
      </c>
      <c r="E412">
        <v>20</v>
      </c>
      <c r="F412">
        <v>0.1</v>
      </c>
      <c r="G412">
        <v>8</v>
      </c>
      <c r="H412">
        <v>2.6</v>
      </c>
      <c r="I412">
        <v>0.3</v>
      </c>
      <c r="J412">
        <v>8</v>
      </c>
      <c r="K412">
        <v>9.1</v>
      </c>
      <c r="L412">
        <v>0.25</v>
      </c>
      <c r="M412">
        <v>1</v>
      </c>
      <c r="N412">
        <v>0.2</v>
      </c>
      <c r="O412">
        <v>1.5</v>
      </c>
      <c r="P412">
        <v>25</v>
      </c>
      <c r="S412">
        <v>2.8</v>
      </c>
      <c r="T412">
        <v>0.1</v>
      </c>
      <c r="U412">
        <v>0</v>
      </c>
      <c r="V412">
        <v>0.4</v>
      </c>
      <c r="W412">
        <v>0</v>
      </c>
      <c r="X412">
        <v>0.35</v>
      </c>
      <c r="Y412">
        <v>0.2</v>
      </c>
      <c r="Z412">
        <v>0.3</v>
      </c>
      <c r="AB412">
        <v>2.4</v>
      </c>
      <c r="AE412">
        <v>5</v>
      </c>
      <c r="AH412">
        <v>150</v>
      </c>
      <c r="AJ412">
        <v>0</v>
      </c>
    </row>
    <row r="413" spans="1:36" x14ac:dyDescent="0.3">
      <c r="A413" t="s">
        <v>259</v>
      </c>
      <c r="B413" t="s">
        <v>256</v>
      </c>
      <c r="C413" t="s">
        <v>255</v>
      </c>
      <c r="D413">
        <v>3032</v>
      </c>
      <c r="E413">
        <v>40</v>
      </c>
      <c r="F413">
        <v>0.8</v>
      </c>
      <c r="G413">
        <v>8</v>
      </c>
      <c r="H413">
        <v>4.0999999999999996</v>
      </c>
      <c r="I413">
        <v>5</v>
      </c>
      <c r="J413">
        <v>8</v>
      </c>
      <c r="K413">
        <v>11</v>
      </c>
      <c r="L413">
        <v>0.2</v>
      </c>
      <c r="M413">
        <v>1</v>
      </c>
      <c r="N413">
        <v>0.4</v>
      </c>
      <c r="O413">
        <v>1.5</v>
      </c>
      <c r="P413">
        <v>25</v>
      </c>
      <c r="S413">
        <v>3.5</v>
      </c>
      <c r="T413">
        <v>0</v>
      </c>
      <c r="U413">
        <v>0</v>
      </c>
      <c r="V413">
        <v>0.4</v>
      </c>
      <c r="W413">
        <v>0</v>
      </c>
      <c r="X413">
        <v>0.25</v>
      </c>
      <c r="Y413">
        <v>0.2</v>
      </c>
      <c r="Z413">
        <v>0.3</v>
      </c>
      <c r="AB413">
        <v>3</v>
      </c>
      <c r="AE413">
        <v>4.5</v>
      </c>
      <c r="AH413">
        <v>150</v>
      </c>
      <c r="AJ413">
        <v>1</v>
      </c>
    </row>
    <row r="414" spans="1:36" x14ac:dyDescent="0.3">
      <c r="A414" t="s">
        <v>258</v>
      </c>
      <c r="B414" t="s">
        <v>256</v>
      </c>
      <c r="C414" t="s">
        <v>255</v>
      </c>
      <c r="D414">
        <v>3033</v>
      </c>
      <c r="E414">
        <v>20</v>
      </c>
      <c r="F414">
        <v>0</v>
      </c>
      <c r="G414">
        <v>8</v>
      </c>
      <c r="H414">
        <v>0</v>
      </c>
      <c r="I414">
        <v>0.5</v>
      </c>
      <c r="J414">
        <v>8</v>
      </c>
      <c r="K414">
        <v>2.6</v>
      </c>
      <c r="L414">
        <v>0.15</v>
      </c>
      <c r="M414">
        <v>1</v>
      </c>
      <c r="N414">
        <v>0.25</v>
      </c>
      <c r="O414">
        <v>1.5</v>
      </c>
      <c r="P414">
        <v>25</v>
      </c>
      <c r="S414">
        <v>1</v>
      </c>
      <c r="T414">
        <v>0</v>
      </c>
      <c r="U414">
        <v>0</v>
      </c>
      <c r="V414">
        <v>0.1</v>
      </c>
      <c r="W414">
        <v>0</v>
      </c>
      <c r="X414">
        <v>0.35</v>
      </c>
      <c r="Y414">
        <v>0.2</v>
      </c>
      <c r="Z414">
        <v>0.3</v>
      </c>
      <c r="AB414">
        <v>0.86</v>
      </c>
      <c r="AE414">
        <v>4</v>
      </c>
      <c r="AH414">
        <v>150</v>
      </c>
      <c r="AJ414">
        <v>0</v>
      </c>
    </row>
    <row r="415" spans="1:36" x14ac:dyDescent="0.3">
      <c r="A415" t="s">
        <v>257</v>
      </c>
      <c r="B415" t="s">
        <v>256</v>
      </c>
      <c r="C415" t="s">
        <v>255</v>
      </c>
      <c r="D415">
        <v>3040</v>
      </c>
      <c r="E415">
        <v>40</v>
      </c>
      <c r="F415">
        <v>0.1</v>
      </c>
      <c r="G415">
        <v>8</v>
      </c>
      <c r="H415">
        <v>1.2</v>
      </c>
      <c r="I415">
        <v>5</v>
      </c>
      <c r="J415">
        <v>8</v>
      </c>
      <c r="K415">
        <v>11</v>
      </c>
      <c r="L415">
        <v>0.15</v>
      </c>
      <c r="M415">
        <v>1</v>
      </c>
      <c r="N415">
        <v>0.6</v>
      </c>
      <c r="O415">
        <v>1.5</v>
      </c>
      <c r="P415">
        <v>25</v>
      </c>
      <c r="S415">
        <v>3.5</v>
      </c>
      <c r="T415">
        <v>0</v>
      </c>
      <c r="U415">
        <v>0</v>
      </c>
      <c r="V415">
        <v>1.8</v>
      </c>
      <c r="W415">
        <v>0</v>
      </c>
      <c r="X415">
        <v>0.3</v>
      </c>
      <c r="Y415">
        <v>0.2</v>
      </c>
      <c r="Z415">
        <v>0.3</v>
      </c>
      <c r="AB415">
        <v>3</v>
      </c>
      <c r="AE415">
        <v>3.5</v>
      </c>
      <c r="AH415">
        <v>150</v>
      </c>
      <c r="AJ41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sts_sandbox"/>
  <dimension ref="A1:F9"/>
  <sheetViews>
    <sheetView workbookViewId="0">
      <selection activeCell="K32" sqref="K32"/>
    </sheetView>
  </sheetViews>
  <sheetFormatPr defaultRowHeight="14.4" x14ac:dyDescent="0.3"/>
  <cols>
    <col min="1" max="1" width="10.5546875" bestFit="1" customWidth="1"/>
    <col min="3" max="3" width="11.33203125" bestFit="1" customWidth="1"/>
  </cols>
  <sheetData>
    <row r="1" spans="1:6" x14ac:dyDescent="0.3">
      <c r="A1" t="s">
        <v>25</v>
      </c>
      <c r="B1" t="s">
        <v>26</v>
      </c>
      <c r="C1" s="1" t="s">
        <v>27</v>
      </c>
      <c r="D1" t="s">
        <v>28</v>
      </c>
    </row>
    <row r="2" spans="1:6" x14ac:dyDescent="0.3">
      <c r="A2" s="27">
        <v>2</v>
      </c>
      <c r="B2">
        <v>4</v>
      </c>
      <c r="C2" s="27">
        <f>A2+1</f>
        <v>3</v>
      </c>
      <c r="D2">
        <f>A2*B2</f>
        <v>8</v>
      </c>
    </row>
    <row r="3" spans="1:6" x14ac:dyDescent="0.3">
      <c r="A3" s="27">
        <v>2</v>
      </c>
      <c r="B3">
        <v>8</v>
      </c>
      <c r="C3" s="27">
        <f t="shared" ref="C3:C4" si="0">A3+1</f>
        <v>3</v>
      </c>
      <c r="D3">
        <f t="shared" ref="D3:D4" si="1">A3*B3</f>
        <v>16</v>
      </c>
    </row>
    <row r="4" spans="1:6" x14ac:dyDescent="0.3">
      <c r="A4" s="27">
        <v>4</v>
      </c>
      <c r="B4">
        <v>16</v>
      </c>
      <c r="C4" s="27">
        <f t="shared" si="0"/>
        <v>5</v>
      </c>
      <c r="D4">
        <f t="shared" si="1"/>
        <v>64</v>
      </c>
    </row>
    <row r="5" spans="1:6" x14ac:dyDescent="0.3">
      <c r="A5" s="27"/>
      <c r="C5" s="27"/>
    </row>
    <row r="6" spans="1:6" x14ac:dyDescent="0.3">
      <c r="A6" s="27"/>
      <c r="C6" s="27"/>
    </row>
    <row r="9" spans="1:6" x14ac:dyDescent="0.3">
      <c r="A9">
        <v>44813</v>
      </c>
      <c r="B9">
        <v>0.40486111111111112</v>
      </c>
      <c r="C9">
        <v>20</v>
      </c>
      <c r="D9">
        <v>60</v>
      </c>
      <c r="E9">
        <v>20</v>
      </c>
      <c r="F9">
        <v>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61</vt:i4>
      </vt:variant>
    </vt:vector>
  </HeadingPairs>
  <TitlesOfParts>
    <vt:vector size="65" baseType="lpstr">
      <vt:lpstr>AFDRS</vt:lpstr>
      <vt:lpstr>models_tables</vt:lpstr>
      <vt:lpstr>models_fuel_paramss</vt:lpstr>
      <vt:lpstr>tests_sandbox</vt:lpstr>
      <vt:lpstr>AWAP_uf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fhs_b</vt:lpstr>
      <vt:lpstr>fhs_e</vt:lpstr>
      <vt:lpstr>fhs_ns</vt:lpstr>
      <vt:lpstr>fhs_s</vt:lpstr>
      <vt:lpstr>fl_b_forest</vt:lpstr>
      <vt:lpstr>fl_e_forest</vt:lpstr>
      <vt:lpstr>fl_heath</vt:lpstr>
      <vt:lpstr>fl_ns_forest</vt:lpstr>
      <vt:lpstr>fl_o_forest</vt:lpstr>
      <vt:lpstr>fl_o_mallee</vt:lpstr>
      <vt:lpstr>fl_s_forest</vt:lpstr>
      <vt:lpstr>fl_s_grass</vt:lpstr>
      <vt:lpstr>fl_s_mallee</vt:lpstr>
      <vt:lpstr>fl_total_max_heath</vt:lpstr>
      <vt:lpstr>fl_woodland</vt:lpstr>
      <vt:lpstr>Forest</vt:lpstr>
      <vt:lpstr>Grass</vt:lpstr>
      <vt:lpstr>h_e_forest</vt:lpstr>
      <vt:lpstr>h_el_heath</vt:lpstr>
      <vt:lpstr>h_ns_forest</vt:lpstr>
      <vt:lpstr>h_o_forest</vt:lpstr>
      <vt:lpstr>h_o_mallee</vt:lpstr>
      <vt:lpstr>Heath</vt:lpstr>
      <vt:lpstr>kbdi</vt:lpstr>
      <vt:lpstr>Mallee</vt:lpstr>
      <vt:lpstr>outputs_r1</vt:lpstr>
      <vt:lpstr>overstorey_heath</vt:lpstr>
      <vt:lpstr>Pine</vt:lpstr>
      <vt:lpstr>productivity_spinifex</vt:lpstr>
      <vt:lpstr>rain_heath</vt:lpstr>
      <vt:lpstr>rain_mallee</vt:lpstr>
      <vt:lpstr>rain_spinifex</vt:lpstr>
      <vt:lpstr>rh_row1</vt:lpstr>
      <vt:lpstr>Spinifex</vt:lpstr>
      <vt:lpstr>state_grass</vt:lpstr>
      <vt:lpstr>submodel_forest</vt:lpstr>
      <vt:lpstr>subtype_spinifex</vt:lpstr>
      <vt:lpstr>subtype_woodland</vt:lpstr>
      <vt:lpstr>temp_row1</vt:lpstr>
      <vt:lpstr>time_row1</vt:lpstr>
      <vt:lpstr>tsf</vt:lpstr>
      <vt:lpstr>tsf_heath</vt:lpstr>
      <vt:lpstr>tsf_mallee</vt:lpstr>
      <vt:lpstr>tsf_spinifex</vt:lpstr>
      <vt:lpstr>tsr_heath</vt:lpstr>
      <vt:lpstr>tsr_mallee</vt:lpstr>
      <vt:lpstr>tsr_spinifex</vt:lpstr>
      <vt:lpstr>waf_forest</vt:lpstr>
      <vt:lpstr>waf_spinifex</vt:lpstr>
      <vt:lpstr>waf_woodland</vt:lpstr>
      <vt:lpstr>wind_dir_row1</vt:lpstr>
      <vt:lpstr>wind_mag_row1</vt:lpstr>
      <vt:lpstr>Woodland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2022-12-12T04:11:36Z</dcterms:modified>
</cp:coreProperties>
</file>