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filterPrivacy="1" codeName="ThisWorkbook"/>
  <xr:revisionPtr revIDLastSave="0" documentId="13_ncr:1_{529ECD08-FEED-4D07-B05F-950C38FF5E64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AFDRS" sheetId="1" r:id="rId1"/>
    <sheet name="models_tables" sheetId="3" state="hidden" r:id="rId2"/>
    <sheet name="Changelog" sheetId="24" r:id="rId3"/>
  </sheets>
  <functionGroups builtInGroupCount="19"/>
  <definedNames>
    <definedName name="AWAP_uf">AFDRS!$AZ$2</definedName>
    <definedName name="cov_o_mallee">AFDRS!$AS$7</definedName>
    <definedName name="curing_grass">AFDRS!$Q$4</definedName>
    <definedName name="curing_woodland">AFDRS!$AA$5</definedName>
    <definedName name="current_date">AFDRS!$B$2</definedName>
    <definedName name="current_time">AFDRS!$B$3</definedName>
    <definedName name="date_row1">AFDRS!$A$15</definedName>
    <definedName name="df_row1">AFDRS!$G$15</definedName>
    <definedName name="fb_trees">AFDRS!$G$3</definedName>
    <definedName name="fb_width">AFDRS!$G$2</definedName>
    <definedName name="fhs_b">AFDRS!$J$7</definedName>
    <definedName name="fhs_e">AFDRS!$J$6</definedName>
    <definedName name="fhs_ns">AFDRS!$J$5</definedName>
    <definedName name="fhs_s">AFDRS!$J$4</definedName>
    <definedName name="fk_heath">AFDRS!$AH$10</definedName>
    <definedName name="fk_mallee">AFDRS!$AS$11</definedName>
    <definedName name="fl_b_forest">AFDRS!$K$7</definedName>
    <definedName name="fl_e_forest">AFDRS!$K$6</definedName>
    <definedName name="fl_heath">AFDRS!$AH$9</definedName>
    <definedName name="fl_ns_forest">AFDRS!$K$5</definedName>
    <definedName name="fl_o_forest">AFDRS!$K$8</definedName>
    <definedName name="fl_o_mallee">AFDRS!$AS$6</definedName>
    <definedName name="fl_o_ss_mallee">AFDRS!$AS$10</definedName>
    <definedName name="fl_s_forest">AFDRS!$K$4</definedName>
    <definedName name="fl_s_grass">AFDRS!$R$3</definedName>
    <definedName name="fl_s_mallee">AFDRS!$AS$5</definedName>
    <definedName name="fl_s_ss_mallee">AFDRS!$AS$9</definedName>
    <definedName name="fl_ss_heath" comment="maximum steady state fuel load (t/ha)">AFDRS!$AH$8</definedName>
    <definedName name="fl_total_max_heath">models_tables!$C$19</definedName>
    <definedName name="fl_woodland">AFDRS!$AA$4</definedName>
    <definedName name="Forest">AFDRS!$I$1</definedName>
    <definedName name="fuel_cov_spinifex">AFDRS!#REF!</definedName>
    <definedName name="Fuel_load__buttongrass">AFDRS!$BC$3</definedName>
    <definedName name="Grass">AFDRS!$P$1</definedName>
    <definedName name="h_e_forest">AFDRS!$J$11</definedName>
    <definedName name="h_el_heath">AFDRS!$AH$7</definedName>
    <definedName name="h_ns_forest">AFDRS!$J$10</definedName>
    <definedName name="h_o_forest">AFDRS!$J$12</definedName>
    <definedName name="h_o_mallee">AFDRS!$AS$8</definedName>
    <definedName name="Heath">AFDRS!$AD$1</definedName>
    <definedName name="kbdi">AFDRS!$G$13</definedName>
    <definedName name="Mallee">AFDRS!$AO$1</definedName>
    <definedName name="outputs_r1">AFDRS!$H$15:$BY$15</definedName>
    <definedName name="overstorey_heath">AFDRS!$AH$6</definedName>
    <definedName name="Pine">AFDRS!$AJ$1</definedName>
    <definedName name="productivity_buttongrass">AFDRS!$BC$2</definedName>
    <definedName name="productivity_spinifex">AFDRS!$AZ$5</definedName>
    <definedName name="rain">AFDRS!$G$10</definedName>
    <definedName name="rh_row1">AFDRS!$D$15</definedName>
    <definedName name="Spinifex">AFDRS!$AV$1</definedName>
    <definedName name="state_grass">AFDRS!$Q$3</definedName>
    <definedName name="submodel_forest">AFDRS!$M$10</definedName>
    <definedName name="subtype_spinifex">AFDRS!$AZ$7</definedName>
    <definedName name="subtype_woodland">AFDRS!$AA$3</definedName>
    <definedName name="temp_row1">AFDRS!$C$15</definedName>
    <definedName name="time_row1">AFDRS!$B$15</definedName>
    <definedName name="tsf" comment="time since fire">AFDRS!$G$12</definedName>
    <definedName name="tsr">AFDRS!$G$11</definedName>
    <definedName name="waf_forest">AFDRS!$J$2</definedName>
    <definedName name="waf_spinifex">AFDRS!$AZ$6</definedName>
    <definedName name="waf_woodland">AFDRS!$AA$6</definedName>
    <definedName name="wind_dir_row1">AFDRS!$E$15</definedName>
    <definedName name="wind_mag_row1">AFDRS!$F$15</definedName>
    <definedName name="Woodland">AFDRS!$X$1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2" i="1" l="1"/>
  <c r="AS6" i="1"/>
  <c r="AS5" i="1"/>
  <c r="AH9" i="1"/>
  <c r="AB4" i="1"/>
  <c r="R3" i="1"/>
  <c r="AZ15" i="1"/>
  <c r="J6" i="1"/>
  <c r="N15" i="1"/>
  <c r="J5" i="1"/>
  <c r="BG15" i="1"/>
  <c r="BX15" i="1"/>
  <c r="V15" i="1"/>
  <c r="BE15" i="1"/>
  <c r="BF15" i="1" s="1"/>
  <c r="U15" i="1"/>
  <c r="BK15" i="1"/>
  <c r="T15" i="1"/>
  <c r="AS15" i="1"/>
  <c r="AO15" i="1"/>
  <c r="H15" i="1"/>
  <c r="AW15" i="1"/>
  <c r="BR15" i="1"/>
  <c r="BT15" i="1" s="1"/>
  <c r="BB15" i="1"/>
  <c r="AN15" i="1"/>
  <c r="AK15" i="1" s="1" a="1"/>
  <c r="AB15" i="1"/>
  <c r="Y15" i="1" s="1"/>
  <c r="Q15" i="1"/>
  <c r="J7" i="1"/>
  <c r="J4" i="1"/>
  <c r="J15" i="1" s="1"/>
  <c r="BC3" i="1"/>
  <c r="BC15" i="1" s="1"/>
  <c r="AH15" i="1"/>
  <c r="BH15" i="1"/>
  <c r="BI15" i="1" s="1"/>
  <c r="BL15" i="1" s="1" a="1"/>
  <c r="AX15" i="1"/>
  <c r="AV15" i="1"/>
  <c r="AY15" i="1"/>
  <c r="BS15" i="1"/>
  <c r="BW15" i="1"/>
  <c r="BU15" i="1"/>
  <c r="BV15" i="1"/>
  <c r="BN15" i="1" s="1"/>
  <c r="Z15" i="1"/>
  <c r="AA15" i="1"/>
  <c r="R15" i="1"/>
  <c r="S15" i="1"/>
  <c r="L15" i="1"/>
  <c r="K15" i="1"/>
  <c r="M15" i="1"/>
  <c r="BA15" i="1"/>
  <c r="BD15" i="1"/>
  <c r="BQ15" i="1"/>
  <c r="BP15" i="1"/>
  <c r="BO15" i="1" s="1"/>
  <c r="X15" i="1"/>
  <c r="AC15" i="1" a="1"/>
  <c r="W15" i="1" a="1"/>
  <c r="P15" i="1"/>
  <c r="O15" i="1" a="1"/>
  <c r="I15" i="1"/>
  <c r="BM15" i="1"/>
  <c r="BY15" i="1" a="1"/>
  <c r="AT15" i="1"/>
  <c r="AU15" i="1"/>
  <c r="AP15" i="1"/>
  <c r="AQ15" i="1"/>
  <c r="AR15" i="1"/>
  <c r="AI15" i="1"/>
  <c r="AE15" i="1" s="1"/>
  <c r="AF15" i="1" s="1"/>
  <c r="AG15" i="1"/>
  <c r="AD15" i="1"/>
  <c r="BY15" i="1" l="1"/>
  <c r="O15" i="1"/>
  <c r="W15" i="1"/>
  <c r="AC15" i="1"/>
  <c r="AL15" i="1"/>
  <c r="AK15" i="1"/>
  <c r="AM15" i="1"/>
  <c r="BL15" i="1"/>
  <c r="AJ1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K2" authorId="0" shapeId="0" xr:uid="{CCD27380-4B27-472A-AF75-573781C61D47}">
      <text>
        <r>
          <rPr>
            <sz val="9"/>
            <color indexed="81"/>
            <rFont val="Tahoma"/>
            <family val="2"/>
          </rPr>
          <t>can be calculated from the sum of the surface, near surface and elevated fuel loads in the forest model
=SUM(fl_s_forest,fl_ns_forest,fl_e_forest)</t>
        </r>
      </text>
    </comment>
    <comment ref="R3" authorId="0" shapeId="0" xr:uid="{13157B25-E420-4C63-B523-2D2295F32596}">
      <text>
        <r>
          <rPr>
            <sz val="9"/>
            <color indexed="81"/>
            <rFont val="Tahoma"/>
            <family val="2"/>
          </rPr>
          <t>to calculate the fine fuel load from the state enter the formula  enter the formula =@state_to_load_grass(state_grass)</t>
        </r>
      </text>
    </comment>
    <comment ref="AA4" authorId="0" shapeId="0" xr:uid="{6B1502AB-EBAF-4289-8929-1B375964FBDD}">
      <text>
        <r>
          <rPr>
            <sz val="9"/>
            <color indexed="81"/>
            <rFont val="Tahoma"/>
            <family val="2"/>
          </rPr>
          <t xml:space="preserve">fuel load is always used in the calculation of intensity, but only used in the calculation of ROS for generic woodland type
</t>
        </r>
      </text>
    </comment>
    <comment ref="AS5" authorId="0" shapeId="0" xr:uid="{0DA86A9C-3931-4F6B-AA17-66B1135D4080}">
      <text>
        <r>
          <rPr>
            <sz val="9"/>
            <color indexed="81"/>
            <rFont val="Tahoma"/>
            <family val="2"/>
          </rPr>
          <t>to calculate from TSF enter the formula =@fuel_amount(fl_s_ss_mallee,tsf,fk_mallee)</t>
        </r>
      </text>
    </comment>
    <comment ref="AS6" authorId="0" shapeId="0" xr:uid="{A797BD83-65BF-4F81-934C-368079C6A0A8}">
      <text>
        <r>
          <rPr>
            <sz val="9"/>
            <color indexed="81"/>
            <rFont val="Tahoma"/>
            <family val="2"/>
          </rPr>
          <t>to calculate from TSF enter the formula =@fuel_amount(fl_o_ss_mallee,tsf,fk_mallee)</t>
        </r>
      </text>
    </comment>
    <comment ref="AH9" authorId="0" shapeId="0" xr:uid="{CD632EC4-1559-4ABF-9B6C-F53B3F50352D}">
      <text>
        <r>
          <rPr>
            <sz val="9"/>
            <color indexed="81"/>
            <rFont val="Tahoma"/>
            <family val="2"/>
          </rPr>
          <t>to calculate from TSF use formula =@fuel_amount(fl_ss_heath,tsf,fk_heath)</t>
        </r>
      </text>
    </comment>
    <comment ref="O14" authorId="0" shapeId="0" xr:uid="{F485C7F4-EBAE-443F-BAF0-541FC2FFB96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  <comment ref="BL14" authorId="0" shapeId="0" xr:uid="{22063E57-B881-4050-B8FD-7CCB36A4A2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  <comment ref="BY14" authorId="0" shapeId="0" xr:uid="{849B5BA5-094C-4841-9BD6-C9C54780E83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<sst xmlns="http://schemas.openxmlformats.org/spreadsheetml/2006/main" count="372" uniqueCount="271">
  <si>
    <t>Drought Factor</t>
  </si>
  <si>
    <t>Weather</t>
  </si>
  <si>
    <t>Forest</t>
  </si>
  <si>
    <t>WAF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</si>
  <si>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</si>
  <si>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</si>
  <si>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</si>
  <si>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</si>
  <si>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</si>
  <si>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</si>
  <si>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</si>
  <si>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</si>
  <si>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</si>
  <si>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</si>
  <si>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</si>
  <si>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</si>
  <si>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</si>
  <si>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</si>
  <si>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</si>
  <si>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</si>
  <si>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</si>
  <si>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</si>
  <si>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</si>
  <si>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</si>
  <si>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</si>
  <si>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</si>
  <si>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</si>
  <si>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</si>
  <si>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</si>
  <si>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</si>
  <si>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</si>
  <si>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</si>
  <si>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</si>
  <si>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</si>
  <si>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</si>
  <si>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</si>
  <si>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</si>
  <si>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</si>
  <si>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</si>
  <si>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</si>
  <si>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</si>
  <si>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</si>
  <si>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</si>
  <si>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</si>
  <si>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</si>
  <si>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</si>
  <si>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</si>
  <si>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</si>
  <si>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</si>
  <si>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</si>
  <si>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</si>
  <si>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</si>
  <si>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</si>
  <si>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</si>
  <si>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</si>
  <si>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</si>
  <si>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</si>
  <si>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</si>
  <si>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</si>
  <si>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</si>
  <si>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</si>
  <si>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</si>
  <si>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tsf</t>
  </si>
  <si>
    <t>fuel accumulation parameter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</si>
  <si>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</si>
  <si>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</si>
  <si>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</si>
  <si>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</si>
  <si>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</si>
  <si>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</si>
  <si>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</si>
  <si>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</si>
  <si>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</si>
  <si>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</si>
  <si>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</si>
  <si>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</si>
  <si>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</si>
  <si>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</si>
  <si>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</si>
  <si>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</si>
  <si>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</si>
  <si>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</si>
  <si>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</si>
  <si>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</si>
  <si>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</si>
  <si>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</si>
  <si>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</si>
  <si>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</si>
  <si>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</si>
  <si>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</si>
  <si>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</si>
  <si>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</si>
  <si>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</si>
  <si>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</t>
  </si>
  <si>
    <t>fl_total_max</t>
  </si>
  <si>
    <t>fk_total</t>
  </si>
  <si>
    <t>submodel</t>
  </si>
  <si>
    <t>Forest subtypes</t>
  </si>
  <si>
    <t>dry</t>
  </si>
  <si>
    <t>wet</t>
  </si>
  <si>
    <t>note: requires KBDI</t>
  </si>
  <si>
    <t>Mallee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</si>
  <si>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</si>
  <si>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</si>
  <si>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</si>
  <si>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</si>
  <si>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</si>
  <si>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</si>
  <si>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</si>
  <si>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</si>
  <si>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</si>
  <si>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</si>
  <si>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</si>
  <si>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</si>
  <si>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</si>
  <si>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</si>
  <si>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Woodland</t>
  </si>
  <si>
    <t>subtype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</si>
  <si>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</si>
  <si>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</si>
  <si>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</si>
  <si>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</si>
  <si>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</si>
  <si>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</si>
  <si>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</si>
  <si>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</si>
  <si>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Spinifex</t>
  </si>
  <si>
    <t>monthly relative soil moisture (AWAP)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</si>
  <si>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</si>
  <si>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</si>
  <si>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</si>
  <si>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</si>
  <si>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</si>
  <si>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</si>
  <si>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</si>
  <si>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</si>
  <si>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</si>
  <si>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</si>
  <si>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</si>
  <si>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</si>
  <si>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</si>
  <si>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</si>
  <si>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</si>
  <si>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</si>
  <si>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</si>
  <si>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</si>
  <si>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</si>
  <si>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</si>
  <si>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</si>
  <si>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</si>
  <si>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</si>
  <si>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</si>
  <si>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</si>
  <si>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</si>
  <si>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</si>
  <si>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</si>
  <si>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</si>
  <si>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</si>
  <si>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</si>
  <si>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</si>
  <si>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rh_row1</t>
  </si>
  <si>
    <t>state_grass</t>
  </si>
  <si>
    <t>submodel_forest</t>
  </si>
  <si>
    <t>subtype_spinifex</t>
  </si>
  <si>
    <t>subtype_woodland</t>
  </si>
  <si>
    <t>temp_row1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</si>
  <si>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</si>
  <si>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</si>
  <si>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</si>
  <si>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</si>
  <si>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</si>
  <si>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</si>
  <si>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</si>
  <si>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</si>
  <si>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</si>
  <si>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</si>
  <si>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</si>
  <si>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wind_mag_row1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</si>
  <si>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</si>
  <si>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</si>
  <si>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</si>
  <si>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</si>
  <si>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</si>
  <si>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</si>
  <si>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</si>
  <si>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</si>
  <si>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</si>
  <si>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</si>
  <si>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</si>
  <si>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</si>
  <si>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</si>
  <si>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</si>
  <si>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</si>
  <si>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</si>
  <si>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</si>
  <si>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</si>
  <si>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</si>
  <si>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</si>
  <si>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</si>
  <si>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</si>
  <si>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</si>
  <si>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</si>
  <si>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</si>
  <si>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</si>
  <si>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</si>
  <si>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</si>
  <si>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$D$15</t>
  </si>
  <si>
    <t>$P$3</t>
  </si>
  <si>
    <t>$M$10</t>
  </si>
  <si>
    <t>$AR$8</t>
  </si>
  <si>
    <t>$W$3</t>
  </si>
  <si>
    <t>$C$15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</si>
  <si>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</si>
  <si>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</si>
  <si>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</si>
  <si>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</si>
  <si>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</si>
  <si>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</si>
  <si>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</si>
  <si>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</si>
  <si>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</si>
  <si>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</si>
  <si>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</si>
  <si>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$F$15</t>
  </si>
  <si>
    <t>Buttongrass</t>
  </si>
  <si>
    <t>Fuel type</t>
  </si>
  <si>
    <t>Forest fuel types</t>
  </si>
  <si>
    <t>Dewpoint Temp
°C</t>
  </si>
  <si>
    <t>Productivity</t>
  </si>
  <si>
    <t>Fuel load (t/ha)</t>
  </si>
  <si>
    <t>N</t>
  </si>
  <si>
    <t>User inputs are light colored cells</t>
  </si>
  <si>
    <t>Vesta2</t>
  </si>
  <si>
    <t xml:space="preserve">McArthur Mk5 </t>
  </si>
  <si>
    <t>ROS1</t>
  </si>
  <si>
    <t>ROS2</t>
  </si>
  <si>
    <t>ROS3</t>
  </si>
  <si>
    <t>P3</t>
  </si>
  <si>
    <t>P2</t>
  </si>
  <si>
    <t>Fuel availability</t>
  </si>
  <si>
    <t>fine fuel load</t>
  </si>
  <si>
    <t>FFDI</t>
  </si>
  <si>
    <t>GFDI</t>
  </si>
  <si>
    <t>FMC Mk5</t>
  </si>
  <si>
    <t>requires precipitation in last 48 hours (mm)</t>
  </si>
  <si>
    <t>requires time since precipitation (h)</t>
  </si>
  <si>
    <t>Author</t>
  </si>
  <si>
    <t>Notes</t>
  </si>
  <si>
    <t>geoff.goldrick@rfs.nsw.gov.au</t>
  </si>
  <si>
    <t>Updated heath model in line with AFDRS changes</t>
  </si>
  <si>
    <t>Time Since Fire (y)</t>
  </si>
  <si>
    <t>Updated spinifex model in line with AFDRS changes</t>
  </si>
  <si>
    <t>Updated moisturee function in mallee in line with Cruz 2015</t>
  </si>
  <si>
    <t>width</t>
  </si>
  <si>
    <t>trees</t>
  </si>
  <si>
    <t>Firebreak</t>
  </si>
  <si>
    <t>Pbreach</t>
  </si>
  <si>
    <t>note: wet submodel requires KBDI</t>
  </si>
  <si>
    <t>Includes probability of breach of firebreak using the formula from Wilson, A. A. G. (2011). Width of firebreak that is necessary to stop grass fires: Some field experiments. Canadian Journal of Forest Research. https://doi.org/10.1139/x88-104</t>
  </si>
  <si>
    <t>State</t>
  </si>
  <si>
    <t>fuel load (t/ha)</t>
  </si>
  <si>
    <t>and time since precipitation (h)</t>
  </si>
  <si>
    <t>steady state surface fuel load</t>
  </si>
  <si>
    <t>steady state canopy fuel load</t>
  </si>
  <si>
    <t>Spread Prob</t>
  </si>
  <si>
    <t>Crown Prob</t>
  </si>
  <si>
    <t>Added notes to several fields; exposed spread probabilities for mallee and spinifex, exposed some growth curve parameters</t>
  </si>
  <si>
    <t>Parameters required from forest Model (Vesta)</t>
  </si>
  <si>
    <t>surface, near surface, elevated and canopy fuel loads</t>
  </si>
  <si>
    <t>elevated and canopy heights</t>
  </si>
  <si>
    <t>Spread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</si>
</sst>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"/>
    <numFmt numFmtId="165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56">
    <xf numFmtId="0" fontId="0" fillId="0" borderId="0" xfId="0"/>
    <xf numFmtId="20" fontId="0" fillId="2" borderId="1" xfId="0" applyNumberFormat="1" applyFill="1" applyBorder="1"/>
    <xf numFmtId="0" fontId="0" fillId="2" borderId="1" xfId="0" applyFill="1" applyBorder="1"/>
    <xf numFmtId="0" fontId="2" fillId="5" borderId="1" xfId="0" applyFont="1" applyFill="1" applyBorder="1"/>
    <xf numFmtId="0" fontId="0" fillId="5" borderId="1" xfId="0" applyFill="1" applyBorder="1"/>
    <xf numFmtId="165" fontId="0" fillId="5" borderId="1" xfId="0" applyNumberFormat="1" applyFill="1" applyBorder="1"/>
    <xf numFmtId="0" fontId="2" fillId="6" borderId="1" xfId="0" applyFont="1" applyFill="1" applyBorder="1"/>
    <xf numFmtId="0" fontId="0" fillId="6" borderId="1" xfId="0" applyFill="1" applyBorder="1"/>
    <xf numFmtId="165" fontId="0" fillId="6" borderId="1" xfId="0" applyNumberFormat="1" applyFill="1" applyBorder="1"/>
    <xf numFmtId="0" fontId="0" fillId="0" borderId="1" xfId="0" applyBorder="1"/>
    <xf numFmtId="164" fontId="0" fillId="2" borderId="1" xfId="0" applyNumberFormat="1" applyFill="1" applyBorder="1"/>
    <xf numFmtId="0" fontId="1" fillId="5" borderId="1" xfId="0" applyFont="1" applyFill="1" applyBorder="1" applyAlignment="1">
      <alignment horizontal="right" indent="1"/>
    </xf>
    <xf numFmtId="0" fontId="1" fillId="5" borderId="1" xfId="0" applyFont="1" applyFill="1" applyBorder="1"/>
    <xf numFmtId="0" fontId="1" fillId="6" borderId="1" xfId="0" applyFont="1" applyFill="1" applyBorder="1"/>
    <xf numFmtId="0" fontId="0" fillId="5" borderId="1" xfId="0" applyFill="1" applyBorder="1" applyAlignment="1">
      <alignment horizontal="right" wrapText="1" indent="1"/>
    </xf>
    <xf numFmtId="0" fontId="1" fillId="5" borderId="1" xfId="0" applyFont="1" applyFill="1" applyBorder="1" applyAlignment="1">
      <alignment horizontal="right"/>
    </xf>
    <xf numFmtId="0" fontId="1" fillId="6" borderId="1" xfId="0" applyFont="1" applyFill="1" applyBorder="1" applyAlignment="1">
      <alignment horizontal="right"/>
    </xf>
    <xf numFmtId="0" fontId="1" fillId="5" borderId="1" xfId="0" applyFont="1" applyFill="1" applyBorder="1" applyAlignment="1">
      <alignment horizontal="right" wrapText="1"/>
    </xf>
    <xf numFmtId="0" fontId="0" fillId="5" borderId="1" xfId="0" applyFill="1" applyBorder="1" applyAlignment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/>
    <xf numFmtId="0" fontId="0" fillId="9" borderId="1" xfId="0" applyFill="1" applyBorder="1" applyProtection="1">
      <protection locked="0"/>
    </xf>
    <xf numFmtId="0" fontId="2" fillId="8" borderId="1" xfId="0" applyFont="1" applyFill="1" applyBorder="1"/>
    <xf numFmtId="0" fontId="1" fillId="8" borderId="1" xfId="0" applyFont="1" applyFill="1" applyBorder="1" applyAlignment="1">
      <alignment horizontal="right"/>
    </xf>
    <xf numFmtId="165" fontId="0" fillId="8" borderId="1" xfId="0" applyNumberFormat="1" applyFill="1" applyBorder="1"/>
    <xf numFmtId="1" fontId="0" fillId="5" borderId="1" xfId="0" applyNumberFormat="1" applyFill="1" applyBorder="1"/>
    <xf numFmtId="1" fontId="0" fillId="6" borderId="1" xfId="0" applyNumberFormat="1" applyFill="1" applyBorder="1"/>
    <xf numFmtId="1" fontId="0" fillId="8" borderId="1" xfId="0" applyNumberFormat="1" applyFill="1" applyBorder="1"/>
    <xf numFmtId="164" fontId="2" fillId="2" borderId="4" xfId="0" applyNumberFormat="1" applyFont="1" applyFill="1" applyBorder="1"/>
    <xf numFmtId="20" fontId="0" fillId="2" borderId="4" xfId="0" applyNumberFormat="1" applyFill="1" applyBorder="1"/>
    <xf numFmtId="0" fontId="0" fillId="2" borderId="4" xfId="0" applyFill="1" applyBorder="1"/>
    <xf numFmtId="0" fontId="0" fillId="5" borderId="4" xfId="0" applyFill="1" applyBorder="1"/>
    <xf numFmtId="165" fontId="0" fillId="5" borderId="4" xfId="0" applyNumberFormat="1" applyFill="1" applyBorder="1"/>
    <xf numFmtId="0" fontId="0" fillId="6" borderId="4" xfId="0" applyFill="1" applyBorder="1"/>
    <xf numFmtId="165" fontId="0" fillId="6" borderId="4" xfId="0" applyNumberFormat="1" applyFill="1" applyBorder="1"/>
    <xf numFmtId="0" fontId="0" fillId="8" borderId="4" xfId="0" applyFill="1" applyBorder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/>
    <xf numFmtId="1" fontId="0" fillId="5" borderId="5" xfId="0" applyNumberFormat="1" applyFill="1" applyBorder="1"/>
    <xf numFmtId="165" fontId="0" fillId="5" borderId="5" xfId="0" applyNumberFormat="1" applyFill="1" applyBorder="1"/>
    <xf numFmtId="0" fontId="0" fillId="6" borderId="5" xfId="0" applyFill="1" applyBorder="1"/>
    <xf numFmtId="1" fontId="0" fillId="6" borderId="5" xfId="0" applyNumberFormat="1" applyFill="1" applyBorder="1"/>
    <xf numFmtId="165" fontId="0" fillId="6" borderId="5" xfId="0" applyNumberFormat="1" applyFill="1" applyBorder="1"/>
    <xf numFmtId="0" fontId="0" fillId="8" borderId="5" xfId="0" applyFill="1" applyBorder="1"/>
    <xf numFmtId="1" fontId="0" fillId="8" borderId="5" xfId="0" applyNumberFormat="1" applyFill="1" applyBorder="1"/>
    <xf numFmtId="165" fontId="0" fillId="8" borderId="5" xfId="0" applyNumberFormat="1" applyFill="1" applyBorder="1"/>
    <xf numFmtId="164" fontId="1" fillId="2" borderId="3" xfId="0" applyNumberFormat="1" applyFont="1" applyFill="1" applyBorder="1" applyAlignment="1">
      <alignment horizontal="center" wrapText="1"/>
    </xf>
    <xf numFmtId="20" fontId="1" fillId="2" borderId="3" xfId="0" applyNumberFormat="1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165" fontId="1" fillId="5" borderId="3" xfId="0" applyNumberFormat="1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  <xf numFmtId="165" fontId="1" fillId="6" borderId="3" xfId="0" applyNumberFormat="1" applyFont="1" applyFill="1" applyBorder="1" applyAlignment="1">
      <alignment horizontal="center" wrapText="1"/>
    </xf>
    <xf numFmtId="0" fontId="1" fillId="8" borderId="3" xfId="0" applyFont="1" applyFill="1" applyBorder="1" applyAlignment="1">
      <alignment horizontal="center" wrapText="1"/>
    </xf>
    <xf numFmtId="0" fontId="1" fillId="2" borderId="4" xfId="0" applyFont="1" applyFill="1" applyBorder="1"/>
    <xf numFmtId="0" fontId="0" fillId="3" borderId="4" xfId="0" applyFill="1" applyBorder="1" applyProtection="1">
      <protection locked="0"/>
    </xf>
    <xf numFmtId="165" fontId="0" fillId="4" borderId="1" xfId="0" applyNumberFormat="1" applyFill="1" applyBorder="1" applyProtection="1">
      <protection locked="0"/>
    </xf>
    <xf numFmtId="0" fontId="0" fillId="0" borderId="4" xfId="0" applyBorder="1"/>
    <xf numFmtId="0" fontId="0" fillId="0" borderId="5" xfId="0" applyBorder="1"/>
    <xf numFmtId="0" fontId="1" fillId="0" borderId="3" xfId="0" applyFont="1" applyBorder="1" applyAlignment="1">
      <alignment horizontal="center" wrapText="1"/>
    </xf>
    <xf numFmtId="0" fontId="0" fillId="2" borderId="5" xfId="0" applyFill="1" applyBorder="1"/>
    <xf numFmtId="0" fontId="0" fillId="2" borderId="6" xfId="0" applyFill="1" applyBorder="1"/>
    <xf numFmtId="0" fontId="2" fillId="10" borderId="1" xfId="0" applyFont="1" applyFill="1" applyBorder="1"/>
    <xf numFmtId="0" fontId="0" fillId="10" borderId="1" xfId="0" applyFill="1" applyBorder="1"/>
    <xf numFmtId="0" fontId="0" fillId="10" borderId="4" xfId="0" applyFill="1" applyBorder="1"/>
    <xf numFmtId="0" fontId="1" fillId="10" borderId="3" xfId="0" applyFont="1" applyFill="1" applyBorder="1" applyAlignment="1">
      <alignment horizontal="center" wrapText="1"/>
    </xf>
    <xf numFmtId="165" fontId="1" fillId="10" borderId="3" xfId="0" applyNumberFormat="1" applyFont="1" applyFill="1" applyBorder="1" applyAlignment="1">
      <alignment horizontal="center" wrapText="1"/>
    </xf>
    <xf numFmtId="0" fontId="0" fillId="10" borderId="5" xfId="0" applyFill="1" applyBorder="1"/>
    <xf numFmtId="0" fontId="0" fillId="11" borderId="1" xfId="0" applyFill="1" applyBorder="1"/>
    <xf numFmtId="0" fontId="0" fillId="11" borderId="4" xfId="0" applyFill="1" applyBorder="1"/>
    <xf numFmtId="0" fontId="0" fillId="11" borderId="5" xfId="0" applyFill="1" applyBorder="1"/>
    <xf numFmtId="0" fontId="1" fillId="11" borderId="3" xfId="0" applyFont="1" applyFill="1" applyBorder="1" applyAlignment="1">
      <alignment horizontal="center" wrapText="1"/>
    </xf>
    <xf numFmtId="165" fontId="0" fillId="10" borderId="1" xfId="0" applyNumberFormat="1" applyFill="1" applyBorder="1"/>
    <xf numFmtId="0" fontId="1" fillId="10" borderId="1" xfId="0" applyFont="1" applyFill="1" applyBorder="1" applyAlignment="1">
      <alignment horizontal="right"/>
    </xf>
    <xf numFmtId="0" fontId="0" fillId="12" borderId="1" xfId="0" applyFill="1" applyBorder="1" applyProtection="1">
      <protection locked="0"/>
    </xf>
    <xf numFmtId="165" fontId="0" fillId="10" borderId="5" xfId="0" applyNumberFormat="1" applyFill="1" applyBorder="1"/>
    <xf numFmtId="1" fontId="0" fillId="10" borderId="5" xfId="0" applyNumberFormat="1" applyFill="1" applyBorder="1"/>
    <xf numFmtId="1" fontId="0" fillId="10" borderId="1" xfId="0" applyNumberFormat="1" applyFill="1" applyBorder="1"/>
    <xf numFmtId="164" fontId="1" fillId="2" borderId="1" xfId="0" applyNumberFormat="1" applyFont="1" applyFill="1" applyBorder="1"/>
    <xf numFmtId="164" fontId="6" fillId="2" borderId="1" xfId="0" applyNumberFormat="1" applyFont="1" applyFill="1" applyBorder="1"/>
    <xf numFmtId="1" fontId="0" fillId="13" borderId="1" xfId="0" applyNumberFormat="1" applyFill="1" applyBorder="1"/>
    <xf numFmtId="1" fontId="2" fillId="13" borderId="1" xfId="0" applyNumberFormat="1" applyFont="1" applyFill="1" applyBorder="1"/>
    <xf numFmtId="165" fontId="0" fillId="13" borderId="1" xfId="0" applyNumberFormat="1" applyFill="1" applyBorder="1"/>
    <xf numFmtId="1" fontId="1" fillId="13" borderId="1" xfId="0" applyNumberFormat="1" applyFont="1" applyFill="1" applyBorder="1" applyAlignment="1">
      <alignment horizontal="right"/>
    </xf>
    <xf numFmtId="1" fontId="0" fillId="13" borderId="4" xfId="0" applyNumberFormat="1" applyFill="1" applyBorder="1"/>
    <xf numFmtId="165" fontId="0" fillId="13" borderId="4" xfId="0" applyNumberFormat="1" applyFill="1" applyBorder="1"/>
    <xf numFmtId="1" fontId="1" fillId="13" borderId="3" xfId="0" applyNumberFormat="1" applyFont="1" applyFill="1" applyBorder="1" applyAlignment="1">
      <alignment horizontal="center" wrapText="1"/>
    </xf>
    <xf numFmtId="165" fontId="1" fillId="13" borderId="3" xfId="0" applyNumberFormat="1" applyFont="1" applyFill="1" applyBorder="1" applyAlignment="1">
      <alignment horizontal="center" wrapText="1"/>
    </xf>
    <xf numFmtId="0" fontId="0" fillId="13" borderId="5" xfId="0" applyFill="1" applyBorder="1"/>
    <xf numFmtId="1" fontId="0" fillId="13" borderId="5" xfId="0" applyNumberFormat="1" applyFill="1" applyBorder="1"/>
    <xf numFmtId="165" fontId="0" fillId="13" borderId="5" xfId="0" applyNumberFormat="1" applyFill="1" applyBorder="1"/>
    <xf numFmtId="165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/>
    <xf numFmtId="0" fontId="0" fillId="15" borderId="1" xfId="0" applyFill="1" applyBorder="1"/>
    <xf numFmtId="0" fontId="1" fillId="15" borderId="1" xfId="0" applyFont="1" applyFill="1" applyBorder="1"/>
    <xf numFmtId="0" fontId="1" fillId="15" borderId="1" xfId="0" applyFont="1" applyFill="1" applyBorder="1" applyAlignment="1">
      <alignment horizontal="right"/>
    </xf>
    <xf numFmtId="165" fontId="0" fillId="15" borderId="1" xfId="0" applyNumberFormat="1" applyFill="1" applyBorder="1"/>
    <xf numFmtId="0" fontId="0" fillId="15" borderId="4" xfId="0" applyFill="1" applyBorder="1"/>
    <xf numFmtId="0" fontId="1" fillId="15" borderId="3" xfId="0" applyFont="1" applyFill="1" applyBorder="1" applyAlignment="1">
      <alignment horizontal="center" wrapText="1"/>
    </xf>
    <xf numFmtId="0" fontId="0" fillId="15" borderId="5" xfId="0" applyFill="1" applyBorder="1"/>
    <xf numFmtId="1" fontId="0" fillId="15" borderId="5" xfId="0" applyNumberFormat="1" applyFill="1" applyBorder="1"/>
    <xf numFmtId="165" fontId="0" fillId="15" borderId="5" xfId="0" applyNumberFormat="1" applyFill="1" applyBorder="1"/>
    <xf numFmtId="1" fontId="0" fillId="15" borderId="1" xfId="0" applyNumberFormat="1" applyFill="1" applyBorder="1"/>
    <xf numFmtId="165" fontId="5" fillId="14" borderId="1" xfId="0" applyNumberFormat="1" applyFont="1" applyFill="1" applyBorder="1" applyProtection="1">
      <protection locked="0"/>
    </xf>
    <xf numFmtId="0" fontId="0" fillId="16" borderId="1" xfId="0" applyFill="1" applyBorder="1"/>
    <xf numFmtId="0" fontId="0" fillId="16" borderId="4" xfId="0" applyFill="1" applyBorder="1"/>
    <xf numFmtId="0" fontId="1" fillId="16" borderId="3" xfId="0" applyFont="1" applyFill="1" applyBorder="1" applyAlignment="1">
      <alignment horizontal="center" wrapText="1"/>
    </xf>
    <xf numFmtId="165" fontId="1" fillId="16" borderId="3" xfId="0" applyNumberFormat="1" applyFont="1" applyFill="1" applyBorder="1" applyAlignment="1">
      <alignment horizontal="center" wrapText="1"/>
    </xf>
    <xf numFmtId="0" fontId="0" fillId="16" borderId="5" xfId="0" applyFill="1" applyBorder="1"/>
    <xf numFmtId="0" fontId="2" fillId="16" borderId="1" xfId="0" applyFont="1" applyFill="1" applyBorder="1"/>
    <xf numFmtId="0" fontId="0" fillId="17" borderId="1" xfId="0" applyFill="1" applyBorder="1" applyProtection="1">
      <protection locked="0"/>
    </xf>
    <xf numFmtId="165" fontId="0" fillId="17" borderId="1" xfId="0" applyNumberFormat="1" applyFill="1" applyBorder="1" applyProtection="1">
      <protection locked="0"/>
    </xf>
    <xf numFmtId="165" fontId="0" fillId="16" borderId="1" xfId="0" applyNumberFormat="1" applyFill="1" applyBorder="1"/>
    <xf numFmtId="165" fontId="0" fillId="16" borderId="4" xfId="0" applyNumberFormat="1" applyFill="1" applyBorder="1"/>
    <xf numFmtId="165" fontId="0" fillId="16" borderId="5" xfId="0" applyNumberFormat="1" applyFill="1" applyBorder="1"/>
    <xf numFmtId="1" fontId="0" fillId="16" borderId="1" xfId="0" applyNumberFormat="1" applyFill="1" applyBorder="1"/>
    <xf numFmtId="1" fontId="0" fillId="16" borderId="4" xfId="0" applyNumberFormat="1" applyFill="1" applyBorder="1"/>
    <xf numFmtId="1" fontId="1" fillId="16" borderId="3" xfId="0" applyNumberFormat="1" applyFont="1" applyFill="1" applyBorder="1" applyAlignment="1">
      <alignment horizontal="center" wrapText="1"/>
    </xf>
    <xf numFmtId="1" fontId="0" fillId="16" borderId="5" xfId="0" applyNumberFormat="1" applyFill="1" applyBorder="1"/>
    <xf numFmtId="165" fontId="1" fillId="16" borderId="1" xfId="0" applyNumberFormat="1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165" fontId="1" fillId="5" borderId="1" xfId="0" applyNumberFormat="1" applyFont="1" applyFill="1" applyBorder="1" applyAlignment="1">
      <alignment horizontal="right"/>
    </xf>
    <xf numFmtId="165" fontId="0" fillId="5" borderId="1" xfId="0" applyNumberFormat="1" applyFill="1" applyBorder="1" applyAlignment="1">
      <alignment horizontal="right"/>
    </xf>
    <xf numFmtId="0" fontId="1" fillId="10" borderId="1" xfId="0" applyFont="1" applyFill="1" applyBorder="1"/>
    <xf numFmtId="0" fontId="0" fillId="10" borderId="1" xfId="0" applyFill="1" applyBorder="1" applyAlignment="1">
      <alignment horizontal="right"/>
    </xf>
    <xf numFmtId="1" fontId="2" fillId="16" borderId="1" xfId="0" applyNumberFormat="1" applyFont="1" applyFill="1" applyBorder="1"/>
    <xf numFmtId="1" fontId="0" fillId="6" borderId="4" xfId="0" applyNumberFormat="1" applyFill="1" applyBorder="1"/>
    <xf numFmtId="1" fontId="1" fillId="6" borderId="3" xfId="0" applyNumberFormat="1" applyFont="1" applyFill="1" applyBorder="1" applyAlignment="1">
      <alignment horizontal="center" wrapText="1"/>
    </xf>
    <xf numFmtId="14" fontId="0" fillId="0" borderId="0" xfId="0" applyNumberFormat="1"/>
    <xf numFmtId="0" fontId="4" fillId="0" borderId="0" xfId="1"/>
    <xf numFmtId="2" fontId="0" fillId="10" borderId="1" xfId="0" applyNumberFormat="1" applyFill="1" applyBorder="1"/>
    <xf numFmtId="0" fontId="1" fillId="2" borderId="1" xfId="0" applyFont="1" applyFill="1" applyBorder="1"/>
    <xf numFmtId="165" fontId="0" fillId="14" borderId="7" xfId="0" applyNumberFormat="1" applyFill="1" applyBorder="1" applyProtection="1">
      <protection locked="0"/>
    </xf>
    <xf numFmtId="20" fontId="0" fillId="3" borderId="7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165" fontId="1" fillId="5" borderId="1" xfId="0" applyNumberFormat="1" applyFont="1" applyFill="1" applyBorder="1"/>
    <xf numFmtId="165" fontId="7" fillId="5" borderId="3" xfId="0" applyNumberFormat="1" applyFont="1" applyFill="1" applyBorder="1" applyAlignment="1">
      <alignment horizontal="center" wrapText="1"/>
    </xf>
    <xf numFmtId="165" fontId="10" fillId="6" borderId="3" xfId="0" applyNumberFormat="1" applyFont="1" applyFill="1" applyBorder="1" applyAlignment="1">
      <alignment horizontal="center" wrapText="1"/>
    </xf>
    <xf numFmtId="165" fontId="7" fillId="16" borderId="3" xfId="0" applyNumberFormat="1" applyFont="1" applyFill="1" applyBorder="1" applyAlignment="1">
      <alignment horizontal="center" wrapText="1"/>
    </xf>
    <xf numFmtId="165" fontId="7" fillId="10" borderId="3" xfId="0" applyNumberFormat="1" applyFont="1" applyFill="1" applyBorder="1" applyAlignment="1">
      <alignment horizontal="center" wrapText="1"/>
    </xf>
    <xf numFmtId="165" fontId="0" fillId="6" borderId="1" xfId="0" quotePrefix="1" applyNumberFormat="1" applyFill="1" applyBorder="1"/>
    <xf numFmtId="165" fontId="1" fillId="13" borderId="1" xfId="0" applyNumberFormat="1" applyFont="1" applyFill="1" applyBorder="1"/>
    <xf numFmtId="0" fontId="0" fillId="0" borderId="0" xfId="0" applyAlignment="1">
      <alignment wrapText="1"/>
    </xf>
    <xf numFmtId="1" fontId="0" fillId="9" borderId="1" xfId="0" applyNumberFormat="1" applyFill="1" applyBorder="1" applyProtection="1">
      <protection locked="0"/>
    </xf>
    <xf numFmtId="165" fontId="0" fillId="12" borderId="1" xfId="0" applyNumberFormat="1" applyFill="1" applyBorder="1" applyProtection="1">
      <protection locked="0"/>
    </xf>
  </cellXfs>
  <cellStyles count="2">
    <cellStyle name="Hyperlink" xfId="1" builtinId="8"/>
    <cellStyle name="Normal" xfId="0" builtinId="0"/>
  </cellStyles>
  <dxfs count="40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E8C6"/>
      <color rgb="FFFFF5E7"/>
      <color rgb="FFACD4AC"/>
      <color rgb="FFEBEFE5"/>
      <color rgb="FFC6D2B4"/>
      <color rgb="FF93C793"/>
      <color rgb="FFE3C3C3"/>
      <color rgb="FFF1E3E3"/>
      <color rgb="FFF4E8E8"/>
      <color rgb="FFDA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grass_state" displayName="Table_grass_state" comment="lists acceptable grass states" ref="I1:I4" totalsRowShown="0">
  <autoFilter ref="I1:I4" xr:uid="{00000000-0009-0000-0100-000001000000}"/>
  <tableColumns count="1">
    <tableColumn id="1" xr3:uid="{00000000-0010-0000-0000-000001000000}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heath_overstorey" displayName="Table_heath_overstorey" ref="K1:L3" totalsRowShown="0">
  <autoFilter ref="K1:L3" xr:uid="{00000000-0009-0000-0100-000002000000}"/>
  <tableColumns count="2">
    <tableColumn id="1" xr3:uid="{00000000-0010-0000-0100-000001000000}" name="Heath overstorey"/>
    <tableColumn id="2" xr3:uid="{00000000-0010-0000-0100-000002000000}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Geoffysicist/PyroXL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geoff.goldrick@rfs.nsw.gov.au" TargetMode="External"/><Relationship Id="rId2" Type="http://schemas.openxmlformats.org/officeDocument/2006/relationships/hyperlink" Target="mailto:geoff.goldrick@rfs.nsw.gov.au" TargetMode="External"/><Relationship Id="rId1" Type="http://schemas.openxmlformats.org/officeDocument/2006/relationships/hyperlink" Target="mailto:geoff.goldrick@rfs.nsw.gov.au" TargetMode="External"/><Relationship Id="rId5" Type="http://schemas.openxmlformats.org/officeDocument/2006/relationships/hyperlink" Target="mailto:geoff.goldrick@rfs.nsw.gov.au" TargetMode="External"/><Relationship Id="rId4" Type="http://schemas.openxmlformats.org/officeDocument/2006/relationships/hyperlink" Target="mailto:geoff.goldrick@rfs.nsw.gov.a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FDRS"/>
  <dimension ref="A1:BY178"/>
  <sheetViews>
    <sheetView tabSelected="1" zoomScaleNormal="100" workbookViewId="0">
      <pane xSplit="8" ySplit="14" topLeftCell="I15" activePane="bottomRight" state="frozen"/>
      <selection pane="topRight" activeCell="I1" sqref="I1"/>
      <selection pane="bottomLeft" activeCell="A15" sqref="A15"/>
      <selection pane="bottomRight" activeCell="A11" sqref="A11"/>
    </sheetView>
  </sheetViews>
  <sheetFormatPr defaultColWidth="8.88671875" defaultRowHeight="14.4" x14ac:dyDescent="0.3"/>
  <cols>
    <col min="1" max="1" width="13.6640625" style="19" customWidth="1"/>
    <col min="2" max="2" width="10.6640625" style="20" customWidth="1"/>
    <col min="3" max="7" width="10.6640625" style="21" customWidth="1"/>
    <col min="8" max="8" width="10.6640625" style="78" customWidth="1"/>
    <col min="9" max="9" width="12.6640625" style="4" customWidth="1"/>
    <col min="10" max="11" width="8.88671875" style="33"/>
    <col min="12" max="12" width="8.88671875" style="5"/>
    <col min="13" max="13" width="8.88671875" style="4"/>
    <col min="14" max="15" width="8.88671875" style="5"/>
    <col min="16" max="16" width="8.88671875" style="7"/>
    <col min="17" max="18" width="8.88671875" style="34"/>
    <col min="19" max="20" width="8.88671875" style="8"/>
    <col min="21" max="21" width="8.88671875" style="34"/>
    <col min="22" max="23" width="8.88671875" style="8"/>
    <col min="24" max="26" width="8.88671875" style="90"/>
    <col min="27" max="29" width="8.88671875" style="92"/>
    <col min="30" max="30" width="8.88671875" style="28"/>
    <col min="31" max="32" width="8.88671875" style="35"/>
    <col min="33" max="35" width="8.88671875" style="32"/>
    <col min="36" max="36" width="8.88671875" style="104"/>
    <col min="37" max="38" width="8.88671875" style="113"/>
    <col min="39" max="40" width="8.88671875" style="107"/>
    <col min="41" max="41" width="8.88671875" style="73"/>
    <col min="42" max="43" width="8.88671875" style="87"/>
    <col min="44" max="44" width="8.88671875" style="82"/>
    <col min="45" max="47" width="8.88671875" style="73"/>
    <col min="48" max="48" width="8.88671875" style="115"/>
    <col min="49" max="50" width="8.88671875" style="126"/>
    <col min="51" max="51" width="8.88671875" style="123"/>
    <col min="52" max="52" width="8.88671875" style="115"/>
    <col min="53" max="53" width="12.6640625" style="4" customWidth="1"/>
    <col min="54" max="55" width="8.88671875" style="33"/>
    <col min="56" max="58" width="8.88671875" style="5"/>
    <col min="59" max="61" width="8.88671875" style="126"/>
    <col min="62" max="62" width="8.88671875" style="123"/>
    <col min="63" max="64" width="8.88671875" style="115"/>
    <col min="65" max="65" width="8.88671875" style="73"/>
    <col min="66" max="67" width="8.88671875" style="87"/>
    <col min="68" max="69" width="8.88671875" style="82"/>
    <col min="70" max="75" width="8.88671875" style="73"/>
    <col min="76" max="77" width="10.5546875" style="73" customWidth="1"/>
    <col min="78" max="16384" width="8.88671875" style="9"/>
  </cols>
  <sheetData>
    <row r="1" spans="1:77" ht="18" x14ac:dyDescent="0.35">
      <c r="A1" s="88" t="s">
        <v>113</v>
      </c>
      <c r="B1" s="144"/>
      <c r="C1" s="145"/>
      <c r="D1" s="2"/>
      <c r="E1" s="2"/>
      <c r="F1" s="142" t="s">
        <v>255</v>
      </c>
      <c r="G1" s="2"/>
      <c r="I1" s="3" t="s">
        <v>2</v>
      </c>
      <c r="J1" s="4"/>
      <c r="P1" s="6" t="s">
        <v>16</v>
      </c>
      <c r="Q1" s="7"/>
      <c r="R1" s="7"/>
      <c r="X1" s="91" t="s">
        <v>116</v>
      </c>
      <c r="AD1" s="30" t="s">
        <v>47</v>
      </c>
      <c r="AE1" s="28"/>
      <c r="AF1" s="28"/>
      <c r="AG1" s="28"/>
      <c r="AH1" s="28"/>
      <c r="AI1" s="28"/>
      <c r="AJ1" s="103" t="s">
        <v>91</v>
      </c>
      <c r="AK1" s="104"/>
      <c r="AL1" s="104"/>
      <c r="AM1" s="104"/>
      <c r="AN1" s="104"/>
      <c r="AO1" s="72" t="s">
        <v>101</v>
      </c>
      <c r="AP1" s="73"/>
      <c r="AQ1" s="73"/>
      <c r="AR1" s="73"/>
      <c r="AV1" s="120" t="s">
        <v>126</v>
      </c>
      <c r="BA1" s="3" t="s">
        <v>224</v>
      </c>
      <c r="BB1" s="4"/>
      <c r="BG1" s="136" t="s">
        <v>233</v>
      </c>
      <c r="BM1" s="72" t="s">
        <v>232</v>
      </c>
      <c r="BN1" s="73"/>
      <c r="BO1" s="134"/>
      <c r="BP1" s="134"/>
    </row>
    <row r="2" spans="1:77" x14ac:dyDescent="0.3">
      <c r="A2" s="88" t="s">
        <v>114</v>
      </c>
      <c r="B2" s="44">
        <v>45362</v>
      </c>
      <c r="C2" s="2"/>
      <c r="D2" s="2"/>
      <c r="E2" s="2"/>
      <c r="F2" s="2" t="s">
        <v>253</v>
      </c>
      <c r="G2" s="46">
        <v>2</v>
      </c>
      <c r="I2" s="11" t="s">
        <v>53</v>
      </c>
      <c r="J2" s="22">
        <v>3</v>
      </c>
      <c r="K2" s="12" t="s">
        <v>125</v>
      </c>
      <c r="P2" s="13"/>
      <c r="Q2" s="7"/>
      <c r="R2" s="13" t="s">
        <v>22</v>
      </c>
      <c r="AE2" s="28"/>
      <c r="AF2" s="28"/>
      <c r="AH2" s="31" t="s">
        <v>244</v>
      </c>
      <c r="AI2" s="31"/>
      <c r="AJ2" s="105" t="s">
        <v>100</v>
      </c>
      <c r="AK2" s="104"/>
      <c r="AL2" s="106"/>
      <c r="AN2" s="104"/>
      <c r="AP2" s="73"/>
      <c r="AQ2" s="73"/>
      <c r="AS2" s="83" t="s">
        <v>244</v>
      </c>
      <c r="AT2" s="83"/>
      <c r="AU2" s="83"/>
      <c r="AY2" s="130" t="s">
        <v>127</v>
      </c>
      <c r="AZ2" s="121">
        <v>0</v>
      </c>
      <c r="BB2" s="11" t="s">
        <v>228</v>
      </c>
      <c r="BC2" s="22">
        <v>1</v>
      </c>
      <c r="BJ2" s="130" t="s">
        <v>240</v>
      </c>
      <c r="BK2" s="121">
        <f>SUM(fl_s_forest,fl_ns_forest,fl_e_forest)</f>
        <v>21</v>
      </c>
      <c r="BL2" s="130"/>
      <c r="BM2" s="73" t="s">
        <v>267</v>
      </c>
      <c r="BN2" s="73"/>
      <c r="BO2" s="83"/>
      <c r="BP2" s="134"/>
    </row>
    <row r="3" spans="1:77" x14ac:dyDescent="0.3">
      <c r="A3" s="88" t="s">
        <v>115</v>
      </c>
      <c r="B3" s="45">
        <v>0.92645833333333327</v>
      </c>
      <c r="C3" s="2"/>
      <c r="D3" s="2"/>
      <c r="E3" s="2"/>
      <c r="F3" s="2" t="s">
        <v>254</v>
      </c>
      <c r="G3" s="46" t="b">
        <v>1</v>
      </c>
      <c r="I3" s="14"/>
      <c r="J3" s="15" t="s">
        <v>65</v>
      </c>
      <c r="K3" s="12" t="s">
        <v>22</v>
      </c>
      <c r="P3" s="16" t="s">
        <v>24</v>
      </c>
      <c r="Q3" s="24" t="s">
        <v>19</v>
      </c>
      <c r="R3" s="24">
        <f>state_to_load_grass(state_grass)</f>
        <v>4.5</v>
      </c>
      <c r="Z3" s="93" t="s">
        <v>117</v>
      </c>
      <c r="AA3" s="143" t="s">
        <v>119</v>
      </c>
      <c r="AB3" s="152" t="s">
        <v>259</v>
      </c>
      <c r="AE3" s="28"/>
      <c r="AF3" s="28"/>
      <c r="AH3" s="31" t="s">
        <v>261</v>
      </c>
      <c r="AI3" s="31"/>
      <c r="AK3" s="104"/>
      <c r="AL3" s="106"/>
      <c r="AM3" s="106"/>
      <c r="AN3" s="104"/>
      <c r="AP3" s="73"/>
      <c r="AQ3" s="73"/>
      <c r="AS3" s="83" t="s">
        <v>245</v>
      </c>
      <c r="AT3" s="83"/>
      <c r="AU3" s="83"/>
      <c r="AY3" s="130"/>
      <c r="AZ3" s="130"/>
      <c r="BB3" s="11" t="s">
        <v>229</v>
      </c>
      <c r="BC3" s="133">
        <f>fuel_load_buttongrass(tsf,productivity_buttongrass)</f>
        <v>10.322029113769531</v>
      </c>
      <c r="BJ3" s="130"/>
      <c r="BK3" s="130"/>
      <c r="BL3" s="130"/>
      <c r="BN3" s="73" t="s">
        <v>268</v>
      </c>
      <c r="BO3" s="83"/>
      <c r="BP3" s="83"/>
    </row>
    <row r="4" spans="1:77" x14ac:dyDescent="0.3">
      <c r="A4" s="88"/>
      <c r="B4" s="1"/>
      <c r="C4" s="2"/>
      <c r="D4" s="2"/>
      <c r="E4" s="2"/>
      <c r="F4" s="2"/>
      <c r="G4" s="2"/>
      <c r="I4" s="17" t="s">
        <v>9</v>
      </c>
      <c r="J4" s="18">
        <f>fl_to_fhs(I4,K4)</f>
        <v>3.5</v>
      </c>
      <c r="K4" s="23">
        <v>14</v>
      </c>
      <c r="P4" s="16" t="s">
        <v>21</v>
      </c>
      <c r="Q4" s="24">
        <v>80</v>
      </c>
      <c r="R4" s="7"/>
      <c r="S4" s="151"/>
      <c r="Z4" s="93" t="s">
        <v>260</v>
      </c>
      <c r="AA4" s="114">
        <v>4.5</v>
      </c>
      <c r="AB4" s="92" t="str">
        <f>load_to_state_grass(fl_woodland)</f>
        <v>grazed</v>
      </c>
      <c r="AE4" s="28"/>
      <c r="AF4" s="28"/>
      <c r="AH4" s="31"/>
      <c r="AI4" s="31"/>
      <c r="AK4" s="104"/>
      <c r="AL4" s="106"/>
      <c r="AM4" s="106"/>
      <c r="AN4" s="104"/>
      <c r="AP4" s="73"/>
      <c r="AQ4" s="73"/>
      <c r="AY4" s="130"/>
      <c r="AZ4" s="130"/>
      <c r="BA4" s="14"/>
      <c r="BB4" s="14"/>
      <c r="BC4" s="14"/>
      <c r="BD4" s="14"/>
      <c r="BE4" s="14"/>
      <c r="BF4" s="14"/>
      <c r="BJ4" s="130"/>
      <c r="BK4" s="130"/>
      <c r="BL4" s="130"/>
      <c r="BN4" s="73" t="s">
        <v>269</v>
      </c>
      <c r="BO4" s="134"/>
      <c r="BP4" s="134"/>
    </row>
    <row r="5" spans="1:77" ht="15.6" x14ac:dyDescent="0.3">
      <c r="A5" s="89" t="s">
        <v>25</v>
      </c>
      <c r="B5" s="1"/>
      <c r="C5" s="2"/>
      <c r="D5" s="2"/>
      <c r="E5" s="2"/>
      <c r="F5" s="2"/>
      <c r="G5" s="2"/>
      <c r="I5" s="17" t="s">
        <v>10</v>
      </c>
      <c r="J5" s="18">
        <f>fl_to_fhs(I5,K5)</f>
        <v>3</v>
      </c>
      <c r="K5" s="23">
        <v>3.5</v>
      </c>
      <c r="Q5" s="7"/>
      <c r="R5" s="7"/>
      <c r="Z5" s="93" t="s">
        <v>21</v>
      </c>
      <c r="AA5" s="102">
        <v>80</v>
      </c>
      <c r="AE5" s="28"/>
      <c r="AF5" s="28"/>
      <c r="AK5" s="104"/>
      <c r="AL5" s="106"/>
      <c r="AM5" s="106"/>
      <c r="AN5" s="104"/>
      <c r="AP5" s="73"/>
      <c r="AQ5" s="73"/>
      <c r="AR5" s="83" t="s">
        <v>109</v>
      </c>
      <c r="AS5" s="155">
        <f>fuel_amount(fl_s_ss_mallee,tsf,fk_mallee)</f>
        <v>3.7905807417286677</v>
      </c>
      <c r="AT5" s="83"/>
      <c r="AU5" s="83"/>
      <c r="AY5" s="130"/>
      <c r="AZ5" s="130"/>
      <c r="BA5" s="14"/>
      <c r="BB5" s="14"/>
      <c r="BC5" s="14"/>
      <c r="BD5" s="14"/>
      <c r="BE5" s="14"/>
      <c r="BF5" s="14"/>
      <c r="BJ5" s="130"/>
      <c r="BK5" s="130"/>
      <c r="BL5" s="130"/>
      <c r="BN5" s="73" t="s">
        <v>53</v>
      </c>
      <c r="BO5" s="134"/>
      <c r="BP5" s="134"/>
    </row>
    <row r="6" spans="1:77" x14ac:dyDescent="0.3">
      <c r="A6" s="10" t="s">
        <v>231</v>
      </c>
      <c r="B6" s="1"/>
      <c r="C6" s="2"/>
      <c r="D6" s="2"/>
      <c r="E6" s="2"/>
      <c r="F6" s="2"/>
      <c r="G6" s="2"/>
      <c r="I6" s="17" t="s">
        <v>11</v>
      </c>
      <c r="J6" s="18">
        <f>fl_to_fhs(I6,K6)</f>
        <v>3.5</v>
      </c>
      <c r="K6" s="23">
        <v>3.5</v>
      </c>
      <c r="Q6" s="7"/>
      <c r="R6" s="7"/>
      <c r="Z6" s="93" t="s">
        <v>124</v>
      </c>
      <c r="AA6" s="101">
        <v>0.5</v>
      </c>
      <c r="AE6" s="28"/>
      <c r="AF6" s="28"/>
      <c r="AG6" s="31" t="s">
        <v>50</v>
      </c>
      <c r="AH6" s="29" t="b">
        <v>0</v>
      </c>
      <c r="AI6" s="31"/>
      <c r="AK6" s="104"/>
      <c r="AL6" s="106"/>
      <c r="AM6" s="106"/>
      <c r="AN6" s="104"/>
      <c r="AP6" s="73"/>
      <c r="AQ6" s="73"/>
      <c r="AR6" s="83" t="s">
        <v>110</v>
      </c>
      <c r="AS6" s="155">
        <f>fuel_amount(fl_o_ss_mallee,tsf,fk_mallee)</f>
        <v>0.7980169982586669</v>
      </c>
      <c r="AT6" s="83"/>
      <c r="AU6" s="83"/>
      <c r="AY6" s="130" t="s">
        <v>124</v>
      </c>
      <c r="AZ6" s="122">
        <v>0.5</v>
      </c>
      <c r="BA6" s="14"/>
      <c r="BB6" s="14"/>
      <c r="BC6" s="14"/>
      <c r="BD6" s="14"/>
      <c r="BE6" s="14"/>
      <c r="BF6" s="14"/>
      <c r="BJ6" s="130"/>
      <c r="BK6" s="130"/>
      <c r="BL6" s="130"/>
      <c r="BN6" s="73" t="s">
        <v>96</v>
      </c>
      <c r="BO6" s="73"/>
      <c r="BP6" s="83"/>
      <c r="BQ6" s="83"/>
    </row>
    <row r="7" spans="1:77" x14ac:dyDescent="0.3">
      <c r="A7" s="25"/>
      <c r="B7" s="1"/>
      <c r="C7" s="2"/>
      <c r="D7" s="2"/>
      <c r="E7" s="2"/>
      <c r="F7" s="2"/>
      <c r="G7" s="71"/>
      <c r="H7" s="79"/>
      <c r="I7" s="17" t="s">
        <v>12</v>
      </c>
      <c r="J7" s="18">
        <f>fl_to_fhs(I7,K7)</f>
        <v>3</v>
      </c>
      <c r="K7" s="23">
        <v>2.2000000000000002</v>
      </c>
      <c r="Q7" s="7"/>
      <c r="R7" s="7"/>
      <c r="AE7" s="28"/>
      <c r="AF7" s="28"/>
      <c r="AG7" s="31" t="s">
        <v>54</v>
      </c>
      <c r="AH7" s="29">
        <v>1.3</v>
      </c>
      <c r="AI7" s="31"/>
      <c r="AK7" s="104"/>
      <c r="AL7" s="104"/>
      <c r="AM7" s="104"/>
      <c r="AN7" s="104"/>
      <c r="AP7" s="73"/>
      <c r="AQ7" s="73"/>
      <c r="AR7" s="83" t="s">
        <v>111</v>
      </c>
      <c r="AS7" s="84">
        <v>18</v>
      </c>
      <c r="AT7" s="83"/>
      <c r="AU7" s="83"/>
      <c r="AY7" s="130" t="s">
        <v>117</v>
      </c>
      <c r="AZ7" s="121" t="s">
        <v>129</v>
      </c>
      <c r="BA7" s="14"/>
      <c r="BB7" s="14"/>
      <c r="BC7" s="14"/>
      <c r="BD7" s="14"/>
      <c r="BE7" s="14"/>
      <c r="BF7" s="14"/>
      <c r="BJ7" s="130"/>
      <c r="BK7" s="130"/>
      <c r="BL7" s="130"/>
      <c r="BN7" s="73"/>
      <c r="BO7" s="73"/>
      <c r="BP7" s="135"/>
      <c r="BQ7" s="135"/>
    </row>
    <row r="8" spans="1:77" x14ac:dyDescent="0.3">
      <c r="A8" s="10" t="s">
        <v>26</v>
      </c>
      <c r="B8" s="1"/>
      <c r="C8" s="2"/>
      <c r="D8" s="2"/>
      <c r="E8" s="2"/>
      <c r="F8" s="2"/>
      <c r="G8" s="70"/>
      <c r="H8" s="80"/>
      <c r="I8" s="17" t="s">
        <v>23</v>
      </c>
      <c r="J8" s="18"/>
      <c r="K8" s="23">
        <v>4.5</v>
      </c>
      <c r="Q8" s="7"/>
      <c r="R8" s="7"/>
      <c r="AE8" s="28"/>
      <c r="AF8" s="28"/>
      <c r="AG8" s="31" t="s">
        <v>79</v>
      </c>
      <c r="AH8" s="29">
        <v>12</v>
      </c>
      <c r="AI8" s="31"/>
      <c r="AK8" s="104"/>
      <c r="AL8" s="104"/>
      <c r="AM8" s="104"/>
      <c r="AN8" s="104"/>
      <c r="AP8" s="73"/>
      <c r="AQ8" s="73"/>
      <c r="AR8" s="83" t="s">
        <v>112</v>
      </c>
      <c r="AS8" s="84">
        <v>4.5</v>
      </c>
      <c r="AT8" s="83"/>
      <c r="AU8" s="83"/>
      <c r="BA8" s="14"/>
      <c r="BB8" s="14"/>
      <c r="BC8" s="14"/>
      <c r="BD8" s="14"/>
      <c r="BE8" s="14"/>
      <c r="BF8" s="14"/>
      <c r="BJ8" s="130"/>
      <c r="BK8" s="130"/>
      <c r="BL8" s="130"/>
      <c r="BN8" s="73"/>
      <c r="BO8" s="73"/>
      <c r="BP8" s="135"/>
      <c r="BQ8" s="135"/>
    </row>
    <row r="9" spans="1:77" x14ac:dyDescent="0.3">
      <c r="A9" s="10" t="s">
        <v>64</v>
      </c>
      <c r="B9" s="1"/>
      <c r="C9" s="2"/>
      <c r="D9" s="2"/>
      <c r="E9" s="2"/>
      <c r="F9" s="2"/>
      <c r="G9" s="2"/>
      <c r="I9" s="17"/>
      <c r="J9" s="12" t="s">
        <v>13</v>
      </c>
      <c r="K9" s="18"/>
      <c r="L9" s="132" t="s">
        <v>225</v>
      </c>
      <c r="Q9" s="7"/>
      <c r="R9" s="7"/>
      <c r="AE9" s="28"/>
      <c r="AF9" s="28"/>
      <c r="AG9" s="31" t="s">
        <v>28</v>
      </c>
      <c r="AH9" s="154">
        <f>fuel_amount(fl_ss_heath,tsf,fk_heath)</f>
        <v>11.780212333335189</v>
      </c>
      <c r="AI9" s="31"/>
      <c r="AK9" s="104"/>
      <c r="AL9" s="104"/>
      <c r="AM9" s="104"/>
      <c r="AN9" s="104"/>
      <c r="AP9" s="73"/>
      <c r="AQ9" s="73"/>
      <c r="AR9" s="83" t="s">
        <v>262</v>
      </c>
      <c r="AS9" s="73">
        <v>3.8</v>
      </c>
      <c r="BA9" s="14"/>
      <c r="BB9" s="14"/>
      <c r="BC9" s="14"/>
      <c r="BD9" s="14"/>
      <c r="BE9" s="14"/>
      <c r="BF9" s="14"/>
      <c r="BN9" s="73"/>
      <c r="BO9" s="73"/>
      <c r="BP9" s="73"/>
      <c r="BQ9" s="73"/>
    </row>
    <row r="10" spans="1:77" x14ac:dyDescent="0.3">
      <c r="A10" s="25"/>
      <c r="B10" s="1"/>
      <c r="C10" s="2"/>
      <c r="D10" s="2"/>
      <c r="E10" s="2"/>
      <c r="F10" s="131" t="s">
        <v>49</v>
      </c>
      <c r="G10" s="46">
        <v>0</v>
      </c>
      <c r="I10" s="17" t="s">
        <v>10</v>
      </c>
      <c r="J10" s="22">
        <v>25</v>
      </c>
      <c r="K10" s="12" t="s">
        <v>14</v>
      </c>
      <c r="L10" s="15" t="s">
        <v>96</v>
      </c>
      <c r="M10" s="66" t="s">
        <v>98</v>
      </c>
      <c r="Q10" s="7"/>
      <c r="R10" s="7"/>
      <c r="AE10" s="28"/>
      <c r="AF10" s="28"/>
      <c r="AG10" s="31" t="s">
        <v>63</v>
      </c>
      <c r="AH10" s="28">
        <v>0.2</v>
      </c>
      <c r="AI10" s="28"/>
      <c r="AK10" s="104"/>
      <c r="AL10" s="104"/>
      <c r="AM10" s="104"/>
      <c r="AN10" s="104"/>
      <c r="AP10" s="73"/>
      <c r="AQ10" s="73"/>
      <c r="AR10" s="83" t="s">
        <v>263</v>
      </c>
      <c r="AS10" s="73">
        <v>0.8</v>
      </c>
      <c r="BA10" s="14"/>
      <c r="BB10" s="14"/>
      <c r="BC10" s="14"/>
      <c r="BD10" s="14"/>
      <c r="BE10" s="14"/>
      <c r="BF10" s="14"/>
      <c r="BN10" s="73"/>
      <c r="BO10" s="73"/>
      <c r="BP10" s="73"/>
      <c r="BQ10" s="73"/>
    </row>
    <row r="11" spans="1:77" x14ac:dyDescent="0.3">
      <c r="A11" s="27" t="s">
        <v>43</v>
      </c>
      <c r="B11" s="1"/>
      <c r="C11" s="2"/>
      <c r="D11" s="2"/>
      <c r="E11" s="2"/>
      <c r="F11" s="131" t="s">
        <v>48</v>
      </c>
      <c r="G11" s="46">
        <v>48</v>
      </c>
      <c r="I11" s="17" t="s">
        <v>11</v>
      </c>
      <c r="J11" s="22">
        <v>1.5</v>
      </c>
      <c r="K11" s="12" t="s">
        <v>15</v>
      </c>
      <c r="L11" s="146" t="s">
        <v>257</v>
      </c>
      <c r="Q11" s="7"/>
      <c r="R11" s="7"/>
      <c r="AE11" s="28"/>
      <c r="AF11" s="28"/>
      <c r="AG11" s="28"/>
      <c r="AH11" s="28"/>
      <c r="AI11" s="28"/>
      <c r="AK11" s="104"/>
      <c r="AL11" s="104"/>
      <c r="AM11" s="104"/>
      <c r="AN11" s="104"/>
      <c r="AP11" s="73"/>
      <c r="AQ11" s="73"/>
      <c r="AR11" s="83" t="s">
        <v>63</v>
      </c>
      <c r="AS11" s="73">
        <v>0.3</v>
      </c>
      <c r="BA11" s="14"/>
      <c r="BB11" s="14"/>
      <c r="BC11" s="14"/>
      <c r="BD11" s="14"/>
      <c r="BE11" s="14"/>
      <c r="BF11" s="14"/>
      <c r="BN11" s="73"/>
      <c r="BO11" s="73"/>
      <c r="BP11" s="73"/>
      <c r="BQ11" s="73"/>
    </row>
    <row r="12" spans="1:77" x14ac:dyDescent="0.3">
      <c r="A12" s="25"/>
      <c r="B12" s="1"/>
      <c r="C12" s="2"/>
      <c r="D12" s="2"/>
      <c r="E12" s="2"/>
      <c r="F12" s="131" t="s">
        <v>250</v>
      </c>
      <c r="G12" s="65">
        <v>20</v>
      </c>
      <c r="I12" s="17" t="s">
        <v>23</v>
      </c>
      <c r="J12" s="22">
        <v>20</v>
      </c>
      <c r="K12" s="12" t="s">
        <v>15</v>
      </c>
      <c r="Q12" s="7"/>
      <c r="R12" s="7"/>
      <c r="AE12" s="28"/>
      <c r="AF12" s="28"/>
      <c r="AG12" s="28"/>
      <c r="AH12" s="28"/>
      <c r="AI12" s="28"/>
      <c r="AK12" s="104"/>
      <c r="AL12" s="104"/>
      <c r="AM12" s="104"/>
      <c r="AN12" s="104"/>
      <c r="AP12" s="73"/>
      <c r="AQ12" s="73"/>
      <c r="AR12" s="73"/>
      <c r="BA12" s="14"/>
      <c r="BB12" s="14"/>
      <c r="BC12" s="14"/>
      <c r="BD12" s="14"/>
      <c r="BE12" s="14"/>
      <c r="BF12" s="14"/>
      <c r="BN12" s="73"/>
      <c r="BO12" s="73"/>
      <c r="BP12" s="73"/>
      <c r="BQ12" s="73"/>
    </row>
    <row r="13" spans="1:77" s="67" customFormat="1" ht="18" x14ac:dyDescent="0.35">
      <c r="A13" s="36" t="s">
        <v>1</v>
      </c>
      <c r="B13" s="37"/>
      <c r="C13" s="38"/>
      <c r="D13" s="38"/>
      <c r="E13" s="38"/>
      <c r="F13" s="64" t="s">
        <v>92</v>
      </c>
      <c r="G13" s="65">
        <v>100</v>
      </c>
      <c r="H13" s="79"/>
      <c r="I13" s="39"/>
      <c r="J13" s="39"/>
      <c r="K13" s="39"/>
      <c r="L13" s="40"/>
      <c r="M13" s="39"/>
      <c r="N13" s="40"/>
      <c r="O13" s="40"/>
      <c r="P13" s="41"/>
      <c r="Q13" s="41"/>
      <c r="R13" s="41"/>
      <c r="S13" s="42"/>
      <c r="T13" s="42"/>
      <c r="U13" s="137"/>
      <c r="V13" s="42"/>
      <c r="W13" s="42"/>
      <c r="X13" s="94"/>
      <c r="Y13" s="94"/>
      <c r="Z13" s="94"/>
      <c r="AA13" s="95"/>
      <c r="AB13" s="95"/>
      <c r="AC13" s="95"/>
      <c r="AD13" s="43"/>
      <c r="AE13" s="43"/>
      <c r="AF13" s="43"/>
      <c r="AG13" s="43"/>
      <c r="AH13" s="43"/>
      <c r="AI13" s="43"/>
      <c r="AJ13" s="108"/>
      <c r="AK13" s="108"/>
      <c r="AL13" s="108"/>
      <c r="AM13" s="108"/>
      <c r="AN13" s="108"/>
      <c r="AO13" s="74"/>
      <c r="AP13" s="74"/>
      <c r="AQ13" s="74"/>
      <c r="AR13" s="74"/>
      <c r="AS13" s="74"/>
      <c r="AT13" s="74"/>
      <c r="AU13" s="74"/>
      <c r="AV13" s="116"/>
      <c r="AW13" s="127"/>
      <c r="AX13" s="127"/>
      <c r="AY13" s="124"/>
      <c r="AZ13" s="116"/>
      <c r="BA13" s="14"/>
      <c r="BB13" s="14"/>
      <c r="BC13" s="14"/>
      <c r="BD13" s="14"/>
      <c r="BE13" s="14"/>
      <c r="BF13" s="14"/>
      <c r="BG13" s="127"/>
      <c r="BH13" s="127"/>
      <c r="BI13" s="127"/>
      <c r="BJ13" s="124"/>
      <c r="BK13" s="116"/>
      <c r="BL13" s="116"/>
      <c r="BM13" s="73"/>
      <c r="BN13" s="73"/>
      <c r="BO13" s="73"/>
      <c r="BP13" s="74"/>
      <c r="BQ13" s="74"/>
      <c r="BR13" s="74"/>
      <c r="BS13" s="73"/>
      <c r="BT13" s="73"/>
      <c r="BU13" s="73"/>
      <c r="BV13" s="73"/>
      <c r="BW13" s="73"/>
      <c r="BX13" s="73"/>
      <c r="BY13" s="74"/>
    </row>
    <row r="14" spans="1:77" s="69" customFormat="1" ht="60" customHeight="1" x14ac:dyDescent="0.3">
      <c r="A14" s="56" t="s">
        <v>102</v>
      </c>
      <c r="B14" s="57" t="s">
        <v>103</v>
      </c>
      <c r="C14" s="58" t="s">
        <v>104</v>
      </c>
      <c r="D14" s="58" t="s">
        <v>105</v>
      </c>
      <c r="E14" s="58" t="s">
        <v>106</v>
      </c>
      <c r="F14" s="58" t="s">
        <v>107</v>
      </c>
      <c r="G14" s="58" t="s">
        <v>0</v>
      </c>
      <c r="H14" s="81" t="s">
        <v>108</v>
      </c>
      <c r="I14" s="59" t="s">
        <v>93</v>
      </c>
      <c r="J14" s="59" t="s">
        <v>4</v>
      </c>
      <c r="K14" s="59" t="s">
        <v>5</v>
      </c>
      <c r="L14" s="60" t="s">
        <v>6</v>
      </c>
      <c r="M14" s="59" t="s">
        <v>7</v>
      </c>
      <c r="N14" s="60" t="s">
        <v>8</v>
      </c>
      <c r="O14" s="147" t="s">
        <v>256</v>
      </c>
      <c r="P14" s="61" t="s">
        <v>93</v>
      </c>
      <c r="Q14" s="61" t="s">
        <v>4</v>
      </c>
      <c r="R14" s="61" t="s">
        <v>5</v>
      </c>
      <c r="S14" s="62" t="s">
        <v>6</v>
      </c>
      <c r="T14" s="62" t="s">
        <v>8</v>
      </c>
      <c r="U14" s="138" t="s">
        <v>242</v>
      </c>
      <c r="V14" s="62" t="s">
        <v>243</v>
      </c>
      <c r="W14" s="148" t="s">
        <v>256</v>
      </c>
      <c r="X14" s="96" t="s">
        <v>93</v>
      </c>
      <c r="Y14" s="96" t="s">
        <v>4</v>
      </c>
      <c r="Z14" s="96" t="s">
        <v>5</v>
      </c>
      <c r="AA14" s="97" t="s">
        <v>6</v>
      </c>
      <c r="AB14" s="97" t="s">
        <v>8</v>
      </c>
      <c r="AC14" s="97" t="s">
        <v>256</v>
      </c>
      <c r="AD14" s="63" t="s">
        <v>93</v>
      </c>
      <c r="AE14" s="63" t="s">
        <v>4</v>
      </c>
      <c r="AF14" s="63" t="s">
        <v>5</v>
      </c>
      <c r="AG14" s="63" t="s">
        <v>6</v>
      </c>
      <c r="AH14" s="63" t="s">
        <v>8</v>
      </c>
      <c r="AI14" s="63" t="s">
        <v>270</v>
      </c>
      <c r="AJ14" s="109" t="s">
        <v>93</v>
      </c>
      <c r="AK14" s="109" t="s">
        <v>4</v>
      </c>
      <c r="AL14" s="109" t="s">
        <v>5</v>
      </c>
      <c r="AM14" s="109" t="s">
        <v>6</v>
      </c>
      <c r="AN14" s="109" t="s">
        <v>8</v>
      </c>
      <c r="AO14" s="75" t="s">
        <v>93</v>
      </c>
      <c r="AP14" s="75" t="s">
        <v>4</v>
      </c>
      <c r="AQ14" s="75" t="s">
        <v>5</v>
      </c>
      <c r="AR14" s="76" t="s">
        <v>6</v>
      </c>
      <c r="AS14" s="76" t="s">
        <v>8</v>
      </c>
      <c r="AT14" s="76" t="s">
        <v>264</v>
      </c>
      <c r="AU14" s="76" t="s">
        <v>265</v>
      </c>
      <c r="AV14" s="117" t="s">
        <v>93</v>
      </c>
      <c r="AW14" s="128" t="s">
        <v>4</v>
      </c>
      <c r="AX14" s="128" t="s">
        <v>5</v>
      </c>
      <c r="AY14" s="118" t="s">
        <v>6</v>
      </c>
      <c r="AZ14" s="118" t="s">
        <v>8</v>
      </c>
      <c r="BA14" s="59" t="s">
        <v>93</v>
      </c>
      <c r="BB14" s="59" t="s">
        <v>4</v>
      </c>
      <c r="BC14" s="59" t="s">
        <v>5</v>
      </c>
      <c r="BD14" s="60" t="s">
        <v>6</v>
      </c>
      <c r="BE14" s="60" t="s">
        <v>227</v>
      </c>
      <c r="BF14" s="60" t="s">
        <v>8</v>
      </c>
      <c r="BG14" s="128" t="s">
        <v>241</v>
      </c>
      <c r="BH14" s="128" t="s">
        <v>4</v>
      </c>
      <c r="BI14" s="128" t="s">
        <v>5</v>
      </c>
      <c r="BJ14" s="118" t="s">
        <v>6</v>
      </c>
      <c r="BK14" s="118" t="s">
        <v>8</v>
      </c>
      <c r="BL14" s="149" t="s">
        <v>256</v>
      </c>
      <c r="BM14" s="75" t="s">
        <v>93</v>
      </c>
      <c r="BN14" s="75" t="s">
        <v>4</v>
      </c>
      <c r="BO14" s="75" t="s">
        <v>5</v>
      </c>
      <c r="BP14" s="76" t="s">
        <v>6</v>
      </c>
      <c r="BQ14" s="76" t="s">
        <v>7</v>
      </c>
      <c r="BR14" s="76" t="s">
        <v>8</v>
      </c>
      <c r="BS14" s="76" t="s">
        <v>234</v>
      </c>
      <c r="BT14" s="76" t="s">
        <v>235</v>
      </c>
      <c r="BU14" s="76" t="s">
        <v>236</v>
      </c>
      <c r="BV14" s="76" t="s">
        <v>238</v>
      </c>
      <c r="BW14" s="76" t="s">
        <v>237</v>
      </c>
      <c r="BX14" s="76" t="s">
        <v>239</v>
      </c>
      <c r="BY14" s="150" t="s">
        <v>256</v>
      </c>
    </row>
    <row r="15" spans="1:77" s="68" customFormat="1" x14ac:dyDescent="0.3">
      <c r="A15" s="44">
        <v>45362</v>
      </c>
      <c r="B15" s="45">
        <v>0.92645833333333327</v>
      </c>
      <c r="C15" s="46">
        <v>25</v>
      </c>
      <c r="D15" s="46">
        <v>30</v>
      </c>
      <c r="E15" s="46" t="s">
        <v>230</v>
      </c>
      <c r="F15" s="46">
        <v>20</v>
      </c>
      <c r="G15" s="46">
        <v>8</v>
      </c>
      <c r="H15" s="80">
        <f>backbearing(E15)</f>
        <v>180</v>
      </c>
      <c r="I15" s="47">
        <f>fbi(K15,Forest)</f>
        <v>22</v>
      </c>
      <c r="J15" s="48">
        <f>ROS_forest(F15,fhs_s,fhs_ns,h_ns_forest,N15,G15,waf_forest,kbdi,submodel_forest)</f>
        <v>443.74971870008682</v>
      </c>
      <c r="K15" s="48">
        <f>Intensity_forest(J15,G15,L15,fl_s_forest,fl_ns_forest,fl_e_forest,fl_o_forest,h_o_forest,waf_forest,kbdi,submodel_forest)</f>
        <v>3576.622874844918</v>
      </c>
      <c r="L15" s="49">
        <f>Flame_height_forest(J15,h_e_forest)</f>
        <v>4.4232821464538574</v>
      </c>
      <c r="M15" s="47">
        <f>Spotting_forest(J15,$F15,fhs_s)</f>
        <v>446</v>
      </c>
      <c r="N15" s="49">
        <f>FMC_Forest(C15,D15,A15,B15,submodel_forest)</f>
        <v>7.8125</v>
      </c>
      <c r="O15" s="49" cm="1">
        <f t="array" ref="O15">breach_probability(K15,fb_width,fb_trees)</f>
        <v>86.847984313964844</v>
      </c>
      <c r="P15" s="50">
        <f>fbi(R15,Grass)</f>
        <v>18</v>
      </c>
      <c r="Q15" s="51">
        <f>ROS_grass(F15,T15,curing_grass,state_grass)</f>
        <v>2633.49365234375</v>
      </c>
      <c r="R15" s="51">
        <f>Intensity_grass(Q15,fl_s_grass)</f>
        <v>6122.8725794984839</v>
      </c>
      <c r="S15" s="52">
        <f>Flame_height_grass(Q15,state_grass)</f>
        <v>1.0213292837142944</v>
      </c>
      <c r="T15" s="52">
        <f>FMC_Grass(C15,D15)</f>
        <v>8.5950002670288086</v>
      </c>
      <c r="U15" s="51">
        <f>GFDI(F15,fl_s_grass,V15)</f>
        <v>9.3384008407592773</v>
      </c>
      <c r="V15" s="52">
        <f>FMC_grass_Mk5(C15, D15,curing_grass)</f>
        <v>14.324444770812988</v>
      </c>
      <c r="W15" s="52" cm="1">
        <f t="array" ref="W15">breach_probability(R15,fb_width,fb_trees)</f>
        <v>94.290420532226563</v>
      </c>
      <c r="X15" s="98">
        <f>fbi(Z15,Woodland)</f>
        <v>12</v>
      </c>
      <c r="Y15" s="99">
        <f>ROS_woodland(F15,AB15,curing_woodland,subtype_woodland,fl_woodland,waf_woodland)</f>
        <v>1316.746826171875</v>
      </c>
      <c r="Z15" s="99">
        <f>Intensity_woodland(Y15,fl_woodland)</f>
        <v>3061.436289749242</v>
      </c>
      <c r="AA15" s="100">
        <f>Flame_height_woodland(Y15,fl_woodland)</f>
        <v>0.83245730400085449</v>
      </c>
      <c r="AB15" s="100">
        <f>FMC_woodland(C15,D15)</f>
        <v>8.5950002670288086</v>
      </c>
      <c r="AC15" s="100" cm="1">
        <f t="array" ref="AC15">breach_probability(Z15,fb_width,fb_trees)</f>
        <v>84.581100463867188</v>
      </c>
      <c r="AD15" s="53">
        <f>fbi(AF15,Heath)</f>
        <v>35</v>
      </c>
      <c r="AE15" s="54">
        <f>ROS_heath(F15,h_el_heath,AH15,AI15,overstorey_heath)</f>
        <v>1778.055101891714</v>
      </c>
      <c r="AF15" s="54">
        <f>intensity_heath(AE15,fl_heath)</f>
        <v>10822.031097671403</v>
      </c>
      <c r="AG15" s="55">
        <f>Flame_height_heath(AF15)</f>
        <v>5.6868230121607617</v>
      </c>
      <c r="AH15" s="55">
        <f>FMC_heath(C15,D15,rain,tsr)</f>
        <v>8.3899999999999988</v>
      </c>
      <c r="AI15" s="55">
        <f>+SI_heath(F15,h_el_heath,AH15,overstorey_heath)</f>
        <v>0.99240677354064466</v>
      </c>
      <c r="AJ15" s="110">
        <f>fbi(AL15,Pine)</f>
        <v>17</v>
      </c>
      <c r="AK15" s="111">
        <f t="array" ref="AK15:AM15">fb_pine_ensemble(F15,AN15,G15,kbdi)</f>
        <v>816.03883812382151</v>
      </c>
      <c r="AL15" s="111">
        <v>2251.8909951973737</v>
      </c>
      <c r="AM15" s="112">
        <v>4.0868029594421387</v>
      </c>
      <c r="AN15" s="112">
        <f>FMC_pine(C15,D15)</f>
        <v>7.3790998458862305</v>
      </c>
      <c r="AO15" s="77">
        <f>FBI_mallee(F15,AS15,cov_o_mallee,AQ15)</f>
        <v>6</v>
      </c>
      <c r="AP15" s="86">
        <f>ROS_mallee(F15,AS15,cov_o_mallee,h_o_mallee,AT15,AU15)</f>
        <v>496.05315722422392</v>
      </c>
      <c r="AQ15" s="86">
        <f>Intensity(AP15,fuel_load_mallee(fl_s_mallee,fl_o_mallee,AU15))</f>
        <v>971.50356951016272</v>
      </c>
      <c r="AR15" s="85">
        <f>flame_height_mallee(AQ15)</f>
        <v>1.2365297270076696</v>
      </c>
      <c r="AS15" s="85">
        <f>FMC_mallee(C15,D15,A15,B15,rain,tsr)</f>
        <v>7.98</v>
      </c>
      <c r="AT15" s="85">
        <f>spread_prob_mallee(F15,AS15,cov_o_mallee)</f>
        <v>0.96339511774525211</v>
      </c>
      <c r="AU15" s="85">
        <f>crown_prob_mallee(F15,AS15)</f>
        <v>3.2469853933008415E-5</v>
      </c>
      <c r="AV15" s="119">
        <f>fbi(AW15,Spinifex)</f>
        <v>21</v>
      </c>
      <c r="AW15" s="129">
        <f>ROS_spinifex(F15,tsf,AZ15,waf_spinifex,subtype_spinifex)</f>
        <v>1079.9922455839728</v>
      </c>
      <c r="AX15" s="129">
        <f>intensity_spinifex(AW15,tsf,subtype_spinifex)</f>
        <v>557.99600186650753</v>
      </c>
      <c r="AY15" s="125">
        <f>flame_height_spinifex(AW15,tsf,subtype_spinifex)</f>
        <v>1.976744532585144</v>
      </c>
      <c r="AZ15" s="125">
        <f>FMC_spinifex(AWAP_uf,tsf,D15,C15,subtype_spinifex)</f>
        <v>15.323552999333447</v>
      </c>
      <c r="BA15" s="47">
        <f>fbi(BC15,Forest)</f>
        <v>34</v>
      </c>
      <c r="BB15" s="48">
        <f>ROS_buttongrass($F15, $BF15, tsf, productivity_buttongrass)</f>
        <v>1201.114501953125</v>
      </c>
      <c r="BC15" s="48">
        <f>Intensity(BB15,Fuel_load__buttongrass)</f>
        <v>6405.6020392812688</v>
      </c>
      <c r="BD15" s="49">
        <f>Flame_height_buttongrass(BC15)</f>
        <v>5.0618047714233398</v>
      </c>
      <c r="BE15" s="49">
        <f>dewpoint($C15,$D15)</f>
        <v>6.2268691062927246</v>
      </c>
      <c r="BF15" s="49">
        <f>FMC_buttongrass($C15,$D15,$BE15,tsr,rain)</f>
        <v>8.3325986862182617</v>
      </c>
      <c r="BG15" s="129">
        <f>FFDI(C15,D15,G15,F15)</f>
        <v>13.112368583679199</v>
      </c>
      <c r="BH15" s="129">
        <f>ROS_Mk5(BG15,$BK$2)</f>
        <v>330.43170166015625</v>
      </c>
      <c r="BI15" s="129">
        <f>Intensity(BH15,$BK$2*G15/10)</f>
        <v>2868.1470808623549</v>
      </c>
      <c r="BJ15" s="125"/>
      <c r="BK15" s="125">
        <f>FMC_Mk5(C15,D15)</f>
        <v>7.3936080932617188</v>
      </c>
      <c r="BL15" s="125" cm="1">
        <f t="array" ref="BL15">breach_probability(BI15,fb_width,fb_trees)</f>
        <v>83.651634216308594</v>
      </c>
      <c r="BM15" s="47">
        <f>fbi(BO15,Forest)</f>
        <v>41</v>
      </c>
      <c r="BN15" s="86">
        <f>ros_Vesta2(BS15,BT15,BU15,BV15,BW15)</f>
        <v>1003.21875</v>
      </c>
      <c r="BO15" s="86">
        <f>Intensity_forest(BN15,G15,BP15,fl_s_forest,fl_ns_forest,fl_e_forest,fl_o_forest,h_o_forest,waf_forest,kbdi,submodel_forest)</f>
        <v>8085.9434463065118</v>
      </c>
      <c r="BP15" s="85">
        <f>Flame_height_forest(BN15,h_e_forest)</f>
        <v>7.9776105880737305</v>
      </c>
      <c r="BQ15" s="85">
        <f>Spotting_forest(BN15,$F15,fhs_s)</f>
        <v>2010</v>
      </c>
      <c r="BR15" s="85">
        <f>FMC_Vesta2(C15,D15,A15,B15,submodel_forest)</f>
        <v>7.8125</v>
      </c>
      <c r="BS15" s="87">
        <f>ros1_Vesta2(F15,waf_forest,fl_s_forest+fl_ns_forest,BR15,BX15)</f>
        <v>284.07785034179688</v>
      </c>
      <c r="BT15" s="87">
        <f>ros2_Vesta2(F15,waf_forest,fl_s_forest+fl_ns_forest,h_e_forest,BR15,BX15)</f>
        <v>1003.1612548828125</v>
      </c>
      <c r="BU15" s="87">
        <f>ros3_Vesta2(F15,BR15,BX15)</f>
        <v>1250.569580078125</v>
      </c>
      <c r="BV15" s="141">
        <f>prob_phase2(F15,waf_forest,fl_s_forest+fl_ns_forest,BR15,BX15)</f>
        <v>0.99999511241912842</v>
      </c>
      <c r="BW15" s="141">
        <f>prob_phase3(F15,BT15,BR15,BX15)</f>
        <v>2.4654358276166022E-4</v>
      </c>
      <c r="BX15" s="82">
        <f>fuel_availability_Vesta2(G15,kbdi,waf_forest,$BN$12)</f>
        <v>0.94976853617656709</v>
      </c>
      <c r="BY15" s="85" cm="1">
        <f t="array" ref="BY15">breach_probability(BO15,fb_width,fb_trees)</f>
        <v>97.099746704101563</v>
      </c>
    </row>
    <row r="16" spans="1:77" x14ac:dyDescent="0.3">
      <c r="A16" s="44"/>
      <c r="B16" s="45"/>
      <c r="C16" s="46"/>
      <c r="D16" s="46"/>
      <c r="E16" s="46"/>
      <c r="F16" s="46"/>
      <c r="G16" s="46"/>
      <c r="H16" s="80"/>
      <c r="I16" s="47"/>
      <c r="J16" s="48"/>
      <c r="K16" s="48"/>
      <c r="L16" s="49"/>
      <c r="M16" s="47"/>
      <c r="N16" s="49"/>
      <c r="O16" s="49"/>
      <c r="P16" s="50"/>
      <c r="Q16" s="51"/>
      <c r="R16" s="51"/>
      <c r="S16" s="52"/>
      <c r="T16" s="52"/>
      <c r="U16" s="51"/>
      <c r="V16" s="52"/>
      <c r="W16" s="52"/>
      <c r="X16" s="98"/>
      <c r="Y16" s="99"/>
      <c r="Z16" s="99"/>
      <c r="AA16" s="100"/>
      <c r="AB16" s="100"/>
      <c r="AC16" s="100"/>
      <c r="AD16" s="53"/>
      <c r="AE16" s="54"/>
      <c r="AF16" s="54"/>
      <c r="AG16" s="55"/>
      <c r="AH16" s="55"/>
      <c r="AI16" s="55"/>
      <c r="AJ16" s="110"/>
      <c r="AK16" s="111"/>
      <c r="AL16" s="111"/>
      <c r="AM16" s="112"/>
      <c r="AN16" s="112"/>
      <c r="AO16" s="77"/>
      <c r="AP16" s="86"/>
      <c r="AQ16" s="86"/>
      <c r="AR16" s="85"/>
      <c r="AS16" s="77"/>
      <c r="AT16" s="77"/>
      <c r="AU16" s="77"/>
      <c r="AV16" s="119"/>
      <c r="AW16" s="129"/>
      <c r="AX16" s="129"/>
      <c r="AY16" s="125"/>
      <c r="AZ16" s="119"/>
      <c r="BA16" s="47"/>
      <c r="BB16" s="48"/>
      <c r="BC16" s="48"/>
      <c r="BD16" s="49"/>
      <c r="BE16" s="49"/>
      <c r="BF16" s="49"/>
      <c r="BG16" s="129"/>
      <c r="BH16" s="129"/>
      <c r="BI16" s="129"/>
      <c r="BJ16" s="125"/>
      <c r="BK16" s="119"/>
      <c r="BL16" s="119"/>
      <c r="BM16" s="77"/>
      <c r="BN16" s="86"/>
      <c r="BO16" s="86"/>
      <c r="BP16" s="85"/>
      <c r="BQ16" s="85"/>
      <c r="BR16" s="77"/>
    </row>
    <row r="17" spans="1:70" x14ac:dyDescent="0.3">
      <c r="A17" s="44"/>
      <c r="B17" s="45"/>
      <c r="C17" s="46"/>
      <c r="D17" s="46"/>
      <c r="E17" s="46"/>
      <c r="F17" s="46"/>
      <c r="G17" s="46"/>
      <c r="H17" s="80"/>
      <c r="I17" s="47"/>
      <c r="J17" s="48"/>
      <c r="K17" s="48"/>
      <c r="L17" s="49"/>
      <c r="M17" s="47"/>
      <c r="N17" s="49"/>
      <c r="O17" s="49"/>
      <c r="P17" s="50"/>
      <c r="Q17" s="51"/>
      <c r="R17" s="51"/>
      <c r="S17" s="52"/>
      <c r="T17" s="52"/>
      <c r="U17" s="51"/>
      <c r="V17" s="52"/>
      <c r="W17" s="52"/>
      <c r="X17" s="98"/>
      <c r="Y17" s="99"/>
      <c r="Z17" s="99"/>
      <c r="AA17" s="100"/>
      <c r="AB17" s="100"/>
      <c r="AC17" s="100"/>
      <c r="AD17" s="53"/>
      <c r="AE17" s="54"/>
      <c r="AF17" s="54"/>
      <c r="AG17" s="55"/>
      <c r="AH17" s="55"/>
      <c r="AI17" s="55"/>
      <c r="AJ17" s="110"/>
      <c r="AK17" s="111"/>
      <c r="AL17" s="111"/>
      <c r="AM17" s="112"/>
      <c r="AN17" s="112"/>
      <c r="AO17" s="77"/>
      <c r="AP17" s="86"/>
      <c r="AQ17" s="86"/>
      <c r="AR17" s="85"/>
      <c r="AS17" s="77"/>
      <c r="AT17" s="77"/>
      <c r="AU17" s="77"/>
      <c r="AV17" s="119"/>
      <c r="AW17" s="129"/>
      <c r="AX17" s="129"/>
      <c r="AY17" s="125"/>
      <c r="AZ17" s="119"/>
      <c r="BA17" s="47"/>
      <c r="BB17" s="48"/>
      <c r="BC17" s="48"/>
      <c r="BD17" s="49"/>
      <c r="BE17" s="49"/>
      <c r="BF17" s="49"/>
      <c r="BG17" s="129"/>
      <c r="BH17" s="129"/>
      <c r="BI17" s="129"/>
      <c r="BJ17" s="125"/>
      <c r="BK17" s="119"/>
      <c r="BL17" s="119"/>
      <c r="BM17" s="77"/>
      <c r="BN17" s="86"/>
      <c r="BO17" s="86"/>
      <c r="BP17" s="85"/>
      <c r="BQ17" s="85"/>
      <c r="BR17" s="77"/>
    </row>
    <row r="18" spans="1:70" x14ac:dyDescent="0.3">
      <c r="A18" s="44"/>
      <c r="B18" s="45"/>
      <c r="C18" s="46"/>
      <c r="D18" s="46"/>
      <c r="E18" s="46"/>
      <c r="F18" s="46"/>
      <c r="G18" s="46"/>
      <c r="H18" s="80"/>
      <c r="I18" s="47"/>
      <c r="J18" s="48"/>
      <c r="K18" s="48"/>
      <c r="L18" s="49"/>
      <c r="M18" s="47"/>
      <c r="N18" s="49"/>
      <c r="O18" s="49"/>
      <c r="P18" s="50"/>
      <c r="Q18" s="51"/>
      <c r="R18" s="51"/>
      <c r="S18" s="52"/>
      <c r="T18" s="52"/>
      <c r="U18" s="51"/>
      <c r="V18" s="52"/>
      <c r="W18" s="52"/>
      <c r="X18" s="98"/>
      <c r="Y18" s="99"/>
      <c r="Z18" s="99"/>
      <c r="AA18" s="100"/>
      <c r="AB18" s="100"/>
      <c r="AC18" s="100"/>
      <c r="AD18" s="53"/>
      <c r="AE18" s="54"/>
      <c r="AF18" s="54"/>
      <c r="AG18" s="55"/>
      <c r="AH18" s="55"/>
      <c r="AI18" s="55"/>
      <c r="AJ18" s="110"/>
      <c r="AK18" s="111"/>
      <c r="AL18" s="111"/>
      <c r="AM18" s="112"/>
      <c r="AN18" s="112"/>
      <c r="AO18" s="77"/>
      <c r="AP18" s="86"/>
      <c r="AQ18" s="86"/>
      <c r="AR18" s="85"/>
      <c r="AS18" s="77"/>
      <c r="AT18" s="77"/>
      <c r="AU18" s="77"/>
      <c r="AV18" s="119"/>
      <c r="AW18" s="129"/>
      <c r="AX18" s="129"/>
      <c r="AY18" s="125"/>
      <c r="AZ18" s="119"/>
      <c r="BA18" s="47"/>
      <c r="BB18" s="48"/>
      <c r="BC18" s="48"/>
      <c r="BD18" s="49"/>
      <c r="BE18" s="49"/>
      <c r="BF18" s="49"/>
      <c r="BG18" s="129"/>
      <c r="BH18" s="129"/>
      <c r="BI18" s="129"/>
      <c r="BJ18" s="125"/>
      <c r="BK18" s="119"/>
      <c r="BL18" s="119"/>
      <c r="BM18" s="77"/>
      <c r="BN18" s="86"/>
      <c r="BO18" s="86"/>
      <c r="BP18" s="85"/>
      <c r="BQ18" s="85"/>
      <c r="BR18" s="77"/>
    </row>
    <row r="19" spans="1:70" x14ac:dyDescent="0.3">
      <c r="A19" s="44"/>
      <c r="B19" s="45"/>
      <c r="C19" s="46"/>
      <c r="D19" s="46"/>
      <c r="E19" s="46"/>
      <c r="F19" s="46"/>
      <c r="G19" s="46"/>
      <c r="H19" s="80"/>
      <c r="I19" s="47"/>
      <c r="J19" s="48"/>
      <c r="K19" s="48"/>
      <c r="L19" s="49"/>
      <c r="M19" s="47"/>
      <c r="N19" s="49"/>
      <c r="O19" s="49"/>
      <c r="P19" s="50"/>
      <c r="Q19" s="51"/>
      <c r="R19" s="51"/>
      <c r="S19" s="52"/>
      <c r="T19" s="52"/>
      <c r="U19" s="51"/>
      <c r="V19" s="52"/>
      <c r="W19" s="52"/>
      <c r="X19" s="98"/>
      <c r="Y19" s="99"/>
      <c r="Z19" s="99"/>
      <c r="AA19" s="100"/>
      <c r="AB19" s="100"/>
      <c r="AC19" s="100"/>
      <c r="AD19" s="53"/>
      <c r="AE19" s="54"/>
      <c r="AF19" s="54"/>
      <c r="AG19" s="55"/>
      <c r="AH19" s="55"/>
      <c r="AI19" s="55"/>
      <c r="AJ19" s="110"/>
      <c r="AK19" s="111"/>
      <c r="AL19" s="111"/>
      <c r="AM19" s="112"/>
      <c r="AN19" s="112"/>
      <c r="AO19" s="77"/>
      <c r="AP19" s="86"/>
      <c r="AQ19" s="86"/>
      <c r="AR19" s="85"/>
      <c r="AS19" s="77"/>
      <c r="AT19" s="77"/>
      <c r="AU19" s="77"/>
      <c r="AV19" s="119"/>
      <c r="AW19" s="129"/>
      <c r="AX19" s="129"/>
      <c r="AY19" s="125"/>
      <c r="AZ19" s="119"/>
      <c r="BA19" s="47"/>
      <c r="BB19" s="48"/>
      <c r="BC19" s="48"/>
      <c r="BD19" s="49"/>
      <c r="BE19" s="49"/>
      <c r="BF19" s="49"/>
      <c r="BG19" s="129"/>
      <c r="BH19" s="129"/>
      <c r="BI19" s="129"/>
      <c r="BJ19" s="125"/>
      <c r="BK19" s="119"/>
      <c r="BL19" s="119"/>
      <c r="BM19" s="77"/>
      <c r="BN19" s="86"/>
      <c r="BO19" s="86"/>
      <c r="BP19" s="85"/>
      <c r="BQ19" s="85"/>
      <c r="BR19" s="77"/>
    </row>
    <row r="20" spans="1:70" x14ac:dyDescent="0.3">
      <c r="A20" s="44"/>
      <c r="B20" s="45"/>
      <c r="C20" s="46"/>
      <c r="D20" s="46"/>
      <c r="E20" s="46"/>
      <c r="F20" s="46"/>
      <c r="G20" s="46"/>
      <c r="H20" s="80"/>
      <c r="I20" s="47"/>
      <c r="J20" s="48"/>
      <c r="K20" s="48"/>
      <c r="L20" s="49"/>
      <c r="M20" s="47"/>
      <c r="N20" s="49"/>
      <c r="O20" s="49"/>
      <c r="P20" s="50"/>
      <c r="Q20" s="51"/>
      <c r="R20" s="51"/>
      <c r="S20" s="52"/>
      <c r="T20" s="52"/>
      <c r="U20" s="51"/>
      <c r="V20" s="52"/>
      <c r="W20" s="52"/>
      <c r="X20" s="98"/>
      <c r="Y20" s="99"/>
      <c r="Z20" s="99"/>
      <c r="AA20" s="100"/>
      <c r="AB20" s="100"/>
      <c r="AC20" s="100"/>
      <c r="AD20" s="53"/>
      <c r="AE20" s="54"/>
      <c r="AF20" s="54"/>
      <c r="AG20" s="55"/>
      <c r="AH20" s="55"/>
      <c r="AI20" s="55"/>
      <c r="AJ20" s="110"/>
      <c r="AK20" s="111"/>
      <c r="AL20" s="111"/>
      <c r="AM20" s="112"/>
      <c r="AN20" s="112"/>
      <c r="AO20" s="77"/>
      <c r="AP20" s="86"/>
      <c r="AQ20" s="86"/>
      <c r="AR20" s="85"/>
      <c r="AS20" s="77"/>
      <c r="AT20" s="77"/>
      <c r="AU20" s="77"/>
      <c r="AV20" s="119"/>
      <c r="AW20" s="129"/>
      <c r="AX20" s="129"/>
      <c r="AY20" s="125"/>
      <c r="AZ20" s="119"/>
      <c r="BA20" s="47"/>
      <c r="BB20" s="48"/>
      <c r="BC20" s="48"/>
      <c r="BD20" s="49"/>
      <c r="BE20" s="49"/>
      <c r="BF20" s="49"/>
      <c r="BG20" s="129"/>
      <c r="BH20" s="129"/>
      <c r="BI20" s="129"/>
      <c r="BJ20" s="125"/>
      <c r="BK20" s="119"/>
      <c r="BL20" s="119"/>
      <c r="BM20" s="77"/>
      <c r="BN20" s="86"/>
      <c r="BO20" s="86"/>
      <c r="BP20" s="85"/>
      <c r="BQ20" s="85"/>
      <c r="BR20" s="77"/>
    </row>
    <row r="21" spans="1:70" x14ac:dyDescent="0.3">
      <c r="A21" s="44"/>
      <c r="B21" s="45"/>
      <c r="C21" s="46"/>
      <c r="D21" s="46"/>
      <c r="E21" s="46"/>
      <c r="F21" s="46"/>
      <c r="G21" s="46"/>
      <c r="H21" s="80"/>
      <c r="I21" s="47"/>
      <c r="J21" s="48"/>
      <c r="K21" s="48"/>
      <c r="L21" s="49"/>
      <c r="M21" s="47"/>
      <c r="N21" s="49"/>
      <c r="O21" s="49"/>
      <c r="P21" s="50"/>
      <c r="Q21" s="51"/>
      <c r="R21" s="51"/>
      <c r="S21" s="52"/>
      <c r="T21" s="52"/>
      <c r="U21" s="51"/>
      <c r="V21" s="52"/>
      <c r="W21" s="52"/>
      <c r="X21" s="98"/>
      <c r="Y21" s="99"/>
      <c r="Z21" s="99"/>
      <c r="AA21" s="100"/>
      <c r="AB21" s="100"/>
      <c r="AC21" s="100"/>
      <c r="AD21" s="53"/>
      <c r="AE21" s="54"/>
      <c r="AF21" s="54"/>
      <c r="AG21" s="55"/>
      <c r="AH21" s="55"/>
      <c r="AI21" s="55"/>
      <c r="AJ21" s="110"/>
      <c r="AK21" s="111"/>
      <c r="AL21" s="111"/>
      <c r="AM21" s="112"/>
      <c r="AN21" s="112"/>
      <c r="AO21" s="77"/>
      <c r="AP21" s="86"/>
      <c r="AQ21" s="86"/>
      <c r="AR21" s="85"/>
      <c r="AS21" s="77"/>
      <c r="AT21" s="77"/>
      <c r="AU21" s="77"/>
      <c r="AV21" s="119"/>
      <c r="AW21" s="129"/>
      <c r="AX21" s="129"/>
      <c r="AY21" s="125"/>
      <c r="AZ21" s="119"/>
      <c r="BA21" s="47"/>
      <c r="BB21" s="48"/>
      <c r="BC21" s="48"/>
      <c r="BD21" s="49"/>
      <c r="BE21" s="49"/>
      <c r="BF21" s="49"/>
      <c r="BG21" s="129"/>
      <c r="BH21" s="129"/>
      <c r="BI21" s="129"/>
      <c r="BJ21" s="125"/>
      <c r="BK21" s="119"/>
      <c r="BL21" s="119"/>
      <c r="BM21" s="77"/>
      <c r="BN21" s="86"/>
      <c r="BO21" s="86"/>
      <c r="BP21" s="85"/>
      <c r="BQ21" s="85"/>
      <c r="BR21" s="77"/>
    </row>
    <row r="22" spans="1:70" x14ac:dyDescent="0.3">
      <c r="A22" s="44"/>
      <c r="B22" s="45"/>
      <c r="C22" s="46"/>
      <c r="D22" s="46"/>
      <c r="E22" s="46"/>
      <c r="F22" s="46"/>
      <c r="G22" s="46"/>
      <c r="H22" s="80"/>
      <c r="I22" s="47"/>
      <c r="J22" s="48"/>
      <c r="K22" s="48"/>
      <c r="L22" s="49"/>
      <c r="M22" s="47"/>
      <c r="N22" s="49"/>
      <c r="O22" s="49"/>
      <c r="P22" s="50"/>
      <c r="Q22" s="51"/>
      <c r="R22" s="51"/>
      <c r="S22" s="52"/>
      <c r="T22" s="52"/>
      <c r="U22" s="51"/>
      <c r="V22" s="52"/>
      <c r="W22" s="52"/>
      <c r="X22" s="98"/>
      <c r="Y22" s="99"/>
      <c r="Z22" s="99"/>
      <c r="AA22" s="100"/>
      <c r="AB22" s="100"/>
      <c r="AC22" s="100"/>
      <c r="AD22" s="53"/>
      <c r="AE22" s="54"/>
      <c r="AF22" s="54"/>
      <c r="AG22" s="55"/>
      <c r="AH22" s="55"/>
      <c r="AI22" s="55"/>
      <c r="AJ22" s="110"/>
      <c r="AK22" s="111"/>
      <c r="AL22" s="111"/>
      <c r="AM22" s="112"/>
      <c r="AN22" s="112"/>
      <c r="AO22" s="77"/>
      <c r="AP22" s="86"/>
      <c r="AQ22" s="86"/>
      <c r="AR22" s="85"/>
      <c r="AS22" s="77"/>
      <c r="AT22" s="77"/>
      <c r="AU22" s="77"/>
      <c r="AV22" s="119"/>
      <c r="AW22" s="129"/>
      <c r="AX22" s="129"/>
      <c r="AY22" s="125"/>
      <c r="AZ22" s="119"/>
      <c r="BA22" s="47"/>
      <c r="BB22" s="48"/>
      <c r="BC22" s="48"/>
      <c r="BD22" s="49"/>
      <c r="BE22" s="49"/>
      <c r="BF22" s="49"/>
      <c r="BG22" s="129"/>
      <c r="BH22" s="129"/>
      <c r="BI22" s="129"/>
      <c r="BJ22" s="125"/>
      <c r="BK22" s="119"/>
      <c r="BL22" s="119"/>
      <c r="BM22" s="77"/>
      <c r="BN22" s="86"/>
      <c r="BO22" s="86"/>
      <c r="BP22" s="85"/>
      <c r="BQ22" s="85"/>
      <c r="BR22" s="77"/>
    </row>
    <row r="23" spans="1:70" x14ac:dyDescent="0.3">
      <c r="A23" s="44"/>
      <c r="B23" s="45"/>
      <c r="C23" s="46"/>
      <c r="D23" s="46"/>
      <c r="E23" s="46"/>
      <c r="F23" s="46"/>
      <c r="G23" s="46"/>
      <c r="H23" s="80"/>
      <c r="I23" s="47"/>
      <c r="J23" s="48"/>
      <c r="K23" s="48"/>
      <c r="L23" s="49"/>
      <c r="M23" s="47"/>
      <c r="N23" s="49"/>
      <c r="O23" s="49"/>
      <c r="P23" s="50"/>
      <c r="Q23" s="51"/>
      <c r="R23" s="51"/>
      <c r="S23" s="52"/>
      <c r="T23" s="52"/>
      <c r="U23" s="51"/>
      <c r="V23" s="52"/>
      <c r="W23" s="52"/>
      <c r="X23" s="98"/>
      <c r="Y23" s="99"/>
      <c r="Z23" s="99"/>
      <c r="AA23" s="100"/>
      <c r="AB23" s="100"/>
      <c r="AC23" s="100"/>
      <c r="AD23" s="53"/>
      <c r="AE23" s="54"/>
      <c r="AF23" s="54"/>
      <c r="AG23" s="55"/>
      <c r="AH23" s="55"/>
      <c r="AI23" s="55"/>
      <c r="AJ23" s="110"/>
      <c r="AK23" s="111"/>
      <c r="AL23" s="111"/>
      <c r="AM23" s="112"/>
      <c r="AN23" s="112"/>
      <c r="AO23" s="77"/>
      <c r="AP23" s="86"/>
      <c r="AQ23" s="86"/>
      <c r="AR23" s="85"/>
      <c r="AS23" s="77"/>
      <c r="AT23" s="77"/>
      <c r="AU23" s="77"/>
      <c r="AV23" s="119"/>
      <c r="AW23" s="129"/>
      <c r="AX23" s="129"/>
      <c r="AY23" s="125"/>
      <c r="AZ23" s="119"/>
      <c r="BA23" s="47"/>
      <c r="BB23" s="48"/>
      <c r="BC23" s="48"/>
      <c r="BD23" s="49"/>
      <c r="BE23" s="49"/>
      <c r="BF23" s="49"/>
      <c r="BG23" s="129"/>
      <c r="BH23" s="129"/>
      <c r="BI23" s="129"/>
      <c r="BJ23" s="125"/>
      <c r="BK23" s="119"/>
      <c r="BL23" s="119"/>
      <c r="BM23" s="77"/>
      <c r="BN23" s="86"/>
      <c r="BO23" s="86"/>
      <c r="BP23" s="85"/>
      <c r="BQ23" s="85"/>
      <c r="BR23" s="77"/>
    </row>
    <row r="24" spans="1:70" x14ac:dyDescent="0.3">
      <c r="A24" s="44"/>
      <c r="B24" s="45"/>
      <c r="C24" s="46"/>
      <c r="D24" s="46"/>
      <c r="E24" s="46"/>
      <c r="F24" s="46"/>
      <c r="G24" s="46"/>
      <c r="H24" s="80"/>
      <c r="I24" s="47"/>
      <c r="J24" s="48"/>
      <c r="K24" s="48"/>
      <c r="L24" s="49"/>
      <c r="M24" s="47"/>
      <c r="N24" s="49"/>
      <c r="O24" s="49"/>
      <c r="P24" s="50"/>
      <c r="Q24" s="51"/>
      <c r="R24" s="51"/>
      <c r="S24" s="52"/>
      <c r="T24" s="52"/>
      <c r="U24" s="51"/>
      <c r="V24" s="52"/>
      <c r="W24" s="52"/>
      <c r="X24" s="98"/>
      <c r="Y24" s="99"/>
      <c r="Z24" s="99"/>
      <c r="AA24" s="100"/>
      <c r="AB24" s="100"/>
      <c r="AC24" s="100"/>
      <c r="AD24" s="53"/>
      <c r="AE24" s="54"/>
      <c r="AF24" s="54"/>
      <c r="AG24" s="55"/>
      <c r="AH24" s="55"/>
      <c r="AI24" s="55"/>
      <c r="AJ24" s="110"/>
      <c r="AK24" s="111"/>
      <c r="AL24" s="111"/>
      <c r="AM24" s="112"/>
      <c r="AN24" s="112"/>
      <c r="AO24" s="77"/>
      <c r="AP24" s="86"/>
      <c r="AQ24" s="86"/>
      <c r="AR24" s="85"/>
      <c r="AS24" s="77"/>
      <c r="AT24" s="77"/>
      <c r="AU24" s="77"/>
      <c r="AV24" s="119"/>
      <c r="AW24" s="129"/>
      <c r="AX24" s="129"/>
      <c r="AY24" s="125"/>
      <c r="AZ24" s="119"/>
      <c r="BA24" s="47"/>
      <c r="BB24" s="48"/>
      <c r="BC24" s="48"/>
      <c r="BD24" s="49"/>
      <c r="BE24" s="49"/>
      <c r="BF24" s="49"/>
      <c r="BG24" s="129"/>
      <c r="BH24" s="129"/>
      <c r="BI24" s="129"/>
      <c r="BJ24" s="125"/>
      <c r="BK24" s="119"/>
      <c r="BL24" s="119"/>
      <c r="BM24" s="77"/>
      <c r="BN24" s="86"/>
      <c r="BO24" s="86"/>
      <c r="BP24" s="85"/>
      <c r="BQ24" s="85"/>
      <c r="BR24" s="77"/>
    </row>
    <row r="25" spans="1:70" x14ac:dyDescent="0.3">
      <c r="H25" s="80"/>
      <c r="I25" s="47"/>
      <c r="J25" s="48"/>
      <c r="K25" s="48"/>
      <c r="L25" s="49"/>
      <c r="M25" s="47"/>
      <c r="N25" s="49"/>
      <c r="O25" s="49"/>
      <c r="P25" s="50"/>
      <c r="Q25" s="51"/>
      <c r="R25" s="51"/>
      <c r="S25" s="52"/>
      <c r="T25" s="52"/>
      <c r="U25" s="51"/>
      <c r="V25" s="52"/>
      <c r="W25" s="52"/>
      <c r="X25" s="98"/>
      <c r="Y25" s="99"/>
      <c r="Z25" s="99"/>
      <c r="AA25" s="100"/>
      <c r="AB25" s="100"/>
      <c r="AC25" s="100"/>
      <c r="AD25" s="53"/>
      <c r="AE25" s="54"/>
      <c r="AF25" s="54"/>
      <c r="AG25" s="55"/>
      <c r="AH25" s="55"/>
      <c r="AI25" s="55"/>
      <c r="AJ25" s="110"/>
      <c r="AK25" s="111"/>
      <c r="AL25" s="111"/>
      <c r="AM25" s="112"/>
      <c r="AN25" s="112"/>
      <c r="AO25" s="77"/>
      <c r="AP25" s="86"/>
      <c r="AQ25" s="86"/>
      <c r="AR25" s="85"/>
      <c r="AS25" s="77"/>
      <c r="AT25" s="77"/>
      <c r="AU25" s="77"/>
      <c r="AV25" s="119"/>
      <c r="AW25" s="129"/>
      <c r="AX25" s="129"/>
      <c r="AY25" s="125"/>
      <c r="AZ25" s="119"/>
      <c r="BA25" s="47"/>
      <c r="BB25" s="48"/>
      <c r="BC25" s="48"/>
      <c r="BD25" s="49"/>
      <c r="BE25" s="49"/>
      <c r="BF25" s="49"/>
      <c r="BG25" s="129"/>
      <c r="BH25" s="129"/>
      <c r="BI25" s="129"/>
      <c r="BJ25" s="125"/>
      <c r="BK25" s="119"/>
      <c r="BL25" s="119"/>
      <c r="BM25" s="77"/>
      <c r="BN25" s="86"/>
      <c r="BO25" s="86"/>
      <c r="BP25" s="85"/>
      <c r="BQ25" s="85"/>
      <c r="BR25" s="77"/>
    </row>
    <row r="26" spans="1:70" x14ac:dyDescent="0.3">
      <c r="H26" s="80"/>
      <c r="I26" s="47"/>
      <c r="J26" s="48"/>
      <c r="K26" s="48"/>
      <c r="L26" s="49"/>
      <c r="M26" s="47"/>
      <c r="N26" s="49"/>
      <c r="O26" s="49"/>
      <c r="P26" s="50"/>
      <c r="Q26" s="51"/>
      <c r="R26" s="51"/>
      <c r="S26" s="52"/>
      <c r="T26" s="52"/>
      <c r="U26" s="51"/>
      <c r="V26" s="52"/>
      <c r="W26" s="52"/>
      <c r="X26" s="98"/>
      <c r="Y26" s="99"/>
      <c r="Z26" s="99"/>
      <c r="AA26" s="100"/>
      <c r="AB26" s="100"/>
      <c r="AC26" s="100"/>
      <c r="AD26" s="53"/>
      <c r="AE26" s="54"/>
      <c r="AF26" s="54"/>
      <c r="AG26" s="55"/>
      <c r="AH26" s="55"/>
      <c r="AI26" s="55"/>
      <c r="AJ26" s="110"/>
      <c r="AK26" s="111"/>
      <c r="AL26" s="111"/>
      <c r="AM26" s="112"/>
      <c r="AN26" s="112"/>
      <c r="AO26" s="77"/>
      <c r="AP26" s="86"/>
      <c r="AQ26" s="86"/>
      <c r="AR26" s="85"/>
      <c r="AS26" s="77"/>
      <c r="AT26" s="77"/>
      <c r="AU26" s="77"/>
      <c r="AV26" s="119"/>
      <c r="AW26" s="129"/>
      <c r="AX26" s="129"/>
      <c r="AY26" s="125"/>
      <c r="AZ26" s="119"/>
      <c r="BA26" s="47"/>
      <c r="BB26" s="48"/>
      <c r="BC26" s="48"/>
      <c r="BD26" s="49"/>
      <c r="BE26" s="49"/>
      <c r="BF26" s="49"/>
      <c r="BG26" s="129"/>
      <c r="BH26" s="129"/>
      <c r="BI26" s="129"/>
      <c r="BJ26" s="125"/>
      <c r="BK26" s="119"/>
      <c r="BL26" s="119"/>
      <c r="BM26" s="77"/>
      <c r="BN26" s="86"/>
      <c r="BO26" s="86"/>
      <c r="BP26" s="85"/>
      <c r="BQ26" s="85"/>
      <c r="BR26" s="77"/>
    </row>
    <row r="27" spans="1:70" x14ac:dyDescent="0.3">
      <c r="H27" s="80"/>
      <c r="I27" s="47"/>
      <c r="J27" s="48"/>
      <c r="K27" s="48"/>
      <c r="L27" s="49"/>
      <c r="M27" s="47"/>
      <c r="N27" s="49"/>
      <c r="O27" s="49"/>
      <c r="P27" s="50"/>
      <c r="Q27" s="51"/>
      <c r="R27" s="51"/>
      <c r="S27" s="52"/>
      <c r="T27" s="52"/>
      <c r="U27" s="51"/>
      <c r="V27" s="52"/>
      <c r="W27" s="52"/>
      <c r="X27" s="98"/>
      <c r="Y27" s="99"/>
      <c r="Z27" s="99"/>
      <c r="AA27" s="100"/>
      <c r="AB27" s="100"/>
      <c r="AC27" s="100"/>
      <c r="AD27" s="53"/>
      <c r="AE27" s="54"/>
      <c r="AF27" s="54"/>
      <c r="AG27" s="55"/>
      <c r="AH27" s="55"/>
      <c r="AI27" s="55"/>
      <c r="AJ27" s="110"/>
      <c r="AK27" s="111"/>
      <c r="AL27" s="111"/>
      <c r="AM27" s="112"/>
      <c r="AN27" s="112"/>
      <c r="AO27" s="77"/>
      <c r="AP27" s="86"/>
      <c r="AQ27" s="86"/>
      <c r="AR27" s="85"/>
      <c r="AS27" s="77"/>
      <c r="AT27" s="77"/>
      <c r="AU27" s="77"/>
      <c r="AV27" s="119"/>
      <c r="AW27" s="129"/>
      <c r="AX27" s="129"/>
      <c r="AY27" s="125"/>
      <c r="AZ27" s="119"/>
      <c r="BA27" s="47"/>
      <c r="BB27" s="48"/>
      <c r="BC27" s="48"/>
      <c r="BD27" s="49"/>
      <c r="BE27" s="49"/>
      <c r="BF27" s="49"/>
      <c r="BG27" s="129"/>
      <c r="BH27" s="129"/>
      <c r="BI27" s="129"/>
      <c r="BJ27" s="125"/>
      <c r="BK27" s="119"/>
      <c r="BL27" s="119"/>
      <c r="BM27" s="77"/>
      <c r="BN27" s="86"/>
      <c r="BO27" s="86"/>
      <c r="BP27" s="85"/>
      <c r="BQ27" s="85"/>
      <c r="BR27" s="77"/>
    </row>
    <row r="28" spans="1:70" x14ac:dyDescent="0.3">
      <c r="H28" s="80"/>
      <c r="I28" s="47"/>
      <c r="J28" s="48"/>
      <c r="K28" s="48"/>
      <c r="L28" s="49"/>
      <c r="M28" s="47"/>
      <c r="N28" s="49"/>
      <c r="O28" s="49"/>
      <c r="P28" s="50"/>
      <c r="Q28" s="51"/>
      <c r="R28" s="51"/>
      <c r="S28" s="52"/>
      <c r="T28" s="52"/>
      <c r="U28" s="51"/>
      <c r="V28" s="52"/>
      <c r="W28" s="52"/>
      <c r="X28" s="98"/>
      <c r="Y28" s="99"/>
      <c r="Z28" s="99"/>
      <c r="AA28" s="100"/>
      <c r="AB28" s="100"/>
      <c r="AC28" s="100"/>
      <c r="AD28" s="53"/>
      <c r="AE28" s="54"/>
      <c r="AF28" s="54"/>
      <c r="AG28" s="55"/>
      <c r="AH28" s="55"/>
      <c r="AI28" s="55"/>
      <c r="AJ28" s="110"/>
      <c r="AK28" s="111"/>
      <c r="AL28" s="111"/>
      <c r="AM28" s="112"/>
      <c r="AN28" s="112"/>
      <c r="AO28" s="77"/>
      <c r="AP28" s="86"/>
      <c r="AQ28" s="86"/>
      <c r="AR28" s="85"/>
      <c r="AS28" s="77"/>
      <c r="AT28" s="77"/>
      <c r="AU28" s="77"/>
      <c r="AV28" s="119"/>
      <c r="AW28" s="129"/>
      <c r="AX28" s="129"/>
      <c r="AY28" s="125"/>
      <c r="AZ28" s="119"/>
      <c r="BA28" s="47"/>
      <c r="BB28" s="48"/>
      <c r="BC28" s="48"/>
      <c r="BD28" s="49"/>
      <c r="BE28" s="49"/>
      <c r="BF28" s="49"/>
      <c r="BG28" s="129"/>
      <c r="BH28" s="129"/>
      <c r="BI28" s="129"/>
      <c r="BJ28" s="125"/>
      <c r="BK28" s="119"/>
      <c r="BL28" s="119"/>
      <c r="BM28" s="77"/>
      <c r="BN28" s="86"/>
      <c r="BO28" s="86"/>
      <c r="BP28" s="85"/>
      <c r="BQ28" s="85"/>
      <c r="BR28" s="77"/>
    </row>
    <row r="29" spans="1:70" x14ac:dyDescent="0.3">
      <c r="H29" s="80"/>
      <c r="I29" s="47"/>
      <c r="J29" s="48"/>
      <c r="K29" s="48"/>
      <c r="L29" s="49"/>
      <c r="M29" s="47"/>
      <c r="N29" s="49"/>
      <c r="O29" s="49"/>
      <c r="P29" s="50"/>
      <c r="Q29" s="51"/>
      <c r="R29" s="51"/>
      <c r="S29" s="52"/>
      <c r="T29" s="52"/>
      <c r="U29" s="51"/>
      <c r="V29" s="52"/>
      <c r="W29" s="52"/>
      <c r="X29" s="98"/>
      <c r="Y29" s="99"/>
      <c r="Z29" s="99"/>
      <c r="AA29" s="100"/>
      <c r="AB29" s="100"/>
      <c r="AC29" s="100"/>
      <c r="AD29" s="53"/>
      <c r="AE29" s="54"/>
      <c r="AF29" s="54"/>
      <c r="AG29" s="55"/>
      <c r="AH29" s="55"/>
      <c r="AI29" s="55"/>
      <c r="AJ29" s="110"/>
      <c r="AK29" s="111"/>
      <c r="AL29" s="111"/>
      <c r="AM29" s="112"/>
      <c r="AN29" s="112"/>
      <c r="AO29" s="77"/>
      <c r="AP29" s="86"/>
      <c r="AQ29" s="86"/>
      <c r="AR29" s="85"/>
      <c r="AS29" s="77"/>
      <c r="AT29" s="77"/>
      <c r="AU29" s="77"/>
      <c r="AV29" s="119"/>
      <c r="AW29" s="129"/>
      <c r="AX29" s="129"/>
      <c r="AY29" s="125"/>
      <c r="AZ29" s="119"/>
      <c r="BA29" s="47"/>
      <c r="BB29" s="48"/>
      <c r="BC29" s="48"/>
      <c r="BD29" s="49"/>
      <c r="BE29" s="49"/>
      <c r="BF29" s="49"/>
      <c r="BG29" s="129"/>
      <c r="BH29" s="129"/>
      <c r="BI29" s="129"/>
      <c r="BJ29" s="125"/>
      <c r="BK29" s="119"/>
      <c r="BL29" s="119"/>
      <c r="BM29" s="77"/>
      <c r="BN29" s="86"/>
      <c r="BO29" s="86"/>
      <c r="BP29" s="85"/>
      <c r="BQ29" s="85"/>
      <c r="BR29" s="77"/>
    </row>
    <row r="30" spans="1:70" x14ac:dyDescent="0.3">
      <c r="H30" s="80"/>
      <c r="I30" s="47"/>
      <c r="J30" s="48"/>
      <c r="K30" s="48"/>
      <c r="L30" s="49"/>
      <c r="M30" s="47"/>
      <c r="N30" s="49"/>
      <c r="O30" s="49"/>
      <c r="P30" s="50"/>
      <c r="Q30" s="51"/>
      <c r="R30" s="51"/>
      <c r="S30" s="52"/>
      <c r="T30" s="52"/>
      <c r="U30" s="51"/>
      <c r="V30" s="52"/>
      <c r="W30" s="52"/>
      <c r="X30" s="98"/>
      <c r="Y30" s="99"/>
      <c r="Z30" s="99"/>
      <c r="AA30" s="100"/>
      <c r="AB30" s="100"/>
      <c r="AC30" s="100"/>
      <c r="AD30" s="53"/>
      <c r="AE30" s="54"/>
      <c r="AF30" s="54"/>
      <c r="AG30" s="55"/>
      <c r="AH30" s="55"/>
      <c r="AI30" s="55"/>
      <c r="AJ30" s="110"/>
      <c r="AK30" s="111"/>
      <c r="AL30" s="111"/>
      <c r="AM30" s="112"/>
      <c r="AN30" s="112"/>
      <c r="AO30" s="77"/>
      <c r="AP30" s="86"/>
      <c r="AQ30" s="86"/>
      <c r="AR30" s="85"/>
      <c r="AS30" s="77"/>
      <c r="AT30" s="77"/>
      <c r="AU30" s="77"/>
      <c r="AV30" s="119"/>
      <c r="AW30" s="129"/>
      <c r="AX30" s="129"/>
      <c r="AY30" s="125"/>
      <c r="AZ30" s="119"/>
      <c r="BA30" s="47"/>
      <c r="BB30" s="48"/>
      <c r="BC30" s="48"/>
      <c r="BD30" s="49"/>
      <c r="BE30" s="49"/>
      <c r="BF30" s="49"/>
      <c r="BG30" s="129"/>
      <c r="BH30" s="129"/>
      <c r="BI30" s="129"/>
      <c r="BJ30" s="125"/>
      <c r="BK30" s="119"/>
      <c r="BL30" s="119"/>
      <c r="BM30" s="77"/>
      <c r="BN30" s="86"/>
      <c r="BO30" s="86"/>
      <c r="BP30" s="85"/>
      <c r="BQ30" s="85"/>
      <c r="BR30" s="77"/>
    </row>
    <row r="31" spans="1:70" x14ac:dyDescent="0.3">
      <c r="H31" s="80"/>
      <c r="I31" s="47"/>
      <c r="J31" s="48"/>
      <c r="K31" s="48"/>
      <c r="L31" s="49"/>
      <c r="M31" s="47"/>
      <c r="N31" s="49"/>
      <c r="O31" s="49"/>
      <c r="P31" s="50"/>
      <c r="Q31" s="51"/>
      <c r="R31" s="51"/>
      <c r="S31" s="52"/>
      <c r="T31" s="52"/>
      <c r="U31" s="51"/>
      <c r="V31" s="52"/>
      <c r="W31" s="52"/>
      <c r="X31" s="98"/>
      <c r="Y31" s="99"/>
      <c r="Z31" s="99"/>
      <c r="AA31" s="100"/>
      <c r="AB31" s="100"/>
      <c r="AC31" s="100"/>
      <c r="AD31" s="53"/>
      <c r="AE31" s="54"/>
      <c r="AF31" s="54"/>
      <c r="AG31" s="55"/>
      <c r="AH31" s="55"/>
      <c r="AI31" s="55"/>
      <c r="AJ31" s="110"/>
      <c r="AK31" s="111"/>
      <c r="AL31" s="111"/>
      <c r="AM31" s="112"/>
      <c r="AN31" s="112"/>
      <c r="AO31" s="77"/>
      <c r="AP31" s="86"/>
      <c r="AQ31" s="86"/>
      <c r="AR31" s="85"/>
      <c r="AS31" s="77"/>
      <c r="AT31" s="77"/>
      <c r="AU31" s="77"/>
      <c r="AV31" s="119"/>
      <c r="AW31" s="129"/>
      <c r="AX31" s="129"/>
      <c r="AY31" s="125"/>
      <c r="AZ31" s="119"/>
      <c r="BA31" s="47"/>
      <c r="BB31" s="48"/>
      <c r="BC31" s="48"/>
      <c r="BD31" s="49"/>
      <c r="BE31" s="49"/>
      <c r="BF31" s="49"/>
      <c r="BG31" s="129"/>
      <c r="BH31" s="129"/>
      <c r="BI31" s="129"/>
      <c r="BJ31" s="125"/>
      <c r="BK31" s="119"/>
      <c r="BL31" s="119"/>
      <c r="BM31" s="77"/>
      <c r="BN31" s="86"/>
      <c r="BO31" s="86"/>
      <c r="BP31" s="85"/>
      <c r="BQ31" s="85"/>
      <c r="BR31" s="77"/>
    </row>
    <row r="32" spans="1:70" x14ac:dyDescent="0.3">
      <c r="H32" s="80"/>
      <c r="I32" s="47"/>
      <c r="J32" s="48"/>
      <c r="K32" s="48"/>
      <c r="L32" s="49"/>
      <c r="M32" s="47"/>
      <c r="N32" s="49"/>
      <c r="O32" s="49"/>
      <c r="P32" s="50"/>
      <c r="Q32" s="51"/>
      <c r="R32" s="51"/>
      <c r="S32" s="52"/>
      <c r="T32" s="52"/>
      <c r="U32" s="51"/>
      <c r="V32" s="52"/>
      <c r="W32" s="52"/>
      <c r="X32" s="98"/>
      <c r="Y32" s="99"/>
      <c r="Z32" s="99"/>
      <c r="AA32" s="100"/>
      <c r="AB32" s="100"/>
      <c r="AC32" s="100"/>
      <c r="AD32" s="53"/>
      <c r="AE32" s="54"/>
      <c r="AF32" s="54"/>
      <c r="AG32" s="55"/>
      <c r="AH32" s="55"/>
      <c r="AI32" s="55"/>
      <c r="AJ32" s="110"/>
      <c r="AK32" s="111"/>
      <c r="AL32" s="111"/>
      <c r="AM32" s="112"/>
      <c r="AN32" s="112"/>
      <c r="AO32" s="77"/>
      <c r="AP32" s="86"/>
      <c r="AQ32" s="86"/>
      <c r="AR32" s="85"/>
      <c r="AS32" s="77"/>
      <c r="AT32" s="77"/>
      <c r="AU32" s="77"/>
      <c r="AV32" s="119"/>
      <c r="AW32" s="129"/>
      <c r="AX32" s="129"/>
      <c r="AY32" s="125"/>
      <c r="AZ32" s="119"/>
      <c r="BA32" s="47"/>
      <c r="BB32" s="48"/>
      <c r="BC32" s="48"/>
      <c r="BD32" s="49"/>
      <c r="BE32" s="49"/>
      <c r="BF32" s="49"/>
      <c r="BG32" s="129"/>
      <c r="BH32" s="129"/>
      <c r="BI32" s="129"/>
      <c r="BJ32" s="125"/>
      <c r="BK32" s="119"/>
      <c r="BL32" s="119"/>
      <c r="BM32" s="77"/>
      <c r="BN32" s="86"/>
      <c r="BO32" s="86"/>
      <c r="BP32" s="85"/>
      <c r="BQ32" s="85"/>
      <c r="BR32" s="77"/>
    </row>
    <row r="33" spans="8:70" x14ac:dyDescent="0.3">
      <c r="H33" s="80"/>
      <c r="I33" s="47"/>
      <c r="J33" s="48"/>
      <c r="K33" s="48"/>
      <c r="L33" s="49"/>
      <c r="M33" s="47"/>
      <c r="N33" s="49"/>
      <c r="O33" s="49"/>
      <c r="P33" s="50"/>
      <c r="Q33" s="51"/>
      <c r="R33" s="51"/>
      <c r="S33" s="52"/>
      <c r="T33" s="52"/>
      <c r="U33" s="51"/>
      <c r="V33" s="52"/>
      <c r="W33" s="52"/>
      <c r="X33" s="98"/>
      <c r="Y33" s="99"/>
      <c r="Z33" s="99"/>
      <c r="AA33" s="100"/>
      <c r="AB33" s="100"/>
      <c r="AC33" s="100"/>
      <c r="AD33" s="53"/>
      <c r="AE33" s="54"/>
      <c r="AF33" s="54"/>
      <c r="AG33" s="55"/>
      <c r="AH33" s="55"/>
      <c r="AI33" s="55"/>
      <c r="AJ33" s="110"/>
      <c r="AK33" s="111"/>
      <c r="AL33" s="111"/>
      <c r="AM33" s="112"/>
      <c r="AN33" s="112"/>
      <c r="AO33" s="77"/>
      <c r="AP33" s="86"/>
      <c r="AQ33" s="86"/>
      <c r="AR33" s="85"/>
      <c r="AS33" s="77"/>
      <c r="AT33" s="77"/>
      <c r="AU33" s="77"/>
      <c r="AV33" s="119"/>
      <c r="AW33" s="129"/>
      <c r="AX33" s="129"/>
      <c r="AY33" s="125"/>
      <c r="AZ33" s="119"/>
      <c r="BA33" s="47"/>
      <c r="BB33" s="48"/>
      <c r="BC33" s="48"/>
      <c r="BD33" s="49"/>
      <c r="BE33" s="49"/>
      <c r="BF33" s="49"/>
      <c r="BG33" s="129"/>
      <c r="BH33" s="129"/>
      <c r="BI33" s="129"/>
      <c r="BJ33" s="125"/>
      <c r="BK33" s="119"/>
      <c r="BL33" s="119"/>
      <c r="BM33" s="77"/>
      <c r="BN33" s="86"/>
      <c r="BO33" s="86"/>
      <c r="BP33" s="85"/>
      <c r="BQ33" s="85"/>
      <c r="BR33" s="77"/>
    </row>
    <row r="34" spans="8:70" x14ac:dyDescent="0.3">
      <c r="H34" s="80"/>
      <c r="I34" s="47"/>
      <c r="J34" s="48"/>
      <c r="K34" s="48"/>
      <c r="L34" s="49"/>
      <c r="M34" s="47"/>
      <c r="N34" s="49"/>
      <c r="O34" s="49"/>
      <c r="P34" s="50"/>
      <c r="Q34" s="51"/>
      <c r="R34" s="51"/>
      <c r="S34" s="52"/>
      <c r="T34" s="52"/>
      <c r="U34" s="51"/>
      <c r="V34" s="52"/>
      <c r="W34" s="52"/>
      <c r="X34" s="98"/>
      <c r="Y34" s="99"/>
      <c r="Z34" s="99"/>
      <c r="AA34" s="100"/>
      <c r="AB34" s="100"/>
      <c r="AC34" s="100"/>
      <c r="AD34" s="53"/>
      <c r="AE34" s="54"/>
      <c r="AF34" s="54"/>
      <c r="AG34" s="55"/>
      <c r="AH34" s="55"/>
      <c r="AI34" s="55"/>
      <c r="AJ34" s="110"/>
      <c r="AK34" s="111"/>
      <c r="AL34" s="111"/>
      <c r="AM34" s="112"/>
      <c r="AN34" s="112"/>
      <c r="AO34" s="77"/>
      <c r="AP34" s="86"/>
      <c r="AQ34" s="86"/>
      <c r="AR34" s="85"/>
      <c r="AS34" s="77"/>
      <c r="AT34" s="77"/>
      <c r="AU34" s="77"/>
      <c r="AV34" s="119"/>
      <c r="AW34" s="129"/>
      <c r="AX34" s="129"/>
      <c r="AY34" s="125"/>
      <c r="AZ34" s="119"/>
      <c r="BA34" s="47"/>
      <c r="BB34" s="48"/>
      <c r="BC34" s="48"/>
      <c r="BD34" s="49"/>
      <c r="BE34" s="49"/>
      <c r="BF34" s="49"/>
      <c r="BG34" s="129"/>
      <c r="BH34" s="129"/>
      <c r="BI34" s="129"/>
      <c r="BJ34" s="125"/>
      <c r="BK34" s="119"/>
      <c r="BL34" s="119"/>
      <c r="BM34" s="77"/>
      <c r="BN34" s="86"/>
      <c r="BO34" s="86"/>
      <c r="BP34" s="85"/>
      <c r="BQ34" s="85"/>
      <c r="BR34" s="77"/>
    </row>
    <row r="35" spans="8:70" x14ac:dyDescent="0.3">
      <c r="H35" s="80"/>
      <c r="I35" s="47"/>
      <c r="J35" s="48"/>
      <c r="K35" s="48"/>
      <c r="L35" s="49"/>
      <c r="M35" s="47"/>
      <c r="N35" s="49"/>
      <c r="O35" s="49"/>
      <c r="P35" s="50"/>
      <c r="Q35" s="51"/>
      <c r="R35" s="51"/>
      <c r="S35" s="52"/>
      <c r="T35" s="52"/>
      <c r="U35" s="51"/>
      <c r="V35" s="52"/>
      <c r="W35" s="52"/>
      <c r="X35" s="98"/>
      <c r="Y35" s="99"/>
      <c r="Z35" s="99"/>
      <c r="AA35" s="100"/>
      <c r="AB35" s="100"/>
      <c r="AC35" s="100"/>
      <c r="AD35" s="53"/>
      <c r="AE35" s="54"/>
      <c r="AF35" s="54"/>
      <c r="AG35" s="55"/>
      <c r="AH35" s="55"/>
      <c r="AI35" s="55"/>
      <c r="AJ35" s="110"/>
      <c r="AK35" s="111"/>
      <c r="AL35" s="111"/>
      <c r="AM35" s="112"/>
      <c r="AN35" s="112"/>
      <c r="AO35" s="77"/>
      <c r="AP35" s="86"/>
      <c r="AQ35" s="86"/>
      <c r="AR35" s="85"/>
      <c r="AS35" s="77"/>
      <c r="AT35" s="77"/>
      <c r="AU35" s="77"/>
      <c r="AV35" s="119"/>
      <c r="AW35" s="129"/>
      <c r="AX35" s="129"/>
      <c r="AY35" s="125"/>
      <c r="AZ35" s="119"/>
      <c r="BA35" s="47"/>
      <c r="BB35" s="48"/>
      <c r="BC35" s="48"/>
      <c r="BD35" s="49"/>
      <c r="BE35" s="49"/>
      <c r="BF35" s="49"/>
      <c r="BG35" s="129"/>
      <c r="BH35" s="129"/>
      <c r="BI35" s="129"/>
      <c r="BJ35" s="125"/>
      <c r="BK35" s="119"/>
      <c r="BL35" s="119"/>
      <c r="BM35" s="77"/>
      <c r="BN35" s="86"/>
      <c r="BO35" s="86"/>
      <c r="BP35" s="85"/>
      <c r="BQ35" s="85"/>
      <c r="BR35" s="77"/>
    </row>
    <row r="36" spans="8:70" x14ac:dyDescent="0.3">
      <c r="H36" s="80"/>
      <c r="I36" s="47"/>
      <c r="J36" s="48"/>
      <c r="K36" s="48"/>
      <c r="L36" s="49"/>
      <c r="M36" s="47"/>
      <c r="N36" s="49"/>
      <c r="O36" s="49"/>
      <c r="P36" s="50"/>
      <c r="Q36" s="51"/>
      <c r="R36" s="51"/>
      <c r="S36" s="52"/>
      <c r="T36" s="52"/>
      <c r="U36" s="51"/>
      <c r="V36" s="52"/>
      <c r="W36" s="52"/>
      <c r="X36" s="98"/>
      <c r="Y36" s="99"/>
      <c r="Z36" s="99"/>
      <c r="AA36" s="100"/>
      <c r="AB36" s="100"/>
      <c r="AC36" s="100"/>
      <c r="AD36" s="53"/>
      <c r="AE36" s="54"/>
      <c r="AF36" s="54"/>
      <c r="AG36" s="55"/>
      <c r="AH36" s="55"/>
      <c r="AI36" s="55"/>
      <c r="AJ36" s="110"/>
      <c r="AK36" s="111"/>
      <c r="AL36" s="111"/>
      <c r="AM36" s="112"/>
      <c r="AN36" s="112"/>
      <c r="AO36" s="77"/>
      <c r="AP36" s="86"/>
      <c r="AQ36" s="86"/>
      <c r="AR36" s="85"/>
      <c r="AS36" s="77"/>
      <c r="AT36" s="77"/>
      <c r="AU36" s="77"/>
      <c r="AV36" s="119"/>
      <c r="AW36" s="129"/>
      <c r="AX36" s="129"/>
      <c r="AY36" s="125"/>
      <c r="AZ36" s="119"/>
      <c r="BA36" s="47"/>
      <c r="BB36" s="48"/>
      <c r="BC36" s="48"/>
      <c r="BD36" s="49"/>
      <c r="BE36" s="49"/>
      <c r="BF36" s="49"/>
      <c r="BG36" s="129"/>
      <c r="BH36" s="129"/>
      <c r="BI36" s="129"/>
      <c r="BJ36" s="125"/>
      <c r="BK36" s="119"/>
      <c r="BL36" s="119"/>
      <c r="BM36" s="77"/>
      <c r="BN36" s="86"/>
      <c r="BO36" s="86"/>
      <c r="BP36" s="85"/>
      <c r="BQ36" s="85"/>
      <c r="BR36" s="77"/>
    </row>
    <row r="37" spans="8:70" x14ac:dyDescent="0.3">
      <c r="H37" s="80"/>
      <c r="I37" s="47"/>
      <c r="J37" s="48"/>
      <c r="K37" s="48"/>
      <c r="L37" s="49"/>
      <c r="M37" s="47"/>
      <c r="N37" s="49"/>
      <c r="O37" s="49"/>
      <c r="P37" s="50"/>
      <c r="Q37" s="51"/>
      <c r="R37" s="51"/>
      <c r="S37" s="52"/>
      <c r="T37" s="52"/>
      <c r="U37" s="51"/>
      <c r="V37" s="52"/>
      <c r="W37" s="52"/>
      <c r="X37" s="98"/>
      <c r="Y37" s="99"/>
      <c r="Z37" s="99"/>
      <c r="AA37" s="100"/>
      <c r="AB37" s="100"/>
      <c r="AC37" s="100"/>
      <c r="AD37" s="53"/>
      <c r="AE37" s="54"/>
      <c r="AF37" s="54"/>
      <c r="AG37" s="55"/>
      <c r="AH37" s="55"/>
      <c r="AI37" s="55"/>
      <c r="AJ37" s="110"/>
      <c r="AK37" s="111"/>
      <c r="AL37" s="111"/>
      <c r="AM37" s="112"/>
      <c r="AN37" s="112"/>
      <c r="AO37" s="77"/>
      <c r="AP37" s="86"/>
      <c r="AQ37" s="86"/>
      <c r="AR37" s="85"/>
      <c r="AS37" s="77"/>
      <c r="AT37" s="77"/>
      <c r="AU37" s="77"/>
      <c r="AV37" s="119"/>
      <c r="AW37" s="129"/>
      <c r="AX37" s="129"/>
      <c r="AY37" s="125"/>
      <c r="AZ37" s="119"/>
      <c r="BA37" s="47"/>
      <c r="BB37" s="48"/>
      <c r="BC37" s="48"/>
      <c r="BD37" s="49"/>
      <c r="BE37" s="49"/>
      <c r="BF37" s="49"/>
      <c r="BG37" s="129"/>
      <c r="BH37" s="129"/>
      <c r="BI37" s="129"/>
      <c r="BJ37" s="125"/>
      <c r="BK37" s="119"/>
      <c r="BL37" s="119"/>
      <c r="BM37" s="77"/>
      <c r="BN37" s="86"/>
      <c r="BO37" s="86"/>
      <c r="BP37" s="85"/>
      <c r="BQ37" s="85"/>
      <c r="BR37" s="77"/>
    </row>
    <row r="38" spans="8:70" x14ac:dyDescent="0.3">
      <c r="H38" s="80"/>
      <c r="I38" s="47"/>
      <c r="J38" s="48"/>
      <c r="K38" s="48"/>
      <c r="L38" s="49"/>
      <c r="M38" s="47"/>
      <c r="N38" s="49"/>
      <c r="O38" s="49"/>
      <c r="P38" s="50"/>
      <c r="Q38" s="51"/>
      <c r="R38" s="51"/>
      <c r="S38" s="52"/>
      <c r="T38" s="52"/>
      <c r="U38" s="51"/>
      <c r="V38" s="52"/>
      <c r="W38" s="52"/>
      <c r="X38" s="98"/>
      <c r="Y38" s="99"/>
      <c r="Z38" s="99"/>
      <c r="AA38" s="100"/>
      <c r="AB38" s="100"/>
      <c r="AC38" s="100"/>
      <c r="AD38" s="53"/>
      <c r="AE38" s="54"/>
      <c r="AF38" s="54"/>
      <c r="AG38" s="55"/>
      <c r="AH38" s="55"/>
      <c r="AI38" s="55"/>
      <c r="AJ38" s="110"/>
      <c r="AK38" s="111"/>
      <c r="AL38" s="111"/>
      <c r="AM38" s="112"/>
      <c r="AN38" s="112"/>
      <c r="AO38" s="77"/>
      <c r="AP38" s="86"/>
      <c r="AQ38" s="86"/>
      <c r="AR38" s="85"/>
      <c r="AS38" s="77"/>
      <c r="AT38" s="77"/>
      <c r="AU38" s="77"/>
      <c r="AV38" s="119"/>
      <c r="AW38" s="129"/>
      <c r="AX38" s="129"/>
      <c r="AY38" s="125"/>
      <c r="AZ38" s="119"/>
      <c r="BA38" s="47"/>
      <c r="BB38" s="48"/>
      <c r="BC38" s="48"/>
      <c r="BD38" s="49"/>
      <c r="BE38" s="49"/>
      <c r="BF38" s="49"/>
      <c r="BG38" s="129"/>
      <c r="BH38" s="129"/>
      <c r="BI38" s="129"/>
      <c r="BJ38" s="125"/>
      <c r="BK38" s="119"/>
      <c r="BL38" s="119"/>
      <c r="BM38" s="77"/>
      <c r="BN38" s="86"/>
      <c r="BO38" s="86"/>
      <c r="BP38" s="85"/>
      <c r="BQ38" s="85"/>
      <c r="BR38" s="77"/>
    </row>
    <row r="39" spans="8:70" x14ac:dyDescent="0.3">
      <c r="H39" s="80"/>
      <c r="I39" s="47"/>
      <c r="J39" s="48"/>
      <c r="K39" s="48"/>
      <c r="L39" s="49"/>
      <c r="M39" s="47"/>
      <c r="N39" s="49"/>
      <c r="O39" s="49"/>
      <c r="P39" s="50"/>
      <c r="Q39" s="51"/>
      <c r="R39" s="51"/>
      <c r="S39" s="52"/>
      <c r="T39" s="52"/>
      <c r="U39" s="51"/>
      <c r="V39" s="52"/>
      <c r="W39" s="52"/>
      <c r="X39" s="98"/>
      <c r="Y39" s="99"/>
      <c r="Z39" s="99"/>
      <c r="AA39" s="100"/>
      <c r="AB39" s="100"/>
      <c r="AC39" s="100"/>
      <c r="AD39" s="53"/>
      <c r="AE39" s="54"/>
      <c r="AF39" s="54"/>
      <c r="AG39" s="55"/>
      <c r="AH39" s="55"/>
      <c r="AI39" s="55"/>
      <c r="AJ39" s="110"/>
      <c r="AK39" s="111"/>
      <c r="AL39" s="111"/>
      <c r="AM39" s="112"/>
      <c r="AN39" s="112"/>
      <c r="AO39" s="77"/>
      <c r="AP39" s="86"/>
      <c r="AQ39" s="86"/>
      <c r="AR39" s="85"/>
      <c r="AS39" s="77"/>
      <c r="AT39" s="77"/>
      <c r="AU39" s="77"/>
      <c r="AV39" s="119"/>
      <c r="AW39" s="129"/>
      <c r="AX39" s="129"/>
      <c r="AY39" s="125"/>
      <c r="AZ39" s="119"/>
      <c r="BA39" s="47"/>
      <c r="BB39" s="48"/>
      <c r="BC39" s="48"/>
      <c r="BD39" s="49"/>
      <c r="BE39" s="49"/>
      <c r="BF39" s="49"/>
      <c r="BG39" s="129"/>
      <c r="BH39" s="129"/>
      <c r="BI39" s="129"/>
      <c r="BJ39" s="125"/>
      <c r="BK39" s="119"/>
      <c r="BL39" s="119"/>
      <c r="BM39" s="77"/>
      <c r="BN39" s="86"/>
      <c r="BO39" s="86"/>
      <c r="BP39" s="85"/>
      <c r="BQ39" s="85"/>
      <c r="BR39" s="77"/>
    </row>
    <row r="40" spans="8:70" x14ac:dyDescent="0.3">
      <c r="H40" s="80"/>
      <c r="I40" s="47"/>
      <c r="J40" s="48"/>
      <c r="K40" s="48"/>
      <c r="L40" s="49"/>
      <c r="M40" s="47"/>
      <c r="N40" s="49"/>
      <c r="O40" s="49"/>
      <c r="P40" s="50"/>
      <c r="Q40" s="51"/>
      <c r="R40" s="51"/>
      <c r="S40" s="52"/>
      <c r="T40" s="52"/>
      <c r="U40" s="51"/>
      <c r="V40" s="52"/>
      <c r="W40" s="52"/>
      <c r="X40" s="98"/>
      <c r="Y40" s="99"/>
      <c r="Z40" s="99"/>
      <c r="AA40" s="100"/>
      <c r="AB40" s="100"/>
      <c r="AC40" s="100"/>
      <c r="AD40" s="53"/>
      <c r="AE40" s="54"/>
      <c r="AF40" s="54"/>
      <c r="AG40" s="55"/>
      <c r="AH40" s="55"/>
      <c r="AI40" s="55"/>
      <c r="AJ40" s="110"/>
      <c r="AK40" s="111"/>
      <c r="AL40" s="111"/>
      <c r="AM40" s="112"/>
      <c r="AN40" s="112"/>
      <c r="AO40" s="77"/>
      <c r="AP40" s="86"/>
      <c r="AQ40" s="86"/>
      <c r="AR40" s="85"/>
      <c r="AS40" s="77"/>
      <c r="AT40" s="77"/>
      <c r="AU40" s="77"/>
      <c r="AV40" s="119"/>
      <c r="AW40" s="129"/>
      <c r="AX40" s="129"/>
      <c r="AY40" s="125"/>
      <c r="AZ40" s="119"/>
      <c r="BA40" s="47"/>
      <c r="BB40" s="48"/>
      <c r="BC40" s="48"/>
      <c r="BD40" s="49"/>
      <c r="BE40" s="49"/>
      <c r="BF40" s="49"/>
      <c r="BG40" s="129"/>
      <c r="BH40" s="129"/>
      <c r="BI40" s="129"/>
      <c r="BJ40" s="125"/>
      <c r="BK40" s="119"/>
      <c r="BL40" s="119"/>
      <c r="BM40" s="77"/>
      <c r="BN40" s="86"/>
      <c r="BO40" s="86"/>
      <c r="BP40" s="85"/>
      <c r="BQ40" s="85"/>
      <c r="BR40" s="77"/>
    </row>
    <row r="41" spans="8:70" x14ac:dyDescent="0.3">
      <c r="H41" s="80"/>
      <c r="I41" s="47"/>
      <c r="J41" s="48"/>
      <c r="K41" s="48"/>
      <c r="L41" s="49"/>
      <c r="M41" s="47"/>
      <c r="N41" s="49"/>
      <c r="O41" s="49"/>
      <c r="P41" s="50"/>
      <c r="Q41" s="51"/>
      <c r="R41" s="51"/>
      <c r="S41" s="52"/>
      <c r="T41" s="52"/>
      <c r="U41" s="51"/>
      <c r="V41" s="52"/>
      <c r="W41" s="52"/>
      <c r="X41" s="98"/>
      <c r="Y41" s="99"/>
      <c r="Z41" s="99"/>
      <c r="AA41" s="100"/>
      <c r="AB41" s="100"/>
      <c r="AC41" s="100"/>
      <c r="AD41" s="53"/>
      <c r="AE41" s="54"/>
      <c r="AF41" s="54"/>
      <c r="AG41" s="55"/>
      <c r="AH41" s="55"/>
      <c r="AI41" s="55"/>
      <c r="AJ41" s="110"/>
      <c r="AK41" s="111"/>
      <c r="AL41" s="111"/>
      <c r="AM41" s="112"/>
      <c r="AN41" s="112"/>
      <c r="AO41" s="77"/>
      <c r="AP41" s="86"/>
      <c r="AQ41" s="86"/>
      <c r="AR41" s="85"/>
      <c r="AS41" s="77"/>
      <c r="AT41" s="77"/>
      <c r="AU41" s="77"/>
      <c r="AV41" s="119"/>
      <c r="AW41" s="129"/>
      <c r="AX41" s="129"/>
      <c r="AY41" s="125"/>
      <c r="AZ41" s="119"/>
      <c r="BA41" s="47"/>
      <c r="BB41" s="48"/>
      <c r="BC41" s="48"/>
      <c r="BD41" s="49"/>
      <c r="BE41" s="49"/>
      <c r="BF41" s="49"/>
      <c r="BG41" s="129"/>
      <c r="BH41" s="129"/>
      <c r="BI41" s="129"/>
      <c r="BJ41" s="125"/>
      <c r="BK41" s="119"/>
      <c r="BL41" s="119"/>
      <c r="BM41" s="77"/>
      <c r="BN41" s="86"/>
      <c r="BO41" s="86"/>
      <c r="BP41" s="85"/>
      <c r="BQ41" s="85"/>
      <c r="BR41" s="77"/>
    </row>
    <row r="42" spans="8:70" x14ac:dyDescent="0.3">
      <c r="H42" s="80"/>
      <c r="I42" s="47"/>
      <c r="J42" s="48"/>
      <c r="K42" s="48"/>
      <c r="L42" s="49"/>
      <c r="M42" s="47"/>
      <c r="N42" s="49"/>
      <c r="O42" s="49"/>
      <c r="P42" s="50"/>
      <c r="Q42" s="51"/>
      <c r="R42" s="51"/>
      <c r="S42" s="52"/>
      <c r="T42" s="52"/>
      <c r="U42" s="51"/>
      <c r="V42" s="52"/>
      <c r="W42" s="52"/>
      <c r="X42" s="98"/>
      <c r="Y42" s="99"/>
      <c r="Z42" s="99"/>
      <c r="AA42" s="100"/>
      <c r="AB42" s="100"/>
      <c r="AC42" s="100"/>
      <c r="AD42" s="53"/>
      <c r="AE42" s="54"/>
      <c r="AF42" s="54"/>
      <c r="AG42" s="55"/>
      <c r="AH42" s="55"/>
      <c r="AI42" s="55"/>
      <c r="AJ42" s="110"/>
      <c r="AK42" s="111"/>
      <c r="AL42" s="111"/>
      <c r="AM42" s="112"/>
      <c r="AN42" s="112"/>
      <c r="AO42" s="77"/>
      <c r="AP42" s="86"/>
      <c r="AQ42" s="86"/>
      <c r="AR42" s="85"/>
      <c r="AS42" s="77"/>
      <c r="AT42" s="77"/>
      <c r="AU42" s="77"/>
      <c r="AV42" s="119"/>
      <c r="AW42" s="129"/>
      <c r="AX42" s="129"/>
      <c r="AY42" s="125"/>
      <c r="AZ42" s="119"/>
      <c r="BA42" s="47"/>
      <c r="BB42" s="48"/>
      <c r="BC42" s="48"/>
      <c r="BD42" s="49"/>
      <c r="BE42" s="49"/>
      <c r="BF42" s="49"/>
      <c r="BG42" s="129"/>
      <c r="BH42" s="129"/>
      <c r="BI42" s="129"/>
      <c r="BJ42" s="125"/>
      <c r="BK42" s="119"/>
      <c r="BL42" s="119"/>
      <c r="BM42" s="77"/>
      <c r="BN42" s="86"/>
      <c r="BO42" s="86"/>
      <c r="BP42" s="85"/>
      <c r="BQ42" s="85"/>
      <c r="BR42" s="77"/>
    </row>
    <row r="43" spans="8:70" x14ac:dyDescent="0.3">
      <c r="H43" s="80"/>
      <c r="I43" s="47"/>
      <c r="J43" s="48"/>
      <c r="K43" s="48"/>
      <c r="L43" s="49"/>
      <c r="M43" s="47"/>
      <c r="N43" s="49"/>
      <c r="O43" s="49"/>
      <c r="P43" s="50"/>
      <c r="Q43" s="51"/>
      <c r="R43" s="51"/>
      <c r="S43" s="52"/>
      <c r="T43" s="52"/>
      <c r="U43" s="51"/>
      <c r="V43" s="52"/>
      <c r="W43" s="52"/>
      <c r="X43" s="98"/>
      <c r="Y43" s="99"/>
      <c r="Z43" s="99"/>
      <c r="AA43" s="100"/>
      <c r="AB43" s="100"/>
      <c r="AC43" s="100"/>
      <c r="AD43" s="53"/>
      <c r="AE43" s="54"/>
      <c r="AF43" s="54"/>
      <c r="AG43" s="55"/>
      <c r="AH43" s="55"/>
      <c r="AI43" s="55"/>
      <c r="AJ43" s="110"/>
      <c r="AK43" s="111"/>
      <c r="AL43" s="111"/>
      <c r="AM43" s="112"/>
      <c r="AN43" s="112"/>
      <c r="AO43" s="77"/>
      <c r="AP43" s="86"/>
      <c r="AQ43" s="86"/>
      <c r="AR43" s="85"/>
      <c r="AS43" s="77"/>
      <c r="AT43" s="77"/>
      <c r="AU43" s="77"/>
      <c r="AV43" s="119"/>
      <c r="AW43" s="129"/>
      <c r="AX43" s="129"/>
      <c r="AY43" s="125"/>
      <c r="AZ43" s="119"/>
      <c r="BA43" s="47"/>
      <c r="BB43" s="48"/>
      <c r="BC43" s="48"/>
      <c r="BD43" s="49"/>
      <c r="BE43" s="49"/>
      <c r="BF43" s="49"/>
      <c r="BG43" s="129"/>
      <c r="BH43" s="129"/>
      <c r="BI43" s="129"/>
      <c r="BJ43" s="125"/>
      <c r="BK43" s="119"/>
      <c r="BL43" s="119"/>
      <c r="BM43" s="77"/>
      <c r="BN43" s="86"/>
      <c r="BO43" s="86"/>
      <c r="BP43" s="85"/>
      <c r="BQ43" s="85"/>
      <c r="BR43" s="77"/>
    </row>
    <row r="44" spans="8:70" x14ac:dyDescent="0.3">
      <c r="H44" s="80"/>
      <c r="I44" s="47"/>
      <c r="J44" s="48"/>
      <c r="K44" s="48"/>
      <c r="L44" s="49"/>
      <c r="M44" s="47"/>
      <c r="N44" s="49"/>
      <c r="O44" s="49"/>
      <c r="P44" s="50"/>
      <c r="Q44" s="51"/>
      <c r="R44" s="51"/>
      <c r="S44" s="52"/>
      <c r="T44" s="52"/>
      <c r="U44" s="51"/>
      <c r="V44" s="52"/>
      <c r="W44" s="52"/>
      <c r="X44" s="98"/>
      <c r="Y44" s="99"/>
      <c r="Z44" s="99"/>
      <c r="AA44" s="100"/>
      <c r="AB44" s="100"/>
      <c r="AC44" s="100"/>
      <c r="AD44" s="53"/>
      <c r="AE44" s="54"/>
      <c r="AF44" s="54"/>
      <c r="AG44" s="55"/>
      <c r="AH44" s="55"/>
      <c r="AI44" s="55"/>
      <c r="AJ44" s="110"/>
      <c r="AK44" s="111"/>
      <c r="AL44" s="111"/>
      <c r="AM44" s="112"/>
      <c r="AN44" s="112"/>
      <c r="AO44" s="77"/>
      <c r="AP44" s="86"/>
      <c r="AQ44" s="86"/>
      <c r="AR44" s="85"/>
      <c r="AS44" s="77"/>
      <c r="AT44" s="77"/>
      <c r="AU44" s="77"/>
      <c r="AV44" s="119"/>
      <c r="AW44" s="129"/>
      <c r="AX44" s="129"/>
      <c r="AY44" s="125"/>
      <c r="AZ44" s="119"/>
      <c r="BA44" s="47"/>
      <c r="BB44" s="48"/>
      <c r="BC44" s="48"/>
      <c r="BD44" s="49"/>
      <c r="BE44" s="49"/>
      <c r="BF44" s="49"/>
      <c r="BG44" s="129"/>
      <c r="BH44" s="129"/>
      <c r="BI44" s="129"/>
      <c r="BJ44" s="125"/>
      <c r="BK44" s="119"/>
      <c r="BL44" s="119"/>
      <c r="BM44" s="77"/>
      <c r="BN44" s="86"/>
      <c r="BO44" s="86"/>
      <c r="BP44" s="85"/>
      <c r="BQ44" s="85"/>
      <c r="BR44" s="77"/>
    </row>
    <row r="45" spans="8:70" x14ac:dyDescent="0.3">
      <c r="H45" s="80"/>
      <c r="I45" s="47"/>
      <c r="J45" s="48"/>
      <c r="K45" s="48"/>
      <c r="L45" s="49"/>
      <c r="M45" s="47"/>
      <c r="N45" s="49"/>
      <c r="O45" s="49"/>
      <c r="P45" s="50"/>
      <c r="Q45" s="51"/>
      <c r="R45" s="51"/>
      <c r="S45" s="52"/>
      <c r="T45" s="52"/>
      <c r="U45" s="51"/>
      <c r="V45" s="52"/>
      <c r="W45" s="52"/>
      <c r="X45" s="98"/>
      <c r="Y45" s="99"/>
      <c r="Z45" s="99"/>
      <c r="AA45" s="100"/>
      <c r="AB45" s="100"/>
      <c r="AC45" s="100"/>
      <c r="AD45" s="53"/>
      <c r="AE45" s="54"/>
      <c r="AF45" s="54"/>
      <c r="AG45" s="55"/>
      <c r="AH45" s="55"/>
      <c r="AI45" s="55"/>
      <c r="AJ45" s="110"/>
      <c r="AK45" s="111"/>
      <c r="AL45" s="111"/>
      <c r="AM45" s="112"/>
      <c r="AN45" s="112"/>
      <c r="AO45" s="77"/>
      <c r="AP45" s="86"/>
      <c r="AQ45" s="86"/>
      <c r="AR45" s="85"/>
      <c r="AS45" s="77"/>
      <c r="AT45" s="77"/>
      <c r="AU45" s="77"/>
      <c r="AV45" s="119"/>
      <c r="AW45" s="129"/>
      <c r="AX45" s="129"/>
      <c r="AY45" s="125"/>
      <c r="AZ45" s="119"/>
      <c r="BA45" s="47"/>
      <c r="BB45" s="48"/>
      <c r="BC45" s="48"/>
      <c r="BD45" s="49"/>
      <c r="BE45" s="49"/>
      <c r="BF45" s="49"/>
      <c r="BG45" s="129"/>
      <c r="BH45" s="129"/>
      <c r="BI45" s="129"/>
      <c r="BJ45" s="125"/>
      <c r="BK45" s="119"/>
      <c r="BL45" s="119"/>
      <c r="BM45" s="77"/>
      <c r="BN45" s="86"/>
      <c r="BO45" s="86"/>
      <c r="BP45" s="85"/>
      <c r="BQ45" s="85"/>
      <c r="BR45" s="77"/>
    </row>
    <row r="46" spans="8:70" x14ac:dyDescent="0.3">
      <c r="H46" s="80"/>
      <c r="I46" s="47"/>
      <c r="J46" s="48"/>
      <c r="K46" s="48"/>
      <c r="L46" s="49"/>
      <c r="M46" s="47"/>
      <c r="N46" s="49"/>
      <c r="O46" s="49"/>
      <c r="P46" s="50"/>
      <c r="Q46" s="51"/>
      <c r="R46" s="51"/>
      <c r="S46" s="52"/>
      <c r="T46" s="52"/>
      <c r="U46" s="51"/>
      <c r="V46" s="52"/>
      <c r="W46" s="52"/>
      <c r="X46" s="98"/>
      <c r="Y46" s="99"/>
      <c r="Z46" s="99"/>
      <c r="AA46" s="100"/>
      <c r="AB46" s="100"/>
      <c r="AC46" s="100"/>
      <c r="AD46" s="53"/>
      <c r="AE46" s="54"/>
      <c r="AF46" s="54"/>
      <c r="AG46" s="55"/>
      <c r="AH46" s="55"/>
      <c r="AI46" s="55"/>
      <c r="AJ46" s="110"/>
      <c r="AK46" s="111"/>
      <c r="AL46" s="111"/>
      <c r="AM46" s="112"/>
      <c r="AN46" s="112"/>
      <c r="AO46" s="77"/>
      <c r="AP46" s="86"/>
      <c r="AQ46" s="86"/>
      <c r="AR46" s="85"/>
      <c r="AS46" s="77"/>
      <c r="AT46" s="77"/>
      <c r="AU46" s="77"/>
      <c r="AV46" s="119"/>
      <c r="AW46" s="129"/>
      <c r="AX46" s="129"/>
      <c r="AY46" s="125"/>
      <c r="AZ46" s="119"/>
      <c r="BA46" s="47"/>
      <c r="BB46" s="48"/>
      <c r="BC46" s="48"/>
      <c r="BD46" s="49"/>
      <c r="BE46" s="49"/>
      <c r="BF46" s="49"/>
      <c r="BG46" s="129"/>
      <c r="BH46" s="129"/>
      <c r="BI46" s="129"/>
      <c r="BJ46" s="125"/>
      <c r="BK46" s="119"/>
      <c r="BL46" s="119"/>
      <c r="BM46" s="77"/>
      <c r="BN46" s="86"/>
      <c r="BO46" s="86"/>
      <c r="BP46" s="85"/>
      <c r="BQ46" s="85"/>
      <c r="BR46" s="77"/>
    </row>
    <row r="47" spans="8:70" x14ac:dyDescent="0.3">
      <c r="H47" s="80"/>
      <c r="I47" s="47"/>
      <c r="J47" s="48"/>
      <c r="K47" s="48"/>
      <c r="L47" s="49"/>
      <c r="M47" s="47"/>
      <c r="N47" s="49"/>
      <c r="O47" s="49"/>
      <c r="P47" s="50"/>
      <c r="Q47" s="51"/>
      <c r="R47" s="51"/>
      <c r="S47" s="52"/>
      <c r="T47" s="52"/>
      <c r="U47" s="51"/>
      <c r="V47" s="52"/>
      <c r="W47" s="52"/>
      <c r="X47" s="98"/>
      <c r="Y47" s="99"/>
      <c r="Z47" s="99"/>
      <c r="AA47" s="100"/>
      <c r="AB47" s="100"/>
      <c r="AC47" s="100"/>
      <c r="AD47" s="53"/>
      <c r="AE47" s="54"/>
      <c r="AF47" s="54"/>
      <c r="AG47" s="55"/>
      <c r="AH47" s="55"/>
      <c r="AI47" s="55"/>
      <c r="AJ47" s="110"/>
      <c r="AK47" s="111"/>
      <c r="AL47" s="111"/>
      <c r="AM47" s="112"/>
      <c r="AN47" s="112"/>
      <c r="AO47" s="77"/>
      <c r="AP47" s="86"/>
      <c r="AQ47" s="86"/>
      <c r="AR47" s="85"/>
      <c r="AS47" s="77"/>
      <c r="AT47" s="77"/>
      <c r="AU47" s="77"/>
      <c r="AV47" s="119"/>
      <c r="AW47" s="129"/>
      <c r="AX47" s="129"/>
      <c r="AY47" s="125"/>
      <c r="AZ47" s="119"/>
      <c r="BA47" s="47"/>
      <c r="BB47" s="48"/>
      <c r="BC47" s="48"/>
      <c r="BD47" s="49"/>
      <c r="BE47" s="49"/>
      <c r="BF47" s="49"/>
      <c r="BG47" s="129"/>
      <c r="BH47" s="129"/>
      <c r="BI47" s="129"/>
      <c r="BJ47" s="125"/>
      <c r="BK47" s="119"/>
      <c r="BL47" s="119"/>
      <c r="BM47" s="77"/>
      <c r="BN47" s="86"/>
      <c r="BO47" s="86"/>
      <c r="BP47" s="85"/>
      <c r="BQ47" s="85"/>
      <c r="BR47" s="77"/>
    </row>
    <row r="48" spans="8:70" x14ac:dyDescent="0.3">
      <c r="H48" s="80"/>
      <c r="I48" s="47"/>
      <c r="J48" s="48"/>
      <c r="K48" s="48"/>
      <c r="L48" s="49"/>
      <c r="M48" s="47"/>
      <c r="N48" s="49"/>
      <c r="O48" s="49"/>
      <c r="P48" s="50"/>
      <c r="Q48" s="51"/>
      <c r="R48" s="51"/>
      <c r="S48" s="52"/>
      <c r="T48" s="52"/>
      <c r="U48" s="51"/>
      <c r="V48" s="52"/>
      <c r="W48" s="52"/>
      <c r="X48" s="98"/>
      <c r="Y48" s="99"/>
      <c r="Z48" s="99"/>
      <c r="AA48" s="100"/>
      <c r="AB48" s="100"/>
      <c r="AC48" s="100"/>
      <c r="AD48" s="53"/>
      <c r="AE48" s="54"/>
      <c r="AF48" s="54"/>
      <c r="AG48" s="55"/>
      <c r="AH48" s="55"/>
      <c r="AI48" s="55"/>
      <c r="AJ48" s="110"/>
      <c r="AK48" s="111"/>
      <c r="AL48" s="111"/>
      <c r="AM48" s="112"/>
      <c r="AN48" s="112"/>
      <c r="AO48" s="77"/>
      <c r="AP48" s="86"/>
      <c r="AQ48" s="86"/>
      <c r="AR48" s="85"/>
      <c r="AS48" s="77"/>
      <c r="AT48" s="77"/>
      <c r="AU48" s="77"/>
      <c r="AV48" s="119"/>
      <c r="AW48" s="129"/>
      <c r="AX48" s="129"/>
      <c r="AY48" s="125"/>
      <c r="AZ48" s="119"/>
      <c r="BA48" s="47"/>
      <c r="BB48" s="48"/>
      <c r="BC48" s="48"/>
      <c r="BD48" s="49"/>
      <c r="BE48" s="49"/>
      <c r="BF48" s="49"/>
      <c r="BG48" s="129"/>
      <c r="BH48" s="129"/>
      <c r="BI48" s="129"/>
      <c r="BJ48" s="125"/>
      <c r="BK48" s="119"/>
      <c r="BL48" s="119"/>
      <c r="BM48" s="77"/>
      <c r="BN48" s="86"/>
      <c r="BO48" s="86"/>
      <c r="BP48" s="85"/>
      <c r="BQ48" s="85"/>
      <c r="BR48" s="77"/>
    </row>
    <row r="49" spans="8:70" x14ac:dyDescent="0.3">
      <c r="H49" s="80"/>
      <c r="I49" s="47"/>
      <c r="J49" s="48"/>
      <c r="K49" s="48"/>
      <c r="L49" s="49"/>
      <c r="M49" s="47"/>
      <c r="N49" s="49"/>
      <c r="O49" s="49"/>
      <c r="P49" s="50"/>
      <c r="Q49" s="51"/>
      <c r="R49" s="51"/>
      <c r="S49" s="52"/>
      <c r="T49" s="52"/>
      <c r="U49" s="51"/>
      <c r="V49" s="52"/>
      <c r="W49" s="52"/>
      <c r="X49" s="98"/>
      <c r="Y49" s="99"/>
      <c r="Z49" s="99"/>
      <c r="AA49" s="100"/>
      <c r="AB49" s="100"/>
      <c r="AC49" s="100"/>
      <c r="AD49" s="53"/>
      <c r="AE49" s="54"/>
      <c r="AF49" s="54"/>
      <c r="AG49" s="55"/>
      <c r="AH49" s="55"/>
      <c r="AI49" s="55"/>
      <c r="AJ49" s="110"/>
      <c r="AK49" s="111"/>
      <c r="AL49" s="111"/>
      <c r="AM49" s="112"/>
      <c r="AN49" s="112"/>
      <c r="AO49" s="77"/>
      <c r="AP49" s="86"/>
      <c r="AQ49" s="86"/>
      <c r="AR49" s="85"/>
      <c r="AS49" s="77"/>
      <c r="AT49" s="77"/>
      <c r="AU49" s="77"/>
      <c r="AV49" s="119"/>
      <c r="AW49" s="129"/>
      <c r="AX49" s="129"/>
      <c r="AY49" s="125"/>
      <c r="AZ49" s="119"/>
      <c r="BA49" s="47"/>
      <c r="BB49" s="48"/>
      <c r="BC49" s="48"/>
      <c r="BD49" s="49"/>
      <c r="BE49" s="49"/>
      <c r="BF49" s="49"/>
      <c r="BG49" s="129"/>
      <c r="BH49" s="129"/>
      <c r="BI49" s="129"/>
      <c r="BJ49" s="125"/>
      <c r="BK49" s="119"/>
      <c r="BL49" s="119"/>
      <c r="BM49" s="77"/>
      <c r="BN49" s="86"/>
      <c r="BO49" s="86"/>
      <c r="BP49" s="85"/>
      <c r="BQ49" s="85"/>
      <c r="BR49" s="77"/>
    </row>
    <row r="50" spans="8:70" x14ac:dyDescent="0.3">
      <c r="H50" s="80"/>
      <c r="I50" s="47"/>
      <c r="J50" s="48"/>
      <c r="K50" s="48"/>
      <c r="L50" s="49"/>
      <c r="M50" s="47"/>
      <c r="N50" s="49"/>
      <c r="O50" s="49"/>
      <c r="P50" s="50"/>
      <c r="Q50" s="51"/>
      <c r="R50" s="51"/>
      <c r="S50" s="52"/>
      <c r="T50" s="52"/>
      <c r="U50" s="51"/>
      <c r="V50" s="52"/>
      <c r="W50" s="52"/>
      <c r="X50" s="98"/>
      <c r="Y50" s="99"/>
      <c r="Z50" s="99"/>
      <c r="AA50" s="100"/>
      <c r="AB50" s="100"/>
      <c r="AC50" s="100"/>
      <c r="AD50" s="53"/>
      <c r="AE50" s="54"/>
      <c r="AF50" s="54"/>
      <c r="AG50" s="55"/>
      <c r="AH50" s="55"/>
      <c r="AI50" s="55"/>
      <c r="AJ50" s="110"/>
      <c r="AK50" s="111"/>
      <c r="AL50" s="111"/>
      <c r="AM50" s="112"/>
      <c r="AN50" s="112"/>
      <c r="AO50" s="77"/>
      <c r="AP50" s="86"/>
      <c r="AQ50" s="86"/>
      <c r="AR50" s="85"/>
      <c r="AS50" s="77"/>
      <c r="AT50" s="77"/>
      <c r="AU50" s="77"/>
      <c r="AV50" s="119"/>
      <c r="AW50" s="129"/>
      <c r="AX50" s="129"/>
      <c r="AY50" s="125"/>
      <c r="AZ50" s="119"/>
      <c r="BA50" s="47"/>
      <c r="BB50" s="48"/>
      <c r="BC50" s="48"/>
      <c r="BD50" s="49"/>
      <c r="BE50" s="49"/>
      <c r="BF50" s="49"/>
      <c r="BG50" s="129"/>
      <c r="BH50" s="129"/>
      <c r="BI50" s="129"/>
      <c r="BJ50" s="125"/>
      <c r="BK50" s="119"/>
      <c r="BL50" s="119"/>
      <c r="BM50" s="77"/>
      <c r="BN50" s="86"/>
      <c r="BO50" s="86"/>
      <c r="BP50" s="85"/>
      <c r="BQ50" s="85"/>
      <c r="BR50" s="77"/>
    </row>
    <row r="51" spans="8:70" x14ac:dyDescent="0.3">
      <c r="H51" s="80"/>
      <c r="I51" s="47"/>
      <c r="J51" s="48"/>
      <c r="K51" s="48"/>
      <c r="L51" s="49"/>
      <c r="M51" s="47"/>
      <c r="N51" s="49"/>
      <c r="O51" s="49"/>
      <c r="P51" s="50"/>
      <c r="Q51" s="51"/>
      <c r="R51" s="51"/>
      <c r="S51" s="52"/>
      <c r="T51" s="52"/>
      <c r="U51" s="51"/>
      <c r="V51" s="52"/>
      <c r="W51" s="52"/>
      <c r="X51" s="98"/>
      <c r="Y51" s="99"/>
      <c r="Z51" s="99"/>
      <c r="AA51" s="100"/>
      <c r="AB51" s="100"/>
      <c r="AC51" s="100"/>
      <c r="AD51" s="53"/>
      <c r="AE51" s="54"/>
      <c r="AF51" s="54"/>
      <c r="AG51" s="55"/>
      <c r="AH51" s="55"/>
      <c r="AI51" s="55"/>
      <c r="AJ51" s="110"/>
      <c r="AK51" s="111"/>
      <c r="AL51" s="111"/>
      <c r="AM51" s="112"/>
      <c r="AN51" s="112"/>
      <c r="AO51" s="77"/>
      <c r="AP51" s="86"/>
      <c r="AQ51" s="86"/>
      <c r="AR51" s="85"/>
      <c r="AS51" s="77"/>
      <c r="AT51" s="77"/>
      <c r="AU51" s="77"/>
      <c r="AV51" s="119"/>
      <c r="AW51" s="129"/>
      <c r="AX51" s="129"/>
      <c r="AY51" s="125"/>
      <c r="AZ51" s="119"/>
      <c r="BA51" s="47"/>
      <c r="BB51" s="48"/>
      <c r="BC51" s="48"/>
      <c r="BD51" s="49"/>
      <c r="BE51" s="49"/>
      <c r="BF51" s="49"/>
      <c r="BG51" s="129"/>
      <c r="BH51" s="129"/>
      <c r="BI51" s="129"/>
      <c r="BJ51" s="125"/>
      <c r="BK51" s="119"/>
      <c r="BL51" s="119"/>
      <c r="BM51" s="77"/>
      <c r="BN51" s="86"/>
      <c r="BO51" s="86"/>
      <c r="BP51" s="85"/>
      <c r="BQ51" s="85"/>
      <c r="BR51" s="77"/>
    </row>
    <row r="52" spans="8:70" x14ac:dyDescent="0.3">
      <c r="H52" s="80"/>
      <c r="I52" s="47"/>
      <c r="J52" s="48"/>
      <c r="K52" s="48"/>
      <c r="L52" s="49"/>
      <c r="M52" s="47"/>
      <c r="N52" s="49"/>
      <c r="O52" s="49"/>
      <c r="P52" s="50"/>
      <c r="Q52" s="51"/>
      <c r="R52" s="51"/>
      <c r="S52" s="52"/>
      <c r="T52" s="52"/>
      <c r="U52" s="51"/>
      <c r="V52" s="52"/>
      <c r="W52" s="52"/>
      <c r="X52" s="98"/>
      <c r="Y52" s="99"/>
      <c r="Z52" s="99"/>
      <c r="AA52" s="100"/>
      <c r="AB52" s="100"/>
      <c r="AC52" s="100"/>
      <c r="AD52" s="53"/>
      <c r="AE52" s="54"/>
      <c r="AF52" s="54"/>
      <c r="AG52" s="55"/>
      <c r="AH52" s="55"/>
      <c r="AI52" s="55"/>
      <c r="AJ52" s="110"/>
      <c r="AK52" s="111"/>
      <c r="AL52" s="111"/>
      <c r="AM52" s="112"/>
      <c r="AN52" s="112"/>
      <c r="AO52" s="77"/>
      <c r="AP52" s="86"/>
      <c r="AQ52" s="86"/>
      <c r="AR52" s="85"/>
      <c r="AS52" s="77"/>
      <c r="AT52" s="77"/>
      <c r="AU52" s="77"/>
      <c r="AV52" s="119"/>
      <c r="AW52" s="129"/>
      <c r="AX52" s="129"/>
      <c r="AY52" s="125"/>
      <c r="AZ52" s="119"/>
      <c r="BA52" s="47"/>
      <c r="BB52" s="48"/>
      <c r="BC52" s="48"/>
      <c r="BD52" s="49"/>
      <c r="BE52" s="49"/>
      <c r="BF52" s="49"/>
      <c r="BG52" s="129"/>
      <c r="BH52" s="129"/>
      <c r="BI52" s="129"/>
      <c r="BJ52" s="125"/>
      <c r="BK52" s="119"/>
      <c r="BL52" s="119"/>
      <c r="BM52" s="77"/>
      <c r="BN52" s="86"/>
      <c r="BO52" s="86"/>
      <c r="BP52" s="85"/>
      <c r="BQ52" s="85"/>
      <c r="BR52" s="77"/>
    </row>
    <row r="53" spans="8:70" x14ac:dyDescent="0.3">
      <c r="H53" s="80"/>
      <c r="I53" s="47"/>
      <c r="J53" s="48"/>
      <c r="K53" s="48"/>
      <c r="L53" s="49"/>
      <c r="M53" s="47"/>
      <c r="N53" s="49"/>
      <c r="O53" s="49"/>
      <c r="P53" s="50"/>
      <c r="Q53" s="51"/>
      <c r="R53" s="51"/>
      <c r="S53" s="52"/>
      <c r="T53" s="52"/>
      <c r="U53" s="51"/>
      <c r="V53" s="52"/>
      <c r="W53" s="52"/>
      <c r="X53" s="98"/>
      <c r="Y53" s="99"/>
      <c r="Z53" s="99"/>
      <c r="AA53" s="100"/>
      <c r="AB53" s="100"/>
      <c r="AC53" s="100"/>
      <c r="AD53" s="53"/>
      <c r="AE53" s="54"/>
      <c r="AF53" s="54"/>
      <c r="AG53" s="55"/>
      <c r="AH53" s="55"/>
      <c r="AI53" s="55"/>
      <c r="AJ53" s="110"/>
      <c r="AK53" s="111"/>
      <c r="AL53" s="111"/>
      <c r="AM53" s="112"/>
      <c r="AN53" s="112"/>
      <c r="AO53" s="77"/>
      <c r="AP53" s="86"/>
      <c r="AQ53" s="86"/>
      <c r="AR53" s="85"/>
      <c r="AS53" s="77"/>
      <c r="AT53" s="77"/>
      <c r="AU53" s="77"/>
      <c r="AV53" s="119"/>
      <c r="AW53" s="129"/>
      <c r="AX53" s="129"/>
      <c r="AY53" s="125"/>
      <c r="AZ53" s="119"/>
      <c r="BA53" s="47"/>
      <c r="BB53" s="48"/>
      <c r="BC53" s="48"/>
      <c r="BD53" s="49"/>
      <c r="BE53" s="49"/>
      <c r="BF53" s="49"/>
      <c r="BG53" s="129"/>
      <c r="BH53" s="129"/>
      <c r="BI53" s="129"/>
      <c r="BJ53" s="125"/>
      <c r="BK53" s="119"/>
      <c r="BL53" s="119"/>
      <c r="BM53" s="77"/>
      <c r="BN53" s="86"/>
      <c r="BO53" s="86"/>
      <c r="BP53" s="85"/>
      <c r="BQ53" s="85"/>
      <c r="BR53" s="77"/>
    </row>
    <row r="54" spans="8:70" x14ac:dyDescent="0.3">
      <c r="H54" s="80"/>
      <c r="I54" s="47"/>
      <c r="J54" s="48"/>
      <c r="K54" s="48"/>
      <c r="L54" s="49"/>
      <c r="M54" s="47"/>
      <c r="N54" s="49"/>
      <c r="O54" s="49"/>
      <c r="P54" s="50"/>
      <c r="Q54" s="51"/>
      <c r="R54" s="51"/>
      <c r="S54" s="52"/>
      <c r="T54" s="52"/>
      <c r="U54" s="51"/>
      <c r="V54" s="52"/>
      <c r="W54" s="52"/>
      <c r="X54" s="98"/>
      <c r="Y54" s="99"/>
      <c r="Z54" s="99"/>
      <c r="AA54" s="100"/>
      <c r="AB54" s="100"/>
      <c r="AC54" s="100"/>
      <c r="AD54" s="53"/>
      <c r="AE54" s="54"/>
      <c r="AF54" s="54"/>
      <c r="AG54" s="55"/>
      <c r="AH54" s="55"/>
      <c r="AI54" s="55"/>
      <c r="AJ54" s="110"/>
      <c r="AK54" s="111"/>
      <c r="AL54" s="111"/>
      <c r="AM54" s="112"/>
      <c r="AN54" s="112"/>
      <c r="AO54" s="77"/>
      <c r="AP54" s="86"/>
      <c r="AQ54" s="86"/>
      <c r="AR54" s="85"/>
      <c r="AS54" s="77"/>
      <c r="AT54" s="77"/>
      <c r="AU54" s="77"/>
      <c r="AV54" s="119"/>
      <c r="AW54" s="129"/>
      <c r="AX54" s="129"/>
      <c r="AY54" s="125"/>
      <c r="AZ54" s="119"/>
      <c r="BA54" s="47"/>
      <c r="BB54" s="48"/>
      <c r="BC54" s="48"/>
      <c r="BD54" s="49"/>
      <c r="BE54" s="49"/>
      <c r="BF54" s="49"/>
      <c r="BG54" s="129"/>
      <c r="BH54" s="129"/>
      <c r="BI54" s="129"/>
      <c r="BJ54" s="125"/>
      <c r="BK54" s="119"/>
      <c r="BL54" s="119"/>
      <c r="BM54" s="77"/>
      <c r="BN54" s="86"/>
      <c r="BO54" s="86"/>
      <c r="BP54" s="85"/>
      <c r="BQ54" s="85"/>
      <c r="BR54" s="77"/>
    </row>
    <row r="55" spans="8:70" x14ac:dyDescent="0.3">
      <c r="H55" s="80"/>
      <c r="I55" s="47"/>
      <c r="J55" s="48"/>
      <c r="K55" s="48"/>
      <c r="L55" s="49"/>
      <c r="M55" s="47"/>
      <c r="N55" s="49"/>
      <c r="O55" s="49"/>
      <c r="P55" s="50"/>
      <c r="Q55" s="51"/>
      <c r="R55" s="51"/>
      <c r="S55" s="52"/>
      <c r="T55" s="52"/>
      <c r="U55" s="51"/>
      <c r="V55" s="52"/>
      <c r="W55" s="52"/>
      <c r="X55" s="98"/>
      <c r="Y55" s="99"/>
      <c r="Z55" s="99"/>
      <c r="AA55" s="100"/>
      <c r="AB55" s="100"/>
      <c r="AC55" s="100"/>
      <c r="AD55" s="53"/>
      <c r="AE55" s="54"/>
      <c r="AF55" s="54"/>
      <c r="AG55" s="55"/>
      <c r="AH55" s="55"/>
      <c r="AI55" s="55"/>
      <c r="AJ55" s="110"/>
      <c r="AK55" s="111"/>
      <c r="AL55" s="111"/>
      <c r="AM55" s="112"/>
      <c r="AN55" s="112"/>
      <c r="AO55" s="77"/>
      <c r="AP55" s="86"/>
      <c r="AQ55" s="86"/>
      <c r="AR55" s="85"/>
      <c r="AS55" s="77"/>
      <c r="AT55" s="77"/>
      <c r="AU55" s="77"/>
      <c r="AV55" s="119"/>
      <c r="AW55" s="129"/>
      <c r="AX55" s="129"/>
      <c r="AY55" s="125"/>
      <c r="AZ55" s="119"/>
      <c r="BA55" s="47"/>
      <c r="BB55" s="48"/>
      <c r="BC55" s="48"/>
      <c r="BD55" s="49"/>
      <c r="BE55" s="49"/>
      <c r="BF55" s="49"/>
      <c r="BG55" s="129"/>
      <c r="BH55" s="129"/>
      <c r="BI55" s="129"/>
      <c r="BJ55" s="125"/>
      <c r="BK55" s="119"/>
      <c r="BL55" s="119"/>
      <c r="BM55" s="77"/>
      <c r="BN55" s="86"/>
      <c r="BO55" s="86"/>
      <c r="BP55" s="85"/>
      <c r="BQ55" s="85"/>
      <c r="BR55" s="77"/>
    </row>
    <row r="56" spans="8:70" x14ac:dyDescent="0.3">
      <c r="H56" s="80"/>
      <c r="I56" s="47"/>
      <c r="J56" s="48"/>
      <c r="K56" s="48"/>
      <c r="L56" s="49"/>
      <c r="M56" s="47"/>
      <c r="N56" s="49"/>
      <c r="O56" s="49"/>
      <c r="P56" s="50"/>
      <c r="Q56" s="51"/>
      <c r="R56" s="51"/>
      <c r="S56" s="52"/>
      <c r="T56" s="52"/>
      <c r="U56" s="51"/>
      <c r="V56" s="52"/>
      <c r="W56" s="52"/>
      <c r="X56" s="98"/>
      <c r="Y56" s="99"/>
      <c r="Z56" s="99"/>
      <c r="AA56" s="100"/>
      <c r="AB56" s="100"/>
      <c r="AC56" s="100"/>
      <c r="AD56" s="53"/>
      <c r="AE56" s="54"/>
      <c r="AF56" s="54"/>
      <c r="AG56" s="55"/>
      <c r="AH56" s="55"/>
      <c r="AI56" s="55"/>
      <c r="AJ56" s="110"/>
      <c r="AK56" s="111"/>
      <c r="AL56" s="111"/>
      <c r="AM56" s="112"/>
      <c r="AN56" s="112"/>
      <c r="AO56" s="77"/>
      <c r="AP56" s="86"/>
      <c r="AQ56" s="86"/>
      <c r="AR56" s="85"/>
      <c r="AS56" s="77"/>
      <c r="AT56" s="77"/>
      <c r="AU56" s="77"/>
      <c r="AV56" s="119"/>
      <c r="AW56" s="129"/>
      <c r="AX56" s="129"/>
      <c r="AY56" s="125"/>
      <c r="AZ56" s="119"/>
      <c r="BA56" s="47"/>
      <c r="BB56" s="48"/>
      <c r="BC56" s="48"/>
      <c r="BD56" s="49"/>
      <c r="BE56" s="49"/>
      <c r="BF56" s="49"/>
      <c r="BG56" s="129"/>
      <c r="BH56" s="129"/>
      <c r="BI56" s="129"/>
      <c r="BJ56" s="125"/>
      <c r="BK56" s="119"/>
      <c r="BL56" s="119"/>
      <c r="BM56" s="77"/>
      <c r="BN56" s="86"/>
      <c r="BO56" s="86"/>
      <c r="BP56" s="85"/>
      <c r="BQ56" s="85"/>
      <c r="BR56" s="77"/>
    </row>
    <row r="57" spans="8:70" x14ac:dyDescent="0.3">
      <c r="H57" s="80"/>
      <c r="I57" s="47"/>
      <c r="J57" s="48"/>
      <c r="K57" s="48"/>
      <c r="L57" s="49"/>
      <c r="M57" s="47"/>
      <c r="N57" s="49"/>
      <c r="O57" s="49"/>
      <c r="P57" s="50"/>
      <c r="Q57" s="51"/>
      <c r="R57" s="51"/>
      <c r="S57" s="52"/>
      <c r="T57" s="52"/>
      <c r="U57" s="51"/>
      <c r="V57" s="52"/>
      <c r="W57" s="52"/>
      <c r="X57" s="98"/>
      <c r="Y57" s="99"/>
      <c r="Z57" s="99"/>
      <c r="AA57" s="100"/>
      <c r="AB57" s="100"/>
      <c r="AC57" s="100"/>
      <c r="AD57" s="53"/>
      <c r="AE57" s="54"/>
      <c r="AF57" s="54"/>
      <c r="AG57" s="55"/>
      <c r="AH57" s="55"/>
      <c r="AI57" s="55"/>
      <c r="AJ57" s="110"/>
      <c r="AK57" s="111"/>
      <c r="AL57" s="111"/>
      <c r="AM57" s="112"/>
      <c r="AN57" s="112"/>
      <c r="AO57" s="77"/>
      <c r="AP57" s="86"/>
      <c r="AQ57" s="86"/>
      <c r="AR57" s="85"/>
      <c r="AS57" s="77"/>
      <c r="AT57" s="77"/>
      <c r="AU57" s="77"/>
      <c r="AV57" s="119"/>
      <c r="AW57" s="129"/>
      <c r="AX57" s="129"/>
      <c r="AY57" s="125"/>
      <c r="AZ57" s="119"/>
      <c r="BA57" s="47"/>
      <c r="BB57" s="48"/>
      <c r="BC57" s="48"/>
      <c r="BD57" s="49"/>
      <c r="BE57" s="49"/>
      <c r="BF57" s="49"/>
      <c r="BG57" s="129"/>
      <c r="BH57" s="129"/>
      <c r="BI57" s="129"/>
      <c r="BJ57" s="125"/>
      <c r="BK57" s="119"/>
      <c r="BL57" s="119"/>
      <c r="BM57" s="77"/>
      <c r="BN57" s="86"/>
      <c r="BO57" s="86"/>
      <c r="BP57" s="85"/>
      <c r="BQ57" s="85"/>
      <c r="BR57" s="77"/>
    </row>
    <row r="58" spans="8:70" x14ac:dyDescent="0.3">
      <c r="H58" s="80"/>
      <c r="I58" s="47"/>
      <c r="J58" s="48"/>
      <c r="K58" s="48"/>
      <c r="L58" s="49"/>
      <c r="M58" s="47"/>
      <c r="N58" s="49"/>
      <c r="O58" s="49"/>
      <c r="P58" s="50"/>
      <c r="Q58" s="51"/>
      <c r="R58" s="51"/>
      <c r="S58" s="52"/>
      <c r="T58" s="52"/>
      <c r="U58" s="51"/>
      <c r="V58" s="52"/>
      <c r="W58" s="52"/>
      <c r="X58" s="98"/>
      <c r="Y58" s="99"/>
      <c r="Z58" s="99"/>
      <c r="AA58" s="100"/>
      <c r="AB58" s="100"/>
      <c r="AC58" s="100"/>
      <c r="AD58" s="53"/>
      <c r="AE58" s="54"/>
      <c r="AF58" s="54"/>
      <c r="AG58" s="55"/>
      <c r="AH58" s="55"/>
      <c r="AI58" s="55"/>
      <c r="AJ58" s="110"/>
      <c r="AK58" s="111"/>
      <c r="AL58" s="111"/>
      <c r="AM58" s="112"/>
      <c r="AN58" s="112"/>
      <c r="AO58" s="77"/>
      <c r="AP58" s="86"/>
      <c r="AQ58" s="86"/>
      <c r="AR58" s="85"/>
      <c r="AS58" s="77"/>
      <c r="AT58" s="77"/>
      <c r="AU58" s="77"/>
      <c r="AV58" s="119"/>
      <c r="AW58" s="129"/>
      <c r="AX58" s="129"/>
      <c r="AY58" s="125"/>
      <c r="AZ58" s="119"/>
      <c r="BA58" s="47"/>
      <c r="BB58" s="48"/>
      <c r="BC58" s="48"/>
      <c r="BD58" s="49"/>
      <c r="BE58" s="49"/>
      <c r="BF58" s="49"/>
      <c r="BG58" s="129"/>
      <c r="BH58" s="129"/>
      <c r="BI58" s="129"/>
      <c r="BJ58" s="125"/>
      <c r="BK58" s="119"/>
      <c r="BL58" s="119"/>
      <c r="BM58" s="77"/>
      <c r="BN58" s="86"/>
      <c r="BO58" s="86"/>
      <c r="BP58" s="85"/>
      <c r="BQ58" s="85"/>
      <c r="BR58" s="77"/>
    </row>
    <row r="59" spans="8:70" x14ac:dyDescent="0.3">
      <c r="H59" s="80"/>
      <c r="I59" s="47"/>
      <c r="J59" s="48"/>
      <c r="K59" s="48"/>
      <c r="L59" s="49"/>
      <c r="M59" s="47"/>
      <c r="N59" s="49"/>
      <c r="O59" s="49"/>
      <c r="P59" s="50"/>
      <c r="Q59" s="51"/>
      <c r="R59" s="51"/>
      <c r="S59" s="52"/>
      <c r="T59" s="52"/>
      <c r="U59" s="51"/>
      <c r="V59" s="52"/>
      <c r="W59" s="52"/>
      <c r="X59" s="98"/>
      <c r="Y59" s="99"/>
      <c r="Z59" s="99"/>
      <c r="AA59" s="100"/>
      <c r="AB59" s="100"/>
      <c r="AC59" s="100"/>
      <c r="AD59" s="53"/>
      <c r="AE59" s="54"/>
      <c r="AF59" s="54"/>
      <c r="AG59" s="55"/>
      <c r="AH59" s="55"/>
      <c r="AI59" s="55"/>
      <c r="AJ59" s="110"/>
      <c r="AK59" s="111"/>
      <c r="AL59" s="111"/>
      <c r="AM59" s="112"/>
      <c r="AN59" s="112"/>
      <c r="AO59" s="77"/>
      <c r="AP59" s="86"/>
      <c r="AQ59" s="86"/>
      <c r="AR59" s="85"/>
      <c r="AS59" s="77"/>
      <c r="AT59" s="77"/>
      <c r="AU59" s="77"/>
      <c r="AV59" s="119"/>
      <c r="AW59" s="129"/>
      <c r="AX59" s="129"/>
      <c r="AY59" s="125"/>
      <c r="AZ59" s="119"/>
      <c r="BA59" s="47"/>
      <c r="BB59" s="48"/>
      <c r="BC59" s="48"/>
      <c r="BD59" s="49"/>
      <c r="BE59" s="49"/>
      <c r="BF59" s="49"/>
      <c r="BG59" s="129"/>
      <c r="BH59" s="129"/>
      <c r="BI59" s="129"/>
      <c r="BJ59" s="125"/>
      <c r="BK59" s="119"/>
      <c r="BL59" s="119"/>
      <c r="BM59" s="77"/>
      <c r="BN59" s="86"/>
      <c r="BO59" s="86"/>
      <c r="BP59" s="85"/>
      <c r="BQ59" s="85"/>
      <c r="BR59" s="77"/>
    </row>
    <row r="60" spans="8:70" x14ac:dyDescent="0.3">
      <c r="H60" s="80"/>
      <c r="I60" s="47"/>
      <c r="J60" s="48"/>
      <c r="K60" s="48"/>
      <c r="L60" s="49"/>
      <c r="M60" s="47"/>
      <c r="N60" s="49"/>
      <c r="O60" s="49"/>
      <c r="P60" s="50"/>
      <c r="Q60" s="51"/>
      <c r="R60" s="51"/>
      <c r="S60" s="52"/>
      <c r="T60" s="52"/>
      <c r="U60" s="51"/>
      <c r="V60" s="52"/>
      <c r="W60" s="52"/>
      <c r="X60" s="98"/>
      <c r="Y60" s="99"/>
      <c r="Z60" s="99"/>
      <c r="AA60" s="100"/>
      <c r="AB60" s="100"/>
      <c r="AC60" s="100"/>
      <c r="AD60" s="53"/>
      <c r="AE60" s="54"/>
      <c r="AF60" s="54"/>
      <c r="AG60" s="55"/>
      <c r="AH60" s="55"/>
      <c r="AI60" s="55"/>
      <c r="AJ60" s="110"/>
      <c r="AK60" s="111"/>
      <c r="AL60" s="111"/>
      <c r="AM60" s="112"/>
      <c r="AN60" s="112"/>
      <c r="AO60" s="77"/>
      <c r="AP60" s="86"/>
      <c r="AQ60" s="86"/>
      <c r="AR60" s="85"/>
      <c r="AS60" s="77"/>
      <c r="AT60" s="77"/>
      <c r="AU60" s="77"/>
      <c r="AV60" s="119"/>
      <c r="AW60" s="129"/>
      <c r="AX60" s="129"/>
      <c r="AY60" s="125"/>
      <c r="AZ60" s="119"/>
      <c r="BA60" s="47"/>
      <c r="BB60" s="48"/>
      <c r="BC60" s="48"/>
      <c r="BD60" s="49"/>
      <c r="BE60" s="49"/>
      <c r="BF60" s="49"/>
      <c r="BG60" s="129"/>
      <c r="BH60" s="129"/>
      <c r="BI60" s="129"/>
      <c r="BJ60" s="125"/>
      <c r="BK60" s="119"/>
      <c r="BL60" s="119"/>
      <c r="BM60" s="77"/>
      <c r="BN60" s="86"/>
      <c r="BO60" s="86"/>
      <c r="BP60" s="85"/>
      <c r="BQ60" s="85"/>
      <c r="BR60" s="77"/>
    </row>
    <row r="61" spans="8:70" x14ac:dyDescent="0.3">
      <c r="H61" s="80"/>
      <c r="I61" s="47"/>
      <c r="J61" s="48"/>
      <c r="K61" s="48"/>
      <c r="L61" s="49"/>
      <c r="M61" s="47"/>
      <c r="N61" s="49"/>
      <c r="O61" s="49"/>
      <c r="P61" s="50"/>
      <c r="Q61" s="51"/>
      <c r="R61" s="51"/>
      <c r="S61" s="52"/>
      <c r="T61" s="52"/>
      <c r="U61" s="51"/>
      <c r="V61" s="52"/>
      <c r="W61" s="52"/>
      <c r="X61" s="98"/>
      <c r="Y61" s="99"/>
      <c r="Z61" s="99"/>
      <c r="AA61" s="100"/>
      <c r="AB61" s="100"/>
      <c r="AC61" s="100"/>
      <c r="AD61" s="53"/>
      <c r="AE61" s="54"/>
      <c r="AF61" s="54"/>
      <c r="AG61" s="55"/>
      <c r="AH61" s="55"/>
      <c r="AI61" s="55"/>
      <c r="AJ61" s="110"/>
      <c r="AK61" s="111"/>
      <c r="AL61" s="111"/>
      <c r="AM61" s="112"/>
      <c r="AN61" s="112"/>
      <c r="AO61" s="77"/>
      <c r="AP61" s="86"/>
      <c r="AQ61" s="86"/>
      <c r="AR61" s="85"/>
      <c r="AS61" s="77"/>
      <c r="AT61" s="77"/>
      <c r="AU61" s="77"/>
      <c r="AV61" s="119"/>
      <c r="AW61" s="129"/>
      <c r="AX61" s="129"/>
      <c r="AY61" s="125"/>
      <c r="AZ61" s="119"/>
      <c r="BA61" s="47"/>
      <c r="BB61" s="48"/>
      <c r="BC61" s="48"/>
      <c r="BD61" s="49"/>
      <c r="BE61" s="49"/>
      <c r="BF61" s="49"/>
      <c r="BG61" s="129"/>
      <c r="BH61" s="129"/>
      <c r="BI61" s="129"/>
      <c r="BJ61" s="125"/>
      <c r="BK61" s="119"/>
      <c r="BL61" s="119"/>
      <c r="BM61" s="77"/>
      <c r="BN61" s="86"/>
      <c r="BO61" s="86"/>
      <c r="BP61" s="85"/>
      <c r="BQ61" s="85"/>
      <c r="BR61" s="77"/>
    </row>
    <row r="62" spans="8:70" x14ac:dyDescent="0.3">
      <c r="H62" s="80"/>
      <c r="I62" s="47"/>
      <c r="J62" s="48"/>
      <c r="K62" s="48"/>
      <c r="L62" s="49"/>
      <c r="M62" s="47"/>
      <c r="N62" s="49"/>
      <c r="O62" s="49"/>
      <c r="P62" s="50"/>
      <c r="Q62" s="51"/>
      <c r="R62" s="51"/>
      <c r="S62" s="52"/>
      <c r="T62" s="52"/>
      <c r="U62" s="51"/>
      <c r="V62" s="52"/>
      <c r="W62" s="52"/>
      <c r="X62" s="98"/>
      <c r="Y62" s="99"/>
      <c r="Z62" s="99"/>
      <c r="AA62" s="100"/>
      <c r="AB62" s="100"/>
      <c r="AC62" s="100"/>
      <c r="AD62" s="53"/>
      <c r="AE62" s="54"/>
      <c r="AF62" s="54"/>
      <c r="AG62" s="55"/>
      <c r="AH62" s="55"/>
      <c r="AI62" s="55"/>
      <c r="AJ62" s="110"/>
      <c r="AK62" s="111"/>
      <c r="AL62" s="111"/>
      <c r="AM62" s="112"/>
      <c r="AN62" s="112"/>
      <c r="AO62" s="77"/>
      <c r="AP62" s="86"/>
      <c r="AQ62" s="86"/>
      <c r="AR62" s="85"/>
      <c r="AS62" s="77"/>
      <c r="AT62" s="77"/>
      <c r="AU62" s="77"/>
      <c r="AV62" s="119"/>
      <c r="AW62" s="129"/>
      <c r="AX62" s="129"/>
      <c r="AY62" s="125"/>
      <c r="AZ62" s="119"/>
      <c r="BA62" s="47"/>
      <c r="BB62" s="48"/>
      <c r="BC62" s="48"/>
      <c r="BD62" s="49"/>
      <c r="BE62" s="49"/>
      <c r="BF62" s="49"/>
      <c r="BG62" s="129"/>
      <c r="BH62" s="129"/>
      <c r="BI62" s="129"/>
      <c r="BJ62" s="125"/>
      <c r="BK62" s="119"/>
      <c r="BL62" s="119"/>
      <c r="BM62" s="77"/>
      <c r="BN62" s="86"/>
      <c r="BO62" s="86"/>
      <c r="BP62" s="85"/>
      <c r="BQ62" s="85"/>
      <c r="BR62" s="77"/>
    </row>
    <row r="63" spans="8:70" x14ac:dyDescent="0.3">
      <c r="H63" s="80"/>
      <c r="I63" s="47"/>
      <c r="J63" s="48"/>
      <c r="K63" s="48"/>
      <c r="L63" s="49"/>
      <c r="M63" s="47"/>
      <c r="N63" s="49"/>
      <c r="O63" s="49"/>
      <c r="P63" s="50"/>
      <c r="Q63" s="51"/>
      <c r="R63" s="51"/>
      <c r="S63" s="52"/>
      <c r="T63" s="52"/>
      <c r="U63" s="51"/>
      <c r="V63" s="52"/>
      <c r="W63" s="52"/>
      <c r="X63" s="98"/>
      <c r="Y63" s="99"/>
      <c r="Z63" s="99"/>
      <c r="AA63" s="100"/>
      <c r="AB63" s="100"/>
      <c r="AC63" s="100"/>
      <c r="AD63" s="53"/>
      <c r="AE63" s="54"/>
      <c r="AF63" s="54"/>
      <c r="AG63" s="55"/>
      <c r="AH63" s="55"/>
      <c r="AI63" s="55"/>
      <c r="AJ63" s="110"/>
      <c r="AK63" s="111"/>
      <c r="AL63" s="111"/>
      <c r="AM63" s="112"/>
      <c r="AN63" s="112"/>
      <c r="AO63" s="77"/>
      <c r="AP63" s="86"/>
      <c r="AQ63" s="86"/>
      <c r="AR63" s="85"/>
      <c r="AS63" s="77"/>
      <c r="AT63" s="77"/>
      <c r="AU63" s="77"/>
      <c r="AV63" s="119"/>
      <c r="AW63" s="129"/>
      <c r="AX63" s="129"/>
      <c r="AY63" s="125"/>
      <c r="AZ63" s="119"/>
      <c r="BA63" s="47"/>
      <c r="BB63" s="48"/>
      <c r="BC63" s="48"/>
      <c r="BD63" s="49"/>
      <c r="BE63" s="49"/>
      <c r="BF63" s="49"/>
      <c r="BG63" s="129"/>
      <c r="BH63" s="129"/>
      <c r="BI63" s="129"/>
      <c r="BJ63" s="125"/>
      <c r="BK63" s="119"/>
      <c r="BL63" s="119"/>
      <c r="BM63" s="77"/>
      <c r="BN63" s="86"/>
      <c r="BO63" s="86"/>
      <c r="BP63" s="85"/>
      <c r="BQ63" s="85"/>
      <c r="BR63" s="77"/>
    </row>
    <row r="64" spans="8:70" x14ac:dyDescent="0.3">
      <c r="H64" s="80"/>
      <c r="I64" s="47"/>
      <c r="J64" s="48"/>
      <c r="K64" s="48"/>
      <c r="L64" s="49"/>
      <c r="M64" s="47"/>
      <c r="N64" s="49"/>
      <c r="O64" s="49"/>
      <c r="P64" s="50"/>
      <c r="Q64" s="51"/>
      <c r="R64" s="51"/>
      <c r="S64" s="52"/>
      <c r="T64" s="52"/>
      <c r="U64" s="51"/>
      <c r="V64" s="52"/>
      <c r="W64" s="52"/>
      <c r="X64" s="98"/>
      <c r="Y64" s="99"/>
      <c r="Z64" s="99"/>
      <c r="AA64" s="100"/>
      <c r="AB64" s="100"/>
      <c r="AC64" s="100"/>
      <c r="AD64" s="53"/>
      <c r="AE64" s="54"/>
      <c r="AF64" s="54"/>
      <c r="AG64" s="55"/>
      <c r="AH64" s="55"/>
      <c r="AI64" s="55"/>
      <c r="AJ64" s="110"/>
      <c r="AK64" s="111"/>
      <c r="AL64" s="111"/>
      <c r="AM64" s="112"/>
      <c r="AN64" s="112"/>
      <c r="AO64" s="77"/>
      <c r="AP64" s="86"/>
      <c r="AQ64" s="86"/>
      <c r="AR64" s="85"/>
      <c r="AS64" s="77"/>
      <c r="AT64" s="77"/>
      <c r="AU64" s="77"/>
      <c r="AV64" s="119"/>
      <c r="AW64" s="129"/>
      <c r="AX64" s="129"/>
      <c r="AY64" s="125"/>
      <c r="AZ64" s="119"/>
      <c r="BA64" s="47"/>
      <c r="BB64" s="48"/>
      <c r="BC64" s="48"/>
      <c r="BD64" s="49"/>
      <c r="BE64" s="49"/>
      <c r="BF64" s="49"/>
      <c r="BG64" s="129"/>
      <c r="BH64" s="129"/>
      <c r="BI64" s="129"/>
      <c r="BJ64" s="125"/>
      <c r="BK64" s="119"/>
      <c r="BL64" s="119"/>
      <c r="BM64" s="77"/>
      <c r="BN64" s="86"/>
      <c r="BO64" s="86"/>
      <c r="BP64" s="85"/>
      <c r="BQ64" s="85"/>
      <c r="BR64" s="77"/>
    </row>
    <row r="65" spans="8:70" x14ac:dyDescent="0.3">
      <c r="H65" s="80"/>
      <c r="I65" s="47"/>
      <c r="J65" s="48"/>
      <c r="K65" s="48"/>
      <c r="L65" s="49"/>
      <c r="M65" s="47"/>
      <c r="N65" s="49"/>
      <c r="O65" s="49"/>
      <c r="P65" s="50"/>
      <c r="Q65" s="51"/>
      <c r="R65" s="51"/>
      <c r="S65" s="52"/>
      <c r="T65" s="52"/>
      <c r="U65" s="51"/>
      <c r="V65" s="52"/>
      <c r="W65" s="52"/>
      <c r="X65" s="98"/>
      <c r="Y65" s="99"/>
      <c r="Z65" s="99"/>
      <c r="AA65" s="100"/>
      <c r="AB65" s="100"/>
      <c r="AC65" s="100"/>
      <c r="AD65" s="53"/>
      <c r="AE65" s="54"/>
      <c r="AF65" s="54"/>
      <c r="AG65" s="55"/>
      <c r="AH65" s="55"/>
      <c r="AI65" s="55"/>
      <c r="AJ65" s="110"/>
      <c r="AK65" s="111"/>
      <c r="AL65" s="111"/>
      <c r="AM65" s="112"/>
      <c r="AN65" s="112"/>
      <c r="AO65" s="77"/>
      <c r="AP65" s="86"/>
      <c r="AQ65" s="86"/>
      <c r="AR65" s="85"/>
      <c r="AS65" s="77"/>
      <c r="AT65" s="77"/>
      <c r="AU65" s="77"/>
      <c r="AV65" s="119"/>
      <c r="AW65" s="129"/>
      <c r="AX65" s="129"/>
      <c r="AY65" s="125"/>
      <c r="AZ65" s="119"/>
      <c r="BA65" s="47"/>
      <c r="BB65" s="48"/>
      <c r="BC65" s="48"/>
      <c r="BD65" s="49"/>
      <c r="BE65" s="49"/>
      <c r="BF65" s="49"/>
      <c r="BG65" s="129"/>
      <c r="BH65" s="129"/>
      <c r="BI65" s="129"/>
      <c r="BJ65" s="125"/>
      <c r="BK65" s="119"/>
      <c r="BL65" s="119"/>
      <c r="BM65" s="77"/>
      <c r="BN65" s="86"/>
      <c r="BO65" s="86"/>
      <c r="BP65" s="85"/>
      <c r="BQ65" s="85"/>
      <c r="BR65" s="77"/>
    </row>
    <row r="66" spans="8:70" x14ac:dyDescent="0.3">
      <c r="H66" s="80"/>
      <c r="I66" s="47"/>
      <c r="J66" s="48"/>
      <c r="K66" s="48"/>
      <c r="L66" s="49"/>
      <c r="M66" s="47"/>
      <c r="N66" s="49"/>
      <c r="O66" s="49"/>
      <c r="P66" s="50"/>
      <c r="Q66" s="51"/>
      <c r="R66" s="51"/>
      <c r="S66" s="52"/>
      <c r="T66" s="52"/>
      <c r="U66" s="51"/>
      <c r="V66" s="52"/>
      <c r="W66" s="52"/>
      <c r="X66" s="98"/>
      <c r="Y66" s="99"/>
      <c r="Z66" s="99"/>
      <c r="AA66" s="100"/>
      <c r="AB66" s="100"/>
      <c r="AC66" s="100"/>
      <c r="AD66" s="53"/>
      <c r="AE66" s="54"/>
      <c r="AF66" s="54"/>
      <c r="AG66" s="55"/>
      <c r="AH66" s="55"/>
      <c r="AI66" s="55"/>
      <c r="AJ66" s="110"/>
      <c r="AK66" s="111"/>
      <c r="AL66" s="111"/>
      <c r="AM66" s="112"/>
      <c r="AN66" s="112"/>
      <c r="AO66" s="77"/>
      <c r="AP66" s="86"/>
      <c r="AQ66" s="86"/>
      <c r="AR66" s="85"/>
      <c r="AS66" s="77"/>
      <c r="AT66" s="77"/>
      <c r="AU66" s="77"/>
      <c r="AV66" s="119"/>
      <c r="AW66" s="129"/>
      <c r="AX66" s="129"/>
      <c r="AY66" s="125"/>
      <c r="AZ66" s="119"/>
      <c r="BA66" s="47"/>
      <c r="BB66" s="48"/>
      <c r="BC66" s="48"/>
      <c r="BD66" s="49"/>
      <c r="BE66" s="49"/>
      <c r="BF66" s="49"/>
      <c r="BG66" s="129"/>
      <c r="BH66" s="129"/>
      <c r="BI66" s="129"/>
      <c r="BJ66" s="125"/>
      <c r="BK66" s="119"/>
      <c r="BL66" s="119"/>
      <c r="BM66" s="77"/>
      <c r="BN66" s="86"/>
      <c r="BO66" s="86"/>
      <c r="BP66" s="85"/>
      <c r="BQ66" s="85"/>
      <c r="BR66" s="77"/>
    </row>
    <row r="67" spans="8:70" x14ac:dyDescent="0.3">
      <c r="H67" s="80"/>
      <c r="I67" s="47"/>
      <c r="J67" s="48"/>
      <c r="K67" s="48"/>
      <c r="L67" s="49"/>
      <c r="M67" s="47"/>
      <c r="N67" s="49"/>
      <c r="O67" s="49"/>
      <c r="P67" s="50"/>
      <c r="Q67" s="51"/>
      <c r="R67" s="51"/>
      <c r="S67" s="52"/>
      <c r="T67" s="52"/>
      <c r="U67" s="51"/>
      <c r="V67" s="52"/>
      <c r="W67" s="52"/>
      <c r="X67" s="98"/>
      <c r="Y67" s="99"/>
      <c r="Z67" s="99"/>
      <c r="AA67" s="100"/>
      <c r="AB67" s="100"/>
      <c r="AC67" s="100"/>
      <c r="AD67" s="53"/>
      <c r="AE67" s="54"/>
      <c r="AF67" s="54"/>
      <c r="AG67" s="55"/>
      <c r="AH67" s="55"/>
      <c r="AI67" s="55"/>
      <c r="AJ67" s="110"/>
      <c r="AK67" s="111"/>
      <c r="AL67" s="111"/>
      <c r="AM67" s="112"/>
      <c r="AN67" s="112"/>
      <c r="AO67" s="77"/>
      <c r="AP67" s="86"/>
      <c r="AQ67" s="86"/>
      <c r="AR67" s="85"/>
      <c r="AS67" s="77"/>
      <c r="AT67" s="77"/>
      <c r="AU67" s="77"/>
      <c r="AV67" s="119"/>
      <c r="AW67" s="129"/>
      <c r="AX67" s="129"/>
      <c r="AY67" s="125"/>
      <c r="AZ67" s="119"/>
      <c r="BA67" s="47"/>
      <c r="BB67" s="48"/>
      <c r="BC67" s="48"/>
      <c r="BD67" s="49"/>
      <c r="BE67" s="49"/>
      <c r="BF67" s="49"/>
      <c r="BG67" s="129"/>
      <c r="BH67" s="129"/>
      <c r="BI67" s="129"/>
      <c r="BJ67" s="125"/>
      <c r="BK67" s="119"/>
      <c r="BL67" s="119"/>
      <c r="BM67" s="77"/>
      <c r="BN67" s="86"/>
      <c r="BO67" s="86"/>
      <c r="BP67" s="85"/>
      <c r="BQ67" s="85"/>
      <c r="BR67" s="77"/>
    </row>
    <row r="68" spans="8:70" x14ac:dyDescent="0.3">
      <c r="H68" s="80"/>
      <c r="I68" s="47"/>
      <c r="J68" s="48"/>
      <c r="K68" s="48"/>
      <c r="L68" s="49"/>
      <c r="M68" s="47"/>
      <c r="N68" s="49"/>
      <c r="O68" s="49"/>
      <c r="P68" s="50"/>
      <c r="Q68" s="51"/>
      <c r="R68" s="51"/>
      <c r="S68" s="52"/>
      <c r="T68" s="52"/>
      <c r="U68" s="51"/>
      <c r="V68" s="52"/>
      <c r="W68" s="52"/>
      <c r="X68" s="98"/>
      <c r="Y68" s="99"/>
      <c r="Z68" s="99"/>
      <c r="AA68" s="100"/>
      <c r="AB68" s="100"/>
      <c r="AC68" s="100"/>
      <c r="AD68" s="53"/>
      <c r="AE68" s="54"/>
      <c r="AF68" s="54"/>
      <c r="AG68" s="55"/>
      <c r="AH68" s="55"/>
      <c r="AI68" s="55"/>
      <c r="AJ68" s="110"/>
      <c r="AK68" s="111"/>
      <c r="AL68" s="111"/>
      <c r="AM68" s="112"/>
      <c r="AN68" s="112"/>
      <c r="AO68" s="77"/>
      <c r="AP68" s="86"/>
      <c r="AQ68" s="86"/>
      <c r="AR68" s="85"/>
      <c r="AS68" s="77"/>
      <c r="AT68" s="77"/>
      <c r="AU68" s="77"/>
      <c r="AV68" s="119"/>
      <c r="AW68" s="129"/>
      <c r="AX68" s="129"/>
      <c r="AY68" s="125"/>
      <c r="AZ68" s="119"/>
      <c r="BA68" s="47"/>
      <c r="BB68" s="48"/>
      <c r="BC68" s="48"/>
      <c r="BD68" s="49"/>
      <c r="BE68" s="49"/>
      <c r="BF68" s="49"/>
      <c r="BG68" s="129"/>
      <c r="BH68" s="129"/>
      <c r="BI68" s="129"/>
      <c r="BJ68" s="125"/>
      <c r="BK68" s="119"/>
      <c r="BL68" s="119"/>
      <c r="BM68" s="77"/>
      <c r="BN68" s="86"/>
      <c r="BO68" s="86"/>
      <c r="BP68" s="85"/>
      <c r="BQ68" s="85"/>
      <c r="BR68" s="77"/>
    </row>
    <row r="69" spans="8:70" x14ac:dyDescent="0.3">
      <c r="H69" s="80"/>
      <c r="I69" s="47"/>
      <c r="J69" s="48"/>
      <c r="K69" s="48"/>
      <c r="L69" s="49"/>
      <c r="M69" s="47"/>
      <c r="N69" s="49"/>
      <c r="O69" s="49"/>
      <c r="P69" s="50"/>
      <c r="Q69" s="51"/>
      <c r="R69" s="51"/>
      <c r="S69" s="52"/>
      <c r="T69" s="52"/>
      <c r="U69" s="51"/>
      <c r="V69" s="52"/>
      <c r="W69" s="52"/>
      <c r="X69" s="98"/>
      <c r="Y69" s="99"/>
      <c r="Z69" s="99"/>
      <c r="AA69" s="100"/>
      <c r="AB69" s="100"/>
      <c r="AC69" s="100"/>
      <c r="AD69" s="53"/>
      <c r="AE69" s="54"/>
      <c r="AF69" s="54"/>
      <c r="AG69" s="55"/>
      <c r="AH69" s="55"/>
      <c r="AI69" s="55"/>
      <c r="AJ69" s="110"/>
      <c r="AK69" s="111"/>
      <c r="AL69" s="111"/>
      <c r="AM69" s="112"/>
      <c r="AN69" s="112"/>
      <c r="AO69" s="77"/>
      <c r="AP69" s="86"/>
      <c r="AQ69" s="86"/>
      <c r="AR69" s="85"/>
      <c r="AS69" s="77"/>
      <c r="AT69" s="77"/>
      <c r="AU69" s="77"/>
      <c r="AV69" s="119"/>
      <c r="AW69" s="129"/>
      <c r="AX69" s="129"/>
      <c r="AY69" s="125"/>
      <c r="AZ69" s="119"/>
      <c r="BA69" s="47"/>
      <c r="BB69" s="48"/>
      <c r="BC69" s="48"/>
      <c r="BD69" s="49"/>
      <c r="BE69" s="49"/>
      <c r="BF69" s="49"/>
      <c r="BG69" s="129"/>
      <c r="BH69" s="129"/>
      <c r="BI69" s="129"/>
      <c r="BJ69" s="125"/>
      <c r="BK69" s="119"/>
      <c r="BL69" s="119"/>
      <c r="BM69" s="77"/>
      <c r="BN69" s="86"/>
      <c r="BO69" s="86"/>
      <c r="BP69" s="85"/>
      <c r="BQ69" s="85"/>
      <c r="BR69" s="77"/>
    </row>
    <row r="70" spans="8:70" x14ac:dyDescent="0.3">
      <c r="H70" s="80"/>
      <c r="I70" s="47"/>
      <c r="J70" s="48"/>
      <c r="K70" s="48"/>
      <c r="L70" s="49"/>
      <c r="M70" s="47"/>
      <c r="N70" s="49"/>
      <c r="O70" s="49"/>
      <c r="P70" s="50"/>
      <c r="Q70" s="51"/>
      <c r="R70" s="51"/>
      <c r="S70" s="52"/>
      <c r="T70" s="52"/>
      <c r="U70" s="51"/>
      <c r="V70" s="52"/>
      <c r="W70" s="52"/>
      <c r="X70" s="98"/>
      <c r="Y70" s="99"/>
      <c r="Z70" s="99"/>
      <c r="AA70" s="100"/>
      <c r="AB70" s="100"/>
      <c r="AC70" s="100"/>
      <c r="AD70" s="53"/>
      <c r="AE70" s="54"/>
      <c r="AF70" s="54"/>
      <c r="AG70" s="55"/>
      <c r="AH70" s="55"/>
      <c r="AI70" s="55"/>
      <c r="AJ70" s="110"/>
      <c r="AK70" s="111"/>
      <c r="AL70" s="111"/>
      <c r="AM70" s="112"/>
      <c r="AN70" s="112"/>
      <c r="AO70" s="77"/>
      <c r="AP70" s="86"/>
      <c r="AQ70" s="86"/>
      <c r="AR70" s="85"/>
      <c r="AS70" s="77"/>
      <c r="AT70" s="77"/>
      <c r="AU70" s="77"/>
      <c r="AV70" s="119"/>
      <c r="AW70" s="129"/>
      <c r="AX70" s="129"/>
      <c r="AY70" s="125"/>
      <c r="AZ70" s="119"/>
      <c r="BA70" s="47"/>
      <c r="BB70" s="48"/>
      <c r="BC70" s="48"/>
      <c r="BD70" s="49"/>
      <c r="BE70" s="49"/>
      <c r="BF70" s="49"/>
      <c r="BG70" s="129"/>
      <c r="BH70" s="129"/>
      <c r="BI70" s="129"/>
      <c r="BJ70" s="125"/>
      <c r="BK70" s="119"/>
      <c r="BL70" s="119"/>
      <c r="BM70" s="77"/>
      <c r="BN70" s="86"/>
      <c r="BO70" s="86"/>
      <c r="BP70" s="85"/>
      <c r="BQ70" s="85"/>
      <c r="BR70" s="77"/>
    </row>
    <row r="71" spans="8:70" x14ac:dyDescent="0.3">
      <c r="H71" s="80"/>
      <c r="I71" s="47"/>
      <c r="J71" s="48"/>
      <c r="K71" s="48"/>
      <c r="L71" s="49"/>
      <c r="M71" s="47"/>
      <c r="N71" s="49"/>
      <c r="O71" s="49"/>
      <c r="P71" s="50"/>
      <c r="Q71" s="51"/>
      <c r="R71" s="51"/>
      <c r="S71" s="52"/>
      <c r="T71" s="52"/>
      <c r="U71" s="51"/>
      <c r="V71" s="52"/>
      <c r="W71" s="52"/>
      <c r="X71" s="98"/>
      <c r="Y71" s="99"/>
      <c r="Z71" s="99"/>
      <c r="AA71" s="100"/>
      <c r="AB71" s="100"/>
      <c r="AC71" s="100"/>
      <c r="AD71" s="53"/>
      <c r="AE71" s="54"/>
      <c r="AF71" s="54"/>
      <c r="AG71" s="55"/>
      <c r="AH71" s="55"/>
      <c r="AI71" s="55"/>
      <c r="AJ71" s="110"/>
      <c r="AK71" s="111"/>
      <c r="AL71" s="111"/>
      <c r="AM71" s="112"/>
      <c r="AN71" s="112"/>
      <c r="AO71" s="77"/>
      <c r="AP71" s="86"/>
      <c r="AQ71" s="86"/>
      <c r="AR71" s="85"/>
      <c r="AS71" s="77"/>
      <c r="AT71" s="77"/>
      <c r="AU71" s="77"/>
      <c r="AV71" s="119"/>
      <c r="AW71" s="129"/>
      <c r="AX71" s="129"/>
      <c r="AY71" s="125"/>
      <c r="AZ71" s="119"/>
      <c r="BA71" s="47"/>
      <c r="BB71" s="48"/>
      <c r="BC71" s="48"/>
      <c r="BD71" s="49"/>
      <c r="BE71" s="49"/>
      <c r="BF71" s="49"/>
      <c r="BG71" s="129"/>
      <c r="BH71" s="129"/>
      <c r="BI71" s="129"/>
      <c r="BJ71" s="125"/>
      <c r="BK71" s="119"/>
      <c r="BL71" s="119"/>
      <c r="BM71" s="77"/>
      <c r="BN71" s="86"/>
      <c r="BO71" s="86"/>
      <c r="BP71" s="85"/>
      <c r="BQ71" s="85"/>
      <c r="BR71" s="77"/>
    </row>
    <row r="72" spans="8:70" x14ac:dyDescent="0.3">
      <c r="H72" s="80"/>
      <c r="I72" s="47"/>
      <c r="J72" s="48"/>
      <c r="K72" s="48"/>
      <c r="L72" s="49"/>
      <c r="M72" s="47"/>
      <c r="N72" s="49"/>
      <c r="O72" s="49"/>
      <c r="P72" s="50"/>
      <c r="Q72" s="51"/>
      <c r="R72" s="51"/>
      <c r="S72" s="52"/>
      <c r="T72" s="52"/>
      <c r="U72" s="51"/>
      <c r="V72" s="52"/>
      <c r="W72" s="52"/>
      <c r="X72" s="98"/>
      <c r="Y72" s="99"/>
      <c r="Z72" s="99"/>
      <c r="AA72" s="100"/>
      <c r="AB72" s="100"/>
      <c r="AC72" s="100"/>
      <c r="AD72" s="53"/>
      <c r="AE72" s="54"/>
      <c r="AF72" s="54"/>
      <c r="AG72" s="55"/>
      <c r="AH72" s="55"/>
      <c r="AI72" s="55"/>
      <c r="AJ72" s="110"/>
      <c r="AK72" s="111"/>
      <c r="AL72" s="111"/>
      <c r="AM72" s="112"/>
      <c r="AN72" s="112"/>
      <c r="AO72" s="77"/>
      <c r="AP72" s="86"/>
      <c r="AQ72" s="86"/>
      <c r="AR72" s="85"/>
      <c r="AS72" s="77"/>
      <c r="AT72" s="77"/>
      <c r="AU72" s="77"/>
      <c r="AV72" s="119"/>
      <c r="AW72" s="129"/>
      <c r="AX72" s="129"/>
      <c r="AY72" s="125"/>
      <c r="AZ72" s="119"/>
      <c r="BA72" s="47"/>
      <c r="BB72" s="48"/>
      <c r="BC72" s="48"/>
      <c r="BD72" s="49"/>
      <c r="BE72" s="49"/>
      <c r="BF72" s="49"/>
      <c r="BG72" s="129"/>
      <c r="BH72" s="129"/>
      <c r="BI72" s="129"/>
      <c r="BJ72" s="125"/>
      <c r="BK72" s="119"/>
      <c r="BL72" s="119"/>
      <c r="BM72" s="77"/>
      <c r="BN72" s="86"/>
      <c r="BO72" s="86"/>
      <c r="BP72" s="85"/>
      <c r="BQ72" s="85"/>
      <c r="BR72" s="77"/>
    </row>
    <row r="73" spans="8:70" x14ac:dyDescent="0.3">
      <c r="H73" s="80"/>
      <c r="I73" s="47"/>
      <c r="J73" s="48"/>
      <c r="K73" s="48"/>
      <c r="L73" s="49"/>
      <c r="M73" s="47"/>
      <c r="N73" s="49"/>
      <c r="O73" s="49"/>
      <c r="P73" s="50"/>
      <c r="Q73" s="51"/>
      <c r="R73" s="51"/>
      <c r="S73" s="52"/>
      <c r="T73" s="52"/>
      <c r="U73" s="51"/>
      <c r="V73" s="52"/>
      <c r="W73" s="52"/>
      <c r="X73" s="98"/>
      <c r="Y73" s="99"/>
      <c r="Z73" s="99"/>
      <c r="AA73" s="100"/>
      <c r="AB73" s="100"/>
      <c r="AC73" s="100"/>
      <c r="AD73" s="53"/>
      <c r="AE73" s="54"/>
      <c r="AF73" s="54"/>
      <c r="AG73" s="55"/>
      <c r="AH73" s="55"/>
      <c r="AI73" s="55"/>
      <c r="AJ73" s="110"/>
      <c r="AK73" s="111"/>
      <c r="AL73" s="111"/>
      <c r="AM73" s="112"/>
      <c r="AN73" s="112"/>
      <c r="AO73" s="77"/>
      <c r="AP73" s="86"/>
      <c r="AQ73" s="86"/>
      <c r="AR73" s="85"/>
      <c r="AS73" s="77"/>
      <c r="AT73" s="77"/>
      <c r="AU73" s="77"/>
      <c r="AV73" s="119"/>
      <c r="AW73" s="129"/>
      <c r="AX73" s="129"/>
      <c r="AY73" s="125"/>
      <c r="AZ73" s="119"/>
      <c r="BA73" s="47"/>
      <c r="BB73" s="48"/>
      <c r="BC73" s="48"/>
      <c r="BD73" s="49"/>
      <c r="BE73" s="49"/>
      <c r="BF73" s="49"/>
      <c r="BG73" s="129"/>
      <c r="BH73" s="129"/>
      <c r="BI73" s="129"/>
      <c r="BJ73" s="125"/>
      <c r="BK73" s="119"/>
      <c r="BL73" s="119"/>
      <c r="BM73" s="77"/>
      <c r="BN73" s="86"/>
      <c r="BO73" s="86"/>
      <c r="BP73" s="85"/>
      <c r="BQ73" s="85"/>
      <c r="BR73" s="77"/>
    </row>
    <row r="74" spans="8:70" x14ac:dyDescent="0.3">
      <c r="H74" s="80"/>
      <c r="I74" s="47"/>
      <c r="J74" s="48"/>
      <c r="K74" s="48"/>
      <c r="L74" s="49"/>
      <c r="M74" s="47"/>
      <c r="N74" s="49"/>
      <c r="O74" s="49"/>
      <c r="P74" s="50"/>
      <c r="Q74" s="51"/>
      <c r="R74" s="51"/>
      <c r="S74" s="52"/>
      <c r="T74" s="52"/>
      <c r="U74" s="51"/>
      <c r="V74" s="52"/>
      <c r="W74" s="52"/>
      <c r="X74" s="98"/>
      <c r="Y74" s="99"/>
      <c r="Z74" s="99"/>
      <c r="AA74" s="100"/>
      <c r="AB74" s="100"/>
      <c r="AC74" s="100"/>
      <c r="AD74" s="53"/>
      <c r="AE74" s="54"/>
      <c r="AF74" s="54"/>
      <c r="AG74" s="55"/>
      <c r="AH74" s="55"/>
      <c r="AI74" s="55"/>
      <c r="AJ74" s="110"/>
      <c r="AK74" s="111"/>
      <c r="AL74" s="111"/>
      <c r="AM74" s="112"/>
      <c r="AN74" s="112"/>
      <c r="AO74" s="77"/>
      <c r="AP74" s="86"/>
      <c r="AQ74" s="86"/>
      <c r="AR74" s="85"/>
      <c r="AS74" s="77"/>
      <c r="AT74" s="77"/>
      <c r="AU74" s="77"/>
      <c r="AV74" s="119"/>
      <c r="AW74" s="129"/>
      <c r="AX74" s="129"/>
      <c r="AY74" s="125"/>
      <c r="AZ74" s="119"/>
      <c r="BA74" s="47"/>
      <c r="BB74" s="48"/>
      <c r="BC74" s="48"/>
      <c r="BD74" s="49"/>
      <c r="BE74" s="49"/>
      <c r="BF74" s="49"/>
      <c r="BG74" s="129"/>
      <c r="BH74" s="129"/>
      <c r="BI74" s="129"/>
      <c r="BJ74" s="125"/>
      <c r="BK74" s="119"/>
      <c r="BL74" s="119"/>
      <c r="BM74" s="77"/>
      <c r="BN74" s="86"/>
      <c r="BO74" s="86"/>
      <c r="BP74" s="85"/>
      <c r="BQ74" s="85"/>
      <c r="BR74" s="77"/>
    </row>
    <row r="75" spans="8:70" x14ac:dyDescent="0.3">
      <c r="H75" s="80"/>
      <c r="I75" s="47"/>
      <c r="J75" s="48"/>
      <c r="K75" s="48"/>
      <c r="L75" s="49"/>
      <c r="M75" s="47"/>
      <c r="N75" s="49"/>
      <c r="O75" s="49"/>
      <c r="P75" s="50"/>
      <c r="Q75" s="51"/>
      <c r="R75" s="51"/>
      <c r="S75" s="52"/>
      <c r="T75" s="52"/>
      <c r="U75" s="51"/>
      <c r="V75" s="52"/>
      <c r="W75" s="52"/>
      <c r="X75" s="98"/>
      <c r="Y75" s="99"/>
      <c r="Z75" s="99"/>
      <c r="AA75" s="100"/>
      <c r="AB75" s="100"/>
      <c r="AC75" s="100"/>
      <c r="AD75" s="53"/>
      <c r="AE75" s="54"/>
      <c r="AF75" s="54"/>
      <c r="AG75" s="55"/>
      <c r="AH75" s="55"/>
      <c r="AI75" s="55"/>
      <c r="AJ75" s="110"/>
      <c r="AK75" s="111"/>
      <c r="AL75" s="111"/>
      <c r="AM75" s="112"/>
      <c r="AN75" s="112"/>
      <c r="AO75" s="77"/>
      <c r="AP75" s="86"/>
      <c r="AQ75" s="86"/>
      <c r="AR75" s="85"/>
      <c r="AS75" s="77"/>
      <c r="AT75" s="77"/>
      <c r="AU75" s="77"/>
      <c r="AV75" s="119"/>
      <c r="AW75" s="129"/>
      <c r="AX75" s="129"/>
      <c r="AY75" s="125"/>
      <c r="AZ75" s="119"/>
      <c r="BA75" s="47"/>
      <c r="BB75" s="48"/>
      <c r="BC75" s="48"/>
      <c r="BD75" s="49"/>
      <c r="BE75" s="49"/>
      <c r="BF75" s="49"/>
      <c r="BG75" s="129"/>
      <c r="BH75" s="129"/>
      <c r="BI75" s="129"/>
      <c r="BJ75" s="125"/>
      <c r="BK75" s="119"/>
      <c r="BL75" s="119"/>
      <c r="BM75" s="77"/>
      <c r="BN75" s="86"/>
      <c r="BO75" s="86"/>
      <c r="BP75" s="85"/>
      <c r="BQ75" s="85"/>
      <c r="BR75" s="77"/>
    </row>
    <row r="76" spans="8:70" x14ac:dyDescent="0.3">
      <c r="H76" s="80"/>
      <c r="I76" s="47"/>
      <c r="J76" s="48"/>
      <c r="K76" s="48"/>
      <c r="L76" s="49"/>
      <c r="M76" s="47"/>
      <c r="N76" s="49"/>
      <c r="O76" s="49"/>
      <c r="P76" s="50"/>
      <c r="Q76" s="51"/>
      <c r="R76" s="51"/>
      <c r="S76" s="52"/>
      <c r="T76" s="52"/>
      <c r="U76" s="51"/>
      <c r="V76" s="52"/>
      <c r="W76" s="52"/>
      <c r="X76" s="98"/>
      <c r="Y76" s="99"/>
      <c r="Z76" s="99"/>
      <c r="AA76" s="100"/>
      <c r="AB76" s="100"/>
      <c r="AC76" s="100"/>
      <c r="AD76" s="53"/>
      <c r="AE76" s="54"/>
      <c r="AF76" s="54"/>
      <c r="AG76" s="55"/>
      <c r="AH76" s="55"/>
      <c r="AI76" s="55"/>
      <c r="AJ76" s="110"/>
      <c r="AK76" s="111"/>
      <c r="AL76" s="111"/>
      <c r="AM76" s="112"/>
      <c r="AN76" s="112"/>
      <c r="AO76" s="77"/>
      <c r="AP76" s="86"/>
      <c r="AQ76" s="86"/>
      <c r="AR76" s="85"/>
      <c r="AS76" s="77"/>
      <c r="AT76" s="77"/>
      <c r="AU76" s="77"/>
      <c r="AV76" s="119"/>
      <c r="AW76" s="129"/>
      <c r="AX76" s="129"/>
      <c r="AY76" s="125"/>
      <c r="AZ76" s="119"/>
      <c r="BA76" s="47"/>
      <c r="BB76" s="48"/>
      <c r="BC76" s="48"/>
      <c r="BD76" s="49"/>
      <c r="BE76" s="49"/>
      <c r="BF76" s="49"/>
      <c r="BG76" s="129"/>
      <c r="BH76" s="129"/>
      <c r="BI76" s="129"/>
      <c r="BJ76" s="125"/>
      <c r="BK76" s="119"/>
      <c r="BL76" s="119"/>
      <c r="BM76" s="77"/>
      <c r="BN76" s="86"/>
      <c r="BO76" s="86"/>
      <c r="BP76" s="85"/>
      <c r="BQ76" s="85"/>
      <c r="BR76" s="77"/>
    </row>
    <row r="77" spans="8:70" x14ac:dyDescent="0.3">
      <c r="H77" s="80"/>
      <c r="I77" s="47"/>
      <c r="J77" s="48"/>
      <c r="K77" s="48"/>
      <c r="L77" s="49"/>
      <c r="M77" s="47"/>
      <c r="N77" s="49"/>
      <c r="O77" s="49"/>
      <c r="P77" s="50"/>
      <c r="Q77" s="51"/>
      <c r="R77" s="51"/>
      <c r="S77" s="52"/>
      <c r="T77" s="52"/>
      <c r="U77" s="51"/>
      <c r="V77" s="52"/>
      <c r="W77" s="52"/>
      <c r="X77" s="98"/>
      <c r="Y77" s="99"/>
      <c r="Z77" s="99"/>
      <c r="AA77" s="100"/>
      <c r="AB77" s="100"/>
      <c r="AC77" s="100"/>
      <c r="AD77" s="53"/>
      <c r="AE77" s="54"/>
      <c r="AF77" s="54"/>
      <c r="AG77" s="55"/>
      <c r="AH77" s="55"/>
      <c r="AI77" s="55"/>
      <c r="AJ77" s="110"/>
      <c r="AK77" s="111"/>
      <c r="AL77" s="111"/>
      <c r="AM77" s="112"/>
      <c r="AN77" s="112"/>
      <c r="AO77" s="77"/>
      <c r="AP77" s="86"/>
      <c r="AQ77" s="86"/>
      <c r="AR77" s="85"/>
      <c r="AS77" s="77"/>
      <c r="AT77" s="77"/>
      <c r="AU77" s="77"/>
      <c r="AV77" s="119"/>
      <c r="AW77" s="129"/>
      <c r="AX77" s="129"/>
      <c r="AY77" s="125"/>
      <c r="AZ77" s="119"/>
      <c r="BA77" s="47"/>
      <c r="BB77" s="48"/>
      <c r="BC77" s="48"/>
      <c r="BD77" s="49"/>
      <c r="BE77" s="49"/>
      <c r="BF77" s="49"/>
      <c r="BG77" s="129"/>
      <c r="BH77" s="129"/>
      <c r="BI77" s="129"/>
      <c r="BJ77" s="125"/>
      <c r="BK77" s="119"/>
      <c r="BL77" s="119"/>
      <c r="BM77" s="77"/>
      <c r="BN77" s="86"/>
      <c r="BO77" s="86"/>
      <c r="BP77" s="85"/>
      <c r="BQ77" s="85"/>
      <c r="BR77" s="77"/>
    </row>
    <row r="78" spans="8:70" x14ac:dyDescent="0.3">
      <c r="H78" s="80"/>
      <c r="I78" s="47"/>
      <c r="J78" s="48"/>
      <c r="K78" s="48"/>
      <c r="L78" s="49"/>
      <c r="M78" s="47"/>
      <c r="N78" s="49"/>
      <c r="O78" s="49"/>
      <c r="P78" s="50"/>
      <c r="Q78" s="51"/>
      <c r="R78" s="51"/>
      <c r="S78" s="52"/>
      <c r="T78" s="52"/>
      <c r="U78" s="51"/>
      <c r="V78" s="52"/>
      <c r="W78" s="52"/>
      <c r="X78" s="98"/>
      <c r="Y78" s="99"/>
      <c r="Z78" s="99"/>
      <c r="AA78" s="100"/>
      <c r="AB78" s="100"/>
      <c r="AC78" s="100"/>
      <c r="AD78" s="53"/>
      <c r="AE78" s="54"/>
      <c r="AF78" s="54"/>
      <c r="AG78" s="55"/>
      <c r="AH78" s="55"/>
      <c r="AI78" s="55"/>
      <c r="AJ78" s="110"/>
      <c r="AK78" s="111"/>
      <c r="AL78" s="111"/>
      <c r="AM78" s="112"/>
      <c r="AN78" s="112"/>
      <c r="AO78" s="77"/>
      <c r="AP78" s="86"/>
      <c r="AQ78" s="86"/>
      <c r="AR78" s="85"/>
      <c r="AS78" s="77"/>
      <c r="AT78" s="77"/>
      <c r="AU78" s="77"/>
      <c r="AV78" s="119"/>
      <c r="AW78" s="129"/>
      <c r="AX78" s="129"/>
      <c r="AY78" s="125"/>
      <c r="AZ78" s="119"/>
      <c r="BA78" s="47"/>
      <c r="BB78" s="48"/>
      <c r="BC78" s="48"/>
      <c r="BD78" s="49"/>
      <c r="BE78" s="49"/>
      <c r="BF78" s="49"/>
      <c r="BG78" s="129"/>
      <c r="BH78" s="129"/>
      <c r="BI78" s="129"/>
      <c r="BJ78" s="125"/>
      <c r="BK78" s="119"/>
      <c r="BL78" s="119"/>
      <c r="BM78" s="77"/>
      <c r="BN78" s="86"/>
      <c r="BO78" s="86"/>
      <c r="BP78" s="85"/>
      <c r="BQ78" s="85"/>
      <c r="BR78" s="77"/>
    </row>
    <row r="79" spans="8:70" x14ac:dyDescent="0.3">
      <c r="H79" s="80"/>
      <c r="I79" s="47"/>
      <c r="J79" s="48"/>
      <c r="K79" s="48"/>
      <c r="L79" s="49"/>
      <c r="M79" s="47"/>
      <c r="N79" s="49"/>
      <c r="O79" s="49"/>
      <c r="P79" s="50"/>
      <c r="Q79" s="51"/>
      <c r="R79" s="51"/>
      <c r="S79" s="52"/>
      <c r="T79" s="52"/>
      <c r="U79" s="51"/>
      <c r="V79" s="52"/>
      <c r="W79" s="52"/>
      <c r="X79" s="98"/>
      <c r="Y79" s="99"/>
      <c r="Z79" s="99"/>
      <c r="AA79" s="100"/>
      <c r="AB79" s="100"/>
      <c r="AC79" s="100"/>
      <c r="AD79" s="53"/>
      <c r="AE79" s="54"/>
      <c r="AF79" s="54"/>
      <c r="AG79" s="55"/>
      <c r="AH79" s="55"/>
      <c r="AI79" s="55"/>
      <c r="AJ79" s="110"/>
      <c r="AK79" s="111"/>
      <c r="AL79" s="111"/>
      <c r="AM79" s="112"/>
      <c r="AN79" s="112"/>
      <c r="AO79" s="77"/>
      <c r="AP79" s="86"/>
      <c r="AQ79" s="86"/>
      <c r="AR79" s="85"/>
      <c r="AS79" s="77"/>
      <c r="AT79" s="77"/>
      <c r="AU79" s="77"/>
      <c r="AV79" s="119"/>
      <c r="AW79" s="129"/>
      <c r="AX79" s="129"/>
      <c r="AY79" s="125"/>
      <c r="AZ79" s="119"/>
      <c r="BA79" s="47"/>
      <c r="BB79" s="48"/>
      <c r="BC79" s="48"/>
      <c r="BD79" s="49"/>
      <c r="BE79" s="49"/>
      <c r="BF79" s="49"/>
      <c r="BG79" s="129"/>
      <c r="BH79" s="129"/>
      <c r="BI79" s="129"/>
      <c r="BJ79" s="125"/>
      <c r="BK79" s="119"/>
      <c r="BL79" s="119"/>
      <c r="BM79" s="77"/>
      <c r="BN79" s="86"/>
      <c r="BO79" s="86"/>
      <c r="BP79" s="85"/>
      <c r="BQ79" s="85"/>
      <c r="BR79" s="77"/>
    </row>
    <row r="80" spans="8:70" x14ac:dyDescent="0.3">
      <c r="H80" s="80"/>
      <c r="I80" s="47"/>
      <c r="J80" s="48"/>
      <c r="K80" s="48"/>
      <c r="L80" s="49"/>
      <c r="M80" s="47"/>
      <c r="N80" s="49"/>
      <c r="O80" s="49"/>
      <c r="P80" s="50"/>
      <c r="Q80" s="51"/>
      <c r="R80" s="51"/>
      <c r="S80" s="52"/>
      <c r="T80" s="52"/>
      <c r="U80" s="51"/>
      <c r="V80" s="52"/>
      <c r="W80" s="52"/>
      <c r="X80" s="98"/>
      <c r="Y80" s="99"/>
      <c r="Z80" s="99"/>
      <c r="AA80" s="100"/>
      <c r="AB80" s="100"/>
      <c r="AC80" s="100"/>
      <c r="AD80" s="53"/>
      <c r="AE80" s="54"/>
      <c r="AF80" s="54"/>
      <c r="AG80" s="55"/>
      <c r="AH80" s="55"/>
      <c r="AI80" s="55"/>
      <c r="AJ80" s="110"/>
      <c r="AK80" s="111"/>
      <c r="AL80" s="111"/>
      <c r="AM80" s="112"/>
      <c r="AN80" s="112"/>
      <c r="AO80" s="77"/>
      <c r="AP80" s="86"/>
      <c r="AQ80" s="86"/>
      <c r="AR80" s="85"/>
      <c r="AS80" s="77"/>
      <c r="AT80" s="77"/>
      <c r="AU80" s="77"/>
      <c r="AV80" s="119"/>
      <c r="AW80" s="129"/>
      <c r="AX80" s="129"/>
      <c r="AY80" s="125"/>
      <c r="AZ80" s="119"/>
      <c r="BA80" s="47"/>
      <c r="BB80" s="48"/>
      <c r="BC80" s="48"/>
      <c r="BD80" s="49"/>
      <c r="BE80" s="49"/>
      <c r="BF80" s="49"/>
      <c r="BG80" s="129"/>
      <c r="BH80" s="129"/>
      <c r="BI80" s="129"/>
      <c r="BJ80" s="125"/>
      <c r="BK80" s="119"/>
      <c r="BL80" s="119"/>
      <c r="BM80" s="77"/>
      <c r="BN80" s="86"/>
      <c r="BO80" s="86"/>
      <c r="BP80" s="85"/>
      <c r="BQ80" s="85"/>
      <c r="BR80" s="77"/>
    </row>
    <row r="81" spans="8:70" x14ac:dyDescent="0.3">
      <c r="H81" s="80"/>
      <c r="I81" s="47"/>
      <c r="J81" s="48"/>
      <c r="K81" s="48"/>
      <c r="L81" s="49"/>
      <c r="M81" s="47"/>
      <c r="N81" s="49"/>
      <c r="O81" s="49"/>
      <c r="P81" s="50"/>
      <c r="Q81" s="51"/>
      <c r="R81" s="51"/>
      <c r="S81" s="52"/>
      <c r="T81" s="52"/>
      <c r="U81" s="51"/>
      <c r="V81" s="52"/>
      <c r="W81" s="52"/>
      <c r="X81" s="98"/>
      <c r="Y81" s="99"/>
      <c r="Z81" s="99"/>
      <c r="AA81" s="100"/>
      <c r="AB81" s="100"/>
      <c r="AC81" s="100"/>
      <c r="AD81" s="53"/>
      <c r="AE81" s="54"/>
      <c r="AF81" s="54"/>
      <c r="AG81" s="55"/>
      <c r="AH81" s="55"/>
      <c r="AI81" s="55"/>
      <c r="AJ81" s="110"/>
      <c r="AK81" s="111"/>
      <c r="AL81" s="111"/>
      <c r="AM81" s="112"/>
      <c r="AN81" s="112"/>
      <c r="AO81" s="77"/>
      <c r="AP81" s="86"/>
      <c r="AQ81" s="86"/>
      <c r="AR81" s="85"/>
      <c r="AS81" s="77"/>
      <c r="AT81" s="77"/>
      <c r="AU81" s="77"/>
      <c r="AV81" s="119"/>
      <c r="AW81" s="129"/>
      <c r="AX81" s="129"/>
      <c r="AY81" s="125"/>
      <c r="AZ81" s="119"/>
      <c r="BA81" s="47"/>
      <c r="BB81" s="48"/>
      <c r="BC81" s="48"/>
      <c r="BD81" s="49"/>
      <c r="BE81" s="49"/>
      <c r="BF81" s="49"/>
      <c r="BG81" s="129"/>
      <c r="BH81" s="129"/>
      <c r="BI81" s="129"/>
      <c r="BJ81" s="125"/>
      <c r="BK81" s="119"/>
      <c r="BL81" s="119"/>
      <c r="BM81" s="77"/>
      <c r="BN81" s="86"/>
      <c r="BO81" s="86"/>
      <c r="BP81" s="85"/>
      <c r="BQ81" s="85"/>
      <c r="BR81" s="77"/>
    </row>
    <row r="82" spans="8:70" x14ac:dyDescent="0.3">
      <c r="H82" s="80"/>
      <c r="I82" s="47"/>
      <c r="J82" s="48"/>
      <c r="K82" s="48"/>
      <c r="L82" s="49"/>
      <c r="M82" s="47"/>
      <c r="N82" s="49"/>
      <c r="O82" s="49"/>
      <c r="P82" s="50"/>
      <c r="Q82" s="51"/>
      <c r="R82" s="51"/>
      <c r="S82" s="52"/>
      <c r="T82" s="52"/>
      <c r="U82" s="51"/>
      <c r="V82" s="52"/>
      <c r="W82" s="52"/>
      <c r="X82" s="98"/>
      <c r="Y82" s="99"/>
      <c r="Z82" s="99"/>
      <c r="AA82" s="100"/>
      <c r="AB82" s="100"/>
      <c r="AC82" s="100"/>
      <c r="AD82" s="53"/>
      <c r="AE82" s="54"/>
      <c r="AF82" s="54"/>
      <c r="AG82" s="55"/>
      <c r="AH82" s="55"/>
      <c r="AI82" s="55"/>
      <c r="AJ82" s="110"/>
      <c r="AK82" s="111"/>
      <c r="AL82" s="111"/>
      <c r="AM82" s="112"/>
      <c r="AN82" s="112"/>
      <c r="AO82" s="77"/>
      <c r="AP82" s="86"/>
      <c r="AQ82" s="86"/>
      <c r="AR82" s="85"/>
      <c r="AS82" s="77"/>
      <c r="AT82" s="77"/>
      <c r="AU82" s="77"/>
      <c r="AV82" s="119"/>
      <c r="AW82" s="129"/>
      <c r="AX82" s="129"/>
      <c r="AY82" s="125"/>
      <c r="AZ82" s="119"/>
      <c r="BA82" s="47"/>
      <c r="BB82" s="48"/>
      <c r="BC82" s="48"/>
      <c r="BD82" s="49"/>
      <c r="BE82" s="49"/>
      <c r="BF82" s="49"/>
      <c r="BG82" s="129"/>
      <c r="BH82" s="129"/>
      <c r="BI82" s="129"/>
      <c r="BJ82" s="125"/>
      <c r="BK82" s="119"/>
      <c r="BL82" s="119"/>
      <c r="BM82" s="77"/>
      <c r="BN82" s="86"/>
      <c r="BO82" s="86"/>
      <c r="BP82" s="85"/>
      <c r="BQ82" s="85"/>
      <c r="BR82" s="77"/>
    </row>
    <row r="83" spans="8:70" x14ac:dyDescent="0.3">
      <c r="H83" s="80"/>
      <c r="I83" s="47"/>
      <c r="J83" s="48"/>
      <c r="K83" s="48"/>
      <c r="L83" s="49"/>
      <c r="M83" s="47"/>
      <c r="N83" s="49"/>
      <c r="O83" s="49"/>
      <c r="P83" s="50"/>
      <c r="Q83" s="51"/>
      <c r="R83" s="51"/>
      <c r="S83" s="52"/>
      <c r="T83" s="52"/>
      <c r="U83" s="51"/>
      <c r="V83" s="52"/>
      <c r="W83" s="52"/>
      <c r="X83" s="98"/>
      <c r="Y83" s="99"/>
      <c r="Z83" s="99"/>
      <c r="AA83" s="100"/>
      <c r="AB83" s="100"/>
      <c r="AC83" s="100"/>
      <c r="AD83" s="53"/>
      <c r="AE83" s="54"/>
      <c r="AF83" s="54"/>
      <c r="AG83" s="55"/>
      <c r="AH83" s="55"/>
      <c r="AI83" s="55"/>
      <c r="AJ83" s="110"/>
      <c r="AK83" s="111"/>
      <c r="AL83" s="111"/>
      <c r="AM83" s="112"/>
      <c r="AN83" s="112"/>
      <c r="AO83" s="77"/>
      <c r="AP83" s="86"/>
      <c r="AQ83" s="86"/>
      <c r="AR83" s="85"/>
      <c r="AS83" s="77"/>
      <c r="AT83" s="77"/>
      <c r="AU83" s="77"/>
      <c r="AV83" s="119"/>
      <c r="AW83" s="129"/>
      <c r="AX83" s="129"/>
      <c r="AY83" s="125"/>
      <c r="AZ83" s="119"/>
      <c r="BA83" s="47"/>
      <c r="BB83" s="48"/>
      <c r="BC83" s="48"/>
      <c r="BD83" s="49"/>
      <c r="BE83" s="49"/>
      <c r="BF83" s="49"/>
      <c r="BG83" s="129"/>
      <c r="BH83" s="129"/>
      <c r="BI83" s="129"/>
      <c r="BJ83" s="125"/>
      <c r="BK83" s="119"/>
      <c r="BL83" s="119"/>
      <c r="BM83" s="77"/>
      <c r="BN83" s="86"/>
      <c r="BO83" s="86"/>
      <c r="BP83" s="85"/>
      <c r="BQ83" s="85"/>
      <c r="BR83" s="77"/>
    </row>
    <row r="84" spans="8:70" x14ac:dyDescent="0.3">
      <c r="H84" s="80"/>
      <c r="I84" s="47"/>
      <c r="J84" s="48"/>
      <c r="K84" s="48"/>
      <c r="L84" s="49"/>
      <c r="M84" s="47"/>
      <c r="N84" s="49"/>
      <c r="O84" s="49"/>
      <c r="P84" s="50"/>
      <c r="Q84" s="51"/>
      <c r="R84" s="51"/>
      <c r="S84" s="52"/>
      <c r="T84" s="52"/>
      <c r="U84" s="51"/>
      <c r="V84" s="52"/>
      <c r="W84" s="52"/>
      <c r="X84" s="98"/>
      <c r="Y84" s="99"/>
      <c r="Z84" s="99"/>
      <c r="AA84" s="100"/>
      <c r="AB84" s="100"/>
      <c r="AC84" s="100"/>
      <c r="AD84" s="53"/>
      <c r="AE84" s="54"/>
      <c r="AF84" s="54"/>
      <c r="AG84" s="55"/>
      <c r="AH84" s="55"/>
      <c r="AI84" s="55"/>
      <c r="AJ84" s="110"/>
      <c r="AK84" s="111"/>
      <c r="AL84" s="111"/>
      <c r="AM84" s="112"/>
      <c r="AN84" s="112"/>
      <c r="AO84" s="77"/>
      <c r="AP84" s="86"/>
      <c r="AQ84" s="86"/>
      <c r="AR84" s="85"/>
      <c r="AS84" s="77"/>
      <c r="AT84" s="77"/>
      <c r="AU84" s="77"/>
      <c r="AV84" s="119"/>
      <c r="AW84" s="129"/>
      <c r="AX84" s="129"/>
      <c r="AY84" s="125"/>
      <c r="AZ84" s="119"/>
      <c r="BA84" s="47"/>
      <c r="BB84" s="48"/>
      <c r="BC84" s="48"/>
      <c r="BD84" s="49"/>
      <c r="BE84" s="49"/>
      <c r="BF84" s="49"/>
      <c r="BG84" s="129"/>
      <c r="BH84" s="129"/>
      <c r="BI84" s="129"/>
      <c r="BJ84" s="125"/>
      <c r="BK84" s="119"/>
      <c r="BL84" s="119"/>
      <c r="BM84" s="77"/>
      <c r="BN84" s="86"/>
      <c r="BO84" s="86"/>
      <c r="BP84" s="85"/>
      <c r="BQ84" s="85"/>
      <c r="BR84" s="77"/>
    </row>
    <row r="85" spans="8:70" x14ac:dyDescent="0.3">
      <c r="H85" s="80"/>
      <c r="I85" s="47"/>
      <c r="J85" s="48"/>
      <c r="K85" s="48"/>
      <c r="L85" s="49"/>
      <c r="M85" s="47"/>
      <c r="N85" s="49"/>
      <c r="O85" s="49"/>
      <c r="P85" s="50"/>
      <c r="Q85" s="51"/>
      <c r="R85" s="51"/>
      <c r="S85" s="52"/>
      <c r="T85" s="52"/>
      <c r="U85" s="51"/>
      <c r="V85" s="52"/>
      <c r="W85" s="52"/>
      <c r="X85" s="98"/>
      <c r="Y85" s="99"/>
      <c r="Z85" s="99"/>
      <c r="AA85" s="100"/>
      <c r="AB85" s="100"/>
      <c r="AC85" s="100"/>
      <c r="AD85" s="53"/>
      <c r="AE85" s="54"/>
      <c r="AF85" s="54"/>
      <c r="AG85" s="55"/>
      <c r="AH85" s="55"/>
      <c r="AI85" s="55"/>
      <c r="AJ85" s="110"/>
      <c r="AK85" s="111"/>
      <c r="AL85" s="111"/>
      <c r="AM85" s="112"/>
      <c r="AN85" s="112"/>
      <c r="AO85" s="77"/>
      <c r="AP85" s="86"/>
      <c r="AQ85" s="86"/>
      <c r="AR85" s="85"/>
      <c r="AS85" s="77"/>
      <c r="AT85" s="77"/>
      <c r="AU85" s="77"/>
      <c r="AV85" s="119"/>
      <c r="AW85" s="129"/>
      <c r="AX85" s="129"/>
      <c r="AY85" s="125"/>
      <c r="AZ85" s="119"/>
      <c r="BA85" s="47"/>
      <c r="BB85" s="48"/>
      <c r="BC85" s="48"/>
      <c r="BD85" s="49"/>
      <c r="BE85" s="49"/>
      <c r="BF85" s="49"/>
      <c r="BG85" s="129"/>
      <c r="BH85" s="129"/>
      <c r="BI85" s="129"/>
      <c r="BJ85" s="125"/>
      <c r="BK85" s="119"/>
      <c r="BL85" s="119"/>
      <c r="BM85" s="77"/>
      <c r="BN85" s="86"/>
      <c r="BO85" s="86"/>
      <c r="BP85" s="85"/>
      <c r="BQ85" s="85"/>
      <c r="BR85" s="77"/>
    </row>
    <row r="86" spans="8:70" x14ac:dyDescent="0.3">
      <c r="H86" s="80"/>
      <c r="I86" s="47"/>
      <c r="J86" s="48"/>
      <c r="K86" s="48"/>
      <c r="L86" s="49"/>
      <c r="M86" s="47"/>
      <c r="N86" s="49"/>
      <c r="O86" s="49"/>
      <c r="P86" s="50"/>
      <c r="Q86" s="51"/>
      <c r="R86" s="51"/>
      <c r="S86" s="52"/>
      <c r="T86" s="52"/>
      <c r="U86" s="51"/>
      <c r="V86" s="52"/>
      <c r="W86" s="52"/>
      <c r="X86" s="98"/>
      <c r="Y86" s="99"/>
      <c r="Z86" s="99"/>
      <c r="AA86" s="100"/>
      <c r="AB86" s="100"/>
      <c r="AC86" s="100"/>
      <c r="AD86" s="53"/>
      <c r="AE86" s="54"/>
      <c r="AF86" s="54"/>
      <c r="AG86" s="55"/>
      <c r="AH86" s="55"/>
      <c r="AI86" s="55"/>
      <c r="AJ86" s="110"/>
      <c r="AK86" s="111"/>
      <c r="AL86" s="111"/>
      <c r="AM86" s="112"/>
      <c r="AN86" s="112"/>
      <c r="AO86" s="77"/>
      <c r="AP86" s="86"/>
      <c r="AQ86" s="86"/>
      <c r="AR86" s="85"/>
      <c r="AS86" s="77"/>
      <c r="AT86" s="77"/>
      <c r="AU86" s="77"/>
      <c r="AV86" s="119"/>
      <c r="AW86" s="129"/>
      <c r="AX86" s="129"/>
      <c r="AY86" s="125"/>
      <c r="AZ86" s="119"/>
      <c r="BA86" s="47"/>
      <c r="BB86" s="48"/>
      <c r="BC86" s="48"/>
      <c r="BD86" s="49"/>
      <c r="BE86" s="49"/>
      <c r="BF86" s="49"/>
      <c r="BG86" s="129"/>
      <c r="BH86" s="129"/>
      <c r="BI86" s="129"/>
      <c r="BJ86" s="125"/>
      <c r="BK86" s="119"/>
      <c r="BL86" s="119"/>
      <c r="BM86" s="77"/>
      <c r="BN86" s="86"/>
      <c r="BO86" s="86"/>
      <c r="BP86" s="85"/>
      <c r="BQ86" s="85"/>
      <c r="BR86" s="77"/>
    </row>
    <row r="87" spans="8:70" x14ac:dyDescent="0.3">
      <c r="H87" s="80"/>
      <c r="I87" s="47"/>
      <c r="J87" s="48"/>
      <c r="K87" s="48"/>
      <c r="L87" s="49"/>
      <c r="M87" s="47"/>
      <c r="N87" s="49"/>
      <c r="O87" s="49"/>
      <c r="P87" s="50"/>
      <c r="Q87" s="51"/>
      <c r="R87" s="51"/>
      <c r="S87" s="52"/>
      <c r="T87" s="52"/>
      <c r="U87" s="51"/>
      <c r="V87" s="52"/>
      <c r="W87" s="52"/>
      <c r="X87" s="98"/>
      <c r="Y87" s="99"/>
      <c r="Z87" s="99"/>
      <c r="AA87" s="100"/>
      <c r="AB87" s="100"/>
      <c r="AC87" s="100"/>
      <c r="AD87" s="53"/>
      <c r="AE87" s="54"/>
      <c r="AF87" s="54"/>
      <c r="AG87" s="55"/>
      <c r="AH87" s="55"/>
      <c r="AI87" s="55"/>
      <c r="AJ87" s="110"/>
      <c r="AK87" s="111"/>
      <c r="AL87" s="111"/>
      <c r="AM87" s="112"/>
      <c r="AN87" s="112"/>
      <c r="AO87" s="77"/>
      <c r="AP87" s="86"/>
      <c r="AQ87" s="86"/>
      <c r="AR87" s="85"/>
      <c r="AS87" s="77"/>
      <c r="AT87" s="77"/>
      <c r="AU87" s="77"/>
      <c r="AV87" s="119"/>
      <c r="AW87" s="129"/>
      <c r="AX87" s="129"/>
      <c r="AY87" s="125"/>
      <c r="AZ87" s="119"/>
      <c r="BA87" s="47"/>
      <c r="BB87" s="48"/>
      <c r="BC87" s="48"/>
      <c r="BD87" s="49"/>
      <c r="BE87" s="49"/>
      <c r="BF87" s="49"/>
      <c r="BG87" s="129"/>
      <c r="BH87" s="129"/>
      <c r="BI87" s="129"/>
      <c r="BJ87" s="125"/>
      <c r="BK87" s="119"/>
      <c r="BL87" s="119"/>
      <c r="BM87" s="77"/>
      <c r="BN87" s="86"/>
      <c r="BO87" s="86"/>
      <c r="BP87" s="85"/>
      <c r="BQ87" s="85"/>
      <c r="BR87" s="77"/>
    </row>
    <row r="88" spans="8:70" x14ac:dyDescent="0.3">
      <c r="H88" s="80"/>
      <c r="I88" s="47"/>
      <c r="J88" s="48"/>
      <c r="K88" s="48"/>
      <c r="L88" s="49"/>
      <c r="M88" s="47"/>
      <c r="N88" s="49"/>
      <c r="O88" s="49"/>
      <c r="P88" s="50"/>
      <c r="Q88" s="51"/>
      <c r="R88" s="51"/>
      <c r="S88" s="52"/>
      <c r="T88" s="52"/>
      <c r="U88" s="51"/>
      <c r="V88" s="52"/>
      <c r="W88" s="52"/>
      <c r="X88" s="98"/>
      <c r="Y88" s="99"/>
      <c r="Z88" s="99"/>
      <c r="AA88" s="100"/>
      <c r="AB88" s="100"/>
      <c r="AC88" s="100"/>
      <c r="AD88" s="53"/>
      <c r="AE88" s="54"/>
      <c r="AF88" s="54"/>
      <c r="AG88" s="55"/>
      <c r="AH88" s="55"/>
      <c r="AI88" s="55"/>
      <c r="AJ88" s="110"/>
      <c r="AK88" s="111"/>
      <c r="AL88" s="111"/>
      <c r="AM88" s="112"/>
      <c r="AN88" s="112"/>
      <c r="AO88" s="77"/>
      <c r="AP88" s="86"/>
      <c r="AQ88" s="86"/>
      <c r="AR88" s="85"/>
      <c r="AS88" s="77"/>
      <c r="AT88" s="77"/>
      <c r="AU88" s="77"/>
      <c r="AV88" s="119"/>
      <c r="AW88" s="129"/>
      <c r="AX88" s="129"/>
      <c r="AY88" s="125"/>
      <c r="AZ88" s="119"/>
      <c r="BA88" s="47"/>
      <c r="BB88" s="48"/>
      <c r="BC88" s="48"/>
      <c r="BD88" s="49"/>
      <c r="BE88" s="49"/>
      <c r="BF88" s="49"/>
      <c r="BG88" s="129"/>
      <c r="BH88" s="129"/>
      <c r="BI88" s="129"/>
      <c r="BJ88" s="125"/>
      <c r="BK88" s="119"/>
      <c r="BL88" s="119"/>
      <c r="BM88" s="77"/>
      <c r="BN88" s="86"/>
      <c r="BO88" s="86"/>
      <c r="BP88" s="85"/>
      <c r="BQ88" s="85"/>
      <c r="BR88" s="77"/>
    </row>
    <row r="89" spans="8:70" x14ac:dyDescent="0.3">
      <c r="H89" s="80"/>
      <c r="I89" s="47"/>
      <c r="J89" s="48"/>
      <c r="K89" s="48"/>
      <c r="L89" s="49"/>
      <c r="M89" s="47"/>
      <c r="N89" s="49"/>
      <c r="O89" s="49"/>
      <c r="P89" s="50"/>
      <c r="Q89" s="51"/>
      <c r="R89" s="51"/>
      <c r="S89" s="52"/>
      <c r="T89" s="52"/>
      <c r="U89" s="51"/>
      <c r="V89" s="52"/>
      <c r="W89" s="52"/>
      <c r="X89" s="98"/>
      <c r="Y89" s="99"/>
      <c r="Z89" s="99"/>
      <c r="AA89" s="100"/>
      <c r="AB89" s="100"/>
      <c r="AC89" s="100"/>
      <c r="AD89" s="53"/>
      <c r="AE89" s="54"/>
      <c r="AF89" s="54"/>
      <c r="AG89" s="55"/>
      <c r="AH89" s="55"/>
      <c r="AI89" s="55"/>
      <c r="AJ89" s="110"/>
      <c r="AK89" s="111"/>
      <c r="AL89" s="111"/>
      <c r="AM89" s="112"/>
      <c r="AN89" s="112"/>
      <c r="AO89" s="77"/>
      <c r="AP89" s="86"/>
      <c r="AQ89" s="86"/>
      <c r="AR89" s="85"/>
      <c r="AS89" s="77"/>
      <c r="AT89" s="77"/>
      <c r="AU89" s="77"/>
      <c r="AV89" s="119"/>
      <c r="AW89" s="129"/>
      <c r="AX89" s="129"/>
      <c r="AY89" s="125"/>
      <c r="AZ89" s="119"/>
      <c r="BA89" s="47"/>
      <c r="BB89" s="48"/>
      <c r="BC89" s="48"/>
      <c r="BD89" s="49"/>
      <c r="BE89" s="49"/>
      <c r="BF89" s="49"/>
      <c r="BG89" s="129"/>
      <c r="BH89" s="129"/>
      <c r="BI89" s="129"/>
      <c r="BJ89" s="125"/>
      <c r="BK89" s="119"/>
      <c r="BL89" s="119"/>
      <c r="BM89" s="77"/>
      <c r="BN89" s="86"/>
      <c r="BO89" s="86"/>
      <c r="BP89" s="85"/>
      <c r="BQ89" s="85"/>
      <c r="BR89" s="77"/>
    </row>
    <row r="90" spans="8:70" x14ac:dyDescent="0.3">
      <c r="H90" s="80"/>
      <c r="I90" s="47"/>
      <c r="J90" s="48"/>
      <c r="K90" s="48"/>
      <c r="L90" s="49"/>
      <c r="M90" s="47"/>
      <c r="N90" s="49"/>
      <c r="O90" s="49"/>
      <c r="P90" s="50"/>
      <c r="Q90" s="51"/>
      <c r="R90" s="51"/>
      <c r="S90" s="52"/>
      <c r="T90" s="52"/>
      <c r="U90" s="51"/>
      <c r="V90" s="52"/>
      <c r="W90" s="52"/>
      <c r="X90" s="98"/>
      <c r="Y90" s="99"/>
      <c r="Z90" s="99"/>
      <c r="AA90" s="100"/>
      <c r="AB90" s="100"/>
      <c r="AC90" s="100"/>
      <c r="AD90" s="53"/>
      <c r="AE90" s="54"/>
      <c r="AF90" s="54"/>
      <c r="AG90" s="55"/>
      <c r="AH90" s="55"/>
      <c r="AI90" s="55"/>
      <c r="AJ90" s="110"/>
      <c r="AK90" s="111"/>
      <c r="AL90" s="111"/>
      <c r="AM90" s="112"/>
      <c r="AN90" s="112"/>
      <c r="AO90" s="77"/>
      <c r="AP90" s="86"/>
      <c r="AQ90" s="86"/>
      <c r="AR90" s="85"/>
      <c r="AS90" s="77"/>
      <c r="AT90" s="77"/>
      <c r="AU90" s="77"/>
      <c r="AV90" s="119"/>
      <c r="AW90" s="129"/>
      <c r="AX90" s="129"/>
      <c r="AY90" s="125"/>
      <c r="AZ90" s="119"/>
      <c r="BA90" s="47"/>
      <c r="BB90" s="48"/>
      <c r="BC90" s="48"/>
      <c r="BD90" s="49"/>
      <c r="BE90" s="49"/>
      <c r="BF90" s="49"/>
      <c r="BG90" s="129"/>
      <c r="BH90" s="129"/>
      <c r="BI90" s="129"/>
      <c r="BJ90" s="125"/>
      <c r="BK90" s="119"/>
      <c r="BL90" s="119"/>
      <c r="BM90" s="77"/>
      <c r="BN90" s="86"/>
      <c r="BO90" s="86"/>
      <c r="BP90" s="85"/>
      <c r="BQ90" s="85"/>
      <c r="BR90" s="77"/>
    </row>
    <row r="91" spans="8:70" x14ac:dyDescent="0.3">
      <c r="H91" s="80"/>
      <c r="I91" s="47"/>
      <c r="J91" s="48"/>
      <c r="K91" s="48"/>
      <c r="L91" s="49"/>
      <c r="M91" s="47"/>
      <c r="N91" s="49"/>
      <c r="O91" s="49"/>
      <c r="P91" s="50"/>
      <c r="Q91" s="51"/>
      <c r="R91" s="51"/>
      <c r="S91" s="52"/>
      <c r="T91" s="52"/>
      <c r="U91" s="51"/>
      <c r="V91" s="52"/>
      <c r="W91" s="52"/>
      <c r="X91" s="98"/>
      <c r="Y91" s="99"/>
      <c r="Z91" s="99"/>
      <c r="AA91" s="100"/>
      <c r="AB91" s="100"/>
      <c r="AC91" s="100"/>
      <c r="AD91" s="53"/>
      <c r="AE91" s="54"/>
      <c r="AF91" s="54"/>
      <c r="AG91" s="55"/>
      <c r="AH91" s="55"/>
      <c r="AI91" s="55"/>
      <c r="AJ91" s="110"/>
      <c r="AK91" s="111"/>
      <c r="AL91" s="111"/>
      <c r="AM91" s="112"/>
      <c r="AN91" s="112"/>
      <c r="AO91" s="77"/>
      <c r="AP91" s="86"/>
      <c r="AQ91" s="86"/>
      <c r="AR91" s="85"/>
      <c r="AS91" s="77"/>
      <c r="AT91" s="77"/>
      <c r="AU91" s="77"/>
      <c r="AV91" s="119"/>
      <c r="AW91" s="129"/>
      <c r="AX91" s="129"/>
      <c r="AY91" s="125"/>
      <c r="AZ91" s="119"/>
      <c r="BA91" s="47"/>
      <c r="BB91" s="48"/>
      <c r="BC91" s="48"/>
      <c r="BD91" s="49"/>
      <c r="BE91" s="49"/>
      <c r="BF91" s="49"/>
      <c r="BG91" s="129"/>
      <c r="BH91" s="129"/>
      <c r="BI91" s="129"/>
      <c r="BJ91" s="125"/>
      <c r="BK91" s="119"/>
      <c r="BL91" s="119"/>
      <c r="BM91" s="77"/>
      <c r="BN91" s="86"/>
      <c r="BO91" s="86"/>
      <c r="BP91" s="85"/>
      <c r="BQ91" s="85"/>
      <c r="BR91" s="77"/>
    </row>
    <row r="92" spans="8:70" x14ac:dyDescent="0.3">
      <c r="H92" s="80"/>
      <c r="I92" s="47"/>
      <c r="J92" s="48"/>
      <c r="K92" s="48"/>
      <c r="L92" s="49"/>
      <c r="M92" s="47"/>
      <c r="N92" s="49"/>
      <c r="O92" s="49"/>
      <c r="P92" s="50"/>
      <c r="Q92" s="51"/>
      <c r="R92" s="51"/>
      <c r="S92" s="52"/>
      <c r="T92" s="52"/>
      <c r="U92" s="51"/>
      <c r="V92" s="52"/>
      <c r="W92" s="52"/>
      <c r="X92" s="98"/>
      <c r="Y92" s="99"/>
      <c r="Z92" s="99"/>
      <c r="AA92" s="100"/>
      <c r="AB92" s="100"/>
      <c r="AC92" s="100"/>
      <c r="AD92" s="53"/>
      <c r="AE92" s="54"/>
      <c r="AF92" s="54"/>
      <c r="AG92" s="55"/>
      <c r="AH92" s="55"/>
      <c r="AI92" s="55"/>
      <c r="AJ92" s="110"/>
      <c r="AK92" s="111"/>
      <c r="AL92" s="111"/>
      <c r="AM92" s="112"/>
      <c r="AN92" s="112"/>
      <c r="AO92" s="77"/>
      <c r="AP92" s="86"/>
      <c r="AQ92" s="86"/>
      <c r="AR92" s="85"/>
      <c r="AS92" s="77"/>
      <c r="AT92" s="77"/>
      <c r="AU92" s="77"/>
      <c r="AV92" s="119"/>
      <c r="AW92" s="129"/>
      <c r="AX92" s="129"/>
      <c r="AY92" s="125"/>
      <c r="AZ92" s="119"/>
      <c r="BA92" s="47"/>
      <c r="BB92" s="48"/>
      <c r="BC92" s="48"/>
      <c r="BD92" s="49"/>
      <c r="BE92" s="49"/>
      <c r="BF92" s="49"/>
      <c r="BG92" s="129"/>
      <c r="BH92" s="129"/>
      <c r="BI92" s="129"/>
      <c r="BJ92" s="125"/>
      <c r="BK92" s="119"/>
      <c r="BL92" s="119"/>
      <c r="BM92" s="77"/>
      <c r="BN92" s="86"/>
      <c r="BO92" s="86"/>
      <c r="BP92" s="85"/>
      <c r="BQ92" s="85"/>
      <c r="BR92" s="77"/>
    </row>
    <row r="93" spans="8:70" x14ac:dyDescent="0.3">
      <c r="H93" s="80"/>
      <c r="I93" s="47"/>
      <c r="J93" s="48"/>
      <c r="K93" s="48"/>
      <c r="L93" s="49"/>
      <c r="M93" s="47"/>
      <c r="N93" s="49"/>
      <c r="O93" s="49"/>
      <c r="P93" s="50"/>
      <c r="Q93" s="51"/>
      <c r="R93" s="51"/>
      <c r="S93" s="52"/>
      <c r="T93" s="52"/>
      <c r="U93" s="51"/>
      <c r="V93" s="52"/>
      <c r="W93" s="52"/>
      <c r="X93" s="98"/>
      <c r="Y93" s="99"/>
      <c r="Z93" s="99"/>
      <c r="AA93" s="100"/>
      <c r="AB93" s="100"/>
      <c r="AC93" s="100"/>
      <c r="AD93" s="53"/>
      <c r="AE93" s="54"/>
      <c r="AF93" s="54"/>
      <c r="AG93" s="55"/>
      <c r="AH93" s="55"/>
      <c r="AI93" s="55"/>
      <c r="AJ93" s="110"/>
      <c r="AK93" s="111"/>
      <c r="AL93" s="111"/>
      <c r="AM93" s="112"/>
      <c r="AN93" s="112"/>
      <c r="AO93" s="77"/>
      <c r="AP93" s="86"/>
      <c r="AQ93" s="86"/>
      <c r="AR93" s="85"/>
      <c r="AS93" s="77"/>
      <c r="AT93" s="77"/>
      <c r="AU93" s="77"/>
      <c r="AV93" s="119"/>
      <c r="AW93" s="129"/>
      <c r="AX93" s="129"/>
      <c r="AY93" s="125"/>
      <c r="AZ93" s="119"/>
      <c r="BA93" s="47"/>
      <c r="BB93" s="48"/>
      <c r="BC93" s="48"/>
      <c r="BD93" s="49"/>
      <c r="BE93" s="49"/>
      <c r="BF93" s="49"/>
      <c r="BG93" s="129"/>
      <c r="BH93" s="129"/>
      <c r="BI93" s="129"/>
      <c r="BJ93" s="125"/>
      <c r="BK93" s="119"/>
      <c r="BL93" s="119"/>
      <c r="BM93" s="77"/>
      <c r="BN93" s="86"/>
      <c r="BO93" s="86"/>
      <c r="BP93" s="85"/>
      <c r="BQ93" s="85"/>
      <c r="BR93" s="77"/>
    </row>
    <row r="94" spans="8:70" x14ac:dyDescent="0.3">
      <c r="H94" s="80"/>
      <c r="I94" s="47"/>
      <c r="J94" s="48"/>
      <c r="K94" s="48"/>
      <c r="L94" s="49"/>
      <c r="M94" s="47"/>
      <c r="N94" s="49"/>
      <c r="O94" s="49"/>
      <c r="P94" s="50"/>
      <c r="Q94" s="51"/>
      <c r="R94" s="51"/>
      <c r="S94" s="52"/>
      <c r="T94" s="52"/>
      <c r="U94" s="51"/>
      <c r="V94" s="52"/>
      <c r="W94" s="52"/>
      <c r="X94" s="98"/>
      <c r="Y94" s="99"/>
      <c r="Z94" s="99"/>
      <c r="AA94" s="100"/>
      <c r="AB94" s="100"/>
      <c r="AC94" s="100"/>
      <c r="AD94" s="53"/>
      <c r="AE94" s="54"/>
      <c r="AF94" s="54"/>
      <c r="AG94" s="55"/>
      <c r="AH94" s="55"/>
      <c r="AI94" s="55"/>
      <c r="AJ94" s="110"/>
      <c r="AK94" s="111"/>
      <c r="AL94" s="111"/>
      <c r="AM94" s="112"/>
      <c r="AN94" s="112"/>
      <c r="AO94" s="77"/>
      <c r="AP94" s="86"/>
      <c r="AQ94" s="86"/>
      <c r="AR94" s="85"/>
      <c r="AS94" s="77"/>
      <c r="AT94" s="77"/>
      <c r="AU94" s="77"/>
      <c r="AV94" s="119"/>
      <c r="AW94" s="129"/>
      <c r="AX94" s="129"/>
      <c r="AY94" s="125"/>
      <c r="AZ94" s="119"/>
      <c r="BA94" s="47"/>
      <c r="BB94" s="48"/>
      <c r="BC94" s="48"/>
      <c r="BD94" s="49"/>
      <c r="BE94" s="49"/>
      <c r="BF94" s="49"/>
      <c r="BG94" s="129"/>
      <c r="BH94" s="129"/>
      <c r="BI94" s="129"/>
      <c r="BJ94" s="125"/>
      <c r="BK94" s="119"/>
      <c r="BL94" s="119"/>
      <c r="BM94" s="77"/>
      <c r="BN94" s="86"/>
      <c r="BO94" s="86"/>
      <c r="BP94" s="85"/>
      <c r="BQ94" s="85"/>
      <c r="BR94" s="77"/>
    </row>
    <row r="95" spans="8:70" x14ac:dyDescent="0.3">
      <c r="H95" s="80"/>
      <c r="I95" s="47"/>
      <c r="J95" s="48"/>
      <c r="K95" s="48"/>
      <c r="L95" s="49"/>
      <c r="M95" s="47"/>
      <c r="N95" s="49"/>
      <c r="O95" s="49"/>
      <c r="P95" s="50"/>
      <c r="Q95" s="51"/>
      <c r="R95" s="51"/>
      <c r="S95" s="52"/>
      <c r="T95" s="52"/>
      <c r="U95" s="51"/>
      <c r="V95" s="52"/>
      <c r="W95" s="52"/>
      <c r="X95" s="98"/>
      <c r="Y95" s="99"/>
      <c r="Z95" s="99"/>
      <c r="AA95" s="100"/>
      <c r="AB95" s="100"/>
      <c r="AC95" s="100"/>
      <c r="AD95" s="53"/>
      <c r="AE95" s="54"/>
      <c r="AF95" s="54"/>
      <c r="AG95" s="55"/>
      <c r="AH95" s="55"/>
      <c r="AI95" s="55"/>
      <c r="AJ95" s="110"/>
      <c r="AK95" s="111"/>
      <c r="AL95" s="111"/>
      <c r="AM95" s="112"/>
      <c r="AN95" s="112"/>
      <c r="AO95" s="77"/>
      <c r="AP95" s="86"/>
      <c r="AQ95" s="86"/>
      <c r="AR95" s="85"/>
      <c r="AS95" s="77"/>
      <c r="AT95" s="77"/>
      <c r="AU95" s="77"/>
      <c r="AV95" s="119"/>
      <c r="AW95" s="129"/>
      <c r="AX95" s="129"/>
      <c r="AY95" s="125"/>
      <c r="AZ95" s="119"/>
      <c r="BA95" s="47"/>
      <c r="BB95" s="48"/>
      <c r="BC95" s="48"/>
      <c r="BD95" s="49"/>
      <c r="BE95" s="49"/>
      <c r="BF95" s="49"/>
      <c r="BG95" s="129"/>
      <c r="BH95" s="129"/>
      <c r="BI95" s="129"/>
      <c r="BJ95" s="125"/>
      <c r="BK95" s="119"/>
      <c r="BL95" s="119"/>
      <c r="BM95" s="77"/>
      <c r="BN95" s="86"/>
      <c r="BO95" s="86"/>
      <c r="BP95" s="85"/>
      <c r="BQ95" s="85"/>
      <c r="BR95" s="77"/>
    </row>
    <row r="96" spans="8:70" x14ac:dyDescent="0.3">
      <c r="H96" s="80"/>
      <c r="I96" s="47"/>
      <c r="J96" s="48"/>
      <c r="K96" s="48"/>
      <c r="L96" s="49"/>
      <c r="M96" s="47"/>
      <c r="N96" s="49"/>
      <c r="O96" s="49"/>
      <c r="P96" s="50"/>
      <c r="Q96" s="51"/>
      <c r="R96" s="51"/>
      <c r="S96" s="52"/>
      <c r="T96" s="52"/>
      <c r="U96" s="51"/>
      <c r="V96" s="52"/>
      <c r="W96" s="52"/>
      <c r="X96" s="98"/>
      <c r="Y96" s="99"/>
      <c r="Z96" s="99"/>
      <c r="AA96" s="100"/>
      <c r="AB96" s="100"/>
      <c r="AC96" s="100"/>
      <c r="AD96" s="53"/>
      <c r="AE96" s="54"/>
      <c r="AF96" s="54"/>
      <c r="AG96" s="55"/>
      <c r="AH96" s="55"/>
      <c r="AI96" s="55"/>
      <c r="AJ96" s="110"/>
      <c r="AK96" s="111"/>
      <c r="AL96" s="111"/>
      <c r="AM96" s="112"/>
      <c r="AN96" s="112"/>
      <c r="AO96" s="77"/>
      <c r="AP96" s="86"/>
      <c r="AQ96" s="86"/>
      <c r="AR96" s="85"/>
      <c r="AS96" s="77"/>
      <c r="AT96" s="77"/>
      <c r="AU96" s="77"/>
      <c r="AV96" s="119"/>
      <c r="AW96" s="129"/>
      <c r="AX96" s="129"/>
      <c r="AY96" s="125"/>
      <c r="AZ96" s="119"/>
      <c r="BA96" s="47"/>
      <c r="BB96" s="48"/>
      <c r="BC96" s="48"/>
      <c r="BD96" s="49"/>
      <c r="BE96" s="49"/>
      <c r="BF96" s="49"/>
      <c r="BG96" s="129"/>
      <c r="BH96" s="129"/>
      <c r="BI96" s="129"/>
      <c r="BJ96" s="125"/>
      <c r="BK96" s="119"/>
      <c r="BL96" s="119"/>
      <c r="BM96" s="77"/>
      <c r="BN96" s="86"/>
      <c r="BO96" s="86"/>
      <c r="BP96" s="85"/>
      <c r="BQ96" s="85"/>
      <c r="BR96" s="77"/>
    </row>
    <row r="97" spans="8:70" x14ac:dyDescent="0.3">
      <c r="H97" s="80"/>
      <c r="I97" s="47"/>
      <c r="J97" s="48"/>
      <c r="K97" s="48"/>
      <c r="L97" s="49"/>
      <c r="M97" s="47"/>
      <c r="N97" s="49"/>
      <c r="O97" s="49"/>
      <c r="P97" s="50"/>
      <c r="Q97" s="51"/>
      <c r="R97" s="51"/>
      <c r="S97" s="52"/>
      <c r="T97" s="52"/>
      <c r="U97" s="51"/>
      <c r="V97" s="52"/>
      <c r="W97" s="52"/>
      <c r="X97" s="98"/>
      <c r="Y97" s="99"/>
      <c r="Z97" s="99"/>
      <c r="AA97" s="100"/>
      <c r="AB97" s="100"/>
      <c r="AC97" s="100"/>
      <c r="AD97" s="53"/>
      <c r="AE97" s="54"/>
      <c r="AF97" s="54"/>
      <c r="AG97" s="55"/>
      <c r="AH97" s="55"/>
      <c r="AI97" s="55"/>
      <c r="AJ97" s="110"/>
      <c r="AK97" s="111"/>
      <c r="AL97" s="111"/>
      <c r="AM97" s="112"/>
      <c r="AN97" s="112"/>
      <c r="AO97" s="77"/>
      <c r="AP97" s="86"/>
      <c r="AQ97" s="86"/>
      <c r="AR97" s="85"/>
      <c r="AS97" s="77"/>
      <c r="AT97" s="77"/>
      <c r="AU97" s="77"/>
      <c r="AV97" s="119"/>
      <c r="AW97" s="129"/>
      <c r="AX97" s="129"/>
      <c r="AY97" s="125"/>
      <c r="AZ97" s="119"/>
      <c r="BA97" s="47"/>
      <c r="BB97" s="48"/>
      <c r="BC97" s="48"/>
      <c r="BD97" s="49"/>
      <c r="BE97" s="49"/>
      <c r="BF97" s="49"/>
      <c r="BG97" s="129"/>
      <c r="BH97" s="129"/>
      <c r="BI97" s="129"/>
      <c r="BJ97" s="125"/>
      <c r="BK97" s="119"/>
      <c r="BL97" s="119"/>
      <c r="BM97" s="77"/>
      <c r="BN97" s="86"/>
      <c r="BO97" s="86"/>
      <c r="BP97" s="85"/>
      <c r="BQ97" s="85"/>
      <c r="BR97" s="77"/>
    </row>
    <row r="98" spans="8:70" x14ac:dyDescent="0.3">
      <c r="H98" s="80"/>
      <c r="I98" s="47"/>
      <c r="J98" s="48"/>
      <c r="K98" s="48"/>
      <c r="L98" s="49"/>
      <c r="M98" s="47"/>
      <c r="N98" s="49"/>
      <c r="O98" s="49"/>
      <c r="P98" s="50"/>
      <c r="Q98" s="51"/>
      <c r="R98" s="51"/>
      <c r="S98" s="52"/>
      <c r="T98" s="52"/>
      <c r="U98" s="51"/>
      <c r="V98" s="52"/>
      <c r="W98" s="52"/>
      <c r="X98" s="98"/>
      <c r="Y98" s="99"/>
      <c r="Z98" s="99"/>
      <c r="AA98" s="100"/>
      <c r="AB98" s="100"/>
      <c r="AC98" s="100"/>
      <c r="AD98" s="53"/>
      <c r="AE98" s="54"/>
      <c r="AF98" s="54"/>
      <c r="AG98" s="55"/>
      <c r="AH98" s="55"/>
      <c r="AI98" s="55"/>
      <c r="AJ98" s="110"/>
      <c r="AK98" s="111"/>
      <c r="AL98" s="111"/>
      <c r="AM98" s="112"/>
      <c r="AN98" s="112"/>
      <c r="AO98" s="77"/>
      <c r="AP98" s="86"/>
      <c r="AQ98" s="86"/>
      <c r="AR98" s="85"/>
      <c r="AS98" s="77"/>
      <c r="AT98" s="77"/>
      <c r="AU98" s="77"/>
      <c r="AV98" s="119"/>
      <c r="AW98" s="129"/>
      <c r="AX98" s="129"/>
      <c r="AY98" s="125"/>
      <c r="AZ98" s="119"/>
      <c r="BA98" s="47"/>
      <c r="BB98" s="48"/>
      <c r="BC98" s="48"/>
      <c r="BD98" s="49"/>
      <c r="BE98" s="49"/>
      <c r="BF98" s="49"/>
      <c r="BG98" s="129"/>
      <c r="BH98" s="129"/>
      <c r="BI98" s="129"/>
      <c r="BJ98" s="125"/>
      <c r="BK98" s="119"/>
      <c r="BL98" s="119"/>
      <c r="BM98" s="77"/>
      <c r="BN98" s="86"/>
      <c r="BO98" s="86"/>
      <c r="BP98" s="85"/>
      <c r="BQ98" s="85"/>
      <c r="BR98" s="77"/>
    </row>
    <row r="99" spans="8:70" x14ac:dyDescent="0.3">
      <c r="H99" s="80"/>
      <c r="I99" s="47"/>
      <c r="J99" s="48"/>
      <c r="K99" s="48"/>
      <c r="L99" s="49"/>
      <c r="M99" s="47"/>
      <c r="N99" s="49"/>
      <c r="O99" s="49"/>
      <c r="P99" s="50"/>
      <c r="Q99" s="51"/>
      <c r="R99" s="51"/>
      <c r="S99" s="52"/>
      <c r="T99" s="52"/>
      <c r="U99" s="51"/>
      <c r="V99" s="52"/>
      <c r="W99" s="52"/>
      <c r="X99" s="98"/>
      <c r="Y99" s="99"/>
      <c r="Z99" s="99"/>
      <c r="AA99" s="100"/>
      <c r="AB99" s="100"/>
      <c r="AC99" s="100"/>
      <c r="AD99" s="53"/>
      <c r="AE99" s="54"/>
      <c r="AF99" s="54"/>
      <c r="AG99" s="55"/>
      <c r="AH99" s="55"/>
      <c r="AI99" s="55"/>
      <c r="AJ99" s="110"/>
      <c r="AK99" s="111"/>
      <c r="AL99" s="111"/>
      <c r="AM99" s="112"/>
      <c r="AN99" s="112"/>
      <c r="AO99" s="77"/>
      <c r="AP99" s="86"/>
      <c r="AQ99" s="86"/>
      <c r="AR99" s="85"/>
      <c r="AS99" s="77"/>
      <c r="AT99" s="77"/>
      <c r="AU99" s="77"/>
      <c r="AV99" s="119"/>
      <c r="AW99" s="129"/>
      <c r="AX99" s="129"/>
      <c r="AY99" s="125"/>
      <c r="AZ99" s="119"/>
      <c r="BA99" s="47"/>
      <c r="BB99" s="48"/>
      <c r="BC99" s="48"/>
      <c r="BD99" s="49"/>
      <c r="BE99" s="49"/>
      <c r="BF99" s="49"/>
      <c r="BG99" s="129"/>
      <c r="BH99" s="129"/>
      <c r="BI99" s="129"/>
      <c r="BJ99" s="125"/>
      <c r="BK99" s="119"/>
      <c r="BL99" s="119"/>
      <c r="BM99" s="77"/>
      <c r="BN99" s="86"/>
      <c r="BO99" s="86"/>
      <c r="BP99" s="85"/>
      <c r="BQ99" s="85"/>
      <c r="BR99" s="77"/>
    </row>
    <row r="100" spans="8:70" x14ac:dyDescent="0.3">
      <c r="H100" s="80"/>
      <c r="I100" s="47"/>
      <c r="J100" s="48"/>
      <c r="K100" s="48"/>
      <c r="L100" s="49"/>
      <c r="M100" s="47"/>
      <c r="N100" s="49"/>
      <c r="O100" s="49"/>
      <c r="P100" s="50"/>
      <c r="Q100" s="51"/>
      <c r="R100" s="51"/>
      <c r="S100" s="52"/>
      <c r="T100" s="52"/>
      <c r="U100" s="51"/>
      <c r="V100" s="52"/>
      <c r="W100" s="52"/>
      <c r="X100" s="98"/>
      <c r="Y100" s="99"/>
      <c r="Z100" s="99"/>
      <c r="AA100" s="100"/>
      <c r="AB100" s="100"/>
      <c r="AC100" s="100"/>
      <c r="AD100" s="53"/>
      <c r="AE100" s="54"/>
      <c r="AF100" s="54"/>
      <c r="AG100" s="55"/>
      <c r="AH100" s="55"/>
      <c r="AI100" s="55"/>
      <c r="AJ100" s="110"/>
      <c r="AK100" s="111"/>
      <c r="AL100" s="111"/>
      <c r="AM100" s="112"/>
      <c r="AN100" s="112"/>
      <c r="AO100" s="77"/>
      <c r="AP100" s="86"/>
      <c r="AQ100" s="86"/>
      <c r="AR100" s="85"/>
      <c r="AS100" s="77"/>
      <c r="AT100" s="77"/>
      <c r="AU100" s="77"/>
      <c r="AV100" s="119"/>
      <c r="AW100" s="129"/>
      <c r="AX100" s="129"/>
      <c r="AY100" s="125"/>
      <c r="AZ100" s="119"/>
      <c r="BA100" s="47"/>
      <c r="BB100" s="48"/>
      <c r="BC100" s="48"/>
      <c r="BD100" s="49"/>
      <c r="BE100" s="49"/>
      <c r="BF100" s="49"/>
      <c r="BG100" s="129"/>
      <c r="BH100" s="129"/>
      <c r="BI100" s="129"/>
      <c r="BJ100" s="125"/>
      <c r="BK100" s="119"/>
      <c r="BL100" s="119"/>
      <c r="BM100" s="77"/>
      <c r="BN100" s="86"/>
      <c r="BO100" s="86"/>
      <c r="BP100" s="85"/>
      <c r="BQ100" s="85"/>
      <c r="BR100" s="77"/>
    </row>
    <row r="101" spans="8:70" x14ac:dyDescent="0.3">
      <c r="H101" s="80"/>
      <c r="I101" s="47"/>
      <c r="J101" s="48"/>
      <c r="K101" s="48"/>
      <c r="L101" s="49"/>
      <c r="M101" s="47"/>
      <c r="N101" s="49"/>
      <c r="O101" s="49"/>
      <c r="P101" s="50"/>
      <c r="Q101" s="51"/>
      <c r="R101" s="51"/>
      <c r="S101" s="52"/>
      <c r="T101" s="52"/>
      <c r="U101" s="51"/>
      <c r="V101" s="52"/>
      <c r="W101" s="52"/>
      <c r="X101" s="98"/>
      <c r="Y101" s="99"/>
      <c r="Z101" s="99"/>
      <c r="AA101" s="100"/>
      <c r="AB101" s="100"/>
      <c r="AC101" s="100"/>
      <c r="AD101" s="53"/>
      <c r="AE101" s="54"/>
      <c r="AF101" s="54"/>
      <c r="AG101" s="55"/>
      <c r="AH101" s="55"/>
      <c r="AI101" s="55"/>
      <c r="AJ101" s="110"/>
      <c r="AK101" s="111"/>
      <c r="AL101" s="111"/>
      <c r="AM101" s="112"/>
      <c r="AN101" s="112"/>
      <c r="AO101" s="77"/>
      <c r="AP101" s="86"/>
      <c r="AQ101" s="86"/>
      <c r="AR101" s="85"/>
      <c r="AS101" s="77"/>
      <c r="AT101" s="77"/>
      <c r="AU101" s="77"/>
      <c r="AV101" s="119"/>
      <c r="AW101" s="129"/>
      <c r="AX101" s="129"/>
      <c r="AY101" s="125"/>
      <c r="AZ101" s="119"/>
      <c r="BA101" s="47"/>
      <c r="BB101" s="48"/>
      <c r="BC101" s="48"/>
      <c r="BD101" s="49"/>
      <c r="BE101" s="49"/>
      <c r="BF101" s="49"/>
      <c r="BG101" s="129"/>
      <c r="BH101" s="129"/>
      <c r="BI101" s="129"/>
      <c r="BJ101" s="125"/>
      <c r="BK101" s="119"/>
      <c r="BL101" s="119"/>
      <c r="BM101" s="77"/>
      <c r="BN101" s="86"/>
      <c r="BO101" s="86"/>
      <c r="BP101" s="85"/>
      <c r="BQ101" s="85"/>
      <c r="BR101" s="77"/>
    </row>
    <row r="102" spans="8:70" x14ac:dyDescent="0.3">
      <c r="H102" s="80"/>
      <c r="I102" s="47"/>
      <c r="J102" s="48"/>
      <c r="K102" s="48"/>
      <c r="L102" s="49"/>
      <c r="M102" s="47"/>
      <c r="N102" s="49"/>
      <c r="O102" s="49"/>
      <c r="P102" s="50"/>
      <c r="Q102" s="51"/>
      <c r="R102" s="51"/>
      <c r="S102" s="52"/>
      <c r="T102" s="52"/>
      <c r="U102" s="51"/>
      <c r="V102" s="52"/>
      <c r="W102" s="52"/>
      <c r="X102" s="98"/>
      <c r="Y102" s="99"/>
      <c r="Z102" s="99"/>
      <c r="AA102" s="100"/>
      <c r="AB102" s="100"/>
      <c r="AC102" s="100"/>
      <c r="AD102" s="53"/>
      <c r="AE102" s="54"/>
      <c r="AF102" s="54"/>
      <c r="AG102" s="55"/>
      <c r="AH102" s="55"/>
      <c r="AI102" s="55"/>
      <c r="AJ102" s="110"/>
      <c r="AK102" s="111"/>
      <c r="AL102" s="111"/>
      <c r="AM102" s="112"/>
      <c r="AN102" s="112"/>
      <c r="AO102" s="77"/>
      <c r="AP102" s="86"/>
      <c r="AQ102" s="86"/>
      <c r="AR102" s="85"/>
      <c r="AS102" s="77"/>
      <c r="AT102" s="77"/>
      <c r="AU102" s="77"/>
      <c r="AV102" s="119"/>
      <c r="AW102" s="129"/>
      <c r="AX102" s="129"/>
      <c r="AY102" s="125"/>
      <c r="AZ102" s="119"/>
      <c r="BA102" s="47"/>
      <c r="BB102" s="48"/>
      <c r="BC102" s="48"/>
      <c r="BD102" s="49"/>
      <c r="BE102" s="49"/>
      <c r="BF102" s="49"/>
      <c r="BG102" s="129"/>
      <c r="BH102" s="129"/>
      <c r="BI102" s="129"/>
      <c r="BJ102" s="125"/>
      <c r="BK102" s="119"/>
      <c r="BL102" s="119"/>
      <c r="BM102" s="77"/>
      <c r="BN102" s="86"/>
      <c r="BO102" s="86"/>
      <c r="BP102" s="85"/>
      <c r="BQ102" s="85"/>
      <c r="BR102" s="77"/>
    </row>
    <row r="103" spans="8:70" x14ac:dyDescent="0.3">
      <c r="H103" s="80"/>
      <c r="I103" s="47"/>
      <c r="J103" s="48"/>
      <c r="K103" s="48"/>
      <c r="L103" s="49"/>
      <c r="M103" s="47"/>
      <c r="N103" s="49"/>
      <c r="O103" s="49"/>
      <c r="P103" s="50"/>
      <c r="Q103" s="51"/>
      <c r="R103" s="51"/>
      <c r="S103" s="52"/>
      <c r="T103" s="52"/>
      <c r="U103" s="51"/>
      <c r="V103" s="52"/>
      <c r="W103" s="52"/>
      <c r="X103" s="98"/>
      <c r="Y103" s="99"/>
      <c r="Z103" s="99"/>
      <c r="AA103" s="100"/>
      <c r="AB103" s="100"/>
      <c r="AC103" s="100"/>
      <c r="AD103" s="53"/>
      <c r="AE103" s="54"/>
      <c r="AF103" s="54"/>
      <c r="AG103" s="55"/>
      <c r="AH103" s="55"/>
      <c r="AI103" s="55"/>
      <c r="AJ103" s="110"/>
      <c r="AK103" s="111"/>
      <c r="AL103" s="111"/>
      <c r="AM103" s="112"/>
      <c r="AN103" s="112"/>
      <c r="AO103" s="77"/>
      <c r="AP103" s="86"/>
      <c r="AQ103" s="86"/>
      <c r="AR103" s="85"/>
      <c r="AS103" s="77"/>
      <c r="AT103" s="77"/>
      <c r="AU103" s="77"/>
      <c r="AV103" s="119"/>
      <c r="AW103" s="129"/>
      <c r="AX103" s="129"/>
      <c r="AY103" s="125"/>
      <c r="AZ103" s="119"/>
      <c r="BA103" s="47"/>
      <c r="BB103" s="48"/>
      <c r="BC103" s="48"/>
      <c r="BD103" s="49"/>
      <c r="BE103" s="49"/>
      <c r="BF103" s="49"/>
      <c r="BG103" s="129"/>
      <c r="BH103" s="129"/>
      <c r="BI103" s="129"/>
      <c r="BJ103" s="125"/>
      <c r="BK103" s="119"/>
      <c r="BL103" s="119"/>
      <c r="BM103" s="77"/>
      <c r="BN103" s="86"/>
      <c r="BO103" s="86"/>
      <c r="BP103" s="85"/>
      <c r="BQ103" s="85"/>
      <c r="BR103" s="77"/>
    </row>
    <row r="104" spans="8:70" x14ac:dyDescent="0.3">
      <c r="H104" s="80"/>
      <c r="I104" s="47"/>
      <c r="J104" s="48"/>
      <c r="K104" s="48"/>
      <c r="L104" s="49"/>
      <c r="M104" s="47"/>
      <c r="N104" s="49"/>
      <c r="O104" s="49"/>
      <c r="P104" s="50"/>
      <c r="Q104" s="51"/>
      <c r="R104" s="51"/>
      <c r="S104" s="52"/>
      <c r="T104" s="52"/>
      <c r="U104" s="51"/>
      <c r="V104" s="52"/>
      <c r="W104" s="52"/>
      <c r="X104" s="98"/>
      <c r="Y104" s="99"/>
      <c r="Z104" s="99"/>
      <c r="AA104" s="100"/>
      <c r="AB104" s="100"/>
      <c r="AC104" s="100"/>
      <c r="AD104" s="53"/>
      <c r="AE104" s="54"/>
      <c r="AF104" s="54"/>
      <c r="AG104" s="55"/>
      <c r="AH104" s="55"/>
      <c r="AI104" s="55"/>
      <c r="AJ104" s="110"/>
      <c r="AK104" s="111"/>
      <c r="AL104" s="111"/>
      <c r="AM104" s="112"/>
      <c r="AN104" s="112"/>
      <c r="AO104" s="77"/>
      <c r="AP104" s="86"/>
      <c r="AQ104" s="86"/>
      <c r="AR104" s="85"/>
      <c r="AS104" s="77"/>
      <c r="AT104" s="77"/>
      <c r="AU104" s="77"/>
      <c r="AV104" s="119"/>
      <c r="AW104" s="129"/>
      <c r="AX104" s="129"/>
      <c r="AY104" s="125"/>
      <c r="AZ104" s="119"/>
      <c r="BA104" s="47"/>
      <c r="BB104" s="48"/>
      <c r="BC104" s="48"/>
      <c r="BD104" s="49"/>
      <c r="BE104" s="49"/>
      <c r="BF104" s="49"/>
      <c r="BG104" s="129"/>
      <c r="BH104" s="129"/>
      <c r="BI104" s="129"/>
      <c r="BJ104" s="125"/>
      <c r="BK104" s="119"/>
      <c r="BL104" s="119"/>
      <c r="BM104" s="77"/>
      <c r="BN104" s="86"/>
      <c r="BO104" s="86"/>
      <c r="BP104" s="85"/>
      <c r="BQ104" s="85"/>
      <c r="BR104" s="77"/>
    </row>
    <row r="105" spans="8:70" x14ac:dyDescent="0.3">
      <c r="H105" s="80"/>
      <c r="I105" s="47"/>
      <c r="J105" s="48"/>
      <c r="K105" s="48"/>
      <c r="L105" s="49"/>
      <c r="M105" s="47"/>
      <c r="N105" s="49"/>
      <c r="O105" s="49"/>
      <c r="P105" s="50"/>
      <c r="Q105" s="51"/>
      <c r="R105" s="51"/>
      <c r="S105" s="52"/>
      <c r="T105" s="52"/>
      <c r="U105" s="51"/>
      <c r="V105" s="52"/>
      <c r="W105" s="52"/>
      <c r="X105" s="98"/>
      <c r="Y105" s="99"/>
      <c r="Z105" s="99"/>
      <c r="AA105" s="100"/>
      <c r="AB105" s="100"/>
      <c r="AC105" s="100"/>
      <c r="AD105" s="53"/>
      <c r="AE105" s="54"/>
      <c r="AF105" s="54"/>
      <c r="AG105" s="55"/>
      <c r="AH105" s="55"/>
      <c r="AI105" s="55"/>
      <c r="AJ105" s="110"/>
      <c r="AK105" s="111"/>
      <c r="AL105" s="111"/>
      <c r="AM105" s="112"/>
      <c r="AN105" s="112"/>
      <c r="AO105" s="77"/>
      <c r="AP105" s="86"/>
      <c r="AQ105" s="86"/>
      <c r="AR105" s="85"/>
      <c r="AS105" s="77"/>
      <c r="AT105" s="77"/>
      <c r="AU105" s="77"/>
      <c r="AV105" s="119"/>
      <c r="AW105" s="129"/>
      <c r="AX105" s="129"/>
      <c r="AY105" s="125"/>
      <c r="AZ105" s="119"/>
      <c r="BA105" s="47"/>
      <c r="BB105" s="48"/>
      <c r="BC105" s="48"/>
      <c r="BD105" s="49"/>
      <c r="BE105" s="49"/>
      <c r="BF105" s="49"/>
      <c r="BG105" s="129"/>
      <c r="BH105" s="129"/>
      <c r="BI105" s="129"/>
      <c r="BJ105" s="125"/>
      <c r="BK105" s="119"/>
      <c r="BL105" s="119"/>
      <c r="BM105" s="77"/>
      <c r="BN105" s="86"/>
      <c r="BO105" s="86"/>
      <c r="BP105" s="85"/>
      <c r="BQ105" s="85"/>
      <c r="BR105" s="77"/>
    </row>
    <row r="106" spans="8:70" x14ac:dyDescent="0.3">
      <c r="H106" s="80"/>
      <c r="I106" s="47"/>
      <c r="J106" s="48"/>
      <c r="K106" s="48"/>
      <c r="L106" s="49"/>
      <c r="M106" s="47"/>
      <c r="N106" s="49"/>
      <c r="O106" s="49"/>
      <c r="P106" s="50"/>
      <c r="Q106" s="51"/>
      <c r="R106" s="51"/>
      <c r="S106" s="52"/>
      <c r="T106" s="52"/>
      <c r="U106" s="51"/>
      <c r="V106" s="52"/>
      <c r="W106" s="52"/>
      <c r="X106" s="98"/>
      <c r="Y106" s="99"/>
      <c r="Z106" s="99"/>
      <c r="AA106" s="100"/>
      <c r="AB106" s="100"/>
      <c r="AC106" s="100"/>
      <c r="AD106" s="53"/>
      <c r="AE106" s="54"/>
      <c r="AF106" s="54"/>
      <c r="AG106" s="55"/>
      <c r="AH106" s="55"/>
      <c r="AI106" s="55"/>
      <c r="AJ106" s="110"/>
      <c r="AK106" s="111"/>
      <c r="AL106" s="111"/>
      <c r="AM106" s="112"/>
      <c r="AN106" s="112"/>
      <c r="AO106" s="77"/>
      <c r="AP106" s="86"/>
      <c r="AQ106" s="86"/>
      <c r="AR106" s="85"/>
      <c r="AS106" s="77"/>
      <c r="AT106" s="77"/>
      <c r="AU106" s="77"/>
      <c r="AV106" s="119"/>
      <c r="AW106" s="129"/>
      <c r="AX106" s="129"/>
      <c r="AY106" s="125"/>
      <c r="AZ106" s="119"/>
      <c r="BA106" s="47"/>
      <c r="BB106" s="48"/>
      <c r="BC106" s="48"/>
      <c r="BD106" s="49"/>
      <c r="BE106" s="49"/>
      <c r="BF106" s="49"/>
      <c r="BG106" s="129"/>
      <c r="BH106" s="129"/>
      <c r="BI106" s="129"/>
      <c r="BJ106" s="125"/>
      <c r="BK106" s="119"/>
      <c r="BL106" s="119"/>
      <c r="BM106" s="77"/>
      <c r="BN106" s="86"/>
      <c r="BO106" s="86"/>
      <c r="BP106" s="85"/>
      <c r="BQ106" s="85"/>
      <c r="BR106" s="77"/>
    </row>
    <row r="107" spans="8:70" x14ac:dyDescent="0.3">
      <c r="H107" s="80"/>
      <c r="I107" s="47"/>
      <c r="J107" s="48"/>
      <c r="K107" s="48"/>
      <c r="L107" s="49"/>
      <c r="M107" s="47"/>
      <c r="N107" s="49"/>
      <c r="O107" s="49"/>
      <c r="P107" s="50"/>
      <c r="Q107" s="51"/>
      <c r="R107" s="51"/>
      <c r="S107" s="52"/>
      <c r="T107" s="52"/>
      <c r="U107" s="51"/>
      <c r="V107" s="52"/>
      <c r="W107" s="52"/>
      <c r="X107" s="98"/>
      <c r="Y107" s="99"/>
      <c r="Z107" s="99"/>
      <c r="AA107" s="100"/>
      <c r="AB107" s="100"/>
      <c r="AC107" s="100"/>
      <c r="AD107" s="53"/>
      <c r="AE107" s="54"/>
      <c r="AF107" s="54"/>
      <c r="AG107" s="55"/>
      <c r="AH107" s="55"/>
      <c r="AI107" s="55"/>
      <c r="AJ107" s="110"/>
      <c r="AK107" s="111"/>
      <c r="AL107" s="111"/>
      <c r="AM107" s="112"/>
      <c r="AN107" s="112"/>
      <c r="AO107" s="77"/>
      <c r="AP107" s="86"/>
      <c r="AQ107" s="86"/>
      <c r="AR107" s="85"/>
      <c r="AS107" s="77"/>
      <c r="AT107" s="77"/>
      <c r="AU107" s="77"/>
      <c r="AV107" s="119"/>
      <c r="AW107" s="129"/>
      <c r="AX107" s="129"/>
      <c r="AY107" s="125"/>
      <c r="AZ107" s="119"/>
      <c r="BA107" s="47"/>
      <c r="BB107" s="48"/>
      <c r="BC107" s="48"/>
      <c r="BD107" s="49"/>
      <c r="BE107" s="49"/>
      <c r="BF107" s="49"/>
      <c r="BG107" s="129"/>
      <c r="BH107" s="129"/>
      <c r="BI107" s="129"/>
      <c r="BJ107" s="125"/>
      <c r="BK107" s="119"/>
      <c r="BL107" s="119"/>
      <c r="BM107" s="77"/>
      <c r="BN107" s="86"/>
      <c r="BO107" s="86"/>
      <c r="BP107" s="85"/>
      <c r="BQ107" s="85"/>
      <c r="BR107" s="77"/>
    </row>
    <row r="108" spans="8:70" x14ac:dyDescent="0.3">
      <c r="H108" s="80"/>
      <c r="I108" s="47"/>
      <c r="J108" s="48"/>
      <c r="K108" s="48"/>
      <c r="L108" s="49"/>
      <c r="M108" s="47"/>
      <c r="N108" s="49"/>
      <c r="O108" s="49"/>
      <c r="P108" s="50"/>
      <c r="Q108" s="51"/>
      <c r="R108" s="51"/>
      <c r="S108" s="52"/>
      <c r="T108" s="52"/>
      <c r="U108" s="51"/>
      <c r="V108" s="52"/>
      <c r="W108" s="52"/>
      <c r="X108" s="98"/>
      <c r="Y108" s="99"/>
      <c r="Z108" s="99"/>
      <c r="AA108" s="100"/>
      <c r="AB108" s="100"/>
      <c r="AC108" s="100"/>
      <c r="AD108" s="53"/>
      <c r="AE108" s="54"/>
      <c r="AF108" s="54"/>
      <c r="AG108" s="55"/>
      <c r="AH108" s="55"/>
      <c r="AI108" s="55"/>
      <c r="AJ108" s="110"/>
      <c r="AK108" s="111"/>
      <c r="AL108" s="111"/>
      <c r="AM108" s="112"/>
      <c r="AN108" s="112"/>
      <c r="AO108" s="77"/>
      <c r="AP108" s="86"/>
      <c r="AQ108" s="86"/>
      <c r="AR108" s="85"/>
      <c r="AS108" s="77"/>
      <c r="AT108" s="77"/>
      <c r="AU108" s="77"/>
      <c r="AV108" s="119"/>
      <c r="AW108" s="129"/>
      <c r="AX108" s="129"/>
      <c r="AY108" s="125"/>
      <c r="AZ108" s="119"/>
      <c r="BA108" s="47"/>
      <c r="BB108" s="48"/>
      <c r="BC108" s="48"/>
      <c r="BD108" s="49"/>
      <c r="BE108" s="49"/>
      <c r="BF108" s="49"/>
      <c r="BG108" s="129"/>
      <c r="BH108" s="129"/>
      <c r="BI108" s="129"/>
      <c r="BJ108" s="125"/>
      <c r="BK108" s="119"/>
      <c r="BL108" s="119"/>
      <c r="BM108" s="77"/>
      <c r="BN108" s="86"/>
      <c r="BO108" s="86"/>
      <c r="BP108" s="85"/>
      <c r="BQ108" s="85"/>
      <c r="BR108" s="77"/>
    </row>
    <row r="109" spans="8:70" x14ac:dyDescent="0.3">
      <c r="H109" s="80"/>
      <c r="I109" s="47"/>
      <c r="J109" s="48"/>
      <c r="K109" s="48"/>
      <c r="L109" s="49"/>
      <c r="M109" s="47"/>
      <c r="N109" s="49"/>
      <c r="O109" s="49"/>
      <c r="P109" s="50"/>
      <c r="Q109" s="51"/>
      <c r="R109" s="51"/>
      <c r="S109" s="52"/>
      <c r="T109" s="52"/>
      <c r="U109" s="51"/>
      <c r="V109" s="52"/>
      <c r="W109" s="52"/>
      <c r="X109" s="98"/>
      <c r="Y109" s="99"/>
      <c r="Z109" s="99"/>
      <c r="AA109" s="100"/>
      <c r="AB109" s="100"/>
      <c r="AC109" s="100"/>
      <c r="AD109" s="53"/>
      <c r="AE109" s="54"/>
      <c r="AF109" s="54"/>
      <c r="AG109" s="55"/>
      <c r="AH109" s="55"/>
      <c r="AI109" s="55"/>
      <c r="AJ109" s="110"/>
      <c r="AK109" s="111"/>
      <c r="AL109" s="111"/>
      <c r="AM109" s="112"/>
      <c r="AN109" s="112"/>
      <c r="AO109" s="77"/>
      <c r="AP109" s="86"/>
      <c r="AQ109" s="86"/>
      <c r="AR109" s="85"/>
      <c r="AS109" s="77"/>
      <c r="AT109" s="77"/>
      <c r="AU109" s="77"/>
      <c r="AV109" s="119"/>
      <c r="AW109" s="129"/>
      <c r="AX109" s="129"/>
      <c r="AY109" s="125"/>
      <c r="AZ109" s="119"/>
      <c r="BA109" s="47"/>
      <c r="BB109" s="48"/>
      <c r="BC109" s="48"/>
      <c r="BD109" s="49"/>
      <c r="BE109" s="49"/>
      <c r="BF109" s="49"/>
      <c r="BG109" s="129"/>
      <c r="BH109" s="129"/>
      <c r="BI109" s="129"/>
      <c r="BJ109" s="125"/>
      <c r="BK109" s="119"/>
      <c r="BL109" s="119"/>
      <c r="BM109" s="77"/>
      <c r="BN109" s="86"/>
      <c r="BO109" s="86"/>
      <c r="BP109" s="85"/>
      <c r="BQ109" s="85"/>
      <c r="BR109" s="77"/>
    </row>
    <row r="110" spans="8:70" x14ac:dyDescent="0.3">
      <c r="H110" s="80"/>
      <c r="I110" s="47"/>
      <c r="J110" s="48"/>
      <c r="K110" s="48"/>
      <c r="L110" s="49"/>
      <c r="M110" s="47"/>
      <c r="N110" s="49"/>
      <c r="O110" s="49"/>
      <c r="P110" s="50"/>
      <c r="Q110" s="51"/>
      <c r="R110" s="51"/>
      <c r="S110" s="52"/>
      <c r="T110" s="52"/>
      <c r="U110" s="51"/>
      <c r="V110" s="52"/>
      <c r="W110" s="52"/>
      <c r="X110" s="98"/>
      <c r="Y110" s="99"/>
      <c r="Z110" s="99"/>
      <c r="AA110" s="100"/>
      <c r="AB110" s="100"/>
      <c r="AC110" s="100"/>
      <c r="AD110" s="53"/>
      <c r="AE110" s="54"/>
      <c r="AF110" s="54"/>
      <c r="AG110" s="55"/>
      <c r="AH110" s="55"/>
      <c r="AI110" s="55"/>
      <c r="AJ110" s="110"/>
      <c r="AK110" s="111"/>
      <c r="AL110" s="111"/>
      <c r="AM110" s="112"/>
      <c r="AN110" s="112"/>
      <c r="AO110" s="77"/>
      <c r="AP110" s="86"/>
      <c r="AQ110" s="86"/>
      <c r="AR110" s="85"/>
      <c r="AS110" s="77"/>
      <c r="AT110" s="77"/>
      <c r="AU110" s="77"/>
      <c r="AV110" s="119"/>
      <c r="AW110" s="129"/>
      <c r="AX110" s="129"/>
      <c r="AY110" s="125"/>
      <c r="AZ110" s="119"/>
      <c r="BA110" s="47"/>
      <c r="BB110" s="48"/>
      <c r="BC110" s="48"/>
      <c r="BD110" s="49"/>
      <c r="BE110" s="49"/>
      <c r="BF110" s="49"/>
      <c r="BG110" s="129"/>
      <c r="BH110" s="129"/>
      <c r="BI110" s="129"/>
      <c r="BJ110" s="125"/>
      <c r="BK110" s="119"/>
      <c r="BL110" s="119"/>
      <c r="BM110" s="77"/>
      <c r="BN110" s="86"/>
      <c r="BO110" s="86"/>
      <c r="BP110" s="85"/>
      <c r="BQ110" s="85"/>
      <c r="BR110" s="77"/>
    </row>
    <row r="111" spans="8:70" x14ac:dyDescent="0.3">
      <c r="H111" s="80"/>
      <c r="I111" s="47"/>
      <c r="J111" s="48"/>
      <c r="K111" s="48"/>
      <c r="L111" s="49"/>
      <c r="M111" s="47"/>
      <c r="N111" s="49"/>
      <c r="O111" s="49"/>
      <c r="P111" s="50"/>
      <c r="Q111" s="51"/>
      <c r="R111" s="51"/>
      <c r="S111" s="52"/>
      <c r="T111" s="52"/>
      <c r="U111" s="51"/>
      <c r="V111" s="52"/>
      <c r="W111" s="52"/>
      <c r="X111" s="98"/>
      <c r="Y111" s="99"/>
      <c r="Z111" s="99"/>
      <c r="AA111" s="100"/>
      <c r="AB111" s="100"/>
      <c r="AC111" s="100"/>
      <c r="AD111" s="53"/>
      <c r="AE111" s="54"/>
      <c r="AF111" s="54"/>
      <c r="AG111" s="55"/>
      <c r="AH111" s="55"/>
      <c r="AI111" s="55"/>
      <c r="AJ111" s="110"/>
      <c r="AK111" s="111"/>
      <c r="AL111" s="111"/>
      <c r="AM111" s="112"/>
      <c r="AN111" s="112"/>
      <c r="AO111" s="77"/>
      <c r="AP111" s="86"/>
      <c r="AQ111" s="86"/>
      <c r="AR111" s="85"/>
      <c r="AS111" s="77"/>
      <c r="AT111" s="77"/>
      <c r="AU111" s="77"/>
      <c r="AV111" s="119"/>
      <c r="AW111" s="129"/>
      <c r="AX111" s="129"/>
      <c r="AY111" s="125"/>
      <c r="AZ111" s="119"/>
      <c r="BA111" s="47"/>
      <c r="BB111" s="48"/>
      <c r="BC111" s="48"/>
      <c r="BD111" s="49"/>
      <c r="BE111" s="49"/>
      <c r="BF111" s="49"/>
      <c r="BG111" s="129"/>
      <c r="BH111" s="129"/>
      <c r="BI111" s="129"/>
      <c r="BJ111" s="125"/>
      <c r="BK111" s="119"/>
      <c r="BL111" s="119"/>
      <c r="BM111" s="77"/>
      <c r="BN111" s="86"/>
      <c r="BO111" s="86"/>
      <c r="BP111" s="85"/>
      <c r="BQ111" s="85"/>
      <c r="BR111" s="77"/>
    </row>
    <row r="112" spans="8:70" x14ac:dyDescent="0.3">
      <c r="H112" s="80"/>
      <c r="I112" s="47"/>
      <c r="J112" s="48"/>
      <c r="K112" s="48"/>
      <c r="L112" s="49"/>
      <c r="M112" s="47"/>
      <c r="N112" s="49"/>
      <c r="O112" s="49"/>
      <c r="P112" s="50"/>
      <c r="Q112" s="51"/>
      <c r="R112" s="51"/>
      <c r="S112" s="52"/>
      <c r="T112" s="52"/>
      <c r="U112" s="51"/>
      <c r="V112" s="52"/>
      <c r="W112" s="52"/>
      <c r="X112" s="98"/>
      <c r="Y112" s="99"/>
      <c r="Z112" s="99"/>
      <c r="AA112" s="100"/>
      <c r="AB112" s="100"/>
      <c r="AC112" s="100"/>
      <c r="AD112" s="53"/>
      <c r="AE112" s="54"/>
      <c r="AF112" s="54"/>
      <c r="AG112" s="55"/>
      <c r="AH112" s="55"/>
      <c r="AI112" s="55"/>
      <c r="AJ112" s="110"/>
      <c r="AK112" s="111"/>
      <c r="AL112" s="111"/>
      <c r="AM112" s="112"/>
      <c r="AN112" s="112"/>
      <c r="AO112" s="77"/>
      <c r="AP112" s="86"/>
      <c r="AQ112" s="86"/>
      <c r="AR112" s="85"/>
      <c r="AS112" s="77"/>
      <c r="AT112" s="77"/>
      <c r="AU112" s="77"/>
      <c r="AV112" s="119"/>
      <c r="AW112" s="129"/>
      <c r="AX112" s="129"/>
      <c r="AY112" s="125"/>
      <c r="AZ112" s="119"/>
      <c r="BA112" s="47"/>
      <c r="BB112" s="48"/>
      <c r="BC112" s="48"/>
      <c r="BD112" s="49"/>
      <c r="BE112" s="49"/>
      <c r="BF112" s="49"/>
      <c r="BG112" s="129"/>
      <c r="BH112" s="129"/>
      <c r="BI112" s="129"/>
      <c r="BJ112" s="125"/>
      <c r="BK112" s="119"/>
      <c r="BL112" s="119"/>
      <c r="BM112" s="77"/>
      <c r="BN112" s="86"/>
      <c r="BO112" s="86"/>
      <c r="BP112" s="85"/>
      <c r="BQ112" s="85"/>
      <c r="BR112" s="77"/>
    </row>
    <row r="113" spans="8:70" x14ac:dyDescent="0.3">
      <c r="H113" s="80"/>
      <c r="I113" s="47"/>
      <c r="J113" s="48"/>
      <c r="K113" s="48"/>
      <c r="L113" s="49"/>
      <c r="M113" s="47"/>
      <c r="N113" s="49"/>
      <c r="O113" s="49"/>
      <c r="P113" s="50"/>
      <c r="Q113" s="51"/>
      <c r="R113" s="51"/>
      <c r="S113" s="52"/>
      <c r="T113" s="52"/>
      <c r="U113" s="51"/>
      <c r="V113" s="52"/>
      <c r="W113" s="52"/>
      <c r="X113" s="98"/>
      <c r="Y113" s="99"/>
      <c r="Z113" s="99"/>
      <c r="AA113" s="100"/>
      <c r="AB113" s="100"/>
      <c r="AC113" s="100"/>
      <c r="AD113" s="53"/>
      <c r="AE113" s="54"/>
      <c r="AF113" s="54"/>
      <c r="AG113" s="55"/>
      <c r="AH113" s="55"/>
      <c r="AI113" s="55"/>
      <c r="AJ113" s="110"/>
      <c r="AK113" s="111"/>
      <c r="AL113" s="111"/>
      <c r="AM113" s="112"/>
      <c r="AN113" s="112"/>
      <c r="AO113" s="77"/>
      <c r="AP113" s="86"/>
      <c r="AQ113" s="86"/>
      <c r="AR113" s="85"/>
      <c r="AS113" s="77"/>
      <c r="AT113" s="77"/>
      <c r="AU113" s="77"/>
      <c r="AV113" s="119"/>
      <c r="AW113" s="129"/>
      <c r="AX113" s="129"/>
      <c r="AY113" s="125"/>
      <c r="AZ113" s="119"/>
      <c r="BA113" s="47"/>
      <c r="BB113" s="48"/>
      <c r="BC113" s="48"/>
      <c r="BD113" s="49"/>
      <c r="BE113" s="49"/>
      <c r="BF113" s="49"/>
      <c r="BG113" s="129"/>
      <c r="BH113" s="129"/>
      <c r="BI113" s="129"/>
      <c r="BJ113" s="125"/>
      <c r="BK113" s="119"/>
      <c r="BL113" s="119"/>
      <c r="BM113" s="77"/>
      <c r="BN113" s="86"/>
      <c r="BO113" s="86"/>
      <c r="BP113" s="85"/>
      <c r="BQ113" s="85"/>
      <c r="BR113" s="77"/>
    </row>
    <row r="114" spans="8:70" x14ac:dyDescent="0.3">
      <c r="H114" s="80"/>
      <c r="I114" s="47"/>
      <c r="J114" s="48"/>
      <c r="K114" s="48"/>
      <c r="L114" s="49"/>
      <c r="M114" s="47"/>
      <c r="N114" s="49"/>
      <c r="O114" s="49"/>
      <c r="P114" s="50"/>
      <c r="Q114" s="51"/>
      <c r="R114" s="51"/>
      <c r="S114" s="52"/>
      <c r="T114" s="52"/>
      <c r="U114" s="51"/>
      <c r="V114" s="52"/>
      <c r="W114" s="52"/>
      <c r="X114" s="98"/>
      <c r="Y114" s="99"/>
      <c r="Z114" s="99"/>
      <c r="AA114" s="100"/>
      <c r="AB114" s="100"/>
      <c r="AC114" s="100"/>
      <c r="AD114" s="53"/>
      <c r="AE114" s="54"/>
      <c r="AF114" s="54"/>
      <c r="AG114" s="55"/>
      <c r="AH114" s="55"/>
      <c r="AI114" s="55"/>
      <c r="AJ114" s="110"/>
      <c r="AK114" s="111"/>
      <c r="AL114" s="111"/>
      <c r="AM114" s="112"/>
      <c r="AN114" s="112"/>
      <c r="AO114" s="77"/>
      <c r="AP114" s="86"/>
      <c r="AQ114" s="86"/>
      <c r="AR114" s="85"/>
      <c r="AS114" s="77"/>
      <c r="AT114" s="77"/>
      <c r="AU114" s="77"/>
      <c r="AV114" s="119"/>
      <c r="AW114" s="129"/>
      <c r="AX114" s="129"/>
      <c r="AY114" s="125"/>
      <c r="AZ114" s="119"/>
      <c r="BA114" s="47"/>
      <c r="BB114" s="48"/>
      <c r="BC114" s="48"/>
      <c r="BD114" s="49"/>
      <c r="BE114" s="49"/>
      <c r="BF114" s="49"/>
      <c r="BG114" s="129"/>
      <c r="BH114" s="129"/>
      <c r="BI114" s="129"/>
      <c r="BJ114" s="125"/>
      <c r="BK114" s="119"/>
      <c r="BL114" s="119"/>
      <c r="BM114" s="77"/>
      <c r="BN114" s="86"/>
      <c r="BO114" s="86"/>
      <c r="BP114" s="85"/>
      <c r="BQ114" s="85"/>
      <c r="BR114" s="77"/>
    </row>
    <row r="115" spans="8:70" x14ac:dyDescent="0.3">
      <c r="H115" s="80"/>
      <c r="I115" s="47"/>
      <c r="J115" s="48"/>
      <c r="K115" s="48"/>
      <c r="L115" s="49"/>
      <c r="M115" s="47"/>
      <c r="N115" s="49"/>
      <c r="O115" s="49"/>
      <c r="P115" s="50"/>
      <c r="Q115" s="51"/>
      <c r="R115" s="51"/>
      <c r="S115" s="52"/>
      <c r="T115" s="52"/>
      <c r="U115" s="51"/>
      <c r="V115" s="52"/>
      <c r="W115" s="52"/>
      <c r="X115" s="98"/>
      <c r="Y115" s="99"/>
      <c r="Z115" s="99"/>
      <c r="AA115" s="100"/>
      <c r="AB115" s="100"/>
      <c r="AC115" s="100"/>
      <c r="AD115" s="53"/>
      <c r="AE115" s="54"/>
      <c r="AF115" s="54"/>
      <c r="AG115" s="55"/>
      <c r="AH115" s="55"/>
      <c r="AI115" s="55"/>
      <c r="AJ115" s="110"/>
      <c r="AK115" s="111"/>
      <c r="AL115" s="111"/>
      <c r="AM115" s="112"/>
      <c r="AN115" s="112"/>
      <c r="AO115" s="77"/>
      <c r="AP115" s="86"/>
      <c r="AQ115" s="86"/>
      <c r="AR115" s="85"/>
      <c r="AS115" s="77"/>
      <c r="AT115" s="77"/>
      <c r="AU115" s="77"/>
      <c r="AV115" s="119"/>
      <c r="AW115" s="129"/>
      <c r="AX115" s="129"/>
      <c r="AY115" s="125"/>
      <c r="AZ115" s="119"/>
      <c r="BA115" s="47"/>
      <c r="BB115" s="48"/>
      <c r="BC115" s="48"/>
      <c r="BD115" s="49"/>
      <c r="BE115" s="49"/>
      <c r="BF115" s="49"/>
      <c r="BG115" s="129"/>
      <c r="BH115" s="129"/>
      <c r="BI115" s="129"/>
      <c r="BJ115" s="125"/>
      <c r="BK115" s="119"/>
      <c r="BL115" s="119"/>
      <c r="BM115" s="77"/>
      <c r="BN115" s="86"/>
      <c r="BO115" s="86"/>
      <c r="BP115" s="85"/>
      <c r="BQ115" s="85"/>
      <c r="BR115" s="77"/>
    </row>
    <row r="116" spans="8:70" x14ac:dyDescent="0.3">
      <c r="H116" s="80"/>
      <c r="I116" s="47"/>
      <c r="J116" s="48"/>
      <c r="K116" s="48"/>
      <c r="L116" s="49"/>
      <c r="M116" s="47"/>
      <c r="N116" s="49"/>
      <c r="O116" s="49"/>
      <c r="P116" s="50"/>
      <c r="Q116" s="51"/>
      <c r="R116" s="51"/>
      <c r="S116" s="52"/>
      <c r="T116" s="52"/>
      <c r="U116" s="51"/>
      <c r="V116" s="52"/>
      <c r="W116" s="52"/>
      <c r="X116" s="98"/>
      <c r="Y116" s="99"/>
      <c r="Z116" s="99"/>
      <c r="AA116" s="100"/>
      <c r="AB116" s="100"/>
      <c r="AC116" s="100"/>
      <c r="AD116" s="53"/>
      <c r="AE116" s="54"/>
      <c r="AF116" s="54"/>
      <c r="AG116" s="55"/>
      <c r="AH116" s="55"/>
      <c r="AI116" s="55"/>
      <c r="AJ116" s="110"/>
      <c r="AK116" s="111"/>
      <c r="AL116" s="111"/>
      <c r="AM116" s="112"/>
      <c r="AN116" s="112"/>
      <c r="AO116" s="77"/>
      <c r="AP116" s="86"/>
      <c r="AQ116" s="86"/>
      <c r="AR116" s="85"/>
      <c r="AS116" s="77"/>
      <c r="AT116" s="77"/>
      <c r="AU116" s="77"/>
      <c r="AV116" s="119"/>
      <c r="AW116" s="129"/>
      <c r="AX116" s="129"/>
      <c r="AY116" s="125"/>
      <c r="AZ116" s="119"/>
      <c r="BA116" s="47"/>
      <c r="BB116" s="48"/>
      <c r="BC116" s="48"/>
      <c r="BD116" s="49"/>
      <c r="BE116" s="49"/>
      <c r="BF116" s="49"/>
      <c r="BG116" s="129"/>
      <c r="BH116" s="129"/>
      <c r="BI116" s="129"/>
      <c r="BJ116" s="125"/>
      <c r="BK116" s="119"/>
      <c r="BL116" s="119"/>
      <c r="BM116" s="77"/>
      <c r="BN116" s="86"/>
      <c r="BO116" s="86"/>
      <c r="BP116" s="85"/>
      <c r="BQ116" s="85"/>
      <c r="BR116" s="77"/>
    </row>
    <row r="117" spans="8:70" x14ac:dyDescent="0.3">
      <c r="H117" s="80"/>
      <c r="I117" s="47"/>
      <c r="J117" s="48"/>
      <c r="K117" s="48"/>
      <c r="L117" s="49"/>
      <c r="M117" s="47"/>
      <c r="N117" s="49"/>
      <c r="O117" s="49"/>
      <c r="P117" s="50"/>
      <c r="Q117" s="51"/>
      <c r="R117" s="51"/>
      <c r="S117" s="52"/>
      <c r="T117" s="52"/>
      <c r="U117" s="51"/>
      <c r="V117" s="52"/>
      <c r="W117" s="52"/>
      <c r="X117" s="98"/>
      <c r="Y117" s="99"/>
      <c r="Z117" s="99"/>
      <c r="AA117" s="100"/>
      <c r="AB117" s="100"/>
      <c r="AC117" s="100"/>
      <c r="AD117" s="53"/>
      <c r="AE117" s="54"/>
      <c r="AF117" s="54"/>
      <c r="AG117" s="55"/>
      <c r="AH117" s="55"/>
      <c r="AI117" s="55"/>
      <c r="AJ117" s="110"/>
      <c r="AK117" s="111"/>
      <c r="AL117" s="111"/>
      <c r="AM117" s="112"/>
      <c r="AN117" s="112"/>
      <c r="AO117" s="77"/>
      <c r="AP117" s="86"/>
      <c r="AQ117" s="86"/>
      <c r="AR117" s="85"/>
      <c r="AS117" s="77"/>
      <c r="AT117" s="77"/>
      <c r="AU117" s="77"/>
      <c r="AV117" s="119"/>
      <c r="AW117" s="129"/>
      <c r="AX117" s="129"/>
      <c r="AY117" s="125"/>
      <c r="AZ117" s="119"/>
      <c r="BA117" s="47"/>
      <c r="BB117" s="48"/>
      <c r="BC117" s="48"/>
      <c r="BD117" s="49"/>
      <c r="BE117" s="49"/>
      <c r="BF117" s="49"/>
      <c r="BG117" s="129"/>
      <c r="BH117" s="129"/>
      <c r="BI117" s="129"/>
      <c r="BJ117" s="125"/>
      <c r="BK117" s="119"/>
      <c r="BL117" s="119"/>
      <c r="BM117" s="77"/>
      <c r="BN117" s="86"/>
      <c r="BO117" s="86"/>
      <c r="BP117" s="85"/>
      <c r="BQ117" s="85"/>
      <c r="BR117" s="77"/>
    </row>
    <row r="118" spans="8:70" x14ac:dyDescent="0.3">
      <c r="H118" s="80"/>
      <c r="I118" s="47"/>
      <c r="J118" s="48"/>
      <c r="K118" s="48"/>
      <c r="L118" s="49"/>
      <c r="M118" s="47"/>
      <c r="N118" s="49"/>
      <c r="O118" s="49"/>
      <c r="P118" s="50"/>
      <c r="Q118" s="51"/>
      <c r="R118" s="51"/>
      <c r="S118" s="52"/>
      <c r="T118" s="52"/>
      <c r="U118" s="51"/>
      <c r="V118" s="52"/>
      <c r="W118" s="52"/>
      <c r="X118" s="98"/>
      <c r="Y118" s="99"/>
      <c r="Z118" s="99"/>
      <c r="AA118" s="100"/>
      <c r="AB118" s="100"/>
      <c r="AC118" s="100"/>
      <c r="AD118" s="53"/>
      <c r="AE118" s="54"/>
      <c r="AF118" s="54"/>
      <c r="AG118" s="55"/>
      <c r="AH118" s="55"/>
      <c r="AI118" s="55"/>
      <c r="AJ118" s="110"/>
      <c r="AK118" s="111"/>
      <c r="AL118" s="111"/>
      <c r="AM118" s="112"/>
      <c r="AN118" s="112"/>
      <c r="AO118" s="77"/>
      <c r="AP118" s="86"/>
      <c r="AQ118" s="86"/>
      <c r="AR118" s="85"/>
      <c r="AS118" s="77"/>
      <c r="AT118" s="77"/>
      <c r="AU118" s="77"/>
      <c r="AV118" s="119"/>
      <c r="AW118" s="129"/>
      <c r="AX118" s="129"/>
      <c r="AY118" s="125"/>
      <c r="AZ118" s="119"/>
      <c r="BA118" s="47"/>
      <c r="BB118" s="48"/>
      <c r="BC118" s="48"/>
      <c r="BD118" s="49"/>
      <c r="BE118" s="49"/>
      <c r="BF118" s="49"/>
      <c r="BG118" s="129"/>
      <c r="BH118" s="129"/>
      <c r="BI118" s="129"/>
      <c r="BJ118" s="125"/>
      <c r="BK118" s="119"/>
      <c r="BL118" s="119"/>
      <c r="BM118" s="77"/>
      <c r="BN118" s="86"/>
      <c r="BO118" s="86"/>
      <c r="BP118" s="85"/>
      <c r="BQ118" s="85"/>
      <c r="BR118" s="77"/>
    </row>
    <row r="119" spans="8:70" x14ac:dyDescent="0.3">
      <c r="H119" s="80"/>
      <c r="I119" s="47"/>
      <c r="J119" s="48"/>
      <c r="K119" s="48"/>
      <c r="L119" s="49"/>
      <c r="M119" s="47"/>
      <c r="N119" s="49"/>
      <c r="O119" s="49"/>
      <c r="P119" s="50"/>
      <c r="Q119" s="51"/>
      <c r="R119" s="51"/>
      <c r="S119" s="52"/>
      <c r="T119" s="52"/>
      <c r="U119" s="51"/>
      <c r="V119" s="52"/>
      <c r="W119" s="52"/>
      <c r="X119" s="98"/>
      <c r="Y119" s="99"/>
      <c r="Z119" s="99"/>
      <c r="AA119" s="100"/>
      <c r="AB119" s="100"/>
      <c r="AC119" s="100"/>
      <c r="AD119" s="53"/>
      <c r="AE119" s="54"/>
      <c r="AF119" s="54"/>
      <c r="AG119" s="55"/>
      <c r="AH119" s="55"/>
      <c r="AI119" s="55"/>
      <c r="AJ119" s="110"/>
      <c r="AK119" s="111"/>
      <c r="AL119" s="111"/>
      <c r="AM119" s="112"/>
      <c r="AN119" s="112"/>
      <c r="AO119" s="77"/>
      <c r="AP119" s="86"/>
      <c r="AQ119" s="86"/>
      <c r="AR119" s="85"/>
      <c r="AS119" s="77"/>
      <c r="AT119" s="77"/>
      <c r="AU119" s="77"/>
      <c r="AV119" s="119"/>
      <c r="AW119" s="129"/>
      <c r="AX119" s="129"/>
      <c r="AY119" s="125"/>
      <c r="AZ119" s="119"/>
      <c r="BA119" s="47"/>
      <c r="BB119" s="48"/>
      <c r="BC119" s="48"/>
      <c r="BD119" s="49"/>
      <c r="BE119" s="49"/>
      <c r="BF119" s="49"/>
      <c r="BG119" s="129"/>
      <c r="BH119" s="129"/>
      <c r="BI119" s="129"/>
      <c r="BJ119" s="125"/>
      <c r="BK119" s="119"/>
      <c r="BL119" s="119"/>
      <c r="BM119" s="77"/>
      <c r="BN119" s="86"/>
      <c r="BO119" s="86"/>
      <c r="BP119" s="85"/>
      <c r="BQ119" s="85"/>
      <c r="BR119" s="77"/>
    </row>
    <row r="120" spans="8:70" x14ac:dyDescent="0.3">
      <c r="H120" s="80"/>
      <c r="I120" s="47"/>
      <c r="J120" s="48"/>
      <c r="K120" s="48"/>
      <c r="L120" s="49"/>
      <c r="M120" s="47"/>
      <c r="N120" s="49"/>
      <c r="O120" s="49"/>
      <c r="P120" s="50"/>
      <c r="Q120" s="51"/>
      <c r="R120" s="51"/>
      <c r="S120" s="52"/>
      <c r="T120" s="52"/>
      <c r="U120" s="51"/>
      <c r="V120" s="52"/>
      <c r="W120" s="52"/>
      <c r="X120" s="98"/>
      <c r="Y120" s="99"/>
      <c r="Z120" s="99"/>
      <c r="AA120" s="100"/>
      <c r="AB120" s="100"/>
      <c r="AC120" s="100"/>
      <c r="AD120" s="53"/>
      <c r="AE120" s="54"/>
      <c r="AF120" s="54"/>
      <c r="AG120" s="55"/>
      <c r="AH120" s="55"/>
      <c r="AI120" s="55"/>
      <c r="AJ120" s="110"/>
      <c r="AK120" s="111"/>
      <c r="AL120" s="111"/>
      <c r="AM120" s="112"/>
      <c r="AN120" s="112"/>
      <c r="AO120" s="77"/>
      <c r="AP120" s="86"/>
      <c r="AQ120" s="86"/>
      <c r="AR120" s="85"/>
      <c r="AS120" s="77"/>
      <c r="AT120" s="77"/>
      <c r="AU120" s="77"/>
      <c r="AV120" s="119"/>
      <c r="AW120" s="129"/>
      <c r="AX120" s="129"/>
      <c r="AY120" s="125"/>
      <c r="AZ120" s="119"/>
      <c r="BA120" s="47"/>
      <c r="BB120" s="48"/>
      <c r="BC120" s="48"/>
      <c r="BD120" s="49"/>
      <c r="BE120" s="49"/>
      <c r="BF120" s="49"/>
      <c r="BG120" s="129"/>
      <c r="BH120" s="129"/>
      <c r="BI120" s="129"/>
      <c r="BJ120" s="125"/>
      <c r="BK120" s="119"/>
      <c r="BL120" s="119"/>
      <c r="BM120" s="77"/>
      <c r="BN120" s="86"/>
      <c r="BO120" s="86"/>
      <c r="BP120" s="85"/>
      <c r="BQ120" s="85"/>
      <c r="BR120" s="77"/>
    </row>
    <row r="121" spans="8:70" x14ac:dyDescent="0.3">
      <c r="H121" s="80"/>
      <c r="I121" s="47"/>
      <c r="J121" s="48"/>
      <c r="K121" s="48"/>
      <c r="L121" s="49"/>
      <c r="M121" s="47"/>
      <c r="N121" s="49"/>
      <c r="O121" s="49"/>
      <c r="P121" s="50"/>
      <c r="Q121" s="51"/>
      <c r="R121" s="51"/>
      <c r="S121" s="52"/>
      <c r="T121" s="52"/>
      <c r="U121" s="51"/>
      <c r="V121" s="52"/>
      <c r="W121" s="52"/>
      <c r="X121" s="98"/>
      <c r="Y121" s="99"/>
      <c r="Z121" s="99"/>
      <c r="AA121" s="100"/>
      <c r="AB121" s="100"/>
      <c r="AC121" s="100"/>
      <c r="AD121" s="53"/>
      <c r="AE121" s="54"/>
      <c r="AF121" s="54"/>
      <c r="AG121" s="55"/>
      <c r="AH121" s="55"/>
      <c r="AI121" s="55"/>
      <c r="AJ121" s="110"/>
      <c r="AK121" s="111"/>
      <c r="AL121" s="111"/>
      <c r="AM121" s="112"/>
      <c r="AN121" s="112"/>
      <c r="AO121" s="77"/>
      <c r="AP121" s="86"/>
      <c r="AQ121" s="86"/>
      <c r="AR121" s="85"/>
      <c r="AS121" s="77"/>
      <c r="AT121" s="77"/>
      <c r="AU121" s="77"/>
      <c r="AV121" s="119"/>
      <c r="AW121" s="129"/>
      <c r="AX121" s="129"/>
      <c r="AY121" s="125"/>
      <c r="AZ121" s="119"/>
      <c r="BA121" s="47"/>
      <c r="BB121" s="48"/>
      <c r="BC121" s="48"/>
      <c r="BD121" s="49"/>
      <c r="BE121" s="49"/>
      <c r="BF121" s="49"/>
      <c r="BG121" s="129"/>
      <c r="BH121" s="129"/>
      <c r="BI121" s="129"/>
      <c r="BJ121" s="125"/>
      <c r="BK121" s="119"/>
      <c r="BL121" s="119"/>
      <c r="BM121" s="77"/>
      <c r="BN121" s="86"/>
      <c r="BO121" s="86"/>
      <c r="BP121" s="85"/>
      <c r="BQ121" s="85"/>
      <c r="BR121" s="77"/>
    </row>
    <row r="122" spans="8:70" x14ac:dyDescent="0.3">
      <c r="H122" s="80"/>
      <c r="I122" s="47"/>
      <c r="J122" s="48"/>
      <c r="K122" s="48"/>
      <c r="L122" s="49"/>
      <c r="M122" s="47"/>
      <c r="N122" s="49"/>
      <c r="O122" s="49"/>
      <c r="P122" s="50"/>
      <c r="Q122" s="51"/>
      <c r="R122" s="51"/>
      <c r="S122" s="52"/>
      <c r="T122" s="52"/>
      <c r="U122" s="51"/>
      <c r="V122" s="52"/>
      <c r="W122" s="52"/>
      <c r="X122" s="98"/>
      <c r="Y122" s="99"/>
      <c r="Z122" s="99"/>
      <c r="AA122" s="100"/>
      <c r="AB122" s="100"/>
      <c r="AC122" s="100"/>
      <c r="AD122" s="53"/>
      <c r="AE122" s="54"/>
      <c r="AF122" s="54"/>
      <c r="AG122" s="55"/>
      <c r="AH122" s="55"/>
      <c r="AI122" s="55"/>
      <c r="AJ122" s="110"/>
      <c r="AK122" s="111"/>
      <c r="AL122" s="111"/>
      <c r="AM122" s="112"/>
      <c r="AN122" s="112"/>
      <c r="AO122" s="77"/>
      <c r="AP122" s="86"/>
      <c r="AQ122" s="86"/>
      <c r="AR122" s="85"/>
      <c r="AS122" s="77"/>
      <c r="AT122" s="77"/>
      <c r="AU122" s="77"/>
      <c r="AV122" s="119"/>
      <c r="AW122" s="129"/>
      <c r="AX122" s="129"/>
      <c r="AY122" s="125"/>
      <c r="AZ122" s="119"/>
      <c r="BA122" s="47"/>
      <c r="BB122" s="48"/>
      <c r="BC122" s="48"/>
      <c r="BD122" s="49"/>
      <c r="BE122" s="49"/>
      <c r="BF122" s="49"/>
      <c r="BG122" s="129"/>
      <c r="BH122" s="129"/>
      <c r="BI122" s="129"/>
      <c r="BJ122" s="125"/>
      <c r="BK122" s="119"/>
      <c r="BL122" s="119"/>
      <c r="BM122" s="77"/>
      <c r="BN122" s="86"/>
      <c r="BO122" s="86"/>
      <c r="BP122" s="85"/>
      <c r="BQ122" s="85"/>
      <c r="BR122" s="77"/>
    </row>
    <row r="123" spans="8:70" x14ac:dyDescent="0.3">
      <c r="H123" s="80"/>
      <c r="I123" s="47"/>
      <c r="J123" s="48"/>
      <c r="K123" s="48"/>
      <c r="L123" s="49"/>
      <c r="M123" s="47"/>
      <c r="N123" s="49"/>
      <c r="O123" s="49"/>
      <c r="P123" s="50"/>
      <c r="Q123" s="51"/>
      <c r="R123" s="51"/>
      <c r="S123" s="52"/>
      <c r="T123" s="52"/>
      <c r="U123" s="51"/>
      <c r="V123" s="52"/>
      <c r="W123" s="52"/>
      <c r="X123" s="98"/>
      <c r="Y123" s="99"/>
      <c r="Z123" s="99"/>
      <c r="AA123" s="100"/>
      <c r="AB123" s="100"/>
      <c r="AC123" s="100"/>
      <c r="AD123" s="53"/>
      <c r="AE123" s="54"/>
      <c r="AF123" s="54"/>
      <c r="AG123" s="55"/>
      <c r="AH123" s="55"/>
      <c r="AI123" s="55"/>
      <c r="AJ123" s="110"/>
      <c r="AK123" s="111"/>
      <c r="AL123" s="111"/>
      <c r="AM123" s="112"/>
      <c r="AN123" s="112"/>
      <c r="AO123" s="77"/>
      <c r="AP123" s="86"/>
      <c r="AQ123" s="86"/>
      <c r="AR123" s="85"/>
      <c r="AS123" s="77"/>
      <c r="AT123" s="77"/>
      <c r="AU123" s="77"/>
      <c r="AV123" s="119"/>
      <c r="AW123" s="129"/>
      <c r="AX123" s="129"/>
      <c r="AY123" s="125"/>
      <c r="AZ123" s="119"/>
      <c r="BA123" s="47"/>
      <c r="BB123" s="48"/>
      <c r="BC123" s="48"/>
      <c r="BD123" s="49"/>
      <c r="BE123" s="49"/>
      <c r="BF123" s="49"/>
      <c r="BG123" s="129"/>
      <c r="BH123" s="129"/>
      <c r="BI123" s="129"/>
      <c r="BJ123" s="125"/>
      <c r="BK123" s="119"/>
      <c r="BL123" s="119"/>
      <c r="BM123" s="77"/>
      <c r="BN123" s="86"/>
      <c r="BO123" s="86"/>
      <c r="BP123" s="85"/>
      <c r="BQ123" s="85"/>
      <c r="BR123" s="77"/>
    </row>
    <row r="124" spans="8:70" x14ac:dyDescent="0.3">
      <c r="H124" s="80"/>
      <c r="I124" s="47"/>
      <c r="J124" s="48"/>
      <c r="K124" s="48"/>
      <c r="L124" s="49"/>
      <c r="M124" s="47"/>
      <c r="N124" s="49"/>
      <c r="O124" s="49"/>
      <c r="P124" s="50"/>
      <c r="Q124" s="51"/>
      <c r="R124" s="51"/>
      <c r="S124" s="52"/>
      <c r="T124" s="52"/>
      <c r="U124" s="51"/>
      <c r="V124" s="52"/>
      <c r="W124" s="52"/>
      <c r="X124" s="98"/>
      <c r="Y124" s="99"/>
      <c r="Z124" s="99"/>
      <c r="AA124" s="100"/>
      <c r="AB124" s="100"/>
      <c r="AC124" s="100"/>
      <c r="AD124" s="53"/>
      <c r="AE124" s="54"/>
      <c r="AF124" s="54"/>
      <c r="AG124" s="55"/>
      <c r="AH124" s="55"/>
      <c r="AI124" s="55"/>
      <c r="AJ124" s="110"/>
      <c r="AK124" s="111"/>
      <c r="AL124" s="111"/>
      <c r="AM124" s="112"/>
      <c r="AN124" s="112"/>
      <c r="AO124" s="77"/>
      <c r="AP124" s="86"/>
      <c r="AQ124" s="86"/>
      <c r="AR124" s="85"/>
      <c r="AS124" s="77"/>
      <c r="AT124" s="77"/>
      <c r="AU124" s="77"/>
      <c r="AV124" s="119"/>
      <c r="AW124" s="129"/>
      <c r="AX124" s="129"/>
      <c r="AY124" s="125"/>
      <c r="AZ124" s="119"/>
      <c r="BA124" s="47"/>
      <c r="BB124" s="48"/>
      <c r="BC124" s="48"/>
      <c r="BD124" s="49"/>
      <c r="BE124" s="49"/>
      <c r="BF124" s="49"/>
      <c r="BG124" s="129"/>
      <c r="BH124" s="129"/>
      <c r="BI124" s="129"/>
      <c r="BJ124" s="125"/>
      <c r="BK124" s="119"/>
      <c r="BL124" s="119"/>
      <c r="BM124" s="77"/>
      <c r="BN124" s="86"/>
      <c r="BO124" s="86"/>
      <c r="BP124" s="85"/>
      <c r="BQ124" s="85"/>
      <c r="BR124" s="77"/>
    </row>
    <row r="125" spans="8:70" x14ac:dyDescent="0.3">
      <c r="H125" s="80"/>
      <c r="I125" s="47"/>
      <c r="J125" s="48"/>
      <c r="K125" s="48"/>
      <c r="L125" s="49"/>
      <c r="M125" s="47"/>
      <c r="N125" s="49"/>
      <c r="O125" s="49"/>
      <c r="P125" s="50"/>
      <c r="Q125" s="51"/>
      <c r="R125" s="51"/>
      <c r="S125" s="52"/>
      <c r="T125" s="52"/>
      <c r="U125" s="51"/>
      <c r="V125" s="52"/>
      <c r="W125" s="52"/>
      <c r="X125" s="98"/>
      <c r="Y125" s="99"/>
      <c r="Z125" s="99"/>
      <c r="AA125" s="100"/>
      <c r="AB125" s="100"/>
      <c r="AC125" s="100"/>
      <c r="AD125" s="53"/>
      <c r="AE125" s="54"/>
      <c r="AF125" s="54"/>
      <c r="AG125" s="55"/>
      <c r="AH125" s="55"/>
      <c r="AI125" s="55"/>
      <c r="AJ125" s="110"/>
      <c r="AK125" s="111"/>
      <c r="AL125" s="111"/>
      <c r="AM125" s="112"/>
      <c r="AN125" s="112"/>
      <c r="AO125" s="77"/>
      <c r="AP125" s="86"/>
      <c r="AQ125" s="86"/>
      <c r="AR125" s="85"/>
      <c r="AS125" s="77"/>
      <c r="AT125" s="77"/>
      <c r="AU125" s="77"/>
      <c r="AV125" s="119"/>
      <c r="AW125" s="129"/>
      <c r="AX125" s="129"/>
      <c r="AY125" s="125"/>
      <c r="AZ125" s="119"/>
      <c r="BA125" s="47"/>
      <c r="BB125" s="48"/>
      <c r="BC125" s="48"/>
      <c r="BD125" s="49"/>
      <c r="BE125" s="49"/>
      <c r="BF125" s="49"/>
      <c r="BG125" s="129"/>
      <c r="BH125" s="129"/>
      <c r="BI125" s="129"/>
      <c r="BJ125" s="125"/>
      <c r="BK125" s="119"/>
      <c r="BL125" s="119"/>
      <c r="BM125" s="77"/>
      <c r="BN125" s="86"/>
      <c r="BO125" s="86"/>
      <c r="BP125" s="85"/>
      <c r="BQ125" s="85"/>
      <c r="BR125" s="77"/>
    </row>
    <row r="126" spans="8:70" x14ac:dyDescent="0.3">
      <c r="H126" s="80"/>
      <c r="I126" s="47"/>
      <c r="J126" s="48"/>
      <c r="K126" s="48"/>
      <c r="L126" s="49"/>
      <c r="M126" s="47"/>
      <c r="N126" s="49"/>
      <c r="O126" s="49"/>
      <c r="P126" s="50"/>
      <c r="Q126" s="51"/>
      <c r="R126" s="51"/>
      <c r="S126" s="52"/>
      <c r="T126" s="52"/>
      <c r="U126" s="51"/>
      <c r="V126" s="52"/>
      <c r="W126" s="52"/>
      <c r="X126" s="98"/>
      <c r="Y126" s="99"/>
      <c r="Z126" s="99"/>
      <c r="AA126" s="100"/>
      <c r="AB126" s="100"/>
      <c r="AC126" s="100"/>
      <c r="AD126" s="53"/>
      <c r="AE126" s="54"/>
      <c r="AF126" s="54"/>
      <c r="AG126" s="55"/>
      <c r="AH126" s="55"/>
      <c r="AI126" s="55"/>
      <c r="AJ126" s="110"/>
      <c r="AK126" s="111"/>
      <c r="AL126" s="111"/>
      <c r="AM126" s="112"/>
      <c r="AN126" s="112"/>
      <c r="AO126" s="77"/>
      <c r="AP126" s="86"/>
      <c r="AQ126" s="86"/>
      <c r="AR126" s="85"/>
      <c r="AS126" s="77"/>
      <c r="AT126" s="77"/>
      <c r="AU126" s="77"/>
      <c r="AV126" s="119"/>
      <c r="AW126" s="129"/>
      <c r="AX126" s="129"/>
      <c r="AY126" s="125"/>
      <c r="AZ126" s="119"/>
      <c r="BA126" s="47"/>
      <c r="BB126" s="48"/>
      <c r="BC126" s="48"/>
      <c r="BD126" s="49"/>
      <c r="BE126" s="49"/>
      <c r="BF126" s="49"/>
      <c r="BG126" s="129"/>
      <c r="BH126" s="129"/>
      <c r="BI126" s="129"/>
      <c r="BJ126" s="125"/>
      <c r="BK126" s="119"/>
      <c r="BL126" s="119"/>
      <c r="BM126" s="77"/>
      <c r="BN126" s="86"/>
      <c r="BO126" s="86"/>
      <c r="BP126" s="85"/>
      <c r="BQ126" s="85"/>
      <c r="BR126" s="77"/>
    </row>
    <row r="127" spans="8:70" x14ac:dyDescent="0.3">
      <c r="H127" s="80"/>
      <c r="I127" s="47"/>
      <c r="J127" s="48"/>
      <c r="K127" s="48"/>
      <c r="L127" s="49"/>
      <c r="M127" s="47"/>
      <c r="N127" s="49"/>
      <c r="O127" s="49"/>
      <c r="P127" s="50"/>
      <c r="Q127" s="51"/>
      <c r="R127" s="51"/>
      <c r="S127" s="52"/>
      <c r="T127" s="52"/>
      <c r="U127" s="51"/>
      <c r="V127" s="52"/>
      <c r="W127" s="52"/>
      <c r="X127" s="98"/>
      <c r="Y127" s="99"/>
      <c r="Z127" s="99"/>
      <c r="AA127" s="100"/>
      <c r="AB127" s="100"/>
      <c r="AC127" s="100"/>
      <c r="AD127" s="53"/>
      <c r="AE127" s="54"/>
      <c r="AF127" s="54"/>
      <c r="AG127" s="55"/>
      <c r="AH127" s="55"/>
      <c r="AI127" s="55"/>
      <c r="AJ127" s="110"/>
      <c r="AK127" s="111"/>
      <c r="AL127" s="111"/>
      <c r="AM127" s="112"/>
      <c r="AN127" s="112"/>
      <c r="AO127" s="77"/>
      <c r="AP127" s="86"/>
      <c r="AQ127" s="86"/>
      <c r="AR127" s="85"/>
      <c r="AS127" s="77"/>
      <c r="AT127" s="77"/>
      <c r="AU127" s="77"/>
      <c r="AV127" s="119"/>
      <c r="AW127" s="129"/>
      <c r="AX127" s="129"/>
      <c r="AY127" s="125"/>
      <c r="AZ127" s="119"/>
      <c r="BA127" s="47"/>
      <c r="BB127" s="48"/>
      <c r="BC127" s="48"/>
      <c r="BD127" s="49"/>
      <c r="BE127" s="49"/>
      <c r="BF127" s="49"/>
      <c r="BG127" s="129"/>
      <c r="BH127" s="129"/>
      <c r="BI127" s="129"/>
      <c r="BJ127" s="125"/>
      <c r="BK127" s="119"/>
      <c r="BL127" s="119"/>
      <c r="BM127" s="77"/>
      <c r="BN127" s="86"/>
      <c r="BO127" s="86"/>
      <c r="BP127" s="85"/>
      <c r="BQ127" s="85"/>
      <c r="BR127" s="77"/>
    </row>
    <row r="128" spans="8:70" x14ac:dyDescent="0.3">
      <c r="H128" s="80"/>
      <c r="I128" s="47"/>
      <c r="J128" s="48"/>
      <c r="K128" s="48"/>
      <c r="L128" s="49"/>
      <c r="M128" s="47"/>
      <c r="N128" s="49"/>
      <c r="O128" s="49"/>
      <c r="P128" s="50"/>
      <c r="Q128" s="51"/>
      <c r="R128" s="51"/>
      <c r="S128" s="52"/>
      <c r="T128" s="52"/>
      <c r="U128" s="51"/>
      <c r="V128" s="52"/>
      <c r="W128" s="52"/>
      <c r="X128" s="98"/>
      <c r="Y128" s="99"/>
      <c r="Z128" s="99"/>
      <c r="AA128" s="100"/>
      <c r="AB128" s="100"/>
      <c r="AC128" s="100"/>
      <c r="AD128" s="53"/>
      <c r="AE128" s="54"/>
      <c r="AF128" s="54"/>
      <c r="AG128" s="55"/>
      <c r="AH128" s="55"/>
      <c r="AI128" s="55"/>
      <c r="AJ128" s="110"/>
      <c r="AK128" s="111"/>
      <c r="AL128" s="111"/>
      <c r="AM128" s="112"/>
      <c r="AN128" s="112"/>
      <c r="AO128" s="77"/>
      <c r="AP128" s="86"/>
      <c r="AQ128" s="86"/>
      <c r="AR128" s="85"/>
      <c r="AS128" s="77"/>
      <c r="AT128" s="77"/>
      <c r="AU128" s="77"/>
      <c r="AV128" s="119"/>
      <c r="AW128" s="129"/>
      <c r="AX128" s="129"/>
      <c r="AY128" s="125"/>
      <c r="AZ128" s="119"/>
      <c r="BA128" s="47"/>
      <c r="BB128" s="48"/>
      <c r="BC128" s="48"/>
      <c r="BD128" s="49"/>
      <c r="BE128" s="49"/>
      <c r="BF128" s="49"/>
      <c r="BG128" s="129"/>
      <c r="BH128" s="129"/>
      <c r="BI128" s="129"/>
      <c r="BJ128" s="125"/>
      <c r="BK128" s="119"/>
      <c r="BL128" s="119"/>
      <c r="BM128" s="77"/>
      <c r="BN128" s="86"/>
      <c r="BO128" s="86"/>
      <c r="BP128" s="85"/>
      <c r="BQ128" s="85"/>
      <c r="BR128" s="77"/>
    </row>
    <row r="129" spans="8:70" x14ac:dyDescent="0.3">
      <c r="H129" s="80"/>
      <c r="I129" s="47"/>
      <c r="J129" s="48"/>
      <c r="K129" s="48"/>
      <c r="L129" s="49"/>
      <c r="M129" s="47"/>
      <c r="N129" s="49"/>
      <c r="O129" s="49"/>
      <c r="P129" s="50"/>
      <c r="Q129" s="51"/>
      <c r="R129" s="51"/>
      <c r="S129" s="52"/>
      <c r="T129" s="52"/>
      <c r="U129" s="51"/>
      <c r="V129" s="52"/>
      <c r="W129" s="52"/>
      <c r="X129" s="98"/>
      <c r="Y129" s="99"/>
      <c r="Z129" s="99"/>
      <c r="AA129" s="100"/>
      <c r="AB129" s="100"/>
      <c r="AC129" s="100"/>
      <c r="AD129" s="53"/>
      <c r="AE129" s="54"/>
      <c r="AF129" s="54"/>
      <c r="AG129" s="55"/>
      <c r="AH129" s="55"/>
      <c r="AI129" s="55"/>
      <c r="AJ129" s="110"/>
      <c r="AK129" s="111"/>
      <c r="AL129" s="111"/>
      <c r="AM129" s="112"/>
      <c r="AN129" s="112"/>
      <c r="AO129" s="77"/>
      <c r="AP129" s="86"/>
      <c r="AQ129" s="86"/>
      <c r="AR129" s="85"/>
      <c r="AS129" s="77"/>
      <c r="AT129" s="77"/>
      <c r="AU129" s="77"/>
      <c r="AV129" s="119"/>
      <c r="AW129" s="129"/>
      <c r="AX129" s="129"/>
      <c r="AY129" s="125"/>
      <c r="AZ129" s="119"/>
      <c r="BA129" s="47"/>
      <c r="BB129" s="48"/>
      <c r="BC129" s="48"/>
      <c r="BD129" s="49"/>
      <c r="BE129" s="49"/>
      <c r="BF129" s="49"/>
      <c r="BG129" s="129"/>
      <c r="BH129" s="129"/>
      <c r="BI129" s="129"/>
      <c r="BJ129" s="125"/>
      <c r="BK129" s="119"/>
      <c r="BL129" s="119"/>
      <c r="BM129" s="77"/>
      <c r="BN129" s="86"/>
      <c r="BO129" s="86"/>
      <c r="BP129" s="85"/>
      <c r="BQ129" s="85"/>
      <c r="BR129" s="77"/>
    </row>
    <row r="130" spans="8:70" x14ac:dyDescent="0.3">
      <c r="H130" s="80"/>
      <c r="I130" s="47"/>
      <c r="J130" s="48"/>
      <c r="K130" s="48"/>
      <c r="L130" s="49"/>
      <c r="M130" s="47"/>
      <c r="N130" s="49"/>
      <c r="O130" s="49"/>
      <c r="P130" s="50"/>
      <c r="Q130" s="51"/>
      <c r="R130" s="51"/>
      <c r="S130" s="52"/>
      <c r="T130" s="52"/>
      <c r="U130" s="51"/>
      <c r="V130" s="52"/>
      <c r="W130" s="52"/>
      <c r="X130" s="98"/>
      <c r="Y130" s="99"/>
      <c r="Z130" s="99"/>
      <c r="AA130" s="100"/>
      <c r="AB130" s="100"/>
      <c r="AC130" s="100"/>
      <c r="AD130" s="53"/>
      <c r="AE130" s="54"/>
      <c r="AF130" s="54"/>
      <c r="AG130" s="55"/>
      <c r="AH130" s="55"/>
      <c r="AI130" s="55"/>
      <c r="AJ130" s="110"/>
      <c r="AK130" s="111"/>
      <c r="AL130" s="111"/>
      <c r="AM130" s="112"/>
      <c r="AN130" s="112"/>
      <c r="AO130" s="77"/>
      <c r="AP130" s="86"/>
      <c r="AQ130" s="86"/>
      <c r="AR130" s="85"/>
      <c r="AS130" s="77"/>
      <c r="AT130" s="77"/>
      <c r="AU130" s="77"/>
      <c r="AV130" s="119"/>
      <c r="AW130" s="129"/>
      <c r="AX130" s="129"/>
      <c r="AY130" s="125"/>
      <c r="AZ130" s="119"/>
      <c r="BA130" s="47"/>
      <c r="BB130" s="48"/>
      <c r="BC130" s="48"/>
      <c r="BD130" s="49"/>
      <c r="BE130" s="49"/>
      <c r="BF130" s="49"/>
      <c r="BG130" s="129"/>
      <c r="BH130" s="129"/>
      <c r="BI130" s="129"/>
      <c r="BJ130" s="125"/>
      <c r="BK130" s="119"/>
      <c r="BL130" s="119"/>
      <c r="BM130" s="77"/>
      <c r="BN130" s="86"/>
      <c r="BO130" s="86"/>
      <c r="BP130" s="85"/>
      <c r="BQ130" s="85"/>
      <c r="BR130" s="77"/>
    </row>
    <row r="131" spans="8:70" x14ac:dyDescent="0.3">
      <c r="H131" s="80"/>
      <c r="I131" s="47"/>
      <c r="J131" s="48"/>
      <c r="K131" s="48"/>
      <c r="L131" s="49"/>
      <c r="M131" s="47"/>
      <c r="N131" s="49"/>
      <c r="O131" s="49"/>
      <c r="P131" s="50"/>
      <c r="Q131" s="51"/>
      <c r="R131" s="51"/>
      <c r="S131" s="52"/>
      <c r="T131" s="52"/>
      <c r="U131" s="51"/>
      <c r="V131" s="52"/>
      <c r="W131" s="52"/>
      <c r="X131" s="98"/>
      <c r="Y131" s="99"/>
      <c r="Z131" s="99"/>
      <c r="AA131" s="100"/>
      <c r="AB131" s="100"/>
      <c r="AC131" s="100"/>
      <c r="AD131" s="53"/>
      <c r="AE131" s="54"/>
      <c r="AF131" s="54"/>
      <c r="AG131" s="55"/>
      <c r="AH131" s="55"/>
      <c r="AI131" s="55"/>
      <c r="AJ131" s="110"/>
      <c r="AK131" s="111"/>
      <c r="AL131" s="111"/>
      <c r="AM131" s="112"/>
      <c r="AN131" s="112"/>
      <c r="AO131" s="77"/>
      <c r="AP131" s="86"/>
      <c r="AQ131" s="86"/>
      <c r="AR131" s="85"/>
      <c r="AS131" s="77"/>
      <c r="AT131" s="77"/>
      <c r="AU131" s="77"/>
      <c r="AV131" s="119"/>
      <c r="AW131" s="129"/>
      <c r="AX131" s="129"/>
      <c r="AY131" s="125"/>
      <c r="AZ131" s="119"/>
      <c r="BA131" s="47"/>
      <c r="BB131" s="48"/>
      <c r="BC131" s="48"/>
      <c r="BD131" s="49"/>
      <c r="BE131" s="49"/>
      <c r="BF131" s="49"/>
      <c r="BG131" s="129"/>
      <c r="BH131" s="129"/>
      <c r="BI131" s="129"/>
      <c r="BJ131" s="125"/>
      <c r="BK131" s="119"/>
      <c r="BL131" s="119"/>
      <c r="BM131" s="77"/>
      <c r="BN131" s="86"/>
      <c r="BO131" s="86"/>
      <c r="BP131" s="85"/>
      <c r="BQ131" s="85"/>
      <c r="BR131" s="77"/>
    </row>
    <row r="132" spans="8:70" x14ac:dyDescent="0.3">
      <c r="H132" s="80"/>
      <c r="I132" s="47"/>
      <c r="J132" s="48"/>
      <c r="K132" s="48"/>
      <c r="L132" s="49"/>
      <c r="M132" s="47"/>
      <c r="N132" s="49"/>
      <c r="O132" s="49"/>
      <c r="P132" s="50"/>
      <c r="Q132" s="51"/>
      <c r="R132" s="51"/>
      <c r="S132" s="52"/>
      <c r="T132" s="52"/>
      <c r="U132" s="51"/>
      <c r="V132" s="52"/>
      <c r="W132" s="52"/>
      <c r="X132" s="98"/>
      <c r="Y132" s="99"/>
      <c r="Z132" s="99"/>
      <c r="AA132" s="100"/>
      <c r="AB132" s="100"/>
      <c r="AC132" s="100"/>
      <c r="AD132" s="53"/>
      <c r="AE132" s="54"/>
      <c r="AF132" s="54"/>
      <c r="AG132" s="55"/>
      <c r="AH132" s="55"/>
      <c r="AI132" s="55"/>
      <c r="AJ132" s="110"/>
      <c r="AK132" s="111"/>
      <c r="AL132" s="111"/>
      <c r="AM132" s="112"/>
      <c r="AN132" s="112"/>
      <c r="AO132" s="77"/>
      <c r="AP132" s="86"/>
      <c r="AQ132" s="86"/>
      <c r="AR132" s="85"/>
      <c r="AS132" s="77"/>
      <c r="AT132" s="77"/>
      <c r="AU132" s="77"/>
      <c r="AV132" s="119"/>
      <c r="AW132" s="129"/>
      <c r="AX132" s="129"/>
      <c r="AY132" s="125"/>
      <c r="AZ132" s="119"/>
      <c r="BA132" s="47"/>
      <c r="BB132" s="48"/>
      <c r="BC132" s="48"/>
      <c r="BD132" s="49"/>
      <c r="BE132" s="49"/>
      <c r="BF132" s="49"/>
      <c r="BG132" s="129"/>
      <c r="BH132" s="129"/>
      <c r="BI132" s="129"/>
      <c r="BJ132" s="125"/>
      <c r="BK132" s="119"/>
      <c r="BL132" s="119"/>
      <c r="BM132" s="77"/>
      <c r="BN132" s="86"/>
      <c r="BO132" s="86"/>
      <c r="BP132" s="85"/>
      <c r="BQ132" s="85"/>
      <c r="BR132" s="77"/>
    </row>
    <row r="133" spans="8:70" x14ac:dyDescent="0.3">
      <c r="H133" s="80"/>
      <c r="I133" s="47"/>
      <c r="J133" s="48"/>
      <c r="K133" s="48"/>
      <c r="L133" s="49"/>
      <c r="M133" s="47"/>
      <c r="N133" s="49"/>
      <c r="O133" s="49"/>
      <c r="P133" s="50"/>
      <c r="Q133" s="51"/>
      <c r="R133" s="51"/>
      <c r="S133" s="52"/>
      <c r="T133" s="52"/>
      <c r="U133" s="51"/>
      <c r="V133" s="52"/>
      <c r="W133" s="52"/>
      <c r="X133" s="98"/>
      <c r="Y133" s="99"/>
      <c r="Z133" s="99"/>
      <c r="AA133" s="100"/>
      <c r="AB133" s="100"/>
      <c r="AC133" s="100"/>
      <c r="AD133" s="53"/>
      <c r="AE133" s="54"/>
      <c r="AF133" s="54"/>
      <c r="AG133" s="55"/>
      <c r="AH133" s="55"/>
      <c r="AI133" s="55"/>
      <c r="AJ133" s="110"/>
      <c r="AK133" s="111"/>
      <c r="AL133" s="111"/>
      <c r="AM133" s="112"/>
      <c r="AN133" s="112"/>
      <c r="AO133" s="77"/>
      <c r="AP133" s="86"/>
      <c r="AQ133" s="86"/>
      <c r="AR133" s="85"/>
      <c r="AS133" s="77"/>
      <c r="AT133" s="77"/>
      <c r="AU133" s="77"/>
      <c r="AV133" s="119"/>
      <c r="AW133" s="129"/>
      <c r="AX133" s="129"/>
      <c r="AY133" s="125"/>
      <c r="AZ133" s="119"/>
      <c r="BA133" s="47"/>
      <c r="BB133" s="48"/>
      <c r="BC133" s="48"/>
      <c r="BD133" s="49"/>
      <c r="BE133" s="49"/>
      <c r="BF133" s="49"/>
      <c r="BG133" s="129"/>
      <c r="BH133" s="129"/>
      <c r="BI133" s="129"/>
      <c r="BJ133" s="125"/>
      <c r="BK133" s="119"/>
      <c r="BL133" s="119"/>
      <c r="BM133" s="77"/>
      <c r="BN133" s="86"/>
      <c r="BO133" s="86"/>
      <c r="BP133" s="85"/>
      <c r="BQ133" s="85"/>
      <c r="BR133" s="77"/>
    </row>
    <row r="134" spans="8:70" x14ac:dyDescent="0.3">
      <c r="H134" s="80"/>
      <c r="I134" s="47"/>
      <c r="J134" s="48"/>
      <c r="K134" s="48"/>
      <c r="L134" s="49"/>
      <c r="M134" s="47"/>
      <c r="N134" s="49"/>
      <c r="O134" s="49"/>
      <c r="P134" s="50"/>
      <c r="Q134" s="51"/>
      <c r="R134" s="51"/>
      <c r="S134" s="52"/>
      <c r="T134" s="52"/>
      <c r="U134" s="51"/>
      <c r="V134" s="52"/>
      <c r="W134" s="52"/>
      <c r="X134" s="98"/>
      <c r="Y134" s="99"/>
      <c r="Z134" s="99"/>
      <c r="AA134" s="100"/>
      <c r="AB134" s="100"/>
      <c r="AC134" s="100"/>
      <c r="AD134" s="53"/>
      <c r="AE134" s="54"/>
      <c r="AF134" s="54"/>
      <c r="AG134" s="55"/>
      <c r="AH134" s="55"/>
      <c r="AI134" s="55"/>
      <c r="AJ134" s="110"/>
      <c r="AK134" s="111"/>
      <c r="AL134" s="111"/>
      <c r="AM134" s="112"/>
      <c r="AN134" s="112"/>
      <c r="AO134" s="77"/>
      <c r="AP134" s="86"/>
      <c r="AQ134" s="86"/>
      <c r="AR134" s="85"/>
      <c r="AS134" s="77"/>
      <c r="AT134" s="77"/>
      <c r="AU134" s="77"/>
      <c r="AV134" s="119"/>
      <c r="AW134" s="129"/>
      <c r="AX134" s="129"/>
      <c r="AY134" s="125"/>
      <c r="AZ134" s="119"/>
      <c r="BA134" s="47"/>
      <c r="BB134" s="48"/>
      <c r="BC134" s="48"/>
      <c r="BD134" s="49"/>
      <c r="BE134" s="49"/>
      <c r="BF134" s="49"/>
      <c r="BG134" s="129"/>
      <c r="BH134" s="129"/>
      <c r="BI134" s="129"/>
      <c r="BJ134" s="125"/>
      <c r="BK134" s="119"/>
      <c r="BL134" s="119"/>
      <c r="BM134" s="77"/>
      <c r="BN134" s="86"/>
      <c r="BO134" s="86"/>
      <c r="BP134" s="85"/>
      <c r="BQ134" s="85"/>
      <c r="BR134" s="77"/>
    </row>
    <row r="135" spans="8:70" x14ac:dyDescent="0.3">
      <c r="H135" s="80"/>
      <c r="I135" s="47"/>
      <c r="J135" s="48"/>
      <c r="K135" s="48"/>
      <c r="L135" s="49"/>
      <c r="M135" s="47"/>
      <c r="N135" s="49"/>
      <c r="O135" s="49"/>
      <c r="P135" s="50"/>
      <c r="Q135" s="51"/>
      <c r="R135" s="51"/>
      <c r="S135" s="52"/>
      <c r="T135" s="52"/>
      <c r="U135" s="51"/>
      <c r="V135" s="52"/>
      <c r="W135" s="52"/>
      <c r="X135" s="98"/>
      <c r="Y135" s="99"/>
      <c r="Z135" s="99"/>
      <c r="AA135" s="100"/>
      <c r="AB135" s="100"/>
      <c r="AC135" s="100"/>
      <c r="AD135" s="53"/>
      <c r="AE135" s="54"/>
      <c r="AF135" s="54"/>
      <c r="AG135" s="55"/>
      <c r="AH135" s="55"/>
      <c r="AI135" s="55"/>
      <c r="AJ135" s="110"/>
      <c r="AK135" s="111"/>
      <c r="AL135" s="111"/>
      <c r="AM135" s="112"/>
      <c r="AN135" s="112"/>
      <c r="AO135" s="77"/>
      <c r="AP135" s="86"/>
      <c r="AQ135" s="86"/>
      <c r="AR135" s="85"/>
      <c r="AS135" s="77"/>
      <c r="AT135" s="77"/>
      <c r="AU135" s="77"/>
      <c r="AV135" s="119"/>
      <c r="AW135" s="129"/>
      <c r="AX135" s="129"/>
      <c r="AY135" s="125"/>
      <c r="AZ135" s="119"/>
      <c r="BA135" s="47"/>
      <c r="BB135" s="48"/>
      <c r="BC135" s="48"/>
      <c r="BD135" s="49"/>
      <c r="BE135" s="49"/>
      <c r="BF135" s="49"/>
      <c r="BG135" s="129"/>
      <c r="BH135" s="129"/>
      <c r="BI135" s="129"/>
      <c r="BJ135" s="125"/>
      <c r="BK135" s="119"/>
      <c r="BL135" s="119"/>
      <c r="BM135" s="77"/>
      <c r="BN135" s="86"/>
      <c r="BO135" s="86"/>
      <c r="BP135" s="85"/>
      <c r="BQ135" s="85"/>
      <c r="BR135" s="77"/>
    </row>
    <row r="136" spans="8:70" x14ac:dyDescent="0.3">
      <c r="H136" s="80"/>
      <c r="I136" s="47"/>
      <c r="J136" s="48"/>
      <c r="K136" s="48"/>
      <c r="L136" s="49"/>
      <c r="M136" s="47"/>
      <c r="N136" s="49"/>
      <c r="O136" s="49"/>
      <c r="P136" s="50"/>
      <c r="Q136" s="51"/>
      <c r="R136" s="51"/>
      <c r="S136" s="52"/>
      <c r="T136" s="52"/>
      <c r="U136" s="51"/>
      <c r="V136" s="52"/>
      <c r="W136" s="52"/>
      <c r="X136" s="98"/>
      <c r="Y136" s="99"/>
      <c r="Z136" s="99"/>
      <c r="AA136" s="100"/>
      <c r="AB136" s="100"/>
      <c r="AC136" s="100"/>
      <c r="AD136" s="53"/>
      <c r="AE136" s="54"/>
      <c r="AF136" s="54"/>
      <c r="AG136" s="55"/>
      <c r="AH136" s="55"/>
      <c r="AI136" s="55"/>
      <c r="AJ136" s="110"/>
      <c r="AK136" s="111"/>
      <c r="AL136" s="111"/>
      <c r="AM136" s="112"/>
      <c r="AN136" s="112"/>
      <c r="AO136" s="77"/>
      <c r="AP136" s="86"/>
      <c r="AQ136" s="86"/>
      <c r="AR136" s="85"/>
      <c r="AS136" s="77"/>
      <c r="AT136" s="77"/>
      <c r="AU136" s="77"/>
      <c r="AV136" s="119"/>
      <c r="AW136" s="129"/>
      <c r="AX136" s="129"/>
      <c r="AY136" s="125"/>
      <c r="AZ136" s="119"/>
      <c r="BA136" s="47"/>
      <c r="BB136" s="48"/>
      <c r="BC136" s="48"/>
      <c r="BD136" s="49"/>
      <c r="BE136" s="49"/>
      <c r="BF136" s="49"/>
      <c r="BG136" s="129"/>
      <c r="BH136" s="129"/>
      <c r="BI136" s="129"/>
      <c r="BJ136" s="125"/>
      <c r="BK136" s="119"/>
      <c r="BL136" s="119"/>
      <c r="BM136" s="77"/>
      <c r="BN136" s="86"/>
      <c r="BO136" s="86"/>
      <c r="BP136" s="85"/>
      <c r="BQ136" s="85"/>
      <c r="BR136" s="77"/>
    </row>
    <row r="137" spans="8:70" x14ac:dyDescent="0.3">
      <c r="H137" s="80"/>
      <c r="I137" s="47"/>
      <c r="J137" s="48"/>
      <c r="K137" s="48"/>
      <c r="L137" s="49"/>
      <c r="M137" s="47"/>
      <c r="N137" s="49"/>
      <c r="O137" s="49"/>
      <c r="P137" s="50"/>
      <c r="Q137" s="51"/>
      <c r="R137" s="51"/>
      <c r="S137" s="52"/>
      <c r="T137" s="52"/>
      <c r="U137" s="51"/>
      <c r="V137" s="52"/>
      <c r="W137" s="52"/>
      <c r="X137" s="98"/>
      <c r="Y137" s="99"/>
      <c r="Z137" s="99"/>
      <c r="AA137" s="100"/>
      <c r="AB137" s="100"/>
      <c r="AC137" s="100"/>
      <c r="AD137" s="53"/>
      <c r="AE137" s="54"/>
      <c r="AF137" s="54"/>
      <c r="AG137" s="55"/>
      <c r="AH137" s="55"/>
      <c r="AI137" s="55"/>
      <c r="AJ137" s="110"/>
      <c r="AK137" s="111"/>
      <c r="AL137" s="111"/>
      <c r="AM137" s="112"/>
      <c r="AN137" s="112"/>
      <c r="AO137" s="77"/>
      <c r="AP137" s="86"/>
      <c r="AQ137" s="86"/>
      <c r="AR137" s="85"/>
      <c r="AS137" s="77"/>
      <c r="AT137" s="77"/>
      <c r="AU137" s="77"/>
      <c r="AV137" s="119"/>
      <c r="AW137" s="129"/>
      <c r="AX137" s="129"/>
      <c r="AY137" s="125"/>
      <c r="AZ137" s="119"/>
      <c r="BA137" s="47"/>
      <c r="BB137" s="48"/>
      <c r="BC137" s="48"/>
      <c r="BD137" s="49"/>
      <c r="BE137" s="49"/>
      <c r="BF137" s="49"/>
      <c r="BG137" s="129"/>
      <c r="BH137" s="129"/>
      <c r="BI137" s="129"/>
      <c r="BJ137" s="125"/>
      <c r="BK137" s="119"/>
      <c r="BL137" s="119"/>
      <c r="BM137" s="77"/>
      <c r="BN137" s="86"/>
      <c r="BO137" s="86"/>
      <c r="BP137" s="85"/>
      <c r="BQ137" s="85"/>
      <c r="BR137" s="77"/>
    </row>
    <row r="138" spans="8:70" x14ac:dyDescent="0.3">
      <c r="H138" s="80"/>
      <c r="I138" s="47"/>
      <c r="J138" s="48"/>
      <c r="K138" s="48"/>
      <c r="L138" s="49"/>
      <c r="M138" s="47"/>
      <c r="N138" s="49"/>
      <c r="O138" s="49"/>
      <c r="P138" s="50"/>
      <c r="Q138" s="51"/>
      <c r="R138" s="51"/>
      <c r="S138" s="52"/>
      <c r="T138" s="52"/>
      <c r="U138" s="51"/>
      <c r="V138" s="52"/>
      <c r="W138" s="52"/>
      <c r="X138" s="98"/>
      <c r="Y138" s="99"/>
      <c r="Z138" s="99"/>
      <c r="AA138" s="100"/>
      <c r="AB138" s="100"/>
      <c r="AC138" s="100"/>
      <c r="AD138" s="53"/>
      <c r="AE138" s="54"/>
      <c r="AF138" s="54"/>
      <c r="AG138" s="55"/>
      <c r="AH138" s="55"/>
      <c r="AI138" s="55"/>
      <c r="AJ138" s="110"/>
      <c r="AK138" s="111"/>
      <c r="AL138" s="111"/>
      <c r="AM138" s="112"/>
      <c r="AN138" s="112"/>
      <c r="AO138" s="77"/>
      <c r="AP138" s="86"/>
      <c r="AQ138" s="86"/>
      <c r="AR138" s="85"/>
      <c r="AS138" s="77"/>
      <c r="AT138" s="77"/>
      <c r="AU138" s="77"/>
      <c r="AV138" s="119"/>
      <c r="AW138" s="129"/>
      <c r="AX138" s="129"/>
      <c r="AY138" s="125"/>
      <c r="AZ138" s="119"/>
      <c r="BA138" s="47"/>
      <c r="BB138" s="48"/>
      <c r="BC138" s="48"/>
      <c r="BD138" s="49"/>
      <c r="BE138" s="49"/>
      <c r="BF138" s="49"/>
      <c r="BG138" s="129"/>
      <c r="BH138" s="129"/>
      <c r="BI138" s="129"/>
      <c r="BJ138" s="125"/>
      <c r="BK138" s="119"/>
      <c r="BL138" s="119"/>
      <c r="BM138" s="77"/>
      <c r="BN138" s="86"/>
      <c r="BO138" s="86"/>
      <c r="BP138" s="85"/>
      <c r="BQ138" s="85"/>
      <c r="BR138" s="77"/>
    </row>
    <row r="139" spans="8:70" x14ac:dyDescent="0.3">
      <c r="H139" s="80"/>
      <c r="I139" s="47"/>
      <c r="J139" s="48"/>
      <c r="K139" s="48"/>
      <c r="L139" s="49"/>
      <c r="M139" s="47"/>
      <c r="N139" s="49"/>
      <c r="O139" s="49"/>
      <c r="P139" s="50"/>
      <c r="Q139" s="51"/>
      <c r="R139" s="51"/>
      <c r="S139" s="52"/>
      <c r="T139" s="52"/>
      <c r="U139" s="51"/>
      <c r="V139" s="52"/>
      <c r="W139" s="52"/>
      <c r="X139" s="98"/>
      <c r="Y139" s="99"/>
      <c r="Z139" s="99"/>
      <c r="AA139" s="100"/>
      <c r="AB139" s="100"/>
      <c r="AC139" s="100"/>
      <c r="AD139" s="53"/>
      <c r="AE139" s="54"/>
      <c r="AF139" s="54"/>
      <c r="AG139" s="55"/>
      <c r="AH139" s="55"/>
      <c r="AI139" s="55"/>
      <c r="AJ139" s="110"/>
      <c r="AK139" s="111"/>
      <c r="AL139" s="111"/>
      <c r="AM139" s="112"/>
      <c r="AN139" s="112"/>
      <c r="AO139" s="77"/>
      <c r="AP139" s="86"/>
      <c r="AQ139" s="86"/>
      <c r="AR139" s="85"/>
      <c r="AS139" s="77"/>
      <c r="AT139" s="77"/>
      <c r="AU139" s="77"/>
      <c r="AV139" s="119"/>
      <c r="AW139" s="129"/>
      <c r="AX139" s="129"/>
      <c r="AY139" s="125"/>
      <c r="AZ139" s="119"/>
      <c r="BA139" s="47"/>
      <c r="BB139" s="48"/>
      <c r="BC139" s="48"/>
      <c r="BD139" s="49"/>
      <c r="BE139" s="49"/>
      <c r="BF139" s="49"/>
      <c r="BG139" s="129"/>
      <c r="BH139" s="129"/>
      <c r="BI139" s="129"/>
      <c r="BJ139" s="125"/>
      <c r="BK139" s="119"/>
      <c r="BL139" s="119"/>
      <c r="BM139" s="77"/>
      <c r="BN139" s="86"/>
      <c r="BO139" s="86"/>
      <c r="BP139" s="85"/>
      <c r="BQ139" s="85"/>
      <c r="BR139" s="77"/>
    </row>
    <row r="140" spans="8:70" x14ac:dyDescent="0.3">
      <c r="H140" s="80"/>
      <c r="I140" s="47"/>
      <c r="J140" s="48"/>
      <c r="K140" s="48"/>
      <c r="L140" s="49"/>
      <c r="M140" s="47"/>
      <c r="N140" s="49"/>
      <c r="O140" s="49"/>
      <c r="P140" s="50"/>
      <c r="Q140" s="51"/>
      <c r="R140" s="51"/>
      <c r="S140" s="52"/>
      <c r="T140" s="52"/>
      <c r="U140" s="51"/>
      <c r="V140" s="52"/>
      <c r="W140" s="52"/>
      <c r="X140" s="98"/>
      <c r="Y140" s="99"/>
      <c r="Z140" s="99"/>
      <c r="AA140" s="100"/>
      <c r="AB140" s="100"/>
      <c r="AC140" s="100"/>
      <c r="AD140" s="53"/>
      <c r="AE140" s="54"/>
      <c r="AF140" s="54"/>
      <c r="AG140" s="55"/>
      <c r="AH140" s="55"/>
      <c r="AI140" s="55"/>
      <c r="AJ140" s="110"/>
      <c r="AK140" s="111"/>
      <c r="AL140" s="111"/>
      <c r="AM140" s="112"/>
      <c r="AN140" s="112"/>
      <c r="AO140" s="77"/>
      <c r="AP140" s="86"/>
      <c r="AQ140" s="86"/>
      <c r="AR140" s="85"/>
      <c r="AS140" s="77"/>
      <c r="AT140" s="77"/>
      <c r="AU140" s="77"/>
      <c r="AV140" s="119"/>
      <c r="AW140" s="129"/>
      <c r="AX140" s="129"/>
      <c r="AY140" s="125"/>
      <c r="AZ140" s="119"/>
      <c r="BA140" s="47"/>
      <c r="BB140" s="48"/>
      <c r="BC140" s="48"/>
      <c r="BD140" s="49"/>
      <c r="BE140" s="49"/>
      <c r="BF140" s="49"/>
      <c r="BG140" s="129"/>
      <c r="BH140" s="129"/>
      <c r="BI140" s="129"/>
      <c r="BJ140" s="125"/>
      <c r="BK140" s="119"/>
      <c r="BL140" s="119"/>
      <c r="BM140" s="77"/>
      <c r="BN140" s="86"/>
      <c r="BO140" s="86"/>
      <c r="BP140" s="85"/>
      <c r="BQ140" s="85"/>
      <c r="BR140" s="77"/>
    </row>
    <row r="141" spans="8:70" x14ac:dyDescent="0.3">
      <c r="H141" s="80"/>
      <c r="I141" s="47"/>
      <c r="J141" s="48"/>
      <c r="K141" s="48"/>
      <c r="L141" s="49"/>
      <c r="M141" s="47"/>
      <c r="N141" s="49"/>
      <c r="O141" s="49"/>
      <c r="P141" s="50"/>
      <c r="Q141" s="51"/>
      <c r="R141" s="51"/>
      <c r="S141" s="52"/>
      <c r="T141" s="52"/>
      <c r="U141" s="51"/>
      <c r="V141" s="52"/>
      <c r="W141" s="52"/>
      <c r="X141" s="98"/>
      <c r="Y141" s="99"/>
      <c r="Z141" s="99"/>
      <c r="AA141" s="100"/>
      <c r="AB141" s="100"/>
      <c r="AC141" s="100"/>
      <c r="AD141" s="53"/>
      <c r="AE141" s="54"/>
      <c r="AF141" s="54"/>
      <c r="AG141" s="55"/>
      <c r="AH141" s="55"/>
      <c r="AI141" s="55"/>
      <c r="AJ141" s="110"/>
      <c r="AK141" s="111"/>
      <c r="AL141" s="111"/>
      <c r="AM141" s="112"/>
      <c r="AN141" s="112"/>
      <c r="AO141" s="77"/>
      <c r="AP141" s="86"/>
      <c r="AQ141" s="86"/>
      <c r="AR141" s="85"/>
      <c r="AS141" s="77"/>
      <c r="AT141" s="77"/>
      <c r="AU141" s="77"/>
      <c r="AV141" s="119"/>
      <c r="AW141" s="129"/>
      <c r="AX141" s="129"/>
      <c r="AY141" s="125"/>
      <c r="AZ141" s="119"/>
      <c r="BA141" s="47"/>
      <c r="BB141" s="48"/>
      <c r="BC141" s="48"/>
      <c r="BD141" s="49"/>
      <c r="BE141" s="49"/>
      <c r="BF141" s="49"/>
      <c r="BG141" s="129"/>
      <c r="BH141" s="129"/>
      <c r="BI141" s="129"/>
      <c r="BJ141" s="125"/>
      <c r="BK141" s="119"/>
      <c r="BL141" s="119"/>
      <c r="BM141" s="77"/>
      <c r="BN141" s="86"/>
      <c r="BO141" s="86"/>
      <c r="BP141" s="85"/>
      <c r="BQ141" s="85"/>
      <c r="BR141" s="77"/>
    </row>
    <row r="142" spans="8:70" x14ac:dyDescent="0.3">
      <c r="H142" s="80"/>
      <c r="I142" s="47"/>
      <c r="J142" s="48"/>
      <c r="K142" s="48"/>
      <c r="L142" s="49"/>
      <c r="M142" s="47"/>
      <c r="N142" s="49"/>
      <c r="O142" s="49"/>
      <c r="P142" s="50"/>
      <c r="Q142" s="51"/>
      <c r="R142" s="51"/>
      <c r="S142" s="52"/>
      <c r="T142" s="52"/>
      <c r="U142" s="51"/>
      <c r="V142" s="52"/>
      <c r="W142" s="52"/>
      <c r="X142" s="98"/>
      <c r="Y142" s="99"/>
      <c r="Z142" s="99"/>
      <c r="AA142" s="100"/>
      <c r="AB142" s="100"/>
      <c r="AC142" s="100"/>
      <c r="AD142" s="53"/>
      <c r="AE142" s="54"/>
      <c r="AF142" s="54"/>
      <c r="AG142" s="55"/>
      <c r="AH142" s="55"/>
      <c r="AI142" s="55"/>
      <c r="AJ142" s="110"/>
      <c r="AK142" s="111"/>
      <c r="AL142" s="111"/>
      <c r="AM142" s="112"/>
      <c r="AN142" s="112"/>
      <c r="AO142" s="77"/>
      <c r="AP142" s="86"/>
      <c r="AQ142" s="86"/>
      <c r="AR142" s="85"/>
      <c r="AS142" s="77"/>
      <c r="AT142" s="77"/>
      <c r="AU142" s="77"/>
      <c r="AV142" s="119"/>
      <c r="AW142" s="129"/>
      <c r="AX142" s="129"/>
      <c r="AY142" s="125"/>
      <c r="AZ142" s="119"/>
      <c r="BA142" s="47"/>
      <c r="BB142" s="48"/>
      <c r="BC142" s="48"/>
      <c r="BD142" s="49"/>
      <c r="BE142" s="49"/>
      <c r="BF142" s="49"/>
      <c r="BG142" s="129"/>
      <c r="BH142" s="129"/>
      <c r="BI142" s="129"/>
      <c r="BJ142" s="125"/>
      <c r="BK142" s="119"/>
      <c r="BL142" s="119"/>
      <c r="BM142" s="77"/>
      <c r="BN142" s="86"/>
      <c r="BO142" s="86"/>
      <c r="BP142" s="85"/>
      <c r="BQ142" s="85"/>
      <c r="BR142" s="77"/>
    </row>
    <row r="143" spans="8:70" x14ac:dyDescent="0.3">
      <c r="H143" s="80"/>
      <c r="I143" s="47"/>
      <c r="J143" s="48"/>
      <c r="K143" s="48"/>
      <c r="L143" s="49"/>
      <c r="M143" s="47"/>
      <c r="N143" s="49"/>
      <c r="O143" s="49"/>
      <c r="P143" s="50"/>
      <c r="Q143" s="51"/>
      <c r="R143" s="51"/>
      <c r="S143" s="52"/>
      <c r="T143" s="52"/>
      <c r="U143" s="51"/>
      <c r="V143" s="52"/>
      <c r="W143" s="52"/>
      <c r="X143" s="98"/>
      <c r="Y143" s="99"/>
      <c r="Z143" s="99"/>
      <c r="AA143" s="100"/>
      <c r="AB143" s="100"/>
      <c r="AC143" s="100"/>
      <c r="AD143" s="53"/>
      <c r="AE143" s="54"/>
      <c r="AF143" s="54"/>
      <c r="AG143" s="55"/>
      <c r="AH143" s="55"/>
      <c r="AI143" s="55"/>
      <c r="AJ143" s="110"/>
      <c r="AK143" s="111"/>
      <c r="AL143" s="111"/>
      <c r="AM143" s="112"/>
      <c r="AN143" s="112"/>
      <c r="AO143" s="77"/>
      <c r="AP143" s="86"/>
      <c r="AQ143" s="86"/>
      <c r="AR143" s="85"/>
      <c r="AS143" s="77"/>
      <c r="AT143" s="77"/>
      <c r="AU143" s="77"/>
      <c r="AV143" s="119"/>
      <c r="AW143" s="129"/>
      <c r="AX143" s="129"/>
      <c r="AY143" s="125"/>
      <c r="AZ143" s="119"/>
      <c r="BA143" s="47"/>
      <c r="BB143" s="48"/>
      <c r="BC143" s="48"/>
      <c r="BD143" s="49"/>
      <c r="BE143" s="49"/>
      <c r="BF143" s="49"/>
      <c r="BG143" s="129"/>
      <c r="BH143" s="129"/>
      <c r="BI143" s="129"/>
      <c r="BJ143" s="125"/>
      <c r="BK143" s="119"/>
      <c r="BL143" s="119"/>
      <c r="BM143" s="77"/>
      <c r="BN143" s="86"/>
      <c r="BO143" s="86"/>
      <c r="BP143" s="85"/>
      <c r="BQ143" s="85"/>
      <c r="BR143" s="77"/>
    </row>
    <row r="144" spans="8:70" x14ac:dyDescent="0.3">
      <c r="H144" s="80"/>
      <c r="I144" s="47"/>
      <c r="J144" s="48"/>
      <c r="K144" s="48"/>
      <c r="L144" s="49"/>
      <c r="M144" s="47"/>
      <c r="N144" s="49"/>
      <c r="O144" s="49"/>
      <c r="P144" s="50"/>
      <c r="Q144" s="51"/>
      <c r="R144" s="51"/>
      <c r="S144" s="52"/>
      <c r="T144" s="52"/>
      <c r="U144" s="51"/>
      <c r="V144" s="52"/>
      <c r="W144" s="52"/>
      <c r="X144" s="98"/>
      <c r="Y144" s="99"/>
      <c r="Z144" s="99"/>
      <c r="AA144" s="100"/>
      <c r="AB144" s="100"/>
      <c r="AC144" s="100"/>
      <c r="AD144" s="53"/>
      <c r="AE144" s="54"/>
      <c r="AF144" s="54"/>
      <c r="AG144" s="55"/>
      <c r="AH144" s="55"/>
      <c r="AI144" s="55"/>
      <c r="AJ144" s="110"/>
      <c r="AK144" s="111"/>
      <c r="AL144" s="111"/>
      <c r="AM144" s="112"/>
      <c r="AN144" s="112"/>
      <c r="AO144" s="77"/>
      <c r="AP144" s="86"/>
      <c r="AQ144" s="86"/>
      <c r="AR144" s="85"/>
      <c r="AS144" s="77"/>
      <c r="AT144" s="77"/>
      <c r="AU144" s="77"/>
      <c r="AV144" s="119"/>
      <c r="AW144" s="129"/>
      <c r="AX144" s="129"/>
      <c r="AY144" s="125"/>
      <c r="AZ144" s="119"/>
      <c r="BA144" s="47"/>
      <c r="BB144" s="48"/>
      <c r="BC144" s="48"/>
      <c r="BD144" s="49"/>
      <c r="BE144" s="49"/>
      <c r="BF144" s="49"/>
      <c r="BG144" s="129"/>
      <c r="BH144" s="129"/>
      <c r="BI144" s="129"/>
      <c r="BJ144" s="125"/>
      <c r="BK144" s="119"/>
      <c r="BL144" s="119"/>
      <c r="BM144" s="77"/>
      <c r="BN144" s="86"/>
      <c r="BO144" s="86"/>
      <c r="BP144" s="85"/>
      <c r="BQ144" s="85"/>
      <c r="BR144" s="77"/>
    </row>
    <row r="145" spans="8:70" x14ac:dyDescent="0.3">
      <c r="H145" s="80"/>
      <c r="I145" s="47"/>
      <c r="J145" s="48"/>
      <c r="K145" s="48"/>
      <c r="L145" s="49"/>
      <c r="M145" s="47"/>
      <c r="N145" s="49"/>
      <c r="O145" s="49"/>
      <c r="P145" s="50"/>
      <c r="Q145" s="51"/>
      <c r="R145" s="51"/>
      <c r="S145" s="52"/>
      <c r="T145" s="52"/>
      <c r="U145" s="51"/>
      <c r="V145" s="52"/>
      <c r="W145" s="52"/>
      <c r="X145" s="98"/>
      <c r="Y145" s="99"/>
      <c r="Z145" s="99"/>
      <c r="AA145" s="100"/>
      <c r="AB145" s="100"/>
      <c r="AC145" s="100"/>
      <c r="AD145" s="53"/>
      <c r="AE145" s="54"/>
      <c r="AF145" s="54"/>
      <c r="AG145" s="55"/>
      <c r="AH145" s="55"/>
      <c r="AI145" s="55"/>
      <c r="AJ145" s="110"/>
      <c r="AK145" s="111"/>
      <c r="AL145" s="111"/>
      <c r="AM145" s="112"/>
      <c r="AN145" s="112"/>
      <c r="AO145" s="77"/>
      <c r="AP145" s="86"/>
      <c r="AQ145" s="86"/>
      <c r="AR145" s="85"/>
      <c r="AS145" s="77"/>
      <c r="AT145" s="77"/>
      <c r="AU145" s="77"/>
      <c r="AV145" s="119"/>
      <c r="AW145" s="129"/>
      <c r="AX145" s="129"/>
      <c r="AY145" s="125"/>
      <c r="AZ145" s="119"/>
      <c r="BA145" s="47"/>
      <c r="BB145" s="48"/>
      <c r="BC145" s="48"/>
      <c r="BD145" s="49"/>
      <c r="BE145" s="49"/>
      <c r="BF145" s="49"/>
      <c r="BG145" s="129"/>
      <c r="BH145" s="129"/>
      <c r="BI145" s="129"/>
      <c r="BJ145" s="125"/>
      <c r="BK145" s="119"/>
      <c r="BL145" s="119"/>
      <c r="BM145" s="77"/>
      <c r="BN145" s="86"/>
      <c r="BO145" s="86"/>
      <c r="BP145" s="85"/>
      <c r="BQ145" s="85"/>
      <c r="BR145" s="77"/>
    </row>
    <row r="146" spans="8:70" x14ac:dyDescent="0.3">
      <c r="H146" s="80"/>
      <c r="I146" s="47"/>
      <c r="J146" s="48"/>
      <c r="K146" s="48"/>
      <c r="L146" s="49"/>
      <c r="M146" s="47"/>
      <c r="N146" s="49"/>
      <c r="O146" s="49"/>
      <c r="P146" s="50"/>
      <c r="Q146" s="51"/>
      <c r="R146" s="51"/>
      <c r="S146" s="52"/>
      <c r="T146" s="52"/>
      <c r="U146" s="51"/>
      <c r="V146" s="52"/>
      <c r="W146" s="52"/>
      <c r="X146" s="98"/>
      <c r="Y146" s="99"/>
      <c r="Z146" s="99"/>
      <c r="AA146" s="100"/>
      <c r="AB146" s="100"/>
      <c r="AC146" s="100"/>
      <c r="AD146" s="53"/>
      <c r="AE146" s="54"/>
      <c r="AF146" s="54"/>
      <c r="AG146" s="55"/>
      <c r="AH146" s="55"/>
      <c r="AI146" s="55"/>
      <c r="AJ146" s="110"/>
      <c r="AK146" s="111"/>
      <c r="AL146" s="111"/>
      <c r="AM146" s="112"/>
      <c r="AN146" s="112"/>
      <c r="AO146" s="77"/>
      <c r="AP146" s="86"/>
      <c r="AQ146" s="86"/>
      <c r="AR146" s="85"/>
      <c r="AS146" s="77"/>
      <c r="AT146" s="77"/>
      <c r="AU146" s="77"/>
      <c r="AV146" s="119"/>
      <c r="AW146" s="129"/>
      <c r="AX146" s="129"/>
      <c r="AY146" s="125"/>
      <c r="AZ146" s="119"/>
      <c r="BA146" s="47"/>
      <c r="BB146" s="48"/>
      <c r="BC146" s="48"/>
      <c r="BD146" s="49"/>
      <c r="BE146" s="49"/>
      <c r="BF146" s="49"/>
      <c r="BG146" s="129"/>
      <c r="BH146" s="129"/>
      <c r="BI146" s="129"/>
      <c r="BJ146" s="125"/>
      <c r="BK146" s="119"/>
      <c r="BL146" s="119"/>
      <c r="BM146" s="77"/>
      <c r="BN146" s="86"/>
      <c r="BO146" s="86"/>
      <c r="BP146" s="85"/>
      <c r="BQ146" s="85"/>
      <c r="BR146" s="77"/>
    </row>
    <row r="147" spans="8:70" x14ac:dyDescent="0.3">
      <c r="H147" s="80"/>
      <c r="I147" s="47"/>
      <c r="J147" s="48"/>
      <c r="K147" s="48"/>
      <c r="L147" s="49"/>
      <c r="M147" s="47"/>
      <c r="N147" s="49"/>
      <c r="O147" s="49"/>
      <c r="P147" s="50"/>
      <c r="Q147" s="51"/>
      <c r="R147" s="51"/>
      <c r="S147" s="52"/>
      <c r="T147" s="52"/>
      <c r="U147" s="51"/>
      <c r="V147" s="52"/>
      <c r="W147" s="52"/>
      <c r="X147" s="98"/>
      <c r="Y147" s="99"/>
      <c r="Z147" s="99"/>
      <c r="AA147" s="100"/>
      <c r="AB147" s="100"/>
      <c r="AC147" s="100"/>
      <c r="AD147" s="53"/>
      <c r="AE147" s="54"/>
      <c r="AF147" s="54"/>
      <c r="AG147" s="55"/>
      <c r="AH147" s="55"/>
      <c r="AI147" s="55"/>
      <c r="AJ147" s="110"/>
      <c r="AK147" s="111"/>
      <c r="AL147" s="111"/>
      <c r="AM147" s="112"/>
      <c r="AN147" s="112"/>
      <c r="AO147" s="77"/>
      <c r="AP147" s="86"/>
      <c r="AQ147" s="86"/>
      <c r="AR147" s="85"/>
      <c r="AS147" s="77"/>
      <c r="AT147" s="77"/>
      <c r="AU147" s="77"/>
      <c r="AV147" s="119"/>
      <c r="AW147" s="129"/>
      <c r="AX147" s="129"/>
      <c r="AY147" s="125"/>
      <c r="AZ147" s="119"/>
      <c r="BA147" s="47"/>
      <c r="BB147" s="48"/>
      <c r="BC147" s="48"/>
      <c r="BD147" s="49"/>
      <c r="BE147" s="49"/>
      <c r="BF147" s="49"/>
      <c r="BG147" s="129"/>
      <c r="BH147" s="129"/>
      <c r="BI147" s="129"/>
      <c r="BJ147" s="125"/>
      <c r="BK147" s="119"/>
      <c r="BL147" s="119"/>
      <c r="BM147" s="77"/>
      <c r="BN147" s="86"/>
      <c r="BO147" s="86"/>
      <c r="BP147" s="85"/>
      <c r="BQ147" s="85"/>
      <c r="BR147" s="77"/>
    </row>
    <row r="148" spans="8:70" x14ac:dyDescent="0.3">
      <c r="H148" s="80"/>
      <c r="I148" s="47"/>
      <c r="J148" s="48"/>
      <c r="K148" s="48"/>
      <c r="L148" s="49"/>
      <c r="M148" s="47"/>
      <c r="N148" s="49"/>
      <c r="O148" s="49"/>
      <c r="P148" s="50"/>
      <c r="Q148" s="51"/>
      <c r="R148" s="51"/>
      <c r="S148" s="52"/>
      <c r="T148" s="52"/>
      <c r="U148" s="51"/>
      <c r="V148" s="52"/>
      <c r="W148" s="52"/>
      <c r="X148" s="98"/>
      <c r="Y148" s="99"/>
      <c r="Z148" s="99"/>
      <c r="AA148" s="100"/>
      <c r="AB148" s="100"/>
      <c r="AC148" s="100"/>
      <c r="AD148" s="53"/>
      <c r="AE148" s="54"/>
      <c r="AF148" s="54"/>
      <c r="AG148" s="55"/>
      <c r="AH148" s="55"/>
      <c r="AI148" s="55"/>
      <c r="AJ148" s="110"/>
      <c r="AK148" s="111"/>
      <c r="AL148" s="111"/>
      <c r="AM148" s="112"/>
      <c r="AN148" s="112"/>
      <c r="AO148" s="77"/>
      <c r="AP148" s="86"/>
      <c r="AQ148" s="86"/>
      <c r="AR148" s="85"/>
      <c r="AS148" s="77"/>
      <c r="AT148" s="77"/>
      <c r="AU148" s="77"/>
      <c r="AV148" s="119"/>
      <c r="AW148" s="129"/>
      <c r="AX148" s="129"/>
      <c r="AY148" s="125"/>
      <c r="AZ148" s="119"/>
      <c r="BA148" s="47"/>
      <c r="BB148" s="48"/>
      <c r="BC148" s="48"/>
      <c r="BD148" s="49"/>
      <c r="BE148" s="49"/>
      <c r="BF148" s="49"/>
      <c r="BG148" s="129"/>
      <c r="BH148" s="129"/>
      <c r="BI148" s="129"/>
      <c r="BJ148" s="125"/>
      <c r="BK148" s="119"/>
      <c r="BL148" s="119"/>
      <c r="BM148" s="77"/>
      <c r="BN148" s="86"/>
      <c r="BO148" s="86"/>
      <c r="BP148" s="85"/>
      <c r="BQ148" s="85"/>
      <c r="BR148" s="77"/>
    </row>
    <row r="149" spans="8:70" x14ac:dyDescent="0.3">
      <c r="H149" s="80"/>
      <c r="I149" s="47"/>
      <c r="J149" s="48"/>
      <c r="K149" s="48"/>
      <c r="L149" s="49"/>
      <c r="M149" s="47"/>
      <c r="N149" s="49"/>
      <c r="O149" s="49"/>
      <c r="P149" s="50"/>
      <c r="Q149" s="51"/>
      <c r="R149" s="51"/>
      <c r="S149" s="52"/>
      <c r="T149" s="52"/>
      <c r="U149" s="51"/>
      <c r="V149" s="52"/>
      <c r="W149" s="52"/>
      <c r="X149" s="98"/>
      <c r="Y149" s="99"/>
      <c r="Z149" s="99"/>
      <c r="AA149" s="100"/>
      <c r="AB149" s="100"/>
      <c r="AC149" s="100"/>
      <c r="AD149" s="53"/>
      <c r="AE149" s="54"/>
      <c r="AF149" s="54"/>
      <c r="AG149" s="55"/>
      <c r="AH149" s="55"/>
      <c r="AI149" s="55"/>
      <c r="AJ149" s="110"/>
      <c r="AK149" s="111"/>
      <c r="AL149" s="111"/>
      <c r="AM149" s="112"/>
      <c r="AN149" s="112"/>
      <c r="AO149" s="77"/>
      <c r="AP149" s="86"/>
      <c r="AQ149" s="86"/>
      <c r="AR149" s="85"/>
      <c r="AS149" s="77"/>
      <c r="AT149" s="77"/>
      <c r="AU149" s="77"/>
      <c r="AV149" s="119"/>
      <c r="AW149" s="129"/>
      <c r="AX149" s="129"/>
      <c r="AY149" s="125"/>
      <c r="AZ149" s="119"/>
      <c r="BA149" s="47"/>
      <c r="BB149" s="48"/>
      <c r="BC149" s="48"/>
      <c r="BD149" s="49"/>
      <c r="BE149" s="49"/>
      <c r="BF149" s="49"/>
      <c r="BG149" s="129"/>
      <c r="BH149" s="129"/>
      <c r="BI149" s="129"/>
      <c r="BJ149" s="125"/>
      <c r="BK149" s="119"/>
      <c r="BL149" s="119"/>
      <c r="BM149" s="77"/>
      <c r="BN149" s="86"/>
      <c r="BO149" s="86"/>
      <c r="BP149" s="85"/>
      <c r="BQ149" s="85"/>
      <c r="BR149" s="77"/>
    </row>
    <row r="150" spans="8:70" x14ac:dyDescent="0.3">
      <c r="H150" s="80"/>
      <c r="I150" s="47"/>
      <c r="J150" s="48"/>
      <c r="K150" s="48"/>
      <c r="L150" s="49"/>
      <c r="M150" s="47"/>
      <c r="N150" s="49"/>
      <c r="O150" s="49"/>
      <c r="P150" s="50"/>
      <c r="Q150" s="51"/>
      <c r="R150" s="51"/>
      <c r="S150" s="52"/>
      <c r="T150" s="52"/>
      <c r="U150" s="51"/>
      <c r="V150" s="52"/>
      <c r="W150" s="52"/>
      <c r="X150" s="98"/>
      <c r="Y150" s="99"/>
      <c r="Z150" s="99"/>
      <c r="AA150" s="100"/>
      <c r="AB150" s="100"/>
      <c r="AC150" s="100"/>
      <c r="AD150" s="53"/>
      <c r="AE150" s="54"/>
      <c r="AF150" s="54"/>
      <c r="AG150" s="55"/>
      <c r="AH150" s="55"/>
      <c r="AI150" s="55"/>
      <c r="AJ150" s="110"/>
      <c r="AK150" s="111"/>
      <c r="AL150" s="111"/>
      <c r="AM150" s="112"/>
      <c r="AN150" s="112"/>
      <c r="AO150" s="77"/>
      <c r="AP150" s="86"/>
      <c r="AQ150" s="86"/>
      <c r="AR150" s="85"/>
      <c r="AS150" s="77"/>
      <c r="AT150" s="77"/>
      <c r="AU150" s="77"/>
      <c r="AV150" s="119"/>
      <c r="AW150" s="129"/>
      <c r="AX150" s="129"/>
      <c r="AY150" s="125"/>
      <c r="AZ150" s="119"/>
      <c r="BA150" s="47"/>
      <c r="BB150" s="48"/>
      <c r="BC150" s="48"/>
      <c r="BD150" s="49"/>
      <c r="BE150" s="49"/>
      <c r="BF150" s="49"/>
      <c r="BG150" s="129"/>
      <c r="BH150" s="129"/>
      <c r="BI150" s="129"/>
      <c r="BJ150" s="125"/>
      <c r="BK150" s="119"/>
      <c r="BL150" s="119"/>
      <c r="BM150" s="77"/>
      <c r="BN150" s="86"/>
      <c r="BO150" s="86"/>
      <c r="BP150" s="85"/>
      <c r="BQ150" s="85"/>
      <c r="BR150" s="77"/>
    </row>
    <row r="151" spans="8:70" x14ac:dyDescent="0.3">
      <c r="H151" s="80"/>
      <c r="I151" s="47"/>
      <c r="J151" s="48"/>
      <c r="K151" s="48"/>
      <c r="L151" s="49"/>
      <c r="M151" s="47"/>
      <c r="N151" s="49"/>
      <c r="O151" s="49"/>
      <c r="P151" s="50"/>
      <c r="Q151" s="51"/>
      <c r="R151" s="51"/>
      <c r="S151" s="52"/>
      <c r="T151" s="52"/>
      <c r="U151" s="51"/>
      <c r="V151" s="52"/>
      <c r="W151" s="52"/>
      <c r="X151" s="98"/>
      <c r="Y151" s="99"/>
      <c r="Z151" s="99"/>
      <c r="AA151" s="100"/>
      <c r="AB151" s="100"/>
      <c r="AC151" s="100"/>
      <c r="AD151" s="53"/>
      <c r="AE151" s="54"/>
      <c r="AF151" s="54"/>
      <c r="AG151" s="55"/>
      <c r="AH151" s="55"/>
      <c r="AI151" s="55"/>
      <c r="AJ151" s="110"/>
      <c r="AK151" s="111"/>
      <c r="AL151" s="111"/>
      <c r="AM151" s="112"/>
      <c r="AN151" s="112"/>
      <c r="AO151" s="77"/>
      <c r="AP151" s="86"/>
      <c r="AQ151" s="86"/>
      <c r="AR151" s="85"/>
      <c r="AS151" s="77"/>
      <c r="AT151" s="77"/>
      <c r="AU151" s="77"/>
      <c r="AV151" s="119"/>
      <c r="AW151" s="129"/>
      <c r="AX151" s="129"/>
      <c r="AY151" s="125"/>
      <c r="AZ151" s="119"/>
      <c r="BA151" s="47"/>
      <c r="BB151" s="48"/>
      <c r="BC151" s="48"/>
      <c r="BD151" s="49"/>
      <c r="BE151" s="49"/>
      <c r="BF151" s="49"/>
      <c r="BG151" s="129"/>
      <c r="BH151" s="129"/>
      <c r="BI151" s="129"/>
      <c r="BJ151" s="125"/>
      <c r="BK151" s="119"/>
      <c r="BL151" s="119"/>
      <c r="BM151" s="77"/>
      <c r="BN151" s="86"/>
      <c r="BO151" s="86"/>
      <c r="BP151" s="85"/>
      <c r="BQ151" s="85"/>
      <c r="BR151" s="77"/>
    </row>
    <row r="152" spans="8:70" x14ac:dyDescent="0.3">
      <c r="H152" s="80"/>
      <c r="I152" s="47"/>
      <c r="J152" s="48"/>
      <c r="K152" s="48"/>
      <c r="L152" s="49"/>
      <c r="M152" s="47"/>
      <c r="N152" s="49"/>
      <c r="O152" s="49"/>
      <c r="P152" s="50"/>
      <c r="Q152" s="51"/>
      <c r="R152" s="51"/>
      <c r="S152" s="52"/>
      <c r="T152" s="52"/>
      <c r="U152" s="51"/>
      <c r="V152" s="52"/>
      <c r="W152" s="52"/>
      <c r="X152" s="98"/>
      <c r="Y152" s="99"/>
      <c r="Z152" s="99"/>
      <c r="AA152" s="100"/>
      <c r="AB152" s="100"/>
      <c r="AC152" s="100"/>
      <c r="AD152" s="53"/>
      <c r="AE152" s="54"/>
      <c r="AF152" s="54"/>
      <c r="AG152" s="55"/>
      <c r="AH152" s="55"/>
      <c r="AI152" s="55"/>
      <c r="AJ152" s="110"/>
      <c r="AK152" s="111"/>
      <c r="AL152" s="111"/>
      <c r="AM152" s="112"/>
      <c r="AN152" s="112"/>
      <c r="AO152" s="77"/>
      <c r="AP152" s="86"/>
      <c r="AQ152" s="86"/>
      <c r="AR152" s="85"/>
      <c r="AS152" s="77"/>
      <c r="AT152" s="77"/>
      <c r="AU152" s="77"/>
      <c r="AV152" s="119"/>
      <c r="AW152" s="129"/>
      <c r="AX152" s="129"/>
      <c r="AY152" s="125"/>
      <c r="AZ152" s="119"/>
      <c r="BA152" s="47"/>
      <c r="BB152" s="48"/>
      <c r="BC152" s="48"/>
      <c r="BD152" s="49"/>
      <c r="BE152" s="49"/>
      <c r="BF152" s="49"/>
      <c r="BG152" s="129"/>
      <c r="BH152" s="129"/>
      <c r="BI152" s="129"/>
      <c r="BJ152" s="125"/>
      <c r="BK152" s="119"/>
      <c r="BL152" s="119"/>
      <c r="BM152" s="77"/>
      <c r="BN152" s="86"/>
      <c r="BO152" s="86"/>
      <c r="BP152" s="85"/>
      <c r="BQ152" s="85"/>
      <c r="BR152" s="77"/>
    </row>
    <row r="153" spans="8:70" x14ac:dyDescent="0.3">
      <c r="H153" s="80"/>
      <c r="I153" s="47"/>
      <c r="J153" s="48"/>
      <c r="K153" s="48"/>
      <c r="L153" s="49"/>
      <c r="M153" s="47"/>
      <c r="N153" s="49"/>
      <c r="O153" s="49"/>
      <c r="P153" s="50"/>
      <c r="Q153" s="51"/>
      <c r="R153" s="51"/>
      <c r="S153" s="52"/>
      <c r="T153" s="52"/>
      <c r="U153" s="51"/>
      <c r="V153" s="52"/>
      <c r="W153" s="52"/>
      <c r="X153" s="98"/>
      <c r="Y153" s="99"/>
      <c r="Z153" s="99"/>
      <c r="AA153" s="100"/>
      <c r="AB153" s="100"/>
      <c r="AC153" s="100"/>
      <c r="AD153" s="53"/>
      <c r="AE153" s="54"/>
      <c r="AF153" s="54"/>
      <c r="AG153" s="55"/>
      <c r="AH153" s="55"/>
      <c r="AI153" s="55"/>
      <c r="AJ153" s="110"/>
      <c r="AK153" s="111"/>
      <c r="AL153" s="111"/>
      <c r="AM153" s="112"/>
      <c r="AN153" s="112"/>
      <c r="AO153" s="77"/>
      <c r="AP153" s="86"/>
      <c r="AQ153" s="86"/>
      <c r="AR153" s="85"/>
      <c r="AS153" s="77"/>
      <c r="AT153" s="77"/>
      <c r="AU153" s="77"/>
      <c r="AV153" s="119"/>
      <c r="AW153" s="129"/>
      <c r="AX153" s="129"/>
      <c r="AY153" s="125"/>
      <c r="AZ153" s="119"/>
      <c r="BA153" s="47"/>
      <c r="BB153" s="48"/>
      <c r="BC153" s="48"/>
      <c r="BD153" s="49"/>
      <c r="BE153" s="49"/>
      <c r="BF153" s="49"/>
      <c r="BG153" s="129"/>
      <c r="BH153" s="129"/>
      <c r="BI153" s="129"/>
      <c r="BJ153" s="125"/>
      <c r="BK153" s="119"/>
      <c r="BL153" s="119"/>
      <c r="BM153" s="77"/>
      <c r="BN153" s="86"/>
      <c r="BO153" s="86"/>
      <c r="BP153" s="85"/>
      <c r="BQ153" s="85"/>
      <c r="BR153" s="77"/>
    </row>
    <row r="154" spans="8:70" x14ac:dyDescent="0.3">
      <c r="H154" s="80"/>
      <c r="I154" s="47"/>
      <c r="J154" s="48"/>
      <c r="K154" s="48"/>
      <c r="L154" s="49"/>
      <c r="M154" s="47"/>
      <c r="N154" s="49"/>
      <c r="O154" s="49"/>
      <c r="P154" s="50"/>
      <c r="Q154" s="51"/>
      <c r="R154" s="51"/>
      <c r="S154" s="52"/>
      <c r="T154" s="52"/>
      <c r="U154" s="51"/>
      <c r="V154" s="52"/>
      <c r="W154" s="52"/>
      <c r="X154" s="98"/>
      <c r="Y154" s="99"/>
      <c r="Z154" s="99"/>
      <c r="AA154" s="100"/>
      <c r="AB154" s="100"/>
      <c r="AC154" s="100"/>
      <c r="AD154" s="53"/>
      <c r="AE154" s="54"/>
      <c r="AF154" s="54"/>
      <c r="AG154" s="55"/>
      <c r="AH154" s="55"/>
      <c r="AI154" s="55"/>
      <c r="AJ154" s="110"/>
      <c r="AK154" s="111"/>
      <c r="AL154" s="111"/>
      <c r="AM154" s="112"/>
      <c r="AN154" s="112"/>
      <c r="AO154" s="77"/>
      <c r="AP154" s="86"/>
      <c r="AQ154" s="86"/>
      <c r="AR154" s="85"/>
      <c r="AS154" s="77"/>
      <c r="AT154" s="77"/>
      <c r="AU154" s="77"/>
      <c r="AV154" s="119"/>
      <c r="AW154" s="129"/>
      <c r="AX154" s="129"/>
      <c r="AY154" s="125"/>
      <c r="AZ154" s="119"/>
      <c r="BA154" s="47"/>
      <c r="BB154" s="48"/>
      <c r="BC154" s="48"/>
      <c r="BD154" s="49"/>
      <c r="BE154" s="49"/>
      <c r="BF154" s="49"/>
      <c r="BG154" s="129"/>
      <c r="BH154" s="129"/>
      <c r="BI154" s="129"/>
      <c r="BJ154" s="125"/>
      <c r="BK154" s="119"/>
      <c r="BL154" s="119"/>
      <c r="BM154" s="77"/>
      <c r="BN154" s="86"/>
      <c r="BO154" s="86"/>
      <c r="BP154" s="85"/>
      <c r="BQ154" s="85"/>
      <c r="BR154" s="77"/>
    </row>
    <row r="155" spans="8:70" x14ac:dyDescent="0.3">
      <c r="H155" s="80"/>
      <c r="I155" s="47"/>
      <c r="J155" s="48"/>
      <c r="K155" s="48"/>
      <c r="L155" s="49"/>
      <c r="M155" s="47"/>
      <c r="N155" s="49"/>
      <c r="O155" s="49"/>
      <c r="P155" s="50"/>
      <c r="Q155" s="51"/>
      <c r="R155" s="51"/>
      <c r="S155" s="52"/>
      <c r="T155" s="52"/>
      <c r="U155" s="51"/>
      <c r="V155" s="52"/>
      <c r="W155" s="52"/>
      <c r="X155" s="98"/>
      <c r="Y155" s="99"/>
      <c r="Z155" s="99"/>
      <c r="AA155" s="100"/>
      <c r="AB155" s="100"/>
      <c r="AC155" s="100"/>
      <c r="AD155" s="53"/>
      <c r="AE155" s="54"/>
      <c r="AF155" s="54"/>
      <c r="AG155" s="55"/>
      <c r="AH155" s="55"/>
      <c r="AI155" s="55"/>
      <c r="AJ155" s="110"/>
      <c r="AK155" s="111"/>
      <c r="AL155" s="111"/>
      <c r="AM155" s="112"/>
      <c r="AN155" s="112"/>
      <c r="AO155" s="77"/>
      <c r="AP155" s="86"/>
      <c r="AQ155" s="86"/>
      <c r="AR155" s="85"/>
      <c r="AS155" s="77"/>
      <c r="AT155" s="77"/>
      <c r="AU155" s="77"/>
      <c r="AV155" s="119"/>
      <c r="AW155" s="129"/>
      <c r="AX155" s="129"/>
      <c r="AY155" s="125"/>
      <c r="AZ155" s="119"/>
      <c r="BA155" s="47"/>
      <c r="BB155" s="48"/>
      <c r="BC155" s="48"/>
      <c r="BD155" s="49"/>
      <c r="BE155" s="49"/>
      <c r="BF155" s="49"/>
      <c r="BG155" s="129"/>
      <c r="BH155" s="129"/>
      <c r="BI155" s="129"/>
      <c r="BJ155" s="125"/>
      <c r="BK155" s="119"/>
      <c r="BL155" s="119"/>
      <c r="BM155" s="77"/>
      <c r="BN155" s="86"/>
      <c r="BO155" s="86"/>
      <c r="BP155" s="85"/>
      <c r="BQ155" s="85"/>
      <c r="BR155" s="77"/>
    </row>
    <row r="156" spans="8:70" x14ac:dyDescent="0.3">
      <c r="H156" s="80"/>
      <c r="I156" s="47"/>
      <c r="J156" s="48"/>
      <c r="K156" s="48"/>
      <c r="L156" s="49"/>
      <c r="M156" s="47"/>
      <c r="N156" s="49"/>
      <c r="O156" s="49"/>
      <c r="P156" s="50"/>
      <c r="Q156" s="51"/>
      <c r="R156" s="51"/>
      <c r="S156" s="52"/>
      <c r="T156" s="52"/>
      <c r="U156" s="51"/>
      <c r="V156" s="52"/>
      <c r="W156" s="52"/>
      <c r="X156" s="98"/>
      <c r="Y156" s="99"/>
      <c r="Z156" s="99"/>
      <c r="AA156" s="100"/>
      <c r="AB156" s="100"/>
      <c r="AC156" s="100"/>
      <c r="AD156" s="53"/>
      <c r="AE156" s="54"/>
      <c r="AF156" s="54"/>
      <c r="AG156" s="55"/>
      <c r="AH156" s="55"/>
      <c r="AI156" s="55"/>
      <c r="AJ156" s="110"/>
      <c r="AK156" s="111"/>
      <c r="AL156" s="111"/>
      <c r="AM156" s="112"/>
      <c r="AN156" s="112"/>
      <c r="AO156" s="77"/>
      <c r="AP156" s="86"/>
      <c r="AQ156" s="86"/>
      <c r="AR156" s="85"/>
      <c r="AS156" s="77"/>
      <c r="AT156" s="77"/>
      <c r="AU156" s="77"/>
      <c r="AV156" s="119"/>
      <c r="AW156" s="129"/>
      <c r="AX156" s="129"/>
      <c r="AY156" s="125"/>
      <c r="AZ156" s="119"/>
      <c r="BA156" s="47"/>
      <c r="BB156" s="48"/>
      <c r="BC156" s="48"/>
      <c r="BD156" s="49"/>
      <c r="BE156" s="49"/>
      <c r="BF156" s="49"/>
      <c r="BG156" s="129"/>
      <c r="BH156" s="129"/>
      <c r="BI156" s="129"/>
      <c r="BJ156" s="125"/>
      <c r="BK156" s="119"/>
      <c r="BL156" s="119"/>
      <c r="BM156" s="77"/>
      <c r="BN156" s="86"/>
      <c r="BO156" s="86"/>
      <c r="BP156" s="85"/>
      <c r="BQ156" s="85"/>
      <c r="BR156" s="77"/>
    </row>
    <row r="157" spans="8:70" x14ac:dyDescent="0.3">
      <c r="H157" s="80"/>
      <c r="I157" s="47"/>
      <c r="J157" s="48"/>
      <c r="K157" s="48"/>
      <c r="L157" s="49"/>
      <c r="M157" s="47"/>
      <c r="N157" s="49"/>
      <c r="O157" s="49"/>
      <c r="P157" s="50"/>
      <c r="Q157" s="51"/>
      <c r="R157" s="51"/>
      <c r="S157" s="52"/>
      <c r="T157" s="52"/>
      <c r="U157" s="51"/>
      <c r="V157" s="52"/>
      <c r="W157" s="52"/>
      <c r="X157" s="98"/>
      <c r="Y157" s="99"/>
      <c r="Z157" s="99"/>
      <c r="AA157" s="100"/>
      <c r="AB157" s="100"/>
      <c r="AC157" s="100"/>
      <c r="AD157" s="53"/>
      <c r="AE157" s="54"/>
      <c r="AF157" s="54"/>
      <c r="AG157" s="55"/>
      <c r="AH157" s="55"/>
      <c r="AI157" s="55"/>
      <c r="AJ157" s="110"/>
      <c r="AK157" s="111"/>
      <c r="AL157" s="111"/>
      <c r="AM157" s="112"/>
      <c r="AN157" s="112"/>
      <c r="AO157" s="77"/>
      <c r="AP157" s="86"/>
      <c r="AQ157" s="86"/>
      <c r="AR157" s="85"/>
      <c r="AS157" s="77"/>
      <c r="AT157" s="77"/>
      <c r="AU157" s="77"/>
      <c r="AV157" s="119"/>
      <c r="AW157" s="129"/>
      <c r="AX157" s="129"/>
      <c r="AY157" s="125"/>
      <c r="AZ157" s="119"/>
      <c r="BA157" s="47"/>
      <c r="BB157" s="48"/>
      <c r="BC157" s="48"/>
      <c r="BD157" s="49"/>
      <c r="BE157" s="49"/>
      <c r="BF157" s="49"/>
      <c r="BG157" s="129"/>
      <c r="BH157" s="129"/>
      <c r="BI157" s="129"/>
      <c r="BJ157" s="125"/>
      <c r="BK157" s="119"/>
      <c r="BL157" s="119"/>
      <c r="BM157" s="77"/>
      <c r="BN157" s="86"/>
      <c r="BO157" s="86"/>
      <c r="BP157" s="85"/>
      <c r="BQ157" s="85"/>
      <c r="BR157" s="77"/>
    </row>
    <row r="158" spans="8:70" x14ac:dyDescent="0.3">
      <c r="H158" s="80"/>
      <c r="I158" s="47"/>
      <c r="J158" s="48"/>
      <c r="K158" s="48"/>
      <c r="L158" s="49"/>
      <c r="M158" s="47"/>
      <c r="N158" s="49"/>
      <c r="O158" s="49"/>
      <c r="P158" s="50"/>
      <c r="Q158" s="51"/>
      <c r="R158" s="51"/>
      <c r="S158" s="52"/>
      <c r="T158" s="52"/>
      <c r="U158" s="51"/>
      <c r="V158" s="52"/>
      <c r="W158" s="52"/>
      <c r="X158" s="98"/>
      <c r="Y158" s="99"/>
      <c r="Z158" s="99"/>
      <c r="AA158" s="100"/>
      <c r="AB158" s="100"/>
      <c r="AC158" s="100"/>
      <c r="AD158" s="53"/>
      <c r="AE158" s="54"/>
      <c r="AF158" s="54"/>
      <c r="AG158" s="55"/>
      <c r="AH158" s="55"/>
      <c r="AI158" s="55"/>
      <c r="AJ158" s="110"/>
      <c r="AK158" s="111"/>
      <c r="AL158" s="111"/>
      <c r="AM158" s="112"/>
      <c r="AN158" s="112"/>
      <c r="AO158" s="77"/>
      <c r="AP158" s="86"/>
      <c r="AQ158" s="86"/>
      <c r="AR158" s="85"/>
      <c r="AS158" s="77"/>
      <c r="AT158" s="77"/>
      <c r="AU158" s="77"/>
      <c r="AV158" s="119"/>
      <c r="AW158" s="129"/>
      <c r="AX158" s="129"/>
      <c r="AY158" s="125"/>
      <c r="AZ158" s="119"/>
      <c r="BA158" s="47"/>
      <c r="BB158" s="48"/>
      <c r="BC158" s="48"/>
      <c r="BD158" s="49"/>
      <c r="BE158" s="49"/>
      <c r="BF158" s="49"/>
      <c r="BG158" s="129"/>
      <c r="BH158" s="129"/>
      <c r="BI158" s="129"/>
      <c r="BJ158" s="125"/>
      <c r="BK158" s="119"/>
      <c r="BL158" s="119"/>
      <c r="BM158" s="77"/>
      <c r="BN158" s="86"/>
      <c r="BO158" s="86"/>
      <c r="BP158" s="85"/>
      <c r="BQ158" s="85"/>
      <c r="BR158" s="77"/>
    </row>
    <row r="159" spans="8:70" x14ac:dyDescent="0.3">
      <c r="H159" s="80"/>
      <c r="I159" s="47"/>
      <c r="J159" s="48"/>
      <c r="K159" s="48"/>
      <c r="L159" s="49"/>
      <c r="M159" s="47"/>
      <c r="N159" s="49"/>
      <c r="O159" s="49"/>
      <c r="P159" s="50"/>
      <c r="Q159" s="51"/>
      <c r="R159" s="51"/>
      <c r="S159" s="52"/>
      <c r="T159" s="52"/>
      <c r="U159" s="51"/>
      <c r="V159" s="52"/>
      <c r="W159" s="52"/>
      <c r="X159" s="98"/>
      <c r="Y159" s="99"/>
      <c r="Z159" s="99"/>
      <c r="AA159" s="100"/>
      <c r="AB159" s="100"/>
      <c r="AC159" s="100"/>
      <c r="AD159" s="53"/>
      <c r="AE159" s="54"/>
      <c r="AF159" s="54"/>
      <c r="AG159" s="55"/>
      <c r="AH159" s="55"/>
      <c r="AI159" s="55"/>
      <c r="AJ159" s="110"/>
      <c r="AK159" s="111"/>
      <c r="AL159" s="111"/>
      <c r="AM159" s="112"/>
      <c r="AN159" s="112"/>
      <c r="AO159" s="77"/>
      <c r="AP159" s="86"/>
      <c r="AQ159" s="86"/>
      <c r="AR159" s="85"/>
      <c r="AS159" s="77"/>
      <c r="AT159" s="77"/>
      <c r="AU159" s="77"/>
      <c r="AV159" s="119"/>
      <c r="AW159" s="129"/>
      <c r="AX159" s="129"/>
      <c r="AY159" s="125"/>
      <c r="AZ159" s="119"/>
      <c r="BA159" s="47"/>
      <c r="BB159" s="48"/>
      <c r="BC159" s="48"/>
      <c r="BD159" s="49"/>
      <c r="BE159" s="49"/>
      <c r="BF159" s="49"/>
      <c r="BG159" s="129"/>
      <c r="BH159" s="129"/>
      <c r="BI159" s="129"/>
      <c r="BJ159" s="125"/>
      <c r="BK159" s="119"/>
      <c r="BL159" s="119"/>
      <c r="BM159" s="77"/>
      <c r="BN159" s="86"/>
      <c r="BO159" s="86"/>
      <c r="BP159" s="85"/>
      <c r="BQ159" s="85"/>
      <c r="BR159" s="77"/>
    </row>
    <row r="160" spans="8:70" x14ac:dyDescent="0.3">
      <c r="H160" s="80"/>
      <c r="I160" s="47"/>
      <c r="J160" s="48"/>
      <c r="K160" s="48"/>
      <c r="L160" s="49"/>
      <c r="M160" s="47"/>
      <c r="N160" s="49"/>
      <c r="O160" s="49"/>
      <c r="P160" s="50"/>
      <c r="Q160" s="51"/>
      <c r="R160" s="51"/>
      <c r="S160" s="52"/>
      <c r="T160" s="52"/>
      <c r="U160" s="51"/>
      <c r="V160" s="52"/>
      <c r="W160" s="52"/>
      <c r="X160" s="98"/>
      <c r="Y160" s="99"/>
      <c r="Z160" s="99"/>
      <c r="AA160" s="100"/>
      <c r="AB160" s="100"/>
      <c r="AC160" s="100"/>
      <c r="AD160" s="53"/>
      <c r="AE160" s="54"/>
      <c r="AF160" s="54"/>
      <c r="AG160" s="55"/>
      <c r="AH160" s="55"/>
      <c r="AI160" s="55"/>
      <c r="AJ160" s="110"/>
      <c r="AK160" s="111"/>
      <c r="AL160" s="111"/>
      <c r="AM160" s="112"/>
      <c r="AN160" s="112"/>
      <c r="AO160" s="77"/>
      <c r="AP160" s="86"/>
      <c r="AQ160" s="86"/>
      <c r="AR160" s="85"/>
      <c r="AS160" s="77"/>
      <c r="AT160" s="77"/>
      <c r="AU160" s="77"/>
      <c r="AV160" s="119"/>
      <c r="AW160" s="129"/>
      <c r="AX160" s="129"/>
      <c r="AY160" s="125"/>
      <c r="AZ160" s="119"/>
      <c r="BA160" s="47"/>
      <c r="BB160" s="48"/>
      <c r="BC160" s="48"/>
      <c r="BD160" s="49"/>
      <c r="BE160" s="49"/>
      <c r="BF160" s="49"/>
      <c r="BG160" s="129"/>
      <c r="BH160" s="129"/>
      <c r="BI160" s="129"/>
      <c r="BJ160" s="125"/>
      <c r="BK160" s="119"/>
      <c r="BL160" s="119"/>
      <c r="BM160" s="77"/>
      <c r="BN160" s="86"/>
      <c r="BO160" s="86"/>
      <c r="BP160" s="85"/>
      <c r="BQ160" s="85"/>
      <c r="BR160" s="77"/>
    </row>
    <row r="161" spans="8:70" x14ac:dyDescent="0.3">
      <c r="H161" s="80"/>
      <c r="I161" s="47"/>
      <c r="J161" s="48"/>
      <c r="K161" s="48"/>
      <c r="L161" s="49"/>
      <c r="M161" s="47"/>
      <c r="N161" s="49"/>
      <c r="O161" s="49"/>
      <c r="P161" s="50"/>
      <c r="Q161" s="51"/>
      <c r="R161" s="51"/>
      <c r="S161" s="52"/>
      <c r="T161" s="52"/>
      <c r="U161" s="51"/>
      <c r="V161" s="52"/>
      <c r="W161" s="52"/>
      <c r="X161" s="98"/>
      <c r="Y161" s="99"/>
      <c r="Z161" s="99"/>
      <c r="AA161" s="100"/>
      <c r="AB161" s="100"/>
      <c r="AC161" s="100"/>
      <c r="AD161" s="53"/>
      <c r="AE161" s="54"/>
      <c r="AF161" s="54"/>
      <c r="AG161" s="55"/>
      <c r="AH161" s="55"/>
      <c r="AI161" s="55"/>
      <c r="AJ161" s="110"/>
      <c r="AK161" s="111"/>
      <c r="AL161" s="111"/>
      <c r="AM161" s="112"/>
      <c r="AN161" s="112"/>
      <c r="AO161" s="77"/>
      <c r="AP161" s="86"/>
      <c r="AQ161" s="86"/>
      <c r="AR161" s="85"/>
      <c r="AS161" s="77"/>
      <c r="AT161" s="77"/>
      <c r="AU161" s="77"/>
      <c r="AV161" s="119"/>
      <c r="AW161" s="129"/>
      <c r="AX161" s="129"/>
      <c r="AY161" s="125"/>
      <c r="AZ161" s="119"/>
      <c r="BA161" s="47"/>
      <c r="BB161" s="48"/>
      <c r="BC161" s="48"/>
      <c r="BD161" s="49"/>
      <c r="BE161" s="49"/>
      <c r="BF161" s="49"/>
      <c r="BG161" s="129"/>
      <c r="BH161" s="129"/>
      <c r="BI161" s="129"/>
      <c r="BJ161" s="125"/>
      <c r="BK161" s="119"/>
      <c r="BL161" s="119"/>
      <c r="BM161" s="77"/>
      <c r="BN161" s="86"/>
      <c r="BO161" s="86"/>
      <c r="BP161" s="85"/>
      <c r="BQ161" s="85"/>
      <c r="BR161" s="77"/>
    </row>
    <row r="162" spans="8:70" x14ac:dyDescent="0.3">
      <c r="H162" s="80"/>
      <c r="I162" s="47"/>
      <c r="J162" s="48"/>
      <c r="K162" s="48"/>
      <c r="L162" s="49"/>
      <c r="M162" s="47"/>
      <c r="N162" s="49"/>
      <c r="O162" s="49"/>
      <c r="P162" s="50"/>
      <c r="Q162" s="51"/>
      <c r="R162" s="51"/>
      <c r="S162" s="52"/>
      <c r="T162" s="52"/>
      <c r="U162" s="51"/>
      <c r="V162" s="52"/>
      <c r="W162" s="52"/>
      <c r="X162" s="98"/>
      <c r="Y162" s="99"/>
      <c r="Z162" s="99"/>
      <c r="AA162" s="100"/>
      <c r="AB162" s="100"/>
      <c r="AC162" s="100"/>
      <c r="AD162" s="53"/>
      <c r="AE162" s="54"/>
      <c r="AF162" s="54"/>
      <c r="AG162" s="55"/>
      <c r="AH162" s="55"/>
      <c r="AI162" s="55"/>
      <c r="AJ162" s="110"/>
      <c r="AK162" s="111"/>
      <c r="AL162" s="111"/>
      <c r="AM162" s="112"/>
      <c r="AN162" s="112"/>
      <c r="AO162" s="77"/>
      <c r="AP162" s="86"/>
      <c r="AQ162" s="86"/>
      <c r="AR162" s="85"/>
      <c r="AS162" s="77"/>
      <c r="AT162" s="77"/>
      <c r="AU162" s="77"/>
      <c r="AV162" s="119"/>
      <c r="AW162" s="129"/>
      <c r="AX162" s="129"/>
      <c r="AY162" s="125"/>
      <c r="AZ162" s="119"/>
      <c r="BA162" s="47"/>
      <c r="BB162" s="48"/>
      <c r="BC162" s="48"/>
      <c r="BD162" s="49"/>
      <c r="BE162" s="49"/>
      <c r="BF162" s="49"/>
      <c r="BG162" s="129"/>
      <c r="BH162" s="129"/>
      <c r="BI162" s="129"/>
      <c r="BJ162" s="125"/>
      <c r="BK162" s="119"/>
      <c r="BL162" s="119"/>
      <c r="BM162" s="77"/>
      <c r="BN162" s="86"/>
      <c r="BO162" s="86"/>
      <c r="BP162" s="85"/>
      <c r="BQ162" s="85"/>
      <c r="BR162" s="77"/>
    </row>
    <row r="163" spans="8:70" x14ac:dyDescent="0.3">
      <c r="H163" s="80"/>
      <c r="I163" s="47"/>
      <c r="J163" s="48"/>
      <c r="K163" s="48"/>
      <c r="L163" s="49"/>
      <c r="M163" s="47"/>
      <c r="N163" s="49"/>
      <c r="O163" s="49"/>
      <c r="P163" s="50"/>
      <c r="Q163" s="51"/>
      <c r="R163" s="51"/>
      <c r="S163" s="52"/>
      <c r="T163" s="52"/>
      <c r="U163" s="51"/>
      <c r="V163" s="52"/>
      <c r="W163" s="52"/>
      <c r="X163" s="98"/>
      <c r="Y163" s="99"/>
      <c r="Z163" s="99"/>
      <c r="AA163" s="100"/>
      <c r="AB163" s="100"/>
      <c r="AC163" s="100"/>
      <c r="AD163" s="53"/>
      <c r="AE163" s="54"/>
      <c r="AF163" s="54"/>
      <c r="AG163" s="55"/>
      <c r="AH163" s="55"/>
      <c r="AI163" s="55"/>
      <c r="AJ163" s="110"/>
      <c r="AK163" s="111"/>
      <c r="AL163" s="111"/>
      <c r="AM163" s="112"/>
      <c r="AN163" s="112"/>
      <c r="AO163" s="77"/>
      <c r="AP163" s="86"/>
      <c r="AQ163" s="86"/>
      <c r="AR163" s="85"/>
      <c r="AS163" s="77"/>
      <c r="AT163" s="77"/>
      <c r="AU163" s="77"/>
      <c r="AV163" s="119"/>
      <c r="AW163" s="129"/>
      <c r="AX163" s="129"/>
      <c r="AY163" s="125"/>
      <c r="AZ163" s="119"/>
      <c r="BA163" s="47"/>
      <c r="BB163" s="48"/>
      <c r="BC163" s="48"/>
      <c r="BD163" s="49"/>
      <c r="BE163" s="49"/>
      <c r="BF163" s="49"/>
      <c r="BG163" s="129"/>
      <c r="BH163" s="129"/>
      <c r="BI163" s="129"/>
      <c r="BJ163" s="125"/>
      <c r="BK163" s="119"/>
      <c r="BL163" s="119"/>
      <c r="BM163" s="77"/>
      <c r="BN163" s="86"/>
      <c r="BO163" s="86"/>
      <c r="BP163" s="85"/>
      <c r="BQ163" s="85"/>
      <c r="BR163" s="77"/>
    </row>
    <row r="164" spans="8:70" x14ac:dyDescent="0.3">
      <c r="H164" s="80"/>
      <c r="I164" s="47"/>
      <c r="J164" s="48"/>
      <c r="K164" s="48"/>
      <c r="L164" s="49"/>
      <c r="M164" s="47"/>
      <c r="N164" s="49"/>
      <c r="O164" s="49"/>
      <c r="P164" s="50"/>
      <c r="Q164" s="51"/>
      <c r="R164" s="51"/>
      <c r="S164" s="52"/>
      <c r="T164" s="52"/>
      <c r="U164" s="51"/>
      <c r="V164" s="52"/>
      <c r="W164" s="52"/>
      <c r="X164" s="98"/>
      <c r="Y164" s="99"/>
      <c r="Z164" s="99"/>
      <c r="AA164" s="100"/>
      <c r="AB164" s="100"/>
      <c r="AC164" s="100"/>
      <c r="AD164" s="53"/>
      <c r="AE164" s="54"/>
      <c r="AF164" s="54"/>
      <c r="AG164" s="55"/>
      <c r="AH164" s="55"/>
      <c r="AI164" s="55"/>
      <c r="AJ164" s="110"/>
      <c r="AK164" s="111"/>
      <c r="AL164" s="111"/>
      <c r="AM164" s="112"/>
      <c r="AN164" s="112"/>
      <c r="AO164" s="77"/>
      <c r="AP164" s="86"/>
      <c r="AQ164" s="86"/>
      <c r="AR164" s="85"/>
      <c r="AS164" s="77"/>
      <c r="AT164" s="77"/>
      <c r="AU164" s="77"/>
      <c r="AV164" s="119"/>
      <c r="AW164" s="129"/>
      <c r="AX164" s="129"/>
      <c r="AY164" s="125"/>
      <c r="AZ164" s="119"/>
      <c r="BA164" s="47"/>
      <c r="BB164" s="48"/>
      <c r="BC164" s="48"/>
      <c r="BD164" s="49"/>
      <c r="BE164" s="49"/>
      <c r="BF164" s="49"/>
      <c r="BG164" s="129"/>
      <c r="BH164" s="129"/>
      <c r="BI164" s="129"/>
      <c r="BJ164" s="125"/>
      <c r="BK164" s="119"/>
      <c r="BL164" s="119"/>
      <c r="BM164" s="77"/>
      <c r="BN164" s="86"/>
      <c r="BO164" s="86"/>
      <c r="BP164" s="85"/>
      <c r="BQ164" s="85"/>
      <c r="BR164" s="77"/>
    </row>
    <row r="165" spans="8:70" x14ac:dyDescent="0.3">
      <c r="H165" s="80"/>
      <c r="I165" s="47"/>
      <c r="J165" s="48"/>
      <c r="K165" s="48"/>
      <c r="L165" s="49"/>
      <c r="M165" s="47"/>
      <c r="N165" s="49"/>
      <c r="O165" s="49"/>
      <c r="P165" s="50"/>
      <c r="Q165" s="51"/>
      <c r="R165" s="51"/>
      <c r="S165" s="52"/>
      <c r="T165" s="52"/>
      <c r="U165" s="51"/>
      <c r="V165" s="52"/>
      <c r="W165" s="52"/>
      <c r="X165" s="98"/>
      <c r="Y165" s="99"/>
      <c r="Z165" s="99"/>
      <c r="AA165" s="100"/>
      <c r="AB165" s="100"/>
      <c r="AC165" s="100"/>
      <c r="AD165" s="53"/>
      <c r="AE165" s="54"/>
      <c r="AF165" s="54"/>
      <c r="AG165" s="55"/>
      <c r="AH165" s="55"/>
      <c r="AI165" s="55"/>
      <c r="AJ165" s="110"/>
      <c r="AK165" s="111"/>
      <c r="AL165" s="111"/>
      <c r="AM165" s="112"/>
      <c r="AN165" s="112"/>
      <c r="AO165" s="77"/>
      <c r="AP165" s="86"/>
      <c r="AQ165" s="86"/>
      <c r="AR165" s="85"/>
      <c r="AS165" s="77"/>
      <c r="AT165" s="77"/>
      <c r="AU165" s="77"/>
      <c r="AV165" s="119"/>
      <c r="AW165" s="129"/>
      <c r="AX165" s="129"/>
      <c r="AY165" s="125"/>
      <c r="AZ165" s="119"/>
      <c r="BA165" s="47"/>
      <c r="BB165" s="48"/>
      <c r="BC165" s="48"/>
      <c r="BD165" s="49"/>
      <c r="BE165" s="49"/>
      <c r="BF165" s="49"/>
      <c r="BG165" s="129"/>
      <c r="BH165" s="129"/>
      <c r="BI165" s="129"/>
      <c r="BJ165" s="125"/>
      <c r="BK165" s="119"/>
      <c r="BL165" s="119"/>
      <c r="BM165" s="77"/>
      <c r="BN165" s="86"/>
      <c r="BO165" s="86"/>
      <c r="BP165" s="85"/>
      <c r="BQ165" s="85"/>
      <c r="BR165" s="77"/>
    </row>
    <row r="166" spans="8:70" x14ac:dyDescent="0.3">
      <c r="H166" s="80"/>
      <c r="I166" s="47"/>
      <c r="J166" s="48"/>
      <c r="K166" s="48"/>
      <c r="L166" s="49"/>
      <c r="M166" s="47"/>
      <c r="N166" s="49"/>
      <c r="O166" s="49"/>
      <c r="P166" s="50"/>
      <c r="Q166" s="51"/>
      <c r="R166" s="51"/>
      <c r="S166" s="52"/>
      <c r="T166" s="52"/>
      <c r="U166" s="51"/>
      <c r="V166" s="52"/>
      <c r="W166" s="52"/>
      <c r="X166" s="98"/>
      <c r="Y166" s="99"/>
      <c r="Z166" s="99"/>
      <c r="AA166" s="100"/>
      <c r="AB166" s="100"/>
      <c r="AC166" s="100"/>
      <c r="AD166" s="53"/>
      <c r="AE166" s="54"/>
      <c r="AF166" s="54"/>
      <c r="AG166" s="55"/>
      <c r="AH166" s="55"/>
      <c r="AI166" s="55"/>
      <c r="AJ166" s="110"/>
      <c r="AK166" s="111"/>
      <c r="AL166" s="111"/>
      <c r="AM166" s="112"/>
      <c r="AN166" s="112"/>
      <c r="AO166" s="77"/>
      <c r="AP166" s="86"/>
      <c r="AQ166" s="86"/>
      <c r="AR166" s="85"/>
      <c r="AS166" s="77"/>
      <c r="AT166" s="77"/>
      <c r="AU166" s="77"/>
      <c r="AV166" s="119"/>
      <c r="AW166" s="129"/>
      <c r="AX166" s="129"/>
      <c r="AY166" s="125"/>
      <c r="AZ166" s="119"/>
      <c r="BA166" s="47"/>
      <c r="BB166" s="48"/>
      <c r="BC166" s="48"/>
      <c r="BD166" s="49"/>
      <c r="BE166" s="49"/>
      <c r="BF166" s="49"/>
      <c r="BG166" s="129"/>
      <c r="BH166" s="129"/>
      <c r="BI166" s="129"/>
      <c r="BJ166" s="125"/>
      <c r="BK166" s="119"/>
      <c r="BL166" s="119"/>
      <c r="BM166" s="77"/>
      <c r="BN166" s="86"/>
      <c r="BO166" s="86"/>
      <c r="BP166" s="85"/>
      <c r="BQ166" s="85"/>
      <c r="BR166" s="77"/>
    </row>
    <row r="167" spans="8:70" x14ac:dyDescent="0.3">
      <c r="H167" s="80"/>
      <c r="I167" s="47"/>
      <c r="J167" s="48"/>
      <c r="K167" s="48"/>
      <c r="L167" s="49"/>
      <c r="M167" s="47"/>
      <c r="N167" s="49"/>
      <c r="O167" s="49"/>
      <c r="P167" s="50"/>
      <c r="Q167" s="51"/>
      <c r="R167" s="51"/>
      <c r="S167" s="52"/>
      <c r="T167" s="52"/>
      <c r="U167" s="51"/>
      <c r="V167" s="52"/>
      <c r="W167" s="52"/>
      <c r="X167" s="98"/>
      <c r="Y167" s="99"/>
      <c r="Z167" s="99"/>
      <c r="AA167" s="100"/>
      <c r="AB167" s="100"/>
      <c r="AC167" s="100"/>
      <c r="AD167" s="53"/>
      <c r="AE167" s="54"/>
      <c r="AF167" s="54"/>
      <c r="AG167" s="55"/>
      <c r="AH167" s="55"/>
      <c r="AI167" s="55"/>
      <c r="AJ167" s="110"/>
      <c r="AK167" s="111"/>
      <c r="AL167" s="111"/>
      <c r="AM167" s="112"/>
      <c r="AN167" s="112"/>
      <c r="AO167" s="77"/>
      <c r="AP167" s="86"/>
      <c r="AQ167" s="86"/>
      <c r="AR167" s="85"/>
      <c r="AS167" s="77"/>
      <c r="AT167" s="77"/>
      <c r="AU167" s="77"/>
      <c r="AV167" s="119"/>
      <c r="AW167" s="129"/>
      <c r="AX167" s="129"/>
      <c r="AY167" s="125"/>
      <c r="AZ167" s="119"/>
      <c r="BA167" s="47"/>
      <c r="BB167" s="48"/>
      <c r="BC167" s="48"/>
      <c r="BD167" s="49"/>
      <c r="BE167" s="49"/>
      <c r="BF167" s="49"/>
      <c r="BG167" s="129"/>
      <c r="BH167" s="129"/>
      <c r="BI167" s="129"/>
      <c r="BJ167" s="125"/>
      <c r="BK167" s="119"/>
      <c r="BL167" s="119"/>
      <c r="BM167" s="77"/>
      <c r="BN167" s="86"/>
      <c r="BO167" s="86"/>
      <c r="BP167" s="85"/>
      <c r="BQ167" s="85"/>
      <c r="BR167" s="77"/>
    </row>
    <row r="168" spans="8:70" x14ac:dyDescent="0.3">
      <c r="H168" s="80"/>
      <c r="I168" s="47"/>
      <c r="J168" s="48"/>
      <c r="K168" s="48"/>
      <c r="L168" s="49"/>
      <c r="M168" s="47"/>
      <c r="N168" s="49"/>
      <c r="O168" s="49"/>
      <c r="P168" s="50"/>
      <c r="Q168" s="51"/>
      <c r="R168" s="51"/>
      <c r="S168" s="52"/>
      <c r="T168" s="52"/>
      <c r="U168" s="51"/>
      <c r="V168" s="52"/>
      <c r="W168" s="52"/>
      <c r="X168" s="98"/>
      <c r="Y168" s="99"/>
      <c r="Z168" s="99"/>
      <c r="AA168" s="100"/>
      <c r="AB168" s="100"/>
      <c r="AC168" s="100"/>
      <c r="AD168" s="53"/>
      <c r="AE168" s="54"/>
      <c r="AF168" s="54"/>
      <c r="AG168" s="55"/>
      <c r="AH168" s="55"/>
      <c r="AI168" s="55"/>
      <c r="AJ168" s="110"/>
      <c r="AK168" s="111"/>
      <c r="AL168" s="111"/>
      <c r="AM168" s="112"/>
      <c r="AN168" s="112"/>
      <c r="AO168" s="77"/>
      <c r="AP168" s="86"/>
      <c r="AQ168" s="86"/>
      <c r="AR168" s="85"/>
      <c r="AS168" s="77"/>
      <c r="AT168" s="77"/>
      <c r="AU168" s="77"/>
      <c r="AV168" s="119"/>
      <c r="AW168" s="129"/>
      <c r="AX168" s="129"/>
      <c r="AY168" s="125"/>
      <c r="AZ168" s="119"/>
      <c r="BA168" s="47"/>
      <c r="BB168" s="48"/>
      <c r="BC168" s="48"/>
      <c r="BD168" s="49"/>
      <c r="BE168" s="49"/>
      <c r="BF168" s="49"/>
      <c r="BG168" s="129"/>
      <c r="BH168" s="129"/>
      <c r="BI168" s="129"/>
      <c r="BJ168" s="125"/>
      <c r="BK168" s="119"/>
      <c r="BL168" s="119"/>
      <c r="BM168" s="77"/>
      <c r="BN168" s="86"/>
      <c r="BO168" s="86"/>
      <c r="BP168" s="85"/>
      <c r="BQ168" s="85"/>
      <c r="BR168" s="77"/>
    </row>
    <row r="169" spans="8:70" x14ac:dyDescent="0.3">
      <c r="H169" s="80"/>
      <c r="I169" s="47"/>
      <c r="J169" s="48"/>
      <c r="K169" s="48"/>
      <c r="L169" s="49"/>
      <c r="M169" s="47"/>
      <c r="N169" s="49"/>
      <c r="O169" s="49"/>
      <c r="P169" s="50"/>
      <c r="Q169" s="51"/>
      <c r="R169" s="51"/>
      <c r="S169" s="52"/>
      <c r="T169" s="52"/>
      <c r="U169" s="51"/>
      <c r="V169" s="52"/>
      <c r="W169" s="52"/>
      <c r="X169" s="98"/>
      <c r="Y169" s="99"/>
      <c r="Z169" s="99"/>
      <c r="AA169" s="100"/>
      <c r="AB169" s="100"/>
      <c r="AC169" s="100"/>
      <c r="AD169" s="53"/>
      <c r="AE169" s="54"/>
      <c r="AF169" s="54"/>
      <c r="AG169" s="55"/>
      <c r="AH169" s="55"/>
      <c r="AI169" s="55"/>
      <c r="AJ169" s="110"/>
      <c r="AK169" s="111"/>
      <c r="AL169" s="111"/>
      <c r="AM169" s="112"/>
      <c r="AN169" s="112"/>
      <c r="AO169" s="77"/>
      <c r="AP169" s="86"/>
      <c r="AQ169" s="86"/>
      <c r="AR169" s="85"/>
      <c r="AS169" s="77"/>
      <c r="AT169" s="77"/>
      <c r="AU169" s="77"/>
      <c r="AV169" s="119"/>
      <c r="AW169" s="129"/>
      <c r="AX169" s="129"/>
      <c r="AY169" s="125"/>
      <c r="AZ169" s="119"/>
      <c r="BA169" s="47"/>
      <c r="BB169" s="48"/>
      <c r="BC169" s="48"/>
      <c r="BD169" s="49"/>
      <c r="BE169" s="49"/>
      <c r="BF169" s="49"/>
      <c r="BG169" s="129"/>
      <c r="BH169" s="129"/>
      <c r="BI169" s="129"/>
      <c r="BJ169" s="125"/>
      <c r="BK169" s="119"/>
      <c r="BL169" s="119"/>
      <c r="BM169" s="77"/>
      <c r="BN169" s="86"/>
      <c r="BO169" s="86"/>
      <c r="BP169" s="85"/>
      <c r="BQ169" s="85"/>
      <c r="BR169" s="77"/>
    </row>
    <row r="170" spans="8:70" x14ac:dyDescent="0.3">
      <c r="H170" s="80"/>
      <c r="I170" s="47"/>
      <c r="J170" s="48"/>
      <c r="K170" s="48"/>
      <c r="L170" s="49"/>
      <c r="M170" s="47"/>
      <c r="N170" s="49"/>
      <c r="O170" s="49"/>
      <c r="P170" s="50"/>
      <c r="Q170" s="51"/>
      <c r="R170" s="51"/>
      <c r="S170" s="52"/>
      <c r="T170" s="52"/>
      <c r="U170" s="51"/>
      <c r="V170" s="52"/>
      <c r="W170" s="52"/>
      <c r="X170" s="98"/>
      <c r="Y170" s="99"/>
      <c r="Z170" s="99"/>
      <c r="AA170" s="100"/>
      <c r="AB170" s="100"/>
      <c r="AC170" s="100"/>
      <c r="AD170" s="53"/>
      <c r="AE170" s="54"/>
      <c r="AF170" s="54"/>
      <c r="AG170" s="55"/>
      <c r="AH170" s="55"/>
      <c r="AI170" s="55"/>
      <c r="AJ170" s="110"/>
      <c r="AK170" s="111"/>
      <c r="AL170" s="111"/>
      <c r="AM170" s="112"/>
      <c r="AN170" s="112"/>
      <c r="AO170" s="77"/>
      <c r="AP170" s="86"/>
      <c r="AQ170" s="86"/>
      <c r="AR170" s="85"/>
      <c r="AS170" s="77"/>
      <c r="AT170" s="77"/>
      <c r="AU170" s="77"/>
      <c r="AV170" s="119"/>
      <c r="AW170" s="129"/>
      <c r="AX170" s="129"/>
      <c r="AY170" s="125"/>
      <c r="AZ170" s="119"/>
      <c r="BA170" s="47"/>
      <c r="BB170" s="48"/>
      <c r="BC170" s="48"/>
      <c r="BD170" s="49"/>
      <c r="BE170" s="49"/>
      <c r="BF170" s="49"/>
      <c r="BG170" s="129"/>
      <c r="BH170" s="129"/>
      <c r="BI170" s="129"/>
      <c r="BJ170" s="125"/>
      <c r="BK170" s="119"/>
      <c r="BL170" s="119"/>
      <c r="BM170" s="77"/>
      <c r="BN170" s="86"/>
      <c r="BO170" s="86"/>
      <c r="BP170" s="85"/>
      <c r="BQ170" s="85"/>
      <c r="BR170" s="77"/>
    </row>
    <row r="171" spans="8:70" x14ac:dyDescent="0.3">
      <c r="H171" s="80"/>
      <c r="I171" s="47"/>
      <c r="J171" s="48"/>
      <c r="K171" s="48"/>
      <c r="L171" s="49"/>
      <c r="M171" s="47"/>
      <c r="N171" s="49"/>
      <c r="O171" s="49"/>
      <c r="P171" s="50"/>
      <c r="Q171" s="51"/>
      <c r="R171" s="51"/>
      <c r="S171" s="52"/>
      <c r="T171" s="52"/>
      <c r="U171" s="51"/>
      <c r="V171" s="52"/>
      <c r="W171" s="52"/>
      <c r="X171" s="98"/>
      <c r="Y171" s="99"/>
      <c r="Z171" s="99"/>
      <c r="AA171" s="100"/>
      <c r="AB171" s="100"/>
      <c r="AC171" s="100"/>
      <c r="AD171" s="53"/>
      <c r="AE171" s="54"/>
      <c r="AF171" s="54"/>
      <c r="AG171" s="55"/>
      <c r="AH171" s="55"/>
      <c r="AI171" s="55"/>
      <c r="AJ171" s="110"/>
      <c r="AK171" s="111"/>
      <c r="AL171" s="111"/>
      <c r="AM171" s="112"/>
      <c r="AN171" s="112"/>
      <c r="AO171" s="77"/>
      <c r="AP171" s="86"/>
      <c r="AQ171" s="86"/>
      <c r="AR171" s="85"/>
      <c r="AS171" s="77"/>
      <c r="AT171" s="77"/>
      <c r="AU171" s="77"/>
      <c r="AV171" s="119"/>
      <c r="AW171" s="129"/>
      <c r="AX171" s="129"/>
      <c r="AY171" s="125"/>
      <c r="AZ171" s="119"/>
      <c r="BA171" s="47"/>
      <c r="BB171" s="48"/>
      <c r="BC171" s="48"/>
      <c r="BD171" s="49"/>
      <c r="BE171" s="49"/>
      <c r="BF171" s="49"/>
      <c r="BG171" s="129"/>
      <c r="BH171" s="129"/>
      <c r="BI171" s="129"/>
      <c r="BJ171" s="125"/>
      <c r="BK171" s="119"/>
      <c r="BL171" s="119"/>
      <c r="BM171" s="77"/>
      <c r="BN171" s="86"/>
      <c r="BO171" s="86"/>
      <c r="BP171" s="85"/>
      <c r="BQ171" s="85"/>
      <c r="BR171" s="77"/>
    </row>
    <row r="172" spans="8:70" x14ac:dyDescent="0.3">
      <c r="H172" s="80"/>
      <c r="I172" s="47"/>
      <c r="J172" s="48"/>
      <c r="K172" s="48"/>
      <c r="L172" s="49"/>
      <c r="M172" s="47"/>
      <c r="N172" s="49"/>
      <c r="O172" s="49"/>
      <c r="P172" s="50"/>
      <c r="Q172" s="51"/>
      <c r="R172" s="51"/>
      <c r="S172" s="52"/>
      <c r="T172" s="52"/>
      <c r="U172" s="51"/>
      <c r="V172" s="52"/>
      <c r="W172" s="52"/>
      <c r="X172" s="98"/>
      <c r="Y172" s="99"/>
      <c r="Z172" s="99"/>
      <c r="AA172" s="100"/>
      <c r="AB172" s="100"/>
      <c r="AC172" s="100"/>
      <c r="AD172" s="53"/>
      <c r="AE172" s="54"/>
      <c r="AF172" s="54"/>
      <c r="AG172" s="55"/>
      <c r="AH172" s="55"/>
      <c r="AI172" s="55"/>
      <c r="AJ172" s="110"/>
      <c r="AK172" s="111"/>
      <c r="AL172" s="111"/>
      <c r="AM172" s="112"/>
      <c r="AN172" s="112"/>
      <c r="AO172" s="77"/>
      <c r="AP172" s="86"/>
      <c r="AQ172" s="86"/>
      <c r="AR172" s="85"/>
      <c r="AS172" s="77"/>
      <c r="AT172" s="77"/>
      <c r="AU172" s="77"/>
      <c r="AV172" s="119"/>
      <c r="AW172" s="129"/>
      <c r="AX172" s="129"/>
      <c r="AY172" s="125"/>
      <c r="AZ172" s="119"/>
      <c r="BA172" s="47"/>
      <c r="BB172" s="48"/>
      <c r="BC172" s="48"/>
      <c r="BD172" s="49"/>
      <c r="BE172" s="49"/>
      <c r="BF172" s="49"/>
      <c r="BG172" s="129"/>
      <c r="BH172" s="129"/>
      <c r="BI172" s="129"/>
      <c r="BJ172" s="125"/>
      <c r="BK172" s="119"/>
      <c r="BL172" s="119"/>
      <c r="BM172" s="77"/>
      <c r="BN172" s="86"/>
      <c r="BO172" s="86"/>
      <c r="BP172" s="85"/>
      <c r="BQ172" s="85"/>
      <c r="BR172" s="77"/>
    </row>
    <row r="173" spans="8:70" x14ac:dyDescent="0.3">
      <c r="H173" s="80"/>
      <c r="I173" s="47"/>
      <c r="J173" s="48"/>
      <c r="K173" s="48"/>
      <c r="L173" s="49"/>
      <c r="M173" s="47"/>
      <c r="N173" s="49"/>
      <c r="O173" s="49"/>
      <c r="P173" s="50"/>
      <c r="Q173" s="51"/>
      <c r="R173" s="51"/>
      <c r="S173" s="52"/>
      <c r="T173" s="52"/>
      <c r="U173" s="51"/>
      <c r="V173" s="52"/>
      <c r="W173" s="52"/>
      <c r="X173" s="98"/>
      <c r="Y173" s="99"/>
      <c r="Z173" s="99"/>
      <c r="AA173" s="100"/>
      <c r="AB173" s="100"/>
      <c r="AC173" s="100"/>
      <c r="AD173" s="53"/>
      <c r="AE173" s="54"/>
      <c r="AF173" s="54"/>
      <c r="AG173" s="55"/>
      <c r="AH173" s="55"/>
      <c r="AI173" s="55"/>
      <c r="AJ173" s="110"/>
      <c r="AK173" s="111"/>
      <c r="AL173" s="111"/>
      <c r="AM173" s="112"/>
      <c r="AN173" s="112"/>
      <c r="AO173" s="77"/>
      <c r="AP173" s="86"/>
      <c r="AQ173" s="86"/>
      <c r="AR173" s="85"/>
      <c r="AS173" s="77"/>
      <c r="AT173" s="77"/>
      <c r="AU173" s="77"/>
      <c r="AV173" s="119"/>
      <c r="AW173" s="129"/>
      <c r="AX173" s="129"/>
      <c r="AY173" s="125"/>
      <c r="AZ173" s="119"/>
      <c r="BA173" s="47"/>
      <c r="BB173" s="48"/>
      <c r="BC173" s="48"/>
      <c r="BD173" s="49"/>
      <c r="BE173" s="49"/>
      <c r="BF173" s="49"/>
      <c r="BG173" s="129"/>
      <c r="BH173" s="129"/>
      <c r="BI173" s="129"/>
      <c r="BJ173" s="125"/>
      <c r="BK173" s="119"/>
      <c r="BL173" s="119"/>
      <c r="BM173" s="77"/>
      <c r="BN173" s="86"/>
      <c r="BO173" s="86"/>
      <c r="BP173" s="85"/>
      <c r="BQ173" s="85"/>
      <c r="BR173" s="77"/>
    </row>
    <row r="174" spans="8:70" x14ac:dyDescent="0.3">
      <c r="H174" s="80"/>
      <c r="I174" s="47"/>
      <c r="J174" s="48"/>
      <c r="K174" s="48"/>
      <c r="L174" s="49"/>
      <c r="M174" s="47"/>
      <c r="N174" s="49"/>
      <c r="O174" s="49"/>
      <c r="P174" s="50"/>
      <c r="Q174" s="51"/>
      <c r="R174" s="51"/>
      <c r="S174" s="52"/>
      <c r="T174" s="52"/>
      <c r="U174" s="51"/>
      <c r="V174" s="52"/>
      <c r="W174" s="52"/>
      <c r="X174" s="98"/>
      <c r="Y174" s="99"/>
      <c r="Z174" s="99"/>
      <c r="AA174" s="100"/>
      <c r="AB174" s="100"/>
      <c r="AC174" s="100"/>
      <c r="AD174" s="53"/>
      <c r="AE174" s="54"/>
      <c r="AF174" s="54"/>
      <c r="AG174" s="55"/>
      <c r="AH174" s="55"/>
      <c r="AI174" s="55"/>
      <c r="AJ174" s="110"/>
      <c r="AK174" s="111"/>
      <c r="AL174" s="111"/>
      <c r="AM174" s="112"/>
      <c r="AN174" s="112"/>
      <c r="AO174" s="77"/>
      <c r="AP174" s="86"/>
      <c r="AQ174" s="86"/>
      <c r="AR174" s="85"/>
      <c r="AS174" s="77"/>
      <c r="AT174" s="77"/>
      <c r="AU174" s="77"/>
      <c r="AV174" s="119"/>
      <c r="AW174" s="129"/>
      <c r="AX174" s="129"/>
      <c r="AY174" s="125"/>
      <c r="AZ174" s="119"/>
      <c r="BA174" s="47"/>
      <c r="BB174" s="48"/>
      <c r="BC174" s="48"/>
      <c r="BD174" s="49"/>
      <c r="BE174" s="49"/>
      <c r="BF174" s="49"/>
      <c r="BG174" s="129"/>
      <c r="BH174" s="129"/>
      <c r="BI174" s="129"/>
      <c r="BJ174" s="125"/>
      <c r="BK174" s="119"/>
      <c r="BL174" s="119"/>
      <c r="BM174" s="77"/>
      <c r="BN174" s="86"/>
      <c r="BO174" s="86"/>
      <c r="BP174" s="85"/>
      <c r="BQ174" s="85"/>
      <c r="BR174" s="77"/>
    </row>
    <row r="175" spans="8:70" x14ac:dyDescent="0.3">
      <c r="H175" s="80"/>
      <c r="I175" s="47"/>
      <c r="J175" s="48"/>
      <c r="K175" s="48"/>
      <c r="L175" s="49"/>
      <c r="M175" s="47"/>
      <c r="N175" s="49"/>
      <c r="O175" s="49"/>
      <c r="P175" s="50"/>
      <c r="Q175" s="51"/>
      <c r="R175" s="51"/>
      <c r="S175" s="52"/>
      <c r="T175" s="52"/>
      <c r="U175" s="51"/>
      <c r="V175" s="52"/>
      <c r="W175" s="52"/>
      <c r="X175" s="98"/>
      <c r="Y175" s="99"/>
      <c r="Z175" s="99"/>
      <c r="AA175" s="100"/>
      <c r="AB175" s="100"/>
      <c r="AC175" s="100"/>
      <c r="AD175" s="53"/>
      <c r="AE175" s="54"/>
      <c r="AF175" s="54"/>
      <c r="AG175" s="55"/>
      <c r="AH175" s="55"/>
      <c r="AI175" s="55"/>
      <c r="AJ175" s="110"/>
      <c r="AK175" s="111"/>
      <c r="AL175" s="111"/>
      <c r="AM175" s="112"/>
      <c r="AN175" s="112"/>
      <c r="AO175" s="77"/>
      <c r="AP175" s="86"/>
      <c r="AQ175" s="86"/>
      <c r="AR175" s="85"/>
      <c r="AS175" s="77"/>
      <c r="AT175" s="77"/>
      <c r="AU175" s="77"/>
      <c r="AV175" s="119"/>
      <c r="AW175" s="129"/>
      <c r="AX175" s="129"/>
      <c r="AY175" s="125"/>
      <c r="AZ175" s="119"/>
      <c r="BA175" s="47"/>
      <c r="BB175" s="48"/>
      <c r="BC175" s="48"/>
      <c r="BD175" s="49"/>
      <c r="BE175" s="49"/>
      <c r="BF175" s="49"/>
      <c r="BG175" s="129"/>
      <c r="BH175" s="129"/>
      <c r="BI175" s="129"/>
      <c r="BJ175" s="125"/>
      <c r="BK175" s="119"/>
      <c r="BL175" s="119"/>
      <c r="BM175" s="77"/>
      <c r="BN175" s="86"/>
      <c r="BO175" s="86"/>
      <c r="BP175" s="85"/>
      <c r="BQ175" s="85"/>
      <c r="BR175" s="77"/>
    </row>
    <row r="176" spans="8:70" x14ac:dyDescent="0.3">
      <c r="H176" s="80"/>
      <c r="I176" s="47"/>
      <c r="J176" s="48"/>
      <c r="K176" s="48"/>
      <c r="L176" s="49"/>
      <c r="M176" s="47"/>
      <c r="N176" s="49"/>
      <c r="O176" s="49"/>
      <c r="P176" s="50"/>
      <c r="Q176" s="51"/>
      <c r="R176" s="51"/>
      <c r="S176" s="52"/>
      <c r="T176" s="52"/>
      <c r="U176" s="51"/>
      <c r="V176" s="52"/>
      <c r="W176" s="52"/>
      <c r="X176" s="98"/>
      <c r="Y176" s="99"/>
      <c r="Z176" s="99"/>
      <c r="AA176" s="100"/>
      <c r="AB176" s="100"/>
      <c r="AC176" s="100"/>
      <c r="AD176" s="53"/>
      <c r="AE176" s="54"/>
      <c r="AF176" s="54"/>
      <c r="AG176" s="55"/>
      <c r="AH176" s="55"/>
      <c r="AI176" s="55"/>
      <c r="AJ176" s="110"/>
      <c r="AK176" s="111"/>
      <c r="AL176" s="111"/>
      <c r="AM176" s="112"/>
      <c r="AN176" s="112"/>
      <c r="AO176" s="77"/>
      <c r="AP176" s="86"/>
      <c r="AQ176" s="86"/>
      <c r="AR176" s="85"/>
      <c r="AS176" s="77"/>
      <c r="AT176" s="77"/>
      <c r="AU176" s="77"/>
      <c r="AV176" s="119"/>
      <c r="AW176" s="129"/>
      <c r="AX176" s="129"/>
      <c r="AY176" s="125"/>
      <c r="AZ176" s="119"/>
      <c r="BA176" s="47"/>
      <c r="BB176" s="48"/>
      <c r="BC176" s="48"/>
      <c r="BD176" s="49"/>
      <c r="BE176" s="49"/>
      <c r="BF176" s="49"/>
      <c r="BG176" s="129"/>
      <c r="BH176" s="129"/>
      <c r="BI176" s="129"/>
      <c r="BJ176" s="125"/>
      <c r="BK176" s="119"/>
      <c r="BL176" s="119"/>
      <c r="BM176" s="77"/>
      <c r="BN176" s="86"/>
      <c r="BO176" s="86"/>
      <c r="BP176" s="85"/>
      <c r="BQ176" s="85"/>
      <c r="BR176" s="77"/>
    </row>
    <row r="177" spans="8:70" x14ac:dyDescent="0.3">
      <c r="H177" s="80"/>
      <c r="I177" s="47"/>
      <c r="J177" s="48"/>
      <c r="K177" s="48"/>
      <c r="L177" s="49"/>
      <c r="M177" s="47"/>
      <c r="N177" s="49"/>
      <c r="O177" s="49"/>
      <c r="P177" s="50"/>
      <c r="Q177" s="51"/>
      <c r="R177" s="51"/>
      <c r="S177" s="52"/>
      <c r="T177" s="52"/>
      <c r="U177" s="51"/>
      <c r="V177" s="52"/>
      <c r="W177" s="52"/>
      <c r="X177" s="98"/>
      <c r="Y177" s="99"/>
      <c r="Z177" s="99"/>
      <c r="AA177" s="100"/>
      <c r="AB177" s="100"/>
      <c r="AC177" s="100"/>
      <c r="AD177" s="53"/>
      <c r="AE177" s="54"/>
      <c r="AF177" s="54"/>
      <c r="AG177" s="55"/>
      <c r="AH177" s="55"/>
      <c r="AI177" s="55"/>
      <c r="AJ177" s="110"/>
      <c r="AK177" s="111"/>
      <c r="AL177" s="111"/>
      <c r="AM177" s="112"/>
      <c r="AN177" s="112"/>
      <c r="AO177" s="77"/>
      <c r="AP177" s="86"/>
      <c r="AQ177" s="86"/>
      <c r="AR177" s="85"/>
      <c r="AS177" s="77"/>
      <c r="AT177" s="77"/>
      <c r="AU177" s="77"/>
      <c r="AV177" s="119"/>
      <c r="AW177" s="129"/>
      <c r="AX177" s="129"/>
      <c r="AY177" s="125"/>
      <c r="AZ177" s="119"/>
      <c r="BA177" s="47"/>
      <c r="BB177" s="48"/>
      <c r="BC177" s="48"/>
      <c r="BD177" s="49"/>
      <c r="BE177" s="49"/>
      <c r="BF177" s="49"/>
      <c r="BG177" s="129"/>
      <c r="BH177" s="129"/>
      <c r="BI177" s="129"/>
      <c r="BJ177" s="125"/>
      <c r="BK177" s="119"/>
      <c r="BL177" s="119"/>
      <c r="BM177" s="77"/>
      <c r="BN177" s="86"/>
      <c r="BO177" s="86"/>
      <c r="BP177" s="85"/>
      <c r="BQ177" s="85"/>
      <c r="BR177" s="77"/>
    </row>
    <row r="178" spans="8:70" x14ac:dyDescent="0.3">
      <c r="H178" s="80"/>
      <c r="I178" s="47"/>
      <c r="J178" s="48"/>
      <c r="K178" s="48"/>
      <c r="L178" s="49"/>
      <c r="M178" s="47"/>
      <c r="N178" s="49"/>
      <c r="O178" s="49"/>
      <c r="P178" s="50"/>
      <c r="Q178" s="51"/>
      <c r="R178" s="51"/>
      <c r="S178" s="52"/>
      <c r="T178" s="52"/>
      <c r="U178" s="51"/>
      <c r="V178" s="52"/>
      <c r="W178" s="52"/>
      <c r="X178" s="98"/>
      <c r="Y178" s="99"/>
      <c r="Z178" s="99"/>
      <c r="AA178" s="100"/>
      <c r="AB178" s="100"/>
      <c r="AC178" s="100"/>
      <c r="AD178" s="53"/>
      <c r="AE178" s="54"/>
      <c r="AF178" s="54"/>
      <c r="AG178" s="55"/>
      <c r="AH178" s="55"/>
      <c r="AI178" s="55"/>
      <c r="AJ178" s="110"/>
      <c r="AK178" s="111"/>
      <c r="AL178" s="111"/>
      <c r="AM178" s="112"/>
      <c r="AN178" s="112"/>
      <c r="AO178" s="77"/>
      <c r="AP178" s="86"/>
      <c r="AQ178" s="86"/>
      <c r="AR178" s="85"/>
      <c r="AS178" s="77"/>
      <c r="AT178" s="77"/>
      <c r="AU178" s="77"/>
      <c r="AV178" s="119"/>
      <c r="AW178" s="129"/>
      <c r="AX178" s="129"/>
      <c r="AY178" s="125"/>
      <c r="AZ178" s="119"/>
      <c r="BG178" s="129"/>
      <c r="BH178" s="129"/>
      <c r="BI178" s="129"/>
      <c r="BJ178" s="125"/>
      <c r="BK178" s="119"/>
      <c r="BL178" s="119"/>
      <c r="BM178" s="77"/>
      <c r="BN178" s="86"/>
      <c r="BO178" s="86"/>
      <c r="BP178" s="85"/>
      <c r="BQ178" s="85"/>
      <c r="BR178" s="77"/>
    </row>
  </sheetData>
  <mergeCells count="1">
    <mergeCell ref="B1:C1"/>
  </mergeCells>
  <conditionalFormatting sqref="P15:P1048576">
    <cfRule type="expression" dxfId="39" priority="45">
      <formula>$P15&gt;=100</formula>
    </cfRule>
    <cfRule type="expression" dxfId="38" priority="46">
      <formula>$P15&gt;=50</formula>
    </cfRule>
    <cfRule type="expression" dxfId="37" priority="47">
      <formula>$P15&gt;=24</formula>
    </cfRule>
    <cfRule type="expression" dxfId="36" priority="48">
      <formula>$P15&gt;=12</formula>
    </cfRule>
  </conditionalFormatting>
  <conditionalFormatting sqref="I15:I1048576 BA15:BA1048576">
    <cfRule type="expression" dxfId="35" priority="49">
      <formula>$I15&gt;=100</formula>
    </cfRule>
    <cfRule type="expression" dxfId="34" priority="50">
      <formula>$I15&gt;50</formula>
    </cfRule>
    <cfRule type="expression" dxfId="33" priority="51">
      <formula>$I15&gt;=24</formula>
    </cfRule>
    <cfRule type="expression" dxfId="32" priority="52">
      <formula>$I15&gt;=12</formula>
    </cfRule>
  </conditionalFormatting>
  <conditionalFormatting sqref="AD15:AD179">
    <cfRule type="expression" dxfId="31" priority="44">
      <formula>$AD15&gt;=12</formula>
    </cfRule>
  </conditionalFormatting>
  <conditionalFormatting sqref="AD15:AD179">
    <cfRule type="expression" dxfId="30" priority="41">
      <formula>$AD15&gt;=100</formula>
    </cfRule>
    <cfRule type="expression" dxfId="29" priority="42">
      <formula>$AD15&gt;=50</formula>
    </cfRule>
    <cfRule type="expression" dxfId="28" priority="43">
      <formula>$AD15&gt;=24</formula>
    </cfRule>
  </conditionalFormatting>
  <conditionalFormatting sqref="AJ15:AJ179">
    <cfRule type="expression" dxfId="27" priority="40">
      <formula>$AJ15&gt;=12</formula>
    </cfRule>
  </conditionalFormatting>
  <conditionalFormatting sqref="AJ15:AJ179">
    <cfRule type="expression" dxfId="26" priority="37">
      <formula>$AJ15&gt;=100</formula>
    </cfRule>
    <cfRule type="expression" dxfId="25" priority="38">
      <formula>$AJ15&gt;=50</formula>
    </cfRule>
    <cfRule type="expression" dxfId="24" priority="39">
      <formula>$AJ15&gt;=24</formula>
    </cfRule>
  </conditionalFormatting>
  <conditionalFormatting sqref="AO15:AO178">
    <cfRule type="expression" dxfId="23" priority="36">
      <formula>AO15&gt;=12</formula>
    </cfRule>
  </conditionalFormatting>
  <conditionalFormatting sqref="AO15:AO178">
    <cfRule type="expression" dxfId="22" priority="33">
      <formula>AO15&gt;=100</formula>
    </cfRule>
    <cfRule type="expression" dxfId="21" priority="34">
      <formula>AO15&gt;=50</formula>
    </cfRule>
    <cfRule type="expression" dxfId="20" priority="35">
      <formula>AO15&gt;=24</formula>
    </cfRule>
  </conditionalFormatting>
  <conditionalFormatting sqref="X15:X178">
    <cfRule type="expression" dxfId="19" priority="21">
      <formula>$P15&gt;=100</formula>
    </cfRule>
    <cfRule type="expression" dxfId="18" priority="22">
      <formula>$P15&gt;=50</formula>
    </cfRule>
    <cfRule type="expression" dxfId="17" priority="23">
      <formula>$P15&gt;=24</formula>
    </cfRule>
    <cfRule type="expression" dxfId="16" priority="24">
      <formula>$P15&gt;=12</formula>
    </cfRule>
  </conditionalFormatting>
  <conditionalFormatting sqref="AV15:AV178">
    <cfRule type="expression" dxfId="15" priority="17">
      <formula>$AJ15&gt;=100</formula>
    </cfRule>
    <cfRule type="expression" dxfId="14" priority="18">
      <formula>$AJ15&gt;=50</formula>
    </cfRule>
    <cfRule type="expression" dxfId="13" priority="19">
      <formula>$AJ15&gt;=24</formula>
    </cfRule>
  </conditionalFormatting>
  <conditionalFormatting sqref="AV15:AV178">
    <cfRule type="expression" dxfId="12" priority="20">
      <formula>$AJ15&gt;=12</formula>
    </cfRule>
  </conditionalFormatting>
  <conditionalFormatting sqref="BM16:BM178">
    <cfRule type="expression" dxfId="11" priority="12">
      <formula>BM16&gt;=12</formula>
    </cfRule>
  </conditionalFormatting>
  <conditionalFormatting sqref="BM16:BM178">
    <cfRule type="expression" dxfId="10" priority="9">
      <formula>BM16&gt;=100</formula>
    </cfRule>
    <cfRule type="expression" dxfId="9" priority="10">
      <formula>BM16&gt;=50</formula>
    </cfRule>
    <cfRule type="expression" dxfId="8" priority="11">
      <formula>BM16&gt;=24</formula>
    </cfRule>
  </conditionalFormatting>
  <conditionalFormatting sqref="BG15:BG178">
    <cfRule type="expression" dxfId="7" priority="5">
      <formula>$AJ15&gt;=100</formula>
    </cfRule>
    <cfRule type="expression" dxfId="6" priority="6">
      <formula>$AJ15&gt;=50</formula>
    </cfRule>
    <cfRule type="expression" dxfId="5" priority="7">
      <formula>$AJ15&gt;=24</formula>
    </cfRule>
  </conditionalFormatting>
  <conditionalFormatting sqref="BG15:BG178">
    <cfRule type="expression" dxfId="4" priority="8">
      <formula>$AJ15&gt;=12</formula>
    </cfRule>
  </conditionalFormatting>
  <conditionalFormatting sqref="BM15">
    <cfRule type="expression" dxfId="3" priority="1">
      <formula>$I15&gt;=100</formula>
    </cfRule>
    <cfRule type="expression" dxfId="2" priority="2">
      <formula>$I15&gt;50</formula>
    </cfRule>
    <cfRule type="expression" dxfId="1" priority="3">
      <formula>$I15&gt;=24</formula>
    </cfRule>
    <cfRule type="expression" dxfId="0" priority="4">
      <formula>$I15&gt;=12</formula>
    </cfRule>
  </conditionalFormatting>
  <dataValidations count="25">
    <dataValidation type="decimal" allowBlank="1" showInputMessage="1" showErrorMessage="1" errorTitle="Invalid Curing %" error="Choose a value between 0 and 100" promptTitle="Curing (%)" prompt="select a value betwen 0 and 100" sqref="R4" xr:uid="{00000000-0002-0000-0000-000000000000}">
      <formula1>0</formula1>
      <formula2>100</formula2>
    </dataValidation>
    <dataValidation type="decimal" errorStyle="warning" showInputMessage="1" showErrorMessage="1" errorTitle="Invalid WAF" error="Enter a number between 1 and 6" promptTitle="WRF" prompt="Enter a number between 1 and 6._x000a_Dry-open eucalypt forest typically has values 3.0 to 3.5_x000a_Wet forest typically has values 4.5 to 6_x000a_" sqref="J2" xr:uid="{00000000-0002-0000-0000-000001000000}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 BB8" xr:uid="{00000000-0002-0000-0000-000002000000}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S2" xr:uid="{00000000-0002-0000-0000-000003000000}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 BC5" xr:uid="{00000000-0002-0000-0000-000004000000}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 BC4" xr:uid="{00000000-0002-0000-0000-000005000000}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 BC6" xr:uid="{00000000-0002-0000-0000-000006000000}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 BC7" xr:uid="{00000000-0002-0000-0000-000007000000}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 BC8" xr:uid="{00000000-0002-0000-0000-000008000000}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 BB10" xr:uid="{00000000-0002-0000-0000-000009000000}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 BB11" xr:uid="{00000000-0002-0000-0000-00000A000000}">
      <formula1>0</formula1>
      <formula2>4</formula2>
    </dataValidation>
    <dataValidation type="decimal" showInputMessage="1" showErrorMessage="1" promptTitle="Canopy Fuel Height" prompt="Enter an AVERAGE canopy fuel height between 10 and 60 m" sqref="J12 BB12" xr:uid="{00000000-0002-0000-0000-00000B000000}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Q4 AA5" xr:uid="{00000000-0002-0000-0000-00000C000000}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G13:H13" xr:uid="{00000000-0002-0000-0000-00000D000000}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BK4:BL4" xr:uid="{00000000-0002-0000-0000-00000E000000}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BK5:BL5" xr:uid="{00000000-0002-0000-0000-00000F000000}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H7" xr:uid="{00000000-0002-0000-0000-000010000000}">
      <formula1>0</formula1>
      <formula2>4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S5" xr:uid="{00000000-0002-0000-0000-000011000000}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S6" xr:uid="{00000000-0002-0000-0000-000012000000}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S8" xr:uid="{00000000-0002-0000-0000-000013000000}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AA6" xr:uid="{00000000-0002-0000-0000-000014000000}">
      <formula1>0.3</formula1>
      <formula2>1</formula2>
    </dataValidation>
    <dataValidation type="decimal" allowBlank="1" showInputMessage="1" showErrorMessage="1" errorTitle="Invalid grass fue load" error="Enter a value between 1 to 12 t/ha" promptTitle="Fuel load (grass)" prompt="enter the fuel load of the grass stratum (t/ha) in the range 1 to 12" sqref="AA4" xr:uid="{00000000-0002-0000-0000-000015000000}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AZ2" xr:uid="{00000000-0002-0000-0000-000016000000}">
      <formula1>0</formula1>
      <formula2>1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AZ6" xr:uid="{00000000-0002-0000-0000-000018000000}">
      <formula1>0.3</formula1>
      <formula2>1</formula2>
    </dataValidation>
    <dataValidation type="whole" showInputMessage="1" showErrorMessage="1" errorTitle="Invalid Productivity" error="Enter a whole number, either 1 or 2" promptTitle="Productivity" prompt="Enter a whole number, either 1 or 2_x000a__x000a_" sqref="BC2" xr:uid="{00000000-0002-0000-0000-000019000000}">
      <formula1>1</formula1>
      <formula2>2</formula2>
    </dataValidation>
  </dataValidations>
  <hyperlinks>
    <hyperlink ref="A11" r:id="rId1" xr:uid="{18BC2049-B584-4A13-A5E0-40B102BE3FE2}"/>
  </hyperlinks>
  <pageMargins left="0.7" right="0.7" top="0.75" bottom="0.75" header="0.3" footer="0.3"/>
  <pageSetup paperSize="9" orientation="portrait"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 xr:uid="{00000000-0002-0000-0000-00001A000000}">
          <x14:formula1>
            <xm:f>models_tables!$I$2:$I$4</xm:f>
          </x14:formula1>
          <xm:sqref>Q3</xm:sqref>
        </x14:dataValidation>
        <x14:dataValidation type="list" showInputMessage="1" showErrorMessage="1" promptTitle="Presence of overstorey" prompt="Choose TRUE if there is a woodland overstorey and FALSE if the overstorey is absent" xr:uid="{00000000-0002-0000-0000-00001B000000}">
          <x14:formula1>
            <xm:f>models_tables!$K$2:$K$3</xm:f>
          </x14:formula1>
          <xm:sqref>AH6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 xr:uid="{00000000-0002-0000-0000-00001C000000}">
          <x14:formula1>
            <xm:f>models_tables!$N$2:$N$3</xm:f>
          </x14:formula1>
          <xm:sqref>M10 BE10</xm:sqref>
        </x14:dataValidation>
        <x14:dataValidation type="list" showInputMessage="1" showErrorMessage="1" errorTitle="Invalid " error="Choose a woodland subtype from the list" promptTitle="Woodland subtype" prompt="Choose a woodland subtype" xr:uid="{00000000-0002-0000-0000-00001D000000}">
          <x14:formula1>
            <xm:f>models_tables!$R$2:$R$6</xm:f>
          </x14:formula1>
          <xm:sqref>AA3</xm:sqref>
        </x14:dataValidation>
        <x14:dataValidation type="list" showInputMessage="1" showErrorMessage="1" errorTitle="Invalid" error="choose a value from the list" promptTitle="Subtype" prompt="open spinifex or spinifex woodland" xr:uid="{00000000-0002-0000-0000-00001E000000}">
          <x14:formula1>
            <xm:f>models_tables!$U$2:$U$3</xm:f>
          </x14:formula1>
          <xm:sqref>AZ7</xm:sqref>
        </x14:dataValidation>
        <x14:dataValidation type="list" showInputMessage="1" showErrorMessage="1" promptTitle="Presence of Trees" prompt="Choose TRUE if there are trees within 20m and FALSE if trees are absent" xr:uid="{DB04F807-9FC2-4BD1-8247-3CD470B088DB}">
          <x14:formula1>
            <xm:f>models_tables!$K$2:$K$3</xm:f>
          </x14:formula1>
          <xm:sqref>G3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s"/>
  <dimension ref="A1:U47"/>
  <sheetViews>
    <sheetView workbookViewId="0">
      <selection activeCell="D39" sqref="D39"/>
    </sheetView>
  </sheetViews>
  <sheetFormatPr defaultRowHeight="14.4" x14ac:dyDescent="0.3"/>
  <cols>
    <col min="2" max="2" width="12.88671875" customWidth="1"/>
    <col min="4" max="4" width="28.6640625" bestFit="1" customWidth="1"/>
    <col min="5" max="5" width="13.6640625" customWidth="1"/>
    <col min="6" max="6" width="18.109375" customWidth="1"/>
    <col min="7" max="7" width="28.6640625" customWidth="1"/>
    <col min="9" max="9" width="12.109375" customWidth="1"/>
    <col min="11" max="11" width="17.33203125" customWidth="1"/>
  </cols>
  <sheetData>
    <row r="1" spans="1:21" x14ac:dyDescent="0.3">
      <c r="A1" s="26" t="s">
        <v>44</v>
      </c>
      <c r="F1" s="26" t="s">
        <v>130</v>
      </c>
      <c r="G1" s="26" t="s">
        <v>131</v>
      </c>
      <c r="I1" t="s">
        <v>17</v>
      </c>
      <c r="K1" t="s">
        <v>51</v>
      </c>
      <c r="L1" t="s">
        <v>53</v>
      </c>
      <c r="N1" s="26" t="s">
        <v>97</v>
      </c>
      <c r="P1" s="26" t="s">
        <v>226</v>
      </c>
      <c r="R1" s="26" t="s">
        <v>118</v>
      </c>
      <c r="U1" s="26" t="s">
        <v>128</v>
      </c>
    </row>
    <row r="2" spans="1:21" x14ac:dyDescent="0.3">
      <c r="A2" s="26" t="s">
        <v>57</v>
      </c>
      <c r="B2" s="26" t="s">
        <v>55</v>
      </c>
      <c r="C2" s="26" t="s">
        <v>56</v>
      </c>
      <c r="D2" s="26" t="s">
        <v>60</v>
      </c>
      <c r="E2" s="26"/>
      <c r="F2" t="s">
        <v>138</v>
      </c>
      <c r="G2" t="s">
        <v>184</v>
      </c>
      <c r="I2" t="s">
        <v>18</v>
      </c>
      <c r="K2" t="b">
        <v>1</v>
      </c>
      <c r="L2">
        <v>0.35</v>
      </c>
      <c r="N2" t="s">
        <v>98</v>
      </c>
      <c r="R2" t="s">
        <v>119</v>
      </c>
      <c r="U2" t="s">
        <v>129</v>
      </c>
    </row>
    <row r="3" spans="1:21" x14ac:dyDescent="0.3">
      <c r="A3" t="s">
        <v>66</v>
      </c>
      <c r="B3" t="s">
        <v>40</v>
      </c>
      <c r="C3">
        <v>30</v>
      </c>
      <c r="D3" t="s">
        <v>67</v>
      </c>
      <c r="F3" t="s">
        <v>157</v>
      </c>
      <c r="G3" t="s">
        <v>203</v>
      </c>
      <c r="I3" t="s">
        <v>19</v>
      </c>
      <c r="K3" t="b">
        <v>0</v>
      </c>
      <c r="L3">
        <v>0.66700000000000004</v>
      </c>
      <c r="N3" t="s">
        <v>99</v>
      </c>
      <c r="R3" t="s">
        <v>120</v>
      </c>
      <c r="U3" t="s">
        <v>119</v>
      </c>
    </row>
    <row r="4" spans="1:21" x14ac:dyDescent="0.3">
      <c r="A4" t="s">
        <v>66</v>
      </c>
      <c r="B4" t="s">
        <v>39</v>
      </c>
      <c r="C4">
        <v>25</v>
      </c>
      <c r="D4" t="s">
        <v>68</v>
      </c>
      <c r="F4" t="s">
        <v>170</v>
      </c>
      <c r="G4" t="s">
        <v>216</v>
      </c>
      <c r="I4" t="s">
        <v>20</v>
      </c>
      <c r="R4" t="s">
        <v>121</v>
      </c>
    </row>
    <row r="5" spans="1:21" x14ac:dyDescent="0.3">
      <c r="A5" t="s">
        <v>66</v>
      </c>
      <c r="B5" t="s">
        <v>62</v>
      </c>
      <c r="C5">
        <v>25</v>
      </c>
      <c r="D5" t="s">
        <v>76</v>
      </c>
      <c r="F5" t="s">
        <v>155</v>
      </c>
      <c r="G5" t="s">
        <v>201</v>
      </c>
      <c r="R5" t="s">
        <v>122</v>
      </c>
    </row>
    <row r="6" spans="1:21" x14ac:dyDescent="0.3">
      <c r="A6" t="s">
        <v>66</v>
      </c>
      <c r="B6" t="s">
        <v>35</v>
      </c>
      <c r="C6">
        <v>20</v>
      </c>
      <c r="D6" t="s">
        <v>77</v>
      </c>
      <c r="F6" t="s">
        <v>149</v>
      </c>
      <c r="G6" t="s">
        <v>195</v>
      </c>
      <c r="R6" t="s">
        <v>123</v>
      </c>
    </row>
    <row r="7" spans="1:21" x14ac:dyDescent="0.3">
      <c r="A7" t="s">
        <v>27</v>
      </c>
      <c r="B7" t="s">
        <v>29</v>
      </c>
      <c r="C7">
        <v>8</v>
      </c>
      <c r="D7" t="s">
        <v>78</v>
      </c>
      <c r="F7" t="s">
        <v>167</v>
      </c>
      <c r="G7" t="s">
        <v>213</v>
      </c>
    </row>
    <row r="8" spans="1:21" x14ac:dyDescent="0.3">
      <c r="A8" t="s">
        <v>27</v>
      </c>
      <c r="B8" t="s">
        <v>37</v>
      </c>
      <c r="C8">
        <v>3</v>
      </c>
      <c r="D8" t="s">
        <v>69</v>
      </c>
      <c r="F8" t="s">
        <v>146</v>
      </c>
      <c r="G8" t="s">
        <v>192</v>
      </c>
    </row>
    <row r="9" spans="1:21" x14ac:dyDescent="0.3">
      <c r="A9" t="s">
        <v>27</v>
      </c>
      <c r="B9" t="s">
        <v>36</v>
      </c>
      <c r="C9">
        <v>3</v>
      </c>
      <c r="D9" t="s">
        <v>70</v>
      </c>
      <c r="F9" t="s">
        <v>144</v>
      </c>
      <c r="G9" t="s">
        <v>190</v>
      </c>
    </row>
    <row r="10" spans="1:21" x14ac:dyDescent="0.3">
      <c r="A10" t="s">
        <v>27</v>
      </c>
      <c r="B10" t="s">
        <v>32</v>
      </c>
      <c r="C10">
        <v>3</v>
      </c>
      <c r="D10" t="s">
        <v>71</v>
      </c>
      <c r="F10" t="s">
        <v>133</v>
      </c>
      <c r="G10" t="s">
        <v>179</v>
      </c>
    </row>
    <row r="11" spans="1:21" x14ac:dyDescent="0.3">
      <c r="A11" t="s">
        <v>27</v>
      </c>
      <c r="B11" t="s">
        <v>31</v>
      </c>
      <c r="C11">
        <v>3</v>
      </c>
      <c r="D11" t="s">
        <v>72</v>
      </c>
      <c r="F11" t="s">
        <v>152</v>
      </c>
      <c r="G11" t="s">
        <v>198</v>
      </c>
    </row>
    <row r="12" spans="1:21" x14ac:dyDescent="0.3">
      <c r="A12" t="s">
        <v>27</v>
      </c>
      <c r="B12" t="s">
        <v>33</v>
      </c>
      <c r="C12">
        <v>4.5</v>
      </c>
      <c r="D12" t="s">
        <v>73</v>
      </c>
      <c r="F12" t="s">
        <v>168</v>
      </c>
      <c r="G12" t="s">
        <v>214</v>
      </c>
    </row>
    <row r="13" spans="1:21" x14ac:dyDescent="0.3">
      <c r="A13" t="s">
        <v>27</v>
      </c>
      <c r="B13" t="s">
        <v>30</v>
      </c>
      <c r="C13">
        <v>10</v>
      </c>
      <c r="D13" t="s">
        <v>74</v>
      </c>
      <c r="F13" t="s">
        <v>158</v>
      </c>
      <c r="G13" t="s">
        <v>204</v>
      </c>
    </row>
    <row r="14" spans="1:21" x14ac:dyDescent="0.3">
      <c r="A14" t="s">
        <v>27</v>
      </c>
      <c r="B14" t="s">
        <v>38</v>
      </c>
      <c r="C14">
        <v>20</v>
      </c>
      <c r="D14" t="s">
        <v>75</v>
      </c>
      <c r="F14" t="s">
        <v>171</v>
      </c>
      <c r="G14" t="s">
        <v>217</v>
      </c>
    </row>
    <row r="15" spans="1:21" x14ac:dyDescent="0.3">
      <c r="A15" t="s">
        <v>27</v>
      </c>
      <c r="B15" t="s">
        <v>34</v>
      </c>
      <c r="C15">
        <v>20</v>
      </c>
      <c r="D15" t="s">
        <v>81</v>
      </c>
      <c r="F15" t="s">
        <v>132</v>
      </c>
      <c r="G15" t="s">
        <v>178</v>
      </c>
    </row>
    <row r="16" spans="1:21" x14ac:dyDescent="0.3">
      <c r="A16" t="s">
        <v>27</v>
      </c>
      <c r="B16" t="s">
        <v>3</v>
      </c>
      <c r="C16">
        <v>3</v>
      </c>
      <c r="D16" t="s">
        <v>82</v>
      </c>
      <c r="F16" t="s">
        <v>169</v>
      </c>
      <c r="G16" t="s">
        <v>215</v>
      </c>
    </row>
    <row r="17" spans="1:7" x14ac:dyDescent="0.3">
      <c r="A17" t="s">
        <v>42</v>
      </c>
      <c r="B17" t="s">
        <v>41</v>
      </c>
      <c r="C17">
        <v>100</v>
      </c>
      <c r="D17" t="s">
        <v>83</v>
      </c>
      <c r="F17" t="s">
        <v>159</v>
      </c>
      <c r="G17" t="s">
        <v>205</v>
      </c>
    </row>
    <row r="18" spans="1:7" x14ac:dyDescent="0.3">
      <c r="A18" t="s">
        <v>42</v>
      </c>
      <c r="B18" t="s">
        <v>24</v>
      </c>
      <c r="C18" t="s">
        <v>19</v>
      </c>
      <c r="D18" t="s">
        <v>84</v>
      </c>
      <c r="F18" t="s">
        <v>172</v>
      </c>
      <c r="G18" t="s">
        <v>218</v>
      </c>
    </row>
    <row r="19" spans="1:7" x14ac:dyDescent="0.3">
      <c r="A19" t="s">
        <v>58</v>
      </c>
      <c r="B19" t="s">
        <v>94</v>
      </c>
      <c r="C19">
        <v>20</v>
      </c>
      <c r="D19" t="s">
        <v>79</v>
      </c>
      <c r="F19" t="s">
        <v>156</v>
      </c>
      <c r="G19" t="s">
        <v>202</v>
      </c>
    </row>
    <row r="20" spans="1:7" x14ac:dyDescent="0.3">
      <c r="A20" t="s">
        <v>58</v>
      </c>
      <c r="B20" t="s">
        <v>59</v>
      </c>
      <c r="C20">
        <v>2</v>
      </c>
      <c r="D20" t="s">
        <v>80</v>
      </c>
      <c r="F20" t="s">
        <v>174</v>
      </c>
      <c r="G20" t="s">
        <v>220</v>
      </c>
    </row>
    <row r="21" spans="1:7" x14ac:dyDescent="0.3">
      <c r="A21" t="s">
        <v>58</v>
      </c>
      <c r="B21" t="s">
        <v>46</v>
      </c>
      <c r="C21">
        <v>48</v>
      </c>
      <c r="D21" t="s">
        <v>85</v>
      </c>
      <c r="F21" t="s">
        <v>163</v>
      </c>
      <c r="G21" t="s">
        <v>209</v>
      </c>
    </row>
    <row r="22" spans="1:7" x14ac:dyDescent="0.3">
      <c r="A22" t="s">
        <v>58</v>
      </c>
      <c r="B22" t="s">
        <v>95</v>
      </c>
      <c r="C22">
        <v>0.2</v>
      </c>
      <c r="D22" t="s">
        <v>63</v>
      </c>
      <c r="F22" t="s">
        <v>166</v>
      </c>
      <c r="G22" t="s">
        <v>212</v>
      </c>
    </row>
    <row r="23" spans="1:7" x14ac:dyDescent="0.3">
      <c r="A23" t="s">
        <v>58</v>
      </c>
      <c r="B23" t="s">
        <v>52</v>
      </c>
      <c r="C23" t="b">
        <v>0</v>
      </c>
      <c r="D23" t="s">
        <v>61</v>
      </c>
      <c r="F23" t="s">
        <v>136</v>
      </c>
      <c r="G23" t="s">
        <v>182</v>
      </c>
    </row>
    <row r="24" spans="1:7" x14ac:dyDescent="0.3">
      <c r="A24" t="s">
        <v>58</v>
      </c>
      <c r="B24" t="s">
        <v>45</v>
      </c>
      <c r="F24" t="s">
        <v>137</v>
      </c>
      <c r="G24" t="s">
        <v>183</v>
      </c>
    </row>
    <row r="25" spans="1:7" x14ac:dyDescent="0.3">
      <c r="A25" t="s">
        <v>86</v>
      </c>
      <c r="B25" t="s">
        <v>29</v>
      </c>
      <c r="C25">
        <v>8</v>
      </c>
      <c r="D25" t="s">
        <v>78</v>
      </c>
      <c r="F25" t="s">
        <v>165</v>
      </c>
      <c r="G25" t="s">
        <v>211</v>
      </c>
    </row>
    <row r="26" spans="1:7" x14ac:dyDescent="0.3">
      <c r="A26" t="s">
        <v>86</v>
      </c>
      <c r="B26" t="s">
        <v>3</v>
      </c>
      <c r="C26">
        <v>5</v>
      </c>
      <c r="D26" t="s">
        <v>87</v>
      </c>
      <c r="F26" t="s">
        <v>160</v>
      </c>
      <c r="G26" t="s">
        <v>206</v>
      </c>
    </row>
    <row r="27" spans="1:7" x14ac:dyDescent="0.3">
      <c r="A27" t="s">
        <v>86</v>
      </c>
      <c r="B27" t="s">
        <v>88</v>
      </c>
      <c r="C27">
        <v>100</v>
      </c>
      <c r="D27" t="s">
        <v>89</v>
      </c>
      <c r="F27" t="s">
        <v>176</v>
      </c>
      <c r="G27" t="s">
        <v>222</v>
      </c>
    </row>
    <row r="28" spans="1:7" x14ac:dyDescent="0.3">
      <c r="A28" t="s">
        <v>90</v>
      </c>
      <c r="B28" t="s">
        <v>30</v>
      </c>
      <c r="C28">
        <v>1.05</v>
      </c>
      <c r="D28" t="s">
        <v>74</v>
      </c>
      <c r="F28" t="s">
        <v>177</v>
      </c>
      <c r="G28" t="s">
        <v>223</v>
      </c>
    </row>
    <row r="29" spans="1:7" x14ac:dyDescent="0.3">
      <c r="F29" t="s">
        <v>153</v>
      </c>
      <c r="G29" t="s">
        <v>199</v>
      </c>
    </row>
    <row r="30" spans="1:7" x14ac:dyDescent="0.3">
      <c r="F30" t="s">
        <v>139</v>
      </c>
      <c r="G30" t="s">
        <v>185</v>
      </c>
    </row>
    <row r="31" spans="1:7" x14ac:dyDescent="0.3">
      <c r="F31" t="s">
        <v>154</v>
      </c>
      <c r="G31" t="s">
        <v>200</v>
      </c>
    </row>
    <row r="32" spans="1:7" x14ac:dyDescent="0.3">
      <c r="F32" t="s">
        <v>150</v>
      </c>
      <c r="G32" t="s">
        <v>196</v>
      </c>
    </row>
    <row r="33" spans="6:7" x14ac:dyDescent="0.3">
      <c r="F33" t="s">
        <v>148</v>
      </c>
      <c r="G33" t="s">
        <v>194</v>
      </c>
    </row>
    <row r="34" spans="6:7" x14ac:dyDescent="0.3">
      <c r="F34" t="s">
        <v>151</v>
      </c>
      <c r="G34" t="s">
        <v>197</v>
      </c>
    </row>
    <row r="35" spans="6:7" x14ac:dyDescent="0.3">
      <c r="F35" t="s">
        <v>173</v>
      </c>
      <c r="G35" t="s">
        <v>219</v>
      </c>
    </row>
    <row r="36" spans="6:7" x14ac:dyDescent="0.3">
      <c r="F36" t="s">
        <v>145</v>
      </c>
      <c r="G36" t="s">
        <v>191</v>
      </c>
    </row>
    <row r="37" spans="6:7" x14ac:dyDescent="0.3">
      <c r="F37" t="s">
        <v>142</v>
      </c>
      <c r="G37" t="s">
        <v>188</v>
      </c>
    </row>
    <row r="38" spans="6:7" x14ac:dyDescent="0.3">
      <c r="F38" t="s">
        <v>141</v>
      </c>
      <c r="G38" t="s">
        <v>187</v>
      </c>
    </row>
    <row r="39" spans="6:7" x14ac:dyDescent="0.3">
      <c r="F39" t="s">
        <v>140</v>
      </c>
      <c r="G39" t="s">
        <v>186</v>
      </c>
    </row>
    <row r="40" spans="6:7" x14ac:dyDescent="0.3">
      <c r="F40" t="s">
        <v>143</v>
      </c>
      <c r="G40" t="s">
        <v>189</v>
      </c>
    </row>
    <row r="41" spans="6:7" x14ac:dyDescent="0.3">
      <c r="F41" t="s">
        <v>162</v>
      </c>
      <c r="G41" t="s">
        <v>208</v>
      </c>
    </row>
    <row r="42" spans="6:7" x14ac:dyDescent="0.3">
      <c r="F42" t="s">
        <v>161</v>
      </c>
      <c r="G42" t="s">
        <v>207</v>
      </c>
    </row>
    <row r="43" spans="6:7" x14ac:dyDescent="0.3">
      <c r="F43" t="s">
        <v>134</v>
      </c>
      <c r="G43" t="s">
        <v>180</v>
      </c>
    </row>
    <row r="44" spans="6:7" x14ac:dyDescent="0.3">
      <c r="F44" t="s">
        <v>164</v>
      </c>
      <c r="G44" t="s">
        <v>210</v>
      </c>
    </row>
    <row r="45" spans="6:7" x14ac:dyDescent="0.3">
      <c r="F45" t="s">
        <v>147</v>
      </c>
      <c r="G45" t="s">
        <v>193</v>
      </c>
    </row>
    <row r="46" spans="6:7" x14ac:dyDescent="0.3">
      <c r="F46" t="s">
        <v>135</v>
      </c>
      <c r="G46" t="s">
        <v>181</v>
      </c>
    </row>
    <row r="47" spans="6:7" x14ac:dyDescent="0.3">
      <c r="F47" t="s">
        <v>175</v>
      </c>
      <c r="G47" t="s">
        <v>221</v>
      </c>
    </row>
  </sheetData>
  <sortState xmlns:xlrd2="http://schemas.microsoft.com/office/spreadsheetml/2017/richdata2" ref="F2:G47">
    <sortCondition ref="G2:G47"/>
  </sortState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90E2F-CA81-4759-A4E1-B55578034ACE}">
  <sheetPr codeName="Sheet2"/>
  <dimension ref="A1:C6"/>
  <sheetViews>
    <sheetView workbookViewId="0">
      <selection activeCell="C3" sqref="C3"/>
    </sheetView>
  </sheetViews>
  <sheetFormatPr defaultRowHeight="14.4" x14ac:dyDescent="0.3"/>
  <cols>
    <col min="1" max="1" width="10.6640625" bestFit="1" customWidth="1"/>
    <col min="2" max="2" width="28.5546875" bestFit="1" customWidth="1"/>
    <col min="3" max="3" width="100.77734375" style="153" customWidth="1"/>
  </cols>
  <sheetData>
    <row r="1" spans="1:3" x14ac:dyDescent="0.3">
      <c r="A1" t="s">
        <v>114</v>
      </c>
      <c r="B1" t="s">
        <v>246</v>
      </c>
      <c r="C1" s="153" t="s">
        <v>247</v>
      </c>
    </row>
    <row r="2" spans="1:3" ht="28.8" x14ac:dyDescent="0.3">
      <c r="A2" s="139">
        <v>45362</v>
      </c>
      <c r="B2" s="140" t="s">
        <v>248</v>
      </c>
      <c r="C2" s="153" t="s">
        <v>266</v>
      </c>
    </row>
    <row r="3" spans="1:3" ht="43.2" x14ac:dyDescent="0.3">
      <c r="A3" s="139">
        <v>45350</v>
      </c>
      <c r="B3" s="140" t="s">
        <v>248</v>
      </c>
      <c r="C3" s="153" t="s">
        <v>258</v>
      </c>
    </row>
    <row r="4" spans="1:3" x14ac:dyDescent="0.3">
      <c r="A4" s="139">
        <v>45337</v>
      </c>
      <c r="B4" s="140" t="s">
        <v>248</v>
      </c>
      <c r="C4" s="153" t="s">
        <v>249</v>
      </c>
    </row>
    <row r="5" spans="1:3" x14ac:dyDescent="0.3">
      <c r="A5" s="139">
        <v>45337</v>
      </c>
      <c r="B5" s="140" t="s">
        <v>248</v>
      </c>
      <c r="C5" s="153" t="s">
        <v>251</v>
      </c>
    </row>
    <row r="6" spans="1:3" x14ac:dyDescent="0.3">
      <c r="A6" s="139">
        <v>45337</v>
      </c>
      <c r="B6" s="140" t="s">
        <v>248</v>
      </c>
      <c r="C6" s="153" t="s">
        <v>252</v>
      </c>
    </row>
  </sheetData>
  <hyperlinks>
    <hyperlink ref="B4" r:id="rId1" xr:uid="{9C519682-40A3-4376-BBAD-C3A15B12AFA3}"/>
    <hyperlink ref="B5" r:id="rId2" xr:uid="{B1588E9A-788F-4281-B98F-E8F54F0FF0F2}"/>
    <hyperlink ref="B6" r:id="rId3" xr:uid="{AB6E1068-558F-437B-8A54-14E7C534CCD3}"/>
    <hyperlink ref="B3" r:id="rId4" xr:uid="{62C32CD0-8A71-4E82-9007-654A953FEE96}"/>
    <hyperlink ref="B2" r:id="rId5" xr:uid="{23857086-BAB7-4882-96D8-8AF6EF25DC51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63</vt:i4>
      </vt:variant>
    </vt:vector>
  </HeadingPairs>
  <TitlesOfParts>
    <vt:vector size="66" baseType="lpstr">
      <vt:lpstr>AFDRS</vt:lpstr>
      <vt:lpstr>models_tables</vt:lpstr>
      <vt:lpstr>Changelog</vt:lpstr>
      <vt:lpstr>AWAP_uf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fb_trees</vt:lpstr>
      <vt:lpstr>fb_width</vt:lpstr>
      <vt:lpstr>fhs_b</vt:lpstr>
      <vt:lpstr>fhs_e</vt:lpstr>
      <vt:lpstr>fhs_ns</vt:lpstr>
      <vt:lpstr>fhs_s</vt:lpstr>
      <vt:lpstr>fk_heath</vt:lpstr>
      <vt:lpstr>fk_mallee</vt:lpstr>
      <vt:lpstr>fl_b_forest</vt:lpstr>
      <vt:lpstr>fl_e_forest</vt:lpstr>
      <vt:lpstr>fl_heath</vt:lpstr>
      <vt:lpstr>fl_ns_forest</vt:lpstr>
      <vt:lpstr>fl_o_forest</vt:lpstr>
      <vt:lpstr>fl_o_mallee</vt:lpstr>
      <vt:lpstr>fl_o_ss_mallee</vt:lpstr>
      <vt:lpstr>fl_s_forest</vt:lpstr>
      <vt:lpstr>fl_s_grass</vt:lpstr>
      <vt:lpstr>fl_s_mallee</vt:lpstr>
      <vt:lpstr>fl_s_ss_mallee</vt:lpstr>
      <vt:lpstr>fl_ss_heath</vt:lpstr>
      <vt:lpstr>fl_total_max_heath</vt:lpstr>
      <vt:lpstr>fl_woodland</vt:lpstr>
      <vt:lpstr>Forest</vt:lpstr>
      <vt:lpstr>Fuel_load__buttongrass</vt:lpstr>
      <vt:lpstr>Grass</vt:lpstr>
      <vt:lpstr>h_e_forest</vt:lpstr>
      <vt:lpstr>h_el_heath</vt:lpstr>
      <vt:lpstr>h_ns_forest</vt:lpstr>
      <vt:lpstr>h_o_forest</vt:lpstr>
      <vt:lpstr>h_o_mallee</vt:lpstr>
      <vt:lpstr>Heath</vt:lpstr>
      <vt:lpstr>kbdi</vt:lpstr>
      <vt:lpstr>Mallee</vt:lpstr>
      <vt:lpstr>outputs_r1</vt:lpstr>
      <vt:lpstr>overstorey_heath</vt:lpstr>
      <vt:lpstr>Pine</vt:lpstr>
      <vt:lpstr>productivity_buttongrass</vt:lpstr>
      <vt:lpstr>productivity_spinifex</vt:lpstr>
      <vt:lpstr>rain</vt:lpstr>
      <vt:lpstr>rh_row1</vt:lpstr>
      <vt:lpstr>Spinifex</vt:lpstr>
      <vt:lpstr>state_grass</vt:lpstr>
      <vt:lpstr>submodel_forest</vt:lpstr>
      <vt:lpstr>subtype_spinifex</vt:lpstr>
      <vt:lpstr>subtype_woodland</vt:lpstr>
      <vt:lpstr>temp_row1</vt:lpstr>
      <vt:lpstr>time_row1</vt:lpstr>
      <vt:lpstr>tsf</vt:lpstr>
      <vt:lpstr>tsr</vt:lpstr>
      <vt:lpstr>waf_forest</vt:lpstr>
      <vt:lpstr>waf_spinifex</vt:lpstr>
      <vt:lpstr>waf_woodland</vt:lpstr>
      <vt:lpstr>wind_dir_row1</vt:lpstr>
      <vt:lpstr>wind_mag_row1</vt:lpstr>
      <vt:lpstr>Woodland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2024-03-11T11:29:00Z</dcterms:modified>
</cp:coreProperties>
</file>