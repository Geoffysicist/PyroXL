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  <workbookView minimized="1" xWindow="0" yWindow="0" windowWidth="30720" windowHeight="13512"/>
  </bookViews>
  <sheets>
    <sheet name="AFDRS" sheetId="1" r:id="rId1"/>
    <sheet name="tables" sheetId="3" state="hidden" r:id="rId2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" i="1" l="1"/>
  <c r="V17" i="1"/>
  <c r="L18" i="1"/>
  <c r="AA20" i="1"/>
  <c r="Q19" i="1"/>
  <c r="N19" i="1" s="1"/>
  <c r="P19" i="1" s="1"/>
  <c r="H19" i="1"/>
  <c r="Q16" i="1"/>
  <c r="O19" i="1"/>
  <c r="M19" i="1" s="1"/>
  <c r="Q20" i="1"/>
  <c r="V20" i="1"/>
  <c r="S20" i="1" s="1"/>
  <c r="J19" i="1"/>
  <c r="I19" i="1" s="1"/>
  <c r="G19" i="1" s="1"/>
  <c r="S17" i="1"/>
  <c r="V16" i="1"/>
  <c r="S16" i="1" s="1"/>
  <c r="L17" i="1"/>
  <c r="AA19" i="1"/>
  <c r="AA18" i="1"/>
  <c r="Q18" i="1"/>
  <c r="N18" i="1" s="1"/>
  <c r="AA17" i="1"/>
  <c r="H18" i="1"/>
  <c r="L16" i="1"/>
  <c r="H16" i="1" s="1"/>
  <c r="L20" i="1"/>
  <c r="H20" i="1" s="1"/>
  <c r="J18" i="1"/>
  <c r="Q17" i="1"/>
  <c r="N17" i="1" s="1"/>
  <c r="AA16" i="1"/>
  <c r="X20" i="1" a="1"/>
  <c r="H17" i="1"/>
  <c r="N16" i="1"/>
  <c r="O16" i="1" s="1"/>
  <c r="M16" i="1" s="1"/>
  <c r="J20" i="1"/>
  <c r="P16" i="1"/>
  <c r="V19" i="1"/>
  <c r="S19" i="1" s="1"/>
  <c r="K19" i="1"/>
  <c r="V18" i="1"/>
  <c r="S18" i="1" s="1"/>
  <c r="N20" i="1"/>
  <c r="AA15" i="1"/>
  <c r="O18" i="1"/>
  <c r="M18" i="1" s="1"/>
  <c r="P18" i="1"/>
  <c r="I18" i="1"/>
  <c r="G18" i="1" s="1"/>
  <c r="K18" i="1"/>
  <c r="K16" i="1"/>
  <c r="J16" i="1"/>
  <c r="I16" i="1"/>
  <c r="G16" i="1" s="1"/>
  <c r="K20" i="1"/>
  <c r="I20" i="1"/>
  <c r="G20" i="1" s="1"/>
  <c r="O17" i="1"/>
  <c r="M17" i="1" s="1"/>
  <c r="P17" i="1"/>
  <c r="K17" i="1"/>
  <c r="J17" i="1"/>
  <c r="I17" i="1"/>
  <c r="G17" i="1" s="1"/>
  <c r="P20" i="1"/>
  <c r="O20" i="1"/>
  <c r="M20" i="1" s="1"/>
  <c r="X19" i="1" a="1"/>
  <c r="X18" i="1" a="1"/>
  <c r="X17" i="1" a="1"/>
  <c r="X16" i="1" a="1"/>
  <c r="X15" i="1" a="1"/>
  <c r="Z20" i="1" l="1"/>
  <c r="Y20" i="1"/>
  <c r="X20" i="1"/>
  <c r="Z16" i="1"/>
  <c r="Y16" i="1"/>
  <c r="X16" i="1"/>
  <c r="X17" i="1"/>
  <c r="Y17" i="1"/>
  <c r="Z17" i="1"/>
  <c r="X18" i="1"/>
  <c r="Z18" i="1"/>
  <c r="Y18" i="1"/>
  <c r="X19" i="1"/>
  <c r="Y19" i="1"/>
  <c r="Z19" i="1"/>
  <c r="X15" i="1"/>
  <c r="Y15" i="1"/>
  <c r="Z15" i="1"/>
  <c r="W20" i="1"/>
  <c r="W19" i="1"/>
  <c r="W16" i="1"/>
  <c r="W17" i="1"/>
  <c r="W18" i="1"/>
  <c r="W15" i="1"/>
  <c r="V15" i="1"/>
  <c r="V7" i="1"/>
  <c r="T18" i="1"/>
  <c r="T19" i="1"/>
  <c r="T16" i="1"/>
  <c r="T17" i="1"/>
  <c r="T20" i="1"/>
  <c r="U18" i="1"/>
  <c r="R18" i="1"/>
  <c r="U19" i="1"/>
  <c r="R19" i="1"/>
  <c r="R16" i="1"/>
  <c r="U16" i="1"/>
  <c r="R17" i="1"/>
  <c r="U17" i="1"/>
  <c r="R20" i="1"/>
  <c r="U20" i="1"/>
  <c r="S15" i="1"/>
  <c r="Q15" i="1"/>
  <c r="T15" i="1"/>
  <c r="U15" i="1"/>
  <c r="R15" i="1"/>
  <c r="N15" i="1"/>
  <c r="P15" i="1"/>
  <c r="L15" i="1"/>
  <c r="H15" i="1" s="1"/>
  <c r="O15" i="1"/>
  <c r="M15" i="1" s="1"/>
  <c r="J15" i="1"/>
  <c r="I15" i="1" s="1"/>
  <c r="K15" i="1"/>
  <c r="G15" i="1"/>
</calcChain>
</file>

<file path=xl/sharedStrings.xml><?xml version="1.0" encoding="utf-8"?>
<sst xmlns="http://schemas.openxmlformats.org/spreadsheetml/2006/main" count="156" uniqueCount="110">
  <si>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</si>
  <si>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</si>
  <si>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</si>
  <si>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</si>
  <si>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</si>
  <si>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</si>
  <si>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</si>
  <si>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</si>
  <si>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</si>
  <si>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</si>
  <si>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</si>
  <si>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</si>
  <si>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</si>
  <si>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</si>
  <si>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</si>
  <si>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</si>
  <si>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</si>
  <si>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</si>
  <si>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</si>
  <si>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</si>
  <si>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</si>
  <si>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</si>
  <si>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</si>
  <si>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</si>
  <si>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</si>
  <si>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</si>
  <si>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</si>
  <si>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</si>
  <si>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</si>
  <si>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</si>
  <si>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</si>
  <si>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</si>
  <si>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</si>
  <si>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</si>
  <si>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</si>
  <si>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</si>
  <si>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</si>
  <si>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</si>
  <si>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</si>
  <si>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</si>
  <si>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</si>
  <si>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</si>
  <si>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</si>
  <si>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</si>
  <si>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</si>
  <si>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</si>
  <si>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</si>
  <si>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</si>
  <si>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</si>
  <si>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</si>
  <si>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</si>
  <si>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</si>
  <si>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</si>
  <si>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</si>
  <si>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</si>
  <si>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</si>
  <si>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</si>
  <si>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</si>
  <si>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</si>
  <si>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</si>
  <si>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FBI
heath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</si>
  <si>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</si>
  <si>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</si>
  <si>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</si>
  <si>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</si>
  <si>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</si>
  <si>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</si>
  <si>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</si>
  <si>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</si>
  <si>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</si>
  <si>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</si>
  <si>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</si>
  <si>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</si>
  <si>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</si>
  <si>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</si>
  <si>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</si>
  <si>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k</t>
  </si>
  <si>
    <t>fuel accumulation parameter</t>
  </si>
  <si>
    <t>fl_max</t>
  </si>
  <si>
    <t>feedback and bug reports to fba@rfs.nsw.gov.au</t>
  </si>
  <si>
    <t xml:space="preserve">VESTA Hazard Score </t>
  </si>
  <si>
    <t>all</t>
  </si>
  <si>
    <t>FHS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</si>
  <si>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</si>
  <si>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</si>
  <si>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</si>
  <si>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</si>
  <si>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</si>
  <si>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</si>
  <si>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</si>
  <si>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</si>
  <si>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</si>
  <si>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</si>
  <si>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</si>
  <si>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</si>
  <si>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</si>
  <si>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</si>
  <si>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</si>
  <si>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</si>
  <si>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</si>
  <si>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</si>
  <si>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</si>
  <si>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</si>
  <si>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</si>
  <si>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</si>
  <si>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</si>
  <si>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</si>
  <si>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</si>
  <si>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</si>
  <si>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
pine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</si>
</sst>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5A555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1" fillId="8" borderId="1" xfId="0" applyFont="1" applyFill="1" applyBorder="1" applyAlignment="1" applyProtection="1">
      <alignment horizontal="center" wrapText="1"/>
    </xf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7" fontId="0" fillId="8" borderId="1" xfId="0" applyNumberForma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Alignment="1" applyProtection="1">
      <alignment horizontal="center" wrapText="1"/>
    </xf>
    <xf numFmtId="0" fontId="2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5" borderId="1" xfId="0" applyFill="1" applyBorder="1" applyProtection="1">
      <protection locked="0"/>
    </xf>
    <xf numFmtId="167" fontId="0" fillId="10" borderId="1" xfId="0" applyNumberFormat="1" applyFill="1" applyBorder="1" applyProtection="1"/>
    <xf numFmtId="1" fontId="0" fillId="10" borderId="1" xfId="0" applyNumberFormat="1" applyFill="1" applyBorder="1" applyProtection="1"/>
  </cellXfs>
  <cellStyles count="2">
    <cellStyle name="Hyperlink" xfId="1" builtinId="8"/>
    <cellStyle name="Normal" xfId="0" builtinId="0"/>
  </cellStyles>
  <dxfs count="16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I1:J3" totalsRowShown="0">
  <autoFilter ref="I1:J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A20"/>
  <sheetViews>
    <sheetView tabSelected="1" zoomScaleNormal="100" workbookViewId="0">
      <selection activeCell="Z3" sqref="Z3"/>
    </sheetView>
    <sheetView tabSelected="1" topLeftCell="C1" workbookViewId="1">
      <selection activeCell="AE15" sqref="AE15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"/>
    <col min="10" max="10" width="8.88671875" style="6"/>
    <col min="11" max="11" width="8.88671875" style="5"/>
    <col min="12" max="12" width="8.88671875" style="6"/>
    <col min="13" max="15" width="8.88671875" style="8"/>
    <col min="16" max="17" width="8.88671875" style="9"/>
    <col min="18" max="20" width="8.88671875" style="39"/>
    <col min="21" max="22" width="8.88671875" style="44"/>
    <col min="23" max="23" width="8.88671875" style="45"/>
    <col min="24" max="25" width="8.88671875" style="51"/>
    <col min="26" max="27" width="8.88671875" style="50"/>
    <col min="28" max="16384" width="8.88671875" style="10"/>
  </cols>
  <sheetData>
    <row r="1" spans="1:2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M1" s="7" t="s">
        <v>22</v>
      </c>
      <c r="R1" s="42" t="s">
        <v>58</v>
      </c>
      <c r="U1" s="39"/>
      <c r="V1" s="39"/>
      <c r="W1" s="47" t="s">
        <v>107</v>
      </c>
      <c r="X1" s="45"/>
      <c r="Y1" s="45"/>
      <c r="Z1" s="45"/>
      <c r="AA1" s="45"/>
    </row>
    <row r="2" spans="1:2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O2" s="14" t="s">
        <v>30</v>
      </c>
      <c r="U2" s="43" t="s">
        <v>61</v>
      </c>
      <c r="V2" s="41">
        <v>0</v>
      </c>
      <c r="X2" s="45"/>
      <c r="Y2" s="48" t="s">
        <v>108</v>
      </c>
      <c r="Z2" s="49">
        <v>100</v>
      </c>
      <c r="AA2" s="45"/>
    </row>
    <row r="3" spans="1:27" x14ac:dyDescent="0.3">
      <c r="A3" s="11" t="s">
        <v>35</v>
      </c>
      <c r="B3" s="2"/>
      <c r="C3" s="3"/>
      <c r="D3" s="3"/>
      <c r="E3" s="3"/>
      <c r="F3" s="3"/>
      <c r="G3" s="15"/>
      <c r="H3" s="16" t="s">
        <v>80</v>
      </c>
      <c r="I3" s="17" t="s">
        <v>30</v>
      </c>
      <c r="M3" s="18" t="s">
        <v>32</v>
      </c>
      <c r="N3" s="34" t="s">
        <v>25</v>
      </c>
      <c r="O3" s="8">
        <v>4.5</v>
      </c>
      <c r="U3" s="43" t="s">
        <v>59</v>
      </c>
      <c r="V3" s="41">
        <v>48</v>
      </c>
      <c r="X3" s="45"/>
      <c r="Y3" s="48"/>
      <c r="Z3" s="48"/>
      <c r="AA3" s="45"/>
    </row>
    <row r="4" spans="1:2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33">
        <v>3</v>
      </c>
      <c r="I4" s="33">
        <v>10</v>
      </c>
      <c r="M4" s="18" t="s">
        <v>27</v>
      </c>
      <c r="N4" s="34">
        <v>100</v>
      </c>
      <c r="U4" s="43" t="s">
        <v>62</v>
      </c>
      <c r="V4" s="41" t="b">
        <v>0</v>
      </c>
      <c r="X4" s="45"/>
      <c r="Y4" s="48"/>
      <c r="Z4" s="48"/>
      <c r="AA4" s="45"/>
    </row>
    <row r="5" spans="1:27" x14ac:dyDescent="0.3">
      <c r="A5" s="11"/>
      <c r="B5" s="2"/>
      <c r="C5" s="3"/>
      <c r="D5" s="3"/>
      <c r="E5" s="3"/>
      <c r="F5" s="3"/>
      <c r="G5" s="19" t="s">
        <v>16</v>
      </c>
      <c r="H5" s="33">
        <v>3</v>
      </c>
      <c r="I5" s="33">
        <v>2</v>
      </c>
      <c r="U5" s="43" t="s">
        <v>66</v>
      </c>
      <c r="V5" s="41">
        <v>2</v>
      </c>
      <c r="X5" s="45"/>
      <c r="Y5" s="48"/>
      <c r="Z5" s="48"/>
      <c r="AA5" s="45"/>
    </row>
    <row r="6" spans="1:27" x14ac:dyDescent="0.3">
      <c r="A6" s="36"/>
      <c r="B6" s="2"/>
      <c r="C6" s="3"/>
      <c r="D6" s="3"/>
      <c r="E6" s="3"/>
      <c r="F6" s="3"/>
      <c r="G6" s="19" t="s">
        <v>17</v>
      </c>
      <c r="H6" s="33">
        <v>2</v>
      </c>
      <c r="I6" s="33">
        <v>2</v>
      </c>
      <c r="U6" s="43" t="s">
        <v>74</v>
      </c>
      <c r="V6" s="41">
        <v>25</v>
      </c>
      <c r="X6" s="45"/>
      <c r="Y6" s="48"/>
      <c r="Z6" s="48"/>
      <c r="AA6" s="45"/>
    </row>
    <row r="7" spans="1:27" x14ac:dyDescent="0.3">
      <c r="A7" s="11" t="s">
        <v>79</v>
      </c>
      <c r="B7" s="2"/>
      <c r="C7" s="3"/>
      <c r="D7" s="3"/>
      <c r="E7" s="3"/>
      <c r="F7" s="3"/>
      <c r="G7" s="19" t="s">
        <v>18</v>
      </c>
      <c r="H7" s="33">
        <v>1</v>
      </c>
      <c r="I7" s="33">
        <v>2</v>
      </c>
      <c r="U7" s="43" t="s">
        <v>38</v>
      </c>
      <c r="V7" s="39">
        <f>Fuel_load(tables!$C$9,AFDRS!$V$6,tables!$C$8)</f>
        <v>3</v>
      </c>
      <c r="X7" s="45"/>
      <c r="Y7" s="45"/>
      <c r="Z7" s="45"/>
      <c r="AA7" s="45"/>
    </row>
    <row r="8" spans="1:2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  <c r="U8" s="39"/>
      <c r="V8" s="39"/>
      <c r="X8" s="45"/>
      <c r="Y8" s="45"/>
      <c r="Z8" s="45"/>
      <c r="AA8" s="45"/>
    </row>
    <row r="9" spans="1:27" x14ac:dyDescent="0.3">
      <c r="A9" s="36" t="s">
        <v>53</v>
      </c>
      <c r="B9" s="2"/>
      <c r="C9" s="3"/>
      <c r="D9" s="3"/>
      <c r="E9" s="3"/>
      <c r="F9" s="3"/>
      <c r="G9" s="19"/>
      <c r="H9" s="17" t="s">
        <v>19</v>
      </c>
      <c r="I9" s="20"/>
      <c r="U9" s="39"/>
      <c r="V9" s="39"/>
      <c r="X9" s="45"/>
      <c r="Y9" s="45"/>
      <c r="Z9" s="45"/>
      <c r="AA9" s="45"/>
    </row>
    <row r="10" spans="1:27" x14ac:dyDescent="0.3">
      <c r="A10" s="38" t="s">
        <v>54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  <c r="U10" s="39"/>
      <c r="V10" s="39"/>
      <c r="X10" s="45"/>
      <c r="Y10" s="45"/>
      <c r="Z10" s="45"/>
      <c r="AA10" s="45"/>
    </row>
    <row r="11" spans="1:2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  <c r="U11" s="39"/>
      <c r="V11" s="39"/>
      <c r="X11" s="45"/>
      <c r="Y11" s="45"/>
      <c r="Z11" s="45"/>
      <c r="AA11" s="45"/>
    </row>
    <row r="12" spans="1:2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  <c r="U12" s="39"/>
      <c r="V12" s="39"/>
      <c r="X12" s="45"/>
      <c r="Y12" s="45"/>
      <c r="Z12" s="45"/>
      <c r="AA12" s="45"/>
    </row>
    <row r="13" spans="1:27" ht="18" x14ac:dyDescent="0.35">
      <c r="A13" s="1" t="s">
        <v>5</v>
      </c>
      <c r="B13" s="2"/>
      <c r="C13" s="3"/>
      <c r="D13" s="3"/>
      <c r="E13" s="3"/>
      <c r="F13" s="3"/>
      <c r="U13" s="39"/>
      <c r="V13" s="39"/>
      <c r="X13" s="45"/>
      <c r="Y13" s="45"/>
      <c r="Z13" s="45"/>
      <c r="AA13" s="45"/>
    </row>
    <row r="14" spans="1:2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  <c r="R14" s="40" t="s">
        <v>60</v>
      </c>
      <c r="S14" s="40" t="s">
        <v>9</v>
      </c>
      <c r="T14" s="40" t="s">
        <v>10</v>
      </c>
      <c r="U14" s="40" t="s">
        <v>11</v>
      </c>
      <c r="V14" s="40" t="s">
        <v>13</v>
      </c>
      <c r="W14" s="46" t="s">
        <v>109</v>
      </c>
      <c r="X14" s="46" t="s">
        <v>9</v>
      </c>
      <c r="Y14" s="46" t="s">
        <v>10</v>
      </c>
      <c r="Z14" s="46" t="s">
        <v>11</v>
      </c>
      <c r="AA14" s="46" t="s">
        <v>13</v>
      </c>
    </row>
    <row r="15" spans="1:27" x14ac:dyDescent="0.3">
      <c r="A15" s="29">
        <v>22695</v>
      </c>
      <c r="B15" s="30">
        <v>0.625</v>
      </c>
      <c r="C15" s="31">
        <v>30</v>
      </c>
      <c r="D15" s="31">
        <v>10</v>
      </c>
      <c r="E15" s="31">
        <v>20</v>
      </c>
      <c r="F15" s="31">
        <v>9</v>
      </c>
      <c r="G15" s="5">
        <f t="shared" ref="G15" si="0">fbi(I15,$G$1)</f>
        <v>42</v>
      </c>
      <c r="H15" s="5">
        <f t="shared" ref="H15:H20" si="1">ROS_forest(E15,fhs_s,fhs_ns,fh_ns,L15,F15,WAF)</f>
        <v>1254</v>
      </c>
      <c r="I15" s="5">
        <f t="shared" ref="I15:I20" si="2">Intensity_forest(H15,F15,J15,ffl_s,ffl_ns,ffl_e,ffl_o,ffh_o)</f>
        <v>8164</v>
      </c>
      <c r="J15" s="6">
        <f t="shared" ref="J15:J20" si="3">Flame_height_forest(H15,ffh_e)</f>
        <v>12.909432411193848</v>
      </c>
      <c r="K15" s="5">
        <f t="shared" ref="K15:K20" si="4">Spotting_forest(H15,E15,fhs_s)</f>
        <v>2404</v>
      </c>
      <c r="L15" s="6">
        <f>FMC_Forest(C15,D15,A15,B15)</f>
        <v>3.4389998912811279</v>
      </c>
      <c r="M15" s="8">
        <f>fbi(O15,$M$1)</f>
        <v>30</v>
      </c>
      <c r="N15" s="8">
        <f t="shared" ref="N15:N20" si="5">ROS_grass(E15,Q15,curing,state_grass)</f>
        <v>4759</v>
      </c>
      <c r="O15" s="8">
        <f t="shared" ref="O15:O20" si="6">Intensity(N15,fl_grass)</f>
        <v>11065</v>
      </c>
      <c r="P15" s="9">
        <f t="shared" ref="P15:P20" si="7">Flame_height_grass(N15,state_grass)</f>
        <v>1.2161185741424561</v>
      </c>
      <c r="Q15" s="9">
        <f>FMC_Grass(C15,D15)</f>
        <v>4.809999942779541</v>
      </c>
      <c r="R15" s="39">
        <f>fbi(T15,$R$1)</f>
        <v>24</v>
      </c>
      <c r="S15" s="39">
        <f>ROS_heath(E15,$V$5,V15,$V$4)</f>
        <v>2595</v>
      </c>
      <c r="T15" s="39">
        <f>Intensity(S15,$V$7)</f>
        <v>4022</v>
      </c>
      <c r="U15" s="44">
        <f>Flame_height_heath(T15)</f>
        <v>3.0392336845397949</v>
      </c>
      <c r="V15" s="44">
        <f>FMC_heath(C15,D15,$V$2,$V$3)</f>
        <v>5.4800000190734863</v>
      </c>
      <c r="W15" s="45">
        <f>fbi(Y15,$W$1)</f>
        <v>10</v>
      </c>
      <c r="X15" s="51">
        <f t="array" ref="X15:Z15">fb_pine_ensemble(E15,AA15,F15,$Z$2)</f>
        <v>732.69610595703125</v>
      </c>
      <c r="Y15" s="51">
        <v>630.36102294921875</v>
      </c>
      <c r="Z15" s="50">
        <v>1.7172263860702515</v>
      </c>
      <c r="AA15" s="50">
        <f>FMC_pine(C15,D15)</f>
        <v>4.8976001739501953</v>
      </c>
    </row>
    <row r="16" spans="1:27" x14ac:dyDescent="0.3">
      <c r="A16" s="29">
        <v>44180</v>
      </c>
      <c r="B16" s="30">
        <v>0.58333333333333337</v>
      </c>
      <c r="C16" s="31">
        <v>25</v>
      </c>
      <c r="D16" s="31">
        <v>33</v>
      </c>
      <c r="E16" s="31">
        <v>15</v>
      </c>
      <c r="F16" s="31">
        <v>8</v>
      </c>
      <c r="G16" s="5">
        <f t="shared" ref="G16:G20" si="8">fbi(I16,$G$1)</f>
        <v>17</v>
      </c>
      <c r="H16" s="5">
        <f t="shared" ref="H16:H20" si="9">ROS_forest(E16,fhs_s,fhs_ns,fh_ns,L16,F16,WAF)</f>
        <v>380</v>
      </c>
      <c r="I16" s="5">
        <f t="shared" ref="I16:I20" si="10">Intensity_forest(H16,F16,J16,ffl_s,ffl_ns,ffl_e,ffl_o,ffh_o)</f>
        <v>2199</v>
      </c>
      <c r="J16" s="6">
        <f t="shared" ref="J16:J20" si="11">Flame_height_forest(H16,ffh_e)</f>
        <v>5.4452967643737793</v>
      </c>
      <c r="K16" s="5">
        <f t="shared" ref="K16:K20" si="12">Spotting_forest(H16,E16,fhs_s)</f>
        <v>251</v>
      </c>
      <c r="L16" s="6">
        <f t="shared" ref="L16:L20" si="13">FMC_Forest(C16,D16,A16,B16)</f>
        <v>6.3845000267028809</v>
      </c>
      <c r="M16" s="8">
        <f t="shared" ref="M16:M20" si="14">fbi(O16,$M$1)</f>
        <v>16</v>
      </c>
      <c r="N16" s="8">
        <f t="shared" ref="N16:N20" si="15">ROS_grass(E16,Q16,curing,state_grass)</f>
        <v>2268</v>
      </c>
      <c r="O16" s="8">
        <f t="shared" ref="O16:O20" si="16">Intensity(N16,fl_grass)</f>
        <v>5273</v>
      </c>
      <c r="P16" s="9">
        <f t="shared" ref="P16:P20" si="17">Flame_height_grass(N16,state_grass)</f>
        <v>0.97729009389877319</v>
      </c>
      <c r="Q16" s="9">
        <f t="shared" ref="Q16:Q20" si="18">FMC_Grass(C16,D16)</f>
        <v>9.0089998245239258</v>
      </c>
      <c r="R16" s="39">
        <f t="shared" ref="R16:R20" si="19">fbi(T16,$R$1)</f>
        <v>16</v>
      </c>
      <c r="S16" s="39">
        <f t="shared" ref="S16:S20" si="20">ROS_heath(E16,$V$5,V16,$V$4)</f>
        <v>1115</v>
      </c>
      <c r="T16" s="39">
        <f t="shared" ref="T16:T20" si="21">Intensity(S16,$V$7)</f>
        <v>1728</v>
      </c>
      <c r="U16" s="44">
        <f t="shared" ref="U16:U20" si="22">Flame_height_heath(T16)</f>
        <v>1.7803994417190552</v>
      </c>
      <c r="V16" s="44">
        <f t="shared" ref="V16:V20" si="23">FMC_heath(C16,D16,$V$2,$V$3)</f>
        <v>9.6829996109008789</v>
      </c>
      <c r="W16" s="45">
        <f t="shared" ref="W16:W20" si="24">fbi(Y16,$W$1)</f>
        <v>7</v>
      </c>
      <c r="X16" s="51">
        <f t="array" ref="X16:Z16">fb_pine_ensemble(E16,AA16,F16,$Z$2)</f>
        <v>399.53790283203125</v>
      </c>
      <c r="Y16" s="51">
        <v>276.99398803710938</v>
      </c>
      <c r="Z16" s="50">
        <v>1.2142764329910278</v>
      </c>
      <c r="AA16" s="50">
        <f t="shared" ref="AA16:AA20" si="25">FMC_pine(C16,D16)</f>
        <v>7.7354998588562012</v>
      </c>
    </row>
    <row r="17" spans="1:27" x14ac:dyDescent="0.3">
      <c r="A17" s="29">
        <v>44181</v>
      </c>
      <c r="B17" s="30">
        <v>0.625</v>
      </c>
      <c r="C17" s="31">
        <v>23</v>
      </c>
      <c r="D17" s="31">
        <v>28</v>
      </c>
      <c r="E17" s="31">
        <v>40</v>
      </c>
      <c r="F17" s="31">
        <v>8</v>
      </c>
      <c r="G17" s="5">
        <f t="shared" si="8"/>
        <v>36</v>
      </c>
      <c r="H17" s="5">
        <f t="shared" si="9"/>
        <v>1209</v>
      </c>
      <c r="I17" s="5">
        <f t="shared" si="10"/>
        <v>6996</v>
      </c>
      <c r="J17" s="6">
        <f t="shared" si="11"/>
        <v>12.572806358337402</v>
      </c>
      <c r="K17" s="5">
        <f t="shared" si="12"/>
        <v>1881</v>
      </c>
      <c r="L17" s="6">
        <f t="shared" si="13"/>
        <v>5.8018999099731445</v>
      </c>
      <c r="M17" s="8">
        <f t="shared" si="14"/>
        <v>38</v>
      </c>
      <c r="N17" s="8">
        <f t="shared" si="15"/>
        <v>5843</v>
      </c>
      <c r="O17" s="8">
        <f t="shared" si="16"/>
        <v>13585</v>
      </c>
      <c r="P17" s="9">
        <f t="shared" si="17"/>
        <v>1.2920114994049072</v>
      </c>
      <c r="Q17" s="9">
        <f t="shared" si="18"/>
        <v>8.7290000915527344</v>
      </c>
      <c r="R17" s="39">
        <f t="shared" si="19"/>
        <v>25</v>
      </c>
      <c r="S17" s="39">
        <f t="shared" si="20"/>
        <v>3040</v>
      </c>
      <c r="T17" s="39">
        <f t="shared" si="21"/>
        <v>4712</v>
      </c>
      <c r="U17" s="44">
        <f t="shared" si="22"/>
        <v>3.3596279621124268</v>
      </c>
      <c r="V17" s="44">
        <f t="shared" si="23"/>
        <v>9.0780000686645508</v>
      </c>
      <c r="W17" s="45">
        <f t="shared" si="24"/>
        <v>12</v>
      </c>
      <c r="X17" s="51">
        <f t="array" ref="X17:Z17">fb_pine_ensemble(E17,AA17,F17,$Z$2)</f>
        <v>1466.2261962890625</v>
      </c>
      <c r="Y17" s="51">
        <v>1002.9099731445313</v>
      </c>
      <c r="Z17" s="50">
        <v>2.0826616287231445</v>
      </c>
      <c r="AA17" s="50">
        <f t="shared" si="25"/>
        <v>7.1837000846862793</v>
      </c>
    </row>
    <row r="18" spans="1:27" x14ac:dyDescent="0.3">
      <c r="A18" s="29">
        <v>44182</v>
      </c>
      <c r="B18" s="30">
        <v>0.625</v>
      </c>
      <c r="C18" s="31">
        <v>35</v>
      </c>
      <c r="D18" s="31">
        <v>15</v>
      </c>
      <c r="E18" s="31">
        <v>35</v>
      </c>
      <c r="F18" s="31">
        <v>10</v>
      </c>
      <c r="G18" s="5">
        <f t="shared" si="8"/>
        <v>79</v>
      </c>
      <c r="H18" s="5">
        <f t="shared" si="9"/>
        <v>2603</v>
      </c>
      <c r="I18" s="5">
        <f t="shared" si="10"/>
        <v>21854</v>
      </c>
      <c r="J18" s="6">
        <f t="shared" si="11"/>
        <v>21.888996124267578</v>
      </c>
      <c r="K18" s="5">
        <f t="shared" si="12"/>
        <v>4231</v>
      </c>
      <c r="L18" s="6">
        <f t="shared" si="13"/>
        <v>3.9655001163482666</v>
      </c>
      <c r="M18" s="8">
        <f t="shared" si="14"/>
        <v>67</v>
      </c>
      <c r="N18" s="8">
        <f t="shared" si="15"/>
        <v>8634</v>
      </c>
      <c r="O18" s="8">
        <f t="shared" si="16"/>
        <v>20074</v>
      </c>
      <c r="P18" s="9">
        <f t="shared" si="17"/>
        <v>1.4497441053390503</v>
      </c>
      <c r="Q18" s="9">
        <f t="shared" si="18"/>
        <v>4.4749999046325684</v>
      </c>
      <c r="R18" s="39">
        <f t="shared" si="19"/>
        <v>28</v>
      </c>
      <c r="S18" s="39">
        <f t="shared" si="20"/>
        <v>4187</v>
      </c>
      <c r="T18" s="39">
        <f t="shared" si="21"/>
        <v>6490</v>
      </c>
      <c r="U18" s="44">
        <f t="shared" si="22"/>
        <v>4.1143679618835449</v>
      </c>
      <c r="V18" s="44">
        <f t="shared" si="23"/>
        <v>5.7849998474121094</v>
      </c>
      <c r="W18" s="45">
        <f t="shared" si="24"/>
        <v>14</v>
      </c>
      <c r="X18" s="51">
        <f t="array" ref="X18:Z18">fb_pine_ensemble(E18,AA18,F18,$Z$2)</f>
        <v>1414.9273681640625</v>
      </c>
      <c r="Y18" s="51">
        <v>1530.6800537109375</v>
      </c>
      <c r="Z18" s="50">
        <v>2.5092864036560059</v>
      </c>
      <c r="AA18" s="50">
        <f t="shared" si="25"/>
        <v>5.3860998153686523</v>
      </c>
    </row>
    <row r="19" spans="1:27" x14ac:dyDescent="0.3">
      <c r="A19" s="29">
        <v>44183</v>
      </c>
      <c r="B19" s="30">
        <v>0.625</v>
      </c>
      <c r="C19" s="31">
        <v>35</v>
      </c>
      <c r="D19" s="31">
        <v>5</v>
      </c>
      <c r="E19" s="31">
        <v>55</v>
      </c>
      <c r="F19" s="31">
        <v>10</v>
      </c>
      <c r="G19" s="5">
        <f t="shared" si="8"/>
        <v>105</v>
      </c>
      <c r="H19" s="5">
        <f t="shared" si="9"/>
        <v>3996</v>
      </c>
      <c r="I19" s="5">
        <f t="shared" si="10"/>
        <v>33550</v>
      </c>
      <c r="J19" s="6">
        <f t="shared" si="11"/>
        <v>29.840991973876953</v>
      </c>
      <c r="K19" s="5">
        <f t="shared" si="12"/>
        <v>5461</v>
      </c>
      <c r="L19" s="6">
        <f t="shared" si="13"/>
        <v>2.7255001068115234</v>
      </c>
      <c r="M19" s="8">
        <f t="shared" si="14"/>
        <v>115</v>
      </c>
      <c r="N19" s="8">
        <f t="shared" si="15"/>
        <v>15033</v>
      </c>
      <c r="O19" s="8">
        <f t="shared" si="16"/>
        <v>34952</v>
      </c>
      <c r="P19" s="9">
        <f t="shared" si="17"/>
        <v>1.7074077129364014</v>
      </c>
      <c r="Q19" s="9">
        <f t="shared" si="18"/>
        <v>3.0950000286102295</v>
      </c>
      <c r="R19" s="39">
        <f t="shared" si="19"/>
        <v>36</v>
      </c>
      <c r="S19" s="39">
        <f t="shared" si="20"/>
        <v>7418</v>
      </c>
      <c r="T19" s="39">
        <f t="shared" si="21"/>
        <v>11498</v>
      </c>
      <c r="U19" s="44">
        <f t="shared" si="22"/>
        <v>5.9091658592224121</v>
      </c>
      <c r="V19" s="44">
        <f t="shared" si="23"/>
        <v>4.1750001907348633</v>
      </c>
      <c r="W19" s="45">
        <f t="shared" si="24"/>
        <v>20</v>
      </c>
      <c r="X19" s="51">
        <f t="array" ref="X19:Z19">fb_pine_ensemble(E19,AA19,F19,$Z$2)</f>
        <v>2809.793212890625</v>
      </c>
      <c r="Y19" s="51">
        <v>3091.452880859375</v>
      </c>
      <c r="Z19" s="50">
        <v>3.3911213874816895</v>
      </c>
      <c r="AA19" s="50">
        <f t="shared" si="25"/>
        <v>4.1981000900268555</v>
      </c>
    </row>
    <row r="20" spans="1:27" x14ac:dyDescent="0.3">
      <c r="A20" s="29">
        <v>44001</v>
      </c>
      <c r="B20" s="30">
        <v>0.16666666666666666</v>
      </c>
      <c r="C20" s="31">
        <v>6</v>
      </c>
      <c r="D20" s="31">
        <v>90</v>
      </c>
      <c r="E20" s="31">
        <v>10</v>
      </c>
      <c r="F20" s="31">
        <v>10</v>
      </c>
      <c r="G20" s="5">
        <f t="shared" si="8"/>
        <v>0</v>
      </c>
      <c r="H20" s="5">
        <f t="shared" si="9"/>
        <v>0</v>
      </c>
      <c r="I20" s="5">
        <f t="shared" si="10"/>
        <v>0</v>
      </c>
      <c r="J20" s="6">
        <f t="shared" si="11"/>
        <v>0</v>
      </c>
      <c r="K20" s="5">
        <f t="shared" si="12"/>
        <v>50</v>
      </c>
      <c r="L20" s="6">
        <f t="shared" si="13"/>
        <v>20.610200881958008</v>
      </c>
      <c r="M20" s="8">
        <f t="shared" si="14"/>
        <v>0</v>
      </c>
      <c r="N20" s="8">
        <f t="shared" si="15"/>
        <v>4</v>
      </c>
      <c r="O20" s="8">
        <f t="shared" si="16"/>
        <v>9</v>
      </c>
      <c r="P20" s="9">
        <f t="shared" si="17"/>
        <v>0.15056239068508148</v>
      </c>
      <c r="Q20" s="9">
        <f t="shared" si="18"/>
        <v>20.770000457763672</v>
      </c>
      <c r="R20" s="39">
        <f t="shared" si="19"/>
        <v>6</v>
      </c>
      <c r="S20" s="39">
        <f t="shared" si="20"/>
        <v>41</v>
      </c>
      <c r="T20" s="39">
        <f t="shared" si="21"/>
        <v>64</v>
      </c>
      <c r="U20" s="44">
        <f t="shared" si="22"/>
        <v>0.22103659808635712</v>
      </c>
      <c r="V20" s="44">
        <f t="shared" si="23"/>
        <v>18.329999923706055</v>
      </c>
      <c r="W20" s="45">
        <f t="shared" si="24"/>
        <v>6</v>
      </c>
      <c r="X20" s="51">
        <f t="array" ref="X20:Z20">fb_pine_ensemble(E20,AA20,F20,$Z$2)</f>
        <v>149.01780700683594</v>
      </c>
      <c r="Y20" s="51">
        <v>164.427001953125</v>
      </c>
      <c r="Z20" s="50">
        <v>0.98411691188812256</v>
      </c>
      <c r="AA20" s="50">
        <f t="shared" si="25"/>
        <v>14.907999992370605</v>
      </c>
    </row>
  </sheetData>
  <conditionalFormatting sqref="M15:M1048576">
    <cfRule type="expression" dxfId="15" priority="9">
      <formula>$M15&gt;=100</formula>
    </cfRule>
    <cfRule type="expression" dxfId="14" priority="10">
      <formula>$M15&gt;=50</formula>
    </cfRule>
    <cfRule type="expression" dxfId="13" priority="11">
      <formula>$M15&gt;=24</formula>
    </cfRule>
    <cfRule type="expression" dxfId="12" priority="12">
      <formula>$M15&gt;=12</formula>
    </cfRule>
  </conditionalFormatting>
  <conditionalFormatting sqref="G15:G1048576">
    <cfRule type="expression" dxfId="11" priority="13">
      <formula>$G15&gt;=100</formula>
    </cfRule>
    <cfRule type="expression" dxfId="10" priority="14">
      <formula>$G15&gt;50</formula>
    </cfRule>
    <cfRule type="expression" dxfId="9" priority="15">
      <formula>$G15&gt;=24</formula>
    </cfRule>
    <cfRule type="expression" dxfId="8" priority="16">
      <formula>$G15&gt;=12</formula>
    </cfRule>
  </conditionalFormatting>
  <conditionalFormatting sqref="R15:R21">
    <cfRule type="expression" dxfId="7" priority="8">
      <formula>$R15&gt;=12</formula>
    </cfRule>
  </conditionalFormatting>
  <conditionalFormatting sqref="R15:R21">
    <cfRule type="expression" dxfId="6" priority="5">
      <formula>$R15&gt;=100</formula>
    </cfRule>
    <cfRule type="expression" dxfId="5" priority="6">
      <formula>$R15&gt;=50</formula>
    </cfRule>
    <cfRule type="expression" dxfId="4" priority="7">
      <formula>$R15&gt;=24</formula>
    </cfRule>
  </conditionalFormatting>
  <conditionalFormatting sqref="W15:W21">
    <cfRule type="expression" dxfId="3" priority="4">
      <formula>$W15&gt;=12</formula>
    </cfRule>
  </conditionalFormatting>
  <conditionalFormatting sqref="W15:W21">
    <cfRule type="expression" dxfId="0" priority="1">
      <formula>$W15&gt;=100</formula>
    </cfRule>
    <cfRule type="expression" dxfId="1" priority="2">
      <formula>$W15&gt;=50</formula>
    </cfRule>
    <cfRule type="expression" dxfId="2" priority="3">
      <formula>$W15&gt;=24</formula>
    </cfRule>
  </conditionalFormatting>
  <dataValidations count="15">
    <dataValidation type="decimal" allowBlank="1" showInputMessage="1" showErrorMessage="1" errorTitle="Invalid Curing %" error="Choose a value between 0 and 100" promptTitle="Curing (%)" prompt="select a value betwen 0 and 100" sqref="O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allowBlank="1" showInputMessage="1" showErrorMessage="1" errorTitle="Invalid Hazard Score" promptTitle="Fuel Hazard Score" prompt="Input a value between 0 and 4._x000a_Must be consistent with the Fine Fuel Load._x000a_see Hines et al. 2010, Cheney et al. 2012" sqref="H4:H7">
      <formula1>0</formula1>
      <formula2>4</formula2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N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_x000a_Keetch Byram Drought Index is the precipitation necessary to saturate the soil" sqref="Z2">
      <formula1>0</formula1>
      <formula2>200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  <x14:dataValidation type="list" showInputMessage="1" showErrorMessage="1">
          <x14:formula1>
            <xm:f>tables!$I$2:$I$3</xm:f>
          </x14:formula1>
          <xm:sqref>V4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8"/>
  <sheetViews>
    <sheetView workbookViewId="0">
      <selection activeCell="C29" sqref="C29"/>
    </sheetView>
    <sheetView workbookViewId="1">
      <selection activeCell="D28" sqref="D28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7" width="12.109375" customWidth="1"/>
    <col min="9" max="9" width="17.33203125" customWidth="1"/>
  </cols>
  <sheetData>
    <row r="1" spans="1:12" x14ac:dyDescent="0.3">
      <c r="A1" s="37" t="s">
        <v>55</v>
      </c>
      <c r="F1" t="s">
        <v>23</v>
      </c>
      <c r="I1" t="s">
        <v>63</v>
      </c>
      <c r="J1" t="s">
        <v>65</v>
      </c>
      <c r="L1" t="s">
        <v>82</v>
      </c>
    </row>
    <row r="2" spans="1:12" x14ac:dyDescent="0.3">
      <c r="A2" s="37" t="s">
        <v>69</v>
      </c>
      <c r="B2" s="37" t="s">
        <v>67</v>
      </c>
      <c r="C2" s="37" t="s">
        <v>68</v>
      </c>
      <c r="D2" s="37" t="s">
        <v>72</v>
      </c>
      <c r="F2" t="s">
        <v>24</v>
      </c>
      <c r="I2" t="b">
        <v>1</v>
      </c>
      <c r="J2">
        <v>0.35</v>
      </c>
    </row>
    <row r="3" spans="1:12" x14ac:dyDescent="0.3">
      <c r="A3" t="s">
        <v>81</v>
      </c>
      <c r="B3" t="s">
        <v>50</v>
      </c>
      <c r="C3">
        <v>30</v>
      </c>
      <c r="D3" t="s">
        <v>83</v>
      </c>
      <c r="F3" t="s">
        <v>25</v>
      </c>
      <c r="I3" t="b">
        <v>0</v>
      </c>
      <c r="J3">
        <v>0.66700000000000004</v>
      </c>
    </row>
    <row r="4" spans="1:12" x14ac:dyDescent="0.3">
      <c r="A4" t="s">
        <v>81</v>
      </c>
      <c r="B4" t="s">
        <v>49</v>
      </c>
      <c r="C4">
        <v>25</v>
      </c>
      <c r="D4" t="s">
        <v>84</v>
      </c>
      <c r="F4" t="s">
        <v>26</v>
      </c>
    </row>
    <row r="5" spans="1:12" x14ac:dyDescent="0.3">
      <c r="A5" t="s">
        <v>81</v>
      </c>
      <c r="B5" t="s">
        <v>75</v>
      </c>
      <c r="C5">
        <v>25</v>
      </c>
      <c r="D5" t="s">
        <v>92</v>
      </c>
    </row>
    <row r="6" spans="1:12" x14ac:dyDescent="0.3">
      <c r="A6" t="s">
        <v>81</v>
      </c>
      <c r="B6" t="s">
        <v>45</v>
      </c>
      <c r="C6">
        <v>20</v>
      </c>
      <c r="D6" t="s">
        <v>93</v>
      </c>
    </row>
    <row r="7" spans="1:12" x14ac:dyDescent="0.3">
      <c r="A7" t="s">
        <v>37</v>
      </c>
      <c r="B7" t="s">
        <v>39</v>
      </c>
      <c r="C7">
        <v>8</v>
      </c>
      <c r="D7" t="s">
        <v>94</v>
      </c>
    </row>
    <row r="8" spans="1:12" x14ac:dyDescent="0.3">
      <c r="A8" t="s">
        <v>37</v>
      </c>
      <c r="B8" t="s">
        <v>47</v>
      </c>
      <c r="C8">
        <v>3</v>
      </c>
      <c r="D8" t="s">
        <v>85</v>
      </c>
    </row>
    <row r="9" spans="1:12" x14ac:dyDescent="0.3">
      <c r="A9" t="s">
        <v>37</v>
      </c>
      <c r="B9" t="s">
        <v>46</v>
      </c>
      <c r="C9">
        <v>3</v>
      </c>
      <c r="D9" t="s">
        <v>86</v>
      </c>
    </row>
    <row r="10" spans="1:12" x14ac:dyDescent="0.3">
      <c r="A10" t="s">
        <v>37</v>
      </c>
      <c r="B10" t="s">
        <v>42</v>
      </c>
      <c r="C10">
        <v>3</v>
      </c>
      <c r="D10" t="s">
        <v>87</v>
      </c>
    </row>
    <row r="11" spans="1:12" x14ac:dyDescent="0.3">
      <c r="A11" t="s">
        <v>37</v>
      </c>
      <c r="B11" t="s">
        <v>41</v>
      </c>
      <c r="C11">
        <v>3</v>
      </c>
      <c r="D11" t="s">
        <v>88</v>
      </c>
    </row>
    <row r="12" spans="1:12" x14ac:dyDescent="0.3">
      <c r="A12" t="s">
        <v>37</v>
      </c>
      <c r="B12" t="s">
        <v>43</v>
      </c>
      <c r="C12">
        <v>4.5</v>
      </c>
      <c r="D12" t="s">
        <v>89</v>
      </c>
    </row>
    <row r="13" spans="1:12" x14ac:dyDescent="0.3">
      <c r="A13" t="s">
        <v>37</v>
      </c>
      <c r="B13" t="s">
        <v>40</v>
      </c>
      <c r="C13">
        <v>10</v>
      </c>
      <c r="D13" t="s">
        <v>90</v>
      </c>
    </row>
    <row r="14" spans="1:12" x14ac:dyDescent="0.3">
      <c r="A14" t="s">
        <v>37</v>
      </c>
      <c r="B14" t="s">
        <v>48</v>
      </c>
      <c r="C14">
        <v>20</v>
      </c>
      <c r="D14" t="s">
        <v>91</v>
      </c>
    </row>
    <row r="15" spans="1:12" x14ac:dyDescent="0.3">
      <c r="A15" t="s">
        <v>37</v>
      </c>
      <c r="B15" t="s">
        <v>44</v>
      </c>
      <c r="C15">
        <v>20</v>
      </c>
      <c r="D15" t="s">
        <v>97</v>
      </c>
    </row>
    <row r="16" spans="1:12" x14ac:dyDescent="0.3">
      <c r="A16" t="s">
        <v>37</v>
      </c>
      <c r="B16" t="s">
        <v>7</v>
      </c>
      <c r="C16">
        <v>3</v>
      </c>
      <c r="D16" t="s">
        <v>98</v>
      </c>
    </row>
    <row r="17" spans="1:4" x14ac:dyDescent="0.3">
      <c r="A17" t="s">
        <v>52</v>
      </c>
      <c r="B17" t="s">
        <v>51</v>
      </c>
      <c r="C17">
        <v>100</v>
      </c>
      <c r="D17" t="s">
        <v>99</v>
      </c>
    </row>
    <row r="18" spans="1:4" x14ac:dyDescent="0.3">
      <c r="A18" t="s">
        <v>52</v>
      </c>
      <c r="B18" t="s">
        <v>32</v>
      </c>
      <c r="C18" t="s">
        <v>25</v>
      </c>
      <c r="D18" t="s">
        <v>100</v>
      </c>
    </row>
    <row r="19" spans="1:4" x14ac:dyDescent="0.3">
      <c r="A19" t="s">
        <v>70</v>
      </c>
      <c r="B19" t="s">
        <v>78</v>
      </c>
      <c r="C19">
        <v>20</v>
      </c>
      <c r="D19" t="s">
        <v>95</v>
      </c>
    </row>
    <row r="20" spans="1:4" x14ac:dyDescent="0.3">
      <c r="A20" t="s">
        <v>70</v>
      </c>
      <c r="B20" t="s">
        <v>71</v>
      </c>
      <c r="C20">
        <v>2</v>
      </c>
      <c r="D20" t="s">
        <v>96</v>
      </c>
    </row>
    <row r="21" spans="1:4" x14ac:dyDescent="0.3">
      <c r="A21" t="s">
        <v>70</v>
      </c>
      <c r="B21" t="s">
        <v>57</v>
      </c>
      <c r="C21">
        <v>48</v>
      </c>
      <c r="D21" t="s">
        <v>101</v>
      </c>
    </row>
    <row r="22" spans="1:4" x14ac:dyDescent="0.3">
      <c r="A22" t="s">
        <v>70</v>
      </c>
      <c r="B22" t="s">
        <v>76</v>
      </c>
      <c r="C22">
        <v>0.2</v>
      </c>
      <c r="D22" t="s">
        <v>77</v>
      </c>
    </row>
    <row r="23" spans="1:4" x14ac:dyDescent="0.3">
      <c r="A23" t="s">
        <v>70</v>
      </c>
      <c r="B23" t="s">
        <v>64</v>
      </c>
      <c r="C23" t="b">
        <v>0</v>
      </c>
      <c r="D23" t="s">
        <v>73</v>
      </c>
    </row>
    <row r="24" spans="1:4" x14ac:dyDescent="0.3">
      <c r="A24" t="s">
        <v>70</v>
      </c>
      <c r="B24" t="s">
        <v>56</v>
      </c>
    </row>
    <row r="25" spans="1:4" x14ac:dyDescent="0.3">
      <c r="A25" t="s">
        <v>102</v>
      </c>
      <c r="B25" t="s">
        <v>39</v>
      </c>
      <c r="C25">
        <v>8</v>
      </c>
      <c r="D25" t="s">
        <v>94</v>
      </c>
    </row>
    <row r="26" spans="1:4" x14ac:dyDescent="0.3">
      <c r="A26" t="s">
        <v>102</v>
      </c>
      <c r="B26" t="s">
        <v>7</v>
      </c>
      <c r="C26">
        <v>5</v>
      </c>
      <c r="D26" t="s">
        <v>103</v>
      </c>
    </row>
    <row r="27" spans="1:4" x14ac:dyDescent="0.3">
      <c r="A27" t="s">
        <v>102</v>
      </c>
      <c r="B27" t="s">
        <v>104</v>
      </c>
      <c r="C27">
        <v>100</v>
      </c>
      <c r="D27" t="s">
        <v>105</v>
      </c>
    </row>
    <row r="28" spans="1:4" x14ac:dyDescent="0.3">
      <c r="A28" t="s">
        <v>106</v>
      </c>
      <c r="B28" t="s">
        <v>40</v>
      </c>
      <c r="C28">
        <v>1.05</v>
      </c>
      <c r="D28" t="s">
        <v>90</v>
      </c>
    </row>
  </sheetData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AFDRS</vt:lpstr>
      <vt:lpstr>tables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2022-09-14T04:47:35Z</dcterms:modified>
</cp:coreProperties>
</file>