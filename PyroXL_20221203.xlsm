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models_tables" sheetId="3" state="hidden" r:id="rId2"/>
    <sheet name="models_fuel_paramss" sheetId="22" state="hidden" r:id="rId3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hs_b">AFDRS!$J$7</definedName>
    <definedName name="fhs_e">AFDRS!$J$6</definedName>
    <definedName name="fhs_ns">AFDRS!$J$5</definedName>
    <definedName name="fhs_s">AFDRS!$J$4</definedName>
    <definedName name="fl_b_forest">AFDRS!$K$7</definedName>
    <definedName name="fl_e_forest">AFDRS!$K$6</definedName>
    <definedName name="fl_heath">AFDRS!$AC$7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grass">AFDRS!$Q$3</definedName>
    <definedName name="fl_s_mallee">AFDRS!$AM$2</definedName>
    <definedName name="fl_total_max_heath">models_tables!$C$19</definedName>
    <definedName name="fl_woodland">AFDRS!$W$4</definedName>
    <definedName name="Forest">AFDRS!$I$1</definedName>
    <definedName name="Grass">AFDRS!$O$1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Heath">AFDRS!$Y$1</definedName>
    <definedName name="kbdi">AFDRS!$G$13</definedName>
    <definedName name="Mallee">AFDRS!$AI$1</definedName>
    <definedName name="outputs_r1">AFDRS!$H$15:$AR$15</definedName>
    <definedName name="overstorey_heath">AFDRS!$AC$4</definedName>
    <definedName name="Pine">AFDRS!$AD$1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pinifex">AFDRS!$AN$1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" comment="time since fire">AFDRS!$G$12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  <definedName name="Woodland">AFDRS!$T$1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AC7" i="1"/>
  <c r="AR15" i="1"/>
  <c r="AO15" i="1" s="1"/>
  <c r="AM15" i="1"/>
  <c r="N15" i="1"/>
  <c r="AC15" i="1"/>
  <c r="AJ15" i="1"/>
  <c r="AK15" i="1" s="1"/>
  <c r="J7" i="1"/>
  <c r="Z15" i="1"/>
  <c r="S15" i="1"/>
  <c r="AH15" i="1"/>
  <c r="AE15" i="1" s="1" a="1"/>
  <c r="J6" i="1"/>
  <c r="J5" i="1"/>
  <c r="X15" i="1"/>
  <c r="J4" i="1"/>
  <c r="AN15" i="1"/>
  <c r="AI15" i="1"/>
  <c r="Q3" i="1"/>
  <c r="AP15" i="1"/>
  <c r="AQ15" i="1"/>
  <c r="AE15" i="1" l="1"/>
  <c r="AF15" i="1"/>
  <c r="AG15" i="1"/>
  <c r="J15" i="1"/>
  <c r="AL15" i="1"/>
  <c r="U15" i="1"/>
  <c r="P15" i="1"/>
  <c r="V15" i="1"/>
  <c r="W15" i="1"/>
  <c r="AA15" i="1"/>
  <c r="AD15" i="1"/>
  <c r="M15" i="1"/>
  <c r="L15" i="1"/>
  <c r="Q15" i="1"/>
  <c r="O15" i="1" s="1"/>
  <c r="R15" i="1"/>
  <c r="AB15" i="1"/>
  <c r="Y15" i="1"/>
  <c r="K15" i="1"/>
  <c r="I15" i="1" s="1"/>
  <c r="T15" i="1"/>
</calcChain>
</file>

<file path=xl/sharedStrings.xml><?xml version="1.0" encoding="utf-8"?>
<sst xmlns="http://schemas.openxmlformats.org/spreadsheetml/2006/main" count="1588" uniqueCount="629">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</sst>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6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1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6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6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6" fontId="0" fillId="17" borderId="1" xfId="0" applyNumberFormat="1" applyFill="1" applyBorder="1" applyProtection="1">
      <protection locked="0"/>
    </xf>
    <xf numFmtId="166" fontId="0" fillId="16" borderId="1" xfId="0" applyNumberFormat="1" applyFill="1" applyBorder="1" applyProtection="1"/>
    <xf numFmtId="166" fontId="0" fillId="16" borderId="4" xfId="0" applyNumberFormat="1" applyFill="1" applyBorder="1" applyProtection="1"/>
    <xf numFmtId="166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6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0" fontId="7" fillId="0" borderId="0" xfId="0" applyFont="1"/>
    <xf numFmtId="0" fontId="1" fillId="2" borderId="1" xfId="0" applyFont="1" applyFill="1" applyBorder="1" applyAlignment="1" applyProtection="1">
      <alignment horizontal="right"/>
    </xf>
    <xf numFmtId="166" fontId="1" fillId="5" borderId="1" xfId="0" applyNumberFormat="1" applyFont="1" applyFill="1" applyBorder="1" applyAlignment="1" applyProtection="1">
      <alignment horizontal="right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="120" zoomScaleNormal="120" workbookViewId="0">
      <pane xSplit="8" ySplit="14" topLeftCell="AD15" activePane="bottomRight" state="frozen"/>
      <selection pane="topRight" activeCell="I1" sqref="I1"/>
      <selection pane="bottomLeft" activeCell="A15" sqref="A15"/>
      <selection pane="bottomRight" activeCell="B1" sqref="B1:C1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7"/>
    <col min="41" max="42" width="8.88671875" style="128"/>
    <col min="43" max="43" width="8.88671875" style="125"/>
    <col min="44" max="44" width="8.88671875" style="117"/>
    <col min="45" max="16384" width="8.88671875" style="9"/>
  </cols>
  <sheetData>
    <row r="1" spans="1:44" ht="18" x14ac:dyDescent="0.35">
      <c r="A1" s="90" t="s">
        <v>136</v>
      </c>
      <c r="B1" s="137"/>
      <c r="C1" s="138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140</v>
      </c>
      <c r="Y1" s="31" t="s">
        <v>50</v>
      </c>
      <c r="Z1" s="29"/>
      <c r="AA1" s="29"/>
      <c r="AB1" s="29"/>
      <c r="AC1" s="29"/>
      <c r="AD1" s="105" t="s">
        <v>94</v>
      </c>
      <c r="AE1" s="106"/>
      <c r="AF1" s="106"/>
      <c r="AG1" s="106"/>
      <c r="AH1" s="106"/>
      <c r="AI1" s="74" t="s">
        <v>123</v>
      </c>
      <c r="AJ1" s="75"/>
      <c r="AK1" s="75"/>
      <c r="AL1" s="75"/>
      <c r="AN1" s="122" t="s">
        <v>152</v>
      </c>
    </row>
    <row r="2" spans="1:44" x14ac:dyDescent="0.3">
      <c r="A2" s="90" t="s">
        <v>137</v>
      </c>
      <c r="B2" s="45">
        <v>44898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150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122</v>
      </c>
      <c r="AE2" s="106"/>
      <c r="AF2" s="108"/>
      <c r="AH2" s="106"/>
      <c r="AJ2" s="75"/>
      <c r="AK2" s="75"/>
      <c r="AL2" s="85" t="s">
        <v>132</v>
      </c>
      <c r="AM2" s="86">
        <v>3</v>
      </c>
      <c r="AQ2" s="132" t="s">
        <v>153</v>
      </c>
      <c r="AR2" s="123">
        <v>0</v>
      </c>
    </row>
    <row r="3" spans="1:44" x14ac:dyDescent="0.3">
      <c r="A3" s="90" t="s">
        <v>138</v>
      </c>
      <c r="B3" s="46">
        <v>0.39543981481481483</v>
      </c>
      <c r="C3" s="2"/>
      <c r="D3" s="2"/>
      <c r="E3" s="2"/>
      <c r="F3" s="2"/>
      <c r="G3" s="2"/>
      <c r="I3" s="14"/>
      <c r="J3" s="15" t="s">
        <v>68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141</v>
      </c>
      <c r="W3" s="139" t="s">
        <v>144</v>
      </c>
      <c r="X3" s="140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133</v>
      </c>
      <c r="AM3" s="86">
        <v>1</v>
      </c>
      <c r="AQ3" s="132"/>
      <c r="AR3" s="132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142</v>
      </c>
      <c r="W4" s="116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134</v>
      </c>
      <c r="AM4" s="86">
        <v>18</v>
      </c>
      <c r="AQ4" s="132" t="s">
        <v>52</v>
      </c>
      <c r="AR4" s="123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135</v>
      </c>
      <c r="AM5" s="86">
        <v>4.5</v>
      </c>
      <c r="AQ5" s="132" t="s">
        <v>51</v>
      </c>
      <c r="AR5" s="123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149</v>
      </c>
      <c r="W6" s="103">
        <v>0.5</v>
      </c>
      <c r="Z6" s="29"/>
      <c r="AA6" s="29"/>
      <c r="AB6" s="32"/>
      <c r="AC6" s="32">
        <v>25</v>
      </c>
      <c r="AE6" s="106"/>
      <c r="AF6" s="108"/>
      <c r="AG6" s="108"/>
      <c r="AH6" s="106"/>
      <c r="AJ6" s="75"/>
      <c r="AK6" s="75"/>
      <c r="AL6" s="85"/>
      <c r="AM6" s="85">
        <v>20</v>
      </c>
      <c r="AQ6" s="132" t="s">
        <v>154</v>
      </c>
      <c r="AR6" s="123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fuel_amount(models_tables!$C$19,tsf,models_tables!$C$22)</f>
        <v>19.633687222225316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  <c r="AQ7" s="132" t="s">
        <v>149</v>
      </c>
      <c r="AR7" s="124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  <c r="AQ8" s="132" t="s">
        <v>141</v>
      </c>
      <c r="AR8" s="123" t="s">
        <v>156</v>
      </c>
    </row>
    <row r="9" spans="1:44" x14ac:dyDescent="0.3">
      <c r="A9" s="10" t="s">
        <v>67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L9" s="136" t="s">
        <v>627</v>
      </c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118</v>
      </c>
      <c r="M10" s="68" t="s">
        <v>120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124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135" t="s">
        <v>626</v>
      </c>
      <c r="G12" s="67">
        <v>20</v>
      </c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95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8"/>
      <c r="AO13" s="129"/>
      <c r="AP13" s="129"/>
      <c r="AQ13" s="126"/>
      <c r="AR13" s="118"/>
    </row>
    <row r="14" spans="1:44" s="71" customFormat="1" ht="60" customHeight="1" x14ac:dyDescent="0.3">
      <c r="A14" s="57" t="s">
        <v>125</v>
      </c>
      <c r="B14" s="58" t="s">
        <v>126</v>
      </c>
      <c r="C14" s="59" t="s">
        <v>127</v>
      </c>
      <c r="D14" s="59" t="s">
        <v>128</v>
      </c>
      <c r="E14" s="59" t="s">
        <v>129</v>
      </c>
      <c r="F14" s="60" t="s">
        <v>130</v>
      </c>
      <c r="G14" s="60" t="s">
        <v>0</v>
      </c>
      <c r="H14" s="83" t="s">
        <v>131</v>
      </c>
      <c r="I14" s="61" t="s">
        <v>96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96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96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96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96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96</v>
      </c>
      <c r="AJ14" s="77" t="s">
        <v>4</v>
      </c>
      <c r="AK14" s="77" t="s">
        <v>5</v>
      </c>
      <c r="AL14" s="78" t="s">
        <v>6</v>
      </c>
      <c r="AM14" s="78" t="s">
        <v>8</v>
      </c>
      <c r="AN14" s="119" t="s">
        <v>96</v>
      </c>
      <c r="AO14" s="130" t="s">
        <v>4</v>
      </c>
      <c r="AP14" s="130" t="s">
        <v>5</v>
      </c>
      <c r="AQ14" s="120" t="s">
        <v>6</v>
      </c>
      <c r="AR14" s="120" t="s">
        <v>8</v>
      </c>
    </row>
    <row r="15" spans="1:44" s="70" customFormat="1" x14ac:dyDescent="0.3">
      <c r="A15" s="45">
        <v>44898</v>
      </c>
      <c r="B15" s="46">
        <v>0.39543981481481483</v>
      </c>
      <c r="C15" s="47">
        <v>25</v>
      </c>
      <c r="D15" s="47">
        <v>30</v>
      </c>
      <c r="E15" s="47" t="s">
        <v>151</v>
      </c>
      <c r="F15" s="47">
        <v>20</v>
      </c>
      <c r="G15" s="47">
        <v>8</v>
      </c>
      <c r="H15" s="82">
        <f>backbearing(E15)</f>
        <v>180</v>
      </c>
      <c r="I15" s="48">
        <f>fbi(K15,Forest)</f>
        <v>18</v>
      </c>
      <c r="J15" s="49">
        <f>ROS_forest(F15,fhs_s,fhs_ns,h_ns_forest,N15,G15,waf_forest,kbdi,submodel_forest)</f>
        <v>408.61795303209414</v>
      </c>
      <c r="K15" s="49">
        <f>Intensity_forest(J15,G15,L15,fl_s_forest,fl_ns_forest,fl_e_forest,fl_o_forest,h_o_forest,waf_forest,kbdi,submodel_forest)</f>
        <v>2617.8790392261863</v>
      </c>
      <c r="L15" s="50">
        <f>Flame_height_forest(J15,h_e_forest)</f>
        <v>5.738792896270752</v>
      </c>
      <c r="M15" s="48">
        <f>Spotting_forest(J15,F15,fhs_s)</f>
        <v>252</v>
      </c>
      <c r="N15" s="50">
        <f>FMC_Forest(C15,D15,A15,B15,submodel_forest)</f>
        <v>7.5449999999999999</v>
      </c>
      <c r="O15" s="51">
        <f>fbi(Q15,Grass)</f>
        <v>18</v>
      </c>
      <c r="P15" s="52">
        <f>ROS_grass(F15,S15,curing_grass,state_grass)</f>
        <v>2633.49365234375</v>
      </c>
      <c r="Q15" s="52">
        <f>Intensity_grass(P15,fl_s_grass)</f>
        <v>6122.8725794984839</v>
      </c>
      <c r="R15" s="53">
        <f>Flame_height_grass(P15,state_grass)</f>
        <v>1.0213292837142944</v>
      </c>
      <c r="S15" s="53">
        <f>FMC_Grass(C15,D15)</f>
        <v>8.5950002670288086</v>
      </c>
      <c r="T15" s="100">
        <f>fbi(V15,Woodland)</f>
        <v>12</v>
      </c>
      <c r="U15" s="101">
        <f>ROS_woodland(F15,X15,curing_woodland,subtype_woodland,fl_woodland,waf_woodland)</f>
        <v>1316.746826171875</v>
      </c>
      <c r="V15" s="101">
        <f t="shared" ref="V15" si="1">Intensity_woodland(U15,fl_woodland)</f>
        <v>3061.436289749242</v>
      </c>
      <c r="W15" s="102">
        <f t="shared" ref="W15" si="2">Flame_height_woodland(U15,fl_woodland)</f>
        <v>0.83245730400085449</v>
      </c>
      <c r="X15" s="102">
        <f>FMC_woodland(C15,D15)</f>
        <v>8.5950002670288086</v>
      </c>
      <c r="Y15" s="54">
        <f>fbi(AA15,Heath)</f>
        <v>14</v>
      </c>
      <c r="Z15" s="55">
        <f>ROS_heath(F15,h_el_heath,AC15,overstorey_heath)</f>
        <v>117.61177465976716</v>
      </c>
      <c r="AA15" s="55">
        <f>intensity_heath(Z15,fl_total_max_heath,fl_heath,0.2)</f>
        <v>1191.3702750956784</v>
      </c>
      <c r="AB15" s="56">
        <f>Flame_height_heath(AA15)</f>
        <v>1.406986256164984</v>
      </c>
      <c r="AC15" s="56">
        <f>FMC_heath(C15,D15,rain_heath,tsr_heath)</f>
        <v>8.3899999999999988</v>
      </c>
      <c r="AD15" s="112">
        <f>fbi(AF15,Pine)</f>
        <v>17</v>
      </c>
      <c r="AE15" s="113">
        <f t="array" ref="AE15:AG15">fb_pine_ensemble(F15,AH15,G15,kbdi)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FBI_mallee(F15,AM15,cov_o_mallee,AK15)</f>
        <v>5</v>
      </c>
      <c r="AJ15" s="88">
        <f>ROS_mallee(F15,AM15,cov_o_mallee,h_o_mallee)</f>
        <v>0</v>
      </c>
      <c r="AK15" s="88">
        <f>Intensity(AJ15,fuel_load_mallee(F15,tsf,AM15,fl_s_mallee,fl_o_mallee))</f>
        <v>0</v>
      </c>
      <c r="AL15" s="87">
        <f>flame_height_mallee(AK15)</f>
        <v>0</v>
      </c>
      <c r="AM15" s="79">
        <f>FMC_mallee(C15,D15,A15,B15,rain_mallee,tsr_mallee)</f>
        <v>9.98</v>
      </c>
      <c r="AN15" s="121">
        <f>fbi(AO15,Spinifex)</f>
        <v>22</v>
      </c>
      <c r="AO15" s="131">
        <f>ROS_spinifex(F15,tsf,AR15,waf_spinifex,productivity_spinifex)</f>
        <v>1148.6068395263198</v>
      </c>
      <c r="AP15" s="131">
        <f>intensity_spinifex(AO15,tsf,productivity_spinifex,subtype_spinifex)</f>
        <v>4272.8738546060531</v>
      </c>
      <c r="AQ15" s="127">
        <f>flame_height_spinifex(AO15,tsf,productivity_spinifex,subtype_spinifex)</f>
        <v>2.6587612628936768</v>
      </c>
      <c r="AR15" s="121">
        <f>FMC_spinifex(AWAP_uf,tsf,D15,C15,productivity_spinifex)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  <c r="AN16" s="121"/>
      <c r="AO16" s="131"/>
      <c r="AP16" s="131"/>
      <c r="AQ16" s="127"/>
      <c r="AR16" s="121"/>
    </row>
    <row r="17" spans="1:44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  <c r="AN17" s="121"/>
      <c r="AO17" s="131"/>
      <c r="AP17" s="131"/>
      <c r="AQ17" s="127"/>
      <c r="AR17" s="121"/>
    </row>
    <row r="18" spans="1:44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  <c r="AN18" s="121"/>
      <c r="AO18" s="131"/>
      <c r="AP18" s="131"/>
      <c r="AQ18" s="127"/>
      <c r="AR18" s="121"/>
    </row>
    <row r="19" spans="1:44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  <c r="AN19" s="121"/>
      <c r="AO19" s="131"/>
      <c r="AP19" s="131"/>
      <c r="AQ19" s="127"/>
      <c r="AR19" s="121"/>
    </row>
    <row r="20" spans="1:44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  <c r="AN20" s="121"/>
      <c r="AO20" s="131"/>
      <c r="AP20" s="131"/>
      <c r="AQ20" s="127"/>
      <c r="AR20" s="121"/>
    </row>
    <row r="21" spans="1:44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  <c r="AN21" s="121"/>
      <c r="AO21" s="131"/>
      <c r="AP21" s="131"/>
      <c r="AQ21" s="127"/>
      <c r="AR21" s="121"/>
    </row>
    <row r="22" spans="1:44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  <c r="AN22" s="121"/>
      <c r="AO22" s="131"/>
      <c r="AP22" s="131"/>
      <c r="AQ22" s="127"/>
      <c r="AR22" s="121"/>
    </row>
    <row r="23" spans="1:44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  <c r="AN23" s="121"/>
      <c r="AO23" s="131"/>
      <c r="AP23" s="131"/>
      <c r="AQ23" s="127"/>
      <c r="AR23" s="121"/>
    </row>
    <row r="24" spans="1:44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  <c r="AN24" s="121"/>
      <c r="AO24" s="131"/>
      <c r="AP24" s="131"/>
      <c r="AQ24" s="127"/>
      <c r="AR24" s="121"/>
    </row>
    <row r="25" spans="1:44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  <c r="AN25" s="121"/>
      <c r="AO25" s="131"/>
      <c r="AP25" s="131"/>
      <c r="AQ25" s="127"/>
      <c r="AR25" s="121"/>
    </row>
    <row r="26" spans="1:44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  <c r="AN26" s="121"/>
      <c r="AO26" s="131"/>
      <c r="AP26" s="131"/>
      <c r="AQ26" s="127"/>
      <c r="AR26" s="121"/>
    </row>
    <row r="27" spans="1:44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  <c r="AN27" s="121"/>
      <c r="AO27" s="131"/>
      <c r="AP27" s="131"/>
      <c r="AQ27" s="127"/>
      <c r="AR27" s="121"/>
    </row>
    <row r="28" spans="1:44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  <c r="AN28" s="121"/>
      <c r="AO28" s="131"/>
      <c r="AP28" s="131"/>
      <c r="AQ28" s="127"/>
      <c r="AR28" s="121"/>
    </row>
    <row r="29" spans="1:44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  <c r="AN29" s="121"/>
      <c r="AO29" s="131"/>
      <c r="AP29" s="131"/>
      <c r="AQ29" s="127"/>
      <c r="AR29" s="121"/>
    </row>
    <row r="30" spans="1:44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  <c r="AN30" s="121"/>
      <c r="AO30" s="131"/>
      <c r="AP30" s="131"/>
      <c r="AQ30" s="127"/>
      <c r="AR30" s="121"/>
    </row>
    <row r="31" spans="1:44" x14ac:dyDescent="0.3">
      <c r="H31" s="82"/>
      <c r="I31" s="48"/>
      <c r="J31" s="49"/>
      <c r="K31" s="49"/>
      <c r="L31" s="50"/>
      <c r="M31" s="48"/>
      <c r="N31" s="50"/>
      <c r="O31" s="51"/>
      <c r="P31" s="52"/>
      <c r="Q31" s="52"/>
      <c r="R31" s="53"/>
      <c r="S31" s="53"/>
      <c r="T31" s="100"/>
      <c r="U31" s="101"/>
      <c r="V31" s="101"/>
      <c r="W31" s="102"/>
      <c r="X31" s="102"/>
      <c r="Y31" s="54"/>
      <c r="Z31" s="55"/>
      <c r="AA31" s="55"/>
      <c r="AB31" s="56"/>
      <c r="AC31" s="56"/>
      <c r="AD31" s="112"/>
      <c r="AE31" s="113"/>
      <c r="AF31" s="113"/>
      <c r="AG31" s="114"/>
      <c r="AH31" s="114"/>
      <c r="AI31" s="79"/>
      <c r="AJ31" s="88"/>
      <c r="AK31" s="88"/>
      <c r="AL31" s="87"/>
      <c r="AM31" s="79"/>
      <c r="AN31" s="121"/>
      <c r="AO31" s="131"/>
      <c r="AP31" s="131"/>
      <c r="AQ31" s="127"/>
      <c r="AR31" s="121"/>
    </row>
    <row r="32" spans="1:44" x14ac:dyDescent="0.3">
      <c r="H32" s="82"/>
      <c r="I32" s="48"/>
      <c r="J32" s="49"/>
      <c r="K32" s="49"/>
      <c r="L32" s="50"/>
      <c r="M32" s="48"/>
      <c r="N32" s="50"/>
      <c r="O32" s="51"/>
      <c r="P32" s="52"/>
      <c r="Q32" s="52"/>
      <c r="R32" s="53"/>
      <c r="S32" s="53"/>
      <c r="T32" s="100"/>
      <c r="U32" s="101"/>
      <c r="V32" s="101"/>
      <c r="W32" s="102"/>
      <c r="X32" s="102"/>
      <c r="Y32" s="54"/>
      <c r="Z32" s="55"/>
      <c r="AA32" s="55"/>
      <c r="AB32" s="56"/>
      <c r="AC32" s="56"/>
      <c r="AD32" s="112"/>
      <c r="AE32" s="113"/>
      <c r="AF32" s="113"/>
      <c r="AG32" s="114"/>
      <c r="AH32" s="114"/>
      <c r="AI32" s="79"/>
      <c r="AJ32" s="88"/>
      <c r="AK32" s="88"/>
      <c r="AL32" s="87"/>
      <c r="AM32" s="79"/>
      <c r="AN32" s="121"/>
      <c r="AO32" s="131"/>
      <c r="AP32" s="131"/>
      <c r="AQ32" s="127"/>
      <c r="AR32" s="121"/>
    </row>
    <row r="33" spans="8:44" x14ac:dyDescent="0.3">
      <c r="H33" s="82"/>
      <c r="I33" s="48"/>
      <c r="J33" s="49"/>
      <c r="K33" s="49"/>
      <c r="L33" s="50"/>
      <c r="M33" s="48"/>
      <c r="N33" s="50"/>
      <c r="O33" s="51"/>
      <c r="P33" s="52"/>
      <c r="Q33" s="52"/>
      <c r="R33" s="53"/>
      <c r="S33" s="53"/>
      <c r="T33" s="100"/>
      <c r="U33" s="101"/>
      <c r="V33" s="101"/>
      <c r="W33" s="102"/>
      <c r="X33" s="102"/>
      <c r="Y33" s="54"/>
      <c r="Z33" s="55"/>
      <c r="AA33" s="55"/>
      <c r="AB33" s="56"/>
      <c r="AC33" s="56"/>
      <c r="AD33" s="112"/>
      <c r="AE33" s="113"/>
      <c r="AF33" s="113"/>
      <c r="AG33" s="114"/>
      <c r="AH33" s="114"/>
      <c r="AI33" s="79"/>
      <c r="AJ33" s="88"/>
      <c r="AK33" s="88"/>
      <c r="AL33" s="87"/>
      <c r="AM33" s="79"/>
      <c r="AN33" s="121"/>
      <c r="AO33" s="131"/>
      <c r="AP33" s="131"/>
      <c r="AQ33" s="127"/>
      <c r="AR33" s="121"/>
    </row>
    <row r="34" spans="8:44" x14ac:dyDescent="0.3">
      <c r="H34" s="82"/>
      <c r="I34" s="48"/>
      <c r="J34" s="49"/>
      <c r="K34" s="49"/>
      <c r="L34" s="50"/>
      <c r="M34" s="48"/>
      <c r="N34" s="50"/>
      <c r="O34" s="51"/>
      <c r="P34" s="52"/>
      <c r="Q34" s="52"/>
      <c r="R34" s="53"/>
      <c r="S34" s="53"/>
      <c r="T34" s="100"/>
      <c r="U34" s="101"/>
      <c r="V34" s="101"/>
      <c r="W34" s="102"/>
      <c r="X34" s="102"/>
      <c r="Y34" s="54"/>
      <c r="Z34" s="55"/>
      <c r="AA34" s="55"/>
      <c r="AB34" s="56"/>
      <c r="AC34" s="56"/>
      <c r="AD34" s="112"/>
      <c r="AE34" s="113"/>
      <c r="AF34" s="113"/>
      <c r="AG34" s="114"/>
      <c r="AH34" s="114"/>
      <c r="AI34" s="79"/>
      <c r="AJ34" s="88"/>
      <c r="AK34" s="88"/>
      <c r="AL34" s="87"/>
      <c r="AM34" s="79"/>
      <c r="AN34" s="121"/>
      <c r="AO34" s="131"/>
      <c r="AP34" s="131"/>
      <c r="AQ34" s="127"/>
      <c r="AR34" s="121"/>
    </row>
    <row r="35" spans="8:44" x14ac:dyDescent="0.3">
      <c r="H35" s="82"/>
      <c r="I35" s="48"/>
      <c r="J35" s="49"/>
      <c r="K35" s="49"/>
      <c r="L35" s="50"/>
      <c r="M35" s="48"/>
      <c r="N35" s="50"/>
      <c r="O35" s="51"/>
      <c r="P35" s="52"/>
      <c r="Q35" s="52"/>
      <c r="R35" s="53"/>
      <c r="S35" s="53"/>
      <c r="T35" s="100"/>
      <c r="U35" s="101"/>
      <c r="V35" s="101"/>
      <c r="W35" s="102"/>
      <c r="X35" s="102"/>
      <c r="Y35" s="54"/>
      <c r="Z35" s="55"/>
      <c r="AA35" s="55"/>
      <c r="AB35" s="56"/>
      <c r="AC35" s="56"/>
      <c r="AD35" s="112"/>
      <c r="AE35" s="113"/>
      <c r="AF35" s="113"/>
      <c r="AG35" s="114"/>
      <c r="AH35" s="114"/>
      <c r="AI35" s="79"/>
      <c r="AJ35" s="88"/>
      <c r="AK35" s="88"/>
      <c r="AL35" s="87"/>
      <c r="AM35" s="79"/>
      <c r="AN35" s="121"/>
      <c r="AO35" s="131"/>
      <c r="AP35" s="131"/>
      <c r="AQ35" s="127"/>
      <c r="AR35" s="121"/>
    </row>
    <row r="36" spans="8:44" x14ac:dyDescent="0.3">
      <c r="H36" s="82"/>
      <c r="I36" s="48"/>
      <c r="J36" s="49"/>
      <c r="K36" s="49"/>
      <c r="L36" s="50"/>
      <c r="M36" s="48"/>
      <c r="N36" s="50"/>
      <c r="O36" s="51"/>
      <c r="P36" s="52"/>
      <c r="Q36" s="52"/>
      <c r="R36" s="53"/>
      <c r="S36" s="53"/>
      <c r="T36" s="100"/>
      <c r="U36" s="101"/>
      <c r="V36" s="101"/>
      <c r="W36" s="102"/>
      <c r="X36" s="102"/>
      <c r="Y36" s="54"/>
      <c r="Z36" s="55"/>
      <c r="AA36" s="55"/>
      <c r="AB36" s="56"/>
      <c r="AC36" s="56"/>
      <c r="AD36" s="112"/>
      <c r="AE36" s="113"/>
      <c r="AF36" s="113"/>
      <c r="AG36" s="114"/>
      <c r="AH36" s="114"/>
      <c r="AI36" s="79"/>
      <c r="AJ36" s="88"/>
      <c r="AK36" s="88"/>
      <c r="AL36" s="87"/>
      <c r="AM36" s="79"/>
      <c r="AN36" s="121"/>
      <c r="AO36" s="131"/>
      <c r="AP36" s="131"/>
      <c r="AQ36" s="127"/>
      <c r="AR36" s="121"/>
    </row>
    <row r="37" spans="8:44" x14ac:dyDescent="0.3">
      <c r="H37" s="82"/>
      <c r="I37" s="48"/>
      <c r="J37" s="49"/>
      <c r="K37" s="49"/>
      <c r="L37" s="50"/>
      <c r="M37" s="48"/>
      <c r="N37" s="50"/>
      <c r="O37" s="51"/>
      <c r="P37" s="52"/>
      <c r="Q37" s="52"/>
      <c r="R37" s="53"/>
      <c r="S37" s="53"/>
      <c r="T37" s="100"/>
      <c r="U37" s="101"/>
      <c r="V37" s="101"/>
      <c r="W37" s="102"/>
      <c r="X37" s="102"/>
      <c r="Y37" s="54"/>
      <c r="Z37" s="55"/>
      <c r="AA37" s="55"/>
      <c r="AB37" s="56"/>
      <c r="AC37" s="56"/>
      <c r="AD37" s="112"/>
      <c r="AE37" s="113"/>
      <c r="AF37" s="113"/>
      <c r="AG37" s="114"/>
      <c r="AH37" s="114"/>
      <c r="AI37" s="79"/>
      <c r="AJ37" s="88"/>
      <c r="AK37" s="88"/>
      <c r="AL37" s="87"/>
      <c r="AM37" s="79"/>
      <c r="AN37" s="121"/>
      <c r="AO37" s="131"/>
      <c r="AP37" s="131"/>
      <c r="AQ37" s="127"/>
      <c r="AR37" s="121"/>
    </row>
    <row r="38" spans="8:44" x14ac:dyDescent="0.3">
      <c r="H38" s="82"/>
      <c r="I38" s="48"/>
      <c r="J38" s="49"/>
      <c r="K38" s="49"/>
      <c r="L38" s="50"/>
      <c r="M38" s="48"/>
      <c r="N38" s="50"/>
      <c r="O38" s="51"/>
      <c r="P38" s="52"/>
      <c r="Q38" s="52"/>
      <c r="R38" s="53"/>
      <c r="S38" s="53"/>
      <c r="T38" s="100"/>
      <c r="U38" s="101"/>
      <c r="V38" s="101"/>
      <c r="W38" s="102"/>
      <c r="X38" s="102"/>
      <c r="Y38" s="54"/>
      <c r="Z38" s="55"/>
      <c r="AA38" s="55"/>
      <c r="AB38" s="56"/>
      <c r="AC38" s="56"/>
      <c r="AD38" s="112"/>
      <c r="AE38" s="113"/>
      <c r="AF38" s="113"/>
      <c r="AG38" s="114"/>
      <c r="AH38" s="114"/>
      <c r="AI38" s="79"/>
      <c r="AJ38" s="88"/>
      <c r="AK38" s="88"/>
      <c r="AL38" s="87"/>
      <c r="AM38" s="79"/>
      <c r="AN38" s="121"/>
      <c r="AO38" s="131"/>
      <c r="AP38" s="131"/>
      <c r="AQ38" s="127"/>
      <c r="AR38" s="121"/>
    </row>
    <row r="39" spans="8:44" x14ac:dyDescent="0.3">
      <c r="H39" s="82"/>
      <c r="I39" s="48"/>
      <c r="J39" s="49"/>
      <c r="K39" s="49"/>
      <c r="L39" s="50"/>
      <c r="M39" s="48"/>
      <c r="N39" s="50"/>
      <c r="O39" s="51"/>
      <c r="P39" s="52"/>
      <c r="Q39" s="52"/>
      <c r="R39" s="53"/>
      <c r="S39" s="53"/>
      <c r="T39" s="100"/>
      <c r="U39" s="101"/>
      <c r="V39" s="101"/>
      <c r="W39" s="102"/>
      <c r="X39" s="102"/>
      <c r="Y39" s="54"/>
      <c r="Z39" s="55"/>
      <c r="AA39" s="55"/>
      <c r="AB39" s="56"/>
      <c r="AC39" s="56"/>
      <c r="AD39" s="112"/>
      <c r="AE39" s="113"/>
      <c r="AF39" s="113"/>
      <c r="AG39" s="114"/>
      <c r="AH39" s="114"/>
      <c r="AI39" s="79"/>
      <c r="AJ39" s="88"/>
      <c r="AK39" s="88"/>
      <c r="AL39" s="87"/>
      <c r="AM39" s="79"/>
      <c r="AN39" s="121"/>
      <c r="AO39" s="131"/>
      <c r="AP39" s="131"/>
      <c r="AQ39" s="127"/>
      <c r="AR39" s="121"/>
    </row>
    <row r="40" spans="8:44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8:44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8:44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8:44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8:44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8:44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8:44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8:44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8:44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mergeCells count="2">
    <mergeCell ref="B1:C1"/>
    <mergeCell ref="W3:X3"/>
  </mergeCells>
  <conditionalFormatting sqref="O40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9">
    <cfRule type="expression" dxfId="27" priority="28">
      <formula>$Y15&gt;=12</formula>
    </cfRule>
  </conditionalFormatting>
  <conditionalFormatting sqref="Y60:Y179 Y15:Y39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9">
    <cfRule type="expression" dxfId="23" priority="24">
      <formula>$AD15&gt;=12</formula>
    </cfRule>
  </conditionalFormatting>
  <conditionalFormatting sqref="AD57:AD179 AD15:AD39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9">
    <cfRule type="expression" dxfId="19" priority="20">
      <formula>AI15&gt;=12</formula>
    </cfRule>
  </conditionalFormatting>
  <conditionalFormatting sqref="AI15:AI39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40:AA59">
    <cfRule type="expression" dxfId="15" priority="16">
      <formula>$Y40&gt;=12</formula>
    </cfRule>
  </conditionalFormatting>
  <conditionalFormatting sqref="Y40:AA59">
    <cfRule type="expression" dxfId="14" priority="13">
      <formula>$Y40&gt;=100</formula>
    </cfRule>
    <cfRule type="expression" dxfId="13" priority="14">
      <formula>$Y40&gt;=50</formula>
    </cfRule>
    <cfRule type="expression" dxfId="12" priority="15">
      <formula>$Y40&gt;=24</formula>
    </cfRule>
  </conditionalFormatting>
  <conditionalFormatting sqref="AD40:AE56">
    <cfRule type="expression" dxfId="11" priority="12">
      <formula>$AD40&gt;=12</formula>
    </cfRule>
  </conditionalFormatting>
  <conditionalFormatting sqref="AD40:AE56">
    <cfRule type="expression" dxfId="10" priority="9">
      <formula>$AD40&gt;=100</formula>
    </cfRule>
    <cfRule type="expression" dxfId="9" priority="10">
      <formula>$AD40&gt;=50</formula>
    </cfRule>
    <cfRule type="expression" dxfId="8" priority="11">
      <formula>$AD40&gt;=24</formula>
    </cfRule>
  </conditionalFormatting>
  <conditionalFormatting sqref="T15:T39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:AN39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39">
    <cfRule type="expression" dxfId="0" priority="4">
      <formula>$AD15&gt;=12</formula>
    </cfRule>
  </conditionalFormatting>
  <dataValidations count="25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models_tables!$I$2:$I$4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models_tables!$K$2:$K$3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models_tables!$N$2:$N$3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models_tables!$R$2:$R$6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models_tables!$U$2:$U$3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U47"/>
  <sheetViews>
    <sheetView workbookViewId="0">
      <selection activeCell="C19" sqref="C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21" x14ac:dyDescent="0.3">
      <c r="A1" s="27" t="s">
        <v>47</v>
      </c>
      <c r="F1" s="27" t="s">
        <v>157</v>
      </c>
      <c r="G1" s="27" t="s">
        <v>158</v>
      </c>
      <c r="I1" t="s">
        <v>17</v>
      </c>
      <c r="K1" t="s">
        <v>54</v>
      </c>
      <c r="L1" t="s">
        <v>56</v>
      </c>
      <c r="N1" s="27" t="s">
        <v>119</v>
      </c>
      <c r="P1" s="27" t="s">
        <v>628</v>
      </c>
      <c r="R1" s="27" t="s">
        <v>143</v>
      </c>
      <c r="U1" s="27" t="s">
        <v>155</v>
      </c>
    </row>
    <row r="2" spans="1:21" x14ac:dyDescent="0.3">
      <c r="A2" s="27" t="s">
        <v>60</v>
      </c>
      <c r="B2" s="27" t="s">
        <v>58</v>
      </c>
      <c r="C2" s="27" t="s">
        <v>59</v>
      </c>
      <c r="D2" s="27" t="s">
        <v>63</v>
      </c>
      <c r="E2" s="27"/>
      <c r="F2" t="s">
        <v>165</v>
      </c>
      <c r="G2" t="s">
        <v>211</v>
      </c>
      <c r="I2" t="s">
        <v>18</v>
      </c>
      <c r="K2" t="b">
        <v>1</v>
      </c>
      <c r="L2">
        <v>0.35</v>
      </c>
      <c r="N2" t="s">
        <v>120</v>
      </c>
      <c r="R2" t="s">
        <v>144</v>
      </c>
      <c r="U2" t="s">
        <v>156</v>
      </c>
    </row>
    <row r="3" spans="1:21" x14ac:dyDescent="0.3">
      <c r="A3" t="s">
        <v>69</v>
      </c>
      <c r="B3" t="s">
        <v>42</v>
      </c>
      <c r="C3">
        <v>30</v>
      </c>
      <c r="D3" t="s">
        <v>70</v>
      </c>
      <c r="F3" t="s">
        <v>184</v>
      </c>
      <c r="G3" t="s">
        <v>230</v>
      </c>
      <c r="I3" t="s">
        <v>19</v>
      </c>
      <c r="K3" t="b">
        <v>0</v>
      </c>
      <c r="L3">
        <v>0.66700000000000004</v>
      </c>
      <c r="N3" t="s">
        <v>121</v>
      </c>
      <c r="R3" t="s">
        <v>145</v>
      </c>
      <c r="U3" t="s">
        <v>144</v>
      </c>
    </row>
    <row r="4" spans="1:21" x14ac:dyDescent="0.3">
      <c r="A4" t="s">
        <v>69</v>
      </c>
      <c r="B4" t="s">
        <v>41</v>
      </c>
      <c r="C4">
        <v>25</v>
      </c>
      <c r="D4" t="s">
        <v>71</v>
      </c>
      <c r="F4" t="s">
        <v>197</v>
      </c>
      <c r="G4" t="s">
        <v>243</v>
      </c>
      <c r="I4" t="s">
        <v>20</v>
      </c>
      <c r="R4" t="s">
        <v>146</v>
      </c>
    </row>
    <row r="5" spans="1:21" x14ac:dyDescent="0.3">
      <c r="A5" t="s">
        <v>69</v>
      </c>
      <c r="B5" t="s">
        <v>65</v>
      </c>
      <c r="C5">
        <v>25</v>
      </c>
      <c r="D5" t="s">
        <v>79</v>
      </c>
      <c r="F5" t="s">
        <v>182</v>
      </c>
      <c r="G5" t="s">
        <v>228</v>
      </c>
      <c r="R5" t="s">
        <v>147</v>
      </c>
    </row>
    <row r="6" spans="1:21" x14ac:dyDescent="0.3">
      <c r="A6" t="s">
        <v>69</v>
      </c>
      <c r="B6" t="s">
        <v>37</v>
      </c>
      <c r="C6">
        <v>20</v>
      </c>
      <c r="D6" t="s">
        <v>80</v>
      </c>
      <c r="F6" t="s">
        <v>176</v>
      </c>
      <c r="G6" t="s">
        <v>222</v>
      </c>
      <c r="R6" t="s">
        <v>148</v>
      </c>
    </row>
    <row r="7" spans="1:21" x14ac:dyDescent="0.3">
      <c r="A7" t="s">
        <v>29</v>
      </c>
      <c r="B7" t="s">
        <v>31</v>
      </c>
      <c r="C7">
        <v>8</v>
      </c>
      <c r="D7" t="s">
        <v>81</v>
      </c>
      <c r="F7" t="s">
        <v>194</v>
      </c>
      <c r="G7" t="s">
        <v>240</v>
      </c>
    </row>
    <row r="8" spans="1:21" x14ac:dyDescent="0.3">
      <c r="A8" t="s">
        <v>29</v>
      </c>
      <c r="B8" t="s">
        <v>39</v>
      </c>
      <c r="C8">
        <v>3</v>
      </c>
      <c r="D8" t="s">
        <v>72</v>
      </c>
      <c r="F8" t="s">
        <v>173</v>
      </c>
      <c r="G8" t="s">
        <v>219</v>
      </c>
    </row>
    <row r="9" spans="1:21" x14ac:dyDescent="0.3">
      <c r="A9" t="s">
        <v>29</v>
      </c>
      <c r="B9" t="s">
        <v>38</v>
      </c>
      <c r="C9">
        <v>3</v>
      </c>
      <c r="D9" t="s">
        <v>73</v>
      </c>
      <c r="F9" t="s">
        <v>171</v>
      </c>
      <c r="G9" t="s">
        <v>217</v>
      </c>
    </row>
    <row r="10" spans="1:21" x14ac:dyDescent="0.3">
      <c r="A10" t="s">
        <v>29</v>
      </c>
      <c r="B10" t="s">
        <v>34</v>
      </c>
      <c r="C10">
        <v>3</v>
      </c>
      <c r="D10" t="s">
        <v>74</v>
      </c>
      <c r="F10" t="s">
        <v>160</v>
      </c>
      <c r="G10" t="s">
        <v>206</v>
      </c>
    </row>
    <row r="11" spans="1:21" x14ac:dyDescent="0.3">
      <c r="A11" t="s">
        <v>29</v>
      </c>
      <c r="B11" t="s">
        <v>33</v>
      </c>
      <c r="C11">
        <v>3</v>
      </c>
      <c r="D11" t="s">
        <v>75</v>
      </c>
      <c r="F11" t="s">
        <v>179</v>
      </c>
      <c r="G11" t="s">
        <v>225</v>
      </c>
    </row>
    <row r="12" spans="1:21" x14ac:dyDescent="0.3">
      <c r="A12" t="s">
        <v>29</v>
      </c>
      <c r="B12" t="s">
        <v>35</v>
      </c>
      <c r="C12">
        <v>4.5</v>
      </c>
      <c r="D12" t="s">
        <v>76</v>
      </c>
      <c r="F12" t="s">
        <v>195</v>
      </c>
      <c r="G12" t="s">
        <v>241</v>
      </c>
    </row>
    <row r="13" spans="1:21" x14ac:dyDescent="0.3">
      <c r="A13" t="s">
        <v>29</v>
      </c>
      <c r="B13" t="s">
        <v>32</v>
      </c>
      <c r="C13">
        <v>10</v>
      </c>
      <c r="D13" t="s">
        <v>77</v>
      </c>
      <c r="F13" t="s">
        <v>185</v>
      </c>
      <c r="G13" t="s">
        <v>231</v>
      </c>
    </row>
    <row r="14" spans="1:21" x14ac:dyDescent="0.3">
      <c r="A14" t="s">
        <v>29</v>
      </c>
      <c r="B14" t="s">
        <v>40</v>
      </c>
      <c r="C14">
        <v>20</v>
      </c>
      <c r="D14" t="s">
        <v>78</v>
      </c>
      <c r="F14" t="s">
        <v>198</v>
      </c>
      <c r="G14" t="s">
        <v>244</v>
      </c>
    </row>
    <row r="15" spans="1:21" x14ac:dyDescent="0.3">
      <c r="A15" t="s">
        <v>29</v>
      </c>
      <c r="B15" t="s">
        <v>36</v>
      </c>
      <c r="C15">
        <v>20</v>
      </c>
      <c r="D15" t="s">
        <v>84</v>
      </c>
      <c r="F15" s="133" t="s">
        <v>159</v>
      </c>
      <c r="G15" s="133" t="s">
        <v>205</v>
      </c>
    </row>
    <row r="16" spans="1:21" x14ac:dyDescent="0.3">
      <c r="A16" t="s">
        <v>29</v>
      </c>
      <c r="B16" t="s">
        <v>3</v>
      </c>
      <c r="C16">
        <v>3</v>
      </c>
      <c r="D16" t="s">
        <v>85</v>
      </c>
      <c r="F16" t="s">
        <v>196</v>
      </c>
      <c r="G16" t="s">
        <v>242</v>
      </c>
    </row>
    <row r="17" spans="1:7" x14ac:dyDescent="0.3">
      <c r="A17" t="s">
        <v>44</v>
      </c>
      <c r="B17" t="s">
        <v>43</v>
      </c>
      <c r="C17">
        <v>100</v>
      </c>
      <c r="D17" t="s">
        <v>86</v>
      </c>
      <c r="F17" t="s">
        <v>186</v>
      </c>
      <c r="G17" t="s">
        <v>232</v>
      </c>
    </row>
    <row r="18" spans="1:7" x14ac:dyDescent="0.3">
      <c r="A18" t="s">
        <v>44</v>
      </c>
      <c r="B18" t="s">
        <v>24</v>
      </c>
      <c r="C18" t="s">
        <v>19</v>
      </c>
      <c r="D18" t="s">
        <v>87</v>
      </c>
      <c r="F18" t="s">
        <v>199</v>
      </c>
      <c r="G18" t="s">
        <v>245</v>
      </c>
    </row>
    <row r="19" spans="1:7" x14ac:dyDescent="0.3">
      <c r="A19" t="s">
        <v>61</v>
      </c>
      <c r="B19" t="s">
        <v>116</v>
      </c>
      <c r="C19">
        <v>20</v>
      </c>
      <c r="D19" t="s">
        <v>82</v>
      </c>
      <c r="F19" t="s">
        <v>183</v>
      </c>
      <c r="G19" t="s">
        <v>229</v>
      </c>
    </row>
    <row r="20" spans="1:7" x14ac:dyDescent="0.3">
      <c r="A20" t="s">
        <v>61</v>
      </c>
      <c r="B20" t="s">
        <v>62</v>
      </c>
      <c r="C20">
        <v>2</v>
      </c>
      <c r="D20" t="s">
        <v>83</v>
      </c>
      <c r="F20" t="s">
        <v>201</v>
      </c>
      <c r="G20" t="s">
        <v>247</v>
      </c>
    </row>
    <row r="21" spans="1:7" x14ac:dyDescent="0.3">
      <c r="A21" t="s">
        <v>61</v>
      </c>
      <c r="B21" t="s">
        <v>49</v>
      </c>
      <c r="C21">
        <v>48</v>
      </c>
      <c r="D21" t="s">
        <v>88</v>
      </c>
      <c r="F21" t="s">
        <v>190</v>
      </c>
      <c r="G21" t="s">
        <v>236</v>
      </c>
    </row>
    <row r="22" spans="1:7" x14ac:dyDescent="0.3">
      <c r="A22" t="s">
        <v>61</v>
      </c>
      <c r="B22" t="s">
        <v>117</v>
      </c>
      <c r="C22">
        <v>0.2</v>
      </c>
      <c r="D22" t="s">
        <v>66</v>
      </c>
      <c r="F22" t="s">
        <v>193</v>
      </c>
      <c r="G22" t="s">
        <v>239</v>
      </c>
    </row>
    <row r="23" spans="1:7" x14ac:dyDescent="0.3">
      <c r="A23" t="s">
        <v>61</v>
      </c>
      <c r="B23" t="s">
        <v>55</v>
      </c>
      <c r="C23" t="b">
        <v>0</v>
      </c>
      <c r="D23" t="s">
        <v>64</v>
      </c>
      <c r="F23" t="s">
        <v>163</v>
      </c>
      <c r="G23" t="s">
        <v>209</v>
      </c>
    </row>
    <row r="24" spans="1:7" x14ac:dyDescent="0.3">
      <c r="A24" t="s">
        <v>61</v>
      </c>
      <c r="B24" t="s">
        <v>48</v>
      </c>
      <c r="F24" t="s">
        <v>164</v>
      </c>
      <c r="G24" t="s">
        <v>210</v>
      </c>
    </row>
    <row r="25" spans="1:7" x14ac:dyDescent="0.3">
      <c r="A25" t="s">
        <v>89</v>
      </c>
      <c r="B25" t="s">
        <v>31</v>
      </c>
      <c r="C25">
        <v>8</v>
      </c>
      <c r="D25" t="s">
        <v>81</v>
      </c>
      <c r="F25" t="s">
        <v>192</v>
      </c>
      <c r="G25" t="s">
        <v>238</v>
      </c>
    </row>
    <row r="26" spans="1:7" x14ac:dyDescent="0.3">
      <c r="A26" t="s">
        <v>89</v>
      </c>
      <c r="B26" t="s">
        <v>3</v>
      </c>
      <c r="C26">
        <v>5</v>
      </c>
      <c r="D26" t="s">
        <v>90</v>
      </c>
      <c r="F26" t="s">
        <v>187</v>
      </c>
      <c r="G26" t="s">
        <v>233</v>
      </c>
    </row>
    <row r="27" spans="1:7" x14ac:dyDescent="0.3">
      <c r="A27" t="s">
        <v>89</v>
      </c>
      <c r="B27" t="s">
        <v>91</v>
      </c>
      <c r="C27">
        <v>100</v>
      </c>
      <c r="D27" t="s">
        <v>92</v>
      </c>
      <c r="F27" t="s">
        <v>203</v>
      </c>
      <c r="G27" t="s">
        <v>249</v>
      </c>
    </row>
    <row r="28" spans="1:7" x14ac:dyDescent="0.3">
      <c r="A28" t="s">
        <v>93</v>
      </c>
      <c r="B28" t="s">
        <v>32</v>
      </c>
      <c r="C28">
        <v>1.05</v>
      </c>
      <c r="D28" t="s">
        <v>77</v>
      </c>
      <c r="F28" t="s">
        <v>204</v>
      </c>
      <c r="G28" t="s">
        <v>250</v>
      </c>
    </row>
    <row r="29" spans="1:7" x14ac:dyDescent="0.3">
      <c r="F29" t="s">
        <v>180</v>
      </c>
      <c r="G29" t="s">
        <v>226</v>
      </c>
    </row>
    <row r="30" spans="1:7" x14ac:dyDescent="0.3">
      <c r="F30" t="s">
        <v>166</v>
      </c>
      <c r="G30" t="s">
        <v>212</v>
      </c>
    </row>
    <row r="31" spans="1:7" x14ac:dyDescent="0.3">
      <c r="F31" t="s">
        <v>181</v>
      </c>
      <c r="G31" t="s">
        <v>227</v>
      </c>
    </row>
    <row r="32" spans="1:7" x14ac:dyDescent="0.3">
      <c r="F32" t="s">
        <v>177</v>
      </c>
      <c r="G32" t="s">
        <v>223</v>
      </c>
    </row>
    <row r="33" spans="6:7" x14ac:dyDescent="0.3">
      <c r="F33" t="s">
        <v>175</v>
      </c>
      <c r="G33" t="s">
        <v>221</v>
      </c>
    </row>
    <row r="34" spans="6:7" x14ac:dyDescent="0.3">
      <c r="F34" t="s">
        <v>178</v>
      </c>
      <c r="G34" t="s">
        <v>224</v>
      </c>
    </row>
    <row r="35" spans="6:7" x14ac:dyDescent="0.3">
      <c r="F35" t="s">
        <v>200</v>
      </c>
      <c r="G35" t="s">
        <v>246</v>
      </c>
    </row>
    <row r="36" spans="6:7" x14ac:dyDescent="0.3">
      <c r="F36" t="s">
        <v>172</v>
      </c>
      <c r="G36" t="s">
        <v>218</v>
      </c>
    </row>
    <row r="37" spans="6:7" x14ac:dyDescent="0.3">
      <c r="F37" t="s">
        <v>169</v>
      </c>
      <c r="G37" t="s">
        <v>215</v>
      </c>
    </row>
    <row r="38" spans="6:7" x14ac:dyDescent="0.3">
      <c r="F38" t="s">
        <v>168</v>
      </c>
      <c r="G38" t="s">
        <v>214</v>
      </c>
    </row>
    <row r="39" spans="6:7" x14ac:dyDescent="0.3">
      <c r="F39" t="s">
        <v>167</v>
      </c>
      <c r="G39" t="s">
        <v>213</v>
      </c>
    </row>
    <row r="40" spans="6:7" x14ac:dyDescent="0.3">
      <c r="F40" t="s">
        <v>170</v>
      </c>
      <c r="G40" t="s">
        <v>216</v>
      </c>
    </row>
    <row r="41" spans="6:7" x14ac:dyDescent="0.3">
      <c r="F41" t="s">
        <v>189</v>
      </c>
      <c r="G41" t="s">
        <v>235</v>
      </c>
    </row>
    <row r="42" spans="6:7" x14ac:dyDescent="0.3">
      <c r="F42" t="s">
        <v>188</v>
      </c>
      <c r="G42" t="s">
        <v>234</v>
      </c>
    </row>
    <row r="43" spans="6:7" x14ac:dyDescent="0.3">
      <c r="F43" t="s">
        <v>161</v>
      </c>
      <c r="G43" t="s">
        <v>207</v>
      </c>
    </row>
    <row r="44" spans="6:7" x14ac:dyDescent="0.3">
      <c r="F44" t="s">
        <v>191</v>
      </c>
      <c r="G44" t="s">
        <v>237</v>
      </c>
    </row>
    <row r="45" spans="6:7" x14ac:dyDescent="0.3">
      <c r="F45" t="s">
        <v>174</v>
      </c>
      <c r="G45" t="s">
        <v>220</v>
      </c>
    </row>
    <row r="46" spans="6:7" x14ac:dyDescent="0.3">
      <c r="F46" t="s">
        <v>162</v>
      </c>
      <c r="G46" t="s">
        <v>208</v>
      </c>
    </row>
    <row r="47" spans="6:7" x14ac:dyDescent="0.3">
      <c r="F47" t="s">
        <v>202</v>
      </c>
      <c r="G47" t="s">
        <v>248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D327" sqref="D327"/>
    </sheetView>
  </sheetViews>
  <sheetFormatPr defaultRowHeight="14.4" x14ac:dyDescent="0.3"/>
  <cols>
    <col min="1" max="1" width="107.88671875" bestFit="1" customWidth="1"/>
    <col min="2" max="2" width="15.44140625" bestFit="1" customWidth="1"/>
    <col min="3" max="3" width="18.44140625" bestFit="1" customWidth="1"/>
    <col min="4" max="4" width="10.21875" bestFit="1" customWidth="1"/>
    <col min="5" max="5" width="4.33203125" bestFit="1" customWidth="1"/>
    <col min="6" max="6" width="5" bestFit="1" customWidth="1"/>
    <col min="7" max="7" width="4.5546875" bestFit="1" customWidth="1"/>
    <col min="8" max="9" width="5" bestFit="1" customWidth="1"/>
    <col min="10" max="10" width="4.88671875" bestFit="1" customWidth="1"/>
    <col min="11" max="12" width="5" bestFit="1" customWidth="1"/>
    <col min="13" max="13" width="4.88671875" bestFit="1" customWidth="1"/>
    <col min="14" max="14" width="6" bestFit="1" customWidth="1"/>
    <col min="15" max="16" width="5" bestFit="1" customWidth="1"/>
    <col min="17" max="17" width="6.21875" bestFit="1" customWidth="1"/>
    <col min="18" max="18" width="6" bestFit="1" customWidth="1"/>
    <col min="19" max="19" width="5.77734375" bestFit="1" customWidth="1"/>
    <col min="20" max="20" width="5" bestFit="1" customWidth="1"/>
    <col min="21" max="22" width="5.21875" bestFit="1" customWidth="1"/>
    <col min="23" max="23" width="5.5546875" bestFit="1" customWidth="1"/>
    <col min="24" max="24" width="5.21875" bestFit="1" customWidth="1"/>
    <col min="25" max="25" width="5.5546875" bestFit="1" customWidth="1"/>
    <col min="26" max="26" width="5.88671875" bestFit="1" customWidth="1"/>
    <col min="27" max="27" width="6.44140625" bestFit="1" customWidth="1"/>
    <col min="28" max="28" width="6.77734375" bestFit="1" customWidth="1"/>
    <col min="29" max="29" width="7.44140625" bestFit="1" customWidth="1"/>
    <col min="30" max="30" width="8.109375" bestFit="1" customWidth="1"/>
    <col min="31" max="31" width="8.44140625" bestFit="1" customWidth="1"/>
    <col min="32" max="32" width="7.33203125" bestFit="1" customWidth="1"/>
    <col min="33" max="33" width="7.6640625" bestFit="1" customWidth="1"/>
    <col min="34" max="34" width="9.21875" bestFit="1" customWidth="1"/>
    <col min="35" max="36" width="7.6640625" bestFit="1" customWidth="1"/>
    <col min="37" max="37" width="9.5546875" bestFit="1" customWidth="1"/>
  </cols>
  <sheetData>
    <row r="1" spans="1:37" x14ac:dyDescent="0.3">
      <c r="A1" t="s">
        <v>625</v>
      </c>
      <c r="B1" t="s">
        <v>624</v>
      </c>
      <c r="C1" t="s">
        <v>623</v>
      </c>
      <c r="D1" t="s">
        <v>622</v>
      </c>
      <c r="E1" t="s">
        <v>110</v>
      </c>
      <c r="F1" t="s">
        <v>621</v>
      </c>
      <c r="G1" t="s">
        <v>620</v>
      </c>
      <c r="H1" t="s">
        <v>619</v>
      </c>
      <c r="I1" t="s">
        <v>112</v>
      </c>
      <c r="J1" t="s">
        <v>102</v>
      </c>
      <c r="K1" t="s">
        <v>99</v>
      </c>
      <c r="L1" t="s">
        <v>106</v>
      </c>
      <c r="M1" t="s">
        <v>114</v>
      </c>
      <c r="N1" t="s">
        <v>103</v>
      </c>
      <c r="O1" t="s">
        <v>109</v>
      </c>
      <c r="P1" t="s">
        <v>108</v>
      </c>
      <c r="Q1" t="s">
        <v>115</v>
      </c>
      <c r="R1" t="s">
        <v>618</v>
      </c>
      <c r="S1" t="s">
        <v>97</v>
      </c>
      <c r="T1" t="s">
        <v>617</v>
      </c>
      <c r="U1" t="s">
        <v>616</v>
      </c>
      <c r="V1" t="s">
        <v>101</v>
      </c>
      <c r="W1" t="s">
        <v>100</v>
      </c>
      <c r="X1" t="s">
        <v>105</v>
      </c>
      <c r="Y1" t="s">
        <v>104</v>
      </c>
      <c r="Z1" t="s">
        <v>107</v>
      </c>
      <c r="AA1" t="s">
        <v>615</v>
      </c>
      <c r="AB1" t="s">
        <v>98</v>
      </c>
      <c r="AC1" t="s">
        <v>139</v>
      </c>
      <c r="AD1" t="s">
        <v>614</v>
      </c>
      <c r="AE1" t="s">
        <v>111</v>
      </c>
      <c r="AF1" t="s">
        <v>613</v>
      </c>
      <c r="AG1" t="s">
        <v>113</v>
      </c>
      <c r="AH1" t="s">
        <v>612</v>
      </c>
      <c r="AI1" t="s">
        <v>611</v>
      </c>
      <c r="AJ1" t="s">
        <v>610</v>
      </c>
      <c r="AK1" t="s">
        <v>609</v>
      </c>
    </row>
    <row r="2" spans="1:37" x14ac:dyDescent="0.3">
      <c r="A2" t="s">
        <v>608</v>
      </c>
      <c r="B2" t="s">
        <v>606</v>
      </c>
      <c r="C2" t="s">
        <v>606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3">
      <c r="A3" t="s">
        <v>607</v>
      </c>
      <c r="B3" t="s">
        <v>606</v>
      </c>
      <c r="C3" t="s">
        <v>606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3">
      <c r="A4" t="s">
        <v>605</v>
      </c>
      <c r="B4" t="s">
        <v>550</v>
      </c>
      <c r="C4" t="s">
        <v>599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3">
      <c r="A5" t="s">
        <v>604</v>
      </c>
      <c r="B5" t="s">
        <v>550</v>
      </c>
      <c r="C5" t="s">
        <v>599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3">
      <c r="A6" t="s">
        <v>599</v>
      </c>
      <c r="B6" t="s">
        <v>550</v>
      </c>
      <c r="C6" t="s">
        <v>599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3">
      <c r="A7" t="s">
        <v>603</v>
      </c>
      <c r="B7" t="s">
        <v>550</v>
      </c>
      <c r="C7" t="s">
        <v>599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3">
      <c r="A8" t="s">
        <v>602</v>
      </c>
      <c r="B8" t="s">
        <v>550</v>
      </c>
      <c r="C8" t="s">
        <v>599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3">
      <c r="A9" t="s">
        <v>601</v>
      </c>
      <c r="B9" t="s">
        <v>550</v>
      </c>
      <c r="C9" t="s">
        <v>599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3">
      <c r="A10" t="s">
        <v>600</v>
      </c>
      <c r="B10" t="s">
        <v>550</v>
      </c>
      <c r="C10" t="s">
        <v>599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3">
      <c r="A11" t="s">
        <v>598</v>
      </c>
      <c r="B11" t="s">
        <v>550</v>
      </c>
      <c r="C11" t="s">
        <v>595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3">
      <c r="A12" t="s">
        <v>597</v>
      </c>
      <c r="B12" t="s">
        <v>550</v>
      </c>
      <c r="C12" t="s">
        <v>595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3">
      <c r="A13" t="s">
        <v>595</v>
      </c>
      <c r="B13" t="s">
        <v>550</v>
      </c>
      <c r="C13" t="s">
        <v>595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3">
      <c r="A14" t="s">
        <v>596</v>
      </c>
      <c r="B14" t="s">
        <v>550</v>
      </c>
      <c r="C14" t="s">
        <v>595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3">
      <c r="A15" t="s">
        <v>595</v>
      </c>
      <c r="B15" t="s">
        <v>550</v>
      </c>
      <c r="C15" t="s">
        <v>595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3">
      <c r="A16" t="s">
        <v>595</v>
      </c>
      <c r="B16" t="s">
        <v>550</v>
      </c>
      <c r="C16" t="s">
        <v>595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3">
      <c r="A17" t="s">
        <v>595</v>
      </c>
      <c r="B17" t="s">
        <v>550</v>
      </c>
      <c r="C17" t="s">
        <v>595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3">
      <c r="A18" t="s">
        <v>595</v>
      </c>
      <c r="B18" t="s">
        <v>550</v>
      </c>
      <c r="C18" t="s">
        <v>595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3">
      <c r="A19" t="s">
        <v>595</v>
      </c>
      <c r="B19" t="s">
        <v>550</v>
      </c>
      <c r="C19" t="s">
        <v>595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3">
      <c r="A20" t="s">
        <v>594</v>
      </c>
      <c r="B20" t="s">
        <v>550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3">
      <c r="A21" t="s">
        <v>593</v>
      </c>
      <c r="B21" t="s">
        <v>550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3">
      <c r="A22" t="s">
        <v>592</v>
      </c>
      <c r="B22" t="s">
        <v>550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3">
      <c r="A23" t="s">
        <v>591</v>
      </c>
      <c r="B23" t="s">
        <v>550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3">
      <c r="A24" t="s">
        <v>590</v>
      </c>
      <c r="B24" t="s">
        <v>550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3">
      <c r="A25" t="s">
        <v>589</v>
      </c>
      <c r="B25" t="s">
        <v>550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3">
      <c r="A26" t="s">
        <v>16</v>
      </c>
      <c r="B26" t="s">
        <v>550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3">
      <c r="A27" t="s">
        <v>588</v>
      </c>
      <c r="B27" t="s">
        <v>550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3">
      <c r="A28" t="s">
        <v>587</v>
      </c>
      <c r="B28" t="s">
        <v>550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3">
      <c r="A29" t="s">
        <v>586</v>
      </c>
      <c r="B29" t="s">
        <v>550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3">
      <c r="A30" t="s">
        <v>585</v>
      </c>
      <c r="B30" t="s">
        <v>550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3">
      <c r="A31" t="s">
        <v>584</v>
      </c>
      <c r="B31" t="s">
        <v>550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3">
      <c r="A32" t="s">
        <v>583</v>
      </c>
      <c r="B32" t="s">
        <v>550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3">
      <c r="A33" t="s">
        <v>16</v>
      </c>
      <c r="B33" t="s">
        <v>550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3">
      <c r="A34" t="s">
        <v>582</v>
      </c>
      <c r="B34" t="s">
        <v>550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3">
      <c r="A35" t="s">
        <v>581</v>
      </c>
      <c r="B35" t="s">
        <v>550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3">
      <c r="A36" t="s">
        <v>580</v>
      </c>
      <c r="B36" t="s">
        <v>550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3">
      <c r="A37" t="s">
        <v>579</v>
      </c>
      <c r="B37" t="s">
        <v>550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3">
      <c r="A38" t="s">
        <v>578</v>
      </c>
      <c r="B38" t="s">
        <v>550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3">
      <c r="A39" t="s">
        <v>577</v>
      </c>
      <c r="B39" t="s">
        <v>550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3">
      <c r="A40" t="s">
        <v>576</v>
      </c>
      <c r="B40" t="s">
        <v>550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3">
      <c r="A41" t="s">
        <v>575</v>
      </c>
      <c r="B41" t="s">
        <v>550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3">
      <c r="A42" t="s">
        <v>574</v>
      </c>
      <c r="B42" t="s">
        <v>550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3">
      <c r="A43" t="s">
        <v>553</v>
      </c>
      <c r="B43" t="s">
        <v>550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3">
      <c r="A44" t="s">
        <v>573</v>
      </c>
      <c r="B44" t="s">
        <v>550</v>
      </c>
      <c r="C44" t="s">
        <v>555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3">
      <c r="A45" t="s">
        <v>555</v>
      </c>
      <c r="B45" t="s">
        <v>550</v>
      </c>
      <c r="C45" t="s">
        <v>555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3">
      <c r="A46" t="s">
        <v>572</v>
      </c>
      <c r="B46" t="s">
        <v>550</v>
      </c>
      <c r="C46" t="s">
        <v>555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3">
      <c r="A47" t="s">
        <v>571</v>
      </c>
      <c r="B47" t="s">
        <v>550</v>
      </c>
      <c r="C47" t="s">
        <v>555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3">
      <c r="A48" t="s">
        <v>567</v>
      </c>
      <c r="B48" t="s">
        <v>550</v>
      </c>
      <c r="C48" t="s">
        <v>555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3">
      <c r="A49" t="s">
        <v>570</v>
      </c>
      <c r="B49" t="s">
        <v>550</v>
      </c>
      <c r="C49" t="s">
        <v>555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3">
      <c r="A50" t="s">
        <v>569</v>
      </c>
      <c r="B50" t="s">
        <v>550</v>
      </c>
      <c r="C50" t="s">
        <v>555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3">
      <c r="A51" t="s">
        <v>568</v>
      </c>
      <c r="B51" t="s">
        <v>550</v>
      </c>
      <c r="C51" t="s">
        <v>555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3">
      <c r="A52" t="s">
        <v>567</v>
      </c>
      <c r="B52" t="s">
        <v>550</v>
      </c>
      <c r="C52" t="s">
        <v>555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3">
      <c r="A53" t="s">
        <v>566</v>
      </c>
      <c r="B53" t="s">
        <v>550</v>
      </c>
      <c r="C53" t="s">
        <v>555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3">
      <c r="A54" t="s">
        <v>565</v>
      </c>
      <c r="B54" t="s">
        <v>550</v>
      </c>
      <c r="C54" t="s">
        <v>555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3">
      <c r="A55" t="s">
        <v>564</v>
      </c>
      <c r="B55" t="s">
        <v>550</v>
      </c>
      <c r="C55" t="s">
        <v>555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3">
      <c r="A56" t="s">
        <v>563</v>
      </c>
      <c r="B56" t="s">
        <v>550</v>
      </c>
      <c r="C56" t="s">
        <v>555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3">
      <c r="A57" t="s">
        <v>562</v>
      </c>
      <c r="B57" t="s">
        <v>550</v>
      </c>
      <c r="C57" t="s">
        <v>555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3">
      <c r="A58" t="s">
        <v>561</v>
      </c>
      <c r="B58" t="s">
        <v>550</v>
      </c>
      <c r="C58" t="s">
        <v>555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3">
      <c r="A59" t="s">
        <v>560</v>
      </c>
      <c r="B59" t="s">
        <v>550</v>
      </c>
      <c r="C59" t="s">
        <v>555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3">
      <c r="A60" t="s">
        <v>559</v>
      </c>
      <c r="B60" t="s">
        <v>550</v>
      </c>
      <c r="C60" t="s">
        <v>555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3">
      <c r="A61" t="s">
        <v>558</v>
      </c>
      <c r="B61" t="s">
        <v>550</v>
      </c>
      <c r="C61" t="s">
        <v>555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3">
      <c r="A62" t="s">
        <v>557</v>
      </c>
      <c r="B62" t="s">
        <v>550</v>
      </c>
      <c r="C62" t="s">
        <v>555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3">
      <c r="A63" t="s">
        <v>556</v>
      </c>
      <c r="B63" t="s">
        <v>550</v>
      </c>
      <c r="C63" t="s">
        <v>555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3">
      <c r="A64" t="s">
        <v>554</v>
      </c>
      <c r="B64" t="s">
        <v>550</v>
      </c>
      <c r="C64" t="s">
        <v>549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3">
      <c r="A65" t="s">
        <v>553</v>
      </c>
      <c r="B65" t="s">
        <v>550</v>
      </c>
      <c r="C65" t="s">
        <v>549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3">
      <c r="A66" t="s">
        <v>549</v>
      </c>
      <c r="B66" t="s">
        <v>550</v>
      </c>
      <c r="C66" t="s">
        <v>549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3">
      <c r="A67" t="s">
        <v>552</v>
      </c>
      <c r="B67" t="s">
        <v>550</v>
      </c>
      <c r="C67" t="s">
        <v>549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3">
      <c r="A68" t="s">
        <v>551</v>
      </c>
      <c r="B68" t="s">
        <v>550</v>
      </c>
      <c r="C68" t="s">
        <v>549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3">
      <c r="A69" t="s">
        <v>549</v>
      </c>
      <c r="B69" t="s">
        <v>550</v>
      </c>
      <c r="C69" t="s">
        <v>549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3">
      <c r="A70" t="s">
        <v>551</v>
      </c>
      <c r="B70" t="s">
        <v>550</v>
      </c>
      <c r="C70" t="s">
        <v>549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3">
      <c r="A71" t="s">
        <v>549</v>
      </c>
      <c r="B71" t="s">
        <v>550</v>
      </c>
      <c r="C71" t="s">
        <v>549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3">
      <c r="A72" t="s">
        <v>549</v>
      </c>
      <c r="B72" t="s">
        <v>550</v>
      </c>
      <c r="C72" t="s">
        <v>549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3">
      <c r="A73" t="s">
        <v>548</v>
      </c>
      <c r="B73" t="s">
        <v>517</v>
      </c>
      <c r="C73" t="s">
        <v>50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3">
      <c r="A74" t="s">
        <v>547</v>
      </c>
      <c r="B74" t="s">
        <v>517</v>
      </c>
      <c r="C74" t="s">
        <v>50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3">
      <c r="A75" t="s">
        <v>546</v>
      </c>
      <c r="B75" t="s">
        <v>517</v>
      </c>
      <c r="C75" t="s">
        <v>50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3">
      <c r="A76" t="s">
        <v>50</v>
      </c>
      <c r="B76" t="s">
        <v>517</v>
      </c>
      <c r="C76" t="s">
        <v>50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3">
      <c r="A77" t="s">
        <v>545</v>
      </c>
      <c r="B77" t="s">
        <v>517</v>
      </c>
      <c r="C77" t="s">
        <v>50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3">
      <c r="A78" t="s">
        <v>544</v>
      </c>
      <c r="B78" t="s">
        <v>517</v>
      </c>
      <c r="C78" t="s">
        <v>50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3">
      <c r="A79" t="s">
        <v>543</v>
      </c>
      <c r="B79" t="s">
        <v>517</v>
      </c>
      <c r="C79" t="s">
        <v>50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3">
      <c r="A80" t="s">
        <v>542</v>
      </c>
      <c r="B80" t="s">
        <v>517</v>
      </c>
      <c r="C80" t="s">
        <v>50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3">
      <c r="A81" t="s">
        <v>541</v>
      </c>
      <c r="B81" t="s">
        <v>517</v>
      </c>
      <c r="C81" t="s">
        <v>50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3">
      <c r="A82" t="s">
        <v>50</v>
      </c>
      <c r="B82" t="s">
        <v>517</v>
      </c>
      <c r="C82" t="s">
        <v>50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3">
      <c r="A83" t="s">
        <v>540</v>
      </c>
      <c r="B83" t="s">
        <v>517</v>
      </c>
      <c r="C83" t="s">
        <v>50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3">
      <c r="A84" t="s">
        <v>50</v>
      </c>
      <c r="B84" t="s">
        <v>517</v>
      </c>
      <c r="C84" t="s">
        <v>50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3">
      <c r="A85" t="s">
        <v>539</v>
      </c>
      <c r="B85" t="s">
        <v>517</v>
      </c>
      <c r="C85" t="s">
        <v>50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3">
      <c r="A86" t="s">
        <v>538</v>
      </c>
      <c r="B86" t="s">
        <v>517</v>
      </c>
      <c r="C86" t="s">
        <v>50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3">
      <c r="A87" t="s">
        <v>537</v>
      </c>
      <c r="B87" t="s">
        <v>517</v>
      </c>
      <c r="C87" t="s">
        <v>50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3">
      <c r="A88" t="s">
        <v>527</v>
      </c>
      <c r="B88" t="s">
        <v>517</v>
      </c>
      <c r="C88" t="s">
        <v>50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3">
      <c r="A89" t="s">
        <v>536</v>
      </c>
      <c r="B89" t="s">
        <v>517</v>
      </c>
      <c r="C89" t="s">
        <v>50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3">
      <c r="A90" t="s">
        <v>535</v>
      </c>
      <c r="B90" t="s">
        <v>517</v>
      </c>
      <c r="C90" t="s">
        <v>50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3">
      <c r="A91" t="s">
        <v>528</v>
      </c>
      <c r="B91" t="s">
        <v>517</v>
      </c>
      <c r="C91" t="s">
        <v>50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3">
      <c r="A92" t="s">
        <v>534</v>
      </c>
      <c r="B92" t="s">
        <v>517</v>
      </c>
      <c r="C92" t="s">
        <v>50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3">
      <c r="A93" t="s">
        <v>533</v>
      </c>
      <c r="B93" t="s">
        <v>517</v>
      </c>
      <c r="C93" t="s">
        <v>50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3">
      <c r="A94" t="s">
        <v>532</v>
      </c>
      <c r="B94" t="s">
        <v>517</v>
      </c>
      <c r="C94" t="s">
        <v>50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3">
      <c r="A95" t="s">
        <v>531</v>
      </c>
      <c r="B95" t="s">
        <v>517</v>
      </c>
      <c r="C95" t="s">
        <v>50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3">
      <c r="A96" t="s">
        <v>530</v>
      </c>
      <c r="B96" t="s">
        <v>517</v>
      </c>
      <c r="C96" t="s">
        <v>50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3">
      <c r="A97" t="s">
        <v>294</v>
      </c>
      <c r="B97" t="s">
        <v>517</v>
      </c>
      <c r="C97" t="s">
        <v>50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3">
      <c r="A98" t="s">
        <v>529</v>
      </c>
      <c r="B98" t="s">
        <v>517</v>
      </c>
      <c r="C98" t="s">
        <v>50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3">
      <c r="A99" t="s">
        <v>528</v>
      </c>
      <c r="B99" t="s">
        <v>517</v>
      </c>
      <c r="C99" t="s">
        <v>50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3">
      <c r="A100" t="s">
        <v>527</v>
      </c>
      <c r="B100" t="s">
        <v>517</v>
      </c>
      <c r="C100" t="s">
        <v>50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3">
      <c r="A101" t="s">
        <v>526</v>
      </c>
      <c r="B101" t="s">
        <v>517</v>
      </c>
      <c r="C101" t="s">
        <v>50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3">
      <c r="A102" t="s">
        <v>525</v>
      </c>
      <c r="B102" t="s">
        <v>517</v>
      </c>
      <c r="C102" t="s">
        <v>50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3">
      <c r="A103" t="s">
        <v>524</v>
      </c>
      <c r="B103" t="s">
        <v>517</v>
      </c>
      <c r="C103" t="s">
        <v>50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3">
      <c r="A104" t="s">
        <v>523</v>
      </c>
      <c r="B104" t="s">
        <v>517</v>
      </c>
      <c r="C104" t="s">
        <v>516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3">
      <c r="A105" t="s">
        <v>516</v>
      </c>
      <c r="B105" t="s">
        <v>517</v>
      </c>
      <c r="C105" t="s">
        <v>516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3">
      <c r="A106" t="s">
        <v>522</v>
      </c>
      <c r="B106" t="s">
        <v>517</v>
      </c>
      <c r="C106" t="s">
        <v>516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3">
      <c r="A107" t="s">
        <v>521</v>
      </c>
      <c r="B107" t="s">
        <v>517</v>
      </c>
      <c r="C107" t="s">
        <v>516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3">
      <c r="A108" t="s">
        <v>520</v>
      </c>
      <c r="B108" t="s">
        <v>517</v>
      </c>
      <c r="C108" t="s">
        <v>516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3">
      <c r="A109" t="s">
        <v>263</v>
      </c>
      <c r="B109" t="s">
        <v>517</v>
      </c>
      <c r="C109" t="s">
        <v>516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3">
      <c r="A110" t="s">
        <v>519</v>
      </c>
      <c r="B110" t="s">
        <v>517</v>
      </c>
      <c r="C110" t="s">
        <v>516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3">
      <c r="A111" t="s">
        <v>518</v>
      </c>
      <c r="B111" t="s">
        <v>517</v>
      </c>
      <c r="C111" t="s">
        <v>516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3">
      <c r="A112" t="s">
        <v>515</v>
      </c>
      <c r="B112" t="s">
        <v>507</v>
      </c>
      <c r="C112" t="s">
        <v>123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3">
      <c r="A113" t="s">
        <v>514</v>
      </c>
      <c r="B113" t="s">
        <v>507</v>
      </c>
      <c r="C113" t="s">
        <v>123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3">
      <c r="A114" t="s">
        <v>123</v>
      </c>
      <c r="B114" t="s">
        <v>507</v>
      </c>
      <c r="C114" t="s">
        <v>123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3">
      <c r="A115" t="s">
        <v>513</v>
      </c>
      <c r="B115" t="s">
        <v>507</v>
      </c>
      <c r="C115" t="s">
        <v>123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3">
      <c r="A116" t="s">
        <v>512</v>
      </c>
      <c r="B116" t="s">
        <v>507</v>
      </c>
      <c r="C116" t="s">
        <v>123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3">
      <c r="A117" t="s">
        <v>511</v>
      </c>
      <c r="B117" t="s">
        <v>507</v>
      </c>
      <c r="C117" t="s">
        <v>123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3">
      <c r="A118" t="s">
        <v>510</v>
      </c>
      <c r="B118" t="s">
        <v>507</v>
      </c>
      <c r="C118" t="s">
        <v>123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3">
      <c r="A119" t="s">
        <v>509</v>
      </c>
      <c r="B119" t="s">
        <v>507</v>
      </c>
      <c r="C119" t="s">
        <v>123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3">
      <c r="A120" t="s">
        <v>508</v>
      </c>
      <c r="B120" t="s">
        <v>507</v>
      </c>
      <c r="C120" t="s">
        <v>123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3">
      <c r="A121" t="s">
        <v>506</v>
      </c>
      <c r="B121" t="s">
        <v>475</v>
      </c>
      <c r="C121" t="s">
        <v>500</v>
      </c>
      <c r="D121">
        <v>5015</v>
      </c>
      <c r="AH121">
        <v>950</v>
      </c>
    </row>
    <row r="122" spans="1:35" x14ac:dyDescent="0.3">
      <c r="A122" t="s">
        <v>505</v>
      </c>
      <c r="B122" t="s">
        <v>475</v>
      </c>
      <c r="C122" t="s">
        <v>500</v>
      </c>
      <c r="D122">
        <v>4061</v>
      </c>
      <c r="AH122">
        <v>950</v>
      </c>
    </row>
    <row r="123" spans="1:35" x14ac:dyDescent="0.3">
      <c r="A123" t="s">
        <v>500</v>
      </c>
      <c r="B123" t="s">
        <v>475</v>
      </c>
      <c r="C123" t="s">
        <v>500</v>
      </c>
      <c r="D123">
        <v>4950</v>
      </c>
      <c r="AH123">
        <v>950</v>
      </c>
    </row>
    <row r="124" spans="1:35" x14ac:dyDescent="0.3">
      <c r="A124" t="s">
        <v>504</v>
      </c>
      <c r="B124" t="s">
        <v>475</v>
      </c>
      <c r="C124" t="s">
        <v>500</v>
      </c>
      <c r="D124">
        <v>6950</v>
      </c>
      <c r="AH124">
        <v>950</v>
      </c>
    </row>
    <row r="125" spans="1:35" x14ac:dyDescent="0.3">
      <c r="A125" t="s">
        <v>503</v>
      </c>
      <c r="B125" t="s">
        <v>475</v>
      </c>
      <c r="C125" t="s">
        <v>500</v>
      </c>
      <c r="D125">
        <v>6951</v>
      </c>
      <c r="AH125">
        <v>950</v>
      </c>
    </row>
    <row r="126" spans="1:35" x14ac:dyDescent="0.3">
      <c r="A126" t="s">
        <v>502</v>
      </c>
      <c r="B126" t="s">
        <v>475</v>
      </c>
      <c r="C126" t="s">
        <v>500</v>
      </c>
      <c r="D126">
        <v>2950</v>
      </c>
      <c r="AH126">
        <v>950</v>
      </c>
    </row>
    <row r="127" spans="1:35" x14ac:dyDescent="0.3">
      <c r="A127" t="s">
        <v>500</v>
      </c>
      <c r="B127" t="s">
        <v>475</v>
      </c>
      <c r="C127" t="s">
        <v>500</v>
      </c>
      <c r="D127">
        <v>7950</v>
      </c>
      <c r="AH127">
        <v>950</v>
      </c>
    </row>
    <row r="128" spans="1:35" x14ac:dyDescent="0.3">
      <c r="A128" t="s">
        <v>502</v>
      </c>
      <c r="B128" t="s">
        <v>475</v>
      </c>
      <c r="C128" t="s">
        <v>500</v>
      </c>
      <c r="D128">
        <v>1950</v>
      </c>
      <c r="AH128">
        <v>950</v>
      </c>
    </row>
    <row r="129" spans="1:34" x14ac:dyDescent="0.3">
      <c r="A129" t="s">
        <v>501</v>
      </c>
      <c r="B129" t="s">
        <v>475</v>
      </c>
      <c r="C129" t="s">
        <v>500</v>
      </c>
      <c r="D129">
        <v>8950</v>
      </c>
      <c r="AH129">
        <v>950</v>
      </c>
    </row>
    <row r="130" spans="1:34" x14ac:dyDescent="0.3">
      <c r="A130" t="s">
        <v>500</v>
      </c>
      <c r="B130" t="s">
        <v>475</v>
      </c>
      <c r="C130" t="s">
        <v>500</v>
      </c>
      <c r="D130">
        <v>3950</v>
      </c>
      <c r="AH130">
        <v>950</v>
      </c>
    </row>
    <row r="131" spans="1:34" x14ac:dyDescent="0.3">
      <c r="A131" t="s">
        <v>499</v>
      </c>
      <c r="B131" t="s">
        <v>475</v>
      </c>
      <c r="C131" t="s">
        <v>496</v>
      </c>
      <c r="D131">
        <v>5010</v>
      </c>
      <c r="AH131">
        <v>830</v>
      </c>
    </row>
    <row r="132" spans="1:34" x14ac:dyDescent="0.3">
      <c r="A132" t="s">
        <v>498</v>
      </c>
      <c r="B132" t="s">
        <v>475</v>
      </c>
      <c r="C132" t="s">
        <v>496</v>
      </c>
      <c r="D132">
        <v>5060</v>
      </c>
      <c r="AH132">
        <v>830</v>
      </c>
    </row>
    <row r="133" spans="1:34" x14ac:dyDescent="0.3">
      <c r="A133" t="s">
        <v>496</v>
      </c>
      <c r="B133" t="s">
        <v>475</v>
      </c>
      <c r="C133" t="s">
        <v>496</v>
      </c>
      <c r="D133">
        <v>4830</v>
      </c>
      <c r="AH133">
        <v>830</v>
      </c>
    </row>
    <row r="134" spans="1:34" x14ac:dyDescent="0.3">
      <c r="A134" t="s">
        <v>497</v>
      </c>
      <c r="B134" t="s">
        <v>475</v>
      </c>
      <c r="C134" t="s">
        <v>496</v>
      </c>
      <c r="D134">
        <v>6830</v>
      </c>
      <c r="AH134">
        <v>830</v>
      </c>
    </row>
    <row r="135" spans="1:34" x14ac:dyDescent="0.3">
      <c r="A135" t="s">
        <v>496</v>
      </c>
      <c r="B135" t="s">
        <v>475</v>
      </c>
      <c r="C135" t="s">
        <v>496</v>
      </c>
      <c r="D135">
        <v>7830</v>
      </c>
      <c r="AH135">
        <v>830</v>
      </c>
    </row>
    <row r="136" spans="1:34" x14ac:dyDescent="0.3">
      <c r="A136" t="s">
        <v>496</v>
      </c>
      <c r="B136" t="s">
        <v>475</v>
      </c>
      <c r="C136" t="s">
        <v>496</v>
      </c>
      <c r="D136">
        <v>8830</v>
      </c>
      <c r="AH136">
        <v>830</v>
      </c>
    </row>
    <row r="137" spans="1:34" x14ac:dyDescent="0.3">
      <c r="A137" t="s">
        <v>496</v>
      </c>
      <c r="B137" t="s">
        <v>475</v>
      </c>
      <c r="C137" t="s">
        <v>496</v>
      </c>
      <c r="D137">
        <v>3830</v>
      </c>
      <c r="AH137">
        <v>830</v>
      </c>
    </row>
    <row r="138" spans="1:34" x14ac:dyDescent="0.3">
      <c r="A138" t="s">
        <v>495</v>
      </c>
      <c r="B138" t="s">
        <v>475</v>
      </c>
      <c r="C138" t="s">
        <v>475</v>
      </c>
      <c r="D138">
        <v>5000</v>
      </c>
      <c r="AH138">
        <v>900</v>
      </c>
    </row>
    <row r="139" spans="1:34" x14ac:dyDescent="0.3">
      <c r="A139" t="s">
        <v>494</v>
      </c>
      <c r="B139" t="s">
        <v>475</v>
      </c>
      <c r="C139" t="s">
        <v>475</v>
      </c>
      <c r="D139">
        <v>5002</v>
      </c>
      <c r="AH139">
        <v>900</v>
      </c>
    </row>
    <row r="140" spans="1:34" x14ac:dyDescent="0.3">
      <c r="A140" t="s">
        <v>493</v>
      </c>
      <c r="B140" t="s">
        <v>475</v>
      </c>
      <c r="C140" t="s">
        <v>475</v>
      </c>
      <c r="D140">
        <v>5004</v>
      </c>
      <c r="AH140">
        <v>900</v>
      </c>
    </row>
    <row r="141" spans="1:34" x14ac:dyDescent="0.3">
      <c r="A141" t="s">
        <v>492</v>
      </c>
      <c r="B141" t="s">
        <v>475</v>
      </c>
      <c r="C141" t="s">
        <v>475</v>
      </c>
      <c r="D141">
        <v>5006</v>
      </c>
      <c r="AH141">
        <v>900</v>
      </c>
    </row>
    <row r="142" spans="1:34" x14ac:dyDescent="0.3">
      <c r="A142" t="s">
        <v>491</v>
      </c>
      <c r="B142" t="s">
        <v>475</v>
      </c>
      <c r="C142" t="s">
        <v>475</v>
      </c>
      <c r="D142">
        <v>5007</v>
      </c>
      <c r="AH142">
        <v>900</v>
      </c>
    </row>
    <row r="143" spans="1:34" x14ac:dyDescent="0.3">
      <c r="A143" t="s">
        <v>490</v>
      </c>
      <c r="B143" t="s">
        <v>475</v>
      </c>
      <c r="C143" t="s">
        <v>475</v>
      </c>
      <c r="D143">
        <v>5016</v>
      </c>
      <c r="AH143">
        <v>900</v>
      </c>
    </row>
    <row r="144" spans="1:34" x14ac:dyDescent="0.3">
      <c r="A144" t="s">
        <v>489</v>
      </c>
      <c r="B144" t="s">
        <v>475</v>
      </c>
      <c r="C144" t="s">
        <v>475</v>
      </c>
      <c r="D144">
        <v>5017</v>
      </c>
      <c r="AH144">
        <v>900</v>
      </c>
    </row>
    <row r="145" spans="1:34" x14ac:dyDescent="0.3">
      <c r="A145" t="s">
        <v>488</v>
      </c>
      <c r="B145" t="s">
        <v>475</v>
      </c>
      <c r="C145" t="s">
        <v>475</v>
      </c>
      <c r="D145">
        <v>4055</v>
      </c>
      <c r="AH145">
        <v>900</v>
      </c>
    </row>
    <row r="146" spans="1:34" x14ac:dyDescent="0.3">
      <c r="A146" t="s">
        <v>487</v>
      </c>
      <c r="B146" t="s">
        <v>475</v>
      </c>
      <c r="C146" t="s">
        <v>475</v>
      </c>
      <c r="D146">
        <v>4063</v>
      </c>
      <c r="AH146">
        <v>900</v>
      </c>
    </row>
    <row r="147" spans="1:34" x14ac:dyDescent="0.3">
      <c r="A147" t="s">
        <v>475</v>
      </c>
      <c r="B147" t="s">
        <v>475</v>
      </c>
      <c r="C147" t="s">
        <v>475</v>
      </c>
      <c r="D147">
        <v>4900</v>
      </c>
      <c r="AH147">
        <v>900</v>
      </c>
    </row>
    <row r="148" spans="1:34" x14ac:dyDescent="0.3">
      <c r="A148" t="s">
        <v>486</v>
      </c>
      <c r="B148" t="s">
        <v>475</v>
      </c>
      <c r="C148" t="s">
        <v>475</v>
      </c>
      <c r="D148">
        <v>6900</v>
      </c>
      <c r="AH148">
        <v>900</v>
      </c>
    </row>
    <row r="149" spans="1:34" x14ac:dyDescent="0.3">
      <c r="A149" t="s">
        <v>479</v>
      </c>
      <c r="B149" t="s">
        <v>475</v>
      </c>
      <c r="C149" t="s">
        <v>475</v>
      </c>
      <c r="D149">
        <v>6901</v>
      </c>
      <c r="AH149">
        <v>900</v>
      </c>
    </row>
    <row r="150" spans="1:34" x14ac:dyDescent="0.3">
      <c r="A150" t="s">
        <v>485</v>
      </c>
      <c r="B150" t="s">
        <v>475</v>
      </c>
      <c r="C150" t="s">
        <v>475</v>
      </c>
      <c r="D150">
        <v>6902</v>
      </c>
      <c r="AH150">
        <v>900</v>
      </c>
    </row>
    <row r="151" spans="1:34" x14ac:dyDescent="0.3">
      <c r="A151" t="s">
        <v>484</v>
      </c>
      <c r="B151" t="s">
        <v>475</v>
      </c>
      <c r="C151" t="s">
        <v>475</v>
      </c>
      <c r="D151">
        <v>6903</v>
      </c>
      <c r="AH151">
        <v>900</v>
      </c>
    </row>
    <row r="152" spans="1:34" x14ac:dyDescent="0.3">
      <c r="A152" t="s">
        <v>481</v>
      </c>
      <c r="B152" t="s">
        <v>475</v>
      </c>
      <c r="C152" t="s">
        <v>475</v>
      </c>
      <c r="D152">
        <v>2900</v>
      </c>
      <c r="AH152">
        <v>900</v>
      </c>
    </row>
    <row r="153" spans="1:34" x14ac:dyDescent="0.3">
      <c r="A153" t="s">
        <v>483</v>
      </c>
      <c r="B153" t="s">
        <v>475</v>
      </c>
      <c r="C153" t="s">
        <v>475</v>
      </c>
      <c r="D153">
        <v>2901</v>
      </c>
      <c r="AH153">
        <v>900</v>
      </c>
    </row>
    <row r="154" spans="1:34" x14ac:dyDescent="0.3">
      <c r="A154" t="s">
        <v>475</v>
      </c>
      <c r="B154" t="s">
        <v>475</v>
      </c>
      <c r="C154" t="s">
        <v>475</v>
      </c>
      <c r="D154">
        <v>7900</v>
      </c>
      <c r="AH154">
        <v>900</v>
      </c>
    </row>
    <row r="155" spans="1:34" x14ac:dyDescent="0.3">
      <c r="A155" t="s">
        <v>482</v>
      </c>
      <c r="B155" t="s">
        <v>475</v>
      </c>
      <c r="C155" t="s">
        <v>475</v>
      </c>
      <c r="D155">
        <v>7901</v>
      </c>
      <c r="AH155">
        <v>900</v>
      </c>
    </row>
    <row r="156" spans="1:34" x14ac:dyDescent="0.3">
      <c r="A156" t="s">
        <v>481</v>
      </c>
      <c r="B156" t="s">
        <v>475</v>
      </c>
      <c r="C156" t="s">
        <v>475</v>
      </c>
      <c r="D156">
        <v>1900</v>
      </c>
      <c r="AH156">
        <v>900</v>
      </c>
    </row>
    <row r="157" spans="1:34" x14ac:dyDescent="0.3">
      <c r="A157" t="s">
        <v>479</v>
      </c>
      <c r="B157" t="s">
        <v>475</v>
      </c>
      <c r="C157" t="s">
        <v>475</v>
      </c>
      <c r="D157">
        <v>8900</v>
      </c>
      <c r="AH157">
        <v>900</v>
      </c>
    </row>
    <row r="158" spans="1:34" x14ac:dyDescent="0.3">
      <c r="A158" t="s">
        <v>480</v>
      </c>
      <c r="B158" t="s">
        <v>475</v>
      </c>
      <c r="C158" t="s">
        <v>475</v>
      </c>
      <c r="D158">
        <v>8901</v>
      </c>
      <c r="AH158">
        <v>900</v>
      </c>
    </row>
    <row r="159" spans="1:34" x14ac:dyDescent="0.3">
      <c r="A159" t="s">
        <v>479</v>
      </c>
      <c r="B159" t="s">
        <v>475</v>
      </c>
      <c r="C159" t="s">
        <v>475</v>
      </c>
      <c r="D159">
        <v>8903</v>
      </c>
      <c r="AH159">
        <v>900</v>
      </c>
    </row>
    <row r="160" spans="1:34" x14ac:dyDescent="0.3">
      <c r="A160" t="s">
        <v>478</v>
      </c>
      <c r="B160" t="s">
        <v>475</v>
      </c>
      <c r="C160" t="s">
        <v>475</v>
      </c>
      <c r="D160">
        <v>3000</v>
      </c>
      <c r="AH160">
        <v>900</v>
      </c>
    </row>
    <row r="161" spans="1:34" x14ac:dyDescent="0.3">
      <c r="A161" t="s">
        <v>477</v>
      </c>
      <c r="B161" t="s">
        <v>475</v>
      </c>
      <c r="C161" t="s">
        <v>475</v>
      </c>
      <c r="D161">
        <v>3038</v>
      </c>
      <c r="AH161">
        <v>900</v>
      </c>
    </row>
    <row r="162" spans="1:34" x14ac:dyDescent="0.3">
      <c r="A162" t="s">
        <v>476</v>
      </c>
      <c r="B162" t="s">
        <v>475</v>
      </c>
      <c r="C162" t="s">
        <v>475</v>
      </c>
      <c r="D162">
        <v>3047</v>
      </c>
      <c r="AH162">
        <v>900</v>
      </c>
    </row>
    <row r="163" spans="1:34" x14ac:dyDescent="0.3">
      <c r="A163" t="s">
        <v>475</v>
      </c>
      <c r="B163" t="s">
        <v>475</v>
      </c>
      <c r="C163" t="s">
        <v>475</v>
      </c>
      <c r="D163">
        <v>3900</v>
      </c>
      <c r="AH163">
        <v>900</v>
      </c>
    </row>
    <row r="164" spans="1:34" x14ac:dyDescent="0.3">
      <c r="A164" t="s">
        <v>474</v>
      </c>
      <c r="B164" t="s">
        <v>94</v>
      </c>
      <c r="C164" t="s">
        <v>94</v>
      </c>
      <c r="D164">
        <v>5048</v>
      </c>
      <c r="AH164">
        <v>200</v>
      </c>
    </row>
    <row r="165" spans="1:34" x14ac:dyDescent="0.3">
      <c r="A165" t="s">
        <v>473</v>
      </c>
      <c r="B165" t="s">
        <v>94</v>
      </c>
      <c r="C165" t="s">
        <v>94</v>
      </c>
      <c r="D165">
        <v>5049</v>
      </c>
      <c r="AH165">
        <v>200</v>
      </c>
    </row>
    <row r="166" spans="1:34" x14ac:dyDescent="0.3">
      <c r="A166" t="s">
        <v>472</v>
      </c>
      <c r="B166" t="s">
        <v>94</v>
      </c>
      <c r="C166" t="s">
        <v>94</v>
      </c>
      <c r="D166">
        <v>5050</v>
      </c>
      <c r="AH166">
        <v>200</v>
      </c>
    </row>
    <row r="167" spans="1:34" x14ac:dyDescent="0.3">
      <c r="A167" t="s">
        <v>471</v>
      </c>
      <c r="B167" t="s">
        <v>94</v>
      </c>
      <c r="C167" t="s">
        <v>94</v>
      </c>
      <c r="D167">
        <v>5051</v>
      </c>
      <c r="AH167">
        <v>200</v>
      </c>
    </row>
    <row r="168" spans="1:34" x14ac:dyDescent="0.3">
      <c r="A168" t="s">
        <v>470</v>
      </c>
      <c r="B168" t="s">
        <v>94</v>
      </c>
      <c r="C168" t="s">
        <v>94</v>
      </c>
      <c r="D168">
        <v>5052</v>
      </c>
      <c r="AH168">
        <v>200</v>
      </c>
    </row>
    <row r="169" spans="1:34" x14ac:dyDescent="0.3">
      <c r="A169" t="s">
        <v>469</v>
      </c>
      <c r="B169" t="s">
        <v>94</v>
      </c>
      <c r="C169" t="s">
        <v>94</v>
      </c>
      <c r="D169">
        <v>5012</v>
      </c>
      <c r="AH169">
        <v>200</v>
      </c>
    </row>
    <row r="170" spans="1:34" x14ac:dyDescent="0.3">
      <c r="A170" t="s">
        <v>468</v>
      </c>
      <c r="B170" t="s">
        <v>94</v>
      </c>
      <c r="C170" t="s">
        <v>94</v>
      </c>
      <c r="D170">
        <v>4057</v>
      </c>
      <c r="AH170">
        <v>200</v>
      </c>
    </row>
    <row r="171" spans="1:34" x14ac:dyDescent="0.3">
      <c r="A171" t="s">
        <v>94</v>
      </c>
      <c r="B171" t="s">
        <v>94</v>
      </c>
      <c r="C171" t="s">
        <v>94</v>
      </c>
      <c r="D171">
        <v>4200</v>
      </c>
      <c r="AH171">
        <v>200</v>
      </c>
    </row>
    <row r="172" spans="1:34" x14ac:dyDescent="0.3">
      <c r="A172" t="s">
        <v>467</v>
      </c>
      <c r="B172" t="s">
        <v>94</v>
      </c>
      <c r="C172" t="s">
        <v>94</v>
      </c>
      <c r="D172">
        <v>6201</v>
      </c>
      <c r="AH172">
        <v>200</v>
      </c>
    </row>
    <row r="173" spans="1:34" x14ac:dyDescent="0.3">
      <c r="A173" t="s">
        <v>464</v>
      </c>
      <c r="B173" t="s">
        <v>94</v>
      </c>
      <c r="C173" t="s">
        <v>94</v>
      </c>
      <c r="D173">
        <v>2200</v>
      </c>
      <c r="AH173">
        <v>200</v>
      </c>
    </row>
    <row r="174" spans="1:34" x14ac:dyDescent="0.3">
      <c r="A174" t="s">
        <v>466</v>
      </c>
      <c r="B174" t="s">
        <v>94</v>
      </c>
      <c r="C174" t="s">
        <v>94</v>
      </c>
      <c r="D174">
        <v>7200</v>
      </c>
      <c r="AH174">
        <v>200</v>
      </c>
    </row>
    <row r="175" spans="1:34" x14ac:dyDescent="0.3">
      <c r="A175" t="s">
        <v>465</v>
      </c>
      <c r="B175" t="s">
        <v>94</v>
      </c>
      <c r="C175" t="s">
        <v>94</v>
      </c>
      <c r="D175">
        <v>7202</v>
      </c>
      <c r="AH175">
        <v>200</v>
      </c>
    </row>
    <row r="176" spans="1:34" x14ac:dyDescent="0.3">
      <c r="A176" t="s">
        <v>464</v>
      </c>
      <c r="B176" t="s">
        <v>94</v>
      </c>
      <c r="C176" t="s">
        <v>94</v>
      </c>
      <c r="D176">
        <v>1200</v>
      </c>
      <c r="AH176">
        <v>200</v>
      </c>
    </row>
    <row r="177" spans="1:35" x14ac:dyDescent="0.3">
      <c r="A177" t="s">
        <v>463</v>
      </c>
      <c r="B177" t="s">
        <v>94</v>
      </c>
      <c r="C177" t="s">
        <v>94</v>
      </c>
      <c r="D177">
        <v>3098</v>
      </c>
      <c r="AH177">
        <v>200</v>
      </c>
    </row>
    <row r="178" spans="1:35" x14ac:dyDescent="0.3">
      <c r="A178" t="s">
        <v>462</v>
      </c>
      <c r="B178" t="s">
        <v>369</v>
      </c>
      <c r="C178" t="s">
        <v>440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3">
      <c r="A179" t="s">
        <v>461</v>
      </c>
      <c r="B179" t="s">
        <v>369</v>
      </c>
      <c r="C179" t="s">
        <v>440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3">
      <c r="A180" t="s">
        <v>460</v>
      </c>
      <c r="B180" t="s">
        <v>369</v>
      </c>
      <c r="C180" t="s">
        <v>440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3">
      <c r="A181" t="s">
        <v>459</v>
      </c>
      <c r="B181" t="s">
        <v>369</v>
      </c>
      <c r="C181" t="s">
        <v>440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3">
      <c r="A182" t="s">
        <v>458</v>
      </c>
      <c r="B182" t="s">
        <v>369</v>
      </c>
      <c r="C182" t="s">
        <v>440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3">
      <c r="A183" t="s">
        <v>457</v>
      </c>
      <c r="B183" t="s">
        <v>369</v>
      </c>
      <c r="C183" t="s">
        <v>440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3">
      <c r="A184" t="s">
        <v>456</v>
      </c>
      <c r="B184" t="s">
        <v>369</v>
      </c>
      <c r="C184" t="s">
        <v>440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3">
      <c r="A185" t="s">
        <v>455</v>
      </c>
      <c r="B185" t="s">
        <v>369</v>
      </c>
      <c r="C185" t="s">
        <v>440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3">
      <c r="A186" t="s">
        <v>454</v>
      </c>
      <c r="B186" t="s">
        <v>369</v>
      </c>
      <c r="C186" t="s">
        <v>440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3">
      <c r="A187" t="s">
        <v>453</v>
      </c>
      <c r="B187" t="s">
        <v>369</v>
      </c>
      <c r="C187" t="s">
        <v>440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3">
      <c r="A188" t="s">
        <v>452</v>
      </c>
      <c r="B188" t="s">
        <v>369</v>
      </c>
      <c r="C188" t="s">
        <v>440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3">
      <c r="A189" t="s">
        <v>451</v>
      </c>
      <c r="B189" t="s">
        <v>369</v>
      </c>
      <c r="C189" t="s">
        <v>440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3">
      <c r="A190" t="s">
        <v>450</v>
      </c>
      <c r="B190" t="s">
        <v>369</v>
      </c>
      <c r="C190" t="s">
        <v>440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3">
      <c r="A191" t="s">
        <v>449</v>
      </c>
      <c r="B191" t="s">
        <v>369</v>
      </c>
      <c r="C191" t="s">
        <v>440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3">
      <c r="A192" t="s">
        <v>448</v>
      </c>
      <c r="B192" t="s">
        <v>369</v>
      </c>
      <c r="C192" t="s">
        <v>440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3">
      <c r="A193" t="s">
        <v>447</v>
      </c>
      <c r="B193" t="s">
        <v>369</v>
      </c>
      <c r="C193" t="s">
        <v>440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3">
      <c r="A194" t="s">
        <v>446</v>
      </c>
      <c r="B194" t="s">
        <v>369</v>
      </c>
      <c r="C194" t="s">
        <v>440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3">
      <c r="A195" t="s">
        <v>445</v>
      </c>
      <c r="B195" t="s">
        <v>369</v>
      </c>
      <c r="C195" t="s">
        <v>440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3">
      <c r="A196" t="s">
        <v>444</v>
      </c>
      <c r="B196" t="s">
        <v>369</v>
      </c>
      <c r="C196" t="s">
        <v>440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3">
      <c r="A197" t="s">
        <v>443</v>
      </c>
      <c r="B197" t="s">
        <v>369</v>
      </c>
      <c r="C197" t="s">
        <v>440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3">
      <c r="A198" t="s">
        <v>442</v>
      </c>
      <c r="B198" t="s">
        <v>369</v>
      </c>
      <c r="C198" t="s">
        <v>440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3">
      <c r="A199" t="s">
        <v>441</v>
      </c>
      <c r="B199" t="s">
        <v>369</v>
      </c>
      <c r="C199" t="s">
        <v>440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3">
      <c r="A200" t="s">
        <v>299</v>
      </c>
      <c r="B200" t="s">
        <v>369</v>
      </c>
      <c r="C200" t="s">
        <v>440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3">
      <c r="A201" t="s">
        <v>439</v>
      </c>
      <c r="B201" t="s">
        <v>369</v>
      </c>
      <c r="C201" t="s">
        <v>436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3">
      <c r="A202" t="s">
        <v>438</v>
      </c>
      <c r="B202" t="s">
        <v>369</v>
      </c>
      <c r="C202" t="s">
        <v>436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3">
      <c r="A203" t="s">
        <v>437</v>
      </c>
      <c r="B203" t="s">
        <v>369</v>
      </c>
      <c r="C203" t="s">
        <v>436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3">
      <c r="A204" t="s">
        <v>435</v>
      </c>
      <c r="B204" t="s">
        <v>369</v>
      </c>
      <c r="C204" t="s">
        <v>431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3">
      <c r="A205" t="s">
        <v>431</v>
      </c>
      <c r="B205" t="s">
        <v>369</v>
      </c>
      <c r="C205" t="s">
        <v>431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3">
      <c r="A206" t="s">
        <v>434</v>
      </c>
      <c r="B206" t="s">
        <v>369</v>
      </c>
      <c r="C206" t="s">
        <v>431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3">
      <c r="A207" t="s">
        <v>433</v>
      </c>
      <c r="B207" t="s">
        <v>369</v>
      </c>
      <c r="C207" t="s">
        <v>431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3">
      <c r="A208" t="s">
        <v>432</v>
      </c>
      <c r="B208" t="s">
        <v>369</v>
      </c>
      <c r="C208" t="s">
        <v>431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3">
      <c r="A209" t="s">
        <v>431</v>
      </c>
      <c r="B209" t="s">
        <v>369</v>
      </c>
      <c r="C209" t="s">
        <v>431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3">
      <c r="A210" t="s">
        <v>432</v>
      </c>
      <c r="B210" t="s">
        <v>369</v>
      </c>
      <c r="C210" t="s">
        <v>431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3">
      <c r="A211" t="s">
        <v>431</v>
      </c>
      <c r="B211" t="s">
        <v>369</v>
      </c>
      <c r="C211" t="s">
        <v>431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3">
      <c r="A212" t="s">
        <v>431</v>
      </c>
      <c r="B212" t="s">
        <v>369</v>
      </c>
      <c r="C212" t="s">
        <v>431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3">
      <c r="A213" t="s">
        <v>430</v>
      </c>
      <c r="B213" t="s">
        <v>369</v>
      </c>
      <c r="C213" t="s">
        <v>423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3">
      <c r="A214" t="s">
        <v>429</v>
      </c>
      <c r="B214" t="s">
        <v>369</v>
      </c>
      <c r="C214" t="s">
        <v>423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3">
      <c r="A215" t="s">
        <v>428</v>
      </c>
      <c r="B215" t="s">
        <v>369</v>
      </c>
      <c r="C215" t="s">
        <v>423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3">
      <c r="A216" t="s">
        <v>427</v>
      </c>
      <c r="B216" t="s">
        <v>369</v>
      </c>
      <c r="C216" t="s">
        <v>423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3">
      <c r="A217" t="s">
        <v>423</v>
      </c>
      <c r="B217" t="s">
        <v>369</v>
      </c>
      <c r="C217" t="s">
        <v>423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3">
      <c r="A218" t="s">
        <v>426</v>
      </c>
      <c r="B218" t="s">
        <v>369</v>
      </c>
      <c r="C218" t="s">
        <v>423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3">
      <c r="A219" t="s">
        <v>425</v>
      </c>
      <c r="B219" t="s">
        <v>369</v>
      </c>
      <c r="C219" t="s">
        <v>423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3">
      <c r="A220" t="s">
        <v>423</v>
      </c>
      <c r="B220" t="s">
        <v>369</v>
      </c>
      <c r="C220" t="s">
        <v>423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3">
      <c r="A221" t="s">
        <v>424</v>
      </c>
      <c r="B221" t="s">
        <v>369</v>
      </c>
      <c r="C221" t="s">
        <v>423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3">
      <c r="A222" t="s">
        <v>423</v>
      </c>
      <c r="B222" t="s">
        <v>369</v>
      </c>
      <c r="C222" t="s">
        <v>423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3">
      <c r="A223" t="s">
        <v>423</v>
      </c>
      <c r="B223" t="s">
        <v>369</v>
      </c>
      <c r="C223" t="s">
        <v>423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3">
      <c r="A224" t="s">
        <v>423</v>
      </c>
      <c r="B224" t="s">
        <v>369</v>
      </c>
      <c r="C224" t="s">
        <v>423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3">
      <c r="A225" t="s">
        <v>422</v>
      </c>
      <c r="B225" t="s">
        <v>369</v>
      </c>
      <c r="C225" t="s">
        <v>140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3">
      <c r="A226" t="s">
        <v>421</v>
      </c>
      <c r="B226" t="s">
        <v>369</v>
      </c>
      <c r="C226" t="s">
        <v>140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3">
      <c r="A227" t="s">
        <v>420</v>
      </c>
      <c r="B227" t="s">
        <v>369</v>
      </c>
      <c r="C227" t="s">
        <v>140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3">
      <c r="A228" t="s">
        <v>419</v>
      </c>
      <c r="B228" t="s">
        <v>369</v>
      </c>
      <c r="C228" t="s">
        <v>140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3">
      <c r="A229" t="s">
        <v>418</v>
      </c>
      <c r="B229" t="s">
        <v>369</v>
      </c>
      <c r="C229" t="s">
        <v>140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3">
      <c r="A230" t="s">
        <v>417</v>
      </c>
      <c r="B230" t="s">
        <v>369</v>
      </c>
      <c r="C230" t="s">
        <v>140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3">
      <c r="A231" t="s">
        <v>416</v>
      </c>
      <c r="B231" t="s">
        <v>369</v>
      </c>
      <c r="C231" t="s">
        <v>140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3">
      <c r="A232" t="s">
        <v>415</v>
      </c>
      <c r="B232" t="s">
        <v>369</v>
      </c>
      <c r="C232" t="s">
        <v>140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3">
      <c r="A233" t="s">
        <v>414</v>
      </c>
      <c r="B233" t="s">
        <v>369</v>
      </c>
      <c r="C233" t="s">
        <v>140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3">
      <c r="A234" t="s">
        <v>413</v>
      </c>
      <c r="B234" t="s">
        <v>369</v>
      </c>
      <c r="C234" t="s">
        <v>140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3">
      <c r="A235" t="s">
        <v>412</v>
      </c>
      <c r="B235" t="s">
        <v>369</v>
      </c>
      <c r="C235" t="s">
        <v>140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3">
      <c r="A236" t="s">
        <v>411</v>
      </c>
      <c r="B236" t="s">
        <v>369</v>
      </c>
      <c r="C236" t="s">
        <v>140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3">
      <c r="A237" t="s">
        <v>410</v>
      </c>
      <c r="B237" t="s">
        <v>369</v>
      </c>
      <c r="C237" t="s">
        <v>140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3">
      <c r="A238" t="s">
        <v>409</v>
      </c>
      <c r="B238" t="s">
        <v>369</v>
      </c>
      <c r="C238" t="s">
        <v>140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3">
      <c r="A239" t="s">
        <v>408</v>
      </c>
      <c r="B239" t="s">
        <v>369</v>
      </c>
      <c r="C239" t="s">
        <v>140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3">
      <c r="A240" t="s">
        <v>407</v>
      </c>
      <c r="B240" t="s">
        <v>369</v>
      </c>
      <c r="C240" t="s">
        <v>140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3">
      <c r="A241" t="s">
        <v>406</v>
      </c>
      <c r="B241" t="s">
        <v>369</v>
      </c>
      <c r="C241" t="s">
        <v>140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3">
      <c r="A242" t="s">
        <v>405</v>
      </c>
      <c r="B242" t="s">
        <v>369</v>
      </c>
      <c r="C242" t="s">
        <v>140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3">
      <c r="A243" t="s">
        <v>404</v>
      </c>
      <c r="B243" t="s">
        <v>369</v>
      </c>
      <c r="C243" t="s">
        <v>140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3">
      <c r="A244" t="s">
        <v>403</v>
      </c>
      <c r="B244" t="s">
        <v>369</v>
      </c>
      <c r="C244" t="s">
        <v>140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3">
      <c r="A245" t="s">
        <v>402</v>
      </c>
      <c r="B245" t="s">
        <v>369</v>
      </c>
      <c r="C245" t="s">
        <v>140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3">
      <c r="A246" t="s">
        <v>140</v>
      </c>
      <c r="B246" t="s">
        <v>369</v>
      </c>
      <c r="C246" t="s">
        <v>140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3">
      <c r="A247" t="s">
        <v>401</v>
      </c>
      <c r="B247" t="s">
        <v>369</v>
      </c>
      <c r="C247" t="s">
        <v>140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3">
      <c r="A248" t="s">
        <v>400</v>
      </c>
      <c r="B248" t="s">
        <v>369</v>
      </c>
      <c r="C248" t="s">
        <v>140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3">
      <c r="A249" t="s">
        <v>399</v>
      </c>
      <c r="B249" t="s">
        <v>369</v>
      </c>
      <c r="C249" t="s">
        <v>140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3">
      <c r="A250" t="s">
        <v>398</v>
      </c>
      <c r="B250" t="s">
        <v>369</v>
      </c>
      <c r="C250" t="s">
        <v>140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3">
      <c r="A251" t="s">
        <v>397</v>
      </c>
      <c r="B251" t="s">
        <v>369</v>
      </c>
      <c r="C251" t="s">
        <v>140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3">
      <c r="A252" t="s">
        <v>396</v>
      </c>
      <c r="B252" t="s">
        <v>369</v>
      </c>
      <c r="C252" t="s">
        <v>140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3">
      <c r="A253" t="s">
        <v>395</v>
      </c>
      <c r="B253" t="s">
        <v>369</v>
      </c>
      <c r="C253" t="s">
        <v>140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3">
      <c r="A254" t="s">
        <v>394</v>
      </c>
      <c r="B254" t="s">
        <v>369</v>
      </c>
      <c r="C254" t="s">
        <v>140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3">
      <c r="A255" t="s">
        <v>393</v>
      </c>
      <c r="B255" t="s">
        <v>369</v>
      </c>
      <c r="C255" t="s">
        <v>140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3">
      <c r="A256" t="s">
        <v>392</v>
      </c>
      <c r="B256" t="s">
        <v>369</v>
      </c>
      <c r="C256" t="s">
        <v>140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3">
      <c r="A257" t="s">
        <v>390</v>
      </c>
      <c r="B257" t="s">
        <v>369</v>
      </c>
      <c r="C257" t="s">
        <v>140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3">
      <c r="A258" t="s">
        <v>391</v>
      </c>
      <c r="B258" t="s">
        <v>369</v>
      </c>
      <c r="C258" t="s">
        <v>140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3">
      <c r="A259" t="s">
        <v>390</v>
      </c>
      <c r="B259" t="s">
        <v>369</v>
      </c>
      <c r="C259" t="s">
        <v>140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3">
      <c r="A260" t="s">
        <v>389</v>
      </c>
      <c r="B260" t="s">
        <v>369</v>
      </c>
      <c r="C260" t="s">
        <v>140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3">
      <c r="A261" t="s">
        <v>388</v>
      </c>
      <c r="B261" t="s">
        <v>369</v>
      </c>
      <c r="C261" t="s">
        <v>140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3">
      <c r="A262" t="s">
        <v>387</v>
      </c>
      <c r="B262" t="s">
        <v>369</v>
      </c>
      <c r="C262" t="s">
        <v>140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3">
      <c r="A263" t="s">
        <v>386</v>
      </c>
      <c r="B263" t="s">
        <v>369</v>
      </c>
      <c r="C263" t="s">
        <v>140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3">
      <c r="A264" t="s">
        <v>385</v>
      </c>
      <c r="B264" t="s">
        <v>369</v>
      </c>
      <c r="C264" t="s">
        <v>140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3">
      <c r="A265" t="s">
        <v>384</v>
      </c>
      <c r="B265" t="s">
        <v>369</v>
      </c>
      <c r="C265" t="s">
        <v>140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3">
      <c r="A266" t="s">
        <v>383</v>
      </c>
      <c r="B266" t="s">
        <v>369</v>
      </c>
      <c r="C266" t="s">
        <v>140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3">
      <c r="A267" t="s">
        <v>382</v>
      </c>
      <c r="B267" t="s">
        <v>369</v>
      </c>
      <c r="C267" t="s">
        <v>140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3">
      <c r="A268" t="s">
        <v>381</v>
      </c>
      <c r="B268" t="s">
        <v>369</v>
      </c>
      <c r="C268" t="s">
        <v>140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3">
      <c r="A269" t="s">
        <v>380</v>
      </c>
      <c r="B269" t="s">
        <v>369</v>
      </c>
      <c r="C269" t="s">
        <v>140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3">
      <c r="A270" t="s">
        <v>379</v>
      </c>
      <c r="B270" t="s">
        <v>369</v>
      </c>
      <c r="C270" t="s">
        <v>140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3">
      <c r="A271" t="s">
        <v>378</v>
      </c>
      <c r="B271" t="s">
        <v>369</v>
      </c>
      <c r="C271" t="s">
        <v>140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3">
      <c r="A272" t="s">
        <v>377</v>
      </c>
      <c r="B272" t="s">
        <v>369</v>
      </c>
      <c r="C272" t="s">
        <v>140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3">
      <c r="A273" t="s">
        <v>376</v>
      </c>
      <c r="B273" t="s">
        <v>369</v>
      </c>
      <c r="C273" t="s">
        <v>140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3">
      <c r="A274" t="s">
        <v>375</v>
      </c>
      <c r="B274" t="s">
        <v>369</v>
      </c>
      <c r="C274" t="s">
        <v>368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3">
      <c r="A275" t="s">
        <v>374</v>
      </c>
      <c r="B275" t="s">
        <v>369</v>
      </c>
      <c r="C275" t="s">
        <v>368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3">
      <c r="A276" t="s">
        <v>373</v>
      </c>
      <c r="B276" t="s">
        <v>369</v>
      </c>
      <c r="C276" t="s">
        <v>368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3">
      <c r="A277" t="s">
        <v>368</v>
      </c>
      <c r="B277" t="s">
        <v>369</v>
      </c>
      <c r="C277" t="s">
        <v>368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3">
      <c r="A278" t="s">
        <v>372</v>
      </c>
      <c r="B278" t="s">
        <v>369</v>
      </c>
      <c r="C278" t="s">
        <v>368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3">
      <c r="A279" t="s">
        <v>370</v>
      </c>
      <c r="B279" t="s">
        <v>369</v>
      </c>
      <c r="C279" t="s">
        <v>368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3">
      <c r="A280" t="s">
        <v>368</v>
      </c>
      <c r="B280" t="s">
        <v>369</v>
      </c>
      <c r="C280" t="s">
        <v>368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3">
      <c r="A281" t="s">
        <v>371</v>
      </c>
      <c r="B281" t="s">
        <v>369</v>
      </c>
      <c r="C281" t="s">
        <v>368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3">
      <c r="A282" t="s">
        <v>370</v>
      </c>
      <c r="B282" t="s">
        <v>369</v>
      </c>
      <c r="C282" t="s">
        <v>368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3">
      <c r="A283" t="s">
        <v>368</v>
      </c>
      <c r="B283" t="s">
        <v>369</v>
      </c>
      <c r="C283" t="s">
        <v>368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3">
      <c r="A284" t="s">
        <v>367</v>
      </c>
      <c r="B284" t="s">
        <v>152</v>
      </c>
      <c r="C284" t="s">
        <v>152</v>
      </c>
      <c r="D284">
        <v>5026</v>
      </c>
      <c r="AC284">
        <v>1</v>
      </c>
      <c r="AD284">
        <v>1</v>
      </c>
      <c r="AH284">
        <v>400</v>
      </c>
    </row>
    <row r="285" spans="1:35" x14ac:dyDescent="0.3">
      <c r="A285" t="s">
        <v>366</v>
      </c>
      <c r="B285" t="s">
        <v>152</v>
      </c>
      <c r="C285" t="s">
        <v>152</v>
      </c>
      <c r="D285">
        <v>4052</v>
      </c>
      <c r="AC285">
        <v>1</v>
      </c>
      <c r="AD285">
        <v>1</v>
      </c>
      <c r="AH285">
        <v>400</v>
      </c>
    </row>
    <row r="286" spans="1:35" x14ac:dyDescent="0.3">
      <c r="A286" t="s">
        <v>365</v>
      </c>
      <c r="B286" t="s">
        <v>152</v>
      </c>
      <c r="C286" t="s">
        <v>152</v>
      </c>
      <c r="D286">
        <v>4133</v>
      </c>
      <c r="AC286">
        <v>1</v>
      </c>
      <c r="AD286">
        <v>1</v>
      </c>
      <c r="AH286">
        <v>400</v>
      </c>
    </row>
    <row r="287" spans="1:35" x14ac:dyDescent="0.3">
      <c r="A287" t="s">
        <v>152</v>
      </c>
      <c r="B287" t="s">
        <v>152</v>
      </c>
      <c r="C287" t="s">
        <v>152</v>
      </c>
      <c r="D287">
        <v>4400</v>
      </c>
      <c r="AC287">
        <v>1</v>
      </c>
      <c r="AD287">
        <v>1</v>
      </c>
      <c r="AH287">
        <v>400</v>
      </c>
    </row>
    <row r="288" spans="1:35" x14ac:dyDescent="0.3">
      <c r="A288" t="s">
        <v>364</v>
      </c>
      <c r="B288" t="s">
        <v>152</v>
      </c>
      <c r="C288" t="s">
        <v>152</v>
      </c>
      <c r="D288">
        <v>6401</v>
      </c>
      <c r="AC288">
        <v>1</v>
      </c>
      <c r="AD288">
        <v>3</v>
      </c>
      <c r="AH288">
        <v>400</v>
      </c>
    </row>
    <row r="289" spans="1:34" x14ac:dyDescent="0.3">
      <c r="A289" t="s">
        <v>363</v>
      </c>
      <c r="B289" t="s">
        <v>152</v>
      </c>
      <c r="C289" t="s">
        <v>152</v>
      </c>
      <c r="D289">
        <v>6402</v>
      </c>
      <c r="AC289">
        <v>1</v>
      </c>
      <c r="AD289">
        <v>2</v>
      </c>
      <c r="AH289">
        <v>400</v>
      </c>
    </row>
    <row r="290" spans="1:34" x14ac:dyDescent="0.3">
      <c r="A290" t="s">
        <v>360</v>
      </c>
      <c r="B290" t="s">
        <v>152</v>
      </c>
      <c r="C290" t="s">
        <v>152</v>
      </c>
      <c r="D290">
        <v>6403</v>
      </c>
      <c r="AC290">
        <v>1</v>
      </c>
      <c r="AD290">
        <v>1</v>
      </c>
      <c r="AH290">
        <v>400</v>
      </c>
    </row>
    <row r="291" spans="1:34" x14ac:dyDescent="0.3">
      <c r="A291" t="s">
        <v>362</v>
      </c>
      <c r="B291" t="s">
        <v>152</v>
      </c>
      <c r="C291" t="s">
        <v>152</v>
      </c>
      <c r="D291">
        <v>8401</v>
      </c>
      <c r="AC291">
        <v>1</v>
      </c>
      <c r="AD291">
        <v>3</v>
      </c>
      <c r="AH291">
        <v>400</v>
      </c>
    </row>
    <row r="292" spans="1:34" x14ac:dyDescent="0.3">
      <c r="A292" t="s">
        <v>361</v>
      </c>
      <c r="B292" t="s">
        <v>152</v>
      </c>
      <c r="C292" t="s">
        <v>152</v>
      </c>
      <c r="D292">
        <v>8402</v>
      </c>
      <c r="AC292">
        <v>1</v>
      </c>
      <c r="AD292">
        <v>2</v>
      </c>
      <c r="AH292">
        <v>400</v>
      </c>
    </row>
    <row r="293" spans="1:34" x14ac:dyDescent="0.3">
      <c r="A293" t="s">
        <v>360</v>
      </c>
      <c r="B293" t="s">
        <v>152</v>
      </c>
      <c r="C293" t="s">
        <v>152</v>
      </c>
      <c r="D293">
        <v>8403</v>
      </c>
      <c r="AC293">
        <v>1</v>
      </c>
      <c r="AD293">
        <v>1</v>
      </c>
      <c r="AH293">
        <v>400</v>
      </c>
    </row>
    <row r="294" spans="1:34" x14ac:dyDescent="0.3">
      <c r="A294" t="s">
        <v>359</v>
      </c>
      <c r="B294" t="s">
        <v>152</v>
      </c>
      <c r="C294" t="s">
        <v>152</v>
      </c>
      <c r="D294">
        <v>8404</v>
      </c>
      <c r="AC294">
        <v>1</v>
      </c>
      <c r="AD294">
        <v>1</v>
      </c>
      <c r="AH294">
        <v>400</v>
      </c>
    </row>
    <row r="295" spans="1:34" x14ac:dyDescent="0.3">
      <c r="A295" t="s">
        <v>358</v>
      </c>
      <c r="B295" t="s">
        <v>152</v>
      </c>
      <c r="C295" t="s">
        <v>339</v>
      </c>
      <c r="D295">
        <v>5027</v>
      </c>
      <c r="AC295">
        <v>0.5</v>
      </c>
      <c r="AD295">
        <v>1</v>
      </c>
      <c r="AH295">
        <v>450</v>
      </c>
    </row>
    <row r="296" spans="1:34" x14ac:dyDescent="0.3">
      <c r="A296" t="s">
        <v>357</v>
      </c>
      <c r="B296" t="s">
        <v>152</v>
      </c>
      <c r="C296" t="s">
        <v>339</v>
      </c>
      <c r="D296">
        <v>4022</v>
      </c>
      <c r="AC296">
        <v>0.5</v>
      </c>
      <c r="AD296">
        <v>1</v>
      </c>
      <c r="AH296">
        <v>450</v>
      </c>
    </row>
    <row r="297" spans="1:34" x14ac:dyDescent="0.3">
      <c r="A297" t="s">
        <v>356</v>
      </c>
      <c r="B297" t="s">
        <v>152</v>
      </c>
      <c r="C297" t="s">
        <v>339</v>
      </c>
      <c r="D297">
        <v>4023</v>
      </c>
      <c r="AC297">
        <v>0.5</v>
      </c>
      <c r="AD297">
        <v>1</v>
      </c>
      <c r="AH297">
        <v>450</v>
      </c>
    </row>
    <row r="298" spans="1:34" x14ac:dyDescent="0.3">
      <c r="A298" t="s">
        <v>339</v>
      </c>
      <c r="B298" t="s">
        <v>152</v>
      </c>
      <c r="C298" t="s">
        <v>339</v>
      </c>
      <c r="D298">
        <v>4450</v>
      </c>
      <c r="AC298">
        <v>0.5</v>
      </c>
      <c r="AD298">
        <v>2</v>
      </c>
      <c r="AH298">
        <v>450</v>
      </c>
    </row>
    <row r="299" spans="1:34" x14ac:dyDescent="0.3">
      <c r="A299" t="s">
        <v>355</v>
      </c>
      <c r="B299" t="s">
        <v>152</v>
      </c>
      <c r="C299" t="s">
        <v>339</v>
      </c>
      <c r="D299">
        <v>6451</v>
      </c>
      <c r="AC299">
        <v>0.5</v>
      </c>
      <c r="AD299">
        <v>3</v>
      </c>
      <c r="AH299">
        <v>450</v>
      </c>
    </row>
    <row r="300" spans="1:34" x14ac:dyDescent="0.3">
      <c r="A300" t="s">
        <v>354</v>
      </c>
      <c r="B300" t="s">
        <v>152</v>
      </c>
      <c r="C300" t="s">
        <v>339</v>
      </c>
      <c r="D300">
        <v>6452</v>
      </c>
      <c r="AC300">
        <v>0.5</v>
      </c>
      <c r="AD300">
        <v>2</v>
      </c>
      <c r="AH300">
        <v>450</v>
      </c>
    </row>
    <row r="301" spans="1:34" x14ac:dyDescent="0.3">
      <c r="A301" t="s">
        <v>346</v>
      </c>
      <c r="B301" t="s">
        <v>152</v>
      </c>
      <c r="C301" t="s">
        <v>339</v>
      </c>
      <c r="D301">
        <v>6453</v>
      </c>
      <c r="AC301">
        <v>0.5</v>
      </c>
      <c r="AD301">
        <v>1</v>
      </c>
      <c r="AH301">
        <v>450</v>
      </c>
    </row>
    <row r="302" spans="1:34" x14ac:dyDescent="0.3">
      <c r="A302" t="s">
        <v>353</v>
      </c>
      <c r="B302" t="s">
        <v>152</v>
      </c>
      <c r="C302" t="s">
        <v>339</v>
      </c>
      <c r="D302">
        <v>6454</v>
      </c>
      <c r="AC302">
        <v>0.6</v>
      </c>
      <c r="AD302">
        <v>1</v>
      </c>
      <c r="AH302">
        <v>450</v>
      </c>
    </row>
    <row r="303" spans="1:34" x14ac:dyDescent="0.3">
      <c r="A303" t="s">
        <v>352</v>
      </c>
      <c r="B303" t="s">
        <v>152</v>
      </c>
      <c r="C303" t="s">
        <v>339</v>
      </c>
      <c r="D303">
        <v>6455</v>
      </c>
      <c r="AC303">
        <v>0.5</v>
      </c>
      <c r="AD303">
        <v>2</v>
      </c>
      <c r="AH303">
        <v>450</v>
      </c>
    </row>
    <row r="304" spans="1:34" x14ac:dyDescent="0.3">
      <c r="A304" t="s">
        <v>351</v>
      </c>
      <c r="B304" t="s">
        <v>152</v>
      </c>
      <c r="C304" t="s">
        <v>339</v>
      </c>
      <c r="D304">
        <v>6456</v>
      </c>
      <c r="AC304">
        <v>0.6</v>
      </c>
      <c r="AD304">
        <v>2</v>
      </c>
      <c r="AH304">
        <v>450</v>
      </c>
    </row>
    <row r="305" spans="1:36" x14ac:dyDescent="0.3">
      <c r="A305" t="s">
        <v>350</v>
      </c>
      <c r="B305" t="s">
        <v>152</v>
      </c>
      <c r="C305" t="s">
        <v>339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3">
      <c r="A306" t="s">
        <v>349</v>
      </c>
      <c r="B306" t="s">
        <v>152</v>
      </c>
      <c r="C306" t="s">
        <v>339</v>
      </c>
      <c r="D306">
        <v>8451</v>
      </c>
      <c r="AC306">
        <v>0.5</v>
      </c>
      <c r="AD306">
        <v>3</v>
      </c>
      <c r="AH306">
        <v>450</v>
      </c>
    </row>
    <row r="307" spans="1:36" x14ac:dyDescent="0.3">
      <c r="A307" t="s">
        <v>348</v>
      </c>
      <c r="B307" t="s">
        <v>152</v>
      </c>
      <c r="C307" t="s">
        <v>339</v>
      </c>
      <c r="D307">
        <v>8452</v>
      </c>
      <c r="AC307">
        <v>0.5</v>
      </c>
      <c r="AD307">
        <v>2</v>
      </c>
      <c r="AH307">
        <v>450</v>
      </c>
    </row>
    <row r="308" spans="1:36" x14ac:dyDescent="0.3">
      <c r="A308" t="s">
        <v>347</v>
      </c>
      <c r="B308" t="s">
        <v>152</v>
      </c>
      <c r="C308" t="s">
        <v>339</v>
      </c>
      <c r="D308">
        <v>8454</v>
      </c>
      <c r="AC308">
        <v>0.6</v>
      </c>
      <c r="AD308">
        <v>1</v>
      </c>
      <c r="AH308">
        <v>450</v>
      </c>
    </row>
    <row r="309" spans="1:36" x14ac:dyDescent="0.3">
      <c r="A309" t="s">
        <v>346</v>
      </c>
      <c r="B309" t="s">
        <v>152</v>
      </c>
      <c r="C309" t="s">
        <v>339</v>
      </c>
      <c r="D309">
        <v>8455</v>
      </c>
      <c r="AC309">
        <v>0.5</v>
      </c>
      <c r="AD309">
        <v>1</v>
      </c>
      <c r="AH309">
        <v>450</v>
      </c>
    </row>
    <row r="310" spans="1:36" x14ac:dyDescent="0.3">
      <c r="A310" t="s">
        <v>345</v>
      </c>
      <c r="B310" t="s">
        <v>152</v>
      </c>
      <c r="C310" t="s">
        <v>339</v>
      </c>
      <c r="D310">
        <v>8456</v>
      </c>
      <c r="AC310">
        <v>0.6</v>
      </c>
      <c r="AD310">
        <v>2</v>
      </c>
      <c r="AH310">
        <v>450</v>
      </c>
    </row>
    <row r="311" spans="1:36" x14ac:dyDescent="0.3">
      <c r="A311" t="s">
        <v>344</v>
      </c>
      <c r="B311" t="s">
        <v>152</v>
      </c>
      <c r="C311" t="s">
        <v>339</v>
      </c>
      <c r="D311">
        <v>8457</v>
      </c>
      <c r="AC311">
        <v>0.5</v>
      </c>
      <c r="AD311">
        <v>2</v>
      </c>
      <c r="AH311">
        <v>450</v>
      </c>
    </row>
    <row r="312" spans="1:36" x14ac:dyDescent="0.3">
      <c r="A312" t="s">
        <v>343</v>
      </c>
      <c r="B312" t="s">
        <v>152</v>
      </c>
      <c r="C312" t="s">
        <v>339</v>
      </c>
      <c r="D312">
        <v>8458</v>
      </c>
      <c r="AC312">
        <v>0.6</v>
      </c>
      <c r="AD312">
        <v>3</v>
      </c>
      <c r="AH312">
        <v>450</v>
      </c>
    </row>
    <row r="313" spans="1:36" x14ac:dyDescent="0.3">
      <c r="A313" t="s">
        <v>342</v>
      </c>
      <c r="B313" t="s">
        <v>152</v>
      </c>
      <c r="C313" t="s">
        <v>339</v>
      </c>
      <c r="D313">
        <v>8459</v>
      </c>
      <c r="AC313">
        <v>0.5</v>
      </c>
      <c r="AD313">
        <v>3</v>
      </c>
      <c r="AH313">
        <v>450</v>
      </c>
    </row>
    <row r="314" spans="1:36" x14ac:dyDescent="0.3">
      <c r="A314" t="s">
        <v>341</v>
      </c>
      <c r="B314" t="s">
        <v>152</v>
      </c>
      <c r="C314" t="s">
        <v>339</v>
      </c>
      <c r="D314">
        <v>3026</v>
      </c>
      <c r="AC314">
        <v>0.5</v>
      </c>
      <c r="AD314">
        <v>1</v>
      </c>
      <c r="AH314">
        <v>450</v>
      </c>
    </row>
    <row r="315" spans="1:36" x14ac:dyDescent="0.3">
      <c r="A315" t="s">
        <v>340</v>
      </c>
      <c r="B315" t="s">
        <v>152</v>
      </c>
      <c r="C315" t="s">
        <v>339</v>
      </c>
      <c r="D315">
        <v>3050</v>
      </c>
      <c r="AC315">
        <v>0.5</v>
      </c>
      <c r="AD315">
        <v>1</v>
      </c>
      <c r="AH315">
        <v>450</v>
      </c>
    </row>
    <row r="316" spans="1:36" x14ac:dyDescent="0.3">
      <c r="A316" t="s">
        <v>338</v>
      </c>
      <c r="B316" t="s">
        <v>252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3">
      <c r="A317" t="s">
        <v>337</v>
      </c>
      <c r="B317" t="s">
        <v>252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3">
      <c r="A318" t="s">
        <v>336</v>
      </c>
      <c r="B318" t="s">
        <v>252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3">
      <c r="A319" t="s">
        <v>335</v>
      </c>
      <c r="B319" t="s">
        <v>252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3">
      <c r="A320" t="s">
        <v>334</v>
      </c>
      <c r="B320" t="s">
        <v>252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3">
      <c r="A321" t="s">
        <v>333</v>
      </c>
      <c r="B321" t="s">
        <v>252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3">
      <c r="A322" t="s">
        <v>332</v>
      </c>
      <c r="B322" t="s">
        <v>252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3">
      <c r="A323" t="s">
        <v>331</v>
      </c>
      <c r="B323" t="s">
        <v>252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3">
      <c r="A324" t="s">
        <v>330</v>
      </c>
      <c r="B324" t="s">
        <v>252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3">
      <c r="A325" t="s">
        <v>329</v>
      </c>
      <c r="B325" t="s">
        <v>252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3">
      <c r="A326" t="s">
        <v>328</v>
      </c>
      <c r="B326" t="s">
        <v>252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3">
      <c r="A327" t="s">
        <v>327</v>
      </c>
      <c r="B327" t="s">
        <v>252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3">
      <c r="A328" t="s">
        <v>326</v>
      </c>
      <c r="B328" t="s">
        <v>252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3">
      <c r="A329" t="s">
        <v>325</v>
      </c>
      <c r="B329" t="s">
        <v>252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3">
      <c r="A330" t="s">
        <v>324</v>
      </c>
      <c r="B330" t="s">
        <v>252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3">
      <c r="A331" t="s">
        <v>323</v>
      </c>
      <c r="B331" t="s">
        <v>252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3">
      <c r="A332" t="s">
        <v>322</v>
      </c>
      <c r="B332" t="s">
        <v>252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3">
      <c r="A333" t="s">
        <v>321</v>
      </c>
      <c r="B333" t="s">
        <v>252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3">
      <c r="A334" t="s">
        <v>320</v>
      </c>
      <c r="B334" t="s">
        <v>252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3">
      <c r="A335" t="s">
        <v>319</v>
      </c>
      <c r="B335" t="s">
        <v>252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3">
      <c r="A336" t="s">
        <v>2</v>
      </c>
      <c r="B336" t="s">
        <v>252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3">
      <c r="A337" t="s">
        <v>318</v>
      </c>
      <c r="B337" t="s">
        <v>252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3">
      <c r="A338" t="s">
        <v>317</v>
      </c>
      <c r="B338" t="s">
        <v>252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3">
      <c r="A339" t="s">
        <v>316</v>
      </c>
      <c r="B339" t="s">
        <v>252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3">
      <c r="A340" t="s">
        <v>315</v>
      </c>
      <c r="B340" t="s">
        <v>252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3">
      <c r="A341" t="s">
        <v>314</v>
      </c>
      <c r="B341" t="s">
        <v>252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3">
      <c r="A342" t="s">
        <v>313</v>
      </c>
      <c r="B342" t="s">
        <v>252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3">
      <c r="A343" t="s">
        <v>312</v>
      </c>
      <c r="B343" t="s">
        <v>252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3">
      <c r="A344" t="s">
        <v>311</v>
      </c>
      <c r="B344" t="s">
        <v>252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3">
      <c r="A345" t="s">
        <v>310</v>
      </c>
      <c r="B345" t="s">
        <v>252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3">
      <c r="A346" t="s">
        <v>309</v>
      </c>
      <c r="B346" t="s">
        <v>252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3">
      <c r="A347" t="s">
        <v>296</v>
      </c>
      <c r="B347" t="s">
        <v>252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3">
      <c r="A348" t="s">
        <v>308</v>
      </c>
      <c r="B348" t="s">
        <v>252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3">
      <c r="A349" t="s">
        <v>307</v>
      </c>
      <c r="B349" t="s">
        <v>252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3">
      <c r="A350" t="s">
        <v>295</v>
      </c>
      <c r="B350" t="s">
        <v>252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4" customFormat="1" x14ac:dyDescent="0.3">
      <c r="A351" s="134" t="s">
        <v>306</v>
      </c>
      <c r="B351" s="134" t="s">
        <v>252</v>
      </c>
      <c r="C351" s="134" t="s">
        <v>2</v>
      </c>
      <c r="D351" s="134">
        <v>2111</v>
      </c>
      <c r="E351" s="134">
        <v>25</v>
      </c>
      <c r="F351" s="134">
        <v>0.88</v>
      </c>
      <c r="G351" s="134">
        <v>0</v>
      </c>
      <c r="H351" s="134">
        <v>1.7</v>
      </c>
      <c r="I351" s="134">
        <v>2.5</v>
      </c>
      <c r="J351" s="134">
        <v>3.5</v>
      </c>
      <c r="K351" s="134">
        <v>11</v>
      </c>
      <c r="L351" s="134">
        <v>0.1</v>
      </c>
      <c r="M351" s="134">
        <v>1</v>
      </c>
      <c r="N351" s="134">
        <v>0.17</v>
      </c>
      <c r="O351" s="134">
        <v>2.2000000000000002</v>
      </c>
      <c r="P351" s="134">
        <v>25</v>
      </c>
      <c r="S351" s="134">
        <v>3.5</v>
      </c>
      <c r="T351" s="134">
        <v>0.7</v>
      </c>
      <c r="U351" s="134">
        <v>0</v>
      </c>
      <c r="V351" s="134">
        <v>2.5</v>
      </c>
      <c r="W351" s="134">
        <v>1.9</v>
      </c>
      <c r="X351" s="134">
        <v>0.2</v>
      </c>
      <c r="Y351" s="134">
        <v>0.17</v>
      </c>
      <c r="Z351" s="134">
        <v>0.3</v>
      </c>
      <c r="AB351" s="134">
        <v>3</v>
      </c>
      <c r="AE351" s="134">
        <v>3.5</v>
      </c>
      <c r="AH351" s="134">
        <v>100</v>
      </c>
      <c r="AJ351" s="134">
        <v>0</v>
      </c>
    </row>
    <row r="352" spans="1:36" x14ac:dyDescent="0.3">
      <c r="A352" t="s">
        <v>305</v>
      </c>
      <c r="B352" t="s">
        <v>252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3">
      <c r="A353" t="s">
        <v>304</v>
      </c>
      <c r="B353" t="s">
        <v>252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3">
      <c r="A354" t="s">
        <v>303</v>
      </c>
      <c r="B354" t="s">
        <v>252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3">
      <c r="A355" t="s">
        <v>302</v>
      </c>
      <c r="B355" t="s">
        <v>252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3">
      <c r="A356" t="s">
        <v>301</v>
      </c>
      <c r="B356" t="s">
        <v>252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3">
      <c r="A357" t="s">
        <v>300</v>
      </c>
      <c r="B357" t="s">
        <v>252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3">
      <c r="A358" t="s">
        <v>291</v>
      </c>
      <c r="B358" t="s">
        <v>252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3">
      <c r="A359" t="s">
        <v>292</v>
      </c>
      <c r="B359" t="s">
        <v>252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3">
      <c r="A360" t="s">
        <v>260</v>
      </c>
      <c r="B360" t="s">
        <v>252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3">
      <c r="A361" t="s">
        <v>299</v>
      </c>
      <c r="B361" t="s">
        <v>252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3">
      <c r="A362" t="s">
        <v>290</v>
      </c>
      <c r="B362" t="s">
        <v>252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3">
      <c r="A363" t="s">
        <v>298</v>
      </c>
      <c r="B363" t="s">
        <v>252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3">
      <c r="A364" t="s">
        <v>297</v>
      </c>
      <c r="B364" t="s">
        <v>252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3">
      <c r="A365" t="s">
        <v>296</v>
      </c>
      <c r="B365" t="s">
        <v>252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3">
      <c r="A366" t="s">
        <v>295</v>
      </c>
      <c r="B366" t="s">
        <v>252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3">
      <c r="A367" t="s">
        <v>294</v>
      </c>
      <c r="B367" t="s">
        <v>252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3">
      <c r="A368" t="s">
        <v>293</v>
      </c>
      <c r="B368" t="s">
        <v>252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3">
      <c r="A369" t="s">
        <v>292</v>
      </c>
      <c r="B369" t="s">
        <v>252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3">
      <c r="A370" t="s">
        <v>291</v>
      </c>
      <c r="B370" t="s">
        <v>252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3">
      <c r="A371" t="s">
        <v>290</v>
      </c>
      <c r="B371" t="s">
        <v>252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3">
      <c r="A372" t="s">
        <v>289</v>
      </c>
      <c r="B372" t="s">
        <v>252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3">
      <c r="A373" t="s">
        <v>288</v>
      </c>
      <c r="B373" t="s">
        <v>252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3">
      <c r="A374" t="s">
        <v>287</v>
      </c>
      <c r="B374" t="s">
        <v>252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3">
      <c r="A375" t="s">
        <v>286</v>
      </c>
      <c r="B375" t="s">
        <v>252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3">
      <c r="A376" t="s">
        <v>285</v>
      </c>
      <c r="B376" t="s">
        <v>252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3">
      <c r="A377" t="s">
        <v>284</v>
      </c>
      <c r="B377" t="s">
        <v>252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3">
      <c r="A378" t="s">
        <v>283</v>
      </c>
      <c r="B378" t="s">
        <v>252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3">
      <c r="A379" t="s">
        <v>282</v>
      </c>
      <c r="B379" t="s">
        <v>252</v>
      </c>
      <c r="C379" t="s">
        <v>251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3">
      <c r="A380" t="s">
        <v>281</v>
      </c>
      <c r="B380" t="s">
        <v>252</v>
      </c>
      <c r="C380" t="s">
        <v>251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3">
      <c r="A381" t="s">
        <v>280</v>
      </c>
      <c r="B381" t="s">
        <v>252</v>
      </c>
      <c r="C381" t="s">
        <v>251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3">
      <c r="A382" t="s">
        <v>279</v>
      </c>
      <c r="B382" t="s">
        <v>252</v>
      </c>
      <c r="C382" t="s">
        <v>251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3">
      <c r="A383" t="s">
        <v>278</v>
      </c>
      <c r="B383" t="s">
        <v>252</v>
      </c>
      <c r="C383" t="s">
        <v>251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3">
      <c r="A384" t="s">
        <v>277</v>
      </c>
      <c r="B384" t="s">
        <v>252</v>
      </c>
      <c r="C384" t="s">
        <v>251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3">
      <c r="A385" t="s">
        <v>276</v>
      </c>
      <c r="B385" t="s">
        <v>252</v>
      </c>
      <c r="C385" t="s">
        <v>251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3">
      <c r="A386" t="s">
        <v>275</v>
      </c>
      <c r="B386" t="s">
        <v>252</v>
      </c>
      <c r="C386" t="s">
        <v>251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3">
      <c r="A387" t="s">
        <v>274</v>
      </c>
      <c r="B387" t="s">
        <v>252</v>
      </c>
      <c r="C387" t="s">
        <v>251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3">
      <c r="A388" t="s">
        <v>273</v>
      </c>
      <c r="B388" t="s">
        <v>252</v>
      </c>
      <c r="C388" t="s">
        <v>251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3">
      <c r="A389" t="s">
        <v>251</v>
      </c>
      <c r="B389" t="s">
        <v>252</v>
      </c>
      <c r="C389" t="s">
        <v>251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3">
      <c r="A390" t="s">
        <v>272</v>
      </c>
      <c r="B390" t="s">
        <v>252</v>
      </c>
      <c r="C390" t="s">
        <v>251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3">
      <c r="A391" t="s">
        <v>271</v>
      </c>
      <c r="B391" t="s">
        <v>252</v>
      </c>
      <c r="C391" t="s">
        <v>251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3">
      <c r="A392" t="s">
        <v>262</v>
      </c>
      <c r="B392" t="s">
        <v>252</v>
      </c>
      <c r="C392" t="s">
        <v>251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3">
      <c r="A393" t="s">
        <v>261</v>
      </c>
      <c r="B393" t="s">
        <v>252</v>
      </c>
      <c r="C393" t="s">
        <v>251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3">
      <c r="A394" t="s">
        <v>270</v>
      </c>
      <c r="B394" t="s">
        <v>252</v>
      </c>
      <c r="C394" t="s">
        <v>251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3">
      <c r="A395" t="s">
        <v>269</v>
      </c>
      <c r="B395" t="s">
        <v>252</v>
      </c>
      <c r="C395" t="s">
        <v>251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3">
      <c r="A396" t="s">
        <v>268</v>
      </c>
      <c r="B396" t="s">
        <v>252</v>
      </c>
      <c r="C396" t="s">
        <v>251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3">
      <c r="A397" t="s">
        <v>256</v>
      </c>
      <c r="B397" t="s">
        <v>252</v>
      </c>
      <c r="C397" t="s">
        <v>251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3">
      <c r="A398" t="s">
        <v>255</v>
      </c>
      <c r="B398" t="s">
        <v>252</v>
      </c>
      <c r="C398" t="s">
        <v>251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3">
      <c r="A399" t="s">
        <v>267</v>
      </c>
      <c r="B399" t="s">
        <v>252</v>
      </c>
      <c r="C399" t="s">
        <v>251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3">
      <c r="A400" t="s">
        <v>259</v>
      </c>
      <c r="B400" t="s">
        <v>252</v>
      </c>
      <c r="C400" t="s">
        <v>251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3">
      <c r="A401" t="s">
        <v>266</v>
      </c>
      <c r="B401" t="s">
        <v>252</v>
      </c>
      <c r="C401" t="s">
        <v>251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3">
      <c r="A402" t="s">
        <v>265</v>
      </c>
      <c r="B402" t="s">
        <v>252</v>
      </c>
      <c r="C402" t="s">
        <v>251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3">
      <c r="A403" t="s">
        <v>254</v>
      </c>
      <c r="B403" t="s">
        <v>252</v>
      </c>
      <c r="C403" t="s">
        <v>251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3">
      <c r="A404" t="s">
        <v>264</v>
      </c>
      <c r="B404" t="s">
        <v>252</v>
      </c>
      <c r="C404" t="s">
        <v>251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3">
      <c r="A405" t="s">
        <v>263</v>
      </c>
      <c r="B405" t="s">
        <v>252</v>
      </c>
      <c r="C405" t="s">
        <v>251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3">
      <c r="A406" t="s">
        <v>262</v>
      </c>
      <c r="B406" t="s">
        <v>252</v>
      </c>
      <c r="C406" t="s">
        <v>251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3">
      <c r="A407" t="s">
        <v>261</v>
      </c>
      <c r="B407" t="s">
        <v>252</v>
      </c>
      <c r="C407" t="s">
        <v>251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3">
      <c r="A408" t="s">
        <v>260</v>
      </c>
      <c r="B408" t="s">
        <v>252</v>
      </c>
      <c r="C408" t="s">
        <v>251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3">
      <c r="A409" t="s">
        <v>259</v>
      </c>
      <c r="B409" t="s">
        <v>252</v>
      </c>
      <c r="C409" t="s">
        <v>251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3">
      <c r="A410" t="s">
        <v>258</v>
      </c>
      <c r="B410" t="s">
        <v>252</v>
      </c>
      <c r="C410" t="s">
        <v>251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3">
      <c r="A411" t="s">
        <v>257</v>
      </c>
      <c r="B411" t="s">
        <v>252</v>
      </c>
      <c r="C411" t="s">
        <v>251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3">
      <c r="A412" t="s">
        <v>256</v>
      </c>
      <c r="B412" t="s">
        <v>252</v>
      </c>
      <c r="C412" t="s">
        <v>251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3">
      <c r="A413" t="s">
        <v>255</v>
      </c>
      <c r="B413" t="s">
        <v>252</v>
      </c>
      <c r="C413" t="s">
        <v>251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3">
      <c r="A414" t="s">
        <v>254</v>
      </c>
      <c r="B414" t="s">
        <v>252</v>
      </c>
      <c r="C414" t="s">
        <v>251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3">
      <c r="A415" t="s">
        <v>253</v>
      </c>
      <c r="B415" t="s">
        <v>252</v>
      </c>
      <c r="C415" t="s">
        <v>251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61</vt:i4>
      </vt:variant>
    </vt:vector>
  </HeadingPairs>
  <TitlesOfParts>
    <vt:vector size="64" baseType="lpstr">
      <vt:lpstr>AFDRS</vt:lpstr>
      <vt:lpstr>models_tables</vt:lpstr>
      <vt:lpstr>models_fuel_paramss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productivity_spinifex</vt:lpstr>
      <vt:lpstr>rain_heath</vt:lpstr>
      <vt:lpstr>rain_mallee</vt:lpstr>
      <vt:lpstr>rain_spinifex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2022-12-02T22:29:55Z</dcterms:modified>
</cp:coreProperties>
</file>