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defaultThemeVersion="164011"/>
  <bookViews>
    <workbookView xWindow="0" yWindow="0" windowWidth="30720" windowHeight="13512"/>
  </bookViews>
  <sheets>
    <sheet name="AFDRS" sheetId="1" r:id="rId1"/>
    <sheet name="tables" sheetId="3" state="hidden" r:id="rId2"/>
  </sheets>
  <functionGroups builtInGroupCount="18"/>
  <definedNames>
    <definedName name="curing">AFDRS!$N$4</definedName>
    <definedName name="FBI_forest">AFDRS!$G$15:$G$1048576</definedName>
    <definedName name="ffh_e" comment="forest fuel height elevated">AFDRS!$H$11</definedName>
    <definedName name="ffh_o" comment="forest fuel height canopy (overstorey)">AFDRS!$H$12</definedName>
    <definedName name="ffl_b" comment="forest fuel load bark">AFDRS!$I$7</definedName>
    <definedName name="ffl_e" comment="forest fuel load elevated">AFDRS!$I$6</definedName>
    <definedName name="ffl_ns" comment="forest fuel load near surface">AFDRS!$I$5</definedName>
    <definedName name="ffl_o" comment="forest fuel load canopy (overstorey)">AFDRS!$I$8</definedName>
    <definedName name="ffl_s" comment="forest fuel load surface">AFDRS!$I$4</definedName>
    <definedName name="fh_ns">AFDRS!$H$10</definedName>
    <definedName name="fhs_ns">AFDRS!$H$5</definedName>
    <definedName name="fhs_s">AFDRS!$H$4</definedName>
    <definedName name="fl_grass">AFDRS!$O$3</definedName>
    <definedName name="Outputs">AFDRS!$G$15:$Q$15</definedName>
    <definedName name="start_date">AFDRS!$A$15</definedName>
    <definedName name="state_grass">AFDRS!$N$3</definedName>
    <definedName name="WAF">AFDRS!$H$2</definedName>
    <definedName name="weather">AFDRS!$A$15:$F$1048576</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15" i="1" l="1"/>
  <c r="L15" i="1"/>
  <c r="H15" i="1"/>
  <c r="K15" i="1"/>
  <c r="N15" i="1"/>
  <c r="J15" i="1"/>
  <c r="I15" i="1"/>
  <c r="O15" i="1"/>
  <c r="M15" i="1" s="1"/>
  <c r="G15" i="1" l="1"/>
  <c r="P15" i="1"/>
</calcChain>
</file>

<file path=xl/sharedStrings.xml><?xml version="1.0" encoding="utf-8"?>
<sst xmlns="http://schemas.openxmlformats.org/spreadsheetml/2006/main" count="76" uniqueCount="63">
  <si>
    <t>Date
(dd-mm-yyyy)</t>
  </si>
  <si>
    <t>Temp
(°C)</t>
  </si>
  <si>
    <t>Relative Humidity
(%)</t>
  </si>
  <si>
    <t>Wind Speed
(10m km/h)</t>
  </si>
  <si>
    <t>Drought Factor</t>
  </si>
  <si>
    <t>Weather</t>
  </si>
  <si>
    <t>Forest</t>
  </si>
  <si>
    <t>WAF</t>
  </si>
  <si>
    <t>Time
(hh:mm)</t>
  </si>
  <si>
    <t>ROS
(m/h)</t>
  </si>
  <si>
    <t>Intensity
(kW/m)</t>
  </si>
  <si>
    <t>Flame Height
(m)</t>
  </si>
  <si>
    <t>Spotting Distance
(m)</t>
  </si>
  <si>
    <t>FMC
(%)</t>
  </si>
  <si>
    <t>Wind adjustment factor</t>
  </si>
  <si>
    <t>surface</t>
  </si>
  <si>
    <t>near surface</t>
  </si>
  <si>
    <t>elevated</t>
  </si>
  <si>
    <t>bark</t>
  </si>
  <si>
    <t>Fuel Height</t>
  </si>
  <si>
    <t>(cm)</t>
  </si>
  <si>
    <t>(m)</t>
  </si>
  <si>
    <t>Grass</t>
  </si>
  <si>
    <t>Grass State</t>
  </si>
  <si>
    <t>natural</t>
  </si>
  <si>
    <t>grazed</t>
  </si>
  <si>
    <t>eaten-out</t>
  </si>
  <si>
    <t>curing (%)</t>
  </si>
  <si>
    <t>FBI
grass</t>
  </si>
  <si>
    <t>FBI
forest</t>
  </si>
  <si>
    <t xml:space="preserve"> Fine Fuel Load t/ha</t>
  </si>
  <si>
    <t>canopy</t>
  </si>
  <si>
    <t>state</t>
  </si>
  <si>
    <t>Instructions</t>
  </si>
  <si>
    <t>Use inputs are light colored cells</t>
  </si>
  <si>
    <t>Darker cells are locked to protect formulae</t>
  </si>
  <si>
    <t>If using copy and paste, right click and choose 'Paste Values'</t>
  </si>
  <si>
    <t>U_10</t>
  </si>
  <si>
    <t>temp</t>
  </si>
  <si>
    <t>to contribute to testing please use the development version (no date suffix) in the repository</t>
  </si>
  <si>
    <t>https://github.com/Geoffysicist/PyroXL</t>
  </si>
  <si>
    <t>Default values</t>
  </si>
  <si>
    <t>Heath overstorey</t>
  </si>
  <si>
    <t>overstorey</t>
  </si>
  <si>
    <t>WRF</t>
  </si>
  <si>
    <t>elevated fuel height (m)</t>
  </si>
  <si>
    <t>parameter</t>
  </si>
  <si>
    <t>value</t>
  </si>
  <si>
    <t>model</t>
  </si>
  <si>
    <t>heath</t>
  </si>
  <si>
    <t>h_el</t>
  </si>
  <si>
    <t>description</t>
  </si>
  <si>
    <t>10 m wind speed (km/h)</t>
  </si>
  <si>
    <t>presence of woodland overstorey</t>
  </si>
  <si>
    <t>time since fire (y)</t>
  </si>
  <si>
    <t>tsf</t>
  </si>
  <si>
    <t>k</t>
  </si>
  <si>
    <t>fuel accumulation parameter</t>
  </si>
  <si>
    <t>fl_max</t>
  </si>
  <si>
    <t>steady state fuel load (t/ha)</t>
  </si>
  <si>
    <t>feedback and bug reports to fba@rfs.nsw.gov.au</t>
  </si>
  <si>
    <t xml:space="preserve">VESTA Hazard Score </t>
  </si>
  <si>
    <t>PLEASE READ DISCLAIMER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</si>
</sst>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dd\-mm\-yyyy"/>
    <numFmt numFmtId="165" formatCode="hh:mm"/>
    <numFmt numFmtId="166" formatCode="0.0"/>
  </numFmts>
  <fonts count="6" x14ac:knownFonts="1">
    <font>
      <sz val="11"/>
      <color theme="1"/>
      <name val="Calibri"/>
      <family val="2"/>
      <scheme val="minor"/>
    </font>
    <font>
      <b/>
      <sz val="11"/>
      <color theme="1"/>
      <name val="Calibri"/>
      <family val="2"/>
      <scheme val="minor"/>
    </font>
    <font>
      <b/>
      <sz val="14"/>
      <color theme="1"/>
      <name val="Calibri"/>
      <family val="2"/>
      <scheme val="minor"/>
    </font>
    <font>
      <sz val="9"/>
      <color theme="1"/>
      <name val="Calibri"/>
      <family val="2"/>
      <scheme val="minor"/>
    </font>
    <font>
      <u/>
      <sz val="11"/>
      <color theme="10"/>
      <name val="Calibri"/>
      <family val="2"/>
      <scheme val="minor"/>
    </font>
    <font>
      <sz val="11"/>
      <color rgb="FFFF0000"/>
      <name val="Calibri"/>
      <family val="2"/>
      <scheme val="minor"/>
    </font>
  </fonts>
  <fills count="8">
    <fill>
      <patternFill patternType="none"/>
    </fill>
    <fill>
      <patternFill patternType="gray125"/>
    </fill>
    <fill>
      <patternFill patternType="solid">
        <fgColor theme="4"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7" tint="0.79998168889431442"/>
        <bgColor indexed="64"/>
      </patternFill>
    </fill>
  </fills>
  <borders count="2">
    <border>
      <left/>
      <right/>
      <top/>
      <bottom/>
      <diagonal/>
    </border>
    <border>
      <left style="hair">
        <color auto="1"/>
      </left>
      <right style="hair">
        <color auto="1"/>
      </right>
      <top style="hair">
        <color auto="1"/>
      </top>
      <bottom style="hair">
        <color auto="1"/>
      </bottom>
      <diagonal/>
    </border>
  </borders>
  <cellStyleXfs count="2">
    <xf numFmtId="0" fontId="0" fillId="0" borderId="0"/>
    <xf numFmtId="0" fontId="4" fillId="0" borderId="0" applyNumberFormat="0" applyFill="0" applyBorder="0" applyAlignment="0" applyProtection="0"/>
  </cellStyleXfs>
  <cellXfs count="40">
    <xf numFmtId="0" fontId="0" fillId="0" borderId="0" xfId="0"/>
    <xf numFmtId="164" fontId="2" fillId="2" borderId="1" xfId="0" applyNumberFormat="1" applyFont="1" applyFill="1" applyBorder="1" applyProtection="1"/>
    <xf numFmtId="165" fontId="0" fillId="2" borderId="1" xfId="0" applyNumberFormat="1" applyFill="1" applyBorder="1" applyProtection="1"/>
    <xf numFmtId="0" fontId="0" fillId="2" borderId="1" xfId="0" applyFill="1" applyBorder="1" applyProtection="1"/>
    <xf numFmtId="0" fontId="2" fillId="5" borderId="1" xfId="0" applyFont="1" applyFill="1" applyBorder="1" applyProtection="1"/>
    <xf numFmtId="0" fontId="0" fillId="5" borderId="1" xfId="0" applyFill="1" applyBorder="1" applyProtection="1"/>
    <xf numFmtId="166" fontId="0" fillId="5" borderId="1" xfId="0" applyNumberFormat="1" applyFill="1" applyBorder="1" applyProtection="1"/>
    <xf numFmtId="0" fontId="2" fillId="6" borderId="1" xfId="0" applyFont="1" applyFill="1" applyBorder="1" applyProtection="1"/>
    <xf numFmtId="0" fontId="0" fillId="6" borderId="1" xfId="0" applyFill="1" applyBorder="1" applyProtection="1"/>
    <xf numFmtId="166" fontId="0" fillId="6" borderId="1" xfId="0" applyNumberFormat="1" applyFill="1" applyBorder="1" applyProtection="1"/>
    <xf numFmtId="0" fontId="0" fillId="0" borderId="1" xfId="0" applyBorder="1" applyProtection="1"/>
    <xf numFmtId="164" fontId="0" fillId="2" borderId="1" xfId="0" applyNumberFormat="1" applyFill="1" applyBorder="1" applyProtection="1"/>
    <xf numFmtId="0" fontId="1" fillId="5" borderId="1" xfId="0" applyFont="1" applyFill="1" applyBorder="1" applyAlignment="1" applyProtection="1">
      <alignment horizontal="right" indent="1"/>
    </xf>
    <xf numFmtId="0" fontId="1" fillId="5" borderId="1" xfId="0" applyFont="1" applyFill="1" applyBorder="1" applyProtection="1"/>
    <xf numFmtId="0" fontId="1" fillId="6" borderId="1" xfId="0" applyFont="1" applyFill="1" applyBorder="1" applyProtection="1"/>
    <xf numFmtId="0" fontId="0" fillId="5" borderId="1" xfId="0" applyFill="1" applyBorder="1" applyAlignment="1" applyProtection="1">
      <alignment horizontal="right" wrapText="1" indent="1"/>
    </xf>
    <xf numFmtId="0" fontId="1" fillId="5" borderId="1" xfId="0" applyFont="1" applyFill="1" applyBorder="1" applyAlignment="1" applyProtection="1">
      <alignment horizontal="right"/>
    </xf>
    <xf numFmtId="0" fontId="1" fillId="5" borderId="1" xfId="0" applyFont="1" applyFill="1" applyBorder="1" applyAlignment="1" applyProtection="1"/>
    <xf numFmtId="0" fontId="1" fillId="6" borderId="1" xfId="0" applyFont="1" applyFill="1" applyBorder="1" applyAlignment="1" applyProtection="1">
      <alignment horizontal="right"/>
    </xf>
    <xf numFmtId="0" fontId="1" fillId="5" borderId="1" xfId="0" applyFont="1" applyFill="1" applyBorder="1" applyAlignment="1" applyProtection="1">
      <alignment horizontal="right" wrapText="1"/>
    </xf>
    <xf numFmtId="0" fontId="0" fillId="5" borderId="1" xfId="0" applyFill="1" applyBorder="1" applyAlignment="1" applyProtection="1">
      <alignment wrapText="1"/>
    </xf>
    <xf numFmtId="164" fontId="1" fillId="2" borderId="1" xfId="0" applyNumberFormat="1" applyFont="1" applyFill="1" applyBorder="1" applyAlignment="1" applyProtection="1">
      <alignment horizontal="center" wrapText="1"/>
    </xf>
    <xf numFmtId="165" fontId="1" fillId="2" borderId="1" xfId="0" applyNumberFormat="1" applyFont="1" applyFill="1" applyBorder="1" applyAlignment="1" applyProtection="1">
      <alignment horizontal="center" wrapText="1"/>
    </xf>
    <xf numFmtId="0" fontId="1" fillId="2" borderId="1" xfId="0" applyFont="1" applyFill="1" applyBorder="1" applyAlignment="1" applyProtection="1">
      <alignment horizontal="center" wrapText="1"/>
    </xf>
    <xf numFmtId="0" fontId="1" fillId="5" borderId="1" xfId="0" applyFont="1" applyFill="1" applyBorder="1" applyAlignment="1" applyProtection="1">
      <alignment horizontal="center" wrapText="1"/>
    </xf>
    <xf numFmtId="166" fontId="1" fillId="5" borderId="1" xfId="0" applyNumberFormat="1" applyFont="1" applyFill="1" applyBorder="1" applyAlignment="1" applyProtection="1">
      <alignment horizontal="center" wrapText="1"/>
    </xf>
    <xf numFmtId="0" fontId="1" fillId="6" borderId="1" xfId="0" applyFont="1" applyFill="1" applyBorder="1" applyAlignment="1" applyProtection="1">
      <alignment horizontal="center" wrapText="1"/>
    </xf>
    <xf numFmtId="166" fontId="1" fillId="6" borderId="1" xfId="0" applyNumberFormat="1" applyFont="1" applyFill="1" applyBorder="1" applyAlignment="1" applyProtection="1">
      <alignment horizontal="center" wrapText="1"/>
    </xf>
    <xf numFmtId="0" fontId="1" fillId="0" borderId="1" xfId="0" applyFont="1" applyBorder="1" applyAlignment="1" applyProtection="1">
      <alignment horizontal="center" wrapText="1"/>
    </xf>
    <xf numFmtId="164" fontId="0" fillId="3" borderId="1" xfId="0" applyNumberFormat="1" applyFill="1" applyBorder="1" applyProtection="1">
      <protection locked="0"/>
    </xf>
    <xf numFmtId="165" fontId="0" fillId="3" borderId="1" xfId="0" applyNumberFormat="1" applyFill="1" applyBorder="1" applyProtection="1">
      <protection locked="0"/>
    </xf>
    <xf numFmtId="0" fontId="0" fillId="3" borderId="1" xfId="0" applyFill="1" applyBorder="1" applyProtection="1">
      <protection locked="0"/>
    </xf>
    <xf numFmtId="0" fontId="0" fillId="4" borderId="1" xfId="0" applyFill="1" applyBorder="1" applyProtection="1">
      <protection locked="0"/>
    </xf>
    <xf numFmtId="0" fontId="0" fillId="4" borderId="1" xfId="0" applyFill="1" applyBorder="1" applyAlignment="1" applyProtection="1">
      <alignment wrapText="1"/>
      <protection locked="0"/>
    </xf>
    <xf numFmtId="0" fontId="0" fillId="7" borderId="1" xfId="0" applyFill="1" applyBorder="1" applyProtection="1">
      <protection locked="0"/>
    </xf>
    <xf numFmtId="0" fontId="1" fillId="2" borderId="1" xfId="0" applyFont="1" applyFill="1" applyBorder="1" applyAlignment="1">
      <alignment horizontal="center" wrapText="1"/>
    </xf>
    <xf numFmtId="164" fontId="3" fillId="2" borderId="1" xfId="0" applyNumberFormat="1" applyFont="1" applyFill="1" applyBorder="1" applyProtection="1"/>
    <xf numFmtId="0" fontId="1" fillId="0" borderId="0" xfId="0" applyFont="1"/>
    <xf numFmtId="164" fontId="4" fillId="2" borderId="1" xfId="1" applyNumberFormat="1" applyFill="1" applyBorder="1" applyProtection="1"/>
    <xf numFmtId="164" fontId="5" fillId="2" borderId="1" xfId="0" applyNumberFormat="1" applyFont="1" applyFill="1" applyBorder="1" applyProtection="1"/>
  </cellXfs>
  <cellStyles count="2">
    <cellStyle name="Hyperlink" xfId="1" builtinId="8"/>
    <cellStyle name="Normal" xfId="0" builtinId="0"/>
  </cellStyles>
  <dxfs count="8">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
      <font>
        <b/>
        <i val="0"/>
      </font>
      <fill>
        <patternFill>
          <bgColor rgb="FF00B050"/>
        </patternFill>
      </fill>
    </dxf>
    <dxf>
      <font>
        <b/>
        <i val="0"/>
      </font>
      <fill>
        <patternFill>
          <bgColor rgb="FFFFFF00"/>
        </patternFill>
      </fill>
    </dxf>
    <dxf>
      <font>
        <b/>
        <i val="0"/>
      </font>
      <fill>
        <patternFill>
          <bgColor rgb="FFFFC000"/>
        </patternFill>
      </fill>
    </dxf>
    <dxf>
      <font>
        <b/>
        <i val="0"/>
      </font>
      <fill>
        <patternFill>
          <bgColor rgb="FFFF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oneCellAnchor>
    <xdr:from>
      <xdr:col>17</xdr:col>
      <xdr:colOff>7620</xdr:colOff>
      <xdr:row>0</xdr:row>
      <xdr:rowOff>0</xdr:rowOff>
    </xdr:from>
    <xdr:ext cx="4861560" cy="8374380"/>
    <xdr:sp macro="" textlink="">
      <xdr:nvSpPr>
        <xdr:cNvPr id="2" name="TextBox 1"/>
        <xdr:cNvSpPr txBox="1"/>
      </xdr:nvSpPr>
      <xdr:spPr>
        <a:xfrm>
          <a:off x="11620500" y="0"/>
          <a:ext cx="4861560" cy="8374380"/>
        </a:xfrm>
        <a:prstGeom prst="rect">
          <a:avLst/>
        </a:prstGeom>
        <a:solidFill>
          <a:schemeClr val="bg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AU" sz="2000">
              <a:solidFill>
                <a:srgbClr val="FF0000"/>
              </a:solidFill>
              <a:effectLst/>
              <a:latin typeface="+mn-lt"/>
              <a:ea typeface="+mn-ea"/>
              <a:cs typeface="+mn-cs"/>
            </a:rPr>
            <a:t>Disclaimer:</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The following calculator has been developed to assist users interpret Australian Fire Danger Rating System’s (AFDRS) Fire Behaviour Indies (FBI).</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This calculator is still being developed and tested and should be used with caution. Please note that updated versions of this calculator may be provided at a later date with error corrections or updated functionality. It is the users responsibility to ensure they have the most up-to-date version when using the calculator.</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If you identify a bug or error in the calculator or its equations please contact the NSW Rural Fire Service’s Predictive Services Team at </a:t>
          </a:r>
          <a:r>
            <a:rPr lang="en-AU" sz="1100" u="sng">
              <a:solidFill>
                <a:schemeClr val="tx1"/>
              </a:solidFill>
              <a:effectLst/>
              <a:latin typeface="+mn-lt"/>
              <a:ea typeface="+mn-ea"/>
              <a:cs typeface="+mn-cs"/>
              <a:hlinkClick xmlns:r="http://schemas.openxmlformats.org/officeDocument/2006/relationships" r:id=""/>
            </a:rPr>
            <a:t>FBA@rfs.nsw.gov.au</a:t>
          </a:r>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This calculator has been created to allow users to users to calculate local Fire Behaviour Indices. Please be aware that these calculations are not a substitute for official observations of Fire Behaviour Indices calculated by the Bureau of Meteorology and potential sources of error in these calculations could include (but are not limited to): incorrect or invalid weather observations, incorrect or invalid fuel observations, missing or unknown antecedent conditions (e.g. previous rainfall or time since fire).</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The AFDRS uses highly detailed information about fuel condition, arrangement and load to calculate FBI. Users should be aware that small differences in this information can produce significantly different calculations of FBI and care should be taken to ensure that the values used are not only accurate but area also representative of the broader landscape.</a:t>
          </a:r>
        </a:p>
        <a:p>
          <a:r>
            <a:rPr lang="en-AU" sz="1100">
              <a:solidFill>
                <a:schemeClr val="tx1"/>
              </a:solidFill>
              <a:effectLst/>
              <a:latin typeface="+mn-lt"/>
              <a:ea typeface="+mn-ea"/>
              <a:cs typeface="+mn-cs"/>
            </a:rPr>
            <a:t> </a:t>
          </a:r>
        </a:p>
        <a:p>
          <a:r>
            <a:rPr lang="en-AU" sz="1100">
              <a:solidFill>
                <a:schemeClr val="tx1"/>
              </a:solidFill>
              <a:effectLst/>
              <a:latin typeface="+mn-lt"/>
              <a:ea typeface="+mn-ea"/>
              <a:cs typeface="+mn-cs"/>
            </a:rPr>
            <a:t>Please note, the NSW Rural Fire Service is working on a more comprehensive, user-friendly calculator that is planned to provided at a later.</a:t>
          </a:r>
        </a:p>
        <a:p>
          <a:endParaRPr lang="en-AU" sz="1100"/>
        </a:p>
      </xdr:txBody>
    </xdr:sp>
    <xdr:clientData/>
  </xdr:oneCellAnchor>
</xdr:wsDr>
</file>

<file path=xl/tables/table1.xml><?xml version="1.0" encoding="utf-8"?>
<table xmlns="http://schemas.openxmlformats.org/spreadsheetml/2006/main" id="1" name="Table_grass_state" displayName="Table_grass_state" comment="lists acceptable grass states" ref="F1:F4" totalsRowShown="0">
  <autoFilter ref="F1:F4"/>
  <tableColumns count="1">
    <tableColumn id="1" name="Grass State"/>
  </tableColumns>
  <tableStyleInfo name="TableStyleMedium2" showFirstColumn="0" showLastColumn="0" showRowStripes="1" showColumnStripes="0"/>
</table>
</file>

<file path=xl/tables/table2.xml><?xml version="1.0" encoding="utf-8"?>
<table xmlns="http://schemas.openxmlformats.org/spreadsheetml/2006/main" id="2" name="Table_heath_overstorey" displayName="Table_heath_overstorey" ref="H1:I3" totalsRowShown="0">
  <autoFilter ref="H1:I3"/>
  <tableColumns count="2">
    <tableColumn id="1" name="Heath overstorey"/>
    <tableColumn id="2" name="WRF"/>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github.com/Geoffysicist/PyroX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FDRS"/>
  <dimension ref="A1:Q15"/>
  <sheetViews>
    <sheetView tabSelected="1" workbookViewId="0">
      <selection activeCell="A15" sqref="A15"/>
    </sheetView>
  </sheetViews>
  <sheetFormatPr defaultRowHeight="14.4" x14ac:dyDescent="0.3"/>
  <cols>
    <col min="1" max="1" width="13.77734375" style="29" customWidth="1"/>
    <col min="2" max="2" width="10.77734375" style="30" customWidth="1"/>
    <col min="3" max="6" width="10.77734375" style="31" customWidth="1"/>
    <col min="7" max="7" width="12.77734375" style="5" customWidth="1"/>
    <col min="8" max="9" width="8.88671875" style="5"/>
    <col min="10" max="10" width="8.88671875" style="6"/>
    <col min="11" max="11" width="8.88671875" style="5"/>
    <col min="12" max="12" width="8.88671875" style="6"/>
    <col min="13" max="15" width="8.88671875" style="8"/>
    <col min="16" max="17" width="8.88671875" style="9"/>
    <col min="18" max="16384" width="8.88671875" style="10"/>
  </cols>
  <sheetData>
    <row r="1" spans="1:17" ht="18" x14ac:dyDescent="0.35">
      <c r="A1" s="1" t="s">
        <v>33</v>
      </c>
      <c r="B1" s="2"/>
      <c r="C1" s="3"/>
      <c r="D1" s="3"/>
      <c r="E1" s="3"/>
      <c r="F1" s="3"/>
      <c r="G1" s="4" t="s">
        <v>6</v>
      </c>
      <c r="M1" s="7" t="s">
        <v>22</v>
      </c>
    </row>
    <row r="2" spans="1:17" x14ac:dyDescent="0.3">
      <c r="A2" s="11" t="s">
        <v>34</v>
      </c>
      <c r="B2" s="2"/>
      <c r="C2" s="3"/>
      <c r="D2" s="3"/>
      <c r="E2" s="3"/>
      <c r="F2" s="3"/>
      <c r="G2" s="12" t="s">
        <v>7</v>
      </c>
      <c r="H2" s="32">
        <v>3</v>
      </c>
      <c r="I2" s="13" t="s">
        <v>14</v>
      </c>
      <c r="M2" s="14"/>
      <c r="O2" s="14" t="s">
        <v>30</v>
      </c>
    </row>
    <row r="3" spans="1:17" x14ac:dyDescent="0.3">
      <c r="A3" s="11" t="s">
        <v>35</v>
      </c>
      <c r="B3" s="2"/>
      <c r="C3" s="3"/>
      <c r="D3" s="3"/>
      <c r="E3" s="3"/>
      <c r="F3" s="3"/>
      <c r="G3" s="15"/>
      <c r="H3" s="16" t="s">
        <v>61</v>
      </c>
      <c r="I3" s="17" t="s">
        <v>30</v>
      </c>
      <c r="M3" s="18" t="s">
        <v>32</v>
      </c>
      <c r="N3" s="34" t="s">
        <v>25</v>
      </c>
      <c r="O3" s="8">
        <v>4.5</v>
      </c>
    </row>
    <row r="4" spans="1:17" x14ac:dyDescent="0.3">
      <c r="A4" s="11" t="s">
        <v>36</v>
      </c>
      <c r="B4" s="2"/>
      <c r="C4" s="3"/>
      <c r="D4" s="3"/>
      <c r="E4" s="3"/>
      <c r="F4" s="3"/>
      <c r="G4" s="19" t="s">
        <v>15</v>
      </c>
      <c r="H4" s="33">
        <v>3</v>
      </c>
      <c r="I4" s="33">
        <v>10</v>
      </c>
      <c r="M4" s="18" t="s">
        <v>27</v>
      </c>
      <c r="N4" s="34">
        <v>100</v>
      </c>
    </row>
    <row r="5" spans="1:17" x14ac:dyDescent="0.3">
      <c r="A5" s="11"/>
      <c r="B5" s="2"/>
      <c r="C5" s="3"/>
      <c r="D5" s="3"/>
      <c r="E5" s="3"/>
      <c r="F5" s="3"/>
      <c r="G5" s="19" t="s">
        <v>16</v>
      </c>
      <c r="H5" s="33">
        <v>3</v>
      </c>
      <c r="I5" s="33">
        <v>2</v>
      </c>
    </row>
    <row r="6" spans="1:17" x14ac:dyDescent="0.3">
      <c r="A6" s="39" t="s">
        <v>62</v>
      </c>
      <c r="B6" s="2"/>
      <c r="C6" s="3"/>
      <c r="D6" s="3"/>
      <c r="E6" s="3"/>
      <c r="F6" s="3"/>
      <c r="G6" s="19" t="s">
        <v>17</v>
      </c>
      <c r="H6" s="33">
        <v>2</v>
      </c>
      <c r="I6" s="33">
        <v>2</v>
      </c>
    </row>
    <row r="7" spans="1:17" x14ac:dyDescent="0.3">
      <c r="A7" s="11" t="s">
        <v>60</v>
      </c>
      <c r="B7" s="2"/>
      <c r="C7" s="3"/>
      <c r="D7" s="3"/>
      <c r="E7" s="3"/>
      <c r="F7" s="3"/>
      <c r="G7" s="19" t="s">
        <v>18</v>
      </c>
      <c r="H7" s="33">
        <v>1</v>
      </c>
      <c r="I7" s="33">
        <v>2</v>
      </c>
    </row>
    <row r="8" spans="1:17" x14ac:dyDescent="0.3">
      <c r="A8" s="11"/>
      <c r="B8" s="2"/>
      <c r="C8" s="3"/>
      <c r="D8" s="3"/>
      <c r="E8" s="3"/>
      <c r="F8" s="3"/>
      <c r="G8" s="19" t="s">
        <v>31</v>
      </c>
      <c r="H8" s="20"/>
      <c r="I8" s="33">
        <v>4.5</v>
      </c>
    </row>
    <row r="9" spans="1:17" x14ac:dyDescent="0.3">
      <c r="A9" s="36" t="s">
        <v>39</v>
      </c>
      <c r="B9" s="2"/>
      <c r="C9" s="3"/>
      <c r="D9" s="3"/>
      <c r="E9" s="3"/>
      <c r="F9" s="3"/>
      <c r="G9" s="19"/>
      <c r="H9" s="17" t="s">
        <v>19</v>
      </c>
      <c r="I9" s="20"/>
    </row>
    <row r="10" spans="1:17" x14ac:dyDescent="0.3">
      <c r="A10" s="38" t="s">
        <v>40</v>
      </c>
      <c r="B10" s="2"/>
      <c r="C10" s="3"/>
      <c r="D10" s="3"/>
      <c r="E10" s="3"/>
      <c r="F10" s="3"/>
      <c r="G10" s="19" t="s">
        <v>16</v>
      </c>
      <c r="H10" s="32">
        <v>20</v>
      </c>
      <c r="I10" s="13" t="s">
        <v>20</v>
      </c>
    </row>
    <row r="11" spans="1:17" x14ac:dyDescent="0.3">
      <c r="A11" s="11"/>
      <c r="B11" s="2"/>
      <c r="C11" s="3"/>
      <c r="D11" s="3"/>
      <c r="E11" s="3"/>
      <c r="F11" s="3"/>
      <c r="G11" s="19" t="s">
        <v>17</v>
      </c>
      <c r="H11" s="32">
        <v>2</v>
      </c>
      <c r="I11" s="13" t="s">
        <v>21</v>
      </c>
    </row>
    <row r="12" spans="1:17" x14ac:dyDescent="0.3">
      <c r="A12" s="36"/>
      <c r="B12" s="2"/>
      <c r="C12" s="3"/>
      <c r="D12" s="3"/>
      <c r="E12" s="3"/>
      <c r="F12" s="3"/>
      <c r="G12" s="19" t="s">
        <v>31</v>
      </c>
      <c r="H12" s="32">
        <v>20</v>
      </c>
      <c r="I12" s="13" t="s">
        <v>21</v>
      </c>
    </row>
    <row r="13" spans="1:17" ht="18" x14ac:dyDescent="0.35">
      <c r="A13" s="1" t="s">
        <v>5</v>
      </c>
      <c r="B13" s="2"/>
      <c r="C13" s="3"/>
      <c r="D13" s="3"/>
      <c r="E13" s="3"/>
      <c r="F13" s="3"/>
    </row>
    <row r="14" spans="1:17" s="28" customFormat="1" ht="60" customHeight="1" x14ac:dyDescent="0.3">
      <c r="A14" s="21" t="s">
        <v>0</v>
      </c>
      <c r="B14" s="22" t="s">
        <v>8</v>
      </c>
      <c r="C14" s="35" t="s">
        <v>1</v>
      </c>
      <c r="D14" s="35" t="s">
        <v>2</v>
      </c>
      <c r="E14" s="23" t="s">
        <v>3</v>
      </c>
      <c r="F14" s="23" t="s">
        <v>4</v>
      </c>
      <c r="G14" s="24" t="s">
        <v>29</v>
      </c>
      <c r="H14" s="24" t="s">
        <v>9</v>
      </c>
      <c r="I14" s="24" t="s">
        <v>10</v>
      </c>
      <c r="J14" s="25" t="s">
        <v>11</v>
      </c>
      <c r="K14" s="24" t="s">
        <v>12</v>
      </c>
      <c r="L14" s="25" t="s">
        <v>13</v>
      </c>
      <c r="M14" s="26" t="s">
        <v>28</v>
      </c>
      <c r="N14" s="26" t="s">
        <v>9</v>
      </c>
      <c r="O14" s="26" t="s">
        <v>10</v>
      </c>
      <c r="P14" s="27" t="s">
        <v>11</v>
      </c>
      <c r="Q14" s="27" t="s">
        <v>13</v>
      </c>
    </row>
    <row r="15" spans="1:17" x14ac:dyDescent="0.3">
      <c r="A15" s="29">
        <v>22695</v>
      </c>
      <c r="B15" s="30">
        <v>0.625</v>
      </c>
      <c r="C15" s="31">
        <v>25</v>
      </c>
      <c r="D15" s="31">
        <v>30</v>
      </c>
      <c r="E15" s="31">
        <v>20</v>
      </c>
      <c r="F15" s="31">
        <v>8</v>
      </c>
      <c r="G15" s="5">
        <f t="shared" ref="G15" si="0">fbi(I15,$G$1)</f>
        <v>21</v>
      </c>
      <c r="H15" s="5">
        <f t="shared" ref="H15" si="1">ROS_forest(E15,fhs_s,fhs_ns,fh_ns,L15,F15,WAF)</f>
        <v>574</v>
      </c>
      <c r="I15" s="5">
        <f t="shared" ref="I15" si="2">Intensity_forest(H15,F15,J15,ffl_s,ffl_ns,ffl_e,ffl_o,ffh_o)</f>
        <v>3322</v>
      </c>
      <c r="J15" s="6">
        <f t="shared" ref="J15" si="3">Flame_height_forest(H15,ffh_e)</f>
        <v>7.3372163772583008</v>
      </c>
      <c r="K15" s="5">
        <f t="shared" ref="K15" si="4">Spotting_forest(H15,E15,fhs_s)</f>
        <v>744</v>
      </c>
      <c r="L15" s="6">
        <f>FMC_Forest(C15,D15,A15,B15)</f>
        <v>6.0124998092651367</v>
      </c>
      <c r="M15" s="8">
        <f>fbi(O15,$M$1)</f>
        <v>20</v>
      </c>
      <c r="N15" s="8">
        <f t="shared" ref="N15" si="5">ROS_grass(E15,Q15,curing,state_grass)</f>
        <v>3162</v>
      </c>
      <c r="O15" s="8">
        <f t="shared" ref="O15" si="6">Intensity(N15,fl_grass)</f>
        <v>7352</v>
      </c>
      <c r="P15" s="9">
        <f t="shared" ref="P15" si="7">Flame_height_grass(N15,state_grass)</f>
        <v>1.0779472589492798</v>
      </c>
      <c r="Q15" s="9">
        <f>FMC_Grass(C15,D15)</f>
        <v>8.5950002670288086</v>
      </c>
    </row>
  </sheetData>
  <sheetProtection sheet="1" objects="1" scenarios="1"/>
  <conditionalFormatting sqref="M15:M1048576">
    <cfRule type="expression" dxfId="7" priority="5">
      <formula>$M15&gt;=100</formula>
    </cfRule>
    <cfRule type="expression" dxfId="6" priority="6">
      <formula>$M15&gt;=50</formula>
    </cfRule>
    <cfRule type="expression" dxfId="5" priority="7">
      <formula>$M15&gt;=24</formula>
    </cfRule>
    <cfRule type="expression" dxfId="4" priority="8">
      <formula>$M15&gt;=12</formula>
    </cfRule>
  </conditionalFormatting>
  <conditionalFormatting sqref="G15:G1048576">
    <cfRule type="expression" dxfId="3" priority="9">
      <formula>$G15&gt;=100</formula>
    </cfRule>
    <cfRule type="expression" dxfId="2" priority="10">
      <formula>$G15&gt;50</formula>
    </cfRule>
    <cfRule type="expression" dxfId="1" priority="11">
      <formula>$G15&gt;=24</formula>
    </cfRule>
    <cfRule type="expression" dxfId="0" priority="12">
      <formula>$G15&gt;=12</formula>
    </cfRule>
  </conditionalFormatting>
  <dataValidations count="13">
    <dataValidation type="decimal" allowBlank="1" showInputMessage="1" showErrorMessage="1" errorTitle="Invalid Curing %" error="Choose a value between 0 and 100" promptTitle="Curing (%)" prompt="select a value betwen 0 and 100" sqref="N4:P4">
      <formula1>0</formula1>
      <formula2>100</formula2>
    </dataValidation>
    <dataValidation type="decimal" errorStyle="warning" allowBlank="1" showInputMessage="1" showErrorMessage="1" errorTitle="Invalid WAF" error="Enter a number between 1 and 6" promptTitle="WAF" prompt="Entera number between 1 and 6. Dry-open eucalypt forest typically has values 3.0 to 3.5" sqref="H2">
      <formula1>1</formula1>
      <formula2>6</formula2>
    </dataValidation>
    <dataValidation type="decimal" allowBlank="1" showInputMessage="1" showErrorMessage="1" errorTitle="Invalid Hazard Score" promptTitle="Fuel Hazard Score" prompt="input a value between 0 and 4_x000a_see Hines et al. 2010, Cheney et al. 2012" sqref="H8">
      <formula1>0</formula1>
      <formula2>4</formula2>
    </dataValidation>
    <dataValidation type="list" allowBlank="1" showInputMessage="1" showErrorMessage="1" errorTitle="please select a valid grass stat" promptTitle="Grass State" prompt="natural: fuel load ≥ 6 t/ha_x000a_grazed: fuel load between 3 and 6 t/ha_x000a_eaten-out: fuel load &lt; 3 t/ha" sqref="P2">
      <formula1>$B$2:$B$4</formula1>
    </dataValidation>
    <dataValidation type="decimal" allowBlank="1" showInputMessage="1" showErrorMessage="1" errorTitle="Invalid Hazard Score" promptTitle="Fuel Hazard Score" prompt="Input a value between 0 and 4._x000a_Must be consistent with the Fine Fuel Load._x000a_see Hines et al. 2010, Cheney et al. 2012" sqref="H4:H7">
      <formula1>0</formula1>
      <formula2>4</formula2>
    </dataValidation>
    <dataValidation type="decimal" showInputMessage="1" showErrorMessage="1" errorTitle="Invalid Fuel Load" error="Enter a near-surface fine fuel load between 0 and 8 t/ha" promptTitle="Fine Fuel Load" prompt="Enter a near-surface fine fuel load between 0 and 8 t/ha_x000a_Check that Fine Fuel Load is consistent with the entered VESTA Hazard Score" sqref="I5">
      <formula1>0</formula1>
      <formula2>8</formula2>
    </dataValidation>
    <dataValidation type="decimal" showInputMessage="1" showErrorMessage="1" errorTitle="Invalid Fuel Load" error="Enter a surface fine fuel load between 0 and 20 t/ha" promptTitle="Fine Fuel Load" prompt="Enter a surface fine fuel load between 0 and 20 t/ha_x000a_Check that Fine Fuel Load is consistent with the entered VESTA Hazard Score" sqref="I4">
      <formula1>0</formula1>
      <formula2>20</formula2>
    </dataValidation>
    <dataValidation type="decimal" showInputMessage="1" showErrorMessage="1" errorTitle="Invalid Fuel Load" error="Enter an elevated fine fuel load between 0 and 8 t/ha" promptTitle="Fine Fuel Load" prompt="Enter an elevated fine fuel load between 0 and 8 t/ha_x000a_Check that Fine Fuel Load is consistent with the entered VESTA Hazard Score" sqref="I6">
      <formula1>0</formula1>
      <formula2>8</formula2>
    </dataValidation>
    <dataValidation type="decimal" showInputMessage="1" showErrorMessage="1" errorTitle="Invalid Fuel Load" error="Enter a bark fine fuel load between 0 and 8 t/ha" promptTitle="Fine Fuel Load" prompt="Enter a bark fine fuel load between 0 and 8 t/ha_x000a_Check that Fine Fuel Load is consistent with the entered VESTA Hazard Score" sqref="I7">
      <formula1>0</formula1>
      <formula2>8</formula2>
    </dataValidation>
    <dataValidation type="decimal" showInputMessage="1" showErrorMessage="1" errorTitle="Invalid Fuel Load" error="Enter a canopy fine fuel load between 0 and 15 t/ha" promptTitle="Canopy Fuel Load" prompt="Enter a canopy fine fuel load between 0 and 15 t/ha" sqref="I8">
      <formula1>0</formula1>
      <formula2>15</formula2>
    </dataValidation>
    <dataValidation type="whole" showInputMessage="1" showErrorMessage="1" errorTitle="Invalid Height" error="Enter an AVERAGE near-surface fuel height between 0 and 40 cm" promptTitle="Near-surface Fuel Height" prompt="Enter an AVERAGE near-surface fuel height between 0 and 40 cm" sqref="H10">
      <formula1>0</formula1>
      <formula2>40</formula2>
    </dataValidation>
    <dataValidation type="decimal" showInputMessage="1" showErrorMessage="1" errorTitle="Invalid Fuel Height" error="Enter an AVERAGE elevated fuel height between 0 and 4 m" promptTitle="Elevated Fuel Height" prompt="Enter an AVERAGE elevated fuel height between 0 and 4 m" sqref="H11">
      <formula1>0</formula1>
      <formula2>4</formula2>
    </dataValidation>
    <dataValidation type="decimal" showInputMessage="1" showErrorMessage="1" promptTitle="Canopy Fuel Height" prompt="Enter an AVERAGE canopy fuel height between 10 and 60 m" sqref="H12">
      <formula1>10</formula1>
      <formula2>60</formula2>
    </dataValidation>
  </dataValidations>
  <hyperlinks>
    <hyperlink ref="A10" r:id="rId1"/>
  </hyperlinks>
  <pageMargins left="0.7" right="0.7" top="0.75" bottom="0.75" header="0.3" footer="0.3"/>
  <pageSetup paperSize="9" orientation="portrait" r:id="rId2"/>
  <drawing r:id="rId3"/>
  <extLst>
    <ext xmlns:x14="http://schemas.microsoft.com/office/spreadsheetml/2009/9/main" uri="{CCE6A557-97BC-4b89-ADB6-D9C93CAAB3DF}">
      <x14:dataValidations xmlns:xm="http://schemas.microsoft.com/office/excel/2006/main" count="1">
        <x14:dataValidation type="list" showInputMessage="1" showErrorMessage="1" errorTitle="please select a valid grass stat" promptTitle="Grass State" prompt="Typical values are:_x000a_ natural: fuel load ≥ 6 t/ha_x000a_ grazed: fuel load between 3 and 6 t/ha_x000a_ eaten-out: fuel load &lt; 3 t/ha">
          <x14:formula1>
            <xm:f>tables!$F$2:$F$4</xm:f>
          </x14:formula1>
          <xm:sqref>N3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9"/>
  <sheetViews>
    <sheetView workbookViewId="0">
      <selection activeCell="D11" sqref="D11"/>
    </sheetView>
  </sheetViews>
  <sheetFormatPr defaultRowHeight="14.4" x14ac:dyDescent="0.3"/>
  <cols>
    <col min="2" max="2" width="9.77734375" bestFit="1" customWidth="1"/>
    <col min="4" max="4" width="28.77734375" bestFit="1" customWidth="1"/>
    <col min="6" max="6" width="12.109375" customWidth="1"/>
    <col min="8" max="8" width="17.33203125" customWidth="1"/>
  </cols>
  <sheetData>
    <row r="1" spans="1:9" x14ac:dyDescent="0.3">
      <c r="A1" s="37" t="s">
        <v>41</v>
      </c>
      <c r="F1" t="s">
        <v>23</v>
      </c>
      <c r="H1" t="s">
        <v>42</v>
      </c>
      <c r="I1" t="s">
        <v>44</v>
      </c>
    </row>
    <row r="2" spans="1:9" x14ac:dyDescent="0.3">
      <c r="A2" s="37" t="s">
        <v>48</v>
      </c>
      <c r="B2" s="37" t="s">
        <v>46</v>
      </c>
      <c r="C2" s="37" t="s">
        <v>47</v>
      </c>
      <c r="D2" s="37" t="s">
        <v>51</v>
      </c>
      <c r="F2" t="s">
        <v>24</v>
      </c>
      <c r="H2" t="b">
        <v>1</v>
      </c>
      <c r="I2">
        <v>0.35</v>
      </c>
    </row>
    <row r="3" spans="1:9" x14ac:dyDescent="0.3">
      <c r="A3" t="s">
        <v>49</v>
      </c>
      <c r="B3" t="s">
        <v>50</v>
      </c>
      <c r="C3">
        <v>2</v>
      </c>
      <c r="D3" t="s">
        <v>45</v>
      </c>
      <c r="F3" t="s">
        <v>25</v>
      </c>
      <c r="H3" t="b">
        <v>0</v>
      </c>
      <c r="I3">
        <v>0.66700000000000004</v>
      </c>
    </row>
    <row r="4" spans="1:9" x14ac:dyDescent="0.3">
      <c r="B4" t="s">
        <v>38</v>
      </c>
      <c r="C4">
        <v>25</v>
      </c>
      <c r="F4" t="s">
        <v>26</v>
      </c>
    </row>
    <row r="5" spans="1:9" x14ac:dyDescent="0.3">
      <c r="B5" t="s">
        <v>37</v>
      </c>
      <c r="C5">
        <v>20</v>
      </c>
      <c r="D5" t="s">
        <v>52</v>
      </c>
    </row>
    <row r="6" spans="1:9" x14ac:dyDescent="0.3">
      <c r="A6" t="s">
        <v>49</v>
      </c>
      <c r="B6" t="s">
        <v>43</v>
      </c>
      <c r="C6" t="b">
        <v>0</v>
      </c>
      <c r="D6" t="s">
        <v>53</v>
      </c>
    </row>
    <row r="7" spans="1:9" x14ac:dyDescent="0.3">
      <c r="B7" t="s">
        <v>55</v>
      </c>
      <c r="C7">
        <v>25</v>
      </c>
      <c r="D7" t="s">
        <v>54</v>
      </c>
    </row>
    <row r="8" spans="1:9" x14ac:dyDescent="0.3">
      <c r="A8" t="s">
        <v>49</v>
      </c>
      <c r="B8" t="s">
        <v>56</v>
      </c>
      <c r="C8">
        <v>0.2</v>
      </c>
      <c r="D8" t="s">
        <v>57</v>
      </c>
    </row>
    <row r="9" spans="1:9" x14ac:dyDescent="0.3">
      <c r="A9" t="s">
        <v>49</v>
      </c>
      <c r="B9" t="s">
        <v>58</v>
      </c>
      <c r="C9">
        <v>20</v>
      </c>
      <c r="D9" t="s">
        <v>59</v>
      </c>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18</vt:i4>
      </vt:variant>
    </vt:vector>
  </HeadingPairs>
  <TitlesOfParts>
    <vt:vector size="20" baseType="lpstr">
      <vt:lpstr>AFDRS</vt:lpstr>
      <vt:lpstr>tables</vt:lpstr>
      <vt:lpstr>curing</vt:lpstr>
      <vt:lpstr>FBI_forest</vt:lpstr>
      <vt:lpstr>ffh_e</vt:lpstr>
      <vt:lpstr>ffh_o</vt:lpstr>
      <vt:lpstr>ffl_b</vt:lpstr>
      <vt:lpstr>ffl_e</vt:lpstr>
      <vt:lpstr>ffl_ns</vt:lpstr>
      <vt:lpstr>ffl_o</vt:lpstr>
      <vt:lpstr>ffl_s</vt:lpstr>
      <vt:lpstr>fh_ns</vt:lpstr>
      <vt:lpstr>fhs_ns</vt:lpstr>
      <vt:lpstr>fhs_s</vt:lpstr>
      <vt:lpstr>fl_grass</vt:lpstr>
      <vt:lpstr>Outputs</vt:lpstr>
      <vt:lpstr>start_date</vt:lpstr>
      <vt:lpstr>state_grass</vt:lpstr>
      <vt:lpstr>WAF</vt:lpstr>
      <vt:lpstr>weather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2022-09-12T06:17:18Z</dcterms:modified>
</cp:coreProperties>
</file>