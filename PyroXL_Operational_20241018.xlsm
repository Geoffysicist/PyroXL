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filterPrivacy="1" codeName="ThisWorkbook"/>
  <xr:revisionPtr revIDLastSave="0" documentId="13_ncr:1_{C104A315-CB9A-4B03-86A5-C93D9E7011AF}" xr6:coauthVersionLast="47" xr6:coauthVersionMax="47" xr10:uidLastSave="{00000000-0000-0000-0000-000000000000}"/>
  <bookViews>
    <workbookView xWindow="-108" yWindow="-108" windowWidth="30936" windowHeight="16896" xr2:uid="{B7C7CBCF-53DC-479F-9405-DA22A9D1C5BB}"/>
  </bookViews>
  <sheets>
    <sheet name="SpreadModels" sheetId="1" r:id="rId1"/>
    <sheet name="Instructions" sheetId="27" r:id="rId2"/>
    <sheet name="Notes" sheetId="24" r:id="rId3"/>
    <sheet name="AFDRS Fuel LUT" sheetId="25" r:id="rId4"/>
    <sheet name="lookup_tables" sheetId="3" r:id="rId5"/>
    <sheet name="NSW_Fuel_v402_LUT" sheetId="26" r:id="rId6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SpreadModels!$BD$1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ine_fuel_load_mk5">SpreadModels!$BK$2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lookup_tables!$C$21</definedName>
    <definedName name="fl_woodland">SpreadModels!$AA$4</definedName>
    <definedName name="Forest">SpreadModels!$I$1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lookup_tables!$Y$2:$Z$499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lookup_tables!$AE$2:$AF$499</definedName>
    <definedName name="kbdi">SpreadModels!$G$12</definedName>
    <definedName name="Mallee">SpreadModels!$AO$1</definedName>
    <definedName name="MalleeLUT">lookup_tables!$AG$2:$AH$499</definedName>
    <definedName name="outputs_r1">SpreadModels!$H$15:$CE$15</definedName>
    <definedName name="Pine">SpreadModels!$AJ$1</definedName>
    <definedName name="PineLUT">lookup_tables!$AI$2:$AJ$499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lookup_tables!$AK$2:$AL$499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CB3" i="1"/>
  <c r="R3" i="1"/>
  <c r="J6" i="1"/>
  <c r="CD15" i="1" a="1"/>
  <c r="BE15" i="1"/>
  <c r="CE15" i="1" a="1"/>
  <c r="J7" i="1"/>
  <c r="H15" i="1"/>
  <c r="AB15" i="1"/>
  <c r="AN15" i="1"/>
  <c r="BK15" i="1"/>
  <c r="AS15" i="1"/>
  <c r="BG15" i="1"/>
  <c r="BC3" i="1"/>
  <c r="AZ15" i="1"/>
  <c r="V15" i="1"/>
  <c r="T15" i="1"/>
  <c r="BR15" i="1"/>
  <c r="AH15" i="1"/>
  <c r="BX15" i="1"/>
  <c r="BU15" i="1"/>
  <c r="N15" i="1"/>
  <c r="BT15" i="1"/>
  <c r="BS15" i="1"/>
  <c r="CD15" i="1" l="1"/>
  <c r="CE15" i="1"/>
  <c r="AU15" i="1"/>
  <c r="BF15" i="1"/>
  <c r="Q15" i="1"/>
  <c r="BH15" i="1"/>
  <c r="AI15" i="1"/>
  <c r="AT15" i="1"/>
  <c r="BW15" i="1"/>
  <c r="AK15" i="1" a="1"/>
  <c r="U15" i="1"/>
  <c r="J15" i="1"/>
  <c r="AW15" i="1"/>
  <c r="AY15" i="1" s="1"/>
  <c r="Y15" i="1"/>
  <c r="AV15" i="1"/>
  <c r="BZ15" i="1" a="1"/>
  <c r="BV15" i="1"/>
  <c r="L15" i="1"/>
  <c r="AK15" i="1" l="1"/>
  <c r="AL15" i="1"/>
  <c r="AM15" i="1"/>
  <c r="BZ15" i="1"/>
  <c r="M15" i="1"/>
  <c r="AO15" i="1"/>
  <c r="CA15" i="1" a="1"/>
  <c r="R15" i="1"/>
  <c r="BI15" i="1"/>
  <c r="CC15" i="1" a="1"/>
  <c r="S15" i="1"/>
  <c r="BL15" i="1" a="1"/>
  <c r="AX15" i="1"/>
  <c r="BB15" i="1"/>
  <c r="AP15" i="1"/>
  <c r="AA15" i="1"/>
  <c r="AJ15" i="1"/>
  <c r="Z15" i="1"/>
  <c r="AE15" i="1"/>
  <c r="BN15" i="1"/>
  <c r="K15" i="1"/>
  <c r="AQ15" i="1"/>
  <c r="AC15" i="1" a="1"/>
  <c r="X15" i="1"/>
  <c r="BQ15" i="1"/>
  <c r="BP15" i="1"/>
  <c r="I15" i="1"/>
  <c r="CA15" i="1" l="1"/>
  <c r="CC15" i="1"/>
  <c r="AC15" i="1"/>
  <c r="BL15" i="1"/>
  <c r="O15" i="1" a="1"/>
  <c r="BC15" i="1"/>
  <c r="AR15" i="1"/>
  <c r="W15" i="1" a="1"/>
  <c r="AF15" i="1"/>
  <c r="P15" i="1"/>
  <c r="AD15" i="1"/>
  <c r="BA15" i="1"/>
  <c r="CB15" i="1" a="1"/>
  <c r="BO15" i="1"/>
  <c r="BY15" i="1" a="1"/>
  <c r="BD15" i="1"/>
  <c r="W15" i="1" l="1"/>
  <c r="O15" i="1"/>
  <c r="CB15" i="1"/>
  <c r="BY15" i="1"/>
  <c r="AG15" i="1"/>
  <c r="BM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CB3" authorId="0" shapeId="0" xr:uid="{A8FB2475-B26C-4AF3-BEE4-4D1946D79CA9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<sst xmlns="http://schemas.openxmlformats.org/spreadsheetml/2006/main" count="2815" uniqueCount="929">
  <si>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</si>
  <si>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</si>
  <si>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</si>
  <si>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</si>
  <si>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</si>
  <si>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</si>
  <si>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</si>
  <si>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</si>
  <si>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</si>
  <si>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</si>
  <si>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</si>
  <si>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</si>
  <si>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</si>
  <si>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</si>
  <si>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</si>
  <si>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</si>
  <si>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</si>
  <si>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</si>
  <si>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</si>
  <si>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</si>
  <si>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</si>
  <si>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</si>
  <si>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</si>
  <si>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</si>
  <si>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</si>
  <si>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</si>
  <si>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</si>
  <si>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</si>
  <si>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</si>
  <si>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</si>
  <si>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</si>
  <si>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</si>
  <si>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</si>
  <si>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</si>
  <si>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</si>
  <si>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</si>
  <si>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</si>
  <si>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</si>
  <si>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</si>
  <si>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</si>
  <si>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</si>
  <si>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</si>
  <si>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</si>
  <si>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</si>
  <si>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</si>
  <si>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</si>
  <si>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</si>
  <si>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</si>
  <si>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</si>
  <si>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</si>
  <si>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</si>
  <si>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</si>
  <si>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</si>
  <si>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</si>
  <si>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</si>
  <si>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</si>
  <si>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</si>
  <si>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</si>
  <si>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</si>
  <si>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</si>
  <si>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</si>
  <si>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</si>
  <si>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</si>
  <si>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</si>
  <si>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</si>
  <si>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</si>
  <si>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</si>
  <si>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</si>
  <si>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</si>
  <si>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</si>
  <si>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</si>
  <si>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</si>
  <si>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</si>
  <si>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</si>
  <si>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</si>
  <si>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</si>
  <si>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</si>
  <si>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</si>
  <si>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</si>
  <si>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</si>
  <si>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</si>
  <si>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</si>
  <si>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</si>
  <si>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</si>
  <si>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</si>
  <si>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</si>
  <si>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</si>
  <si>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</si>
  <si>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</si>
  <si>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</si>
  <si>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</si>
  <si>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</si>
  <si>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</si>
  <si>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</si>
  <si>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</si>
  <si>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</si>
  <si>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</si>
  <si>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</si>
  <si>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</si>
  <si>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</si>
  <si>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</si>
  <si>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</si>
  <si>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</si>
  <si>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</si>
  <si>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</si>
  <si>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</si>
  <si>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</si>
  <si>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</si>
  <si>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</si>
  <si>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</si>
  <si>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</si>
  <si>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</si>
  <si>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</si>
  <si>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</si>
  <si>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</si>
  <si>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</si>
  <si>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</si>
  <si>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</si>
  <si>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</si>
  <si>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</si>
  <si>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</si>
  <si>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</si>
  <si>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</si>
  <si>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</si>
  <si>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</si>
  <si>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</si>
  <si>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</si>
  <si>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</si>
  <si>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</si>
  <si>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</si>
  <si>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</si>
  <si>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</si>
  <si>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</si>
  <si>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</si>
  <si>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</si>
  <si>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</si>
  <si>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</si>
  <si>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</si>
  <si>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</si>
  <si>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</si>
  <si>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</si>
  <si>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</si>
  <si>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</si>
  <si>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</si>
  <si>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</si>
  <si>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</si>
  <si>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</si>
  <si>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</si>
  <si>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</si>
  <si>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</si>
  <si>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</si>
  <si>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</si>
  <si>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</si>
  <si>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</si>
  <si>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</si>
  <si>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</si>
  <si>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</si>
  <si>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</si>
  <si>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</si>
  <si>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</si>
  <si>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</si>
  <si>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</si>
  <si>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</si>
  <si>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</si>
  <si>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</si>
  <si>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</si>
  <si>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</si>
  <si>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</si>
  <si>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</si>
  <si>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</si>
  <si>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</si>
  <si>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</si>
  <si>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</si>
  <si>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</si>
  <si>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</si>
  <si>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</si>
  <si>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</si>
  <si>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</si>
  <si>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</si>
  <si>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</si>
  <si>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</si>
  <si>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</si>
  <si>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</si>
  <si>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</si>
  <si>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</si>
  <si>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</si>
  <si>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</si>
  <si>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</si>
  <si>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</si>
  <si>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</si>
  <si>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</si>
  <si>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</si>
  <si>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</si>
  <si>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</si>
  <si>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</si>
  <si>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</si>
  <si>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</si>
  <si>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</si>
  <si>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</si>
  <si>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</si>
  <si>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</si>
  <si>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</si>
  <si>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</si>
  <si>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</si>
  <si>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</si>
  <si>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</si>
  <si>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</si>
  <si>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</si>
  <si>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</si>
  <si>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</si>
  <si>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</si>
  <si>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</si>
  <si>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</si>
  <si>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</si>
  <si>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</si>
  <si>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</si>
  <si>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</si>
  <si>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</si>
  <si>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</si>
  <si>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</si>
  <si>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</si>
  <si>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</si>
  <si>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</si>
  <si>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</si>
  <si>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</si>
  <si>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</si>
  <si>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</si>
  <si>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</si>
  <si>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</si>
  <si>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</si>
  <si>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</si>
  <si>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</si>
  <si>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</si>
  <si>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</si>
  <si>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</si>
  <si>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</si>
  <si>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</si>
  <si>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</si>
  <si>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</si>
  <si>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</si>
  <si>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</si>
  <si>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</si>
  <si>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</si>
  <si>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</si>
  <si>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</si>
  <si>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</si>
  <si>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</si>
  <si>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</si>
  <si>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</si>
  <si>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</si>
  <si>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</si>
  <si>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</si>
  <si>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</si>
  <si>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</si>
  <si>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</si>
  <si>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</si>
  <si>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</si>
  <si>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</si>
  <si>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</si>
  <si>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</si>
  <si>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</si>
  <si>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</si>
  <si>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</si>
  <si>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</si>
  <si>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</si>
  <si>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</si>
  <si>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</si>
  <si>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</si>
  <si>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</si>
  <si>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</si>
  <si>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</si>
  <si>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</si>
  <si>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</si>
  <si>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</si>
  <si>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</si>
  <si>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</si>
  <si>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</si>
  <si>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</si>
  <si>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</si>
  <si>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</si>
  <si>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</si>
  <si>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</si>
  <si>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</si>
  <si>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</si>
  <si>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</si>
  <si>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</si>
  <si>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</si>
  <si>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</si>
  <si>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</si>
  <si>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</si>
  <si>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</si>
  <si>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</si>
  <si>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</si>
  <si>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</si>
  <si>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</si>
  <si>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</si>
  <si>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</si>
  <si>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</si>
  <si>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</si>
  <si>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</si>
  <si>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</si>
  <si>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</si>
  <si>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</si>
  <si>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</si>
  <si>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</si>
  <si>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</si>
  <si>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</si>
  <si>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</si>
  <si>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</si>
  <si>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</si>
  <si>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</si>
  <si>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</si>
  <si>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</si>
  <si>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</si>
  <si>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</si>
  <si>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</si>
  <si>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</si>
  <si>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</si>
  <si>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</si>
  <si>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</si>
  <si>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</si>
  <si>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</si>
  <si>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</si>
  <si>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</si>
  <si>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</si>
  <si>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</si>
  <si>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</si>
  <si>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</si>
  <si>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</si>
  <si>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</si>
  <si>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</si>
  <si>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</si>
  <si>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</si>
  <si>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</si>
  <si>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</si>
  <si>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</si>
  <si>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</si>
  <si>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</si>
  <si>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</si>
  <si>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</si>
  <si>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</si>
  <si>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</si>
  <si>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</si>
  <si>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</si>
  <si>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</si>
  <si>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</si>
  <si>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</si>
  <si>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</si>
  <si>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</si>
  <si>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</si>
  <si>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</si>
  <si>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</si>
  <si>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</si>
  <si>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</si>
  <si>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</si>
  <si>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</si>
  <si>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</si>
  <si>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</si>
  <si>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</si>
  <si>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</si>
  <si>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</si>
  <si>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</si>
  <si>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</si>
  <si>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</si>
  <si>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</si>
  <si>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</si>
  <si>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</si>
  <si>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</si>
  <si>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</si>
  <si>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</si>
  <si>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</si>
  <si>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</si>
  <si>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</si>
  <si>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</si>
  <si>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</si>
  <si>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</si>
  <si>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</si>
  <si>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</si>
  <si>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</si>
  <si>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</si>
  <si>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</si>
  <si>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</si>
  <si>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</si>
  <si>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</si>
  <si>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</si>
  <si>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</si>
  <si>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</si>
  <si>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</si>
  <si>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</si>
  <si>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</si>
  <si>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</si>
  <si>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</si>
  <si>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</si>
  <si>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</si>
  <si>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</si>
  <si>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</si>
  <si>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</si>
  <si>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</si>
  <si>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</si>
  <si>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</si>
  <si>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</si>
  <si>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</si>
  <si>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</si>
  <si>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</si>
  <si>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</si>
  <si>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</si>
  <si>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</si>
  <si>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</si>
  <si>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</si>
  <si>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</si>
  <si>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</si>
  <si>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</si>
  <si>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</si>
  <si>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</si>
  <si>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</si>
  <si>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</si>
  <si>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</si>
  <si>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</si>
  <si>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</si>
  <si>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</si>
  <si>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</si>
  <si>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</si>
  <si>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</si>
  <si>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</si>
  <si>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</si>
  <si>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</si>
  <si>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</si>
  <si>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</si>
  <si>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</si>
  <si>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</si>
  <si>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</si>
  <si>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</si>
  <si>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</si>
  <si>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</si>
  <si>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</si>
  <si>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</si>
  <si>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</si>
  <si>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</si>
  <si>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</si>
  <si>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</si>
  <si>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</si>
  <si>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</si>
  <si>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</si>
  <si>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</si>
  <si>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</si>
  <si>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</si>
  <si>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</si>
  <si>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</si>
  <si>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</si>
  <si>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</si>
  <si>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</si>
  <si>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</si>
  <si>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</si>
  <si>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</si>
  <si>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</si>
  <si>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</si>
  <si>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</si>
  <si>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</si>
  <si>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</si>
  <si>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</si>
  <si>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</si>
  <si>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</si>
  <si>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</si>
  <si>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</si>
  <si>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</si>
  <si>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</si>
  <si>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</si>
  <si>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</si>
  <si>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</si>
  <si>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</si>
  <si>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</si>
  <si>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</si>
  <si>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</si>
  <si>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</si>
  <si>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</si>
  <si>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</si>
  <si>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</si>
  <si>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</si>
  <si>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</si>
  <si>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</si>
  <si>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</si>
  <si>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</si>
  <si>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</si>
  <si>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</si>
  <si>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</si>
  <si>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</si>
  <si>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</si>
  <si>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</si>
  <si>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</si>
  <si>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</si>
  <si>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</si>
  <si>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</si>
  <si>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</si>
  <si>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</si>
  <si>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</si>
  <si>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</si>
  <si>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</si>
  <si>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</si>
  <si>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</si>
  <si>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</si>
  <si>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</si>
  <si>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</si>
  <si>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</si>
  <si>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</si>
  <si>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</si>
  <si>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</si>
  <si>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</si>
  <si>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</si>
  <si>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</si>
  <si>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</si>
  <si>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</si>
  <si>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</si>
  <si>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</si>
  <si>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</si>
  <si>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</si>
  <si>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</si>
  <si>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</si>
  <si>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</si>
  <si>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</si>
  <si>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</si>
  <si>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</si>
  <si>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</si>
  <si>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</si>
  <si>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</si>
  <si>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</si>
  <si>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</si>
  <si>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</si>
  <si>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</si>
  <si>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</si>
  <si>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</si>
  <si>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</si>
  <si>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</si>
  <si>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</si>
  <si>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</si>
  <si>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</si>
  <si>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</si>
  <si>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</si>
  <si>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</si>
  <si>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</si>
  <si>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</si>
  <si>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</si>
  <si>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</si>
  <si>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</si>
  <si>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</si>
  <si>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</si>
  <si>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</si>
  <si>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</si>
  <si>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</si>
  <si>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</si>
  <si>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</si>
  <si>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</si>
  <si>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</si>
  <si>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</si>
  <si>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</si>
  <si>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</si>
  <si>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</si>
  <si>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</si>
  <si>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</si>
  <si>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</si>
  <si>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</si>
  <si>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</si>
  <si>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</si>
  <si>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</si>
  <si>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</si>
  <si>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</si>
  <si>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</si>
  <si>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</si>
  <si>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</si>
  <si>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</si>
  <si>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</si>
  <si>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</si>
  <si>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</si>
  <si>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</si>
  <si>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</si>
  <si>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</si>
  <si>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</si>
  <si>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</si>
  <si>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</si>
  <si>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</si>
  <si>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</si>
  <si>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</si>
  <si>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</si>
  <si>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</si>
  <si>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</si>
  <si>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</si>
  <si>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</si>
  <si>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</si>
  <si>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</si>
  <si>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</si>
  <si>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</si>
  <si>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</si>
  <si>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</si>
  <si>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</si>
  <si>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</si>
  <si>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</si>
  <si>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</si>
  <si>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</si>
  <si>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</si>
  <si>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</si>
  <si>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</si>
  <si>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</si>
  <si>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</si>
  <si>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</si>
  <si>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</si>
  <si>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</si>
  <si>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</si>
  <si>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</si>
  <si>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</si>
  <si>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</si>
  <si>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</si>
  <si>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</si>
  <si>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</si>
  <si>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</si>
  <si>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</si>
  <si>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</si>
  <si>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</si>
  <si>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</si>
  <si>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</si>
  <si>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</si>
  <si>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</si>
  <si>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</si>
  <si>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</si>
  <si>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</si>
  <si>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</si>
  <si>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</si>
  <si>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</si>
  <si>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</si>
  <si>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</si>
  <si>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</si>
  <si>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</si>
  <si>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</si>
  <si>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</si>
  <si>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</si>
  <si>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</si>
  <si>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</si>
  <si>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</si>
  <si>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</si>
  <si>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</si>
  <si>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</si>
  <si>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</si>
  <si>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</si>
  <si>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</si>
  <si>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</si>
  <si>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</si>
  <si>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</si>
  <si>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</si>
  <si>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</si>
  <si>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</si>
  <si>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</si>
  <si>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</si>
  <si>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</si>
  <si>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</si>
  <si>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</si>
  <si>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</si>
  <si>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</si>
  <si>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</si>
  <si>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</si>
  <si>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</si>
  <si>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</si>
  <si>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</si>
  <si>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</si>
  <si>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</si>
  <si>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</si>
  <si>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</si>
  <si>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</si>
  <si>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</si>
  <si>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</si>
  <si>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</si>
  <si>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</si>
  <si>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</si>
  <si>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</si>
  <si>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</si>
  <si>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</si>
  <si>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</si>
  <si>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</si>
  <si>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</si>
  <si>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</si>
  <si>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</si>
  <si>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</si>
  <si>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</si>
  <si>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</si>
  <si>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</si>
  <si>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</si>
  <si>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</si>
  <si>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</si>
  <si>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</si>
  <si>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</si>
  <si>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</si>
  <si>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</si>
  <si>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</si>
  <si>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</si>
  <si>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</si>
  <si>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</si>
  <si>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</si>
  <si>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</si>
  <si>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</si>
  <si>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</si>
  <si>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</si>
  <si>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</si>
  <si>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</si>
  <si>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</si>
  <si>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</si>
  <si>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</si>
  <si>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</si>
  <si>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</si>
  <si>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</si>
  <si>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</si>
  <si>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</si>
  <si>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</si>
  <si>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</si>
  <si>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</si>
  <si>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</si>
  <si>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</si>
  <si>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</si>
  <si>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</si>
  <si>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</si>
  <si>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</si>
  <si>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</si>
  <si>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</si>
  <si>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</si>
  <si>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</si>
  <si>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</si>
  <si>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</si>
  <si>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</si>
  <si>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</si>
  <si>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</si>
  <si>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</si>
  <si>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</si>
  <si>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</si>
  <si>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</si>
  <si>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</si>
  <si>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</si>
  <si>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</si>
  <si>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</si>
  <si>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</si>
  <si>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</si>
  <si>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</si>
  <si>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</si>
  <si>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</si>
  <si>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</si>
  <si>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</si>
  <si>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</si>
  <si>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</si>
  <si>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</si>
  <si>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</si>
  <si>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</si>
  <si>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</si>
  <si>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</si>
  <si>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</si>
  <si>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</si>
  <si>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</si>
  <si>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</si>
  <si>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</si>
  <si>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</si>
  <si>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</si>
  <si>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</si>
  <si>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</si>
  <si>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</si>
  <si>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</si>
  <si>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</si>
  <si>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</si>
  <si>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</si>
  <si>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</si>
  <si>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</si>
  <si>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</si>
  <si>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</si>
  <si>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</si>
  <si>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</si>
  <si>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</si>
  <si>
    <t>Fixed errors in Vesta wet model</t>
  </si>
  <si>
    <t>Leaflet 80</t>
  </si>
  <si>
    <t>ROS (m/h)</t>
  </si>
  <si>
    <t>Flame Height (m)</t>
  </si>
  <si>
    <t>Scorch Height (m)</t>
  </si>
  <si>
    <t>Intensity (kW/m)</t>
  </si>
  <si>
    <t>Fuel parameters taken from the forest model (Vesta)</t>
  </si>
  <si>
    <t>Wind Speed 1.5m km/h</t>
  </si>
  <si>
    <t>forest model surface, near surface and elevated</t>
  </si>
  <si>
    <t>Fixed FBI for heath model - now based on ROS; Added Leaflet80</t>
  </si>
  <si>
    <t>Acacia woodland</t>
  </si>
  <si>
    <t>Mulga (Acacia aneura) woodlands and tall shrublands with tussock grass</t>
  </si>
  <si>
    <t>Casuarina and Allocasuarina forests and woodlands</t>
  </si>
  <si>
    <t>Gum grassy open woodland (eg red gum tree patches in paddocks)</t>
  </si>
  <si>
    <t>River Red Gum woodland - creek line</t>
  </si>
  <si>
    <t>Platy Bark Eucalypt Woodland with Shrubby Understorey</t>
  </si>
  <si>
    <t>Smooth Bark Eucalypt Forest &amp; Woodland with Shrubby/Heathy Understorey</t>
  </si>
  <si>
    <t xml:space="preserve">Stringbark Forest &amp; Woodland (Dominant) with Shrubby/Heathy Understroy </t>
  </si>
  <si>
    <t>Non-combustible</t>
  </si>
  <si>
    <t>Non combustible</t>
  </si>
  <si>
    <t>Built up</t>
  </si>
  <si>
    <t>Low wetland</t>
  </si>
  <si>
    <t>a</t>
  </si>
  <si>
    <t>Wetlands: Swamps lakes claypans</t>
  </si>
  <si>
    <t>Hummock grasslands on dunefields or sandplains</t>
  </si>
  <si>
    <t>Closed tussock grasslands in coastal locations</t>
  </si>
  <si>
    <t>Mitchell grass or bluegrass tussock grasslands</t>
  </si>
  <si>
    <t>Water bodies or very low vegetation cover</t>
  </si>
  <si>
    <t>Low grass or tree cover in built-up areas</t>
  </si>
  <si>
    <t>Low to moderate tree cover in built-up areas</t>
  </si>
  <si>
    <t>Cropping and Horticulture</t>
  </si>
  <si>
    <t>Hoop plantations</t>
  </si>
  <si>
    <t>Mangroves and saltmarshes</t>
  </si>
  <si>
    <t>Shrublands / Sedgeland associated with hummock grasslands / grasslands dominated by spinifex or sandhill canegrass</t>
  </si>
  <si>
    <t>Mixed open forblands to tussock grasslands in inland locations</t>
  </si>
  <si>
    <t>Woodlands / Shrublands associated with inland forblands to tussock grasslands</t>
  </si>
  <si>
    <t>Sedgelands associated with Mitchell grass or bluegrass</t>
  </si>
  <si>
    <t>Grassland / Sedgeland communities associated with heathlands scrubs and shrublands</t>
  </si>
  <si>
    <t>Woodlands / Heathlands associated scrubs and shrublands</t>
  </si>
  <si>
    <t>Grassland associated with woodlands in coastal locations</t>
  </si>
  <si>
    <t>Shrubland / Woodlands in coastal locations</t>
  </si>
  <si>
    <t>Wet forest</t>
  </si>
  <si>
    <t>Open forests in coastal locations with species such as she-oak or swamp box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</si>
  <si>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</si>
  <si>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</si>
  <si>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</si>
  <si>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</si>
  <si>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</si>
  <si>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</si>
  <si>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</si>
  <si>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Melaluca woodlands on seasonally inundated lowland coastal swamps</t>
  </si>
  <si>
    <t>Melaleuca open forests on seasonally inundated lowland coastal swamps</t>
  </si>
  <si>
    <t>Melalueca dry woodlands on sandplains or depositional plains</t>
  </si>
  <si>
    <t>Melaleuca dry open forest on sandplains or depositional plains</t>
  </si>
  <si>
    <t>Woodlands dominated by white cypress pine or coast cypress pine</t>
  </si>
  <si>
    <t>Open forests dominated by white cypress pine or coast cypress pine</t>
  </si>
  <si>
    <t>Dry open forests / woodlands on sand or depositional plains</t>
  </si>
  <si>
    <t>Eucalyptus dominated woodland on drainage lines and alluvial plains</t>
  </si>
  <si>
    <t>Eucalyptus dominated forest on drainage lines and alluvial plains</t>
  </si>
  <si>
    <t>Temperate eucalypt woodlands</t>
  </si>
  <si>
    <t>Temperate open eucalypt forests</t>
  </si>
  <si>
    <t>Dry to moist eucalypt open forests / woodlands on undulating metamorphics and granite</t>
  </si>
  <si>
    <t>Dry eucalypt open forests / woodlands on sandstone and shallow soils</t>
  </si>
  <si>
    <t>Moist to dry eucalypt woodlands on basalt areas</t>
  </si>
  <si>
    <t>Spotted gum dominated open forests / woodlands</t>
  </si>
  <si>
    <t>Moist to dry eucalypt woodland on coastal lowlands and ranges</t>
  </si>
  <si>
    <t>Moist to dry eucalypt open forests on coastal lowlands and ranges</t>
  </si>
  <si>
    <t>Wet Eucalypt tall open forst</t>
  </si>
  <si>
    <t>Semi-evergreen to deciduous microphyll vine forest</t>
  </si>
  <si>
    <t>Mesophyll to Notophyll vine forest sparse</t>
  </si>
  <si>
    <t>Mallee Shrub/Heath (discontinuous)</t>
  </si>
  <si>
    <t>Mallee Shrub/heath (costata)</t>
  </si>
  <si>
    <t>Non-Combustible</t>
  </si>
  <si>
    <t>Wet heath</t>
  </si>
  <si>
    <t>Water sand no vegetation</t>
  </si>
  <si>
    <t>Urban - High tree cover</t>
  </si>
  <si>
    <t>Urban - Low tree cover</t>
  </si>
  <si>
    <t>Urban - No tree cover</t>
  </si>
  <si>
    <t>Rural / remnant woodland</t>
  </si>
  <si>
    <t>Grassland 1.5 t/ha</t>
  </si>
  <si>
    <t>Grassland 4.5 t/ha</t>
  </si>
  <si>
    <t>Arid_woodland</t>
  </si>
  <si>
    <t>Arid shrublands (chenopod)</t>
  </si>
  <si>
    <t>Semi-arid sand plain woodlands</t>
  </si>
  <si>
    <t>Sand plain mallee woodlands</t>
  </si>
  <si>
    <t>Alpine herbfields</t>
  </si>
  <si>
    <t>Floodplain transition woodlands</t>
  </si>
  <si>
    <t>Western slopes grassy woodlands</t>
  </si>
  <si>
    <t>Southern tableland grassy woodlands</t>
  </si>
  <si>
    <t>New England grassy woodlands</t>
  </si>
  <si>
    <t>Tableland clay grassy woodlands</t>
  </si>
  <si>
    <t>Yetman dry sclerophyll forests</t>
  </si>
  <si>
    <t>Western slopes dry sclerophyll forests</t>
  </si>
  <si>
    <t>Southern tableland dry sclerophyll forests</t>
  </si>
  <si>
    <t>Northern tableland dry sclerophyll forests</t>
  </si>
  <si>
    <t>Sydney montane dry sclerophyll forests</t>
  </si>
  <si>
    <t>Northern Escarpment dry sclerophyll forests</t>
  </si>
  <si>
    <t>Southern wattle dry sclerophyll forests</t>
  </si>
  <si>
    <t>South Coast sands dry sclerophyll forests</t>
  </si>
  <si>
    <t>Sydney sand flats dry sclerophyll forests</t>
  </si>
  <si>
    <t>Sydney hinterland dry sclerophyll forests</t>
  </si>
  <si>
    <t>Sydney coastal dry sclerophyll forests</t>
  </si>
  <si>
    <t>North Coast dry sclerophyll forests</t>
  </si>
  <si>
    <t>Coastal dune dry sclerophyll forests</t>
  </si>
  <si>
    <t>Pilliga outwash dry sclerophyll forests</t>
  </si>
  <si>
    <t>Upper riverina dry sclerophyll forests</t>
  </si>
  <si>
    <t>North-west slopes dry sclerophyll woodlands</t>
  </si>
  <si>
    <t>New England dry sclerophyll forests</t>
  </si>
  <si>
    <t>Central gorge dry sclerophyll forests</t>
  </si>
  <si>
    <t>Northern gorge dry sclerophyll forests</t>
  </si>
  <si>
    <t>Southern hinterland dry sclerophyll forests</t>
  </si>
  <si>
    <t>Cumberland dry sclerophyll forests</t>
  </si>
  <si>
    <t>Hunter-Macleay dry sclerophyll forests</t>
  </si>
  <si>
    <t>Clarence dry sclerophyll forests</t>
  </si>
  <si>
    <t>Montane wet sclerophyll forests</t>
  </si>
  <si>
    <t>Southern tableland wet sclerophyll forests</t>
  </si>
  <si>
    <t>Northern tableland wet sclerophyll forests</t>
  </si>
  <si>
    <t>Southern lowland wet sclerophyll forests</t>
  </si>
  <si>
    <t>Northern hinterland wet sclerophyll forests</t>
  </si>
  <si>
    <t>Southern escarpment wet sclerophyll forests</t>
  </si>
  <si>
    <t>Northern escarpment wet sclerophyll forests</t>
  </si>
  <si>
    <t>South coast wet sclerophyll forests</t>
  </si>
  <si>
    <t>North coast wet sclerophyll forests</t>
  </si>
  <si>
    <t>Null</t>
  </si>
  <si>
    <t>None</t>
  </si>
  <si>
    <t>Cond_Ov</t>
  </si>
  <si>
    <t>Spark_model</t>
  </si>
  <si>
    <t>AFDRS fuel type</t>
  </si>
  <si>
    <t>Fuel name</t>
  </si>
  <si>
    <t>Added NSWv402 fuel types</t>
  </si>
  <si>
    <t>NSWv402</t>
  </si>
  <si>
    <t>Fuel Hazard Score surface</t>
  </si>
  <si>
    <t>FHS_s_forest</t>
  </si>
  <si>
    <t>FHS_ns_forest</t>
  </si>
  <si>
    <t>Surface and near surface hazard scored now calculated directly from Lut and time since fire</t>
  </si>
  <si>
    <t>CHANGELOG</t>
  </si>
  <si>
    <t>Difference from AFDRS</t>
  </si>
  <si>
    <t>Model</t>
  </si>
  <si>
    <t>Function</t>
  </si>
  <si>
    <t>Reason</t>
  </si>
  <si>
    <t>Mk5</t>
  </si>
  <si>
    <t>ffdi</t>
  </si>
  <si>
    <t>incorporates the use of wrf which is not strictly a feature of the Mk5</t>
  </si>
  <si>
    <t>fuel_availability</t>
  </si>
  <si>
    <t>caps the fuel availability for wet model at DF * 0.1 so that when WRF is low wet fuel availability is not greater than dry</t>
  </si>
  <si>
    <t>FMC_mallee</t>
  </si>
  <si>
    <t>delta function in AFDRS always 0, here it returns results consistent with Cruz</t>
  </si>
  <si>
    <t>Uses WRF from Forest Model</t>
  </si>
  <si>
    <t>Mk5 FFDI calculation now uses WRF from Forest model as per Tolhurst</t>
  </si>
  <si>
    <t>Note: The FBI values below are included for comparison only!</t>
  </si>
  <si>
    <t>If the AFDRS adopts the Vesta2 model the FBI ranges will likely be recalibrated</t>
  </si>
  <si>
    <t>Do not change values in row 15 and down except for the light blue weather values.</t>
  </si>
  <si>
    <t>The script for populating the output values relies on valid date values in column A</t>
  </si>
  <si>
    <t>Do not leave blank lines in the weather data or the script for populating the outputs will not recognise data below the blank line</t>
  </si>
  <si>
    <t>Select your state using the dropdown list in G5, this will populate the fuel class drop down lists for the relevant state</t>
  </si>
  <si>
    <t>Fuel classes are taken from the AFDRS look-up-table, excpet for NSWv402 which is taken from more detailed mapping for NSW</t>
  </si>
  <si>
    <t>Selecting a fuel class from the drop down list will populate the model with values from the look-up-table</t>
  </si>
  <si>
    <t>You may change values in rows 1 to 13, but these will be reset if you select a new fuel class from the drop down list.</t>
  </si>
  <si>
    <t>To paste a weather stream from a csv into the spreadsheet, right-click the first cell and choose 'paste values'</t>
  </si>
  <si>
    <t>Check for latest version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</si>
</sst>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0F3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9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166" fontId="0" fillId="0" borderId="0" xfId="0" applyNumberFormat="1"/>
    <xf numFmtId="0" fontId="0" fillId="19" borderId="9" xfId="0" applyFill="1" applyBorder="1"/>
    <xf numFmtId="0" fontId="0" fillId="0" borderId="9" xfId="0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2" fillId="20" borderId="1" xfId="0" applyFont="1" applyFill="1" applyBorder="1"/>
    <xf numFmtId="0" fontId="0" fillId="20" borderId="1" xfId="0" applyFill="1" applyBorder="1"/>
    <xf numFmtId="0" fontId="0" fillId="20" borderId="1" xfId="0" applyFill="1" applyBorder="1" applyAlignment="1">
      <alignment horizontal="right"/>
    </xf>
    <xf numFmtId="0" fontId="0" fillId="20" borderId="4" xfId="0" applyFill="1" applyBorder="1"/>
    <xf numFmtId="0" fontId="1" fillId="20" borderId="3" xfId="0" applyFont="1" applyFill="1" applyBorder="1" applyAlignment="1">
      <alignment horizontal="center" wrapText="1"/>
    </xf>
    <xf numFmtId="1" fontId="0" fillId="20" borderId="5" xfId="0" applyNumberFormat="1" applyFill="1" applyBorder="1"/>
    <xf numFmtId="165" fontId="0" fillId="20" borderId="5" xfId="0" applyNumberFormat="1" applyFill="1" applyBorder="1"/>
    <xf numFmtId="0" fontId="0" fillId="21" borderId="1" xfId="0" applyFill="1" applyBorder="1"/>
    <xf numFmtId="1" fontId="0" fillId="10" borderId="5" xfId="0" applyNumberFormat="1" applyFill="1" applyBorder="1" applyAlignment="1">
      <alignment horizontal="right"/>
    </xf>
    <xf numFmtId="166" fontId="1" fillId="0" borderId="0" xfId="0" applyNumberFormat="1" applyFont="1"/>
    <xf numFmtId="166" fontId="2" fillId="0" borderId="0" xfId="0" applyNumberFormat="1" applyFont="1"/>
    <xf numFmtId="0" fontId="1" fillId="0" borderId="0" xfId="0" applyFont="1" applyAlignment="1">
      <alignment wrapText="1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44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EDF0F3"/>
      <color rgb="FFD1E7D1"/>
      <color rgb="FFACD4AC"/>
      <color rgb="FFFFE8C6"/>
      <color rgb="FFFFF5E7"/>
      <color rgb="FFEBEFE5"/>
      <color rgb="FFC6D2B4"/>
      <color rgb="FF93C793"/>
      <color rgb="FFE3C3C3"/>
      <color rgb="FFF1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4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4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7" totalsRowShown="0" headerRowDxfId="40">
  <autoFilter ref="A2:D37" xr:uid="{C5440D96-D451-4A27-B36D-0588EBEA2573}"/>
  <sortState xmlns:xlrd2="http://schemas.microsoft.com/office/spreadsheetml/2017/richdata2" ref="A3:D36">
    <sortCondition ref="A2:A36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67B73-4EB6-4993-8C0C-BE050DB3BA32}" name="NSW_fuel_LUT" displayName="NSW_fuel_LUT" ref="A1:AF263" totalsRowShown="0">
  <autoFilter ref="A1:AF263" xr:uid="{77067B73-4EB6-4993-8C0C-BE050DB3BA32}"/>
  <sortState xmlns:xlrd2="http://schemas.microsoft.com/office/spreadsheetml/2017/richdata2" ref="A2:AF263">
    <sortCondition ref="E1:E263"/>
  </sortState>
  <tableColumns count="32">
    <tableColumn id="1" xr3:uid="{C0E295D1-16D2-4693-8AA9-AF49BFF6E88E}" name="FTno_State"/>
    <tableColumn id="2" xr3:uid="{4A809D06-2A05-40C1-AAC4-2F41680C5EBC}" name="FTno_FDR"/>
    <tableColumn id="3" xr3:uid="{4552AF39-A47F-4BA4-B2A0-59EBA698B9DF}" name="Fuel name"/>
    <tableColumn id="4" xr3:uid="{5903B4C1-2049-4675-B54A-C3B7ACD7CEBC}" name="AFDRS fuel type"/>
    <tableColumn id="5" xr3:uid="{1E47EB6D-D6AF-4A4E-A535-C63E12271D06}" name="FBM"/>
    <tableColumn id="6" xr3:uid="{100CD413-FB92-49A5-A7D4-8654DB290CB3}" name="Spark_model"/>
    <tableColumn id="7" xr3:uid="{27756939-5A5B-43B1-A9EA-092F52072061}" name="FHS_s"/>
    <tableColumn id="8" xr3:uid="{84167CD0-19AF-4BFF-89F8-FAA0D16643A8}" name="FHS_ns"/>
    <tableColumn id="9" xr3:uid="{C5686644-A1B0-4628-9CDE-E98E726FDD33}" name="FHS_el"/>
    <tableColumn id="10" xr3:uid="{2E8C7EB5-0943-48EA-ACEC-98188D0B3556}" name="FL_s"/>
    <tableColumn id="11" xr3:uid="{D4301D9B-65FB-466D-9F89-0AD51B496D3D}" name="FL_ns"/>
    <tableColumn id="12" xr3:uid="{E8E45D1C-2072-4A89-A34B-CFA19C52BE4A}" name="FL_el"/>
    <tableColumn id="13" xr3:uid="{51DD1EDB-CC05-4BF3-9E4C-2E1AD761B2FB}" name="FL_b"/>
    <tableColumn id="14" xr3:uid="{E9303E27-7107-4425-980C-F51F274CA9BE}" name="FL_o"/>
    <tableColumn id="15" xr3:uid="{E37CD715-B6F7-4D30-A2A1-471D56F0F8F3}" name="FL_total"/>
    <tableColumn id="16" xr3:uid="{352CF568-89F6-43AE-B150-3E97852F060B}" name="Fk_s"/>
    <tableColumn id="17" xr3:uid="{F882AE13-B83C-4D2B-8D07-175878E2CA2C}" name="Fk_ns"/>
    <tableColumn id="18" xr3:uid="{8948BC3A-2635-4DB5-9001-DC8CE92E1350}" name="Fk_el"/>
    <tableColumn id="19" xr3:uid="{E86200B4-AD17-4C69-A3A6-F8F0B6F35571}" name="Fk_b"/>
    <tableColumn id="20" xr3:uid="{36F100CF-D1F2-4DBC-A162-2A21BF791C72}" name="Fk_o"/>
    <tableColumn id="21" xr3:uid="{A811DA05-CE21-4D26-9F33-0770DA6B4606}" name="Fk_total"/>
    <tableColumn id="22" xr3:uid="{4BBA694D-18A7-4DE7-B7C9-DE9B2C462457}" name="H_ns"/>
    <tableColumn id="23" xr3:uid="{F8AF721C-47B9-41C2-853C-86E4EE612D18}" name="H_el"/>
    <tableColumn id="24" xr3:uid="{AF280E8F-FCA4-4179-9B34-6BF44301AA95}" name="H_o"/>
    <tableColumn id="25" xr3:uid="{890EF807-CC64-43F2-A460-F727B5672F23}" name="Hk_ns"/>
    <tableColumn id="26" xr3:uid="{A6593134-0E35-4A8A-BB70-0C6AC9F4DE00}" name="Cov_o"/>
    <tableColumn id="27" xr3:uid="{DFAA0D9C-0C5D-48C5-8640-B2543F4266CA}" name="WF_Sav"/>
    <tableColumn id="28" xr3:uid="{AEBF496C-7B1F-4A29-A371-24F6E6238674}" name="WF_Heath"/>
    <tableColumn id="29" xr3:uid="{38CC2834-3A67-4CAB-8F04-7CD70904DA65}" name="WRF_For"/>
    <tableColumn id="30" xr3:uid="{F056B316-0FB8-49D5-9488-7911ADC34728}" name="Spotting"/>
    <tableColumn id="31" xr3:uid="{1E9A391C-2EE4-45ED-B928-DE2D25BB3E9B}" name="Prod_BG"/>
    <tableColumn id="32" xr3:uid="{4B27CFC2-CD25-49E6-8A1D-C8417D8DB6E9}" name="Cond_Ov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geoff.goldrick@rfs.nsw.gov.au" TargetMode="External"/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12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1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10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Relationship Id="rId9" Type="http://schemas.openxmlformats.org/officeDocument/2006/relationships/hyperlink" Target="mailto:geoff.goldrick@rfs.nsw.gov.au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CE178"/>
  <sheetViews>
    <sheetView tabSelected="1" zoomScale="90" zoomScaleNormal="90" workbookViewId="0">
      <pane xSplit="8" ySplit="1" topLeftCell="I2" activePane="bottomRight" state="frozen"/>
      <selection activeCell="AG1" sqref="AG1:AI1"/>
      <selection pane="topRight" activeCell="AG1" sqref="AG1:AI1"/>
      <selection pane="bottomLeft" activeCell="AG1" sqref="AG1:AI1"/>
      <selection pane="bottomRight" activeCell="H25" sqref="H25"/>
    </sheetView>
  </sheetViews>
  <sheetFormatPr defaultColWidth="8.88671875" defaultRowHeight="14.4" x14ac:dyDescent="0.3"/>
  <cols>
    <col min="1" max="1" width="13.6640625" style="19" customWidth="1"/>
    <col min="2" max="2" width="12.44140625" style="20" customWidth="1"/>
    <col min="3" max="7" width="10.6640625" style="21" customWidth="1"/>
    <col min="8" max="8" width="10.6640625" style="77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4" width="8.88671875" style="5"/>
    <col min="15" max="15" width="8.88671875" style="5" customWidth="1"/>
    <col min="16" max="16" width="8.88671875" style="7" customWidth="1"/>
    <col min="17" max="18" width="8.88671875" style="34" customWidth="1"/>
    <col min="19" max="20" width="8.88671875" style="8" customWidth="1"/>
    <col min="21" max="21" width="8.88671875" style="34" customWidth="1"/>
    <col min="22" max="23" width="8.88671875" style="8" customWidth="1"/>
    <col min="24" max="26" width="8.88671875" style="89" customWidth="1"/>
    <col min="27" max="29" width="8.88671875" style="91" customWidth="1"/>
    <col min="30" max="30" width="8.88671875" style="28" customWidth="1"/>
    <col min="31" max="32" width="8.88671875" style="35" customWidth="1"/>
    <col min="33" max="35" width="8.88671875" style="32" customWidth="1"/>
    <col min="36" max="36" width="8.88671875" style="103" customWidth="1"/>
    <col min="37" max="38" width="8.88671875" style="112" customWidth="1"/>
    <col min="39" max="40" width="8.88671875" style="106" customWidth="1"/>
    <col min="41" max="41" width="8.88671875" style="72" customWidth="1"/>
    <col min="42" max="43" width="8.88671875" style="86" customWidth="1"/>
    <col min="44" max="44" width="8.88671875" style="81" customWidth="1"/>
    <col min="45" max="47" width="8.88671875" style="72" customWidth="1"/>
    <col min="48" max="48" width="12.5546875" style="113" customWidth="1"/>
    <col min="49" max="50" width="8.88671875" style="124" customWidth="1"/>
    <col min="51" max="51" width="8.88671875" style="121" customWidth="1"/>
    <col min="52" max="52" width="8.88671875" style="113" customWidth="1"/>
    <col min="53" max="53" width="12.6640625" style="4" customWidth="1"/>
    <col min="54" max="55" width="8.88671875" style="33" customWidth="1"/>
    <col min="56" max="58" width="8.88671875" style="5" customWidth="1"/>
    <col min="59" max="61" width="8.88671875" style="124" customWidth="1"/>
    <col min="62" max="62" width="8.88671875" style="121" customWidth="1"/>
    <col min="63" max="64" width="8.88671875" style="113" customWidth="1"/>
    <col min="65" max="65" width="8.88671875" style="72" customWidth="1"/>
    <col min="66" max="67" width="8.88671875" style="86" customWidth="1"/>
    <col min="68" max="69" width="8.88671875" style="81" customWidth="1"/>
    <col min="70" max="75" width="8.88671875" style="72" customWidth="1"/>
    <col min="76" max="77" width="10.5546875" style="72" customWidth="1"/>
    <col min="78" max="83" width="8.88671875" style="163"/>
    <col min="84" max="16384" width="8.88671875" style="9"/>
  </cols>
  <sheetData>
    <row r="1" spans="1:83" ht="18" x14ac:dyDescent="0.35">
      <c r="A1" s="87" t="s">
        <v>88</v>
      </c>
      <c r="B1" s="185"/>
      <c r="C1" s="186"/>
      <c r="D1" s="2"/>
      <c r="E1" s="2"/>
      <c r="F1" s="139" t="s">
        <v>222</v>
      </c>
      <c r="G1" s="2"/>
      <c r="I1" s="3" t="s">
        <v>2</v>
      </c>
      <c r="J1" s="150" t="s">
        <v>703</v>
      </c>
      <c r="K1" s="187" t="s">
        <v>711</v>
      </c>
      <c r="L1" s="188"/>
      <c r="M1" s="188"/>
      <c r="N1" s="188"/>
      <c r="O1" s="189"/>
      <c r="P1" s="6" t="s">
        <v>15</v>
      </c>
      <c r="R1" s="13" t="s">
        <v>703</v>
      </c>
      <c r="S1" s="193" t="s">
        <v>711</v>
      </c>
      <c r="T1" s="194"/>
      <c r="U1" s="195"/>
      <c r="X1" s="90" t="s">
        <v>91</v>
      </c>
      <c r="Z1" s="151" t="s">
        <v>703</v>
      </c>
      <c r="AA1" s="190" t="s">
        <v>711</v>
      </c>
      <c r="AB1" s="191"/>
      <c r="AC1" s="192"/>
      <c r="AD1" s="30" t="s">
        <v>36</v>
      </c>
      <c r="AE1" s="28"/>
      <c r="AF1" s="154" t="s">
        <v>703</v>
      </c>
      <c r="AG1" s="196" t="s">
        <v>711</v>
      </c>
      <c r="AH1" s="197"/>
      <c r="AI1" s="198"/>
      <c r="AJ1" s="102" t="s">
        <v>68</v>
      </c>
      <c r="AK1" s="103"/>
      <c r="AL1" s="104" t="s">
        <v>703</v>
      </c>
      <c r="AM1" s="174" t="s">
        <v>711</v>
      </c>
      <c r="AN1" s="175"/>
      <c r="AO1" s="71" t="s">
        <v>76</v>
      </c>
      <c r="AP1" s="72"/>
      <c r="AQ1" s="132" t="s">
        <v>703</v>
      </c>
      <c r="AR1" s="176" t="s">
        <v>711</v>
      </c>
      <c r="AS1" s="177"/>
      <c r="AT1" s="178"/>
      <c r="AV1" s="118" t="s">
        <v>100</v>
      </c>
      <c r="AW1" s="153" t="s">
        <v>703</v>
      </c>
      <c r="AX1" s="182" t="s">
        <v>711</v>
      </c>
      <c r="AY1" s="183"/>
      <c r="AZ1" s="184"/>
      <c r="BA1" s="3" t="s">
        <v>192</v>
      </c>
      <c r="BB1" s="4"/>
      <c r="BC1" s="150" t="s">
        <v>703</v>
      </c>
      <c r="BD1" s="179" t="s">
        <v>711</v>
      </c>
      <c r="BE1" s="180"/>
      <c r="BF1" s="181"/>
      <c r="BG1" s="134" t="s">
        <v>200</v>
      </c>
      <c r="BM1" s="71" t="s">
        <v>199</v>
      </c>
      <c r="BN1" s="72"/>
      <c r="BO1" s="132"/>
      <c r="BP1" s="132"/>
      <c r="BZ1" s="162" t="s">
        <v>770</v>
      </c>
    </row>
    <row r="2" spans="1:83" x14ac:dyDescent="0.3">
      <c r="A2" s="87" t="s">
        <v>89</v>
      </c>
      <c r="B2" s="44">
        <v>45536</v>
      </c>
      <c r="C2" s="2"/>
      <c r="D2" s="2"/>
      <c r="E2" s="2"/>
      <c r="F2" s="2" t="s">
        <v>220</v>
      </c>
      <c r="G2" s="46">
        <v>2</v>
      </c>
      <c r="I2" s="11" t="s">
        <v>40</v>
      </c>
      <c r="J2" s="22">
        <v>3</v>
      </c>
      <c r="K2" s="12" t="s">
        <v>99</v>
      </c>
      <c r="P2" s="13"/>
      <c r="Q2" s="7"/>
      <c r="R2" s="13" t="s">
        <v>21</v>
      </c>
      <c r="AE2" s="28"/>
      <c r="AF2" s="28"/>
      <c r="AH2" s="31" t="s">
        <v>211</v>
      </c>
      <c r="AI2" s="31"/>
      <c r="AJ2" s="104" t="s">
        <v>75</v>
      </c>
      <c r="AK2" s="103"/>
      <c r="AL2" s="105"/>
      <c r="AN2" s="103"/>
      <c r="AP2" s="72"/>
      <c r="AQ2" s="72"/>
      <c r="AS2" s="82" t="s">
        <v>211</v>
      </c>
      <c r="AT2" s="82"/>
      <c r="AU2" s="82"/>
      <c r="AV2" s="160" t="s">
        <v>756</v>
      </c>
      <c r="BB2" s="11" t="s">
        <v>195</v>
      </c>
      <c r="BC2" s="22">
        <v>1</v>
      </c>
      <c r="BJ2" s="128" t="s">
        <v>207</v>
      </c>
      <c r="BK2" s="119">
        <f>SUM(fl_s_forest,fl_ns_forest,fl_e_forest)</f>
        <v>16</v>
      </c>
      <c r="BL2" s="128"/>
      <c r="BM2" s="72" t="s">
        <v>722</v>
      </c>
      <c r="BN2" s="72"/>
      <c r="BO2" s="82"/>
      <c r="BP2" s="132"/>
      <c r="BZ2" s="163" t="s">
        <v>775</v>
      </c>
    </row>
    <row r="3" spans="1:83" x14ac:dyDescent="0.3">
      <c r="A3" s="87" t="s">
        <v>90</v>
      </c>
      <c r="B3" s="45">
        <v>0.70833333333333337</v>
      </c>
      <c r="C3" s="2"/>
      <c r="D3" s="2"/>
      <c r="E3" s="2"/>
      <c r="F3" s="2" t="s">
        <v>221</v>
      </c>
      <c r="G3" s="46" t="b">
        <v>1</v>
      </c>
      <c r="I3" s="14"/>
      <c r="J3" s="15" t="s">
        <v>49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225</v>
      </c>
      <c r="AA3" s="100" t="s">
        <v>18</v>
      </c>
      <c r="AE3" s="28"/>
      <c r="AF3" s="28"/>
      <c r="AH3" s="31" t="s">
        <v>227</v>
      </c>
      <c r="AI3" s="31"/>
      <c r="AK3" s="103"/>
      <c r="AL3" s="105"/>
      <c r="AM3" s="105"/>
      <c r="AN3" s="103"/>
      <c r="AP3" s="72"/>
      <c r="AQ3" s="72"/>
      <c r="AS3" s="82" t="s">
        <v>212</v>
      </c>
      <c r="AT3" s="82"/>
      <c r="AU3" s="82"/>
      <c r="AY3" s="128"/>
      <c r="AZ3" s="128"/>
      <c r="BB3" s="11" t="s">
        <v>196</v>
      </c>
      <c r="BC3" s="131">
        <f>fuel_load_buttongrass(tsf,productivity_buttongrass)</f>
        <v>10.901261329650879</v>
      </c>
      <c r="BJ3" s="128"/>
      <c r="BK3" s="155" t="s">
        <v>777</v>
      </c>
      <c r="BL3" s="128"/>
      <c r="BN3" s="72" t="s">
        <v>231</v>
      </c>
      <c r="BO3" s="82"/>
      <c r="BP3" s="82"/>
      <c r="CA3" s="164" t="s">
        <v>207</v>
      </c>
      <c r="CB3" s="169">
        <f>SUM(fl_s_forest,fl_ns_forest)</f>
        <v>13</v>
      </c>
    </row>
    <row r="4" spans="1:83" x14ac:dyDescent="0.3">
      <c r="A4" s="87"/>
      <c r="B4" s="1"/>
      <c r="C4" s="2"/>
      <c r="D4" s="2"/>
      <c r="E4" s="2"/>
      <c r="F4" s="2"/>
      <c r="G4" s="2"/>
      <c r="I4" s="17" t="s">
        <v>8</v>
      </c>
      <c r="J4" s="18"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226</v>
      </c>
      <c r="AA4" s="156">
        <v>4.5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232</v>
      </c>
      <c r="BO4" s="132"/>
      <c r="BP4" s="132"/>
    </row>
    <row r="5" spans="1:83" ht="15.6" x14ac:dyDescent="0.3">
      <c r="A5" s="88" t="s">
        <v>24</v>
      </c>
      <c r="B5" s="1"/>
      <c r="C5" s="2"/>
      <c r="D5" s="2"/>
      <c r="E5" s="2"/>
      <c r="F5" s="139" t="s">
        <v>225</v>
      </c>
      <c r="G5" s="46" t="s">
        <v>899</v>
      </c>
      <c r="I5" s="17" t="s">
        <v>9</v>
      </c>
      <c r="J5" s="18">
        <v>3</v>
      </c>
      <c r="K5" s="23">
        <v>3</v>
      </c>
      <c r="Q5" s="7"/>
      <c r="R5" s="7"/>
      <c r="Z5" s="92" t="s">
        <v>20</v>
      </c>
      <c r="AA5" s="101">
        <v>100</v>
      </c>
      <c r="AE5" s="28"/>
      <c r="AF5" s="28"/>
      <c r="AK5" s="103"/>
      <c r="AL5" s="105"/>
      <c r="AM5" s="105"/>
      <c r="AN5" s="103"/>
      <c r="AP5" s="72"/>
      <c r="AQ5" s="72"/>
      <c r="AR5" s="82" t="s">
        <v>84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G5" s="124" t="s">
        <v>916</v>
      </c>
      <c r="BJ5" s="128"/>
      <c r="BK5" s="128"/>
      <c r="BL5" s="128"/>
      <c r="BN5" s="72" t="s">
        <v>40</v>
      </c>
      <c r="BO5" s="132"/>
      <c r="BP5" s="132"/>
    </row>
    <row r="6" spans="1:83" x14ac:dyDescent="0.3">
      <c r="A6" s="10" t="s">
        <v>198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98</v>
      </c>
      <c r="AA6" s="101">
        <v>0.5</v>
      </c>
      <c r="AE6" s="28"/>
      <c r="AF6" s="28"/>
      <c r="AG6" s="31" t="s">
        <v>724</v>
      </c>
      <c r="AH6" s="29">
        <v>0.66700000000000004</v>
      </c>
      <c r="AI6" s="31"/>
      <c r="AK6" s="103"/>
      <c r="AL6" s="105"/>
      <c r="AM6" s="105"/>
      <c r="AN6" s="103"/>
      <c r="AP6" s="72"/>
      <c r="AQ6" s="72"/>
      <c r="AR6" s="82" t="s">
        <v>85</v>
      </c>
      <c r="AS6" s="149">
        <v>0.8</v>
      </c>
      <c r="AT6" s="82"/>
      <c r="AU6" s="82"/>
      <c r="AY6" s="128" t="s">
        <v>98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71</v>
      </c>
      <c r="BO6" s="72"/>
      <c r="BP6" s="82"/>
      <c r="BQ6" s="82"/>
    </row>
    <row r="7" spans="1:83" x14ac:dyDescent="0.3">
      <c r="A7" s="10" t="s">
        <v>25</v>
      </c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41</v>
      </c>
      <c r="AH7" s="29">
        <v>1.3</v>
      </c>
      <c r="AI7" s="31"/>
      <c r="AK7" s="103"/>
      <c r="AL7" s="103"/>
      <c r="AM7" s="103"/>
      <c r="AN7" s="103"/>
      <c r="AP7" s="72"/>
      <c r="AQ7" s="72"/>
      <c r="AR7" s="82" t="s">
        <v>86</v>
      </c>
      <c r="AS7" s="83">
        <v>18</v>
      </c>
      <c r="AT7" s="82"/>
      <c r="AU7" s="82"/>
      <c r="AY7" s="128" t="s">
        <v>71</v>
      </c>
      <c r="AZ7" s="119" t="s">
        <v>103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83" x14ac:dyDescent="0.3">
      <c r="A8" s="10" t="s">
        <v>48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87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M8" s="132" t="s">
        <v>918</v>
      </c>
      <c r="BN8" s="72"/>
      <c r="BO8" s="72"/>
      <c r="BP8" s="133"/>
      <c r="BQ8" s="133"/>
    </row>
    <row r="9" spans="1:83" x14ac:dyDescent="0.3">
      <c r="A9" s="1"/>
      <c r="B9" s="1"/>
      <c r="C9" s="2"/>
      <c r="D9" s="2"/>
      <c r="E9" s="2"/>
      <c r="F9" s="129" t="s">
        <v>38</v>
      </c>
      <c r="G9" s="46">
        <v>0</v>
      </c>
      <c r="I9" s="17"/>
      <c r="J9" s="12" t="s">
        <v>12</v>
      </c>
      <c r="K9" s="18"/>
      <c r="L9" s="130" t="s">
        <v>193</v>
      </c>
      <c r="Q9" s="7"/>
      <c r="R9" s="7"/>
      <c r="AE9" s="28"/>
      <c r="AF9" s="28"/>
      <c r="AG9" s="31" t="s">
        <v>27</v>
      </c>
      <c r="AH9" s="148">
        <v>12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M9" s="72" t="s">
        <v>919</v>
      </c>
      <c r="BN9" s="72"/>
      <c r="BO9" s="72"/>
      <c r="BP9" s="72"/>
      <c r="BQ9" s="72"/>
    </row>
    <row r="10" spans="1:83" x14ac:dyDescent="0.3">
      <c r="A10" s="25" t="s">
        <v>928</v>
      </c>
      <c r="B10" s="1"/>
      <c r="C10" s="2"/>
      <c r="D10" s="2"/>
      <c r="E10" s="2"/>
      <c r="F10" s="129" t="s">
        <v>37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71</v>
      </c>
      <c r="M10" s="65" t="s">
        <v>73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83" x14ac:dyDescent="0.3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224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83" x14ac:dyDescent="0.3">
      <c r="A12" s="25"/>
      <c r="B12" s="1"/>
      <c r="C12" s="2"/>
      <c r="D12" s="2"/>
      <c r="E12" s="2"/>
      <c r="F12" s="161" t="s">
        <v>69</v>
      </c>
      <c r="G12" s="64">
        <v>20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83" s="66" customFormat="1" ht="18" x14ac:dyDescent="0.35">
      <c r="A13" s="36" t="s">
        <v>1</v>
      </c>
      <c r="B13" s="37"/>
      <c r="C13" s="38"/>
      <c r="D13" s="38"/>
      <c r="E13" s="38"/>
      <c r="F13" s="161" t="s">
        <v>101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  <c r="BZ13" s="165"/>
      <c r="CA13" s="165"/>
      <c r="CB13" s="165"/>
      <c r="CC13" s="165"/>
      <c r="CD13" s="165"/>
      <c r="CE13" s="165"/>
    </row>
    <row r="14" spans="1:83" s="68" customFormat="1" ht="60" customHeight="1" x14ac:dyDescent="0.3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59" t="s">
        <v>70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223</v>
      </c>
      <c r="P14" s="61" t="s">
        <v>70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209</v>
      </c>
      <c r="V14" s="62" t="s">
        <v>210</v>
      </c>
      <c r="W14" s="142" t="s">
        <v>223</v>
      </c>
      <c r="X14" s="95" t="s">
        <v>70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223</v>
      </c>
      <c r="AD14" s="63" t="s">
        <v>70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233</v>
      </c>
      <c r="AJ14" s="108" t="s">
        <v>70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70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228</v>
      </c>
      <c r="AU14" s="75" t="s">
        <v>229</v>
      </c>
      <c r="AV14" s="115" t="s">
        <v>70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70</v>
      </c>
      <c r="BB14" s="59" t="s">
        <v>3</v>
      </c>
      <c r="BC14" s="59" t="s">
        <v>4</v>
      </c>
      <c r="BD14" s="60" t="s">
        <v>5</v>
      </c>
      <c r="BE14" s="60" t="s">
        <v>194</v>
      </c>
      <c r="BF14" s="60" t="s">
        <v>7</v>
      </c>
      <c r="BG14" s="126" t="s">
        <v>208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223</v>
      </c>
      <c r="BM14" s="74" t="s">
        <v>70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201</v>
      </c>
      <c r="BT14" s="75" t="s">
        <v>202</v>
      </c>
      <c r="BU14" s="75" t="s">
        <v>203</v>
      </c>
      <c r="BV14" s="75" t="s">
        <v>205</v>
      </c>
      <c r="BW14" s="75" t="s">
        <v>204</v>
      </c>
      <c r="BX14" s="75" t="s">
        <v>206</v>
      </c>
      <c r="BY14" s="144" t="s">
        <v>223</v>
      </c>
      <c r="BZ14" s="166" t="s">
        <v>771</v>
      </c>
      <c r="CA14" s="166" t="s">
        <v>772</v>
      </c>
      <c r="CB14" s="166" t="s">
        <v>773</v>
      </c>
      <c r="CC14" s="166" t="s">
        <v>774</v>
      </c>
      <c r="CD14" s="166" t="s">
        <v>776</v>
      </c>
      <c r="CE14" s="166" t="s">
        <v>7</v>
      </c>
    </row>
    <row r="15" spans="1:83" s="67" customFormat="1" x14ac:dyDescent="0.3">
      <c r="A15" s="44">
        <v>45520</v>
      </c>
      <c r="B15" s="45">
        <v>0.625</v>
      </c>
      <c r="C15" s="46">
        <v>25</v>
      </c>
      <c r="D15" s="46">
        <v>30</v>
      </c>
      <c r="E15" s="46" t="s">
        <v>197</v>
      </c>
      <c r="F15" s="46">
        <v>20</v>
      </c>
      <c r="G15" s="46">
        <v>8</v>
      </c>
      <c r="H15" s="79">
        <f>backbearing(E15)</f>
        <v>180</v>
      </c>
      <c r="I15" s="47">
        <f>fbi(K15,Forest)</f>
        <v>19</v>
      </c>
      <c r="J15" s="48">
        <f>ROS_forest(F15,fhs_s,fhs_ns,h_ns_forest,N15,G15,waf_forest,kbdi,submodel_forest)</f>
        <v>408.61795303209414</v>
      </c>
      <c r="K15" s="48">
        <f>Intensity_forest(J15,G15,L15,fl_s_forest,fl_ns_forest,fl_e_forest,fl_o_forest,h_o_forest,waf_forest,kbdi,submodel_forest)</f>
        <v>2702.3266689838733</v>
      </c>
      <c r="L15" s="49">
        <f>Flame_height_forest(J15,h_e_forest)</f>
        <v>5.738792896270752</v>
      </c>
      <c r="M15" s="47">
        <f>Spotting_forest(J15,$F15,fhs_s)</f>
        <v>252</v>
      </c>
      <c r="N15" s="49">
        <f>FMC_Forest(C15,D15,A15,B15,submodel_forest)</f>
        <v>7.5449999999999999</v>
      </c>
      <c r="O15" s="48" cm="1">
        <f t="array" ref="O15">breach_probability(K15,fb_width,fb_trees)</f>
        <v>82.818778991699219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1" cm="1">
        <f t="array" ref="W15">breach_probability(R15,fb_width,fb_trees)</f>
        <v>96.4061279296875</v>
      </c>
      <c r="X15" s="97">
        <f>fbi(Z15,Woodland)</f>
        <v>13</v>
      </c>
      <c r="Y15" s="98">
        <f>ROS_woodland(F15,AB15,curing_woodland, state_woodland,waf_woodland)</f>
        <v>1606.534423828125</v>
      </c>
      <c r="Z15" s="98">
        <f>Intensity_woodland(Y15,fl_woodland)</f>
        <v>3735.1924364515799</v>
      </c>
      <c r="AA15" s="99">
        <f>Flame_height_woodland(Y15,state_woodland)</f>
        <v>0.88276749849319458</v>
      </c>
      <c r="AB15" s="99">
        <f>FMC_woodland(C15,D15)</f>
        <v>8.5950002670288086</v>
      </c>
      <c r="AC15" s="98" cm="1">
        <f t="array" ref="AC15">breach_probability(Z15,fb_width,fb_trees)</f>
        <v>87.486427307128906</v>
      </c>
      <c r="AD15" s="53">
        <f>fbi(AE15,Heath)</f>
        <v>9</v>
      </c>
      <c r="AE15" s="54">
        <f>ROS_heath(F15,h_el_heath,AH15,AI15,waf_heath)</f>
        <v>1778.055101891714</v>
      </c>
      <c r="AF15" s="54">
        <f>intensity_heath(AE15,fl_heath)</f>
        <v>11023.941631728627</v>
      </c>
      <c r="AG15" s="55">
        <f>Flame_height_heath(AF15)</f>
        <v>5.7537570083878355</v>
      </c>
      <c r="AH15" s="55">
        <f>FMC_heath(C15,D15,rain,tsr)</f>
        <v>8.3899999999999988</v>
      </c>
      <c r="AI15" s="55">
        <f>+SI_heath(F15,h_el_heath,AH15,waf_heath)</f>
        <v>0.99240677354064466</v>
      </c>
      <c r="AJ15" s="109">
        <f>fbi(AL15,Pine)</f>
        <v>6</v>
      </c>
      <c r="AK15" s="110">
        <f t="array" ref="AK15:AM15">fb_pine_ensemble(F15,AN15,G15,kbdi)</f>
        <v>624.20873114965354</v>
      </c>
      <c r="AL15" s="110">
        <v>144.02892207627559</v>
      </c>
      <c r="AM15" s="111">
        <v>0.33687636256217957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FFDI(C15,D15,G15,F15, waf_forest)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7" cm="1">
        <f t="array" ref="BL15">breach_probability(BI15,fb_width,fb_trees)</f>
        <v>76.841522216796875</v>
      </c>
      <c r="BM15" s="76">
        <f>fbi(BO15,Forest)</f>
        <v>36</v>
      </c>
      <c r="BN15" s="85">
        <f>ros_Vesta2(BS15,BT15,BU15,BV15,BW15)</f>
        <v>1041.31884765625</v>
      </c>
      <c r="BO15" s="85">
        <f>Intensity_forest(BN15,G15,BP15,fl_s_forest,fl_ns_forest,fl_e_forest,fl_o_forest,h_o_forest,waf_forest,kbdi,submodel_forest)</f>
        <v>6886.5884919060818</v>
      </c>
      <c r="BP15" s="84">
        <f>Flame_height_forest(BN15,h_e_forest)</f>
        <v>11.286286354064941</v>
      </c>
      <c r="BQ15" s="84">
        <f>Spotting_forest(BN15,$F15,fhs_s)</f>
        <v>1938</v>
      </c>
      <c r="BR15" s="84">
        <f>FMC_Vesta2(C15,D15,A15,B15,submodel_forest)</f>
        <v>7.5449999999999999</v>
      </c>
      <c r="BS15" s="86">
        <f>ros1_Vesta2(F15,waf_forest,fl_s_forest+fl_ns_forest,BR15,BX15)</f>
        <v>236.1473388671875</v>
      </c>
      <c r="BT15" s="86">
        <f>ros2_Vesta2(F15,waf_forest,fl_s_forest+fl_ns_forest,h_e_forest,BR15,BX15)</f>
        <v>1041.4190673828125</v>
      </c>
      <c r="BU15" s="86">
        <f>ros3_Vesta2(F15,BR15,BX15)</f>
        <v>1293.6922607421875</v>
      </c>
      <c r="BV15" s="138">
        <f>prob_phase2(F15,waf_forest,fl_s_forest+fl_ns_forest,BR15,BX15)</f>
        <v>0.99973130226135254</v>
      </c>
      <c r="BW15" s="138">
        <f>prob_phase3(F15,BT15,BR15,BX15)</f>
        <v>4.6006991760805249E-4</v>
      </c>
      <c r="BX15" s="81">
        <f>fuel_availability_Vesta2(G15,kbdi,waf_forest,submodel_forest)</f>
        <v>0.94976853617656709</v>
      </c>
      <c r="BY15" s="170" cm="1">
        <f t="array" ref="BY15">breach_probability(BO15,fb_width,fb_trees)</f>
        <v>95.6025390625</v>
      </c>
      <c r="BZ15" s="167" cm="1">
        <f t="array" ref="BZ15">ROS_Leaflet80(CD15,CE15,$CB$3*G15/10)</f>
        <v>71.624252319335938</v>
      </c>
      <c r="CA15" s="168" cm="1">
        <f t="array" ref="CA15">Flame_height_leaflet80($CB$3*G15/10,BZ15)</f>
        <v>1.4365449517895374</v>
      </c>
      <c r="CB15" s="168" cm="1">
        <f t="array" ref="CB15">Scorch_height_leaflet80(CA15)</f>
        <v>6.8802000471894411</v>
      </c>
      <c r="CC15" s="167" cm="1">
        <f t="array" ref="CC15">Intensity(BZ15,$CB$3*G15/10)</f>
        <v>384.86096834594838</v>
      </c>
      <c r="CD15" s="168" cm="1">
        <f t="array" ref="CD15">U1_5_leaflet80(F15)</f>
        <v>5.254000186920166</v>
      </c>
      <c r="CE15" s="168" cm="1">
        <f t="array" ref="CE15">FMC_Leaflet80(C15,D15,B15)</f>
        <v>6.5229997634887695</v>
      </c>
    </row>
    <row r="16" spans="1:83" x14ac:dyDescent="0.3">
      <c r="A16" s="44"/>
      <c r="B16" s="45"/>
      <c r="C16" s="46"/>
      <c r="D16" s="46"/>
      <c r="E16" s="46"/>
      <c r="F16" s="46"/>
      <c r="G16" s="46"/>
      <c r="H16" s="79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7"/>
      <c r="Y16" s="98"/>
      <c r="Z16" s="98"/>
      <c r="AA16" s="99"/>
      <c r="AB16" s="99"/>
      <c r="AC16" s="99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84"/>
      <c r="AT16" s="84"/>
      <c r="AU16" s="84"/>
      <c r="AV16" s="117"/>
      <c r="AW16" s="127"/>
      <c r="AX16" s="127"/>
      <c r="AY16" s="123"/>
      <c r="AZ16" s="123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23"/>
      <c r="BL16" s="123"/>
      <c r="BM16" s="76"/>
      <c r="BN16" s="85"/>
      <c r="BO16" s="85"/>
      <c r="BP16" s="84"/>
      <c r="BQ16" s="84"/>
      <c r="BR16" s="84"/>
      <c r="BS16" s="86"/>
      <c r="BT16" s="86"/>
      <c r="BU16" s="86"/>
      <c r="BV16" s="138"/>
      <c r="BW16" s="138"/>
      <c r="BX16" s="81"/>
      <c r="BY16" s="84"/>
      <c r="BZ16" s="167"/>
      <c r="CA16" s="168"/>
      <c r="CB16" s="168"/>
      <c r="CC16" s="167"/>
      <c r="CD16" s="168"/>
      <c r="CE16" s="168"/>
    </row>
    <row r="17" spans="1:77" x14ac:dyDescent="0.3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84"/>
      <c r="AT17" s="84"/>
      <c r="AU17" s="84"/>
      <c r="AV17" s="117"/>
      <c r="AW17" s="127"/>
      <c r="AX17" s="127"/>
      <c r="AY17" s="123"/>
      <c r="AZ17" s="123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23"/>
      <c r="BL17" s="123"/>
      <c r="BM17" s="76"/>
      <c r="BN17" s="85"/>
      <c r="BO17" s="85"/>
      <c r="BP17" s="84"/>
      <c r="BQ17" s="84"/>
      <c r="BR17" s="84"/>
      <c r="BS17" s="86"/>
      <c r="BT17" s="86"/>
      <c r="BU17" s="86"/>
      <c r="BV17" s="138"/>
      <c r="BW17" s="138"/>
      <c r="BX17" s="81"/>
      <c r="BY17" s="84"/>
    </row>
    <row r="18" spans="1:77" x14ac:dyDescent="0.3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84"/>
      <c r="AT18" s="84"/>
      <c r="AU18" s="84"/>
      <c r="AV18" s="117"/>
      <c r="AW18" s="127"/>
      <c r="AX18" s="127"/>
      <c r="AY18" s="123"/>
      <c r="AZ18" s="123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23"/>
      <c r="BL18" s="123"/>
      <c r="BM18" s="76"/>
      <c r="BN18" s="85"/>
      <c r="BO18" s="85"/>
      <c r="BP18" s="84"/>
      <c r="BQ18" s="84"/>
      <c r="BR18" s="84"/>
      <c r="BS18" s="86"/>
      <c r="BT18" s="86"/>
      <c r="BU18" s="86"/>
      <c r="BV18" s="138"/>
      <c r="BW18" s="138"/>
      <c r="BX18" s="81"/>
      <c r="BY18" s="84"/>
    </row>
    <row r="19" spans="1:77" x14ac:dyDescent="0.3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84"/>
      <c r="AT19" s="84"/>
      <c r="AU19" s="84"/>
      <c r="AV19" s="117"/>
      <c r="AW19" s="127"/>
      <c r="AX19" s="127"/>
      <c r="AY19" s="123"/>
      <c r="AZ19" s="123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23"/>
      <c r="BL19" s="123"/>
      <c r="BM19" s="76"/>
      <c r="BN19" s="85"/>
      <c r="BO19" s="85"/>
      <c r="BP19" s="84"/>
      <c r="BQ19" s="84"/>
      <c r="BR19" s="84"/>
      <c r="BS19" s="86"/>
      <c r="BT19" s="86"/>
      <c r="BU19" s="86"/>
      <c r="BV19" s="138"/>
      <c r="BW19" s="138"/>
      <c r="BX19" s="81"/>
      <c r="BY19" s="84"/>
    </row>
    <row r="20" spans="1:77" x14ac:dyDescent="0.3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84"/>
      <c r="AT20" s="84"/>
      <c r="AU20" s="84"/>
      <c r="AV20" s="117"/>
      <c r="AW20" s="127"/>
      <c r="AX20" s="127"/>
      <c r="AY20" s="123"/>
      <c r="AZ20" s="123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23"/>
      <c r="BL20" s="123"/>
      <c r="BM20" s="76"/>
      <c r="BN20" s="85"/>
      <c r="BO20" s="85"/>
      <c r="BP20" s="84"/>
      <c r="BQ20" s="84"/>
      <c r="BR20" s="84"/>
      <c r="BS20" s="86"/>
      <c r="BT20" s="86"/>
      <c r="BU20" s="86"/>
      <c r="BV20" s="138"/>
      <c r="BW20" s="138"/>
      <c r="BX20" s="81"/>
      <c r="BY20" s="84"/>
    </row>
    <row r="21" spans="1:77" x14ac:dyDescent="0.3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84"/>
      <c r="AT21" s="84"/>
      <c r="AU21" s="84"/>
      <c r="AV21" s="117"/>
      <c r="AW21" s="127"/>
      <c r="AX21" s="127"/>
      <c r="AY21" s="123"/>
      <c r="AZ21" s="123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23"/>
      <c r="BL21" s="123"/>
      <c r="BM21" s="76"/>
      <c r="BN21" s="85"/>
      <c r="BO21" s="85"/>
      <c r="BP21" s="84"/>
      <c r="BQ21" s="84"/>
      <c r="BR21" s="84"/>
      <c r="BS21" s="86"/>
      <c r="BT21" s="86"/>
      <c r="BU21" s="86"/>
      <c r="BV21" s="138"/>
      <c r="BW21" s="138"/>
      <c r="BX21" s="81"/>
      <c r="BY21" s="84"/>
    </row>
    <row r="22" spans="1:77" x14ac:dyDescent="0.3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84"/>
      <c r="AT22" s="84"/>
      <c r="AU22" s="84"/>
      <c r="AV22" s="117"/>
      <c r="AW22" s="127"/>
      <c r="AX22" s="127"/>
      <c r="AY22" s="123"/>
      <c r="AZ22" s="123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23"/>
      <c r="BL22" s="123"/>
      <c r="BM22" s="76"/>
      <c r="BN22" s="85"/>
      <c r="BO22" s="85"/>
      <c r="BP22" s="84"/>
      <c r="BQ22" s="84"/>
      <c r="BR22" s="84"/>
      <c r="BS22" s="86"/>
      <c r="BT22" s="86"/>
      <c r="BU22" s="86"/>
      <c r="BV22" s="138"/>
      <c r="BW22" s="138"/>
      <c r="BX22" s="81"/>
      <c r="BY22" s="84"/>
    </row>
    <row r="23" spans="1:77" x14ac:dyDescent="0.3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7" x14ac:dyDescent="0.3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7" x14ac:dyDescent="0.3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7" x14ac:dyDescent="0.3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7" x14ac:dyDescent="0.3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7" x14ac:dyDescent="0.3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7" x14ac:dyDescent="0.3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7" x14ac:dyDescent="0.3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7" x14ac:dyDescent="0.3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7" x14ac:dyDescent="0.3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3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3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3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3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3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3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3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3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3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3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3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3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3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3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3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3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3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3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3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3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3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3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3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3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3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3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3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3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3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3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3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3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3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3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3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3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3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3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3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3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3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3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3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3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3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3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3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3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3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3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3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3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3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3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3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3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3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3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3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3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3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3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3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3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3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3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3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3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3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3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3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3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3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3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3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3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3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3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3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3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3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3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3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3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3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3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3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3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3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3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3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3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3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3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3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3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3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3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3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3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3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3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3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3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3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3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3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3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3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3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3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3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3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3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3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3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3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3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3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3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3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3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3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3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3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3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3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3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3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3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3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3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3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3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3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3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3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3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3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3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3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3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3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3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3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3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9">
      <formula>$P15&gt;=100</formula>
    </cfRule>
    <cfRule type="expression" dxfId="38" priority="50">
      <formula>$P15&gt;=50</formula>
    </cfRule>
    <cfRule type="expression" dxfId="37" priority="51">
      <formula>$P15&gt;=24</formula>
    </cfRule>
    <cfRule type="expression" dxfId="36" priority="52">
      <formula>$P15&gt;=12</formula>
    </cfRule>
  </conditionalFormatting>
  <conditionalFormatting sqref="I15:I1048576 BA15:BA1048576">
    <cfRule type="expression" dxfId="35" priority="53">
      <formula>$I15&gt;=100</formula>
    </cfRule>
    <cfRule type="expression" dxfId="34" priority="54">
      <formula>$I15&gt;50</formula>
    </cfRule>
    <cfRule type="expression" dxfId="33" priority="55">
      <formula>$I15&gt;=24</formula>
    </cfRule>
    <cfRule type="expression" dxfId="32" priority="56">
      <formula>$I15&gt;=12</formula>
    </cfRule>
  </conditionalFormatting>
  <conditionalFormatting sqref="AD15:AD179">
    <cfRule type="expression" dxfId="31" priority="48">
      <formula>$AD15&gt;=12</formula>
    </cfRule>
  </conditionalFormatting>
  <conditionalFormatting sqref="AD15:AD179">
    <cfRule type="expression" dxfId="30" priority="45">
      <formula>$AD15&gt;=100</formula>
    </cfRule>
    <cfRule type="expression" dxfId="29" priority="46">
      <formula>$AD15&gt;=50</formula>
    </cfRule>
    <cfRule type="expression" dxfId="28" priority="47">
      <formula>$AD15&gt;=24</formula>
    </cfRule>
  </conditionalFormatting>
  <conditionalFormatting sqref="AJ15:AJ179">
    <cfRule type="expression" dxfId="27" priority="44">
      <formula>$AJ15&gt;=12</formula>
    </cfRule>
  </conditionalFormatting>
  <conditionalFormatting sqref="AJ15:AJ179">
    <cfRule type="expression" dxfId="26" priority="41">
      <formula>$AJ15&gt;=100</formula>
    </cfRule>
    <cfRule type="expression" dxfId="25" priority="42">
      <formula>$AJ15&gt;=50</formula>
    </cfRule>
    <cfRule type="expression" dxfId="24" priority="43">
      <formula>$AJ15&gt;=24</formula>
    </cfRule>
  </conditionalFormatting>
  <conditionalFormatting sqref="AO15:AO178">
    <cfRule type="expression" dxfId="23" priority="40">
      <formula>AO15&gt;=12</formula>
    </cfRule>
  </conditionalFormatting>
  <conditionalFormatting sqref="AO15:AO178">
    <cfRule type="expression" dxfId="22" priority="37">
      <formula>AO15&gt;=100</formula>
    </cfRule>
    <cfRule type="expression" dxfId="21" priority="38">
      <formula>AO15&gt;=50</formula>
    </cfRule>
    <cfRule type="expression" dxfId="20" priority="39">
      <formula>AO15&gt;=24</formula>
    </cfRule>
  </conditionalFormatting>
  <conditionalFormatting sqref="X15:X178">
    <cfRule type="expression" dxfId="19" priority="25">
      <formula>$P15&gt;=100</formula>
    </cfRule>
    <cfRule type="expression" dxfId="18" priority="26">
      <formula>$P15&gt;=50</formula>
    </cfRule>
    <cfRule type="expression" dxfId="17" priority="27">
      <formula>$P15&gt;=24</formula>
    </cfRule>
    <cfRule type="expression" dxfId="16" priority="28">
      <formula>$P15&gt;=12</formula>
    </cfRule>
  </conditionalFormatting>
  <conditionalFormatting sqref="AV15:AV178">
    <cfRule type="expression" dxfId="15" priority="21">
      <formula>$AJ15&gt;=100</formula>
    </cfRule>
    <cfRule type="expression" dxfId="14" priority="22">
      <formula>$AJ15&gt;=50</formula>
    </cfRule>
    <cfRule type="expression" dxfId="13" priority="23">
      <formula>$AJ15&gt;=24</formula>
    </cfRule>
  </conditionalFormatting>
  <conditionalFormatting sqref="AV15:AV178">
    <cfRule type="expression" dxfId="12" priority="24">
      <formula>$AJ15&gt;=12</formula>
    </cfRule>
  </conditionalFormatting>
  <conditionalFormatting sqref="BM23:BM178">
    <cfRule type="expression" dxfId="11" priority="16">
      <formula>BM23&gt;=12</formula>
    </cfRule>
  </conditionalFormatting>
  <conditionalFormatting sqref="BM23:BM178">
    <cfRule type="expression" dxfId="10" priority="13">
      <formula>BM23&gt;=100</formula>
    </cfRule>
    <cfRule type="expression" dxfId="9" priority="14">
      <formula>BM23&gt;=50</formula>
    </cfRule>
    <cfRule type="expression" dxfId="8" priority="15">
      <formula>BM23&gt;=24</formula>
    </cfRule>
  </conditionalFormatting>
  <conditionalFormatting sqref="BG15:BG178">
    <cfRule type="expression" dxfId="7" priority="9">
      <formula>$AJ15&gt;=100</formula>
    </cfRule>
    <cfRule type="expression" dxfId="6" priority="10">
      <formula>$AJ15&gt;=50</formula>
    </cfRule>
    <cfRule type="expression" dxfId="5" priority="11">
      <formula>$AJ15&gt;=24</formula>
    </cfRule>
  </conditionalFormatting>
  <conditionalFormatting sqref="BG15:BG178">
    <cfRule type="expression" dxfId="4" priority="12">
      <formula>$AJ15&gt;=12</formula>
    </cfRule>
  </conditionalFormatting>
  <conditionalFormatting sqref="BM15:BM22">
    <cfRule type="expression" dxfId="3" priority="4">
      <formula>BM15&gt;=12</formula>
    </cfRule>
  </conditionalFormatting>
  <conditionalFormatting sqref="BM15:BM22">
    <cfRule type="expression" dxfId="2" priority="1">
      <formula>BM15&gt;=100</formula>
    </cfRule>
    <cfRule type="expression" dxfId="1" priority="2">
      <formula>BM15&gt;=50</formula>
    </cfRule>
    <cfRule type="expression" dxfId="0" priority="3">
      <formula>BM15&gt;=24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NSWv402,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AX1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AA3 Q3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BA630-9BBD-4416-9625-6528D16C732B}">
  <sheetPr codeName="Sheet4"/>
  <dimension ref="A1:A8"/>
  <sheetViews>
    <sheetView workbookViewId="0">
      <selection activeCell="D12" sqref="D12"/>
    </sheetView>
  </sheetViews>
  <sheetFormatPr defaultRowHeight="14.4" x14ac:dyDescent="0.3"/>
  <sheetData>
    <row r="1" spans="1:1" x14ac:dyDescent="0.3">
      <c r="A1" s="26" t="s">
        <v>920</v>
      </c>
    </row>
    <row r="2" spans="1:1" x14ac:dyDescent="0.3">
      <c r="A2" t="s">
        <v>927</v>
      </c>
    </row>
    <row r="3" spans="1:1" x14ac:dyDescent="0.3">
      <c r="A3" t="s">
        <v>923</v>
      </c>
    </row>
    <row r="4" spans="1:1" x14ac:dyDescent="0.3">
      <c r="A4" t="s">
        <v>924</v>
      </c>
    </row>
    <row r="5" spans="1:1" x14ac:dyDescent="0.3">
      <c r="A5" t="s">
        <v>925</v>
      </c>
    </row>
    <row r="6" spans="1:1" x14ac:dyDescent="0.3">
      <c r="A6" t="s">
        <v>926</v>
      </c>
    </row>
    <row r="7" spans="1:1" x14ac:dyDescent="0.3">
      <c r="A7" t="s">
        <v>921</v>
      </c>
    </row>
    <row r="8" spans="1:1" x14ac:dyDescent="0.3">
      <c r="A8" t="s">
        <v>922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20"/>
  <sheetViews>
    <sheetView workbookViewId="0">
      <selection activeCell="C32" sqref="C32"/>
    </sheetView>
  </sheetViews>
  <sheetFormatPr defaultRowHeight="14.4" x14ac:dyDescent="0.3"/>
  <cols>
    <col min="1" max="1" width="12" style="157" customWidth="1"/>
    <col min="2" max="2" width="28.5546875" bestFit="1" customWidth="1"/>
    <col min="3" max="3" width="100.6640625" style="147" customWidth="1"/>
  </cols>
  <sheetData>
    <row r="1" spans="1:3" ht="18" x14ac:dyDescent="0.35">
      <c r="A1" s="172" t="s">
        <v>905</v>
      </c>
    </row>
    <row r="2" spans="1:3" x14ac:dyDescent="0.3">
      <c r="A2" s="171" t="s">
        <v>906</v>
      </c>
      <c r="B2" s="26" t="s">
        <v>907</v>
      </c>
      <c r="C2" s="173" t="s">
        <v>908</v>
      </c>
    </row>
    <row r="3" spans="1:3" x14ac:dyDescent="0.3">
      <c r="A3" s="157" t="s">
        <v>909</v>
      </c>
      <c r="B3" t="s">
        <v>910</v>
      </c>
      <c r="C3" s="147" t="s">
        <v>911</v>
      </c>
    </row>
    <row r="4" spans="1:3" x14ac:dyDescent="0.3">
      <c r="A4" s="157" t="s">
        <v>26</v>
      </c>
      <c r="B4" t="s">
        <v>912</v>
      </c>
      <c r="C4" s="147" t="s">
        <v>913</v>
      </c>
    </row>
    <row r="5" spans="1:3" x14ac:dyDescent="0.3">
      <c r="A5" s="157" t="s">
        <v>737</v>
      </c>
      <c r="B5" t="s">
        <v>914</v>
      </c>
      <c r="C5" s="147" t="s">
        <v>915</v>
      </c>
    </row>
    <row r="7" spans="1:3" ht="18" x14ac:dyDescent="0.35">
      <c r="A7" s="172" t="s">
        <v>904</v>
      </c>
    </row>
    <row r="8" spans="1:3" x14ac:dyDescent="0.3">
      <c r="A8" s="171" t="s">
        <v>726</v>
      </c>
      <c r="B8" s="26" t="s">
        <v>213</v>
      </c>
      <c r="C8" s="173" t="s">
        <v>214</v>
      </c>
    </row>
    <row r="9" spans="1:3" x14ac:dyDescent="0.3">
      <c r="A9" s="157">
        <v>45583</v>
      </c>
      <c r="B9" s="137" t="s">
        <v>215</v>
      </c>
      <c r="C9" s="147" t="s">
        <v>917</v>
      </c>
    </row>
    <row r="10" spans="1:3" x14ac:dyDescent="0.3">
      <c r="A10" s="157">
        <v>45576</v>
      </c>
      <c r="B10" s="137" t="s">
        <v>215</v>
      </c>
      <c r="C10" s="147" t="s">
        <v>903</v>
      </c>
    </row>
    <row r="11" spans="1:3" x14ac:dyDescent="0.3">
      <c r="A11" s="157">
        <v>45560</v>
      </c>
      <c r="B11" s="137" t="s">
        <v>215</v>
      </c>
      <c r="C11" s="147" t="s">
        <v>898</v>
      </c>
    </row>
    <row r="12" spans="1:3" x14ac:dyDescent="0.3">
      <c r="A12" s="157">
        <v>45559</v>
      </c>
      <c r="B12" s="137" t="s">
        <v>215</v>
      </c>
      <c r="C12" s="147" t="s">
        <v>778</v>
      </c>
    </row>
    <row r="13" spans="1:3" x14ac:dyDescent="0.3">
      <c r="A13" s="157">
        <v>45536</v>
      </c>
      <c r="B13" s="137" t="s">
        <v>215</v>
      </c>
      <c r="C13" s="147" t="s">
        <v>769</v>
      </c>
    </row>
    <row r="14" spans="1:3" ht="28.8" x14ac:dyDescent="0.3">
      <c r="A14" s="157">
        <v>45520</v>
      </c>
      <c r="B14" s="137" t="s">
        <v>215</v>
      </c>
      <c r="C14" s="147" t="s">
        <v>723</v>
      </c>
    </row>
    <row r="15" spans="1:3" ht="43.2" x14ac:dyDescent="0.3">
      <c r="A15" s="157">
        <v>45517</v>
      </c>
      <c r="B15" s="137" t="s">
        <v>215</v>
      </c>
      <c r="C15" s="147" t="s">
        <v>706</v>
      </c>
    </row>
    <row r="16" spans="1:3" ht="28.8" x14ac:dyDescent="0.3">
      <c r="A16" s="157">
        <v>45362</v>
      </c>
      <c r="B16" s="137" t="s">
        <v>215</v>
      </c>
      <c r="C16" s="147" t="s">
        <v>230</v>
      </c>
    </row>
    <row r="17" spans="1:3" ht="43.2" x14ac:dyDescent="0.3">
      <c r="A17" s="157">
        <v>45350</v>
      </c>
      <c r="B17" s="137" t="s">
        <v>215</v>
      </c>
      <c r="C17" s="147" t="s">
        <v>725</v>
      </c>
    </row>
    <row r="18" spans="1:3" x14ac:dyDescent="0.3">
      <c r="A18" s="157">
        <v>45337</v>
      </c>
      <c r="B18" s="137" t="s">
        <v>215</v>
      </c>
      <c r="C18" s="147" t="s">
        <v>216</v>
      </c>
    </row>
    <row r="19" spans="1:3" x14ac:dyDescent="0.3">
      <c r="A19" s="157">
        <v>45337</v>
      </c>
      <c r="B19" s="137" t="s">
        <v>215</v>
      </c>
      <c r="C19" s="147" t="s">
        <v>218</v>
      </c>
    </row>
    <row r="20" spans="1:3" x14ac:dyDescent="0.3">
      <c r="A20" s="157">
        <v>45337</v>
      </c>
      <c r="B20" s="137" t="s">
        <v>215</v>
      </c>
      <c r="C20" s="147" t="s">
        <v>219</v>
      </c>
    </row>
  </sheetData>
  <hyperlinks>
    <hyperlink ref="B18" r:id="rId1" xr:uid="{9C519682-40A3-4376-BBAD-C3A15B12AFA3}"/>
    <hyperlink ref="B19" r:id="rId2" xr:uid="{B1588E9A-788F-4281-B98F-E8F54F0FF0F2}"/>
    <hyperlink ref="B20" r:id="rId3" xr:uid="{AB6E1068-558F-437B-8A54-14E7C534CCD3}"/>
    <hyperlink ref="B17" r:id="rId4" xr:uid="{62C32CD0-8A71-4E82-9007-654A953FEE96}"/>
    <hyperlink ref="B16" r:id="rId5" xr:uid="{23857086-BAB7-4882-96D8-8AF6EF25DC51}"/>
    <hyperlink ref="B15" r:id="rId6" xr:uid="{A7BD4FF4-3F48-44F2-8B44-69944C056496}"/>
    <hyperlink ref="B14" r:id="rId7" xr:uid="{020C6672-8EB2-42AA-B6CA-5A6FC37F8A95}"/>
    <hyperlink ref="B13" r:id="rId8" xr:uid="{61DB2F6D-610E-40D8-B4F0-DE165F40CF3B}"/>
    <hyperlink ref="B12" r:id="rId9" xr:uid="{078CA0A8-8D6F-431F-ACD6-2AD47412C253}"/>
    <hyperlink ref="B11" r:id="rId10" xr:uid="{8160AF2C-4E79-4CB6-B31D-FBB6330FE834}"/>
    <hyperlink ref="B10" r:id="rId11" xr:uid="{5BB3EBF4-6611-405A-A815-0DAB09B474F6}"/>
    <hyperlink ref="B9" r:id="rId12" xr:uid="{569983D3-CF61-488F-9168-5DF8E4E33CD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topLeftCell="A70" zoomScale="80" zoomScaleNormal="80" workbookViewId="0">
      <selection activeCell="A149" sqref="A149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3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3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3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3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3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3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3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3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3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3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3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3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3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3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3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3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3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3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3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3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3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3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3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3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3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3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3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3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3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3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3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3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3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3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3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3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3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3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3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3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3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3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3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3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3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3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3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3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3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3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3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3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3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3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D9" sqref="D9"/>
    </sheetView>
  </sheetViews>
  <sheetFormatPr defaultRowHeight="14.4" x14ac:dyDescent="0.3"/>
  <cols>
    <col min="1" max="1" width="12.88671875" bestFit="1" customWidth="1"/>
    <col min="2" max="2" width="16.33203125" bestFit="1" customWidth="1"/>
    <col min="3" max="3" width="7.6640625" bestFit="1" customWidth="1"/>
    <col min="4" max="4" width="34.6640625" bestFit="1" customWidth="1"/>
    <col min="5" max="5" width="13.6640625" customWidth="1"/>
    <col min="6" max="7" width="12.109375" customWidth="1"/>
    <col min="9" max="9" width="18.109375" customWidth="1"/>
    <col min="10" max="10" width="28.664062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34</v>
      </c>
      <c r="F1" s="26" t="s">
        <v>16</v>
      </c>
      <c r="G1" s="26" t="s">
        <v>732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3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3">
      <c r="A3" t="s">
        <v>50</v>
      </c>
      <c r="B3" t="s">
        <v>757</v>
      </c>
      <c r="C3">
        <v>0</v>
      </c>
      <c r="D3" t="s">
        <v>758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651</v>
      </c>
      <c r="X3">
        <v>1</v>
      </c>
      <c r="Y3" t="s">
        <v>854</v>
      </c>
      <c r="Z3">
        <v>46</v>
      </c>
      <c r="AA3" t="s">
        <v>859</v>
      </c>
      <c r="AB3">
        <v>36</v>
      </c>
      <c r="AE3" t="s">
        <v>632</v>
      </c>
      <c r="AF3">
        <v>42</v>
      </c>
      <c r="AG3" t="s">
        <v>853</v>
      </c>
      <c r="AH3">
        <v>50</v>
      </c>
      <c r="AI3" t="s">
        <v>644</v>
      </c>
      <c r="AJ3">
        <v>67</v>
      </c>
      <c r="AK3" t="s">
        <v>635</v>
      </c>
      <c r="AL3">
        <v>49</v>
      </c>
    </row>
    <row r="4" spans="1:38" x14ac:dyDescent="0.3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891</v>
      </c>
      <c r="X4">
        <v>2</v>
      </c>
      <c r="Y4" t="s">
        <v>851</v>
      </c>
      <c r="Z4">
        <v>52</v>
      </c>
      <c r="AA4" t="s">
        <v>858</v>
      </c>
      <c r="AB4">
        <v>37</v>
      </c>
      <c r="AE4" t="s">
        <v>631</v>
      </c>
      <c r="AF4">
        <v>43</v>
      </c>
    </row>
    <row r="5" spans="1:38" x14ac:dyDescent="0.3">
      <c r="A5" t="s">
        <v>50</v>
      </c>
      <c r="B5" t="s">
        <v>768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890</v>
      </c>
      <c r="X5">
        <v>3</v>
      </c>
      <c r="Y5" t="s">
        <v>627</v>
      </c>
      <c r="Z5">
        <v>56</v>
      </c>
      <c r="AA5" t="s">
        <v>857</v>
      </c>
      <c r="AB5">
        <v>38</v>
      </c>
      <c r="AE5" t="s">
        <v>630</v>
      </c>
      <c r="AF5">
        <v>44</v>
      </c>
    </row>
    <row r="6" spans="1:38" x14ac:dyDescent="0.3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729</v>
      </c>
      <c r="M6" s="158">
        <v>0.35</v>
      </c>
      <c r="Q6" t="s">
        <v>97</v>
      </c>
      <c r="W6" t="s">
        <v>889</v>
      </c>
      <c r="X6">
        <v>4</v>
      </c>
      <c r="Y6" t="s">
        <v>584</v>
      </c>
      <c r="Z6">
        <v>58</v>
      </c>
      <c r="AA6" t="s">
        <v>856</v>
      </c>
      <c r="AB6">
        <v>40</v>
      </c>
      <c r="AE6" t="s">
        <v>629</v>
      </c>
      <c r="AF6">
        <v>45</v>
      </c>
    </row>
    <row r="7" spans="1:38" x14ac:dyDescent="0.3">
      <c r="A7" t="s">
        <v>50</v>
      </c>
      <c r="B7" t="s">
        <v>35</v>
      </c>
      <c r="C7">
        <v>0</v>
      </c>
      <c r="D7" t="s">
        <v>727</v>
      </c>
      <c r="I7" t="s">
        <v>139</v>
      </c>
      <c r="J7" t="s">
        <v>182</v>
      </c>
      <c r="M7" s="159">
        <v>0.66700000000000004</v>
      </c>
      <c r="W7" t="s">
        <v>888</v>
      </c>
      <c r="X7">
        <v>5</v>
      </c>
      <c r="Y7" t="s">
        <v>849</v>
      </c>
      <c r="Z7">
        <v>60</v>
      </c>
      <c r="AA7" t="s">
        <v>855</v>
      </c>
      <c r="AB7">
        <v>41</v>
      </c>
    </row>
    <row r="8" spans="1:38" x14ac:dyDescent="0.3">
      <c r="A8" t="s">
        <v>50</v>
      </c>
      <c r="B8" t="s">
        <v>765</v>
      </c>
      <c r="C8">
        <v>30</v>
      </c>
      <c r="D8" t="s">
        <v>51</v>
      </c>
      <c r="I8" t="s">
        <v>120</v>
      </c>
      <c r="J8" t="s">
        <v>163</v>
      </c>
      <c r="Q8" t="s">
        <v>730</v>
      </c>
      <c r="W8" t="s">
        <v>887</v>
      </c>
      <c r="X8">
        <v>6</v>
      </c>
      <c r="Y8" t="s">
        <v>848</v>
      </c>
      <c r="Z8">
        <v>63</v>
      </c>
      <c r="AA8" t="s">
        <v>642</v>
      </c>
      <c r="AB8">
        <v>47</v>
      </c>
    </row>
    <row r="9" spans="1:38" x14ac:dyDescent="0.3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886</v>
      </c>
      <c r="X9">
        <v>7</v>
      </c>
      <c r="Y9" t="s">
        <v>238</v>
      </c>
      <c r="Z9">
        <v>66</v>
      </c>
      <c r="AA9" t="s">
        <v>638</v>
      </c>
      <c r="AB9">
        <v>48</v>
      </c>
    </row>
    <row r="10" spans="1:38" x14ac:dyDescent="0.3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885</v>
      </c>
      <c r="X10">
        <v>8</v>
      </c>
      <c r="AA10" t="s">
        <v>852</v>
      </c>
      <c r="AB10">
        <v>51</v>
      </c>
    </row>
    <row r="11" spans="1:38" x14ac:dyDescent="0.3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884</v>
      </c>
      <c r="X11">
        <v>9</v>
      </c>
      <c r="AA11" t="s">
        <v>637</v>
      </c>
      <c r="AB11">
        <v>53</v>
      </c>
    </row>
    <row r="12" spans="1:38" x14ac:dyDescent="0.3">
      <c r="A12" t="s">
        <v>733</v>
      </c>
      <c r="B12" t="s">
        <v>673</v>
      </c>
      <c r="C12">
        <v>1</v>
      </c>
      <c r="D12" t="s">
        <v>734</v>
      </c>
      <c r="I12" t="s">
        <v>140</v>
      </c>
      <c r="J12" t="s">
        <v>183</v>
      </c>
      <c r="W12" t="s">
        <v>883</v>
      </c>
      <c r="X12">
        <v>10</v>
      </c>
      <c r="AA12" t="s">
        <v>573</v>
      </c>
      <c r="AB12">
        <v>64</v>
      </c>
    </row>
    <row r="13" spans="1:38" x14ac:dyDescent="0.3">
      <c r="A13" t="s">
        <v>26</v>
      </c>
      <c r="B13" t="s">
        <v>901</v>
      </c>
      <c r="C13">
        <v>3</v>
      </c>
      <c r="D13" t="s">
        <v>900</v>
      </c>
      <c r="I13" t="s">
        <v>132</v>
      </c>
      <c r="J13" t="s">
        <v>175</v>
      </c>
      <c r="W13" t="s">
        <v>882</v>
      </c>
      <c r="X13">
        <v>11</v>
      </c>
      <c r="AA13" t="s">
        <v>847</v>
      </c>
      <c r="AB13">
        <v>65</v>
      </c>
    </row>
    <row r="14" spans="1:38" x14ac:dyDescent="0.3">
      <c r="A14" t="s">
        <v>26</v>
      </c>
      <c r="B14" t="s">
        <v>902</v>
      </c>
      <c r="C14">
        <v>3</v>
      </c>
      <c r="D14" t="s">
        <v>900</v>
      </c>
      <c r="I14" t="s">
        <v>143</v>
      </c>
      <c r="J14" t="s">
        <v>186</v>
      </c>
      <c r="W14" t="s">
        <v>881</v>
      </c>
      <c r="X14">
        <v>12</v>
      </c>
      <c r="AA14" t="s">
        <v>845</v>
      </c>
      <c r="AB14">
        <v>70</v>
      </c>
    </row>
    <row r="15" spans="1:38" x14ac:dyDescent="0.3">
      <c r="A15" t="s">
        <v>26</v>
      </c>
      <c r="B15" t="s">
        <v>748</v>
      </c>
      <c r="C15">
        <v>2.2000000000000002</v>
      </c>
      <c r="D15" t="s">
        <v>728</v>
      </c>
      <c r="I15" t="s">
        <v>106</v>
      </c>
      <c r="J15" t="s">
        <v>149</v>
      </c>
      <c r="W15" t="s">
        <v>880</v>
      </c>
      <c r="X15">
        <v>13</v>
      </c>
      <c r="AA15" t="s">
        <v>844</v>
      </c>
      <c r="AB15">
        <v>71</v>
      </c>
    </row>
    <row r="16" spans="1:38" x14ac:dyDescent="0.3">
      <c r="A16" t="s">
        <v>26</v>
      </c>
      <c r="B16" t="s">
        <v>741</v>
      </c>
      <c r="C16">
        <v>3</v>
      </c>
      <c r="D16" t="s">
        <v>740</v>
      </c>
      <c r="I16" t="s">
        <v>141</v>
      </c>
      <c r="J16" t="s">
        <v>184</v>
      </c>
      <c r="W16" t="s">
        <v>879</v>
      </c>
      <c r="X16">
        <v>14</v>
      </c>
      <c r="AA16" t="s">
        <v>639</v>
      </c>
      <c r="AB16">
        <v>76</v>
      </c>
    </row>
    <row r="17" spans="1:24" x14ac:dyDescent="0.3">
      <c r="A17" t="s">
        <v>26</v>
      </c>
      <c r="B17" t="s">
        <v>742</v>
      </c>
      <c r="C17">
        <v>3</v>
      </c>
      <c r="D17" t="s">
        <v>53</v>
      </c>
      <c r="I17" t="s">
        <v>133</v>
      </c>
      <c r="J17" t="s">
        <v>176</v>
      </c>
      <c r="W17" t="s">
        <v>878</v>
      </c>
      <c r="X17">
        <v>15</v>
      </c>
    </row>
    <row r="18" spans="1:24" x14ac:dyDescent="0.3">
      <c r="A18" t="s">
        <v>26</v>
      </c>
      <c r="B18" t="s">
        <v>743</v>
      </c>
      <c r="C18">
        <v>4.5</v>
      </c>
      <c r="D18" t="s">
        <v>54</v>
      </c>
      <c r="I18" t="s">
        <v>144</v>
      </c>
      <c r="J18" t="s">
        <v>187</v>
      </c>
      <c r="W18" t="s">
        <v>877</v>
      </c>
      <c r="X18">
        <v>16</v>
      </c>
    </row>
    <row r="19" spans="1:24" x14ac:dyDescent="0.3">
      <c r="A19" t="s">
        <v>26</v>
      </c>
      <c r="B19" t="s">
        <v>744</v>
      </c>
      <c r="C19">
        <v>10</v>
      </c>
      <c r="D19" t="s">
        <v>55</v>
      </c>
      <c r="I19" t="s">
        <v>130</v>
      </c>
      <c r="J19" t="s">
        <v>173</v>
      </c>
      <c r="W19" t="s">
        <v>876</v>
      </c>
      <c r="X19">
        <v>17</v>
      </c>
    </row>
    <row r="20" spans="1:24" x14ac:dyDescent="0.3">
      <c r="A20" t="s">
        <v>26</v>
      </c>
      <c r="B20" t="s">
        <v>755</v>
      </c>
      <c r="C20">
        <v>2</v>
      </c>
      <c r="D20" t="s">
        <v>754</v>
      </c>
      <c r="I20" t="s">
        <v>146</v>
      </c>
      <c r="J20" t="s">
        <v>189</v>
      </c>
      <c r="W20" t="s">
        <v>875</v>
      </c>
      <c r="X20">
        <v>18</v>
      </c>
    </row>
    <row r="21" spans="1:24" x14ac:dyDescent="0.3">
      <c r="A21" t="s">
        <v>26</v>
      </c>
      <c r="B21" t="s">
        <v>745</v>
      </c>
      <c r="C21">
        <v>20</v>
      </c>
      <c r="D21" t="s">
        <v>56</v>
      </c>
      <c r="I21" t="s">
        <v>136</v>
      </c>
      <c r="J21" t="s">
        <v>179</v>
      </c>
      <c r="W21" t="s">
        <v>874</v>
      </c>
      <c r="X21">
        <v>19</v>
      </c>
    </row>
    <row r="22" spans="1:24" x14ac:dyDescent="0.3">
      <c r="A22" t="s">
        <v>26</v>
      </c>
      <c r="B22" t="s">
        <v>746</v>
      </c>
      <c r="C22">
        <v>20</v>
      </c>
      <c r="D22" t="s">
        <v>62</v>
      </c>
      <c r="I22" t="s">
        <v>138</v>
      </c>
      <c r="J22" t="s">
        <v>181</v>
      </c>
      <c r="W22" t="s">
        <v>873</v>
      </c>
      <c r="X22">
        <v>20</v>
      </c>
    </row>
    <row r="23" spans="1:24" x14ac:dyDescent="0.3">
      <c r="A23" t="s">
        <v>26</v>
      </c>
      <c r="B23" t="s">
        <v>135</v>
      </c>
      <c r="C23" t="s">
        <v>73</v>
      </c>
      <c r="D23" t="s">
        <v>762</v>
      </c>
      <c r="I23" t="s">
        <v>110</v>
      </c>
      <c r="J23" t="s">
        <v>153</v>
      </c>
      <c r="W23" t="s">
        <v>872</v>
      </c>
      <c r="X23">
        <v>21</v>
      </c>
    </row>
    <row r="24" spans="1:24" x14ac:dyDescent="0.3">
      <c r="A24" t="s">
        <v>26</v>
      </c>
      <c r="B24" t="s">
        <v>747</v>
      </c>
      <c r="C24">
        <v>3</v>
      </c>
      <c r="D24" t="s">
        <v>736</v>
      </c>
      <c r="I24" t="s">
        <v>111</v>
      </c>
      <c r="J24" t="s">
        <v>154</v>
      </c>
      <c r="W24" t="s">
        <v>871</v>
      </c>
      <c r="X24">
        <v>22</v>
      </c>
    </row>
    <row r="25" spans="1:24" x14ac:dyDescent="0.3">
      <c r="A25" t="s">
        <v>32</v>
      </c>
      <c r="B25" t="s">
        <v>31</v>
      </c>
      <c r="C25">
        <v>100</v>
      </c>
      <c r="D25" t="s">
        <v>63</v>
      </c>
      <c r="W25" t="s">
        <v>870</v>
      </c>
      <c r="X25">
        <v>23</v>
      </c>
    </row>
    <row r="26" spans="1:24" x14ac:dyDescent="0.3">
      <c r="A26" t="s">
        <v>32</v>
      </c>
      <c r="B26" t="s">
        <v>23</v>
      </c>
      <c r="C26" t="s">
        <v>18</v>
      </c>
      <c r="D26" t="s">
        <v>64</v>
      </c>
      <c r="W26" t="s">
        <v>869</v>
      </c>
      <c r="X26">
        <v>24</v>
      </c>
    </row>
    <row r="27" spans="1:24" x14ac:dyDescent="0.3">
      <c r="A27" t="s">
        <v>45</v>
      </c>
      <c r="B27" t="s">
        <v>749</v>
      </c>
      <c r="C27">
        <v>12</v>
      </c>
      <c r="D27" t="s">
        <v>60</v>
      </c>
      <c r="I27" t="s">
        <v>148</v>
      </c>
      <c r="J27" t="s">
        <v>191</v>
      </c>
      <c r="W27" t="s">
        <v>868</v>
      </c>
      <c r="X27">
        <v>25</v>
      </c>
    </row>
    <row r="28" spans="1:24" x14ac:dyDescent="0.3">
      <c r="A28" t="s">
        <v>45</v>
      </c>
      <c r="B28" t="s">
        <v>750</v>
      </c>
      <c r="C28">
        <v>1.3</v>
      </c>
      <c r="D28" t="s">
        <v>61</v>
      </c>
      <c r="I28" t="s">
        <v>127</v>
      </c>
      <c r="J28" t="s">
        <v>170</v>
      </c>
      <c r="W28" t="s">
        <v>867</v>
      </c>
      <c r="X28">
        <v>26</v>
      </c>
    </row>
    <row r="29" spans="1:24" x14ac:dyDescent="0.3">
      <c r="A29" t="s">
        <v>45</v>
      </c>
      <c r="B29" t="s">
        <v>666</v>
      </c>
      <c r="C29">
        <v>0.66700000000000004</v>
      </c>
      <c r="D29" t="s">
        <v>735</v>
      </c>
      <c r="I29" t="s">
        <v>113</v>
      </c>
      <c r="J29" t="s">
        <v>156</v>
      </c>
      <c r="W29" t="s">
        <v>654</v>
      </c>
      <c r="X29">
        <v>27</v>
      </c>
    </row>
    <row r="30" spans="1:24" x14ac:dyDescent="0.3">
      <c r="A30" t="s">
        <v>737</v>
      </c>
      <c r="B30" t="s">
        <v>738</v>
      </c>
      <c r="C30">
        <v>18</v>
      </c>
      <c r="D30" t="s">
        <v>753</v>
      </c>
      <c r="I30" t="s">
        <v>128</v>
      </c>
      <c r="J30" t="s">
        <v>171</v>
      </c>
      <c r="W30" t="s">
        <v>866</v>
      </c>
      <c r="X30">
        <v>28</v>
      </c>
    </row>
    <row r="31" spans="1:24" x14ac:dyDescent="0.3">
      <c r="A31" t="s">
        <v>737</v>
      </c>
      <c r="B31" t="s">
        <v>752</v>
      </c>
      <c r="C31">
        <v>0.8</v>
      </c>
      <c r="D31" t="s">
        <v>54</v>
      </c>
      <c r="I31" t="s">
        <v>124</v>
      </c>
      <c r="J31" t="s">
        <v>167</v>
      </c>
      <c r="W31" t="s">
        <v>865</v>
      </c>
      <c r="X31">
        <v>29</v>
      </c>
    </row>
    <row r="32" spans="1:24" x14ac:dyDescent="0.3">
      <c r="A32" t="s">
        <v>737</v>
      </c>
      <c r="B32" t="s">
        <v>751</v>
      </c>
      <c r="C32">
        <v>3.8</v>
      </c>
      <c r="D32" t="s">
        <v>55</v>
      </c>
      <c r="I32" t="s">
        <v>122</v>
      </c>
      <c r="J32" t="s">
        <v>165</v>
      </c>
      <c r="W32" t="s">
        <v>864</v>
      </c>
      <c r="X32">
        <v>30</v>
      </c>
    </row>
    <row r="33" spans="1:24" x14ac:dyDescent="0.3">
      <c r="A33" t="s">
        <v>737</v>
      </c>
      <c r="B33" t="s">
        <v>739</v>
      </c>
      <c r="C33">
        <v>4.5</v>
      </c>
      <c r="D33" t="s">
        <v>62</v>
      </c>
      <c r="I33" t="s">
        <v>125</v>
      </c>
      <c r="J33" t="s">
        <v>168</v>
      </c>
      <c r="W33" t="s">
        <v>863</v>
      </c>
      <c r="X33">
        <v>31</v>
      </c>
    </row>
    <row r="34" spans="1:24" x14ac:dyDescent="0.3">
      <c r="A34" t="s">
        <v>759</v>
      </c>
      <c r="B34" t="s">
        <v>760</v>
      </c>
      <c r="C34" t="s">
        <v>103</v>
      </c>
      <c r="D34" t="s">
        <v>761</v>
      </c>
      <c r="I34" t="s">
        <v>145</v>
      </c>
      <c r="J34" t="s">
        <v>188</v>
      </c>
      <c r="W34" t="s">
        <v>862</v>
      </c>
      <c r="X34">
        <v>32</v>
      </c>
    </row>
    <row r="35" spans="1:24" x14ac:dyDescent="0.3">
      <c r="A35" t="s">
        <v>759</v>
      </c>
      <c r="B35" t="s">
        <v>763</v>
      </c>
      <c r="C35">
        <v>0.7</v>
      </c>
      <c r="D35" t="s">
        <v>764</v>
      </c>
      <c r="I35" t="s">
        <v>119</v>
      </c>
      <c r="J35" t="s">
        <v>162</v>
      </c>
      <c r="W35" t="s">
        <v>861</v>
      </c>
      <c r="X35">
        <v>33</v>
      </c>
    </row>
    <row r="36" spans="1:24" x14ac:dyDescent="0.3">
      <c r="A36" t="s">
        <v>93</v>
      </c>
      <c r="B36" t="s">
        <v>674</v>
      </c>
      <c r="C36">
        <v>0.5</v>
      </c>
      <c r="D36" t="s">
        <v>731</v>
      </c>
      <c r="I36" t="s">
        <v>116</v>
      </c>
      <c r="J36" t="s">
        <v>159</v>
      </c>
      <c r="W36" t="s">
        <v>860</v>
      </c>
      <c r="X36">
        <v>34</v>
      </c>
    </row>
    <row r="37" spans="1:24" x14ac:dyDescent="0.3">
      <c r="A37" t="s">
        <v>50</v>
      </c>
      <c r="B37" t="s">
        <v>766</v>
      </c>
      <c r="C37" t="s">
        <v>197</v>
      </c>
      <c r="D37" t="s">
        <v>767</v>
      </c>
      <c r="I37" t="s">
        <v>115</v>
      </c>
      <c r="J37" t="s">
        <v>158</v>
      </c>
      <c r="W37" t="s">
        <v>658</v>
      </c>
      <c r="X37">
        <v>35</v>
      </c>
    </row>
    <row r="38" spans="1:24" x14ac:dyDescent="0.3">
      <c r="I38" t="s">
        <v>114</v>
      </c>
      <c r="J38" t="s">
        <v>157</v>
      </c>
      <c r="W38" t="s">
        <v>657</v>
      </c>
      <c r="X38">
        <v>39</v>
      </c>
    </row>
    <row r="39" spans="1:24" x14ac:dyDescent="0.3">
      <c r="I39" t="s">
        <v>117</v>
      </c>
      <c r="J39" t="s">
        <v>160</v>
      </c>
      <c r="W39" t="s">
        <v>647</v>
      </c>
      <c r="X39">
        <v>54</v>
      </c>
    </row>
    <row r="40" spans="1:24" x14ac:dyDescent="0.3">
      <c r="I40" t="s">
        <v>135</v>
      </c>
      <c r="J40" t="s">
        <v>178</v>
      </c>
      <c r="W40" t="s">
        <v>646</v>
      </c>
      <c r="X40">
        <v>55</v>
      </c>
    </row>
    <row r="41" spans="1:24" x14ac:dyDescent="0.3">
      <c r="I41" t="s">
        <v>134</v>
      </c>
      <c r="J41" t="s">
        <v>177</v>
      </c>
      <c r="W41" t="s">
        <v>645</v>
      </c>
      <c r="X41">
        <v>68</v>
      </c>
    </row>
    <row r="42" spans="1:24" x14ac:dyDescent="0.3">
      <c r="I42" t="s">
        <v>108</v>
      </c>
      <c r="J42" t="s">
        <v>151</v>
      </c>
    </row>
    <row r="43" spans="1:24" x14ac:dyDescent="0.3">
      <c r="I43" t="s">
        <v>137</v>
      </c>
      <c r="J43" t="s">
        <v>180</v>
      </c>
    </row>
    <row r="44" spans="1:24" x14ac:dyDescent="0.3">
      <c r="I44" t="s">
        <v>121</v>
      </c>
      <c r="J44" t="s">
        <v>164</v>
      </c>
    </row>
    <row r="45" spans="1:24" x14ac:dyDescent="0.3">
      <c r="I45" t="s">
        <v>109</v>
      </c>
      <c r="J45" t="s">
        <v>152</v>
      </c>
    </row>
    <row r="46" spans="1:24" x14ac:dyDescent="0.3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B307F-3C13-4F60-A9EB-8BB58BE0B902}">
  <sheetPr codeName="Sheet3"/>
  <dimension ref="A1:AF263"/>
  <sheetViews>
    <sheetView workbookViewId="0">
      <selection activeCell="D1" sqref="D1:D263"/>
    </sheetView>
  </sheetViews>
  <sheetFormatPr defaultRowHeight="14.4" x14ac:dyDescent="0.3"/>
  <cols>
    <col min="1" max="1" width="13" customWidth="1"/>
    <col min="2" max="2" width="11.88671875" customWidth="1"/>
    <col min="3" max="3" width="21.33203125" customWidth="1"/>
    <col min="4" max="4" width="24.6640625" customWidth="1"/>
    <col min="5" max="5" width="20.44140625" customWidth="1"/>
    <col min="6" max="6" width="14.6640625" customWidth="1"/>
    <col min="8" max="8" width="9.44140625" customWidth="1"/>
    <col min="15" max="15" width="10.109375" customWidth="1"/>
    <col min="21" max="21" width="10.33203125" customWidth="1"/>
    <col min="27" max="27" width="10" customWidth="1"/>
    <col min="28" max="28" width="12.33203125" customWidth="1"/>
    <col min="29" max="29" width="11" customWidth="1"/>
    <col min="30" max="30" width="10.5546875" customWidth="1"/>
    <col min="31" max="31" width="10.6640625" customWidth="1"/>
    <col min="32" max="32" width="11.109375" customWidth="1"/>
  </cols>
  <sheetData>
    <row r="1" spans="1:32" x14ac:dyDescent="0.3">
      <c r="A1" t="s">
        <v>699</v>
      </c>
      <c r="B1" t="s">
        <v>669</v>
      </c>
      <c r="C1" t="s">
        <v>897</v>
      </c>
      <c r="D1" t="s">
        <v>896</v>
      </c>
      <c r="E1" t="s">
        <v>701</v>
      </c>
      <c r="F1" t="s">
        <v>895</v>
      </c>
      <c r="G1" t="s">
        <v>684</v>
      </c>
      <c r="H1" t="s">
        <v>675</v>
      </c>
      <c r="I1" t="s">
        <v>676</v>
      </c>
      <c r="J1" t="s">
        <v>692</v>
      </c>
      <c r="K1" t="s">
        <v>680</v>
      </c>
      <c r="L1" t="s">
        <v>681</v>
      </c>
      <c r="M1" t="s">
        <v>694</v>
      </c>
      <c r="N1" t="s">
        <v>693</v>
      </c>
      <c r="O1" t="s">
        <v>670</v>
      </c>
      <c r="P1" t="s">
        <v>689</v>
      </c>
      <c r="Q1" t="s">
        <v>678</v>
      </c>
      <c r="R1" t="s">
        <v>679</v>
      </c>
      <c r="S1" t="s">
        <v>691</v>
      </c>
      <c r="T1" t="s">
        <v>690</v>
      </c>
      <c r="U1" t="s">
        <v>668</v>
      </c>
      <c r="V1" t="s">
        <v>687</v>
      </c>
      <c r="W1" t="s">
        <v>688</v>
      </c>
      <c r="X1" t="s">
        <v>698</v>
      </c>
      <c r="Y1" t="s">
        <v>677</v>
      </c>
      <c r="Z1" t="s">
        <v>686</v>
      </c>
      <c r="AA1" t="s">
        <v>674</v>
      </c>
      <c r="AB1" t="s">
        <v>666</v>
      </c>
      <c r="AC1" t="s">
        <v>672</v>
      </c>
      <c r="AD1" t="s">
        <v>667</v>
      </c>
      <c r="AE1" t="s">
        <v>673</v>
      </c>
      <c r="AF1" t="s">
        <v>894</v>
      </c>
    </row>
    <row r="2" spans="1:32" x14ac:dyDescent="0.3">
      <c r="A2">
        <v>1</v>
      </c>
      <c r="B2">
        <v>150</v>
      </c>
      <c r="C2" t="s">
        <v>651</v>
      </c>
      <c r="D2" t="s">
        <v>316</v>
      </c>
      <c r="E2" t="s">
        <v>2</v>
      </c>
      <c r="F2">
        <v>5</v>
      </c>
      <c r="G2">
        <v>2.8</v>
      </c>
      <c r="H2">
        <v>2.4</v>
      </c>
      <c r="I2">
        <v>2.6</v>
      </c>
      <c r="J2">
        <v>8</v>
      </c>
      <c r="K2">
        <v>1</v>
      </c>
      <c r="L2">
        <v>1</v>
      </c>
      <c r="M2">
        <v>1</v>
      </c>
      <c r="N2">
        <v>8</v>
      </c>
      <c r="O2">
        <v>19</v>
      </c>
      <c r="P2">
        <v>0.75</v>
      </c>
      <c r="Q2">
        <v>0.75</v>
      </c>
      <c r="R2">
        <v>0.3</v>
      </c>
      <c r="S2">
        <v>0.1</v>
      </c>
      <c r="T2">
        <v>0</v>
      </c>
      <c r="U2">
        <v>0</v>
      </c>
      <c r="V2">
        <v>20</v>
      </c>
      <c r="W2">
        <v>2</v>
      </c>
      <c r="X2">
        <v>40</v>
      </c>
      <c r="Y2">
        <v>0.3</v>
      </c>
      <c r="Z2">
        <v>71</v>
      </c>
      <c r="AA2">
        <v>0</v>
      </c>
      <c r="AB2">
        <v>0</v>
      </c>
      <c r="AC2">
        <v>5</v>
      </c>
      <c r="AD2">
        <v>0</v>
      </c>
      <c r="AE2">
        <v>0</v>
      </c>
    </row>
    <row r="3" spans="1:32" x14ac:dyDescent="0.3">
      <c r="A3">
        <v>2</v>
      </c>
      <c r="B3">
        <v>150</v>
      </c>
      <c r="C3" t="s">
        <v>891</v>
      </c>
      <c r="D3" t="s">
        <v>316</v>
      </c>
      <c r="E3" t="s">
        <v>2</v>
      </c>
      <c r="F3">
        <v>5</v>
      </c>
      <c r="G3">
        <v>3.7</v>
      </c>
      <c r="H3">
        <v>3.4</v>
      </c>
      <c r="I3">
        <v>2.5</v>
      </c>
      <c r="J3">
        <v>17</v>
      </c>
      <c r="K3">
        <v>2</v>
      </c>
      <c r="L3">
        <v>3</v>
      </c>
      <c r="M3">
        <v>3.88</v>
      </c>
      <c r="N3">
        <v>6.9</v>
      </c>
      <c r="O3">
        <v>32.78</v>
      </c>
      <c r="P3">
        <v>0.35</v>
      </c>
      <c r="Q3">
        <v>0.35</v>
      </c>
      <c r="R3">
        <v>0.15</v>
      </c>
      <c r="S3">
        <v>0.1</v>
      </c>
      <c r="T3">
        <v>0</v>
      </c>
      <c r="U3">
        <v>0</v>
      </c>
      <c r="V3">
        <v>41</v>
      </c>
      <c r="W3">
        <v>2</v>
      </c>
      <c r="X3">
        <v>60</v>
      </c>
      <c r="Y3">
        <v>0.3</v>
      </c>
      <c r="Z3">
        <v>69</v>
      </c>
      <c r="AA3">
        <v>0</v>
      </c>
      <c r="AB3">
        <v>0</v>
      </c>
      <c r="AC3">
        <v>4.5</v>
      </c>
      <c r="AD3">
        <v>1</v>
      </c>
      <c r="AE3">
        <v>0</v>
      </c>
    </row>
    <row r="4" spans="1:32" x14ac:dyDescent="0.3">
      <c r="A4">
        <v>3</v>
      </c>
      <c r="B4">
        <v>150</v>
      </c>
      <c r="C4" t="s">
        <v>890</v>
      </c>
      <c r="D4" t="s">
        <v>316</v>
      </c>
      <c r="E4" t="s">
        <v>2</v>
      </c>
      <c r="F4">
        <v>5</v>
      </c>
      <c r="G4">
        <v>3.7</v>
      </c>
      <c r="H4">
        <v>3</v>
      </c>
      <c r="I4">
        <v>3.1</v>
      </c>
      <c r="J4">
        <v>17</v>
      </c>
      <c r="K4">
        <v>2</v>
      </c>
      <c r="L4">
        <v>3</v>
      </c>
      <c r="M4">
        <v>3.25</v>
      </c>
      <c r="N4">
        <v>6.9</v>
      </c>
      <c r="O4">
        <v>32.15</v>
      </c>
      <c r="P4">
        <v>0.35</v>
      </c>
      <c r="Q4">
        <v>0.35</v>
      </c>
      <c r="R4">
        <v>0.15</v>
      </c>
      <c r="S4">
        <v>0.1</v>
      </c>
      <c r="T4">
        <v>0</v>
      </c>
      <c r="U4">
        <v>0</v>
      </c>
      <c r="V4">
        <v>20</v>
      </c>
      <c r="W4">
        <v>2</v>
      </c>
      <c r="X4">
        <v>50</v>
      </c>
      <c r="Y4">
        <v>0.3</v>
      </c>
      <c r="Z4">
        <v>64</v>
      </c>
      <c r="AA4">
        <v>0</v>
      </c>
      <c r="AB4">
        <v>0</v>
      </c>
      <c r="AC4">
        <v>4.5</v>
      </c>
      <c r="AD4">
        <v>1</v>
      </c>
      <c r="AE4">
        <v>0</v>
      </c>
    </row>
    <row r="5" spans="1:32" x14ac:dyDescent="0.3">
      <c r="A5">
        <v>4</v>
      </c>
      <c r="B5">
        <v>150</v>
      </c>
      <c r="C5" t="s">
        <v>889</v>
      </c>
      <c r="D5" t="s">
        <v>316</v>
      </c>
      <c r="E5" t="s">
        <v>2</v>
      </c>
      <c r="F5">
        <v>5</v>
      </c>
      <c r="G5">
        <v>3.7</v>
      </c>
      <c r="H5">
        <v>3</v>
      </c>
      <c r="I5">
        <v>3.1</v>
      </c>
      <c r="J5">
        <v>17</v>
      </c>
      <c r="K5">
        <v>2</v>
      </c>
      <c r="L5">
        <v>3</v>
      </c>
      <c r="M5">
        <v>4.5</v>
      </c>
      <c r="N5">
        <v>6.9</v>
      </c>
      <c r="O5">
        <v>33.4</v>
      </c>
      <c r="P5">
        <v>0.35</v>
      </c>
      <c r="Q5">
        <v>0.35</v>
      </c>
      <c r="R5">
        <v>0.15</v>
      </c>
      <c r="S5">
        <v>0.1</v>
      </c>
      <c r="T5">
        <v>0</v>
      </c>
      <c r="U5">
        <v>0</v>
      </c>
      <c r="V5">
        <v>20</v>
      </c>
      <c r="W5">
        <v>2</v>
      </c>
      <c r="X5">
        <v>60</v>
      </c>
      <c r="Y5">
        <v>0.3</v>
      </c>
      <c r="Z5">
        <v>70</v>
      </c>
      <c r="AA5">
        <v>0</v>
      </c>
      <c r="AB5">
        <v>0</v>
      </c>
      <c r="AC5">
        <v>4.5</v>
      </c>
      <c r="AD5">
        <v>1</v>
      </c>
      <c r="AE5">
        <v>0</v>
      </c>
    </row>
    <row r="6" spans="1:32" x14ac:dyDescent="0.3">
      <c r="A6">
        <v>5</v>
      </c>
      <c r="B6">
        <v>150</v>
      </c>
      <c r="C6" t="s">
        <v>888</v>
      </c>
      <c r="D6" t="s">
        <v>316</v>
      </c>
      <c r="E6" t="s">
        <v>2</v>
      </c>
      <c r="F6">
        <v>5</v>
      </c>
      <c r="G6">
        <v>3.7</v>
      </c>
      <c r="H6">
        <v>3</v>
      </c>
      <c r="I6">
        <v>3.1</v>
      </c>
      <c r="J6">
        <v>17</v>
      </c>
      <c r="K6">
        <v>2</v>
      </c>
      <c r="L6">
        <v>3</v>
      </c>
      <c r="M6">
        <v>4</v>
      </c>
      <c r="N6">
        <v>6.9</v>
      </c>
      <c r="O6">
        <v>32.9</v>
      </c>
      <c r="P6">
        <v>0.35</v>
      </c>
      <c r="Q6">
        <v>0.35</v>
      </c>
      <c r="R6">
        <v>0.15</v>
      </c>
      <c r="S6">
        <v>0.1</v>
      </c>
      <c r="T6">
        <v>0</v>
      </c>
      <c r="U6">
        <v>0</v>
      </c>
      <c r="V6">
        <v>20</v>
      </c>
      <c r="W6">
        <v>2</v>
      </c>
      <c r="X6">
        <v>60</v>
      </c>
      <c r="Y6">
        <v>0.3</v>
      </c>
      <c r="Z6">
        <v>61</v>
      </c>
      <c r="AA6">
        <v>0</v>
      </c>
      <c r="AB6">
        <v>0</v>
      </c>
      <c r="AC6">
        <v>4.5</v>
      </c>
      <c r="AD6">
        <v>1</v>
      </c>
      <c r="AE6">
        <v>0</v>
      </c>
    </row>
    <row r="7" spans="1:32" x14ac:dyDescent="0.3">
      <c r="A7">
        <v>6</v>
      </c>
      <c r="B7">
        <v>150</v>
      </c>
      <c r="C7" t="s">
        <v>887</v>
      </c>
      <c r="D7" t="s">
        <v>316</v>
      </c>
      <c r="E7" t="s">
        <v>2</v>
      </c>
      <c r="F7">
        <v>5</v>
      </c>
      <c r="G7">
        <v>3.8</v>
      </c>
      <c r="H7">
        <v>3.6</v>
      </c>
      <c r="I7">
        <v>3</v>
      </c>
      <c r="J7">
        <v>18</v>
      </c>
      <c r="K7">
        <v>0</v>
      </c>
      <c r="L7">
        <v>2</v>
      </c>
      <c r="M7">
        <v>3.5</v>
      </c>
      <c r="N7">
        <v>9.6</v>
      </c>
      <c r="O7">
        <v>33.1</v>
      </c>
      <c r="P7">
        <v>0.35</v>
      </c>
      <c r="Q7">
        <v>0.35</v>
      </c>
      <c r="R7">
        <v>0.15</v>
      </c>
      <c r="S7">
        <v>0.1</v>
      </c>
      <c r="T7">
        <v>0</v>
      </c>
      <c r="U7">
        <v>0</v>
      </c>
      <c r="V7">
        <v>29</v>
      </c>
      <c r="W7">
        <v>1.7</v>
      </c>
      <c r="X7">
        <v>40</v>
      </c>
      <c r="Y7">
        <v>0.3</v>
      </c>
      <c r="Z7">
        <v>63</v>
      </c>
      <c r="AA7">
        <v>0</v>
      </c>
      <c r="AB7">
        <v>0</v>
      </c>
      <c r="AC7">
        <v>4.5</v>
      </c>
      <c r="AD7">
        <v>1</v>
      </c>
      <c r="AE7">
        <v>0</v>
      </c>
    </row>
    <row r="8" spans="1:32" x14ac:dyDescent="0.3">
      <c r="A8">
        <v>7</v>
      </c>
      <c r="B8">
        <v>150</v>
      </c>
      <c r="C8" t="s">
        <v>886</v>
      </c>
      <c r="D8" t="s">
        <v>316</v>
      </c>
      <c r="E8" t="s">
        <v>2</v>
      </c>
      <c r="F8">
        <v>5</v>
      </c>
      <c r="G8">
        <v>3.6</v>
      </c>
      <c r="H8">
        <v>3</v>
      </c>
      <c r="I8">
        <v>2.8</v>
      </c>
      <c r="J8">
        <v>18</v>
      </c>
      <c r="K8">
        <v>0</v>
      </c>
      <c r="L8">
        <v>2</v>
      </c>
      <c r="M8">
        <v>3.2</v>
      </c>
      <c r="N8">
        <v>9.6</v>
      </c>
      <c r="O8">
        <v>32.799999999999997</v>
      </c>
      <c r="P8">
        <v>0.35</v>
      </c>
      <c r="Q8">
        <v>0.35</v>
      </c>
      <c r="R8">
        <v>0.15</v>
      </c>
      <c r="S8">
        <v>0.1</v>
      </c>
      <c r="T8">
        <v>0</v>
      </c>
      <c r="U8">
        <v>0</v>
      </c>
      <c r="V8">
        <v>20</v>
      </c>
      <c r="W8">
        <v>2</v>
      </c>
      <c r="X8">
        <v>30</v>
      </c>
      <c r="Y8">
        <v>0.3</v>
      </c>
      <c r="Z8">
        <v>68</v>
      </c>
      <c r="AA8">
        <v>0</v>
      </c>
      <c r="AB8">
        <v>0</v>
      </c>
      <c r="AC8">
        <v>4.5</v>
      </c>
      <c r="AD8">
        <v>1</v>
      </c>
      <c r="AE8">
        <v>0</v>
      </c>
    </row>
    <row r="9" spans="1:32" x14ac:dyDescent="0.3">
      <c r="A9">
        <v>8</v>
      </c>
      <c r="B9">
        <v>150</v>
      </c>
      <c r="C9" t="s">
        <v>885</v>
      </c>
      <c r="D9" t="s">
        <v>316</v>
      </c>
      <c r="E9" t="s">
        <v>2</v>
      </c>
      <c r="F9">
        <v>5</v>
      </c>
      <c r="G9">
        <v>3.6</v>
      </c>
      <c r="H9">
        <v>3</v>
      </c>
      <c r="I9">
        <v>2.8</v>
      </c>
      <c r="J9">
        <v>18</v>
      </c>
      <c r="K9">
        <v>0</v>
      </c>
      <c r="L9">
        <v>2</v>
      </c>
      <c r="M9">
        <v>3.43</v>
      </c>
      <c r="N9">
        <v>6.8</v>
      </c>
      <c r="O9">
        <v>30.23</v>
      </c>
      <c r="P9">
        <v>0.35</v>
      </c>
      <c r="Q9">
        <v>0.35</v>
      </c>
      <c r="R9">
        <v>0.15</v>
      </c>
      <c r="S9">
        <v>0.1</v>
      </c>
      <c r="T9">
        <v>0</v>
      </c>
      <c r="U9">
        <v>0</v>
      </c>
      <c r="V9">
        <v>20</v>
      </c>
      <c r="W9">
        <v>2</v>
      </c>
      <c r="X9">
        <v>40</v>
      </c>
      <c r="Y9">
        <v>0.3</v>
      </c>
      <c r="Z9">
        <v>63</v>
      </c>
      <c r="AA9">
        <v>0</v>
      </c>
      <c r="AB9">
        <v>0</v>
      </c>
      <c r="AC9">
        <v>4.5</v>
      </c>
      <c r="AD9">
        <v>1</v>
      </c>
      <c r="AE9">
        <v>0</v>
      </c>
    </row>
    <row r="10" spans="1:32" x14ac:dyDescent="0.3">
      <c r="A10">
        <v>9</v>
      </c>
      <c r="B10">
        <v>150</v>
      </c>
      <c r="C10" t="s">
        <v>884</v>
      </c>
      <c r="D10" t="s">
        <v>316</v>
      </c>
      <c r="E10" t="s">
        <v>2</v>
      </c>
      <c r="F10">
        <v>5</v>
      </c>
      <c r="G10">
        <v>3.6</v>
      </c>
      <c r="H10">
        <v>3</v>
      </c>
      <c r="I10">
        <v>2.8</v>
      </c>
      <c r="J10">
        <v>18</v>
      </c>
      <c r="K10">
        <v>0</v>
      </c>
      <c r="L10">
        <v>2</v>
      </c>
      <c r="M10">
        <v>2</v>
      </c>
      <c r="N10">
        <v>6.8</v>
      </c>
      <c r="O10">
        <v>28.8</v>
      </c>
      <c r="P10">
        <v>0.35</v>
      </c>
      <c r="Q10">
        <v>0.35</v>
      </c>
      <c r="R10">
        <v>0.15</v>
      </c>
      <c r="S10">
        <v>0.1</v>
      </c>
      <c r="T10">
        <v>0</v>
      </c>
      <c r="U10">
        <v>0</v>
      </c>
      <c r="V10">
        <v>20</v>
      </c>
      <c r="W10">
        <v>2</v>
      </c>
      <c r="X10">
        <v>35</v>
      </c>
      <c r="Y10">
        <v>0.3</v>
      </c>
      <c r="Z10">
        <v>55</v>
      </c>
      <c r="AA10">
        <v>0</v>
      </c>
      <c r="AB10">
        <v>0</v>
      </c>
      <c r="AC10">
        <v>3.5</v>
      </c>
      <c r="AD10">
        <v>1</v>
      </c>
      <c r="AE10">
        <v>0</v>
      </c>
    </row>
    <row r="11" spans="1:32" x14ac:dyDescent="0.3">
      <c r="A11">
        <v>10</v>
      </c>
      <c r="B11">
        <v>150</v>
      </c>
      <c r="C11" t="s">
        <v>883</v>
      </c>
      <c r="D11" t="s">
        <v>316</v>
      </c>
      <c r="E11" t="s">
        <v>2</v>
      </c>
      <c r="F11">
        <v>5</v>
      </c>
      <c r="G11">
        <v>4</v>
      </c>
      <c r="H11">
        <v>3</v>
      </c>
      <c r="I11">
        <v>2.8</v>
      </c>
      <c r="J11">
        <v>24</v>
      </c>
      <c r="K11">
        <v>0</v>
      </c>
      <c r="L11">
        <v>2</v>
      </c>
      <c r="M11">
        <v>2.6</v>
      </c>
      <c r="N11">
        <v>8</v>
      </c>
      <c r="O11">
        <v>36.6</v>
      </c>
      <c r="P11">
        <v>0.2</v>
      </c>
      <c r="Q11">
        <v>0.2</v>
      </c>
      <c r="R11">
        <v>0.15</v>
      </c>
      <c r="S11">
        <v>0.1</v>
      </c>
      <c r="T11">
        <v>0</v>
      </c>
      <c r="U11">
        <v>0</v>
      </c>
      <c r="V11">
        <v>20</v>
      </c>
      <c r="W11">
        <v>2</v>
      </c>
      <c r="X11">
        <v>35</v>
      </c>
      <c r="Y11">
        <v>0.3</v>
      </c>
      <c r="Z11">
        <v>53</v>
      </c>
      <c r="AA11">
        <v>0</v>
      </c>
      <c r="AB11">
        <v>0</v>
      </c>
      <c r="AC11">
        <v>3.5</v>
      </c>
      <c r="AD11">
        <v>1</v>
      </c>
      <c r="AE11">
        <v>0</v>
      </c>
    </row>
    <row r="12" spans="1:32" x14ac:dyDescent="0.3">
      <c r="A12">
        <v>11</v>
      </c>
      <c r="B12">
        <v>100</v>
      </c>
      <c r="C12" t="s">
        <v>882</v>
      </c>
      <c r="D12" t="s">
        <v>2</v>
      </c>
      <c r="E12" t="s">
        <v>2</v>
      </c>
      <c r="F12">
        <v>5</v>
      </c>
      <c r="G12">
        <v>3.1</v>
      </c>
      <c r="H12">
        <v>2.7</v>
      </c>
      <c r="I12">
        <v>2.8</v>
      </c>
      <c r="J12">
        <v>11</v>
      </c>
      <c r="K12">
        <v>1</v>
      </c>
      <c r="L12">
        <v>2</v>
      </c>
      <c r="M12">
        <v>2.38</v>
      </c>
      <c r="N12">
        <v>4.5</v>
      </c>
      <c r="O12">
        <v>20.88</v>
      </c>
      <c r="P12">
        <v>0.3</v>
      </c>
      <c r="Q12">
        <v>0.3</v>
      </c>
      <c r="R12">
        <v>0.2</v>
      </c>
      <c r="S12">
        <v>0.1</v>
      </c>
      <c r="T12">
        <v>0</v>
      </c>
      <c r="U12">
        <v>0</v>
      </c>
      <c r="V12">
        <v>20</v>
      </c>
      <c r="W12">
        <v>2</v>
      </c>
      <c r="X12">
        <v>30</v>
      </c>
      <c r="Y12">
        <v>0.3</v>
      </c>
      <c r="Z12">
        <v>58</v>
      </c>
      <c r="AA12">
        <v>0</v>
      </c>
      <c r="AB12">
        <v>0</v>
      </c>
      <c r="AC12">
        <v>3</v>
      </c>
      <c r="AD12">
        <v>1</v>
      </c>
      <c r="AE12">
        <v>0</v>
      </c>
    </row>
    <row r="13" spans="1:32" x14ac:dyDescent="0.3">
      <c r="A13">
        <v>12</v>
      </c>
      <c r="B13">
        <v>100</v>
      </c>
      <c r="C13" t="s">
        <v>881</v>
      </c>
      <c r="D13" t="s">
        <v>2</v>
      </c>
      <c r="E13" t="s">
        <v>2</v>
      </c>
      <c r="F13">
        <v>5</v>
      </c>
      <c r="G13">
        <v>3.2</v>
      </c>
      <c r="H13">
        <v>3.4</v>
      </c>
      <c r="I13">
        <v>2.7</v>
      </c>
      <c r="J13">
        <v>11</v>
      </c>
      <c r="K13">
        <v>1</v>
      </c>
      <c r="L13">
        <v>2</v>
      </c>
      <c r="M13">
        <v>1.8</v>
      </c>
      <c r="N13">
        <v>4.5</v>
      </c>
      <c r="O13">
        <v>20.3</v>
      </c>
      <c r="P13">
        <v>0.3</v>
      </c>
      <c r="Q13">
        <v>0.3</v>
      </c>
      <c r="R13">
        <v>0.2</v>
      </c>
      <c r="S13">
        <v>0.1</v>
      </c>
      <c r="T13">
        <v>0</v>
      </c>
      <c r="U13">
        <v>0</v>
      </c>
      <c r="V13">
        <v>26</v>
      </c>
      <c r="W13">
        <v>1.8</v>
      </c>
      <c r="X13">
        <v>30</v>
      </c>
      <c r="Y13">
        <v>0.3</v>
      </c>
      <c r="Z13">
        <v>50</v>
      </c>
      <c r="AA13">
        <v>0</v>
      </c>
      <c r="AB13">
        <v>0</v>
      </c>
      <c r="AC13">
        <v>3</v>
      </c>
      <c r="AD13">
        <v>1</v>
      </c>
      <c r="AE13">
        <v>0</v>
      </c>
    </row>
    <row r="14" spans="1:32" x14ac:dyDescent="0.3">
      <c r="A14">
        <v>13</v>
      </c>
      <c r="B14">
        <v>100</v>
      </c>
      <c r="C14" t="s">
        <v>880</v>
      </c>
      <c r="D14" t="s">
        <v>2</v>
      </c>
      <c r="E14" t="s">
        <v>2</v>
      </c>
      <c r="F14">
        <v>5</v>
      </c>
      <c r="G14">
        <v>2.9</v>
      </c>
      <c r="H14">
        <v>3</v>
      </c>
      <c r="I14">
        <v>3.1</v>
      </c>
      <c r="J14">
        <v>11</v>
      </c>
      <c r="K14">
        <v>1</v>
      </c>
      <c r="L14">
        <v>2</v>
      </c>
      <c r="M14">
        <v>2.17</v>
      </c>
      <c r="N14">
        <v>4.5</v>
      </c>
      <c r="O14">
        <v>20.67</v>
      </c>
      <c r="P14">
        <v>0.3</v>
      </c>
      <c r="Q14">
        <v>0.3</v>
      </c>
      <c r="R14">
        <v>0.2</v>
      </c>
      <c r="S14">
        <v>0.1</v>
      </c>
      <c r="T14">
        <v>0</v>
      </c>
      <c r="U14">
        <v>0</v>
      </c>
      <c r="V14">
        <v>17</v>
      </c>
      <c r="W14">
        <v>1.4</v>
      </c>
      <c r="X14">
        <v>30</v>
      </c>
      <c r="Y14">
        <v>0.3</v>
      </c>
      <c r="Z14">
        <v>49</v>
      </c>
      <c r="AA14">
        <v>0</v>
      </c>
      <c r="AB14">
        <v>0</v>
      </c>
      <c r="AC14">
        <v>3</v>
      </c>
      <c r="AD14">
        <v>1</v>
      </c>
      <c r="AE14">
        <v>0</v>
      </c>
    </row>
    <row r="15" spans="1:32" x14ac:dyDescent="0.3">
      <c r="A15">
        <v>14</v>
      </c>
      <c r="B15">
        <v>100</v>
      </c>
      <c r="C15" t="s">
        <v>879</v>
      </c>
      <c r="D15" t="s">
        <v>2</v>
      </c>
      <c r="E15" t="s">
        <v>2</v>
      </c>
      <c r="F15">
        <v>5</v>
      </c>
      <c r="G15">
        <v>3.1</v>
      </c>
      <c r="H15">
        <v>2.7</v>
      </c>
      <c r="I15">
        <v>2.8</v>
      </c>
      <c r="J15">
        <v>11</v>
      </c>
      <c r="K15">
        <v>1</v>
      </c>
      <c r="L15">
        <v>2</v>
      </c>
      <c r="M15">
        <v>3.13</v>
      </c>
      <c r="N15">
        <v>4.5</v>
      </c>
      <c r="O15">
        <v>21.63</v>
      </c>
      <c r="P15">
        <v>0.3</v>
      </c>
      <c r="Q15">
        <v>0.3</v>
      </c>
      <c r="R15">
        <v>0.2</v>
      </c>
      <c r="S15">
        <v>0.1</v>
      </c>
      <c r="T15">
        <v>0</v>
      </c>
      <c r="U15">
        <v>0</v>
      </c>
      <c r="V15">
        <v>20</v>
      </c>
      <c r="W15">
        <v>2</v>
      </c>
      <c r="X15">
        <v>30</v>
      </c>
      <c r="Y15">
        <v>0.3</v>
      </c>
      <c r="Z15">
        <v>55</v>
      </c>
      <c r="AA15">
        <v>0</v>
      </c>
      <c r="AB15">
        <v>0</v>
      </c>
      <c r="AC15">
        <v>3</v>
      </c>
      <c r="AD15">
        <v>1</v>
      </c>
      <c r="AE15">
        <v>0</v>
      </c>
    </row>
    <row r="16" spans="1:32" x14ac:dyDescent="0.3">
      <c r="A16">
        <v>15</v>
      </c>
      <c r="B16">
        <v>100</v>
      </c>
      <c r="C16" t="s">
        <v>878</v>
      </c>
      <c r="D16" t="s">
        <v>2</v>
      </c>
      <c r="E16" t="s">
        <v>2</v>
      </c>
      <c r="F16">
        <v>5</v>
      </c>
      <c r="G16">
        <v>3.1</v>
      </c>
      <c r="H16">
        <v>2.7</v>
      </c>
      <c r="I16">
        <v>2.8</v>
      </c>
      <c r="J16">
        <v>11</v>
      </c>
      <c r="K16">
        <v>1</v>
      </c>
      <c r="L16">
        <v>2</v>
      </c>
      <c r="M16">
        <v>3</v>
      </c>
      <c r="N16">
        <v>4.5</v>
      </c>
      <c r="O16">
        <v>21.5</v>
      </c>
      <c r="P16">
        <v>0.3</v>
      </c>
      <c r="Q16">
        <v>0.3</v>
      </c>
      <c r="R16">
        <v>0.2</v>
      </c>
      <c r="S16">
        <v>0.1</v>
      </c>
      <c r="T16">
        <v>0</v>
      </c>
      <c r="U16">
        <v>0</v>
      </c>
      <c r="V16">
        <v>20</v>
      </c>
      <c r="W16">
        <v>2</v>
      </c>
      <c r="X16">
        <v>20</v>
      </c>
      <c r="Y16">
        <v>0.3</v>
      </c>
      <c r="Z16">
        <v>52</v>
      </c>
      <c r="AA16">
        <v>0</v>
      </c>
      <c r="AB16">
        <v>0</v>
      </c>
      <c r="AC16">
        <v>3</v>
      </c>
      <c r="AD16">
        <v>1</v>
      </c>
      <c r="AE16">
        <v>0</v>
      </c>
    </row>
    <row r="17" spans="1:31" x14ac:dyDescent="0.3">
      <c r="A17">
        <v>16</v>
      </c>
      <c r="B17">
        <v>100</v>
      </c>
      <c r="C17" t="s">
        <v>877</v>
      </c>
      <c r="D17" t="s">
        <v>2</v>
      </c>
      <c r="E17" t="s">
        <v>2</v>
      </c>
      <c r="F17">
        <v>5</v>
      </c>
      <c r="G17">
        <v>3.1</v>
      </c>
      <c r="H17">
        <v>2.7</v>
      </c>
      <c r="I17">
        <v>2.8</v>
      </c>
      <c r="J17">
        <v>11</v>
      </c>
      <c r="K17">
        <v>1</v>
      </c>
      <c r="L17">
        <v>2</v>
      </c>
      <c r="M17">
        <v>3</v>
      </c>
      <c r="N17">
        <v>4.5</v>
      </c>
      <c r="O17">
        <v>21.5</v>
      </c>
      <c r="P17">
        <v>0.3</v>
      </c>
      <c r="Q17">
        <v>0.3</v>
      </c>
      <c r="R17">
        <v>0.2</v>
      </c>
      <c r="S17">
        <v>0.1</v>
      </c>
      <c r="T17">
        <v>0</v>
      </c>
      <c r="U17">
        <v>0</v>
      </c>
      <c r="V17">
        <v>20</v>
      </c>
      <c r="W17">
        <v>2</v>
      </c>
      <c r="X17">
        <v>25</v>
      </c>
      <c r="Y17">
        <v>0.3</v>
      </c>
      <c r="Z17">
        <v>54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1:31" x14ac:dyDescent="0.3">
      <c r="A18">
        <v>17</v>
      </c>
      <c r="B18">
        <v>100</v>
      </c>
      <c r="C18" t="s">
        <v>876</v>
      </c>
      <c r="D18" t="s">
        <v>2</v>
      </c>
      <c r="E18" t="s">
        <v>2</v>
      </c>
      <c r="F18">
        <v>5</v>
      </c>
      <c r="G18">
        <v>3.1</v>
      </c>
      <c r="H18">
        <v>2.7</v>
      </c>
      <c r="I18">
        <v>2.8</v>
      </c>
      <c r="J18">
        <v>11</v>
      </c>
      <c r="K18">
        <v>1</v>
      </c>
      <c r="L18">
        <v>2</v>
      </c>
      <c r="M18">
        <v>2.4300000000000002</v>
      </c>
      <c r="N18">
        <v>4.5</v>
      </c>
      <c r="O18">
        <v>20.93</v>
      </c>
      <c r="P18">
        <v>0.3</v>
      </c>
      <c r="Q18">
        <v>0.3</v>
      </c>
      <c r="R18">
        <v>0.2</v>
      </c>
      <c r="S18">
        <v>0.1</v>
      </c>
      <c r="T18">
        <v>0</v>
      </c>
      <c r="U18">
        <v>0</v>
      </c>
      <c r="V18">
        <v>20</v>
      </c>
      <c r="W18">
        <v>2</v>
      </c>
      <c r="X18">
        <v>25</v>
      </c>
      <c r="Y18">
        <v>0.3</v>
      </c>
      <c r="Z18">
        <v>54</v>
      </c>
      <c r="AA18">
        <v>0</v>
      </c>
      <c r="AB18">
        <v>0</v>
      </c>
      <c r="AC18">
        <v>3</v>
      </c>
      <c r="AD18">
        <v>1</v>
      </c>
      <c r="AE18">
        <v>0</v>
      </c>
    </row>
    <row r="19" spans="1:31" x14ac:dyDescent="0.3">
      <c r="A19">
        <v>18</v>
      </c>
      <c r="B19">
        <v>100</v>
      </c>
      <c r="C19" t="s">
        <v>875</v>
      </c>
      <c r="D19" t="s">
        <v>2</v>
      </c>
      <c r="E19" t="s">
        <v>2</v>
      </c>
      <c r="F19">
        <v>5</v>
      </c>
      <c r="G19">
        <v>3.1</v>
      </c>
      <c r="H19">
        <v>2.7</v>
      </c>
      <c r="I19">
        <v>2.8</v>
      </c>
      <c r="J19">
        <v>11</v>
      </c>
      <c r="K19">
        <v>1</v>
      </c>
      <c r="L19">
        <v>2</v>
      </c>
      <c r="M19">
        <v>1.67</v>
      </c>
      <c r="N19">
        <v>4.5</v>
      </c>
      <c r="O19">
        <v>20.170000000000002</v>
      </c>
      <c r="P19">
        <v>0.3</v>
      </c>
      <c r="Q19">
        <v>0.3</v>
      </c>
      <c r="R19">
        <v>0.2</v>
      </c>
      <c r="S19">
        <v>0.1</v>
      </c>
      <c r="T19">
        <v>0</v>
      </c>
      <c r="U19">
        <v>0</v>
      </c>
      <c r="V19">
        <v>20</v>
      </c>
      <c r="W19">
        <v>2</v>
      </c>
      <c r="X19">
        <v>25</v>
      </c>
      <c r="Y19">
        <v>0.3</v>
      </c>
      <c r="Z19">
        <v>42</v>
      </c>
      <c r="AA19">
        <v>0</v>
      </c>
      <c r="AB19">
        <v>0</v>
      </c>
      <c r="AC19">
        <v>2.5</v>
      </c>
      <c r="AD19">
        <v>0</v>
      </c>
      <c r="AE19">
        <v>0</v>
      </c>
    </row>
    <row r="20" spans="1:31" x14ac:dyDescent="0.3">
      <c r="A20">
        <v>19</v>
      </c>
      <c r="B20">
        <v>100</v>
      </c>
      <c r="C20" t="s">
        <v>874</v>
      </c>
      <c r="D20" t="s">
        <v>2</v>
      </c>
      <c r="E20" t="s">
        <v>2</v>
      </c>
      <c r="F20">
        <v>5</v>
      </c>
      <c r="G20">
        <v>3.1</v>
      </c>
      <c r="H20">
        <v>2.7</v>
      </c>
      <c r="I20">
        <v>2.8</v>
      </c>
      <c r="J20">
        <v>11</v>
      </c>
      <c r="K20">
        <v>1</v>
      </c>
      <c r="L20">
        <v>2</v>
      </c>
      <c r="M20">
        <v>2.29</v>
      </c>
      <c r="N20">
        <v>4.5</v>
      </c>
      <c r="O20">
        <v>20.79</v>
      </c>
      <c r="P20">
        <v>0.3</v>
      </c>
      <c r="Q20">
        <v>0.3</v>
      </c>
      <c r="R20">
        <v>0.2</v>
      </c>
      <c r="S20">
        <v>0.1</v>
      </c>
      <c r="T20">
        <v>0</v>
      </c>
      <c r="U20">
        <v>0</v>
      </c>
      <c r="V20">
        <v>20</v>
      </c>
      <c r="W20">
        <v>2</v>
      </c>
      <c r="X20">
        <v>20</v>
      </c>
      <c r="Y20">
        <v>0.3</v>
      </c>
      <c r="Z20">
        <v>38</v>
      </c>
      <c r="AA20">
        <v>0</v>
      </c>
      <c r="AB20">
        <v>0</v>
      </c>
      <c r="AC20">
        <v>2.5</v>
      </c>
      <c r="AD20">
        <v>1</v>
      </c>
      <c r="AE20">
        <v>0</v>
      </c>
    </row>
    <row r="21" spans="1:31" x14ac:dyDescent="0.3">
      <c r="A21">
        <v>20</v>
      </c>
      <c r="B21">
        <v>100</v>
      </c>
      <c r="C21" t="s">
        <v>873</v>
      </c>
      <c r="D21" t="s">
        <v>2</v>
      </c>
      <c r="E21" t="s">
        <v>2</v>
      </c>
      <c r="F21">
        <v>5</v>
      </c>
      <c r="G21">
        <v>2.1</v>
      </c>
      <c r="H21">
        <v>1.8</v>
      </c>
      <c r="I21">
        <v>2.6</v>
      </c>
      <c r="J21">
        <v>5.5</v>
      </c>
      <c r="K21">
        <v>0.5</v>
      </c>
      <c r="L21">
        <v>1</v>
      </c>
      <c r="M21">
        <v>1.45</v>
      </c>
      <c r="N21">
        <v>2.2999999999999998</v>
      </c>
      <c r="O21">
        <v>10.75</v>
      </c>
      <c r="P21">
        <v>0.25</v>
      </c>
      <c r="Q21">
        <v>0.25</v>
      </c>
      <c r="R21">
        <v>0.2</v>
      </c>
      <c r="S21">
        <v>0.1</v>
      </c>
      <c r="T21">
        <v>0</v>
      </c>
      <c r="U21">
        <v>0</v>
      </c>
      <c r="V21">
        <v>20</v>
      </c>
      <c r="W21">
        <v>2</v>
      </c>
      <c r="X21">
        <v>25</v>
      </c>
      <c r="Y21">
        <v>0.3</v>
      </c>
      <c r="Z21">
        <v>38</v>
      </c>
      <c r="AA21">
        <v>0</v>
      </c>
      <c r="AB21">
        <v>0</v>
      </c>
      <c r="AC21">
        <v>2.5</v>
      </c>
      <c r="AD21">
        <v>0</v>
      </c>
      <c r="AE21">
        <v>0</v>
      </c>
    </row>
    <row r="22" spans="1:31" x14ac:dyDescent="0.3">
      <c r="A22">
        <v>21</v>
      </c>
      <c r="B22">
        <v>100</v>
      </c>
      <c r="C22" t="s">
        <v>872</v>
      </c>
      <c r="D22" t="s">
        <v>2</v>
      </c>
      <c r="E22" t="s">
        <v>2</v>
      </c>
      <c r="F22">
        <v>5</v>
      </c>
      <c r="G22">
        <v>3.6</v>
      </c>
      <c r="H22">
        <v>3</v>
      </c>
      <c r="I22">
        <v>3</v>
      </c>
      <c r="J22">
        <v>17</v>
      </c>
      <c r="K22">
        <v>1</v>
      </c>
      <c r="L22">
        <v>2.5</v>
      </c>
      <c r="M22">
        <v>2.2000000000000002</v>
      </c>
      <c r="N22">
        <v>8.4</v>
      </c>
      <c r="O22">
        <v>31.1</v>
      </c>
      <c r="P22">
        <v>0.32</v>
      </c>
      <c r="Q22">
        <v>0.32</v>
      </c>
      <c r="R22">
        <v>0.25</v>
      </c>
      <c r="S22">
        <v>0.1</v>
      </c>
      <c r="T22">
        <v>0</v>
      </c>
      <c r="U22">
        <v>0</v>
      </c>
      <c r="V22">
        <v>20</v>
      </c>
      <c r="W22">
        <v>2</v>
      </c>
      <c r="X22">
        <v>35</v>
      </c>
      <c r="Y22">
        <v>0.3</v>
      </c>
      <c r="Z22">
        <v>64</v>
      </c>
      <c r="AA22">
        <v>0</v>
      </c>
      <c r="AB22">
        <v>0</v>
      </c>
      <c r="AC22">
        <v>3.5</v>
      </c>
      <c r="AD22">
        <v>1</v>
      </c>
      <c r="AE22">
        <v>0</v>
      </c>
    </row>
    <row r="23" spans="1:31" x14ac:dyDescent="0.3">
      <c r="A23">
        <v>22</v>
      </c>
      <c r="B23">
        <v>100</v>
      </c>
      <c r="C23" t="s">
        <v>871</v>
      </c>
      <c r="D23" t="s">
        <v>2</v>
      </c>
      <c r="E23" t="s">
        <v>2</v>
      </c>
      <c r="F23">
        <v>5</v>
      </c>
      <c r="G23">
        <v>3.7</v>
      </c>
      <c r="H23">
        <v>3.7</v>
      </c>
      <c r="I23">
        <v>3</v>
      </c>
      <c r="J23">
        <v>14.5</v>
      </c>
      <c r="K23">
        <v>1.9</v>
      </c>
      <c r="L23">
        <v>4.9000000000000004</v>
      </c>
      <c r="M23">
        <v>3.64</v>
      </c>
      <c r="N23">
        <v>3.5</v>
      </c>
      <c r="O23">
        <v>28.44</v>
      </c>
      <c r="P23">
        <v>0.17</v>
      </c>
      <c r="Q23">
        <v>0.17</v>
      </c>
      <c r="R23">
        <v>0.2</v>
      </c>
      <c r="S23">
        <v>0.1</v>
      </c>
      <c r="T23">
        <v>0</v>
      </c>
      <c r="U23">
        <v>0</v>
      </c>
      <c r="V23">
        <v>33</v>
      </c>
      <c r="W23">
        <v>1.7</v>
      </c>
      <c r="X23">
        <v>25</v>
      </c>
      <c r="Y23">
        <v>0.3</v>
      </c>
      <c r="Z23">
        <v>61</v>
      </c>
      <c r="AA23">
        <v>0</v>
      </c>
      <c r="AB23">
        <v>0</v>
      </c>
      <c r="AC23">
        <v>3.5</v>
      </c>
      <c r="AD23">
        <v>1</v>
      </c>
      <c r="AE23">
        <v>0</v>
      </c>
    </row>
    <row r="24" spans="1:31" x14ac:dyDescent="0.3">
      <c r="A24">
        <v>23</v>
      </c>
      <c r="B24">
        <v>100</v>
      </c>
      <c r="C24" t="s">
        <v>870</v>
      </c>
      <c r="D24" t="s">
        <v>2</v>
      </c>
      <c r="E24" t="s">
        <v>2</v>
      </c>
      <c r="F24">
        <v>5</v>
      </c>
      <c r="G24">
        <v>3.5</v>
      </c>
      <c r="H24">
        <v>3.3</v>
      </c>
      <c r="I24">
        <v>3.5</v>
      </c>
      <c r="J24">
        <v>14.5</v>
      </c>
      <c r="K24">
        <v>1.9</v>
      </c>
      <c r="L24">
        <v>4.9000000000000004</v>
      </c>
      <c r="M24">
        <v>2.5</v>
      </c>
      <c r="N24">
        <v>3.5</v>
      </c>
      <c r="O24">
        <v>27.3</v>
      </c>
      <c r="P24">
        <v>0.17</v>
      </c>
      <c r="Q24">
        <v>0.17</v>
      </c>
      <c r="R24">
        <v>0.2</v>
      </c>
      <c r="S24">
        <v>0.1</v>
      </c>
      <c r="T24">
        <v>0</v>
      </c>
      <c r="U24">
        <v>0</v>
      </c>
      <c r="V24">
        <v>32</v>
      </c>
      <c r="W24">
        <v>2.2000000000000002</v>
      </c>
      <c r="X24">
        <v>25</v>
      </c>
      <c r="Y24">
        <v>0.3</v>
      </c>
      <c r="Z24">
        <v>63</v>
      </c>
      <c r="AA24">
        <v>0</v>
      </c>
      <c r="AB24">
        <v>0</v>
      </c>
      <c r="AC24">
        <v>3.5</v>
      </c>
      <c r="AD24">
        <v>1</v>
      </c>
      <c r="AE24">
        <v>0</v>
      </c>
    </row>
    <row r="25" spans="1:31" x14ac:dyDescent="0.3">
      <c r="A25">
        <v>24</v>
      </c>
      <c r="B25">
        <v>100</v>
      </c>
      <c r="C25" t="s">
        <v>869</v>
      </c>
      <c r="D25" t="s">
        <v>2</v>
      </c>
      <c r="E25" t="s">
        <v>2</v>
      </c>
      <c r="F25">
        <v>5</v>
      </c>
      <c r="G25">
        <v>3.4</v>
      </c>
      <c r="H25">
        <v>2.9</v>
      </c>
      <c r="I25">
        <v>3.3</v>
      </c>
      <c r="J25">
        <v>14.5</v>
      </c>
      <c r="K25">
        <v>1.9</v>
      </c>
      <c r="L25">
        <v>4.9000000000000004</v>
      </c>
      <c r="M25">
        <v>2.62</v>
      </c>
      <c r="N25">
        <v>3.5</v>
      </c>
      <c r="O25">
        <v>27.42</v>
      </c>
      <c r="P25">
        <v>0.17</v>
      </c>
      <c r="Q25">
        <v>0.17</v>
      </c>
      <c r="R25">
        <v>0.2</v>
      </c>
      <c r="S25">
        <v>0.1</v>
      </c>
      <c r="T25">
        <v>0</v>
      </c>
      <c r="U25">
        <v>0</v>
      </c>
      <c r="V25">
        <v>20</v>
      </c>
      <c r="W25">
        <v>2</v>
      </c>
      <c r="X25">
        <v>25</v>
      </c>
      <c r="Y25">
        <v>0.3</v>
      </c>
      <c r="Z25">
        <v>61</v>
      </c>
      <c r="AA25">
        <v>0</v>
      </c>
      <c r="AB25">
        <v>0</v>
      </c>
      <c r="AC25">
        <v>3.5</v>
      </c>
      <c r="AD25">
        <v>1</v>
      </c>
      <c r="AE25">
        <v>0</v>
      </c>
    </row>
    <row r="26" spans="1:31" x14ac:dyDescent="0.3">
      <c r="A26">
        <v>25</v>
      </c>
      <c r="B26">
        <v>100</v>
      </c>
      <c r="C26" t="s">
        <v>868</v>
      </c>
      <c r="D26" t="s">
        <v>2</v>
      </c>
      <c r="E26" t="s">
        <v>2</v>
      </c>
      <c r="F26">
        <v>5</v>
      </c>
      <c r="G26">
        <v>3.6</v>
      </c>
      <c r="H26">
        <v>3</v>
      </c>
      <c r="I26">
        <v>3</v>
      </c>
      <c r="J26">
        <v>17</v>
      </c>
      <c r="K26">
        <v>1</v>
      </c>
      <c r="L26">
        <v>2.5</v>
      </c>
      <c r="M26">
        <v>0.6</v>
      </c>
      <c r="N26">
        <v>8.4</v>
      </c>
      <c r="O26">
        <v>29.5</v>
      </c>
      <c r="P26">
        <v>0.32</v>
      </c>
      <c r="Q26">
        <v>0.32</v>
      </c>
      <c r="R26">
        <v>0.25</v>
      </c>
      <c r="S26">
        <v>0.1</v>
      </c>
      <c r="T26">
        <v>0</v>
      </c>
      <c r="U26">
        <v>0</v>
      </c>
      <c r="V26">
        <v>20</v>
      </c>
      <c r="W26">
        <v>2</v>
      </c>
      <c r="X26">
        <v>15</v>
      </c>
      <c r="Y26">
        <v>0.3</v>
      </c>
      <c r="Z26">
        <v>53</v>
      </c>
      <c r="AA26">
        <v>0</v>
      </c>
      <c r="AB26">
        <v>0</v>
      </c>
      <c r="AC26">
        <v>3</v>
      </c>
      <c r="AD26">
        <v>0</v>
      </c>
      <c r="AE26">
        <v>0</v>
      </c>
    </row>
    <row r="27" spans="1:31" x14ac:dyDescent="0.3">
      <c r="A27">
        <v>26</v>
      </c>
      <c r="B27">
        <v>100</v>
      </c>
      <c r="C27" t="s">
        <v>867</v>
      </c>
      <c r="D27" t="s">
        <v>2</v>
      </c>
      <c r="E27" t="s">
        <v>2</v>
      </c>
      <c r="F27">
        <v>5</v>
      </c>
      <c r="G27">
        <v>3.6</v>
      </c>
      <c r="H27">
        <v>3</v>
      </c>
      <c r="I27">
        <v>3</v>
      </c>
      <c r="J27">
        <v>17</v>
      </c>
      <c r="K27">
        <v>1</v>
      </c>
      <c r="L27">
        <v>2.5</v>
      </c>
      <c r="M27">
        <v>2</v>
      </c>
      <c r="N27">
        <v>8.4</v>
      </c>
      <c r="O27">
        <v>30.9</v>
      </c>
      <c r="P27">
        <v>0.32</v>
      </c>
      <c r="Q27">
        <v>0.32</v>
      </c>
      <c r="R27">
        <v>0.25</v>
      </c>
      <c r="S27">
        <v>0.1</v>
      </c>
      <c r="T27">
        <v>0</v>
      </c>
      <c r="U27">
        <v>0</v>
      </c>
      <c r="V27">
        <v>20</v>
      </c>
      <c r="W27">
        <v>2</v>
      </c>
      <c r="X27">
        <v>30</v>
      </c>
      <c r="Y27">
        <v>0.3</v>
      </c>
      <c r="Z27">
        <v>63</v>
      </c>
      <c r="AA27">
        <v>0</v>
      </c>
      <c r="AB27">
        <v>0</v>
      </c>
      <c r="AC27">
        <v>3.5</v>
      </c>
      <c r="AD27">
        <v>1</v>
      </c>
      <c r="AE27">
        <v>0</v>
      </c>
    </row>
    <row r="28" spans="1:31" x14ac:dyDescent="0.3">
      <c r="A28">
        <v>27</v>
      </c>
      <c r="B28">
        <v>100</v>
      </c>
      <c r="C28" t="s">
        <v>654</v>
      </c>
      <c r="D28" t="s">
        <v>2</v>
      </c>
      <c r="E28" t="s">
        <v>2</v>
      </c>
      <c r="F28">
        <v>5</v>
      </c>
      <c r="G28">
        <v>3.4</v>
      </c>
      <c r="H28">
        <v>3.1</v>
      </c>
      <c r="I28">
        <v>2.5</v>
      </c>
      <c r="J28">
        <v>10</v>
      </c>
      <c r="K28">
        <v>2</v>
      </c>
      <c r="L28">
        <v>5</v>
      </c>
      <c r="M28">
        <v>3.4</v>
      </c>
      <c r="N28">
        <v>2.7</v>
      </c>
      <c r="O28">
        <v>23.1</v>
      </c>
      <c r="P28">
        <v>0.19</v>
      </c>
      <c r="Q28">
        <v>0.19</v>
      </c>
      <c r="R28">
        <v>0.19</v>
      </c>
      <c r="S28">
        <v>0.1</v>
      </c>
      <c r="T28">
        <v>0</v>
      </c>
      <c r="U28">
        <v>0</v>
      </c>
      <c r="V28">
        <v>32</v>
      </c>
      <c r="W28">
        <v>1.7</v>
      </c>
      <c r="X28">
        <v>30</v>
      </c>
      <c r="Y28">
        <v>0.3</v>
      </c>
      <c r="Z28">
        <v>60</v>
      </c>
      <c r="AA28">
        <v>0</v>
      </c>
      <c r="AB28">
        <v>0</v>
      </c>
      <c r="AC28">
        <v>3.5</v>
      </c>
      <c r="AD28">
        <v>1</v>
      </c>
      <c r="AE28">
        <v>0</v>
      </c>
    </row>
    <row r="29" spans="1:31" x14ac:dyDescent="0.3">
      <c r="A29">
        <v>28</v>
      </c>
      <c r="B29">
        <v>100</v>
      </c>
      <c r="C29" t="s">
        <v>866</v>
      </c>
      <c r="D29" t="s">
        <v>2</v>
      </c>
      <c r="E29" t="s">
        <v>2</v>
      </c>
      <c r="F29">
        <v>5</v>
      </c>
      <c r="G29">
        <v>3.1</v>
      </c>
      <c r="H29">
        <v>2.7</v>
      </c>
      <c r="I29">
        <v>3.3</v>
      </c>
      <c r="J29">
        <v>10</v>
      </c>
      <c r="K29">
        <v>2</v>
      </c>
      <c r="L29">
        <v>5</v>
      </c>
      <c r="M29">
        <v>1.2</v>
      </c>
      <c r="N29">
        <v>2.7</v>
      </c>
      <c r="O29">
        <v>20.9</v>
      </c>
      <c r="P29">
        <v>0.19</v>
      </c>
      <c r="Q29">
        <v>0.19</v>
      </c>
      <c r="R29">
        <v>0.19</v>
      </c>
      <c r="S29">
        <v>0.1</v>
      </c>
      <c r="T29">
        <v>0</v>
      </c>
      <c r="U29">
        <v>0</v>
      </c>
      <c r="V29">
        <v>20</v>
      </c>
      <c r="W29">
        <v>2</v>
      </c>
      <c r="X29">
        <v>20</v>
      </c>
      <c r="Y29">
        <v>0.3</v>
      </c>
      <c r="Z29">
        <v>58</v>
      </c>
      <c r="AA29">
        <v>0</v>
      </c>
      <c r="AB29">
        <v>0</v>
      </c>
      <c r="AC29">
        <v>3.5</v>
      </c>
      <c r="AD29">
        <v>0</v>
      </c>
      <c r="AE29">
        <v>0</v>
      </c>
    </row>
    <row r="30" spans="1:31" x14ac:dyDescent="0.3">
      <c r="A30">
        <v>29</v>
      </c>
      <c r="B30">
        <v>100</v>
      </c>
      <c r="C30" t="s">
        <v>865</v>
      </c>
      <c r="D30" t="s">
        <v>2</v>
      </c>
      <c r="E30" t="s">
        <v>2</v>
      </c>
      <c r="F30">
        <v>5</v>
      </c>
      <c r="G30">
        <v>3.4</v>
      </c>
      <c r="H30">
        <v>2.9</v>
      </c>
      <c r="I30">
        <v>3.3</v>
      </c>
      <c r="J30">
        <v>14.5</v>
      </c>
      <c r="K30">
        <v>1.9</v>
      </c>
      <c r="L30">
        <v>4.9000000000000004</v>
      </c>
      <c r="M30">
        <v>3.25</v>
      </c>
      <c r="N30">
        <v>3.5</v>
      </c>
      <c r="O30">
        <v>28.05</v>
      </c>
      <c r="P30">
        <v>0.17</v>
      </c>
      <c r="Q30">
        <v>0.17</v>
      </c>
      <c r="R30">
        <v>0.2</v>
      </c>
      <c r="S30">
        <v>0.1</v>
      </c>
      <c r="T30">
        <v>0</v>
      </c>
      <c r="U30">
        <v>0</v>
      </c>
      <c r="V30">
        <v>20</v>
      </c>
      <c r="W30">
        <v>2</v>
      </c>
      <c r="X30">
        <v>20</v>
      </c>
      <c r="Y30">
        <v>0.3</v>
      </c>
      <c r="Z30">
        <v>56</v>
      </c>
      <c r="AA30">
        <v>0</v>
      </c>
      <c r="AB30">
        <v>0</v>
      </c>
      <c r="AC30">
        <v>3.5</v>
      </c>
      <c r="AD30">
        <v>1</v>
      </c>
      <c r="AE30">
        <v>0</v>
      </c>
    </row>
    <row r="31" spans="1:31" x14ac:dyDescent="0.3">
      <c r="A31">
        <v>30</v>
      </c>
      <c r="B31">
        <v>100</v>
      </c>
      <c r="C31" t="s">
        <v>864</v>
      </c>
      <c r="D31" t="s">
        <v>2</v>
      </c>
      <c r="E31" t="s">
        <v>2</v>
      </c>
      <c r="F31">
        <v>5</v>
      </c>
      <c r="G31">
        <v>3.4</v>
      </c>
      <c r="H31">
        <v>2.9</v>
      </c>
      <c r="I31">
        <v>3.3</v>
      </c>
      <c r="J31">
        <v>14.5</v>
      </c>
      <c r="K31">
        <v>1.9</v>
      </c>
      <c r="L31">
        <v>4.9000000000000004</v>
      </c>
      <c r="M31">
        <v>2.67</v>
      </c>
      <c r="N31">
        <v>3.5</v>
      </c>
      <c r="O31">
        <v>27.47</v>
      </c>
      <c r="P31">
        <v>0.17</v>
      </c>
      <c r="Q31">
        <v>0.17</v>
      </c>
      <c r="R31">
        <v>0.2</v>
      </c>
      <c r="S31">
        <v>0.1</v>
      </c>
      <c r="T31">
        <v>0</v>
      </c>
      <c r="U31">
        <v>0</v>
      </c>
      <c r="V31">
        <v>20</v>
      </c>
      <c r="W31">
        <v>2</v>
      </c>
      <c r="X31">
        <v>25</v>
      </c>
      <c r="Y31">
        <v>0.3</v>
      </c>
      <c r="Z31">
        <v>64</v>
      </c>
      <c r="AA31">
        <v>0</v>
      </c>
      <c r="AB31">
        <v>0</v>
      </c>
      <c r="AC31">
        <v>3.5</v>
      </c>
      <c r="AD31">
        <v>1</v>
      </c>
      <c r="AE31">
        <v>0</v>
      </c>
    </row>
    <row r="32" spans="1:31" x14ac:dyDescent="0.3">
      <c r="A32">
        <v>31</v>
      </c>
      <c r="B32">
        <v>100</v>
      </c>
      <c r="C32" t="s">
        <v>863</v>
      </c>
      <c r="D32" t="s">
        <v>2</v>
      </c>
      <c r="E32" t="s">
        <v>2</v>
      </c>
      <c r="F32">
        <v>5</v>
      </c>
      <c r="G32">
        <v>3.6</v>
      </c>
      <c r="H32">
        <v>3</v>
      </c>
      <c r="I32">
        <v>3</v>
      </c>
      <c r="J32">
        <v>19</v>
      </c>
      <c r="K32">
        <v>1</v>
      </c>
      <c r="L32">
        <v>2.5</v>
      </c>
      <c r="M32">
        <v>3.2</v>
      </c>
      <c r="N32">
        <v>5.8</v>
      </c>
      <c r="O32">
        <v>31.5</v>
      </c>
      <c r="P32">
        <v>0.15</v>
      </c>
      <c r="Q32">
        <v>0.15</v>
      </c>
      <c r="R32">
        <v>0.15</v>
      </c>
      <c r="S32">
        <v>0.1</v>
      </c>
      <c r="T32">
        <v>0</v>
      </c>
      <c r="U32">
        <v>0</v>
      </c>
      <c r="V32">
        <v>20</v>
      </c>
      <c r="W32">
        <v>2</v>
      </c>
      <c r="X32">
        <v>20</v>
      </c>
      <c r="Y32">
        <v>0.3</v>
      </c>
      <c r="Z32">
        <v>48</v>
      </c>
      <c r="AA32">
        <v>0</v>
      </c>
      <c r="AB32">
        <v>0</v>
      </c>
      <c r="AC32">
        <v>3</v>
      </c>
      <c r="AD32">
        <v>1</v>
      </c>
      <c r="AE32">
        <v>0</v>
      </c>
    </row>
    <row r="33" spans="1:31" x14ac:dyDescent="0.3">
      <c r="A33">
        <v>32</v>
      </c>
      <c r="B33">
        <v>100</v>
      </c>
      <c r="C33" t="s">
        <v>862</v>
      </c>
      <c r="D33" t="s">
        <v>2</v>
      </c>
      <c r="E33" t="s">
        <v>2</v>
      </c>
      <c r="F33">
        <v>5</v>
      </c>
      <c r="G33">
        <v>2.8</v>
      </c>
      <c r="H33">
        <v>2.8</v>
      </c>
      <c r="I33">
        <v>2</v>
      </c>
      <c r="J33">
        <v>19</v>
      </c>
      <c r="K33">
        <v>1</v>
      </c>
      <c r="L33">
        <v>2.5</v>
      </c>
      <c r="M33">
        <v>2.5499999999999998</v>
      </c>
      <c r="N33">
        <v>5.8</v>
      </c>
      <c r="O33">
        <v>30.85</v>
      </c>
      <c r="P33">
        <v>0.15</v>
      </c>
      <c r="Q33">
        <v>0.15</v>
      </c>
      <c r="R33">
        <v>0.15</v>
      </c>
      <c r="S33">
        <v>0.1</v>
      </c>
      <c r="T33">
        <v>0</v>
      </c>
      <c r="U33">
        <v>0</v>
      </c>
      <c r="V33">
        <v>18</v>
      </c>
      <c r="W33">
        <v>0.9</v>
      </c>
      <c r="X33">
        <v>20</v>
      </c>
      <c r="Y33">
        <v>0.3</v>
      </c>
      <c r="Z33">
        <v>44</v>
      </c>
      <c r="AA33">
        <v>0</v>
      </c>
      <c r="AB33">
        <v>0</v>
      </c>
      <c r="AC33">
        <v>3</v>
      </c>
      <c r="AD33">
        <v>1</v>
      </c>
      <c r="AE33">
        <v>0</v>
      </c>
    </row>
    <row r="34" spans="1:31" x14ac:dyDescent="0.3">
      <c r="A34">
        <v>33</v>
      </c>
      <c r="B34">
        <v>100</v>
      </c>
      <c r="C34" t="s">
        <v>861</v>
      </c>
      <c r="D34" t="s">
        <v>2</v>
      </c>
      <c r="E34" t="s">
        <v>2</v>
      </c>
      <c r="F34">
        <v>5</v>
      </c>
      <c r="G34">
        <v>3.2</v>
      </c>
      <c r="H34">
        <v>2.7</v>
      </c>
      <c r="I34">
        <v>3</v>
      </c>
      <c r="J34">
        <v>12</v>
      </c>
      <c r="K34">
        <v>0.5</v>
      </c>
      <c r="L34">
        <v>2.5</v>
      </c>
      <c r="M34">
        <v>0.86</v>
      </c>
      <c r="N34">
        <v>2.7</v>
      </c>
      <c r="O34">
        <v>18.559999999999999</v>
      </c>
      <c r="P34">
        <v>0.16</v>
      </c>
      <c r="Q34">
        <v>0.16</v>
      </c>
      <c r="R34">
        <v>0.15</v>
      </c>
      <c r="S34">
        <v>0.1</v>
      </c>
      <c r="T34">
        <v>0</v>
      </c>
      <c r="U34">
        <v>0</v>
      </c>
      <c r="V34">
        <v>20</v>
      </c>
      <c r="W34">
        <v>2</v>
      </c>
      <c r="X34">
        <v>25</v>
      </c>
      <c r="Y34">
        <v>0.3</v>
      </c>
      <c r="Z34">
        <v>44</v>
      </c>
      <c r="AA34">
        <v>0</v>
      </c>
      <c r="AB34">
        <v>0</v>
      </c>
      <c r="AC34">
        <v>3</v>
      </c>
      <c r="AD34">
        <v>0</v>
      </c>
      <c r="AE34">
        <v>0</v>
      </c>
    </row>
    <row r="35" spans="1:31" x14ac:dyDescent="0.3">
      <c r="A35">
        <v>34</v>
      </c>
      <c r="B35">
        <v>100</v>
      </c>
      <c r="C35" t="s">
        <v>860</v>
      </c>
      <c r="D35" t="s">
        <v>2</v>
      </c>
      <c r="E35" t="s">
        <v>2</v>
      </c>
      <c r="F35">
        <v>5</v>
      </c>
      <c r="G35">
        <v>3.2</v>
      </c>
      <c r="H35">
        <v>2.7</v>
      </c>
      <c r="I35">
        <v>3</v>
      </c>
      <c r="J35">
        <v>12</v>
      </c>
      <c r="K35">
        <v>0.5</v>
      </c>
      <c r="L35">
        <v>2.5</v>
      </c>
      <c r="M35">
        <v>0.86</v>
      </c>
      <c r="N35">
        <v>2.7</v>
      </c>
      <c r="O35">
        <v>18.559999999999999</v>
      </c>
      <c r="P35">
        <v>0.16</v>
      </c>
      <c r="Q35">
        <v>0.16</v>
      </c>
      <c r="R35">
        <v>0.15</v>
      </c>
      <c r="S35">
        <v>0.1</v>
      </c>
      <c r="T35">
        <v>0</v>
      </c>
      <c r="U35">
        <v>0</v>
      </c>
      <c r="V35">
        <v>20</v>
      </c>
      <c r="W35">
        <v>2</v>
      </c>
      <c r="X35">
        <v>20</v>
      </c>
      <c r="Y35">
        <v>0.3</v>
      </c>
      <c r="Z35">
        <v>44</v>
      </c>
      <c r="AA35">
        <v>0</v>
      </c>
      <c r="AB35">
        <v>0</v>
      </c>
      <c r="AC35">
        <v>3</v>
      </c>
      <c r="AD35">
        <v>0</v>
      </c>
      <c r="AE35">
        <v>0</v>
      </c>
    </row>
    <row r="36" spans="1:31" x14ac:dyDescent="0.3">
      <c r="A36">
        <v>35</v>
      </c>
      <c r="B36">
        <v>100</v>
      </c>
      <c r="C36" t="s">
        <v>658</v>
      </c>
      <c r="D36" t="s">
        <v>2</v>
      </c>
      <c r="E36" t="s">
        <v>2</v>
      </c>
      <c r="F36">
        <v>5</v>
      </c>
      <c r="G36">
        <v>3</v>
      </c>
      <c r="H36">
        <v>3.2</v>
      </c>
      <c r="I36">
        <v>3.2</v>
      </c>
      <c r="J36">
        <v>6.5</v>
      </c>
      <c r="K36">
        <v>1.5</v>
      </c>
      <c r="L36">
        <v>2</v>
      </c>
      <c r="M36">
        <v>1.67</v>
      </c>
      <c r="N36">
        <v>4.5</v>
      </c>
      <c r="O36">
        <v>16.170000000000002</v>
      </c>
      <c r="P36">
        <v>0.45</v>
      </c>
      <c r="Q36">
        <v>0.45</v>
      </c>
      <c r="R36">
        <v>0.3</v>
      </c>
      <c r="S36">
        <v>0.1</v>
      </c>
      <c r="T36">
        <v>0</v>
      </c>
      <c r="U36">
        <v>0</v>
      </c>
      <c r="V36">
        <v>16</v>
      </c>
      <c r="W36">
        <v>1.8</v>
      </c>
      <c r="X36">
        <v>35</v>
      </c>
      <c r="Y36">
        <v>0.3</v>
      </c>
      <c r="Z36">
        <v>49</v>
      </c>
      <c r="AA36">
        <v>0</v>
      </c>
      <c r="AB36">
        <v>0</v>
      </c>
      <c r="AC36">
        <v>3</v>
      </c>
      <c r="AD36">
        <v>1</v>
      </c>
      <c r="AE36">
        <v>0</v>
      </c>
    </row>
    <row r="37" spans="1:31" x14ac:dyDescent="0.3">
      <c r="A37">
        <v>39</v>
      </c>
      <c r="B37">
        <v>100</v>
      </c>
      <c r="C37" t="s">
        <v>657</v>
      </c>
      <c r="D37" t="s">
        <v>2</v>
      </c>
      <c r="E37" t="s">
        <v>2</v>
      </c>
      <c r="F37">
        <v>5</v>
      </c>
      <c r="G37">
        <v>3.3</v>
      </c>
      <c r="H37">
        <v>2.8</v>
      </c>
      <c r="I37">
        <v>2.8</v>
      </c>
      <c r="J37">
        <v>15</v>
      </c>
      <c r="K37">
        <v>1</v>
      </c>
      <c r="L37">
        <v>2</v>
      </c>
      <c r="M37">
        <v>1</v>
      </c>
      <c r="N37">
        <v>6.8</v>
      </c>
      <c r="O37">
        <v>25.8</v>
      </c>
      <c r="P37">
        <v>0.3</v>
      </c>
      <c r="Q37">
        <v>0.3</v>
      </c>
      <c r="R37">
        <v>0.2</v>
      </c>
      <c r="S37">
        <v>0.1</v>
      </c>
      <c r="T37">
        <v>0</v>
      </c>
      <c r="U37">
        <v>0</v>
      </c>
      <c r="V37">
        <v>20</v>
      </c>
      <c r="W37">
        <v>2</v>
      </c>
      <c r="X37">
        <v>15</v>
      </c>
      <c r="Y37">
        <v>0.3</v>
      </c>
      <c r="Z37">
        <v>40</v>
      </c>
      <c r="AA37">
        <v>0</v>
      </c>
      <c r="AB37">
        <v>0</v>
      </c>
      <c r="AC37">
        <v>2.5</v>
      </c>
      <c r="AD37">
        <v>1</v>
      </c>
      <c r="AE37">
        <v>0</v>
      </c>
    </row>
    <row r="38" spans="1:31" x14ac:dyDescent="0.3">
      <c r="A38">
        <v>54</v>
      </c>
      <c r="B38">
        <v>150</v>
      </c>
      <c r="C38" t="s">
        <v>647</v>
      </c>
      <c r="D38" t="s">
        <v>316</v>
      </c>
      <c r="E38" t="s">
        <v>2</v>
      </c>
      <c r="F38">
        <v>5</v>
      </c>
      <c r="G38">
        <v>3.7</v>
      </c>
      <c r="H38">
        <v>3</v>
      </c>
      <c r="I38">
        <v>3.3</v>
      </c>
      <c r="J38">
        <v>11.2</v>
      </c>
      <c r="K38">
        <v>7.6</v>
      </c>
      <c r="L38">
        <v>3.75</v>
      </c>
      <c r="M38">
        <v>5</v>
      </c>
      <c r="N38">
        <v>6.5</v>
      </c>
      <c r="O38">
        <v>34.049999999999997</v>
      </c>
      <c r="P38">
        <v>0.13</v>
      </c>
      <c r="Q38">
        <v>0.13</v>
      </c>
      <c r="R38">
        <v>0.4</v>
      </c>
      <c r="S38">
        <v>0.12</v>
      </c>
      <c r="T38">
        <v>0</v>
      </c>
      <c r="U38">
        <v>0</v>
      </c>
      <c r="V38">
        <v>20</v>
      </c>
      <c r="W38">
        <v>2</v>
      </c>
      <c r="X38">
        <v>20</v>
      </c>
      <c r="Y38">
        <v>0.3</v>
      </c>
      <c r="Z38">
        <v>57</v>
      </c>
      <c r="AA38">
        <v>0</v>
      </c>
      <c r="AB38">
        <v>0</v>
      </c>
      <c r="AC38">
        <v>3.5</v>
      </c>
      <c r="AD38">
        <v>1</v>
      </c>
      <c r="AE38">
        <v>0</v>
      </c>
    </row>
    <row r="39" spans="1:31" x14ac:dyDescent="0.3">
      <c r="A39">
        <v>55</v>
      </c>
      <c r="B39">
        <v>150</v>
      </c>
      <c r="C39" t="s">
        <v>646</v>
      </c>
      <c r="D39" t="s">
        <v>316</v>
      </c>
      <c r="E39" t="s">
        <v>2</v>
      </c>
      <c r="F39">
        <v>5</v>
      </c>
      <c r="G39">
        <v>3</v>
      </c>
      <c r="H39">
        <v>2.6</v>
      </c>
      <c r="I39">
        <v>2</v>
      </c>
      <c r="J39">
        <v>0</v>
      </c>
      <c r="K39">
        <v>0</v>
      </c>
      <c r="L39">
        <v>0.4</v>
      </c>
      <c r="M39">
        <v>0.3</v>
      </c>
      <c r="N39">
        <v>4.5</v>
      </c>
      <c r="O39">
        <v>16.5</v>
      </c>
      <c r="P39">
        <v>0.68</v>
      </c>
      <c r="Q39">
        <v>0.68</v>
      </c>
      <c r="R39">
        <v>0.2</v>
      </c>
      <c r="S39">
        <v>0.2</v>
      </c>
      <c r="T39">
        <v>0</v>
      </c>
      <c r="U39">
        <v>0</v>
      </c>
      <c r="V39">
        <v>20</v>
      </c>
      <c r="W39">
        <v>2</v>
      </c>
      <c r="X39">
        <v>30</v>
      </c>
      <c r="Y39">
        <v>0.3</v>
      </c>
      <c r="Z39">
        <v>56</v>
      </c>
      <c r="AA39">
        <v>0</v>
      </c>
      <c r="AB39">
        <v>0</v>
      </c>
      <c r="AC39">
        <v>2.5</v>
      </c>
      <c r="AD39">
        <v>0</v>
      </c>
      <c r="AE39">
        <v>0</v>
      </c>
    </row>
    <row r="40" spans="1:31" x14ac:dyDescent="0.3">
      <c r="A40">
        <v>68</v>
      </c>
      <c r="B40">
        <v>100</v>
      </c>
      <c r="C40" t="s">
        <v>645</v>
      </c>
      <c r="D40" t="s">
        <v>2</v>
      </c>
      <c r="E40" t="s">
        <v>2</v>
      </c>
      <c r="F40">
        <v>5</v>
      </c>
      <c r="G40">
        <v>2.5</v>
      </c>
      <c r="H40">
        <v>1</v>
      </c>
      <c r="I40">
        <v>1</v>
      </c>
      <c r="J40">
        <v>12</v>
      </c>
      <c r="K40">
        <v>2.5</v>
      </c>
      <c r="L40">
        <v>1</v>
      </c>
      <c r="M40">
        <v>2</v>
      </c>
      <c r="N40">
        <v>10</v>
      </c>
      <c r="O40">
        <v>13</v>
      </c>
      <c r="P40">
        <v>0.6</v>
      </c>
      <c r="Q40">
        <v>0.6</v>
      </c>
      <c r="R40">
        <v>0.5</v>
      </c>
      <c r="S40">
        <v>0.45</v>
      </c>
      <c r="T40">
        <v>0</v>
      </c>
      <c r="U40">
        <v>0</v>
      </c>
      <c r="V40">
        <v>20</v>
      </c>
      <c r="W40">
        <v>2</v>
      </c>
      <c r="X40">
        <v>20</v>
      </c>
      <c r="Y40">
        <v>0.3</v>
      </c>
      <c r="Z40">
        <v>0</v>
      </c>
      <c r="AA40">
        <v>0</v>
      </c>
      <c r="AB40">
        <v>0</v>
      </c>
      <c r="AC40">
        <v>4</v>
      </c>
      <c r="AE40">
        <v>0</v>
      </c>
    </row>
    <row r="41" spans="1:31" x14ac:dyDescent="0.3">
      <c r="A41">
        <v>1105</v>
      </c>
      <c r="B41">
        <v>100</v>
      </c>
      <c r="C41" t="s">
        <v>660</v>
      </c>
      <c r="D41" t="s">
        <v>2</v>
      </c>
      <c r="E41" t="s">
        <v>2</v>
      </c>
      <c r="F41">
        <v>5</v>
      </c>
      <c r="G41">
        <v>2.8</v>
      </c>
      <c r="H41">
        <v>2.8</v>
      </c>
      <c r="I41">
        <v>2</v>
      </c>
      <c r="J41">
        <v>19</v>
      </c>
      <c r="K41">
        <v>1</v>
      </c>
      <c r="L41">
        <v>2.5</v>
      </c>
      <c r="M41">
        <v>2.5499999999999998</v>
      </c>
      <c r="N41">
        <v>5.8</v>
      </c>
      <c r="O41">
        <v>30.85</v>
      </c>
      <c r="P41">
        <v>0.15</v>
      </c>
      <c r="Q41">
        <v>0.15</v>
      </c>
      <c r="R41">
        <v>0.15</v>
      </c>
      <c r="S41">
        <v>0.1</v>
      </c>
      <c r="T41">
        <v>1</v>
      </c>
      <c r="U41">
        <v>0.15</v>
      </c>
      <c r="V41">
        <v>18</v>
      </c>
      <c r="W41">
        <v>0.9</v>
      </c>
      <c r="X41">
        <v>20</v>
      </c>
      <c r="Y41">
        <v>3.3</v>
      </c>
      <c r="Z41">
        <v>44</v>
      </c>
      <c r="AC41">
        <v>3</v>
      </c>
      <c r="AD41">
        <v>1</v>
      </c>
      <c r="AE41">
        <v>0</v>
      </c>
    </row>
    <row r="42" spans="1:31" x14ac:dyDescent="0.3">
      <c r="A42">
        <v>1109</v>
      </c>
      <c r="B42">
        <v>100</v>
      </c>
      <c r="C42" t="s">
        <v>657</v>
      </c>
      <c r="D42" t="s">
        <v>2</v>
      </c>
      <c r="E42" t="s">
        <v>2</v>
      </c>
      <c r="F42">
        <v>5</v>
      </c>
      <c r="G42">
        <v>3.3</v>
      </c>
      <c r="H42">
        <v>2.8</v>
      </c>
      <c r="I42">
        <v>2.8</v>
      </c>
      <c r="J42">
        <v>15</v>
      </c>
      <c r="K42">
        <v>1</v>
      </c>
      <c r="L42">
        <v>2</v>
      </c>
      <c r="M42">
        <v>1</v>
      </c>
      <c r="N42">
        <v>6.8</v>
      </c>
      <c r="O42">
        <v>25.8</v>
      </c>
      <c r="P42">
        <v>0.3</v>
      </c>
      <c r="Q42">
        <v>0.3</v>
      </c>
      <c r="R42">
        <v>0.2</v>
      </c>
      <c r="S42">
        <v>0.1</v>
      </c>
      <c r="T42">
        <v>1</v>
      </c>
      <c r="U42">
        <v>0.3</v>
      </c>
      <c r="V42">
        <v>25</v>
      </c>
      <c r="W42">
        <v>1.3</v>
      </c>
      <c r="X42">
        <v>15</v>
      </c>
      <c r="Y42">
        <v>6.3</v>
      </c>
      <c r="Z42">
        <v>40</v>
      </c>
      <c r="AC42">
        <v>2.5</v>
      </c>
      <c r="AD42">
        <v>1</v>
      </c>
      <c r="AE42">
        <v>0</v>
      </c>
    </row>
    <row r="43" spans="1:31" x14ac:dyDescent="0.3">
      <c r="A43">
        <v>1152</v>
      </c>
      <c r="B43">
        <v>150</v>
      </c>
      <c r="C43" t="s">
        <v>650</v>
      </c>
      <c r="D43" t="s">
        <v>810</v>
      </c>
      <c r="E43" t="s">
        <v>2</v>
      </c>
      <c r="F43">
        <v>5</v>
      </c>
      <c r="G43">
        <v>3.7</v>
      </c>
      <c r="H43">
        <v>3.4</v>
      </c>
      <c r="I43">
        <v>2.5</v>
      </c>
      <c r="J43">
        <v>17</v>
      </c>
      <c r="K43">
        <v>2</v>
      </c>
      <c r="L43">
        <v>3</v>
      </c>
      <c r="M43">
        <v>3.88</v>
      </c>
      <c r="N43">
        <v>6.9</v>
      </c>
      <c r="O43">
        <v>32.78</v>
      </c>
      <c r="P43">
        <v>0.35</v>
      </c>
      <c r="Q43">
        <v>0.35</v>
      </c>
      <c r="R43">
        <v>0.15</v>
      </c>
      <c r="S43">
        <v>0.1</v>
      </c>
      <c r="T43">
        <v>1</v>
      </c>
      <c r="U43">
        <v>0.35</v>
      </c>
      <c r="V43">
        <v>41</v>
      </c>
      <c r="W43">
        <v>2</v>
      </c>
      <c r="X43">
        <v>60</v>
      </c>
      <c r="Y43">
        <v>12.3</v>
      </c>
      <c r="Z43">
        <v>69</v>
      </c>
      <c r="AC43">
        <v>4.5</v>
      </c>
      <c r="AD43">
        <v>0</v>
      </c>
      <c r="AE43">
        <v>0</v>
      </c>
    </row>
    <row r="44" spans="1:31" x14ac:dyDescent="0.3">
      <c r="A44">
        <v>1153</v>
      </c>
      <c r="B44">
        <v>150</v>
      </c>
      <c r="C44" t="s">
        <v>649</v>
      </c>
      <c r="D44" t="s">
        <v>810</v>
      </c>
      <c r="E44" t="s">
        <v>2</v>
      </c>
      <c r="F44">
        <v>5</v>
      </c>
      <c r="G44">
        <v>3.8</v>
      </c>
      <c r="H44">
        <v>3.6</v>
      </c>
      <c r="I44">
        <v>3</v>
      </c>
      <c r="J44">
        <v>18</v>
      </c>
      <c r="K44">
        <v>0</v>
      </c>
      <c r="L44">
        <v>2</v>
      </c>
      <c r="M44">
        <v>3.5</v>
      </c>
      <c r="N44">
        <v>9.6</v>
      </c>
      <c r="O44">
        <v>33.1</v>
      </c>
      <c r="P44">
        <v>0.35</v>
      </c>
      <c r="Q44">
        <v>0.35</v>
      </c>
      <c r="R44">
        <v>0.15</v>
      </c>
      <c r="S44">
        <v>0.1</v>
      </c>
      <c r="T44">
        <v>1</v>
      </c>
      <c r="U44">
        <v>0.35</v>
      </c>
      <c r="V44">
        <v>29</v>
      </c>
      <c r="W44">
        <v>1.7</v>
      </c>
      <c r="X44">
        <v>40</v>
      </c>
      <c r="Y44">
        <v>13.3</v>
      </c>
      <c r="Z44">
        <v>63</v>
      </c>
      <c r="AC44">
        <v>4.5</v>
      </c>
      <c r="AD44">
        <v>0</v>
      </c>
      <c r="AE44">
        <v>0</v>
      </c>
    </row>
    <row r="45" spans="1:31" x14ac:dyDescent="0.3">
      <c r="A45">
        <v>1162</v>
      </c>
      <c r="B45">
        <v>150</v>
      </c>
      <c r="C45" t="s">
        <v>646</v>
      </c>
      <c r="D45" t="s">
        <v>810</v>
      </c>
      <c r="E45" t="s">
        <v>2</v>
      </c>
      <c r="F45">
        <v>5</v>
      </c>
      <c r="G45">
        <v>3</v>
      </c>
      <c r="H45">
        <v>2.6</v>
      </c>
      <c r="I45">
        <v>2</v>
      </c>
      <c r="J45">
        <v>11.3</v>
      </c>
      <c r="K45">
        <v>0</v>
      </c>
      <c r="L45">
        <v>0.4</v>
      </c>
      <c r="M45">
        <v>0.3</v>
      </c>
      <c r="N45">
        <v>4.5</v>
      </c>
      <c r="O45">
        <v>16.5</v>
      </c>
      <c r="P45">
        <v>0.68</v>
      </c>
      <c r="Q45">
        <v>0.68</v>
      </c>
      <c r="R45">
        <v>0.2</v>
      </c>
      <c r="S45">
        <v>0.2</v>
      </c>
      <c r="T45">
        <v>1</v>
      </c>
      <c r="U45">
        <v>0.68</v>
      </c>
      <c r="V45">
        <v>25</v>
      </c>
      <c r="W45">
        <v>1.3</v>
      </c>
      <c r="X45">
        <v>30</v>
      </c>
      <c r="Y45">
        <v>16.3</v>
      </c>
      <c r="Z45">
        <v>56</v>
      </c>
      <c r="AC45">
        <v>2.5</v>
      </c>
      <c r="AD45">
        <v>0</v>
      </c>
      <c r="AE45">
        <v>0</v>
      </c>
    </row>
    <row r="46" spans="1:31" x14ac:dyDescent="0.3">
      <c r="A46">
        <v>2101</v>
      </c>
      <c r="B46">
        <v>100</v>
      </c>
      <c r="C46" t="s">
        <v>663</v>
      </c>
      <c r="D46" t="s">
        <v>2</v>
      </c>
      <c r="E46" t="s">
        <v>2</v>
      </c>
      <c r="F46">
        <v>5</v>
      </c>
      <c r="G46">
        <v>3.1</v>
      </c>
      <c r="H46">
        <v>2.7</v>
      </c>
      <c r="I46">
        <v>2.8</v>
      </c>
      <c r="J46">
        <v>11</v>
      </c>
      <c r="K46">
        <v>1</v>
      </c>
      <c r="L46">
        <v>2</v>
      </c>
      <c r="M46">
        <v>2.4300000000000002</v>
      </c>
      <c r="N46">
        <v>4.5</v>
      </c>
      <c r="O46">
        <v>20.93</v>
      </c>
      <c r="P46">
        <v>0.3</v>
      </c>
      <c r="Q46">
        <v>0.3</v>
      </c>
      <c r="R46">
        <v>0.2</v>
      </c>
      <c r="S46">
        <v>0.1</v>
      </c>
      <c r="T46">
        <v>1</v>
      </c>
      <c r="U46">
        <v>0.3</v>
      </c>
      <c r="V46">
        <v>25</v>
      </c>
      <c r="W46">
        <v>1.3</v>
      </c>
      <c r="X46">
        <v>25</v>
      </c>
      <c r="Y46">
        <v>0.3</v>
      </c>
      <c r="Z46">
        <v>54</v>
      </c>
      <c r="AC46">
        <v>3</v>
      </c>
      <c r="AD46">
        <v>1</v>
      </c>
    </row>
    <row r="47" spans="1:31" x14ac:dyDescent="0.3">
      <c r="A47">
        <v>2102</v>
      </c>
      <c r="B47">
        <v>100</v>
      </c>
      <c r="C47" t="s">
        <v>662</v>
      </c>
      <c r="D47" t="s">
        <v>2</v>
      </c>
      <c r="E47" t="s">
        <v>2</v>
      </c>
      <c r="F47">
        <v>5</v>
      </c>
      <c r="G47">
        <v>3.1</v>
      </c>
      <c r="H47">
        <v>2.7</v>
      </c>
      <c r="I47">
        <v>2.8</v>
      </c>
      <c r="J47">
        <v>11</v>
      </c>
      <c r="K47">
        <v>1</v>
      </c>
      <c r="L47">
        <v>2</v>
      </c>
      <c r="M47">
        <v>1.67</v>
      </c>
      <c r="N47">
        <v>4.5</v>
      </c>
      <c r="O47">
        <v>20.170000000000002</v>
      </c>
      <c r="P47">
        <v>0.3</v>
      </c>
      <c r="Q47">
        <v>0.3</v>
      </c>
      <c r="R47">
        <v>0.2</v>
      </c>
      <c r="S47">
        <v>0.1</v>
      </c>
      <c r="T47">
        <v>1</v>
      </c>
      <c r="U47">
        <v>0.3</v>
      </c>
      <c r="V47">
        <v>25</v>
      </c>
      <c r="W47">
        <v>1.3</v>
      </c>
      <c r="X47">
        <v>25</v>
      </c>
      <c r="Y47">
        <v>0.3</v>
      </c>
      <c r="Z47">
        <v>42</v>
      </c>
      <c r="AC47">
        <v>2.5</v>
      </c>
      <c r="AD47">
        <v>0</v>
      </c>
    </row>
    <row r="48" spans="1:31" x14ac:dyDescent="0.3">
      <c r="A48">
        <v>2105</v>
      </c>
      <c r="B48">
        <v>100</v>
      </c>
      <c r="C48" t="s">
        <v>660</v>
      </c>
      <c r="D48" t="s">
        <v>2</v>
      </c>
      <c r="E48" t="s">
        <v>2</v>
      </c>
      <c r="F48">
        <v>5</v>
      </c>
      <c r="G48">
        <v>2.8</v>
      </c>
      <c r="H48">
        <v>2.8</v>
      </c>
      <c r="I48">
        <v>2</v>
      </c>
      <c r="J48">
        <v>19</v>
      </c>
      <c r="K48">
        <v>1</v>
      </c>
      <c r="L48">
        <v>2.5</v>
      </c>
      <c r="M48">
        <v>2.5499999999999998</v>
      </c>
      <c r="N48">
        <v>5.8</v>
      </c>
      <c r="O48">
        <v>30.85</v>
      </c>
      <c r="P48">
        <v>0.15</v>
      </c>
      <c r="Q48">
        <v>0.15</v>
      </c>
      <c r="R48">
        <v>0.15</v>
      </c>
      <c r="S48">
        <v>0.1</v>
      </c>
      <c r="T48">
        <v>1</v>
      </c>
      <c r="U48">
        <v>0.15</v>
      </c>
      <c r="V48">
        <v>18</v>
      </c>
      <c r="W48">
        <v>0.9</v>
      </c>
      <c r="X48">
        <v>20</v>
      </c>
      <c r="Y48">
        <v>0.3</v>
      </c>
      <c r="Z48">
        <v>44</v>
      </c>
      <c r="AC48">
        <v>3</v>
      </c>
      <c r="AD48">
        <v>1</v>
      </c>
    </row>
    <row r="49" spans="1:30" x14ac:dyDescent="0.3">
      <c r="A49">
        <v>2108</v>
      </c>
      <c r="B49">
        <v>100</v>
      </c>
      <c r="C49" t="s">
        <v>658</v>
      </c>
      <c r="D49" t="s">
        <v>2</v>
      </c>
      <c r="E49" t="s">
        <v>2</v>
      </c>
      <c r="F49">
        <v>5</v>
      </c>
      <c r="G49">
        <v>3</v>
      </c>
      <c r="H49">
        <v>3.2</v>
      </c>
      <c r="I49">
        <v>3.2</v>
      </c>
      <c r="J49">
        <v>6.5</v>
      </c>
      <c r="K49">
        <v>1.5</v>
      </c>
      <c r="L49">
        <v>2</v>
      </c>
      <c r="M49">
        <v>1.67</v>
      </c>
      <c r="N49">
        <v>4.5</v>
      </c>
      <c r="O49">
        <v>16.170000000000002</v>
      </c>
      <c r="P49">
        <v>0.45</v>
      </c>
      <c r="Q49">
        <v>0.45</v>
      </c>
      <c r="R49">
        <v>0.3</v>
      </c>
      <c r="S49">
        <v>0.1</v>
      </c>
      <c r="T49">
        <v>1</v>
      </c>
      <c r="U49">
        <v>0.45</v>
      </c>
      <c r="V49">
        <v>16</v>
      </c>
      <c r="W49">
        <v>1.8</v>
      </c>
      <c r="X49">
        <v>35</v>
      </c>
      <c r="Y49">
        <v>0.3</v>
      </c>
      <c r="Z49">
        <v>49</v>
      </c>
      <c r="AC49">
        <v>3</v>
      </c>
      <c r="AD49">
        <v>0</v>
      </c>
    </row>
    <row r="50" spans="1:30" x14ac:dyDescent="0.3">
      <c r="A50">
        <v>2109</v>
      </c>
      <c r="B50">
        <v>100</v>
      </c>
      <c r="C50" t="s">
        <v>657</v>
      </c>
      <c r="D50" t="s">
        <v>2</v>
      </c>
      <c r="E50" t="s">
        <v>2</v>
      </c>
      <c r="F50">
        <v>5</v>
      </c>
      <c r="G50">
        <v>3.3</v>
      </c>
      <c r="H50">
        <v>2.8</v>
      </c>
      <c r="I50">
        <v>2.8</v>
      </c>
      <c r="J50">
        <v>15</v>
      </c>
      <c r="K50">
        <v>1</v>
      </c>
      <c r="L50">
        <v>2</v>
      </c>
      <c r="M50">
        <v>1</v>
      </c>
      <c r="N50">
        <v>6.8</v>
      </c>
      <c r="O50">
        <v>25.8</v>
      </c>
      <c r="P50">
        <v>0.3</v>
      </c>
      <c r="Q50">
        <v>0.3</v>
      </c>
      <c r="R50">
        <v>0.2</v>
      </c>
      <c r="S50">
        <v>0.1</v>
      </c>
      <c r="T50">
        <v>1</v>
      </c>
      <c r="U50">
        <v>0.3</v>
      </c>
      <c r="V50">
        <v>25</v>
      </c>
      <c r="W50">
        <v>1.3</v>
      </c>
      <c r="X50">
        <v>15</v>
      </c>
      <c r="Y50">
        <v>0.3</v>
      </c>
      <c r="Z50">
        <v>40</v>
      </c>
      <c r="AC50">
        <v>2.5</v>
      </c>
      <c r="AD50">
        <v>1</v>
      </c>
    </row>
    <row r="51" spans="1:30" x14ac:dyDescent="0.3">
      <c r="A51">
        <v>2111</v>
      </c>
      <c r="B51">
        <v>100</v>
      </c>
      <c r="C51" t="s">
        <v>656</v>
      </c>
      <c r="D51" t="s">
        <v>2</v>
      </c>
      <c r="E51" t="s">
        <v>2</v>
      </c>
      <c r="F51">
        <v>5</v>
      </c>
      <c r="G51">
        <v>3.5</v>
      </c>
      <c r="H51">
        <v>3.3</v>
      </c>
      <c r="I51">
        <v>3.5</v>
      </c>
      <c r="J51">
        <v>14.5</v>
      </c>
      <c r="K51">
        <v>1.9</v>
      </c>
      <c r="L51">
        <v>4.9000000000000004</v>
      </c>
      <c r="M51">
        <v>2.5</v>
      </c>
      <c r="N51">
        <v>3.5</v>
      </c>
      <c r="O51">
        <v>27.3</v>
      </c>
      <c r="P51">
        <v>0.17</v>
      </c>
      <c r="Q51">
        <v>0.17</v>
      </c>
      <c r="R51">
        <v>0.2</v>
      </c>
      <c r="S51">
        <v>0.1</v>
      </c>
      <c r="T51">
        <v>1</v>
      </c>
      <c r="U51">
        <v>0.17</v>
      </c>
      <c r="V51">
        <v>32</v>
      </c>
      <c r="W51">
        <v>2.2000000000000002</v>
      </c>
      <c r="X51">
        <v>25</v>
      </c>
      <c r="Y51">
        <v>0.3</v>
      </c>
      <c r="Z51">
        <v>63</v>
      </c>
      <c r="AC51">
        <v>3.5</v>
      </c>
      <c r="AD51">
        <v>0</v>
      </c>
    </row>
    <row r="52" spans="1:30" x14ac:dyDescent="0.3">
      <c r="A52">
        <v>2112</v>
      </c>
      <c r="B52">
        <v>100</v>
      </c>
      <c r="C52" t="s">
        <v>655</v>
      </c>
      <c r="D52" t="s">
        <v>2</v>
      </c>
      <c r="E52" t="s">
        <v>2</v>
      </c>
      <c r="F52">
        <v>5</v>
      </c>
      <c r="G52">
        <v>3.6</v>
      </c>
      <c r="H52">
        <v>3</v>
      </c>
      <c r="I52">
        <v>3</v>
      </c>
      <c r="J52">
        <v>17</v>
      </c>
      <c r="K52">
        <v>1</v>
      </c>
      <c r="L52">
        <v>2.5</v>
      </c>
      <c r="M52">
        <v>2.2000000000000002</v>
      </c>
      <c r="N52">
        <v>8.4</v>
      </c>
      <c r="O52">
        <v>31.1</v>
      </c>
      <c r="P52">
        <v>0.32</v>
      </c>
      <c r="Q52">
        <v>0.32</v>
      </c>
      <c r="R52">
        <v>0.25</v>
      </c>
      <c r="S52">
        <v>0.1</v>
      </c>
      <c r="T52">
        <v>1</v>
      </c>
      <c r="U52">
        <v>0.32</v>
      </c>
      <c r="V52">
        <v>25</v>
      </c>
      <c r="W52">
        <v>1.3</v>
      </c>
      <c r="X52">
        <v>35</v>
      </c>
      <c r="Y52">
        <v>0.3</v>
      </c>
      <c r="Z52">
        <v>64</v>
      </c>
      <c r="AC52">
        <v>3.5</v>
      </c>
      <c r="AD52">
        <v>1</v>
      </c>
    </row>
    <row r="53" spans="1:30" x14ac:dyDescent="0.3">
      <c r="A53">
        <v>2113</v>
      </c>
      <c r="B53">
        <v>100</v>
      </c>
      <c r="C53" t="s">
        <v>654</v>
      </c>
      <c r="D53" t="s">
        <v>2</v>
      </c>
      <c r="E53" t="s">
        <v>2</v>
      </c>
      <c r="F53">
        <v>5</v>
      </c>
      <c r="G53">
        <v>3.4</v>
      </c>
      <c r="H53">
        <v>3.1</v>
      </c>
      <c r="I53">
        <v>2.5</v>
      </c>
      <c r="J53">
        <v>10</v>
      </c>
      <c r="K53">
        <v>2</v>
      </c>
      <c r="L53">
        <v>5</v>
      </c>
      <c r="M53">
        <v>3.4</v>
      </c>
      <c r="N53">
        <v>2.7</v>
      </c>
      <c r="O53">
        <v>23.1</v>
      </c>
      <c r="P53">
        <v>0.19</v>
      </c>
      <c r="Q53">
        <v>0.19</v>
      </c>
      <c r="R53">
        <v>0.19</v>
      </c>
      <c r="S53">
        <v>0.1</v>
      </c>
      <c r="T53">
        <v>1</v>
      </c>
      <c r="U53">
        <v>0.19</v>
      </c>
      <c r="V53">
        <v>32</v>
      </c>
      <c r="W53">
        <v>1.7</v>
      </c>
      <c r="X53">
        <v>30</v>
      </c>
      <c r="Y53">
        <v>0.3</v>
      </c>
      <c r="Z53">
        <v>60</v>
      </c>
      <c r="AC53">
        <v>3.5</v>
      </c>
      <c r="AD53">
        <v>1</v>
      </c>
    </row>
    <row r="54" spans="1:30" x14ac:dyDescent="0.3">
      <c r="A54">
        <v>2114</v>
      </c>
      <c r="B54">
        <v>100</v>
      </c>
      <c r="C54" t="s">
        <v>653</v>
      </c>
      <c r="D54" t="s">
        <v>2</v>
      </c>
      <c r="E54" t="s">
        <v>2</v>
      </c>
      <c r="F54">
        <v>5</v>
      </c>
      <c r="G54">
        <v>3.4</v>
      </c>
      <c r="H54">
        <v>2.9</v>
      </c>
      <c r="I54">
        <v>3.3</v>
      </c>
      <c r="J54">
        <v>14.5</v>
      </c>
      <c r="K54">
        <v>1.9</v>
      </c>
      <c r="L54">
        <v>4.9000000000000004</v>
      </c>
      <c r="M54">
        <v>2.62</v>
      </c>
      <c r="N54">
        <v>3.5</v>
      </c>
      <c r="O54">
        <v>27.42</v>
      </c>
      <c r="P54">
        <v>0.17</v>
      </c>
      <c r="Q54">
        <v>0.17</v>
      </c>
      <c r="R54">
        <v>0.2</v>
      </c>
      <c r="S54">
        <v>0.1</v>
      </c>
      <c r="T54">
        <v>1</v>
      </c>
      <c r="U54">
        <v>0.17</v>
      </c>
      <c r="V54">
        <v>25</v>
      </c>
      <c r="W54">
        <v>1.3</v>
      </c>
      <c r="X54">
        <v>25</v>
      </c>
      <c r="Y54">
        <v>0.3</v>
      </c>
      <c r="Z54">
        <v>61</v>
      </c>
      <c r="AC54">
        <v>3.5</v>
      </c>
      <c r="AD54">
        <v>1</v>
      </c>
    </row>
    <row r="55" spans="1:30" x14ac:dyDescent="0.3">
      <c r="A55">
        <v>2151</v>
      </c>
      <c r="B55">
        <v>150</v>
      </c>
      <c r="C55" t="s">
        <v>651</v>
      </c>
      <c r="D55" t="s">
        <v>810</v>
      </c>
      <c r="E55" t="s">
        <v>2</v>
      </c>
      <c r="F55">
        <v>5</v>
      </c>
      <c r="G55">
        <v>2.8</v>
      </c>
      <c r="H55">
        <v>2.4</v>
      </c>
      <c r="I55">
        <v>2.6</v>
      </c>
      <c r="J55">
        <v>8</v>
      </c>
      <c r="K55">
        <v>1</v>
      </c>
      <c r="L55">
        <v>1</v>
      </c>
      <c r="M55">
        <v>1</v>
      </c>
      <c r="N55">
        <v>8</v>
      </c>
      <c r="O55">
        <v>19</v>
      </c>
      <c r="P55">
        <v>0.75</v>
      </c>
      <c r="Q55">
        <v>0.75</v>
      </c>
      <c r="R55">
        <v>0.3</v>
      </c>
      <c r="S55">
        <v>0.1</v>
      </c>
      <c r="T55">
        <v>1</v>
      </c>
      <c r="U55">
        <v>0.75</v>
      </c>
      <c r="V55">
        <v>25</v>
      </c>
      <c r="W55">
        <v>1.3</v>
      </c>
      <c r="X55">
        <v>40</v>
      </c>
      <c r="Y55">
        <v>0.3</v>
      </c>
      <c r="Z55">
        <v>71</v>
      </c>
      <c r="AC55">
        <v>5</v>
      </c>
      <c r="AD55">
        <v>0</v>
      </c>
    </row>
    <row r="56" spans="1:30" x14ac:dyDescent="0.3">
      <c r="A56">
        <v>2152</v>
      </c>
      <c r="B56">
        <v>150</v>
      </c>
      <c r="C56" t="s">
        <v>650</v>
      </c>
      <c r="D56" t="s">
        <v>810</v>
      </c>
      <c r="E56" t="s">
        <v>2</v>
      </c>
      <c r="F56">
        <v>5</v>
      </c>
      <c r="G56">
        <v>3.7</v>
      </c>
      <c r="H56">
        <v>3.4</v>
      </c>
      <c r="I56">
        <v>2.5</v>
      </c>
      <c r="J56">
        <v>17</v>
      </c>
      <c r="K56">
        <v>2</v>
      </c>
      <c r="L56">
        <v>3</v>
      </c>
      <c r="M56">
        <v>3.88</v>
      </c>
      <c r="N56">
        <v>6.9</v>
      </c>
      <c r="O56">
        <v>32.78</v>
      </c>
      <c r="P56">
        <v>0.35</v>
      </c>
      <c r="Q56">
        <v>0.35</v>
      </c>
      <c r="R56">
        <v>0.15</v>
      </c>
      <c r="S56">
        <v>0.1</v>
      </c>
      <c r="T56">
        <v>1</v>
      </c>
      <c r="U56">
        <v>0.35</v>
      </c>
      <c r="V56">
        <v>41</v>
      </c>
      <c r="W56">
        <v>2</v>
      </c>
      <c r="X56">
        <v>60</v>
      </c>
      <c r="Y56">
        <v>0.3</v>
      </c>
      <c r="Z56">
        <v>69</v>
      </c>
      <c r="AC56">
        <v>4.5</v>
      </c>
      <c r="AD56">
        <v>0</v>
      </c>
    </row>
    <row r="57" spans="1:30" x14ac:dyDescent="0.3">
      <c r="A57">
        <v>2153</v>
      </c>
      <c r="B57">
        <v>150</v>
      </c>
      <c r="C57" t="s">
        <v>649</v>
      </c>
      <c r="D57" t="s">
        <v>810</v>
      </c>
      <c r="E57" t="s">
        <v>2</v>
      </c>
      <c r="F57">
        <v>5</v>
      </c>
      <c r="G57">
        <v>3.8</v>
      </c>
      <c r="H57">
        <v>3.6</v>
      </c>
      <c r="I57">
        <v>3</v>
      </c>
      <c r="J57">
        <v>18</v>
      </c>
      <c r="K57">
        <v>0</v>
      </c>
      <c r="L57">
        <v>2</v>
      </c>
      <c r="M57">
        <v>3.5</v>
      </c>
      <c r="N57">
        <v>9.6</v>
      </c>
      <c r="O57">
        <v>33.1</v>
      </c>
      <c r="P57">
        <v>0.35</v>
      </c>
      <c r="Q57">
        <v>0.35</v>
      </c>
      <c r="R57">
        <v>0.15</v>
      </c>
      <c r="S57">
        <v>0.1</v>
      </c>
      <c r="T57">
        <v>1</v>
      </c>
      <c r="U57">
        <v>0.35</v>
      </c>
      <c r="V57">
        <v>29</v>
      </c>
      <c r="W57">
        <v>1.7</v>
      </c>
      <c r="X57">
        <v>40</v>
      </c>
      <c r="Y57">
        <v>0.3</v>
      </c>
      <c r="Z57">
        <v>63</v>
      </c>
      <c r="AC57">
        <v>4.5</v>
      </c>
      <c r="AD57">
        <v>0</v>
      </c>
    </row>
    <row r="58" spans="1:30" x14ac:dyDescent="0.3">
      <c r="A58">
        <v>2154</v>
      </c>
      <c r="B58">
        <v>150</v>
      </c>
      <c r="C58" t="s">
        <v>648</v>
      </c>
      <c r="D58" t="s">
        <v>810</v>
      </c>
      <c r="E58" t="s">
        <v>2</v>
      </c>
      <c r="F58">
        <v>5</v>
      </c>
      <c r="G58">
        <v>4</v>
      </c>
      <c r="H58">
        <v>3</v>
      </c>
      <c r="I58">
        <v>2.8</v>
      </c>
      <c r="J58">
        <v>24</v>
      </c>
      <c r="K58">
        <v>0</v>
      </c>
      <c r="L58">
        <v>2</v>
      </c>
      <c r="M58">
        <v>2.6</v>
      </c>
      <c r="N58">
        <v>8</v>
      </c>
      <c r="O58">
        <v>36.6</v>
      </c>
      <c r="P58">
        <v>0.2</v>
      </c>
      <c r="Q58">
        <v>0.2</v>
      </c>
      <c r="R58">
        <v>0.15</v>
      </c>
      <c r="S58">
        <v>0.1</v>
      </c>
      <c r="T58">
        <v>1</v>
      </c>
      <c r="U58">
        <v>0.2</v>
      </c>
      <c r="V58">
        <v>25</v>
      </c>
      <c r="W58">
        <v>1.3</v>
      </c>
      <c r="X58">
        <v>35</v>
      </c>
      <c r="Y58">
        <v>0.3</v>
      </c>
      <c r="Z58">
        <v>53</v>
      </c>
      <c r="AC58">
        <v>3.5</v>
      </c>
      <c r="AD58">
        <v>1</v>
      </c>
    </row>
    <row r="59" spans="1:30" x14ac:dyDescent="0.3">
      <c r="A59">
        <v>2161</v>
      </c>
      <c r="B59">
        <v>150</v>
      </c>
      <c r="C59" t="s">
        <v>647</v>
      </c>
      <c r="D59" t="s">
        <v>810</v>
      </c>
      <c r="E59" t="s">
        <v>2</v>
      </c>
      <c r="F59">
        <v>5</v>
      </c>
      <c r="G59">
        <v>3.7</v>
      </c>
      <c r="H59">
        <v>3</v>
      </c>
      <c r="I59">
        <v>3.3</v>
      </c>
      <c r="J59">
        <v>11.2</v>
      </c>
      <c r="K59">
        <v>7.6</v>
      </c>
      <c r="L59">
        <v>3.75</v>
      </c>
      <c r="M59">
        <v>5</v>
      </c>
      <c r="N59">
        <v>4.5</v>
      </c>
      <c r="O59">
        <v>34.049999999999997</v>
      </c>
      <c r="P59">
        <v>0.13</v>
      </c>
      <c r="Q59">
        <v>0.13</v>
      </c>
      <c r="R59">
        <v>0.4</v>
      </c>
      <c r="S59">
        <v>0.12</v>
      </c>
      <c r="T59">
        <v>1</v>
      </c>
      <c r="U59">
        <v>0.13</v>
      </c>
      <c r="V59">
        <v>25</v>
      </c>
      <c r="W59">
        <v>1.3</v>
      </c>
      <c r="X59">
        <v>20</v>
      </c>
      <c r="Y59">
        <v>0.3</v>
      </c>
      <c r="Z59">
        <v>57</v>
      </c>
      <c r="AC59">
        <v>3.5</v>
      </c>
      <c r="AD59">
        <v>1</v>
      </c>
    </row>
    <row r="60" spans="1:30" x14ac:dyDescent="0.3">
      <c r="A60">
        <v>2162</v>
      </c>
      <c r="B60">
        <v>150</v>
      </c>
      <c r="C60" t="s">
        <v>646</v>
      </c>
      <c r="D60" t="s">
        <v>810</v>
      </c>
      <c r="E60" t="s">
        <v>2</v>
      </c>
      <c r="F60">
        <v>5</v>
      </c>
      <c r="G60">
        <v>3</v>
      </c>
      <c r="H60">
        <v>2.6</v>
      </c>
      <c r="I60">
        <v>2</v>
      </c>
      <c r="J60">
        <v>11.3</v>
      </c>
      <c r="K60">
        <v>0</v>
      </c>
      <c r="L60">
        <v>0.4</v>
      </c>
      <c r="M60">
        <v>0.3</v>
      </c>
      <c r="N60">
        <v>4.5</v>
      </c>
      <c r="O60">
        <v>16.5</v>
      </c>
      <c r="P60">
        <v>0.68</v>
      </c>
      <c r="Q60">
        <v>0.68</v>
      </c>
      <c r="R60">
        <v>0.2</v>
      </c>
      <c r="S60">
        <v>0.2</v>
      </c>
      <c r="T60">
        <v>1</v>
      </c>
      <c r="U60">
        <v>0.68</v>
      </c>
      <c r="V60">
        <v>25</v>
      </c>
      <c r="W60">
        <v>1.3</v>
      </c>
      <c r="X60">
        <v>30</v>
      </c>
      <c r="Y60">
        <v>0.3</v>
      </c>
      <c r="Z60">
        <v>56</v>
      </c>
      <c r="AC60">
        <v>2.5</v>
      </c>
      <c r="AD60">
        <v>0</v>
      </c>
    </row>
    <row r="61" spans="1:30" x14ac:dyDescent="0.3">
      <c r="A61">
        <v>3002</v>
      </c>
      <c r="B61">
        <v>150</v>
      </c>
      <c r="C61" t="s">
        <v>328</v>
      </c>
      <c r="D61" t="s">
        <v>810</v>
      </c>
      <c r="E61" t="s">
        <v>2</v>
      </c>
      <c r="F61">
        <v>5</v>
      </c>
      <c r="G61">
        <v>3.5</v>
      </c>
      <c r="H61">
        <v>3</v>
      </c>
      <c r="I61">
        <v>3.5</v>
      </c>
      <c r="J61">
        <v>11</v>
      </c>
      <c r="K61">
        <v>0</v>
      </c>
      <c r="L61">
        <v>6</v>
      </c>
      <c r="M61">
        <v>5</v>
      </c>
      <c r="N61">
        <v>8</v>
      </c>
      <c r="O61">
        <v>30</v>
      </c>
      <c r="P61">
        <v>0.2</v>
      </c>
      <c r="Q61">
        <v>0.2</v>
      </c>
      <c r="R61">
        <v>0.15</v>
      </c>
      <c r="S61">
        <v>0.25</v>
      </c>
      <c r="T61">
        <v>1</v>
      </c>
      <c r="U61">
        <v>0.2</v>
      </c>
      <c r="V61">
        <v>25</v>
      </c>
      <c r="W61">
        <v>1.5</v>
      </c>
      <c r="X61">
        <v>20</v>
      </c>
      <c r="Y61">
        <v>0.3</v>
      </c>
      <c r="AC61">
        <v>3</v>
      </c>
      <c r="AD61">
        <v>1</v>
      </c>
    </row>
    <row r="62" spans="1:30" x14ac:dyDescent="0.3">
      <c r="A62">
        <v>3006</v>
      </c>
      <c r="B62">
        <v>100</v>
      </c>
      <c r="C62" t="s">
        <v>618</v>
      </c>
      <c r="D62" t="s">
        <v>2</v>
      </c>
      <c r="E62" t="s">
        <v>2</v>
      </c>
      <c r="F62">
        <v>5</v>
      </c>
      <c r="G62">
        <v>3.74</v>
      </c>
      <c r="H62">
        <v>3</v>
      </c>
      <c r="I62">
        <v>3.5</v>
      </c>
      <c r="J62">
        <v>11</v>
      </c>
      <c r="K62">
        <v>0</v>
      </c>
      <c r="L62">
        <v>6</v>
      </c>
      <c r="M62">
        <v>5</v>
      </c>
      <c r="N62">
        <v>4.5</v>
      </c>
      <c r="O62">
        <v>26.5</v>
      </c>
      <c r="P62">
        <v>0.15</v>
      </c>
      <c r="Q62">
        <v>0.2</v>
      </c>
      <c r="R62">
        <v>0.25</v>
      </c>
      <c r="S62">
        <v>0.25</v>
      </c>
      <c r="T62">
        <v>1</v>
      </c>
      <c r="U62">
        <v>0.15</v>
      </c>
      <c r="V62">
        <v>25</v>
      </c>
      <c r="W62">
        <v>1.5</v>
      </c>
      <c r="X62">
        <v>20</v>
      </c>
      <c r="Y62">
        <v>0.3</v>
      </c>
      <c r="AC62">
        <v>3.5</v>
      </c>
      <c r="AD62">
        <v>1</v>
      </c>
    </row>
    <row r="63" spans="1:30" x14ac:dyDescent="0.3">
      <c r="A63">
        <v>3007</v>
      </c>
      <c r="B63">
        <v>100</v>
      </c>
      <c r="C63" t="s">
        <v>329</v>
      </c>
      <c r="D63" t="s">
        <v>2</v>
      </c>
      <c r="E63" t="s">
        <v>2</v>
      </c>
      <c r="F63">
        <v>5</v>
      </c>
      <c r="G63">
        <v>3.24</v>
      </c>
      <c r="H63">
        <v>2.78</v>
      </c>
      <c r="I63">
        <v>3</v>
      </c>
      <c r="J63">
        <v>11</v>
      </c>
      <c r="K63">
        <v>0</v>
      </c>
      <c r="L63">
        <v>1.8</v>
      </c>
      <c r="M63">
        <v>5</v>
      </c>
      <c r="N63">
        <v>4.5</v>
      </c>
      <c r="O63">
        <v>22.3</v>
      </c>
      <c r="P63">
        <v>0.25</v>
      </c>
      <c r="Q63">
        <v>0.2</v>
      </c>
      <c r="R63">
        <v>0.2</v>
      </c>
      <c r="S63">
        <v>0.25</v>
      </c>
      <c r="T63">
        <v>1</v>
      </c>
      <c r="U63">
        <v>0.25</v>
      </c>
      <c r="V63">
        <v>25</v>
      </c>
      <c r="W63">
        <v>1.5</v>
      </c>
      <c r="X63">
        <v>20</v>
      </c>
      <c r="Y63">
        <v>0.3</v>
      </c>
      <c r="AC63">
        <v>3</v>
      </c>
      <c r="AD63">
        <v>1</v>
      </c>
    </row>
    <row r="64" spans="1:30" x14ac:dyDescent="0.3">
      <c r="A64">
        <v>3008</v>
      </c>
      <c r="B64">
        <v>100</v>
      </c>
      <c r="C64" t="s">
        <v>330</v>
      </c>
      <c r="D64" t="s">
        <v>2</v>
      </c>
      <c r="E64" t="s">
        <v>2</v>
      </c>
      <c r="F64">
        <v>5</v>
      </c>
      <c r="G64">
        <v>2.7</v>
      </c>
      <c r="H64">
        <v>2.31</v>
      </c>
      <c r="I64">
        <v>3</v>
      </c>
      <c r="J64">
        <v>8.6999999999999993</v>
      </c>
      <c r="K64">
        <v>0</v>
      </c>
      <c r="L64">
        <v>1.8</v>
      </c>
      <c r="M64">
        <v>1.8</v>
      </c>
      <c r="N64">
        <v>4.5</v>
      </c>
      <c r="O64">
        <v>16.8</v>
      </c>
      <c r="P64">
        <v>0.4</v>
      </c>
      <c r="Q64">
        <v>0.2</v>
      </c>
      <c r="R64">
        <v>0.35</v>
      </c>
      <c r="S64">
        <v>0.35</v>
      </c>
      <c r="T64">
        <v>1</v>
      </c>
      <c r="U64">
        <v>0.4</v>
      </c>
      <c r="V64">
        <v>25</v>
      </c>
      <c r="W64">
        <v>1.5</v>
      </c>
      <c r="X64">
        <v>20</v>
      </c>
      <c r="Y64">
        <v>0.3</v>
      </c>
      <c r="AC64">
        <v>3</v>
      </c>
      <c r="AD64">
        <v>0</v>
      </c>
    </row>
    <row r="65" spans="1:30" x14ac:dyDescent="0.3">
      <c r="A65">
        <v>3009</v>
      </c>
      <c r="B65">
        <v>100</v>
      </c>
      <c r="C65" t="s">
        <v>326</v>
      </c>
      <c r="D65" t="s">
        <v>2</v>
      </c>
      <c r="E65" t="s">
        <v>2</v>
      </c>
      <c r="F65">
        <v>5</v>
      </c>
      <c r="G65">
        <v>2.4</v>
      </c>
      <c r="H65">
        <v>2.06</v>
      </c>
      <c r="I65">
        <v>2.5</v>
      </c>
      <c r="J65">
        <v>7.4</v>
      </c>
      <c r="K65">
        <v>0</v>
      </c>
      <c r="L65">
        <v>0.8</v>
      </c>
      <c r="M65">
        <v>2.4</v>
      </c>
      <c r="N65">
        <v>4.5</v>
      </c>
      <c r="O65">
        <v>15.1</v>
      </c>
      <c r="P65">
        <v>0.25</v>
      </c>
      <c r="Q65">
        <v>0.2</v>
      </c>
      <c r="R65">
        <v>0.2</v>
      </c>
      <c r="S65">
        <v>0.2</v>
      </c>
      <c r="T65">
        <v>1</v>
      </c>
      <c r="U65">
        <v>0.25</v>
      </c>
      <c r="V65">
        <v>25</v>
      </c>
      <c r="W65">
        <v>1.5</v>
      </c>
      <c r="X65">
        <v>20</v>
      </c>
      <c r="Y65">
        <v>0.3</v>
      </c>
      <c r="AC65">
        <v>2.5</v>
      </c>
      <c r="AD65">
        <v>0</v>
      </c>
    </row>
    <row r="66" spans="1:30" x14ac:dyDescent="0.3">
      <c r="A66">
        <v>3011</v>
      </c>
      <c r="B66">
        <v>150</v>
      </c>
      <c r="C66" t="s">
        <v>322</v>
      </c>
      <c r="D66" t="s">
        <v>810</v>
      </c>
      <c r="E66" t="s">
        <v>2</v>
      </c>
      <c r="F66">
        <v>5</v>
      </c>
      <c r="G66">
        <v>4</v>
      </c>
      <c r="H66">
        <v>3</v>
      </c>
      <c r="I66">
        <v>4</v>
      </c>
      <c r="J66">
        <v>11</v>
      </c>
      <c r="K66">
        <v>0</v>
      </c>
      <c r="L66">
        <v>6</v>
      </c>
      <c r="M66">
        <v>5</v>
      </c>
      <c r="N66">
        <v>8</v>
      </c>
      <c r="O66">
        <v>30</v>
      </c>
      <c r="P66">
        <v>0.31</v>
      </c>
      <c r="Q66">
        <v>0.2</v>
      </c>
      <c r="R66">
        <v>0.3</v>
      </c>
      <c r="S66">
        <v>0.2</v>
      </c>
      <c r="T66">
        <v>1</v>
      </c>
      <c r="U66">
        <v>0.31</v>
      </c>
      <c r="V66">
        <v>25</v>
      </c>
      <c r="W66">
        <v>1.5</v>
      </c>
      <c r="X66">
        <v>40</v>
      </c>
      <c r="Y66">
        <v>0.3</v>
      </c>
      <c r="AC66">
        <v>4.5</v>
      </c>
      <c r="AD66">
        <v>1</v>
      </c>
    </row>
    <row r="67" spans="1:30" x14ac:dyDescent="0.3">
      <c r="A67">
        <v>3012</v>
      </c>
      <c r="B67">
        <v>150</v>
      </c>
      <c r="C67" t="s">
        <v>617</v>
      </c>
      <c r="D67" t="s">
        <v>810</v>
      </c>
      <c r="E67" t="s">
        <v>2</v>
      </c>
      <c r="F67">
        <v>5</v>
      </c>
      <c r="G67">
        <v>3.84</v>
      </c>
      <c r="H67">
        <v>3</v>
      </c>
      <c r="I67">
        <v>3.76</v>
      </c>
      <c r="J67">
        <v>11</v>
      </c>
      <c r="K67">
        <v>0</v>
      </c>
      <c r="L67">
        <v>6</v>
      </c>
      <c r="M67">
        <v>5</v>
      </c>
      <c r="N67">
        <v>8</v>
      </c>
      <c r="O67">
        <v>30</v>
      </c>
      <c r="P67">
        <v>0.67</v>
      </c>
      <c r="Q67">
        <v>0.2</v>
      </c>
      <c r="R67">
        <v>0.25</v>
      </c>
      <c r="S67">
        <v>0.25</v>
      </c>
      <c r="T67">
        <v>1</v>
      </c>
      <c r="U67">
        <v>0.67</v>
      </c>
      <c r="V67">
        <v>25</v>
      </c>
      <c r="W67">
        <v>1.5</v>
      </c>
      <c r="X67">
        <v>20</v>
      </c>
      <c r="Y67">
        <v>0.3</v>
      </c>
      <c r="AC67">
        <v>4</v>
      </c>
      <c r="AD67">
        <v>1</v>
      </c>
    </row>
    <row r="68" spans="1:30" x14ac:dyDescent="0.3">
      <c r="A68">
        <v>3013</v>
      </c>
      <c r="B68">
        <v>150</v>
      </c>
      <c r="C68" t="s">
        <v>616</v>
      </c>
      <c r="D68" t="s">
        <v>810</v>
      </c>
      <c r="E68" t="s">
        <v>2</v>
      </c>
      <c r="F68">
        <v>5</v>
      </c>
      <c r="G68">
        <v>3.5</v>
      </c>
      <c r="H68">
        <v>3</v>
      </c>
      <c r="I68">
        <v>3.24</v>
      </c>
      <c r="J68">
        <v>11</v>
      </c>
      <c r="K68">
        <v>0</v>
      </c>
      <c r="L68">
        <v>4.5</v>
      </c>
      <c r="M68">
        <v>5</v>
      </c>
      <c r="N68">
        <v>8</v>
      </c>
      <c r="O68">
        <v>28.5</v>
      </c>
      <c r="P68">
        <v>0.2</v>
      </c>
      <c r="Q68">
        <v>0.2</v>
      </c>
      <c r="R68">
        <v>0.15</v>
      </c>
      <c r="S68">
        <v>0.12</v>
      </c>
      <c r="T68">
        <v>1</v>
      </c>
      <c r="U68">
        <v>0.2</v>
      </c>
      <c r="V68">
        <v>25</v>
      </c>
      <c r="W68">
        <v>1.5</v>
      </c>
      <c r="X68">
        <v>20</v>
      </c>
      <c r="Y68">
        <v>0.3</v>
      </c>
      <c r="AC68">
        <v>5</v>
      </c>
      <c r="AD68">
        <v>1</v>
      </c>
    </row>
    <row r="69" spans="1:30" x14ac:dyDescent="0.3">
      <c r="A69">
        <v>3015</v>
      </c>
      <c r="B69">
        <v>150</v>
      </c>
      <c r="C69" t="s">
        <v>325</v>
      </c>
      <c r="D69" t="s">
        <v>810</v>
      </c>
      <c r="E69" t="s">
        <v>2</v>
      </c>
      <c r="F69">
        <v>5</v>
      </c>
      <c r="G69">
        <v>2.8</v>
      </c>
      <c r="H69">
        <v>2.4</v>
      </c>
      <c r="I69">
        <v>2</v>
      </c>
      <c r="J69">
        <v>9.1</v>
      </c>
      <c r="K69">
        <v>0</v>
      </c>
      <c r="L69">
        <v>0.4</v>
      </c>
      <c r="M69">
        <v>0.3</v>
      </c>
      <c r="N69">
        <v>8</v>
      </c>
      <c r="O69">
        <v>17.8</v>
      </c>
      <c r="P69">
        <v>0.2</v>
      </c>
      <c r="Q69">
        <v>0.2</v>
      </c>
      <c r="R69">
        <v>0.35</v>
      </c>
      <c r="S69">
        <v>0.25</v>
      </c>
      <c r="T69">
        <v>1</v>
      </c>
      <c r="U69">
        <v>0.2</v>
      </c>
      <c r="V69">
        <v>25</v>
      </c>
      <c r="W69">
        <v>1.5</v>
      </c>
      <c r="X69">
        <v>20</v>
      </c>
      <c r="Y69">
        <v>0.3</v>
      </c>
      <c r="AC69">
        <v>5</v>
      </c>
      <c r="AD69">
        <v>0</v>
      </c>
    </row>
    <row r="70" spans="1:30" x14ac:dyDescent="0.3">
      <c r="A70">
        <v>3018</v>
      </c>
      <c r="B70">
        <v>100</v>
      </c>
      <c r="C70" t="s">
        <v>613</v>
      </c>
      <c r="D70" t="s">
        <v>2</v>
      </c>
      <c r="E70" t="s">
        <v>2</v>
      </c>
      <c r="F70">
        <v>5</v>
      </c>
      <c r="G70">
        <v>3</v>
      </c>
      <c r="H70">
        <v>2.57</v>
      </c>
      <c r="I70">
        <v>3.26</v>
      </c>
      <c r="J70">
        <v>10.1</v>
      </c>
      <c r="K70">
        <v>0</v>
      </c>
      <c r="L70">
        <v>3.6</v>
      </c>
      <c r="M70">
        <v>1.8</v>
      </c>
      <c r="N70">
        <v>4.5</v>
      </c>
      <c r="O70">
        <v>20</v>
      </c>
      <c r="P70">
        <v>0.2</v>
      </c>
      <c r="Q70">
        <v>0.2</v>
      </c>
      <c r="R70">
        <v>0.15</v>
      </c>
      <c r="S70">
        <v>0.25</v>
      </c>
      <c r="T70">
        <v>1</v>
      </c>
      <c r="U70">
        <v>0.2</v>
      </c>
      <c r="V70">
        <v>25</v>
      </c>
      <c r="W70">
        <v>1.5</v>
      </c>
      <c r="X70">
        <v>20</v>
      </c>
      <c r="Y70">
        <v>0.3</v>
      </c>
      <c r="AC70">
        <v>2.5</v>
      </c>
      <c r="AD70">
        <v>0</v>
      </c>
    </row>
    <row r="71" spans="1:30" x14ac:dyDescent="0.3">
      <c r="A71">
        <v>3019</v>
      </c>
      <c r="B71">
        <v>100</v>
      </c>
      <c r="C71" t="s">
        <v>612</v>
      </c>
      <c r="D71" t="s">
        <v>2</v>
      </c>
      <c r="E71" t="s">
        <v>2</v>
      </c>
      <c r="F71">
        <v>5</v>
      </c>
      <c r="G71">
        <v>3.5</v>
      </c>
      <c r="H71">
        <v>3</v>
      </c>
      <c r="I71">
        <v>2</v>
      </c>
      <c r="J71">
        <v>11</v>
      </c>
      <c r="K71">
        <v>0</v>
      </c>
      <c r="L71">
        <v>0.4</v>
      </c>
      <c r="M71">
        <v>0.3</v>
      </c>
      <c r="N71">
        <v>4.5</v>
      </c>
      <c r="O71">
        <v>16.2</v>
      </c>
      <c r="P71">
        <v>0.25</v>
      </c>
      <c r="Q71">
        <v>0.2</v>
      </c>
      <c r="R71">
        <v>0.35</v>
      </c>
      <c r="S71">
        <v>0.25</v>
      </c>
      <c r="T71">
        <v>1</v>
      </c>
      <c r="U71">
        <v>0.25</v>
      </c>
      <c r="V71">
        <v>25</v>
      </c>
      <c r="W71">
        <v>1.5</v>
      </c>
      <c r="X71">
        <v>20</v>
      </c>
      <c r="Y71">
        <v>0.3</v>
      </c>
      <c r="AC71">
        <v>2.5</v>
      </c>
      <c r="AD71">
        <v>0</v>
      </c>
    </row>
    <row r="72" spans="1:30" x14ac:dyDescent="0.3">
      <c r="A72">
        <v>3022</v>
      </c>
      <c r="B72">
        <v>100</v>
      </c>
      <c r="C72" t="s">
        <v>609</v>
      </c>
      <c r="D72" t="s">
        <v>2</v>
      </c>
      <c r="E72" t="s">
        <v>2</v>
      </c>
      <c r="F72">
        <v>5</v>
      </c>
      <c r="G72">
        <v>3.5</v>
      </c>
      <c r="H72">
        <v>3</v>
      </c>
      <c r="I72">
        <v>3.49</v>
      </c>
      <c r="J72">
        <v>11</v>
      </c>
      <c r="K72">
        <v>0</v>
      </c>
      <c r="L72">
        <v>6</v>
      </c>
      <c r="M72">
        <v>1.8</v>
      </c>
      <c r="N72">
        <v>4.5</v>
      </c>
      <c r="O72">
        <v>23.3</v>
      </c>
      <c r="P72">
        <v>0.25</v>
      </c>
      <c r="Q72">
        <v>0.2</v>
      </c>
      <c r="R72">
        <v>0.25</v>
      </c>
      <c r="S72">
        <v>0.2</v>
      </c>
      <c r="T72">
        <v>1</v>
      </c>
      <c r="U72">
        <v>0.25</v>
      </c>
      <c r="V72">
        <v>25</v>
      </c>
      <c r="W72">
        <v>1.5</v>
      </c>
      <c r="X72">
        <v>20</v>
      </c>
      <c r="Y72">
        <v>0.3</v>
      </c>
      <c r="AC72">
        <v>3</v>
      </c>
      <c r="AD72">
        <v>0</v>
      </c>
    </row>
    <row r="73" spans="1:30" x14ac:dyDescent="0.3">
      <c r="A73">
        <v>3043</v>
      </c>
      <c r="B73">
        <v>100</v>
      </c>
      <c r="C73" t="s">
        <v>592</v>
      </c>
      <c r="D73" t="s">
        <v>2</v>
      </c>
      <c r="E73" t="s">
        <v>2</v>
      </c>
      <c r="F73">
        <v>5</v>
      </c>
      <c r="G73">
        <v>3</v>
      </c>
      <c r="H73">
        <v>2.57</v>
      </c>
      <c r="I73">
        <v>2</v>
      </c>
      <c r="J73">
        <v>10.1</v>
      </c>
      <c r="K73">
        <v>0</v>
      </c>
      <c r="L73">
        <v>0.4</v>
      </c>
      <c r="M73">
        <v>0.3</v>
      </c>
      <c r="N73">
        <v>4.5</v>
      </c>
      <c r="O73">
        <v>15.3</v>
      </c>
      <c r="P73">
        <v>0.6</v>
      </c>
      <c r="Q73">
        <v>0.2</v>
      </c>
      <c r="R73">
        <v>0.2</v>
      </c>
      <c r="S73">
        <v>0.2</v>
      </c>
      <c r="T73">
        <v>1</v>
      </c>
      <c r="U73">
        <v>0.6</v>
      </c>
      <c r="V73">
        <v>25</v>
      </c>
      <c r="W73">
        <v>1.5</v>
      </c>
      <c r="X73">
        <v>20</v>
      </c>
      <c r="Y73">
        <v>0.3</v>
      </c>
      <c r="AC73">
        <v>2.5</v>
      </c>
      <c r="AD73">
        <v>0</v>
      </c>
    </row>
    <row r="74" spans="1:30" x14ac:dyDescent="0.3">
      <c r="A74">
        <v>3099</v>
      </c>
      <c r="B74">
        <v>100</v>
      </c>
      <c r="C74" t="s">
        <v>464</v>
      </c>
      <c r="D74" t="s">
        <v>2</v>
      </c>
      <c r="E74" t="s">
        <v>2</v>
      </c>
      <c r="F74">
        <v>5</v>
      </c>
      <c r="G74">
        <v>3.24</v>
      </c>
      <c r="H74">
        <v>2.78</v>
      </c>
      <c r="I74">
        <v>1</v>
      </c>
      <c r="J74">
        <v>11</v>
      </c>
      <c r="K74">
        <v>0</v>
      </c>
      <c r="L74">
        <v>0.1</v>
      </c>
      <c r="M74">
        <v>5</v>
      </c>
      <c r="N74">
        <v>8</v>
      </c>
      <c r="O74">
        <v>24.1</v>
      </c>
      <c r="P74">
        <v>0.6</v>
      </c>
      <c r="Q74">
        <v>0.2</v>
      </c>
      <c r="R74">
        <v>0.5</v>
      </c>
      <c r="S74">
        <v>0.45</v>
      </c>
      <c r="T74">
        <v>1</v>
      </c>
      <c r="U74">
        <v>0.6</v>
      </c>
      <c r="V74">
        <v>25</v>
      </c>
      <c r="W74">
        <v>1.5</v>
      </c>
      <c r="X74">
        <v>20</v>
      </c>
      <c r="Y74">
        <v>0.3</v>
      </c>
      <c r="AC74">
        <v>4</v>
      </c>
      <c r="AD74">
        <v>1</v>
      </c>
    </row>
    <row r="75" spans="1:30" x14ac:dyDescent="0.3">
      <c r="A75">
        <v>4001</v>
      </c>
      <c r="B75">
        <v>150</v>
      </c>
      <c r="C75" t="s">
        <v>838</v>
      </c>
      <c r="D75" t="s">
        <v>810</v>
      </c>
      <c r="E75" t="s">
        <v>2</v>
      </c>
      <c r="F75">
        <v>5</v>
      </c>
      <c r="G75">
        <v>1.62</v>
      </c>
      <c r="H75">
        <v>0</v>
      </c>
      <c r="I75">
        <v>2.88</v>
      </c>
      <c r="J75">
        <v>3.8</v>
      </c>
      <c r="K75">
        <v>0</v>
      </c>
      <c r="L75">
        <v>0</v>
      </c>
      <c r="M75">
        <v>0</v>
      </c>
      <c r="N75">
        <v>8</v>
      </c>
      <c r="O75">
        <v>11.8</v>
      </c>
      <c r="P75">
        <v>0.67</v>
      </c>
      <c r="Q75">
        <v>0.67</v>
      </c>
      <c r="R75">
        <v>0.25</v>
      </c>
      <c r="S75">
        <v>1.65</v>
      </c>
      <c r="T75">
        <v>0.3</v>
      </c>
      <c r="U75">
        <v>0.67</v>
      </c>
      <c r="V75">
        <v>25</v>
      </c>
      <c r="W75">
        <v>1.5</v>
      </c>
      <c r="X75">
        <v>20</v>
      </c>
      <c r="Y75">
        <v>0.3</v>
      </c>
      <c r="AC75">
        <v>5</v>
      </c>
      <c r="AD75">
        <v>0</v>
      </c>
    </row>
    <row r="76" spans="1:30" x14ac:dyDescent="0.3">
      <c r="A76">
        <v>4002</v>
      </c>
      <c r="B76">
        <v>150</v>
      </c>
      <c r="C76" t="s">
        <v>837</v>
      </c>
      <c r="D76" t="s">
        <v>810</v>
      </c>
      <c r="E76" t="s">
        <v>2</v>
      </c>
      <c r="F76">
        <v>5</v>
      </c>
      <c r="G76">
        <v>2.04</v>
      </c>
      <c r="H76">
        <v>0</v>
      </c>
      <c r="I76">
        <v>0</v>
      </c>
      <c r="J76">
        <v>6</v>
      </c>
      <c r="K76">
        <v>0</v>
      </c>
      <c r="L76">
        <v>0</v>
      </c>
      <c r="M76">
        <v>0</v>
      </c>
      <c r="N76">
        <v>8</v>
      </c>
      <c r="O76">
        <v>14</v>
      </c>
      <c r="P76">
        <v>0.67</v>
      </c>
      <c r="Q76">
        <v>0.67</v>
      </c>
      <c r="R76">
        <v>0</v>
      </c>
      <c r="S76">
        <v>1.95</v>
      </c>
      <c r="T76">
        <v>0.3</v>
      </c>
      <c r="U76">
        <v>0.67</v>
      </c>
      <c r="V76">
        <v>25</v>
      </c>
      <c r="W76">
        <v>1.5</v>
      </c>
      <c r="X76">
        <v>20</v>
      </c>
      <c r="Y76">
        <v>0.3</v>
      </c>
      <c r="AC76">
        <v>4</v>
      </c>
      <c r="AD76">
        <v>0</v>
      </c>
    </row>
    <row r="77" spans="1:30" x14ac:dyDescent="0.3">
      <c r="A77">
        <v>4003</v>
      </c>
      <c r="B77">
        <v>150</v>
      </c>
      <c r="C77" t="s">
        <v>836</v>
      </c>
      <c r="D77" t="s">
        <v>810</v>
      </c>
      <c r="E77" t="s">
        <v>2</v>
      </c>
      <c r="F77">
        <v>5</v>
      </c>
      <c r="G77">
        <v>4</v>
      </c>
      <c r="H77">
        <v>3</v>
      </c>
      <c r="I77">
        <v>2.86</v>
      </c>
      <c r="J77">
        <v>28</v>
      </c>
      <c r="K77">
        <v>3</v>
      </c>
      <c r="L77">
        <v>2</v>
      </c>
      <c r="M77">
        <v>2</v>
      </c>
      <c r="N77">
        <v>8</v>
      </c>
      <c r="O77">
        <v>43</v>
      </c>
      <c r="P77">
        <v>0.67</v>
      </c>
      <c r="Q77">
        <v>0.67</v>
      </c>
      <c r="R77">
        <v>0.25</v>
      </c>
      <c r="S77">
        <v>1.33</v>
      </c>
      <c r="T77">
        <v>0.3</v>
      </c>
      <c r="U77">
        <v>0.67</v>
      </c>
      <c r="V77">
        <v>25</v>
      </c>
      <c r="W77">
        <v>1.5</v>
      </c>
      <c r="X77">
        <v>20</v>
      </c>
      <c r="Y77">
        <v>0.3</v>
      </c>
      <c r="AC77">
        <v>3</v>
      </c>
      <c r="AD77">
        <v>0</v>
      </c>
    </row>
    <row r="78" spans="1:30" x14ac:dyDescent="0.3">
      <c r="A78">
        <v>4005</v>
      </c>
      <c r="B78">
        <v>150</v>
      </c>
      <c r="C78" t="s">
        <v>835</v>
      </c>
      <c r="D78" t="s">
        <v>810</v>
      </c>
      <c r="E78" t="s">
        <v>2</v>
      </c>
      <c r="F78">
        <v>5</v>
      </c>
      <c r="G78">
        <v>3.11</v>
      </c>
      <c r="H78">
        <v>2.67</v>
      </c>
      <c r="I78">
        <v>2.89</v>
      </c>
      <c r="J78">
        <v>17.5</v>
      </c>
      <c r="K78">
        <v>3.5</v>
      </c>
      <c r="L78">
        <v>2.2000000000000002</v>
      </c>
      <c r="M78">
        <v>1</v>
      </c>
      <c r="N78">
        <v>8</v>
      </c>
      <c r="O78">
        <v>32.200000000000003</v>
      </c>
      <c r="P78">
        <v>0.67</v>
      </c>
      <c r="Q78">
        <v>0.67</v>
      </c>
      <c r="R78">
        <v>0.25</v>
      </c>
      <c r="S78">
        <v>1.7</v>
      </c>
      <c r="T78">
        <v>0.3</v>
      </c>
      <c r="U78">
        <v>0.67</v>
      </c>
      <c r="V78">
        <v>25</v>
      </c>
      <c r="W78">
        <v>1.5</v>
      </c>
      <c r="X78">
        <v>20</v>
      </c>
      <c r="Y78">
        <v>0.3</v>
      </c>
      <c r="AC78">
        <v>2.5</v>
      </c>
      <c r="AD78">
        <v>0</v>
      </c>
    </row>
    <row r="79" spans="1:30" x14ac:dyDescent="0.3">
      <c r="A79">
        <v>4006</v>
      </c>
      <c r="B79">
        <v>150</v>
      </c>
      <c r="C79" t="s">
        <v>834</v>
      </c>
      <c r="D79" t="s">
        <v>810</v>
      </c>
      <c r="E79" t="s">
        <v>2</v>
      </c>
      <c r="F79">
        <v>5</v>
      </c>
      <c r="G79">
        <v>3.38</v>
      </c>
      <c r="H79">
        <v>2.9</v>
      </c>
      <c r="I79">
        <v>2.78</v>
      </c>
      <c r="J79">
        <v>11.4</v>
      </c>
      <c r="K79">
        <v>3.5</v>
      </c>
      <c r="L79">
        <v>1.3</v>
      </c>
      <c r="M79">
        <v>1</v>
      </c>
      <c r="N79">
        <v>8</v>
      </c>
      <c r="O79">
        <v>25.2</v>
      </c>
      <c r="P79">
        <v>0.4</v>
      </c>
      <c r="Q79">
        <v>0.4</v>
      </c>
      <c r="R79">
        <v>0.35</v>
      </c>
      <c r="S79">
        <v>1.33</v>
      </c>
      <c r="T79">
        <v>0.3</v>
      </c>
      <c r="U79">
        <v>0.4</v>
      </c>
      <c r="V79">
        <v>25</v>
      </c>
      <c r="W79">
        <v>1.5</v>
      </c>
      <c r="X79">
        <v>20</v>
      </c>
      <c r="Y79">
        <v>0.3</v>
      </c>
      <c r="AC79">
        <v>3</v>
      </c>
      <c r="AD79">
        <v>0</v>
      </c>
    </row>
    <row r="80" spans="1:30" x14ac:dyDescent="0.3">
      <c r="A80">
        <v>4008</v>
      </c>
      <c r="B80">
        <v>100</v>
      </c>
      <c r="C80" t="s">
        <v>833</v>
      </c>
      <c r="D80" t="s">
        <v>2</v>
      </c>
      <c r="E80" t="s">
        <v>2</v>
      </c>
      <c r="F80">
        <v>5</v>
      </c>
      <c r="G80">
        <v>3.7</v>
      </c>
      <c r="H80">
        <v>3</v>
      </c>
      <c r="I80">
        <v>2.87</v>
      </c>
      <c r="J80">
        <v>14.9</v>
      </c>
      <c r="K80">
        <v>3</v>
      </c>
      <c r="L80">
        <v>1.2</v>
      </c>
      <c r="M80">
        <v>0</v>
      </c>
      <c r="N80">
        <v>4.5</v>
      </c>
      <c r="O80">
        <v>23.6</v>
      </c>
      <c r="P80">
        <v>0.67</v>
      </c>
      <c r="Q80">
        <v>0.67</v>
      </c>
      <c r="R80">
        <v>0.25</v>
      </c>
      <c r="S80">
        <v>2.08</v>
      </c>
      <c r="T80">
        <v>0.3</v>
      </c>
      <c r="U80">
        <v>0.67</v>
      </c>
      <c r="V80">
        <v>25</v>
      </c>
      <c r="W80">
        <v>1.5</v>
      </c>
      <c r="X80">
        <v>20</v>
      </c>
      <c r="Y80">
        <v>0.3</v>
      </c>
      <c r="AC80">
        <v>3</v>
      </c>
      <c r="AD80">
        <v>0</v>
      </c>
    </row>
    <row r="81" spans="1:31" x14ac:dyDescent="0.3">
      <c r="A81">
        <v>4010</v>
      </c>
      <c r="B81">
        <v>100</v>
      </c>
      <c r="C81" t="s">
        <v>831</v>
      </c>
      <c r="D81" t="s">
        <v>2</v>
      </c>
      <c r="E81" t="s">
        <v>2</v>
      </c>
      <c r="F81">
        <v>5</v>
      </c>
      <c r="G81">
        <v>3.62</v>
      </c>
      <c r="H81">
        <v>3</v>
      </c>
      <c r="I81">
        <v>2.97</v>
      </c>
      <c r="J81">
        <v>12.3</v>
      </c>
      <c r="K81">
        <v>2.7</v>
      </c>
      <c r="L81">
        <v>1.8</v>
      </c>
      <c r="M81">
        <v>1</v>
      </c>
      <c r="N81">
        <v>4.5</v>
      </c>
      <c r="O81">
        <v>22.3</v>
      </c>
      <c r="P81">
        <v>0.25</v>
      </c>
      <c r="Q81">
        <v>0.25</v>
      </c>
      <c r="R81">
        <v>0.25</v>
      </c>
      <c r="S81">
        <v>1.33</v>
      </c>
      <c r="T81">
        <v>0.3</v>
      </c>
      <c r="U81">
        <v>0.25</v>
      </c>
      <c r="V81">
        <v>25</v>
      </c>
      <c r="W81">
        <v>1.5</v>
      </c>
      <c r="X81">
        <v>20</v>
      </c>
      <c r="Y81">
        <v>0.3</v>
      </c>
      <c r="AC81">
        <v>3</v>
      </c>
      <c r="AD81">
        <v>0</v>
      </c>
    </row>
    <row r="82" spans="1:31" x14ac:dyDescent="0.3">
      <c r="A82">
        <v>4015</v>
      </c>
      <c r="B82">
        <v>100</v>
      </c>
      <c r="C82" t="s">
        <v>829</v>
      </c>
      <c r="D82" t="s">
        <v>2</v>
      </c>
      <c r="E82" t="s">
        <v>2</v>
      </c>
      <c r="F82">
        <v>5</v>
      </c>
      <c r="G82">
        <v>3.98</v>
      </c>
      <c r="H82">
        <v>3</v>
      </c>
      <c r="I82">
        <v>2.97</v>
      </c>
      <c r="J82">
        <v>23.7</v>
      </c>
      <c r="K82">
        <v>0.3</v>
      </c>
      <c r="L82">
        <v>1.8</v>
      </c>
      <c r="M82">
        <v>1</v>
      </c>
      <c r="N82">
        <v>4.5</v>
      </c>
      <c r="O82">
        <v>31.3</v>
      </c>
      <c r="P82">
        <v>0.67</v>
      </c>
      <c r="Q82">
        <v>0.67</v>
      </c>
      <c r="R82">
        <v>0.25</v>
      </c>
      <c r="S82">
        <v>1.7</v>
      </c>
      <c r="T82">
        <v>0.3</v>
      </c>
      <c r="U82">
        <v>0.67</v>
      </c>
      <c r="V82">
        <v>25</v>
      </c>
      <c r="W82">
        <v>1.5</v>
      </c>
      <c r="X82">
        <v>20</v>
      </c>
      <c r="Y82">
        <v>0.3</v>
      </c>
      <c r="AC82">
        <v>3</v>
      </c>
      <c r="AD82">
        <v>0</v>
      </c>
    </row>
    <row r="83" spans="1:31" x14ac:dyDescent="0.3">
      <c r="A83">
        <v>4016</v>
      </c>
      <c r="B83">
        <v>100</v>
      </c>
      <c r="C83" t="s">
        <v>828</v>
      </c>
      <c r="D83" t="s">
        <v>2</v>
      </c>
      <c r="E83" t="s">
        <v>2</v>
      </c>
      <c r="F83">
        <v>5</v>
      </c>
      <c r="G83">
        <v>3.13</v>
      </c>
      <c r="H83">
        <v>2.68</v>
      </c>
      <c r="I83">
        <v>2.98</v>
      </c>
      <c r="J83">
        <v>10.199999999999999</v>
      </c>
      <c r="K83">
        <v>1.8</v>
      </c>
      <c r="L83">
        <v>1.8</v>
      </c>
      <c r="M83">
        <v>0</v>
      </c>
      <c r="N83">
        <v>4.5</v>
      </c>
      <c r="O83">
        <v>18.3</v>
      </c>
      <c r="P83">
        <v>0.4</v>
      </c>
      <c r="Q83">
        <v>0.4</v>
      </c>
      <c r="R83">
        <v>0.35</v>
      </c>
      <c r="S83">
        <v>1.75</v>
      </c>
      <c r="T83">
        <v>0.3</v>
      </c>
      <c r="U83">
        <v>0.4</v>
      </c>
      <c r="V83">
        <v>25</v>
      </c>
      <c r="W83">
        <v>1.5</v>
      </c>
      <c r="X83">
        <v>20</v>
      </c>
      <c r="Y83">
        <v>0.3</v>
      </c>
      <c r="AC83">
        <v>2.5</v>
      </c>
      <c r="AD83">
        <v>0</v>
      </c>
    </row>
    <row r="84" spans="1:31" x14ac:dyDescent="0.3">
      <c r="A84">
        <v>4017</v>
      </c>
      <c r="B84">
        <v>100</v>
      </c>
      <c r="C84" t="s">
        <v>827</v>
      </c>
      <c r="D84" t="s">
        <v>2</v>
      </c>
      <c r="E84" t="s">
        <v>2</v>
      </c>
      <c r="F84">
        <v>5</v>
      </c>
      <c r="G84">
        <v>2.93</v>
      </c>
      <c r="H84">
        <v>2.5099999999999998</v>
      </c>
      <c r="I84">
        <v>2.7</v>
      </c>
      <c r="J84">
        <v>10</v>
      </c>
      <c r="K84">
        <v>3.8</v>
      </c>
      <c r="L84">
        <v>1.2</v>
      </c>
      <c r="M84">
        <v>1</v>
      </c>
      <c r="N84">
        <v>4.5</v>
      </c>
      <c r="O84">
        <v>20.5</v>
      </c>
      <c r="P84">
        <v>0.67</v>
      </c>
      <c r="Q84">
        <v>0.67</v>
      </c>
      <c r="R84">
        <v>0.25</v>
      </c>
      <c r="S84">
        <v>1.7</v>
      </c>
      <c r="T84">
        <v>0.3</v>
      </c>
      <c r="U84">
        <v>0.67</v>
      </c>
      <c r="V84">
        <v>25</v>
      </c>
      <c r="W84">
        <v>1.5</v>
      </c>
      <c r="X84">
        <v>20</v>
      </c>
      <c r="Y84">
        <v>0.3</v>
      </c>
      <c r="AC84">
        <v>2.5</v>
      </c>
      <c r="AD84">
        <v>0</v>
      </c>
    </row>
    <row r="85" spans="1:31" x14ac:dyDescent="0.3">
      <c r="A85">
        <v>4024</v>
      </c>
      <c r="B85">
        <v>100</v>
      </c>
      <c r="C85" t="s">
        <v>824</v>
      </c>
      <c r="D85" t="s">
        <v>2</v>
      </c>
      <c r="E85" t="s">
        <v>2</v>
      </c>
      <c r="F85">
        <v>5</v>
      </c>
      <c r="G85">
        <v>3.36</v>
      </c>
      <c r="H85">
        <v>2.88</v>
      </c>
      <c r="I85">
        <v>2.2999999999999998</v>
      </c>
      <c r="J85">
        <v>12.5</v>
      </c>
      <c r="K85">
        <v>2.4</v>
      </c>
      <c r="L85">
        <v>0.6</v>
      </c>
      <c r="M85">
        <v>1</v>
      </c>
      <c r="N85">
        <v>4.5</v>
      </c>
      <c r="O85">
        <v>21</v>
      </c>
      <c r="P85">
        <v>0.67</v>
      </c>
      <c r="Q85">
        <v>0.67</v>
      </c>
      <c r="R85">
        <v>0.25</v>
      </c>
      <c r="S85">
        <v>1.7</v>
      </c>
      <c r="T85">
        <v>0.3</v>
      </c>
      <c r="U85">
        <v>0.67</v>
      </c>
      <c r="V85">
        <v>25</v>
      </c>
      <c r="W85">
        <v>1.5</v>
      </c>
      <c r="X85">
        <v>20</v>
      </c>
      <c r="Y85">
        <v>0.3</v>
      </c>
      <c r="AC85">
        <v>3</v>
      </c>
      <c r="AD85">
        <v>0</v>
      </c>
    </row>
    <row r="86" spans="1:31" x14ac:dyDescent="0.3">
      <c r="A86">
        <v>4025</v>
      </c>
      <c r="B86">
        <v>100</v>
      </c>
      <c r="C86" t="s">
        <v>823</v>
      </c>
      <c r="D86" t="s">
        <v>2</v>
      </c>
      <c r="E86" t="s">
        <v>2</v>
      </c>
      <c r="F86">
        <v>5</v>
      </c>
      <c r="G86">
        <v>2.66</v>
      </c>
      <c r="H86">
        <v>2.2799999999999998</v>
      </c>
      <c r="I86">
        <v>2.5</v>
      </c>
      <c r="J86">
        <v>5.4</v>
      </c>
      <c r="K86">
        <v>3.1</v>
      </c>
      <c r="L86">
        <v>0.8</v>
      </c>
      <c r="M86">
        <v>0</v>
      </c>
      <c r="N86">
        <v>4.5</v>
      </c>
      <c r="O86">
        <v>13.8</v>
      </c>
      <c r="P86">
        <v>0.4</v>
      </c>
      <c r="Q86">
        <v>0.4</v>
      </c>
      <c r="R86">
        <v>0.35</v>
      </c>
      <c r="S86">
        <v>1.61</v>
      </c>
      <c r="T86">
        <v>0.3</v>
      </c>
      <c r="U86">
        <v>0.4</v>
      </c>
      <c r="V86">
        <v>25</v>
      </c>
      <c r="W86">
        <v>1.5</v>
      </c>
      <c r="X86">
        <v>20</v>
      </c>
      <c r="Y86">
        <v>0.3</v>
      </c>
      <c r="AC86">
        <v>3</v>
      </c>
      <c r="AD86">
        <v>0</v>
      </c>
    </row>
    <row r="87" spans="1:31" x14ac:dyDescent="0.3">
      <c r="A87">
        <v>4028</v>
      </c>
      <c r="B87">
        <v>150</v>
      </c>
      <c r="C87" t="s">
        <v>820</v>
      </c>
      <c r="D87" t="s">
        <v>810</v>
      </c>
      <c r="E87" t="s">
        <v>2</v>
      </c>
      <c r="F87">
        <v>5</v>
      </c>
      <c r="G87">
        <v>3.94</v>
      </c>
      <c r="H87">
        <v>3</v>
      </c>
      <c r="I87">
        <v>3.12</v>
      </c>
      <c r="J87">
        <v>15.4</v>
      </c>
      <c r="K87">
        <v>8</v>
      </c>
      <c r="L87">
        <v>3</v>
      </c>
      <c r="M87">
        <v>2</v>
      </c>
      <c r="N87">
        <v>8</v>
      </c>
      <c r="O87">
        <v>36.4</v>
      </c>
      <c r="P87">
        <v>0.67</v>
      </c>
      <c r="Q87">
        <v>0.67</v>
      </c>
      <c r="R87">
        <v>0.25</v>
      </c>
      <c r="S87">
        <v>2.08</v>
      </c>
      <c r="T87">
        <v>0.3</v>
      </c>
      <c r="U87">
        <v>0.67</v>
      </c>
      <c r="V87">
        <v>25</v>
      </c>
      <c r="W87">
        <v>1.5</v>
      </c>
      <c r="X87">
        <v>20</v>
      </c>
      <c r="Y87">
        <v>0.3</v>
      </c>
      <c r="AC87">
        <v>3</v>
      </c>
      <c r="AD87">
        <v>0</v>
      </c>
    </row>
    <row r="88" spans="1:31" x14ac:dyDescent="0.3">
      <c r="A88">
        <v>4029</v>
      </c>
      <c r="B88">
        <v>150</v>
      </c>
      <c r="C88" t="s">
        <v>819</v>
      </c>
      <c r="D88" t="s">
        <v>810</v>
      </c>
      <c r="E88" t="s">
        <v>2</v>
      </c>
      <c r="F88">
        <v>5</v>
      </c>
      <c r="G88">
        <v>3.54</v>
      </c>
      <c r="H88">
        <v>3</v>
      </c>
      <c r="I88">
        <v>2.85</v>
      </c>
      <c r="J88">
        <v>10.3</v>
      </c>
      <c r="K88">
        <v>6.9</v>
      </c>
      <c r="L88">
        <v>1</v>
      </c>
      <c r="M88">
        <v>1</v>
      </c>
      <c r="N88">
        <v>8</v>
      </c>
      <c r="O88">
        <v>27.2</v>
      </c>
      <c r="P88">
        <v>0.4</v>
      </c>
      <c r="Q88">
        <v>0.4</v>
      </c>
      <c r="R88">
        <v>0.35</v>
      </c>
      <c r="S88">
        <v>1.4</v>
      </c>
      <c r="T88">
        <v>0.3</v>
      </c>
      <c r="U88">
        <v>0.4</v>
      </c>
      <c r="V88">
        <v>25</v>
      </c>
      <c r="W88">
        <v>1.5</v>
      </c>
      <c r="X88">
        <v>20</v>
      </c>
      <c r="Y88">
        <v>0.3</v>
      </c>
      <c r="AC88">
        <v>3</v>
      </c>
      <c r="AD88">
        <v>0</v>
      </c>
    </row>
    <row r="89" spans="1:31" x14ac:dyDescent="0.3">
      <c r="A89">
        <v>4040</v>
      </c>
      <c r="B89">
        <v>150</v>
      </c>
      <c r="C89" t="s">
        <v>811</v>
      </c>
      <c r="D89" t="s">
        <v>810</v>
      </c>
      <c r="E89" t="s">
        <v>2</v>
      </c>
      <c r="F89">
        <v>5</v>
      </c>
      <c r="G89">
        <v>4</v>
      </c>
      <c r="H89">
        <v>3</v>
      </c>
      <c r="I89">
        <v>2.83</v>
      </c>
      <c r="J89">
        <v>22.2</v>
      </c>
      <c r="K89">
        <v>2.7</v>
      </c>
      <c r="L89">
        <v>2</v>
      </c>
      <c r="M89">
        <v>0</v>
      </c>
      <c r="N89">
        <v>8</v>
      </c>
      <c r="O89">
        <v>34.9</v>
      </c>
      <c r="P89">
        <v>0.67</v>
      </c>
      <c r="Q89">
        <v>0.67</v>
      </c>
      <c r="R89">
        <v>0.25</v>
      </c>
      <c r="S89">
        <v>1.61</v>
      </c>
      <c r="T89">
        <v>0.3</v>
      </c>
      <c r="U89">
        <v>0.67</v>
      </c>
      <c r="V89">
        <v>25</v>
      </c>
      <c r="W89">
        <v>1.5</v>
      </c>
      <c r="X89">
        <v>20</v>
      </c>
      <c r="Y89">
        <v>0.3</v>
      </c>
      <c r="AC89">
        <v>3</v>
      </c>
      <c r="AD89">
        <v>0</v>
      </c>
    </row>
    <row r="90" spans="1:31" x14ac:dyDescent="0.3">
      <c r="A90">
        <v>4100</v>
      </c>
      <c r="B90">
        <v>100</v>
      </c>
      <c r="C90" t="s">
        <v>2</v>
      </c>
      <c r="D90" t="s">
        <v>2</v>
      </c>
      <c r="E90" t="s">
        <v>2</v>
      </c>
      <c r="F90">
        <v>5</v>
      </c>
      <c r="G90">
        <v>3.5</v>
      </c>
      <c r="H90">
        <v>3</v>
      </c>
      <c r="J90">
        <v>14</v>
      </c>
      <c r="K90">
        <v>3.5</v>
      </c>
      <c r="L90">
        <v>4</v>
      </c>
      <c r="M90">
        <v>5</v>
      </c>
      <c r="N90">
        <v>4.5</v>
      </c>
      <c r="O90">
        <v>31</v>
      </c>
      <c r="P90">
        <v>0.3</v>
      </c>
      <c r="Q90">
        <v>0.2</v>
      </c>
      <c r="R90">
        <v>0.2</v>
      </c>
      <c r="S90">
        <v>0.1</v>
      </c>
      <c r="T90">
        <v>0.3</v>
      </c>
      <c r="U90">
        <v>0.3</v>
      </c>
      <c r="V90">
        <v>25</v>
      </c>
      <c r="W90">
        <v>1.5</v>
      </c>
      <c r="X90">
        <v>20</v>
      </c>
      <c r="Y90">
        <v>0.3</v>
      </c>
      <c r="AC90">
        <v>3</v>
      </c>
      <c r="AD90">
        <v>0</v>
      </c>
    </row>
    <row r="91" spans="1:31" x14ac:dyDescent="0.3">
      <c r="A91">
        <v>5001</v>
      </c>
      <c r="B91">
        <v>100</v>
      </c>
      <c r="C91" t="s">
        <v>791</v>
      </c>
      <c r="D91" t="s">
        <v>2</v>
      </c>
      <c r="E91" t="s">
        <v>2</v>
      </c>
      <c r="F91">
        <v>5</v>
      </c>
      <c r="G91">
        <v>3.57</v>
      </c>
      <c r="H91">
        <v>3</v>
      </c>
      <c r="I91">
        <v>3.15</v>
      </c>
      <c r="J91">
        <v>11</v>
      </c>
      <c r="K91">
        <v>0</v>
      </c>
      <c r="L91">
        <v>4.0999999999999996</v>
      </c>
      <c r="M91">
        <v>5</v>
      </c>
      <c r="N91">
        <v>4.5</v>
      </c>
      <c r="O91">
        <v>24.6</v>
      </c>
      <c r="P91">
        <v>0.3</v>
      </c>
      <c r="Q91">
        <v>0.3</v>
      </c>
      <c r="R91">
        <v>0.2</v>
      </c>
      <c r="S91">
        <v>0.14000000000000001</v>
      </c>
      <c r="T91">
        <v>0.3</v>
      </c>
      <c r="U91">
        <v>0.3</v>
      </c>
      <c r="V91">
        <v>25</v>
      </c>
      <c r="W91">
        <v>1.5</v>
      </c>
      <c r="X91">
        <v>20</v>
      </c>
      <c r="Y91">
        <v>0.3</v>
      </c>
      <c r="AC91">
        <v>3</v>
      </c>
      <c r="AD91">
        <v>1</v>
      </c>
    </row>
    <row r="92" spans="1:31" x14ac:dyDescent="0.3">
      <c r="A92">
        <v>5013</v>
      </c>
      <c r="B92">
        <v>100</v>
      </c>
      <c r="C92" t="s">
        <v>440</v>
      </c>
      <c r="D92" t="s">
        <v>2</v>
      </c>
      <c r="E92" t="s">
        <v>2</v>
      </c>
      <c r="F92">
        <v>5</v>
      </c>
      <c r="G92">
        <v>2.0299999999999998</v>
      </c>
      <c r="H92">
        <v>1.74</v>
      </c>
      <c r="I92">
        <v>0</v>
      </c>
      <c r="J92">
        <v>5.9</v>
      </c>
      <c r="K92">
        <v>0</v>
      </c>
      <c r="L92">
        <v>0</v>
      </c>
      <c r="M92">
        <v>0.4</v>
      </c>
      <c r="N92">
        <v>4.5</v>
      </c>
      <c r="O92">
        <v>10.8</v>
      </c>
      <c r="P92">
        <v>0.15</v>
      </c>
      <c r="Q92">
        <v>0.15</v>
      </c>
      <c r="R92">
        <v>1</v>
      </c>
      <c r="S92">
        <v>0.15</v>
      </c>
      <c r="T92">
        <v>0.3</v>
      </c>
      <c r="U92">
        <v>0.15</v>
      </c>
      <c r="V92">
        <v>25</v>
      </c>
      <c r="W92">
        <v>1.5</v>
      </c>
      <c r="X92">
        <v>20</v>
      </c>
      <c r="Y92">
        <v>0.3</v>
      </c>
      <c r="AC92">
        <v>4</v>
      </c>
      <c r="AD92">
        <v>0</v>
      </c>
    </row>
    <row r="93" spans="1:31" x14ac:dyDescent="0.3">
      <c r="A93">
        <v>5018</v>
      </c>
      <c r="B93">
        <v>100</v>
      </c>
      <c r="C93" t="s">
        <v>786</v>
      </c>
      <c r="D93" t="s">
        <v>2</v>
      </c>
      <c r="E93" t="s">
        <v>2</v>
      </c>
      <c r="F93">
        <v>5</v>
      </c>
      <c r="G93">
        <v>4</v>
      </c>
      <c r="H93">
        <v>3</v>
      </c>
      <c r="I93">
        <v>3.5</v>
      </c>
      <c r="J93">
        <v>11</v>
      </c>
      <c r="K93">
        <v>0</v>
      </c>
      <c r="L93">
        <v>6</v>
      </c>
      <c r="M93">
        <v>5</v>
      </c>
      <c r="N93">
        <v>4.5</v>
      </c>
      <c r="O93">
        <v>26.5</v>
      </c>
      <c r="P93">
        <v>0.3</v>
      </c>
      <c r="Q93">
        <v>0.3</v>
      </c>
      <c r="R93">
        <v>0.3</v>
      </c>
      <c r="S93">
        <v>0.14000000000000001</v>
      </c>
      <c r="T93">
        <v>0.3</v>
      </c>
      <c r="U93">
        <v>0.3</v>
      </c>
      <c r="V93">
        <v>25</v>
      </c>
      <c r="W93">
        <v>1.5</v>
      </c>
      <c r="X93">
        <v>20</v>
      </c>
      <c r="Y93">
        <v>0.3</v>
      </c>
      <c r="AC93">
        <v>4</v>
      </c>
      <c r="AD93">
        <v>1</v>
      </c>
    </row>
    <row r="94" spans="1:31" x14ac:dyDescent="0.3">
      <c r="A94">
        <v>5019</v>
      </c>
      <c r="B94">
        <v>100</v>
      </c>
      <c r="C94" t="s">
        <v>785</v>
      </c>
      <c r="D94" t="s">
        <v>2</v>
      </c>
      <c r="E94" t="s">
        <v>2</v>
      </c>
      <c r="F94">
        <v>5</v>
      </c>
      <c r="G94">
        <v>3.57</v>
      </c>
      <c r="H94">
        <v>3</v>
      </c>
      <c r="I94">
        <v>3.15</v>
      </c>
      <c r="J94">
        <v>11</v>
      </c>
      <c r="K94">
        <v>0</v>
      </c>
      <c r="L94">
        <v>4.0999999999999996</v>
      </c>
      <c r="M94">
        <v>3</v>
      </c>
      <c r="N94">
        <v>4.5</v>
      </c>
      <c r="O94">
        <v>22.6</v>
      </c>
      <c r="P94">
        <v>0.3</v>
      </c>
      <c r="Q94">
        <v>0.3</v>
      </c>
      <c r="R94">
        <v>0.2</v>
      </c>
      <c r="S94">
        <v>0.2</v>
      </c>
      <c r="T94">
        <v>0.3</v>
      </c>
      <c r="U94">
        <v>0.3</v>
      </c>
      <c r="V94">
        <v>25</v>
      </c>
      <c r="W94">
        <v>1.5</v>
      </c>
      <c r="X94">
        <v>20</v>
      </c>
      <c r="Y94">
        <v>0.3</v>
      </c>
      <c r="AC94">
        <v>3</v>
      </c>
      <c r="AD94">
        <v>0</v>
      </c>
    </row>
    <row r="95" spans="1:31" x14ac:dyDescent="0.3">
      <c r="A95">
        <v>5021</v>
      </c>
      <c r="B95">
        <v>100</v>
      </c>
      <c r="C95" t="s">
        <v>784</v>
      </c>
      <c r="D95" t="s">
        <v>2</v>
      </c>
      <c r="E95" t="s">
        <v>2</v>
      </c>
      <c r="F95">
        <v>5</v>
      </c>
      <c r="G95">
        <v>3.41</v>
      </c>
      <c r="H95">
        <v>2.92</v>
      </c>
      <c r="I95">
        <v>3.15</v>
      </c>
      <c r="J95">
        <v>11</v>
      </c>
      <c r="K95">
        <v>0</v>
      </c>
      <c r="L95">
        <v>4.0999999999999996</v>
      </c>
      <c r="M95">
        <v>4.0999999999999996</v>
      </c>
      <c r="N95">
        <v>4.5</v>
      </c>
      <c r="O95">
        <v>23.7</v>
      </c>
      <c r="P95">
        <v>0.3</v>
      </c>
      <c r="Q95">
        <v>0.3</v>
      </c>
      <c r="R95">
        <v>0.3</v>
      </c>
      <c r="S95">
        <v>0.3</v>
      </c>
      <c r="T95">
        <v>0.3</v>
      </c>
      <c r="U95">
        <v>0.3</v>
      </c>
      <c r="V95">
        <v>25</v>
      </c>
      <c r="W95">
        <v>1.5</v>
      </c>
      <c r="X95">
        <v>20</v>
      </c>
      <c r="Y95">
        <v>0.3</v>
      </c>
      <c r="AC95">
        <v>3</v>
      </c>
      <c r="AD95">
        <v>0</v>
      </c>
    </row>
    <row r="96" spans="1:31" x14ac:dyDescent="0.3">
      <c r="A96">
        <v>46</v>
      </c>
      <c r="B96">
        <v>750</v>
      </c>
      <c r="C96" t="s">
        <v>854</v>
      </c>
      <c r="D96" t="s">
        <v>241</v>
      </c>
      <c r="E96" t="s">
        <v>15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5.8</v>
      </c>
      <c r="P96">
        <v>0.2</v>
      </c>
      <c r="Q96">
        <v>0.2</v>
      </c>
      <c r="R96">
        <v>0</v>
      </c>
      <c r="S96">
        <v>0</v>
      </c>
      <c r="T96">
        <v>0</v>
      </c>
      <c r="U96">
        <v>0</v>
      </c>
      <c r="V96">
        <v>20</v>
      </c>
      <c r="W96">
        <v>2</v>
      </c>
      <c r="X96">
        <v>0</v>
      </c>
      <c r="Y96">
        <v>0.3</v>
      </c>
      <c r="Z96">
        <v>0</v>
      </c>
      <c r="AA96">
        <v>0</v>
      </c>
      <c r="AB96">
        <v>0</v>
      </c>
      <c r="AC96">
        <v>1</v>
      </c>
      <c r="AE96">
        <v>0</v>
      </c>
    </row>
    <row r="97" spans="1:31" x14ac:dyDescent="0.3">
      <c r="A97">
        <v>52</v>
      </c>
      <c r="B97">
        <v>550</v>
      </c>
      <c r="C97" t="s">
        <v>851</v>
      </c>
      <c r="D97" t="s">
        <v>248</v>
      </c>
      <c r="E97" t="s">
        <v>15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3.2</v>
      </c>
      <c r="P97">
        <v>0.2</v>
      </c>
      <c r="Q97">
        <v>0.2</v>
      </c>
      <c r="R97">
        <v>0</v>
      </c>
      <c r="S97">
        <v>0</v>
      </c>
      <c r="T97">
        <v>0</v>
      </c>
      <c r="U97">
        <v>0</v>
      </c>
      <c r="V97">
        <v>20</v>
      </c>
      <c r="W97">
        <v>2</v>
      </c>
      <c r="X97">
        <v>0</v>
      </c>
      <c r="Y97">
        <v>0.3</v>
      </c>
      <c r="Z97">
        <v>0</v>
      </c>
      <c r="AA97">
        <v>0</v>
      </c>
      <c r="AB97">
        <v>0</v>
      </c>
      <c r="AC97">
        <v>1.2</v>
      </c>
      <c r="AE97">
        <v>0</v>
      </c>
    </row>
    <row r="98" spans="1:31" x14ac:dyDescent="0.3">
      <c r="A98">
        <v>56</v>
      </c>
      <c r="B98">
        <v>750</v>
      </c>
      <c r="C98" t="s">
        <v>627</v>
      </c>
      <c r="D98" t="s">
        <v>241</v>
      </c>
      <c r="E98" t="s">
        <v>15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2.6</v>
      </c>
      <c r="P98">
        <v>0.7</v>
      </c>
      <c r="Q98">
        <v>0.7</v>
      </c>
      <c r="R98">
        <v>0</v>
      </c>
      <c r="S98">
        <v>0</v>
      </c>
      <c r="T98">
        <v>0</v>
      </c>
      <c r="U98">
        <v>0</v>
      </c>
      <c r="V98">
        <v>20</v>
      </c>
      <c r="W98">
        <v>2</v>
      </c>
      <c r="X98">
        <v>0</v>
      </c>
      <c r="Y98">
        <v>0.3</v>
      </c>
      <c r="Z98">
        <v>0</v>
      </c>
      <c r="AA98">
        <v>0</v>
      </c>
      <c r="AB98">
        <v>0</v>
      </c>
      <c r="AC98">
        <v>1.2</v>
      </c>
      <c r="AE98">
        <v>0</v>
      </c>
    </row>
    <row r="99" spans="1:31" x14ac:dyDescent="0.3">
      <c r="A99">
        <v>58</v>
      </c>
      <c r="B99">
        <v>800</v>
      </c>
      <c r="C99" t="s">
        <v>584</v>
      </c>
      <c r="D99" t="s">
        <v>15</v>
      </c>
      <c r="E99" t="s">
        <v>15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5.0999999999999996</v>
      </c>
      <c r="P99">
        <v>0.9</v>
      </c>
      <c r="Q99">
        <v>0.9</v>
      </c>
      <c r="R99">
        <v>0</v>
      </c>
      <c r="S99">
        <v>0</v>
      </c>
      <c r="T99">
        <v>0</v>
      </c>
      <c r="U99">
        <v>0</v>
      </c>
      <c r="V99">
        <v>20</v>
      </c>
      <c r="W99">
        <v>2</v>
      </c>
      <c r="X99">
        <v>0</v>
      </c>
      <c r="Y99">
        <v>0.3</v>
      </c>
      <c r="Z99">
        <v>0</v>
      </c>
      <c r="AA99">
        <v>0</v>
      </c>
      <c r="AB99">
        <v>0</v>
      </c>
      <c r="AC99">
        <v>1.2</v>
      </c>
      <c r="AE99">
        <v>0</v>
      </c>
    </row>
    <row r="100" spans="1:31" x14ac:dyDescent="0.3">
      <c r="A100">
        <v>60</v>
      </c>
      <c r="B100">
        <v>810</v>
      </c>
      <c r="C100" t="s">
        <v>849</v>
      </c>
      <c r="D100" t="s">
        <v>240</v>
      </c>
      <c r="E100" t="s">
        <v>15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4.5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20</v>
      </c>
      <c r="W100">
        <v>2</v>
      </c>
      <c r="X100">
        <v>0</v>
      </c>
      <c r="Y100">
        <v>0.3</v>
      </c>
      <c r="Z100">
        <v>0</v>
      </c>
      <c r="AA100">
        <v>0</v>
      </c>
      <c r="AB100">
        <v>0</v>
      </c>
      <c r="AC100">
        <v>1.2</v>
      </c>
      <c r="AE100">
        <v>0</v>
      </c>
    </row>
    <row r="101" spans="1:31" x14ac:dyDescent="0.3">
      <c r="A101">
        <v>63</v>
      </c>
      <c r="B101">
        <v>810</v>
      </c>
      <c r="C101" t="s">
        <v>848</v>
      </c>
      <c r="D101" t="s">
        <v>240</v>
      </c>
      <c r="E101" t="s">
        <v>15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20</v>
      </c>
      <c r="W101">
        <v>2</v>
      </c>
      <c r="X101">
        <v>0</v>
      </c>
      <c r="Y101">
        <v>0.3</v>
      </c>
      <c r="Z101">
        <v>0</v>
      </c>
      <c r="AA101">
        <v>0</v>
      </c>
      <c r="AB101">
        <v>0</v>
      </c>
      <c r="AC101">
        <v>1.2</v>
      </c>
      <c r="AE101">
        <v>0</v>
      </c>
    </row>
    <row r="102" spans="1:31" x14ac:dyDescent="0.3">
      <c r="A102">
        <v>66</v>
      </c>
      <c r="B102">
        <v>820</v>
      </c>
      <c r="C102" t="s">
        <v>238</v>
      </c>
      <c r="D102" t="s">
        <v>238</v>
      </c>
      <c r="E102" t="s">
        <v>15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20</v>
      </c>
      <c r="W102">
        <v>2</v>
      </c>
      <c r="X102">
        <v>0</v>
      </c>
      <c r="Y102">
        <v>0.3</v>
      </c>
      <c r="Z102">
        <v>0</v>
      </c>
      <c r="AA102">
        <v>0</v>
      </c>
      <c r="AB102">
        <v>0</v>
      </c>
      <c r="AC102">
        <v>1.2</v>
      </c>
      <c r="AE102">
        <v>0</v>
      </c>
    </row>
    <row r="103" spans="1:31" x14ac:dyDescent="0.3">
      <c r="A103">
        <v>1752</v>
      </c>
      <c r="B103">
        <v>750</v>
      </c>
      <c r="C103" t="s">
        <v>627</v>
      </c>
      <c r="D103" t="s">
        <v>790</v>
      </c>
      <c r="E103" t="s">
        <v>15</v>
      </c>
      <c r="F103">
        <v>1</v>
      </c>
      <c r="G103">
        <v>0</v>
      </c>
      <c r="H103">
        <v>0</v>
      </c>
      <c r="I103">
        <v>0</v>
      </c>
      <c r="J103">
        <v>2.6</v>
      </c>
      <c r="K103">
        <v>0</v>
      </c>
      <c r="L103">
        <v>0</v>
      </c>
      <c r="M103">
        <v>0</v>
      </c>
      <c r="N103">
        <v>0</v>
      </c>
      <c r="O103">
        <v>2.6</v>
      </c>
      <c r="P103">
        <v>0.7</v>
      </c>
      <c r="Q103">
        <v>0.7</v>
      </c>
      <c r="R103">
        <v>0</v>
      </c>
      <c r="S103">
        <v>0</v>
      </c>
      <c r="T103">
        <v>1</v>
      </c>
      <c r="U103">
        <v>0.7</v>
      </c>
      <c r="V103">
        <v>25</v>
      </c>
      <c r="X103">
        <v>0</v>
      </c>
      <c r="Y103">
        <v>36.299999999999997</v>
      </c>
      <c r="Z103">
        <v>0</v>
      </c>
      <c r="AC103">
        <v>1.2</v>
      </c>
      <c r="AD103">
        <v>0</v>
      </c>
      <c r="AE103">
        <v>0</v>
      </c>
    </row>
    <row r="104" spans="1:31" x14ac:dyDescent="0.3">
      <c r="A104">
        <v>1810</v>
      </c>
      <c r="B104">
        <v>810</v>
      </c>
      <c r="C104" t="s">
        <v>626</v>
      </c>
      <c r="D104" t="s">
        <v>240</v>
      </c>
      <c r="E104" t="s">
        <v>15</v>
      </c>
      <c r="F104">
        <v>1</v>
      </c>
      <c r="G104">
        <v>0</v>
      </c>
      <c r="H104">
        <v>0</v>
      </c>
      <c r="I104">
        <v>0</v>
      </c>
      <c r="J104">
        <v>4.5</v>
      </c>
      <c r="K104">
        <v>0</v>
      </c>
      <c r="L104">
        <v>0</v>
      </c>
      <c r="M104">
        <v>0</v>
      </c>
      <c r="N104">
        <v>0</v>
      </c>
      <c r="O104">
        <v>4.5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1</v>
      </c>
      <c r="V104">
        <v>25</v>
      </c>
      <c r="X104">
        <v>0</v>
      </c>
      <c r="Y104">
        <v>38.299999999999997</v>
      </c>
      <c r="Z104">
        <v>0</v>
      </c>
      <c r="AC104">
        <v>1.2</v>
      </c>
      <c r="AD104">
        <v>0</v>
      </c>
      <c r="AE104">
        <v>0</v>
      </c>
    </row>
    <row r="105" spans="1:31" x14ac:dyDescent="0.3">
      <c r="A105">
        <v>1820</v>
      </c>
      <c r="B105">
        <v>820</v>
      </c>
      <c r="C105" t="s">
        <v>238</v>
      </c>
      <c r="D105" t="s">
        <v>238</v>
      </c>
      <c r="E105" t="s">
        <v>15</v>
      </c>
      <c r="F105">
        <v>1</v>
      </c>
      <c r="G105">
        <v>0</v>
      </c>
      <c r="H105">
        <v>0</v>
      </c>
      <c r="I105">
        <v>0</v>
      </c>
      <c r="J105">
        <v>5</v>
      </c>
      <c r="K105">
        <v>0</v>
      </c>
      <c r="L105">
        <v>0</v>
      </c>
      <c r="M105">
        <v>0</v>
      </c>
      <c r="N105">
        <v>0</v>
      </c>
      <c r="O105">
        <v>5</v>
      </c>
      <c r="P105">
        <v>1</v>
      </c>
      <c r="Q105">
        <v>1</v>
      </c>
      <c r="R105">
        <v>0</v>
      </c>
      <c r="S105">
        <v>0</v>
      </c>
      <c r="T105">
        <v>1</v>
      </c>
      <c r="U105">
        <v>1</v>
      </c>
      <c r="V105">
        <v>25</v>
      </c>
      <c r="X105">
        <v>0</v>
      </c>
      <c r="Y105">
        <v>39.299999999999997</v>
      </c>
      <c r="Z105">
        <v>0</v>
      </c>
      <c r="AC105">
        <v>1.2</v>
      </c>
      <c r="AD105">
        <v>0</v>
      </c>
      <c r="AE105">
        <v>0</v>
      </c>
    </row>
    <row r="106" spans="1:31" x14ac:dyDescent="0.3">
      <c r="A106">
        <v>2551</v>
      </c>
      <c r="B106">
        <v>550</v>
      </c>
      <c r="C106" t="s">
        <v>633</v>
      </c>
      <c r="D106" t="s">
        <v>249</v>
      </c>
      <c r="E106" t="s">
        <v>15</v>
      </c>
      <c r="F106">
        <v>1</v>
      </c>
      <c r="J106">
        <v>3.2</v>
      </c>
      <c r="K106">
        <v>0</v>
      </c>
      <c r="L106">
        <v>0</v>
      </c>
      <c r="M106">
        <v>0</v>
      </c>
      <c r="N106">
        <v>0</v>
      </c>
      <c r="O106">
        <v>3.2</v>
      </c>
      <c r="P106">
        <v>0.2</v>
      </c>
      <c r="Q106">
        <v>0.2</v>
      </c>
      <c r="R106">
        <v>0</v>
      </c>
      <c r="S106">
        <v>0</v>
      </c>
      <c r="T106">
        <v>1</v>
      </c>
      <c r="U106">
        <v>0.2</v>
      </c>
      <c r="AC106">
        <v>1.2</v>
      </c>
    </row>
    <row r="107" spans="1:31" x14ac:dyDescent="0.3">
      <c r="A107">
        <v>2751</v>
      </c>
      <c r="B107">
        <v>750</v>
      </c>
      <c r="C107" t="s">
        <v>628</v>
      </c>
      <c r="D107" t="s">
        <v>790</v>
      </c>
      <c r="E107" t="s">
        <v>15</v>
      </c>
      <c r="F107">
        <v>1</v>
      </c>
      <c r="J107">
        <v>5.8</v>
      </c>
      <c r="K107">
        <v>0</v>
      </c>
      <c r="L107">
        <v>0</v>
      </c>
      <c r="M107">
        <v>0</v>
      </c>
      <c r="N107">
        <v>0</v>
      </c>
      <c r="O107">
        <v>5.8</v>
      </c>
      <c r="P107">
        <v>0.2</v>
      </c>
      <c r="Q107">
        <v>0.2</v>
      </c>
      <c r="R107">
        <v>0</v>
      </c>
      <c r="S107">
        <v>0</v>
      </c>
      <c r="T107">
        <v>1</v>
      </c>
      <c r="U107">
        <v>0.2</v>
      </c>
      <c r="AC107">
        <v>1</v>
      </c>
    </row>
    <row r="108" spans="1:31" x14ac:dyDescent="0.3">
      <c r="A108">
        <v>2752</v>
      </c>
      <c r="B108">
        <v>750</v>
      </c>
      <c r="C108" t="s">
        <v>627</v>
      </c>
      <c r="D108" t="s">
        <v>790</v>
      </c>
      <c r="E108" t="s">
        <v>15</v>
      </c>
      <c r="F108">
        <v>1</v>
      </c>
      <c r="J108">
        <v>2.6</v>
      </c>
      <c r="K108">
        <v>0</v>
      </c>
      <c r="L108">
        <v>0</v>
      </c>
      <c r="M108">
        <v>0</v>
      </c>
      <c r="N108">
        <v>0</v>
      </c>
      <c r="O108">
        <v>2.6</v>
      </c>
      <c r="P108">
        <v>0.7</v>
      </c>
      <c r="Q108">
        <v>0.7</v>
      </c>
      <c r="R108">
        <v>0</v>
      </c>
      <c r="S108">
        <v>0</v>
      </c>
      <c r="T108">
        <v>1</v>
      </c>
      <c r="U108">
        <v>0.7</v>
      </c>
      <c r="AC108">
        <v>1.2</v>
      </c>
    </row>
    <row r="109" spans="1:31" x14ac:dyDescent="0.3">
      <c r="A109">
        <v>2800</v>
      </c>
      <c r="B109">
        <v>800</v>
      </c>
      <c r="C109" t="s">
        <v>584</v>
      </c>
      <c r="D109" t="s">
        <v>15</v>
      </c>
      <c r="E109" t="s">
        <v>15</v>
      </c>
      <c r="F109">
        <v>1</v>
      </c>
      <c r="J109">
        <v>5.0999999999999996</v>
      </c>
      <c r="K109">
        <v>0</v>
      </c>
      <c r="L109">
        <v>0</v>
      </c>
      <c r="M109">
        <v>0</v>
      </c>
      <c r="N109">
        <v>0</v>
      </c>
      <c r="O109">
        <v>5.0999999999999996</v>
      </c>
      <c r="P109">
        <v>0.9</v>
      </c>
      <c r="Q109">
        <v>0.9</v>
      </c>
      <c r="R109">
        <v>0</v>
      </c>
      <c r="S109">
        <v>0</v>
      </c>
      <c r="T109">
        <v>1</v>
      </c>
      <c r="U109">
        <v>0.9</v>
      </c>
      <c r="AC109">
        <v>1.2</v>
      </c>
    </row>
    <row r="110" spans="1:31" x14ac:dyDescent="0.3">
      <c r="A110">
        <v>2810</v>
      </c>
      <c r="B110">
        <v>810</v>
      </c>
      <c r="C110" t="s">
        <v>626</v>
      </c>
      <c r="D110" t="s">
        <v>240</v>
      </c>
      <c r="E110" t="s">
        <v>15</v>
      </c>
      <c r="F110">
        <v>1</v>
      </c>
      <c r="J110">
        <v>4.5</v>
      </c>
      <c r="K110">
        <v>0</v>
      </c>
      <c r="L110">
        <v>0</v>
      </c>
      <c r="M110">
        <v>0</v>
      </c>
      <c r="N110">
        <v>0</v>
      </c>
      <c r="O110">
        <v>4.5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1</v>
      </c>
      <c r="AC110">
        <v>1.2</v>
      </c>
    </row>
    <row r="111" spans="1:31" x14ac:dyDescent="0.3">
      <c r="A111">
        <v>2820</v>
      </c>
      <c r="B111">
        <v>820</v>
      </c>
      <c r="C111" t="s">
        <v>238</v>
      </c>
      <c r="D111" t="s">
        <v>238</v>
      </c>
      <c r="E111" t="s">
        <v>15</v>
      </c>
      <c r="F111">
        <v>1</v>
      </c>
      <c r="J111">
        <v>5</v>
      </c>
      <c r="K111">
        <v>0</v>
      </c>
      <c r="L111">
        <v>0</v>
      </c>
      <c r="M111">
        <v>0</v>
      </c>
      <c r="N111">
        <v>0</v>
      </c>
      <c r="O111">
        <v>5</v>
      </c>
      <c r="P111">
        <v>1</v>
      </c>
      <c r="Q111">
        <v>1</v>
      </c>
      <c r="R111">
        <v>0</v>
      </c>
      <c r="S111">
        <v>0</v>
      </c>
      <c r="T111">
        <v>1</v>
      </c>
      <c r="U111">
        <v>1</v>
      </c>
      <c r="AC111">
        <v>1.2</v>
      </c>
    </row>
    <row r="112" spans="1:31" x14ac:dyDescent="0.3">
      <c r="A112">
        <v>3003</v>
      </c>
      <c r="B112">
        <v>550</v>
      </c>
      <c r="C112" t="s">
        <v>620</v>
      </c>
      <c r="D112" t="s">
        <v>249</v>
      </c>
      <c r="E112" t="s">
        <v>15</v>
      </c>
      <c r="F112">
        <v>1</v>
      </c>
      <c r="J112">
        <v>3.2</v>
      </c>
      <c r="O112">
        <v>3.2</v>
      </c>
      <c r="P112">
        <v>0.2</v>
      </c>
      <c r="Q112">
        <v>0</v>
      </c>
      <c r="R112">
        <v>0</v>
      </c>
      <c r="S112">
        <v>0</v>
      </c>
      <c r="T112">
        <v>0</v>
      </c>
      <c r="U112">
        <v>0.2</v>
      </c>
    </row>
    <row r="113" spans="1:30" x14ac:dyDescent="0.3">
      <c r="A113">
        <v>3004</v>
      </c>
      <c r="B113">
        <v>750</v>
      </c>
      <c r="C113" t="s">
        <v>619</v>
      </c>
      <c r="D113" t="s">
        <v>790</v>
      </c>
      <c r="E113" t="s">
        <v>15</v>
      </c>
      <c r="F113">
        <v>1</v>
      </c>
      <c r="J113">
        <v>11</v>
      </c>
      <c r="O113">
        <v>11</v>
      </c>
      <c r="P113">
        <v>0.7</v>
      </c>
      <c r="Q113">
        <v>0</v>
      </c>
      <c r="R113">
        <v>0</v>
      </c>
      <c r="S113">
        <v>0</v>
      </c>
      <c r="U113">
        <v>0.7</v>
      </c>
    </row>
    <row r="114" spans="1:30" x14ac:dyDescent="0.3">
      <c r="A114">
        <v>3016</v>
      </c>
      <c r="B114">
        <v>800</v>
      </c>
      <c r="C114" t="s">
        <v>615</v>
      </c>
      <c r="D114" t="s">
        <v>15</v>
      </c>
      <c r="E114" t="s">
        <v>15</v>
      </c>
      <c r="F114">
        <v>1</v>
      </c>
      <c r="J114">
        <v>8.6999999999999993</v>
      </c>
      <c r="O114">
        <v>8.6999999999999993</v>
      </c>
      <c r="P114">
        <v>0.67</v>
      </c>
      <c r="Q114">
        <v>0</v>
      </c>
      <c r="R114">
        <v>0</v>
      </c>
      <c r="S114">
        <v>0</v>
      </c>
      <c r="U114">
        <v>0.67</v>
      </c>
    </row>
    <row r="115" spans="1:30" x14ac:dyDescent="0.3">
      <c r="A115">
        <v>3020</v>
      </c>
      <c r="B115">
        <v>800</v>
      </c>
      <c r="C115" t="s">
        <v>611</v>
      </c>
      <c r="D115" t="s">
        <v>15</v>
      </c>
      <c r="E115" t="s">
        <v>15</v>
      </c>
      <c r="F115">
        <v>1</v>
      </c>
      <c r="J115">
        <v>2</v>
      </c>
      <c r="O115">
        <v>2</v>
      </c>
      <c r="P115">
        <v>1</v>
      </c>
      <c r="Q115">
        <v>0</v>
      </c>
      <c r="R115">
        <v>0</v>
      </c>
      <c r="S115">
        <v>0</v>
      </c>
      <c r="U115">
        <v>1</v>
      </c>
    </row>
    <row r="116" spans="1:30" x14ac:dyDescent="0.3">
      <c r="A116">
        <v>3029</v>
      </c>
      <c r="B116">
        <v>750</v>
      </c>
      <c r="C116" t="s">
        <v>603</v>
      </c>
      <c r="D116" t="s">
        <v>790</v>
      </c>
      <c r="E116" t="s">
        <v>15</v>
      </c>
      <c r="F116">
        <v>1</v>
      </c>
      <c r="J116">
        <v>11</v>
      </c>
      <c r="O116">
        <v>11</v>
      </c>
      <c r="P116">
        <v>0.25</v>
      </c>
      <c r="Q116">
        <v>0</v>
      </c>
      <c r="R116">
        <v>0</v>
      </c>
      <c r="S116">
        <v>0</v>
      </c>
      <c r="U116">
        <v>0.25</v>
      </c>
    </row>
    <row r="117" spans="1:30" x14ac:dyDescent="0.3">
      <c r="A117">
        <v>3037</v>
      </c>
      <c r="B117">
        <v>750</v>
      </c>
      <c r="C117" t="s">
        <v>598</v>
      </c>
      <c r="D117" t="s">
        <v>790</v>
      </c>
      <c r="E117" t="s">
        <v>15</v>
      </c>
      <c r="F117">
        <v>1</v>
      </c>
      <c r="J117">
        <v>2.6</v>
      </c>
      <c r="O117">
        <v>2.6</v>
      </c>
      <c r="P117">
        <v>0.7</v>
      </c>
      <c r="Q117">
        <v>0</v>
      </c>
      <c r="R117">
        <v>0</v>
      </c>
      <c r="S117">
        <v>0</v>
      </c>
      <c r="U117">
        <v>0.7</v>
      </c>
    </row>
    <row r="118" spans="1:30" x14ac:dyDescent="0.3">
      <c r="A118">
        <v>3046</v>
      </c>
      <c r="B118">
        <v>800</v>
      </c>
      <c r="C118" t="s">
        <v>390</v>
      </c>
      <c r="D118" t="s">
        <v>15</v>
      </c>
      <c r="E118" t="s">
        <v>15</v>
      </c>
      <c r="F118">
        <v>1</v>
      </c>
      <c r="J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U118">
        <v>1</v>
      </c>
    </row>
    <row r="119" spans="1:30" x14ac:dyDescent="0.3">
      <c r="A119">
        <v>3810</v>
      </c>
      <c r="B119">
        <v>810</v>
      </c>
      <c r="C119" t="s">
        <v>240</v>
      </c>
      <c r="D119" t="s">
        <v>240</v>
      </c>
      <c r="E119" t="s">
        <v>15</v>
      </c>
      <c r="F119">
        <v>1</v>
      </c>
      <c r="J119">
        <v>3</v>
      </c>
      <c r="O119">
        <v>3</v>
      </c>
      <c r="U119">
        <v>1</v>
      </c>
    </row>
    <row r="120" spans="1:30" x14ac:dyDescent="0.3">
      <c r="A120">
        <v>3820</v>
      </c>
      <c r="B120">
        <v>820</v>
      </c>
      <c r="C120" t="s">
        <v>238</v>
      </c>
      <c r="D120" t="s">
        <v>238</v>
      </c>
      <c r="E120" t="s">
        <v>15</v>
      </c>
      <c r="F120">
        <v>1</v>
      </c>
      <c r="J120">
        <v>5</v>
      </c>
      <c r="O120">
        <v>5</v>
      </c>
      <c r="U120">
        <v>1</v>
      </c>
    </row>
    <row r="121" spans="1:30" x14ac:dyDescent="0.3">
      <c r="A121">
        <v>4042</v>
      </c>
      <c r="B121">
        <v>800</v>
      </c>
      <c r="C121" t="s">
        <v>808</v>
      </c>
      <c r="D121" t="s">
        <v>15</v>
      </c>
      <c r="E121" t="s">
        <v>15</v>
      </c>
      <c r="F121">
        <v>1</v>
      </c>
      <c r="G121">
        <v>1.41</v>
      </c>
      <c r="H121">
        <v>1.21</v>
      </c>
      <c r="I121">
        <v>1.8</v>
      </c>
      <c r="J121">
        <v>1.4</v>
      </c>
      <c r="K121">
        <v>2.4</v>
      </c>
      <c r="L121">
        <v>0.3</v>
      </c>
      <c r="M121">
        <v>0</v>
      </c>
      <c r="N121">
        <v>0</v>
      </c>
      <c r="O121">
        <v>4.0999999999999996</v>
      </c>
      <c r="P121">
        <v>0.6</v>
      </c>
      <c r="Q121">
        <v>0.6</v>
      </c>
      <c r="R121">
        <v>0.2</v>
      </c>
      <c r="S121">
        <v>1.61</v>
      </c>
      <c r="T121">
        <v>0</v>
      </c>
      <c r="U121">
        <v>0.6</v>
      </c>
      <c r="AC121">
        <v>1.2</v>
      </c>
      <c r="AD121">
        <v>0</v>
      </c>
    </row>
    <row r="122" spans="1:30" x14ac:dyDescent="0.3">
      <c r="A122">
        <v>4048</v>
      </c>
      <c r="B122">
        <v>800</v>
      </c>
      <c r="C122" t="s">
        <v>805</v>
      </c>
      <c r="D122" t="s">
        <v>15</v>
      </c>
      <c r="E122" t="s">
        <v>15</v>
      </c>
      <c r="F122">
        <v>1</v>
      </c>
      <c r="G122">
        <v>2.0099999999999998</v>
      </c>
      <c r="H122">
        <v>1.72</v>
      </c>
      <c r="I122">
        <v>0</v>
      </c>
      <c r="J122">
        <v>0.8</v>
      </c>
      <c r="K122">
        <v>4</v>
      </c>
      <c r="L122">
        <v>0</v>
      </c>
      <c r="M122">
        <v>0</v>
      </c>
      <c r="N122">
        <v>0</v>
      </c>
      <c r="O122">
        <v>4.8</v>
      </c>
      <c r="P122">
        <v>0.6</v>
      </c>
      <c r="Q122">
        <v>0.6</v>
      </c>
      <c r="R122">
        <v>0</v>
      </c>
      <c r="S122">
        <v>0</v>
      </c>
      <c r="T122">
        <v>0</v>
      </c>
      <c r="U122">
        <v>0.6</v>
      </c>
      <c r="AC122">
        <v>1.5</v>
      </c>
      <c r="AD122">
        <v>0</v>
      </c>
    </row>
    <row r="123" spans="1:30" x14ac:dyDescent="0.3">
      <c r="A123">
        <v>4050</v>
      </c>
      <c r="B123">
        <v>550</v>
      </c>
      <c r="C123" t="s">
        <v>803</v>
      </c>
      <c r="D123" t="s">
        <v>249</v>
      </c>
      <c r="E123" t="s">
        <v>15</v>
      </c>
      <c r="F123">
        <v>1</v>
      </c>
      <c r="G123">
        <v>1.04</v>
      </c>
      <c r="H123">
        <v>0.89</v>
      </c>
      <c r="I123">
        <v>0</v>
      </c>
      <c r="J123">
        <v>0.6</v>
      </c>
      <c r="K123">
        <v>2.1</v>
      </c>
      <c r="L123">
        <v>0.1</v>
      </c>
      <c r="M123">
        <v>0</v>
      </c>
      <c r="N123">
        <v>0</v>
      </c>
      <c r="O123">
        <v>2.8</v>
      </c>
      <c r="P123">
        <v>0.6</v>
      </c>
      <c r="Q123">
        <v>0.6</v>
      </c>
      <c r="R123">
        <v>0</v>
      </c>
      <c r="S123">
        <v>0</v>
      </c>
      <c r="T123">
        <v>0</v>
      </c>
      <c r="U123">
        <v>0.6</v>
      </c>
      <c r="AC123">
        <v>1.5</v>
      </c>
      <c r="AD123">
        <v>0</v>
      </c>
    </row>
    <row r="124" spans="1:30" x14ac:dyDescent="0.3">
      <c r="A124">
        <v>4058</v>
      </c>
      <c r="B124">
        <v>820</v>
      </c>
      <c r="C124" t="s">
        <v>799</v>
      </c>
      <c r="D124" t="s">
        <v>238</v>
      </c>
      <c r="E124" t="s">
        <v>15</v>
      </c>
      <c r="F124">
        <v>1</v>
      </c>
      <c r="G124">
        <v>1.38</v>
      </c>
      <c r="H124">
        <v>1.18</v>
      </c>
      <c r="I124">
        <v>2.64</v>
      </c>
      <c r="J124">
        <v>3.7</v>
      </c>
      <c r="K124">
        <v>0</v>
      </c>
      <c r="L124">
        <v>1</v>
      </c>
      <c r="M124">
        <v>0.9</v>
      </c>
      <c r="N124">
        <v>0</v>
      </c>
      <c r="O124">
        <v>5.6</v>
      </c>
      <c r="P124">
        <v>0.6</v>
      </c>
      <c r="Q124">
        <v>0.6</v>
      </c>
      <c r="R124">
        <v>0.25</v>
      </c>
      <c r="S124">
        <v>0.79</v>
      </c>
      <c r="T124">
        <v>0</v>
      </c>
      <c r="U124">
        <v>0.6</v>
      </c>
      <c r="AC124">
        <v>1.5</v>
      </c>
      <c r="AD124">
        <v>0</v>
      </c>
    </row>
    <row r="125" spans="1:30" x14ac:dyDescent="0.3">
      <c r="A125">
        <v>4130</v>
      </c>
      <c r="B125">
        <v>800</v>
      </c>
      <c r="C125" t="s">
        <v>795</v>
      </c>
      <c r="D125" t="s">
        <v>15</v>
      </c>
      <c r="E125" t="s">
        <v>15</v>
      </c>
      <c r="F125">
        <v>1</v>
      </c>
    </row>
    <row r="126" spans="1:30" x14ac:dyDescent="0.3">
      <c r="A126">
        <v>4132</v>
      </c>
      <c r="B126">
        <v>800</v>
      </c>
      <c r="C126" t="s">
        <v>794</v>
      </c>
      <c r="D126" t="s">
        <v>15</v>
      </c>
      <c r="E126" t="s">
        <v>15</v>
      </c>
      <c r="F126">
        <v>1</v>
      </c>
    </row>
    <row r="127" spans="1:30" x14ac:dyDescent="0.3">
      <c r="A127">
        <v>4134</v>
      </c>
      <c r="B127">
        <v>750</v>
      </c>
      <c r="C127" t="s">
        <v>792</v>
      </c>
      <c r="D127" t="s">
        <v>790</v>
      </c>
      <c r="E127" t="s">
        <v>15</v>
      </c>
      <c r="F127">
        <v>1</v>
      </c>
    </row>
    <row r="128" spans="1:30" x14ac:dyDescent="0.3">
      <c r="A128">
        <v>4810</v>
      </c>
      <c r="B128">
        <v>810</v>
      </c>
      <c r="C128" t="s">
        <v>240</v>
      </c>
      <c r="D128" t="s">
        <v>240</v>
      </c>
      <c r="E128" t="s">
        <v>15</v>
      </c>
      <c r="F128">
        <v>1</v>
      </c>
      <c r="J128">
        <v>3</v>
      </c>
      <c r="O128">
        <v>3</v>
      </c>
      <c r="P128">
        <v>1</v>
      </c>
      <c r="U128">
        <v>1</v>
      </c>
    </row>
    <row r="129" spans="1:31" x14ac:dyDescent="0.3">
      <c r="A129">
        <v>4820</v>
      </c>
      <c r="B129">
        <v>820</v>
      </c>
      <c r="C129" t="s">
        <v>238</v>
      </c>
      <c r="D129" t="s">
        <v>238</v>
      </c>
      <c r="E129" t="s">
        <v>15</v>
      </c>
      <c r="F129">
        <v>1</v>
      </c>
      <c r="J129">
        <v>5</v>
      </c>
      <c r="O129">
        <v>5</v>
      </c>
      <c r="P129">
        <v>1</v>
      </c>
      <c r="U129">
        <v>1</v>
      </c>
      <c r="AC129">
        <v>1.5</v>
      </c>
      <c r="AD129">
        <v>0</v>
      </c>
    </row>
    <row r="130" spans="1:31" x14ac:dyDescent="0.3">
      <c r="A130">
        <v>5003</v>
      </c>
      <c r="B130">
        <v>800</v>
      </c>
      <c r="C130" t="s">
        <v>450</v>
      </c>
      <c r="D130" t="s">
        <v>15</v>
      </c>
      <c r="E130" t="s">
        <v>15</v>
      </c>
      <c r="F130">
        <v>1</v>
      </c>
      <c r="G130">
        <v>2</v>
      </c>
      <c r="H130">
        <v>1.71</v>
      </c>
      <c r="I130">
        <v>0</v>
      </c>
      <c r="J130">
        <v>5.8</v>
      </c>
      <c r="K130">
        <v>0</v>
      </c>
      <c r="L130">
        <v>0</v>
      </c>
      <c r="M130">
        <v>0</v>
      </c>
      <c r="N130">
        <v>0</v>
      </c>
      <c r="O130">
        <v>5.8</v>
      </c>
      <c r="P130">
        <v>1</v>
      </c>
      <c r="Q130">
        <v>1</v>
      </c>
      <c r="R130">
        <v>0</v>
      </c>
      <c r="S130">
        <v>0</v>
      </c>
      <c r="U130">
        <v>1</v>
      </c>
      <c r="AC130">
        <v>2</v>
      </c>
      <c r="AD130">
        <v>0</v>
      </c>
    </row>
    <row r="131" spans="1:31" x14ac:dyDescent="0.3">
      <c r="A131">
        <v>5005</v>
      </c>
      <c r="B131">
        <v>750</v>
      </c>
      <c r="C131" t="s">
        <v>448</v>
      </c>
      <c r="D131" t="s">
        <v>790</v>
      </c>
      <c r="E131" t="s">
        <v>15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U131">
        <v>0</v>
      </c>
      <c r="AC131">
        <v>2</v>
      </c>
      <c r="AD131">
        <v>0</v>
      </c>
    </row>
    <row r="132" spans="1:31" x14ac:dyDescent="0.3">
      <c r="A132">
        <v>5008</v>
      </c>
      <c r="B132">
        <v>820</v>
      </c>
      <c r="C132" t="s">
        <v>445</v>
      </c>
      <c r="D132" t="s">
        <v>238</v>
      </c>
      <c r="E132" t="s">
        <v>15</v>
      </c>
      <c r="F132">
        <v>1</v>
      </c>
      <c r="G132">
        <v>2</v>
      </c>
      <c r="H132">
        <v>1.71</v>
      </c>
      <c r="I132">
        <v>0</v>
      </c>
      <c r="J132">
        <v>5.8</v>
      </c>
      <c r="K132">
        <v>0</v>
      </c>
      <c r="L132">
        <v>0</v>
      </c>
      <c r="M132">
        <v>0</v>
      </c>
      <c r="N132">
        <v>0</v>
      </c>
      <c r="O132">
        <v>5.8</v>
      </c>
      <c r="P132">
        <v>1</v>
      </c>
      <c r="Q132">
        <v>1</v>
      </c>
      <c r="R132">
        <v>0</v>
      </c>
      <c r="S132">
        <v>0</v>
      </c>
      <c r="U132">
        <v>1</v>
      </c>
      <c r="AC132">
        <v>2</v>
      </c>
      <c r="AD132">
        <v>0</v>
      </c>
    </row>
    <row r="133" spans="1:31" x14ac:dyDescent="0.3">
      <c r="A133">
        <v>5038</v>
      </c>
      <c r="B133">
        <v>550</v>
      </c>
      <c r="C133" t="s">
        <v>415</v>
      </c>
      <c r="D133" t="s">
        <v>249</v>
      </c>
      <c r="E133" t="s">
        <v>15</v>
      </c>
      <c r="F133">
        <v>1</v>
      </c>
      <c r="G133">
        <v>0.17</v>
      </c>
      <c r="H133">
        <v>0.15</v>
      </c>
      <c r="I133">
        <v>2.0299999999999998</v>
      </c>
      <c r="J133">
        <v>0.4</v>
      </c>
      <c r="K133">
        <v>0</v>
      </c>
      <c r="L133">
        <v>0.4</v>
      </c>
      <c r="M133">
        <v>0</v>
      </c>
      <c r="N133">
        <v>0</v>
      </c>
      <c r="O133">
        <v>0.8</v>
      </c>
      <c r="P133">
        <v>0</v>
      </c>
      <c r="Q133">
        <v>0</v>
      </c>
      <c r="R133">
        <v>0</v>
      </c>
      <c r="S133">
        <v>0</v>
      </c>
      <c r="U133">
        <v>0</v>
      </c>
      <c r="AC133">
        <v>2.2000000000000002</v>
      </c>
      <c r="AD133">
        <v>0</v>
      </c>
    </row>
    <row r="134" spans="1:31" x14ac:dyDescent="0.3">
      <c r="A134">
        <v>5062</v>
      </c>
      <c r="B134">
        <v>800</v>
      </c>
      <c r="C134" t="s">
        <v>392</v>
      </c>
      <c r="D134" t="s">
        <v>15</v>
      </c>
      <c r="E134" t="s">
        <v>15</v>
      </c>
      <c r="F134">
        <v>1</v>
      </c>
      <c r="G134">
        <v>1.61</v>
      </c>
      <c r="H134">
        <v>1.38</v>
      </c>
      <c r="I134">
        <v>0</v>
      </c>
      <c r="J134">
        <v>4.5</v>
      </c>
      <c r="K134">
        <v>0</v>
      </c>
      <c r="L134">
        <v>0</v>
      </c>
      <c r="M134">
        <v>0</v>
      </c>
      <c r="N134">
        <v>0</v>
      </c>
      <c r="O134">
        <v>4.5</v>
      </c>
      <c r="P134">
        <v>1</v>
      </c>
      <c r="Q134">
        <v>1</v>
      </c>
      <c r="R134">
        <v>0</v>
      </c>
      <c r="S134">
        <v>0</v>
      </c>
      <c r="U134">
        <v>1</v>
      </c>
      <c r="AC134">
        <v>2</v>
      </c>
      <c r="AD134">
        <v>0</v>
      </c>
    </row>
    <row r="135" spans="1:31" x14ac:dyDescent="0.3">
      <c r="A135">
        <v>5063</v>
      </c>
      <c r="B135">
        <v>810</v>
      </c>
      <c r="C135" t="s">
        <v>391</v>
      </c>
      <c r="D135" t="s">
        <v>240</v>
      </c>
      <c r="E135" t="s">
        <v>15</v>
      </c>
      <c r="F135">
        <v>1</v>
      </c>
      <c r="G135">
        <v>0.79</v>
      </c>
      <c r="H135">
        <v>0.68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2</v>
      </c>
      <c r="P135">
        <v>1</v>
      </c>
      <c r="Q135">
        <v>1</v>
      </c>
      <c r="R135">
        <v>0</v>
      </c>
      <c r="S135">
        <v>0</v>
      </c>
      <c r="U135">
        <v>1</v>
      </c>
      <c r="AC135">
        <v>2</v>
      </c>
      <c r="AD135">
        <v>0</v>
      </c>
    </row>
    <row r="136" spans="1:31" x14ac:dyDescent="0.3">
      <c r="A136">
        <v>42</v>
      </c>
      <c r="B136">
        <v>600</v>
      </c>
      <c r="C136" t="s">
        <v>632</v>
      </c>
      <c r="D136" t="s">
        <v>36</v>
      </c>
      <c r="E136" t="s">
        <v>36</v>
      </c>
      <c r="F136">
        <v>7</v>
      </c>
      <c r="G136">
        <v>0</v>
      </c>
      <c r="H136">
        <v>0</v>
      </c>
      <c r="I136">
        <v>0</v>
      </c>
      <c r="J136">
        <v>22.2</v>
      </c>
      <c r="K136">
        <v>1.7</v>
      </c>
      <c r="L136">
        <v>13</v>
      </c>
      <c r="M136">
        <v>0</v>
      </c>
      <c r="N136">
        <v>0</v>
      </c>
      <c r="O136">
        <v>36.9</v>
      </c>
      <c r="P136">
        <v>7.0000000000000007E-2</v>
      </c>
      <c r="Q136">
        <v>7.0000000000000007E-2</v>
      </c>
      <c r="R136">
        <v>0.15</v>
      </c>
      <c r="S136">
        <v>0</v>
      </c>
      <c r="T136">
        <v>0</v>
      </c>
      <c r="U136">
        <v>0</v>
      </c>
      <c r="V136">
        <v>20</v>
      </c>
      <c r="W136">
        <v>2</v>
      </c>
      <c r="X136">
        <v>0</v>
      </c>
      <c r="Y136">
        <v>0.3</v>
      </c>
      <c r="Z136">
        <v>0</v>
      </c>
      <c r="AA136">
        <v>0</v>
      </c>
      <c r="AB136">
        <v>0.67</v>
      </c>
      <c r="AC136">
        <v>2</v>
      </c>
      <c r="AE136">
        <v>0</v>
      </c>
    </row>
    <row r="137" spans="1:31" x14ac:dyDescent="0.3">
      <c r="A137">
        <v>43</v>
      </c>
      <c r="B137">
        <v>600</v>
      </c>
      <c r="C137" t="s">
        <v>631</v>
      </c>
      <c r="D137" t="s">
        <v>36</v>
      </c>
      <c r="E137" t="s">
        <v>36</v>
      </c>
      <c r="F137">
        <v>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6</v>
      </c>
      <c r="M137">
        <v>0</v>
      </c>
      <c r="N137">
        <v>0</v>
      </c>
      <c r="O137">
        <v>11.8</v>
      </c>
      <c r="P137">
        <v>0.6</v>
      </c>
      <c r="Q137">
        <v>0.6</v>
      </c>
      <c r="R137">
        <v>0.6</v>
      </c>
      <c r="S137">
        <v>0</v>
      </c>
      <c r="T137">
        <v>0</v>
      </c>
      <c r="U137">
        <v>0</v>
      </c>
      <c r="V137">
        <v>20</v>
      </c>
      <c r="W137">
        <v>2</v>
      </c>
      <c r="X137">
        <v>0</v>
      </c>
      <c r="Y137">
        <v>0.3</v>
      </c>
      <c r="Z137">
        <v>0</v>
      </c>
      <c r="AA137">
        <v>0</v>
      </c>
      <c r="AB137">
        <v>0.67</v>
      </c>
      <c r="AC137">
        <v>1.5</v>
      </c>
      <c r="AE137">
        <v>0</v>
      </c>
    </row>
    <row r="138" spans="1:31" x14ac:dyDescent="0.3">
      <c r="A138">
        <v>44</v>
      </c>
      <c r="B138">
        <v>600</v>
      </c>
      <c r="C138" t="s">
        <v>630</v>
      </c>
      <c r="D138" t="s">
        <v>36</v>
      </c>
      <c r="E138" t="s">
        <v>36</v>
      </c>
      <c r="F138">
        <v>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6</v>
      </c>
      <c r="M138">
        <v>0</v>
      </c>
      <c r="N138">
        <v>0</v>
      </c>
      <c r="O138">
        <v>12.6</v>
      </c>
      <c r="P138">
        <v>0.1</v>
      </c>
      <c r="Q138">
        <v>0.1</v>
      </c>
      <c r="R138">
        <v>0.25</v>
      </c>
      <c r="S138">
        <v>0</v>
      </c>
      <c r="T138">
        <v>0</v>
      </c>
      <c r="U138">
        <v>0</v>
      </c>
      <c r="V138">
        <v>20</v>
      </c>
      <c r="W138">
        <v>2</v>
      </c>
      <c r="X138">
        <v>0</v>
      </c>
      <c r="Y138">
        <v>0.3</v>
      </c>
      <c r="Z138">
        <v>0</v>
      </c>
      <c r="AA138">
        <v>0</v>
      </c>
      <c r="AB138">
        <v>0.67</v>
      </c>
      <c r="AC138">
        <v>1.5</v>
      </c>
      <c r="AE138">
        <v>0</v>
      </c>
    </row>
    <row r="139" spans="1:31" x14ac:dyDescent="0.3">
      <c r="A139">
        <v>45</v>
      </c>
      <c r="B139">
        <v>600</v>
      </c>
      <c r="C139" t="s">
        <v>629</v>
      </c>
      <c r="D139" t="s">
        <v>36</v>
      </c>
      <c r="E139" t="s">
        <v>36</v>
      </c>
      <c r="F139">
        <v>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2.6</v>
      </c>
      <c r="P139">
        <v>0.15</v>
      </c>
      <c r="Q139">
        <v>0.15</v>
      </c>
      <c r="R139">
        <v>0</v>
      </c>
      <c r="S139">
        <v>0</v>
      </c>
      <c r="T139">
        <v>0</v>
      </c>
      <c r="U139">
        <v>0</v>
      </c>
      <c r="V139">
        <v>20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0.67</v>
      </c>
      <c r="AC139">
        <v>1</v>
      </c>
      <c r="AE139">
        <v>0</v>
      </c>
    </row>
    <row r="140" spans="1:31" x14ac:dyDescent="0.3">
      <c r="A140">
        <v>2601</v>
      </c>
      <c r="B140">
        <v>600</v>
      </c>
      <c r="C140" t="s">
        <v>632</v>
      </c>
      <c r="D140" t="s">
        <v>36</v>
      </c>
      <c r="E140" t="s">
        <v>36</v>
      </c>
      <c r="F140">
        <v>7</v>
      </c>
      <c r="J140">
        <v>22.2</v>
      </c>
      <c r="K140">
        <v>1.7</v>
      </c>
      <c r="L140">
        <v>13</v>
      </c>
      <c r="M140">
        <v>0</v>
      </c>
      <c r="N140">
        <v>0</v>
      </c>
      <c r="O140">
        <v>36.9</v>
      </c>
      <c r="P140">
        <v>7.0000000000000007E-2</v>
      </c>
      <c r="Q140">
        <v>7.0000000000000007E-2</v>
      </c>
      <c r="R140">
        <v>0.15</v>
      </c>
      <c r="S140">
        <v>0</v>
      </c>
      <c r="T140">
        <v>1</v>
      </c>
      <c r="U140">
        <v>7.0000000000000007E-2</v>
      </c>
      <c r="W140">
        <v>4</v>
      </c>
      <c r="AB140">
        <v>0.67</v>
      </c>
      <c r="AC140">
        <v>2</v>
      </c>
    </row>
    <row r="141" spans="1:31" x14ac:dyDescent="0.3">
      <c r="A141">
        <v>2602</v>
      </c>
      <c r="B141">
        <v>600</v>
      </c>
      <c r="C141" t="s">
        <v>631</v>
      </c>
      <c r="D141" t="s">
        <v>36</v>
      </c>
      <c r="E141" t="s">
        <v>36</v>
      </c>
      <c r="F141">
        <v>7</v>
      </c>
      <c r="J141">
        <v>5.8</v>
      </c>
      <c r="K141">
        <v>0</v>
      </c>
      <c r="L141">
        <v>6</v>
      </c>
      <c r="M141">
        <v>0</v>
      </c>
      <c r="N141">
        <v>0</v>
      </c>
      <c r="O141">
        <v>11.8</v>
      </c>
      <c r="P141">
        <v>0.6</v>
      </c>
      <c r="Q141">
        <v>0.6</v>
      </c>
      <c r="R141">
        <v>0.6</v>
      </c>
      <c r="S141">
        <v>0</v>
      </c>
      <c r="T141">
        <v>1</v>
      </c>
      <c r="U141">
        <v>0.6</v>
      </c>
      <c r="W141">
        <v>1.5</v>
      </c>
      <c r="AB141">
        <v>0.67</v>
      </c>
      <c r="AC141">
        <v>1.5</v>
      </c>
    </row>
    <row r="142" spans="1:31" x14ac:dyDescent="0.3">
      <c r="A142">
        <v>2603</v>
      </c>
      <c r="B142">
        <v>600</v>
      </c>
      <c r="C142" t="s">
        <v>630</v>
      </c>
      <c r="D142" t="s">
        <v>36</v>
      </c>
      <c r="E142" t="s">
        <v>36</v>
      </c>
      <c r="F142">
        <v>7</v>
      </c>
      <c r="J142">
        <v>6.6</v>
      </c>
      <c r="K142">
        <v>0</v>
      </c>
      <c r="L142">
        <v>6</v>
      </c>
      <c r="M142">
        <v>0</v>
      </c>
      <c r="N142">
        <v>0</v>
      </c>
      <c r="O142">
        <v>12.6</v>
      </c>
      <c r="P142">
        <v>0.1</v>
      </c>
      <c r="Q142">
        <v>0.1</v>
      </c>
      <c r="R142">
        <v>0.25</v>
      </c>
      <c r="S142">
        <v>0</v>
      </c>
      <c r="T142">
        <v>1</v>
      </c>
      <c r="U142">
        <v>0.1</v>
      </c>
      <c r="W142">
        <v>1</v>
      </c>
      <c r="AB142">
        <v>0.67</v>
      </c>
      <c r="AC142">
        <v>1.5</v>
      </c>
    </row>
    <row r="143" spans="1:31" x14ac:dyDescent="0.3">
      <c r="A143">
        <v>3001</v>
      </c>
      <c r="B143">
        <v>650</v>
      </c>
      <c r="C143" t="s">
        <v>621</v>
      </c>
      <c r="D143" t="s">
        <v>842</v>
      </c>
      <c r="E143" t="s">
        <v>36</v>
      </c>
      <c r="F143">
        <v>7</v>
      </c>
      <c r="J143">
        <v>5.8</v>
      </c>
      <c r="K143">
        <v>0</v>
      </c>
      <c r="L143">
        <v>6</v>
      </c>
      <c r="M143">
        <v>3.8</v>
      </c>
      <c r="O143">
        <v>15.6</v>
      </c>
      <c r="P143">
        <v>0.25</v>
      </c>
      <c r="Q143">
        <v>0</v>
      </c>
      <c r="R143">
        <v>0.2</v>
      </c>
      <c r="S143">
        <v>0.19</v>
      </c>
      <c r="U143">
        <v>0.25</v>
      </c>
      <c r="W143">
        <v>1.3</v>
      </c>
      <c r="AB143">
        <v>0.67</v>
      </c>
      <c r="AC143">
        <v>2</v>
      </c>
      <c r="AD143">
        <v>0</v>
      </c>
    </row>
    <row r="144" spans="1:31" x14ac:dyDescent="0.3">
      <c r="A144">
        <v>3010</v>
      </c>
      <c r="B144">
        <v>600</v>
      </c>
      <c r="C144" t="s">
        <v>345</v>
      </c>
      <c r="D144" t="s">
        <v>36</v>
      </c>
      <c r="E144" t="s">
        <v>36</v>
      </c>
      <c r="F144">
        <v>7</v>
      </c>
      <c r="J144">
        <v>5.8</v>
      </c>
      <c r="K144">
        <v>0</v>
      </c>
      <c r="L144">
        <v>0.4</v>
      </c>
      <c r="M144">
        <v>0</v>
      </c>
      <c r="O144">
        <v>6.2</v>
      </c>
      <c r="P144">
        <v>0.25</v>
      </c>
      <c r="Q144">
        <v>0</v>
      </c>
      <c r="R144">
        <v>0.2</v>
      </c>
      <c r="S144">
        <v>0</v>
      </c>
      <c r="U144">
        <v>0.25</v>
      </c>
      <c r="W144">
        <v>1.3</v>
      </c>
      <c r="AB144">
        <v>0.67</v>
      </c>
      <c r="AC144">
        <v>1.8</v>
      </c>
      <c r="AD144">
        <v>0</v>
      </c>
    </row>
    <row r="145" spans="1:31" x14ac:dyDescent="0.3">
      <c r="A145">
        <v>3014</v>
      </c>
      <c r="B145">
        <v>650</v>
      </c>
      <c r="C145" t="s">
        <v>317</v>
      </c>
      <c r="D145" t="s">
        <v>842</v>
      </c>
      <c r="E145" t="s">
        <v>36</v>
      </c>
      <c r="F145">
        <v>7</v>
      </c>
      <c r="J145">
        <v>9.1</v>
      </c>
      <c r="K145">
        <v>0</v>
      </c>
      <c r="L145">
        <v>4.5</v>
      </c>
      <c r="M145">
        <v>0</v>
      </c>
      <c r="O145">
        <v>13.6</v>
      </c>
      <c r="P145">
        <v>0.2</v>
      </c>
      <c r="Q145">
        <v>0</v>
      </c>
      <c r="R145">
        <v>0.25</v>
      </c>
      <c r="S145">
        <v>0</v>
      </c>
      <c r="U145">
        <v>0.2</v>
      </c>
      <c r="W145">
        <v>1.3</v>
      </c>
      <c r="AB145">
        <v>0.67</v>
      </c>
      <c r="AC145">
        <v>2.5</v>
      </c>
      <c r="AD145">
        <v>0</v>
      </c>
    </row>
    <row r="146" spans="1:31" x14ac:dyDescent="0.3">
      <c r="A146">
        <v>3017</v>
      </c>
      <c r="B146">
        <v>600</v>
      </c>
      <c r="C146" t="s">
        <v>614</v>
      </c>
      <c r="D146" t="s">
        <v>36</v>
      </c>
      <c r="E146" t="s">
        <v>36</v>
      </c>
      <c r="F146">
        <v>7</v>
      </c>
      <c r="J146">
        <v>6.6</v>
      </c>
      <c r="K146">
        <v>0</v>
      </c>
      <c r="L146">
        <v>6</v>
      </c>
      <c r="M146">
        <v>0</v>
      </c>
      <c r="O146">
        <v>12.6</v>
      </c>
      <c r="P146">
        <v>0.1</v>
      </c>
      <c r="Q146">
        <v>0</v>
      </c>
      <c r="R146">
        <v>0.25</v>
      </c>
      <c r="S146">
        <v>0</v>
      </c>
      <c r="U146">
        <v>0.1</v>
      </c>
      <c r="W146">
        <v>1.3</v>
      </c>
      <c r="AB146">
        <v>0.67</v>
      </c>
      <c r="AC146">
        <v>1.5</v>
      </c>
      <c r="AD146">
        <v>0</v>
      </c>
    </row>
    <row r="147" spans="1:31" x14ac:dyDescent="0.3">
      <c r="A147">
        <v>3023</v>
      </c>
      <c r="B147">
        <v>650</v>
      </c>
      <c r="C147" t="s">
        <v>608</v>
      </c>
      <c r="D147" t="s">
        <v>842</v>
      </c>
      <c r="E147" t="s">
        <v>36</v>
      </c>
      <c r="F147">
        <v>7</v>
      </c>
      <c r="J147">
        <v>5.8</v>
      </c>
      <c r="K147">
        <v>0</v>
      </c>
      <c r="L147">
        <v>6</v>
      </c>
      <c r="M147">
        <v>0</v>
      </c>
      <c r="O147">
        <v>11.8</v>
      </c>
      <c r="P147">
        <v>0.56999999999999995</v>
      </c>
      <c r="Q147">
        <v>0</v>
      </c>
      <c r="R147">
        <v>0.47</v>
      </c>
      <c r="S147">
        <v>0</v>
      </c>
      <c r="U147">
        <v>0.56999999999999995</v>
      </c>
      <c r="W147">
        <v>1.3</v>
      </c>
      <c r="AB147">
        <v>0.67</v>
      </c>
      <c r="AC147">
        <v>2</v>
      </c>
      <c r="AD147">
        <v>0</v>
      </c>
    </row>
    <row r="148" spans="1:31" x14ac:dyDescent="0.3">
      <c r="A148">
        <v>3024</v>
      </c>
      <c r="B148">
        <v>600</v>
      </c>
      <c r="C148" t="s">
        <v>607</v>
      </c>
      <c r="D148" t="s">
        <v>36</v>
      </c>
      <c r="E148" t="s">
        <v>36</v>
      </c>
      <c r="F148">
        <v>7</v>
      </c>
      <c r="J148">
        <v>5.8</v>
      </c>
      <c r="K148">
        <v>0</v>
      </c>
      <c r="L148">
        <v>6</v>
      </c>
      <c r="M148">
        <v>0</v>
      </c>
      <c r="O148">
        <v>11.8</v>
      </c>
      <c r="P148">
        <v>0.6</v>
      </c>
      <c r="Q148">
        <v>0</v>
      </c>
      <c r="R148">
        <v>0.6</v>
      </c>
      <c r="S148">
        <v>0</v>
      </c>
      <c r="U148">
        <v>0.6</v>
      </c>
      <c r="W148">
        <v>1.3</v>
      </c>
      <c r="AB148">
        <v>0.67</v>
      </c>
      <c r="AC148">
        <v>1.5</v>
      </c>
      <c r="AD148">
        <v>0</v>
      </c>
    </row>
    <row r="149" spans="1:31" x14ac:dyDescent="0.3">
      <c r="A149">
        <v>4041</v>
      </c>
      <c r="B149">
        <v>600</v>
      </c>
      <c r="C149" t="s">
        <v>809</v>
      </c>
      <c r="D149" t="s">
        <v>36</v>
      </c>
      <c r="E149" t="s">
        <v>36</v>
      </c>
      <c r="F149">
        <v>7</v>
      </c>
      <c r="G149">
        <v>3.46</v>
      </c>
      <c r="H149">
        <v>2.97</v>
      </c>
      <c r="I149">
        <v>2.99</v>
      </c>
      <c r="J149">
        <v>13.3</v>
      </c>
      <c r="K149">
        <v>2.9</v>
      </c>
      <c r="L149">
        <v>1.7</v>
      </c>
      <c r="M149">
        <v>0</v>
      </c>
      <c r="N149">
        <v>0</v>
      </c>
      <c r="O149">
        <v>17.899999999999999</v>
      </c>
      <c r="P149">
        <v>0.4</v>
      </c>
      <c r="Q149">
        <v>0.4</v>
      </c>
      <c r="R149">
        <v>0.35</v>
      </c>
      <c r="S149">
        <v>1.61</v>
      </c>
      <c r="T149">
        <v>0</v>
      </c>
      <c r="U149">
        <v>0.4</v>
      </c>
      <c r="W149">
        <v>1.3</v>
      </c>
      <c r="AB149">
        <v>0.35</v>
      </c>
      <c r="AC149">
        <v>2.5</v>
      </c>
      <c r="AD149">
        <v>0</v>
      </c>
    </row>
    <row r="150" spans="1:31" x14ac:dyDescent="0.3">
      <c r="A150">
        <v>4045</v>
      </c>
      <c r="B150">
        <v>600</v>
      </c>
      <c r="C150" t="s">
        <v>807</v>
      </c>
      <c r="D150" t="s">
        <v>36</v>
      </c>
      <c r="E150" t="s">
        <v>36</v>
      </c>
      <c r="F150">
        <v>7</v>
      </c>
      <c r="G150">
        <v>3.43</v>
      </c>
      <c r="H150">
        <v>2.94</v>
      </c>
      <c r="I150">
        <v>3.56</v>
      </c>
      <c r="J150">
        <v>11.6</v>
      </c>
      <c r="K150">
        <v>3.1</v>
      </c>
      <c r="L150">
        <v>5.8</v>
      </c>
      <c r="M150">
        <v>0</v>
      </c>
      <c r="N150">
        <v>0</v>
      </c>
      <c r="O150">
        <v>20.5</v>
      </c>
      <c r="P150">
        <v>0.4</v>
      </c>
      <c r="Q150">
        <v>0.4</v>
      </c>
      <c r="R150">
        <v>0.35</v>
      </c>
      <c r="S150">
        <v>0</v>
      </c>
      <c r="T150">
        <v>0</v>
      </c>
      <c r="U150">
        <v>0.4</v>
      </c>
      <c r="W150">
        <v>1.3</v>
      </c>
      <c r="AB150">
        <v>0.35</v>
      </c>
      <c r="AC150">
        <v>2.5</v>
      </c>
      <c r="AD150">
        <v>0</v>
      </c>
    </row>
    <row r="151" spans="1:31" x14ac:dyDescent="0.3">
      <c r="A151">
        <v>4046</v>
      </c>
      <c r="B151">
        <v>600</v>
      </c>
      <c r="C151" t="s">
        <v>806</v>
      </c>
      <c r="D151" t="s">
        <v>36</v>
      </c>
      <c r="E151" t="s">
        <v>36</v>
      </c>
      <c r="F151">
        <v>7</v>
      </c>
      <c r="G151">
        <v>2.88</v>
      </c>
      <c r="H151">
        <v>2.4700000000000002</v>
      </c>
      <c r="I151">
        <v>3.23</v>
      </c>
      <c r="J151">
        <v>4</v>
      </c>
      <c r="K151">
        <v>4.7</v>
      </c>
      <c r="L151">
        <v>2.7</v>
      </c>
      <c r="M151">
        <v>0</v>
      </c>
      <c r="N151">
        <v>0</v>
      </c>
      <c r="O151">
        <v>11.4</v>
      </c>
      <c r="P151">
        <v>0.6</v>
      </c>
      <c r="Q151">
        <v>0.6</v>
      </c>
      <c r="R151">
        <v>0.2</v>
      </c>
      <c r="S151">
        <v>0</v>
      </c>
      <c r="T151">
        <v>0</v>
      </c>
      <c r="U151">
        <v>0.6</v>
      </c>
      <c r="W151">
        <v>1.3</v>
      </c>
      <c r="AB151">
        <v>0.67</v>
      </c>
      <c r="AC151">
        <v>2</v>
      </c>
      <c r="AD151">
        <v>0</v>
      </c>
    </row>
    <row r="152" spans="1:31" x14ac:dyDescent="0.3">
      <c r="A152">
        <v>5033</v>
      </c>
      <c r="B152">
        <v>600</v>
      </c>
      <c r="C152" t="s">
        <v>420</v>
      </c>
      <c r="D152" t="s">
        <v>36</v>
      </c>
      <c r="E152" t="s">
        <v>36</v>
      </c>
      <c r="F152">
        <v>7</v>
      </c>
      <c r="G152">
        <v>1.3</v>
      </c>
      <c r="H152">
        <v>1.1100000000000001</v>
      </c>
      <c r="I152">
        <v>3.99</v>
      </c>
      <c r="J152">
        <v>3.5</v>
      </c>
      <c r="K152">
        <v>0</v>
      </c>
      <c r="L152">
        <v>6</v>
      </c>
      <c r="M152">
        <v>2.9</v>
      </c>
      <c r="N152">
        <v>0</v>
      </c>
      <c r="O152">
        <v>12.4</v>
      </c>
      <c r="P152">
        <v>0.1</v>
      </c>
      <c r="Q152">
        <v>0.1</v>
      </c>
      <c r="R152">
        <v>0.14000000000000001</v>
      </c>
      <c r="S152">
        <v>0.2</v>
      </c>
      <c r="U152">
        <v>0.1</v>
      </c>
      <c r="W152">
        <v>1.3</v>
      </c>
      <c r="AB152">
        <v>0.67</v>
      </c>
      <c r="AC152">
        <v>3.5</v>
      </c>
      <c r="AD152">
        <v>0</v>
      </c>
    </row>
    <row r="153" spans="1:31" x14ac:dyDescent="0.3">
      <c r="A153">
        <v>50</v>
      </c>
      <c r="B153">
        <v>500</v>
      </c>
      <c r="C153" t="s">
        <v>853</v>
      </c>
      <c r="D153" t="s">
        <v>76</v>
      </c>
      <c r="E153" t="s">
        <v>76</v>
      </c>
      <c r="F153">
        <v>6</v>
      </c>
      <c r="G153">
        <v>2.5</v>
      </c>
      <c r="H153">
        <v>2.1</v>
      </c>
      <c r="I153">
        <v>3.4</v>
      </c>
      <c r="J153">
        <v>0</v>
      </c>
      <c r="K153">
        <v>0</v>
      </c>
      <c r="L153">
        <v>5.5</v>
      </c>
      <c r="M153">
        <v>5</v>
      </c>
      <c r="N153">
        <v>0</v>
      </c>
      <c r="O153">
        <v>18.3</v>
      </c>
      <c r="P153">
        <v>0.25</v>
      </c>
      <c r="Q153">
        <v>0.25</v>
      </c>
      <c r="R153">
        <v>0.8</v>
      </c>
      <c r="S153">
        <v>0.3</v>
      </c>
      <c r="T153">
        <v>0</v>
      </c>
      <c r="U153">
        <v>0</v>
      </c>
      <c r="V153">
        <v>20</v>
      </c>
      <c r="W153">
        <v>2</v>
      </c>
      <c r="X153">
        <v>8</v>
      </c>
      <c r="Y153">
        <v>0.3</v>
      </c>
      <c r="Z153">
        <v>21</v>
      </c>
      <c r="AA153">
        <v>0.64</v>
      </c>
      <c r="AB153">
        <v>0</v>
      </c>
      <c r="AC153">
        <v>1.5</v>
      </c>
      <c r="AD153">
        <v>1</v>
      </c>
      <c r="AE153">
        <v>0</v>
      </c>
    </row>
    <row r="154" spans="1:31" x14ac:dyDescent="0.3">
      <c r="A154">
        <v>3025</v>
      </c>
      <c r="B154">
        <v>500</v>
      </c>
      <c r="C154" t="s">
        <v>606</v>
      </c>
      <c r="D154" t="s">
        <v>76</v>
      </c>
      <c r="E154" t="s">
        <v>76</v>
      </c>
      <c r="F154">
        <v>6</v>
      </c>
      <c r="J154">
        <v>7.8</v>
      </c>
      <c r="K154">
        <v>0</v>
      </c>
      <c r="L154">
        <v>5.5</v>
      </c>
      <c r="M154">
        <v>5</v>
      </c>
      <c r="N154">
        <v>1</v>
      </c>
      <c r="O154">
        <v>19.3</v>
      </c>
      <c r="P154">
        <v>0.25</v>
      </c>
      <c r="Q154">
        <v>0</v>
      </c>
      <c r="R154">
        <v>0.8</v>
      </c>
      <c r="S154">
        <v>0.3</v>
      </c>
      <c r="T154">
        <v>1</v>
      </c>
      <c r="U154">
        <v>0.25</v>
      </c>
      <c r="X154">
        <v>6</v>
      </c>
      <c r="Z154">
        <v>25</v>
      </c>
      <c r="AC154">
        <v>1.5</v>
      </c>
      <c r="AD154">
        <v>1</v>
      </c>
    </row>
    <row r="155" spans="1:31" x14ac:dyDescent="0.3">
      <c r="A155">
        <v>3049</v>
      </c>
      <c r="B155">
        <v>500</v>
      </c>
      <c r="C155" t="s">
        <v>840</v>
      </c>
      <c r="D155" t="s">
        <v>76</v>
      </c>
      <c r="E155" t="s">
        <v>76</v>
      </c>
      <c r="F155">
        <v>6</v>
      </c>
      <c r="J155">
        <v>7.8</v>
      </c>
      <c r="K155">
        <v>0</v>
      </c>
      <c r="L155">
        <v>5.5</v>
      </c>
      <c r="M155">
        <v>5</v>
      </c>
      <c r="N155">
        <v>1</v>
      </c>
      <c r="O155">
        <v>19.3</v>
      </c>
      <c r="P155">
        <v>0.25</v>
      </c>
      <c r="Q155">
        <v>0</v>
      </c>
      <c r="R155">
        <v>0.8</v>
      </c>
      <c r="S155">
        <v>0.3</v>
      </c>
      <c r="T155">
        <v>1</v>
      </c>
      <c r="U155">
        <v>0.25</v>
      </c>
      <c r="X155">
        <v>6</v>
      </c>
      <c r="Z155">
        <v>25</v>
      </c>
      <c r="AC155">
        <v>1.5</v>
      </c>
      <c r="AD155">
        <v>1</v>
      </c>
    </row>
    <row r="156" spans="1:31" x14ac:dyDescent="0.3">
      <c r="A156">
        <v>3051</v>
      </c>
      <c r="B156">
        <v>500</v>
      </c>
      <c r="C156" t="s">
        <v>839</v>
      </c>
      <c r="D156" t="s">
        <v>76</v>
      </c>
      <c r="E156" t="s">
        <v>76</v>
      </c>
      <c r="F156">
        <v>6</v>
      </c>
      <c r="J156">
        <v>7.8</v>
      </c>
      <c r="K156">
        <v>0</v>
      </c>
      <c r="L156">
        <v>5.5</v>
      </c>
      <c r="M156">
        <v>5</v>
      </c>
      <c r="N156">
        <v>1</v>
      </c>
      <c r="O156">
        <v>19.3</v>
      </c>
      <c r="P156">
        <v>0.25</v>
      </c>
      <c r="Q156">
        <v>0</v>
      </c>
      <c r="R156">
        <v>0.8</v>
      </c>
      <c r="S156">
        <v>0.3</v>
      </c>
      <c r="T156">
        <v>1</v>
      </c>
      <c r="U156">
        <v>0.25</v>
      </c>
      <c r="X156">
        <v>6</v>
      </c>
      <c r="Z156">
        <v>25</v>
      </c>
      <c r="AC156">
        <v>1.5</v>
      </c>
      <c r="AD156">
        <v>1</v>
      </c>
    </row>
    <row r="157" spans="1:31" x14ac:dyDescent="0.3">
      <c r="A157">
        <v>5031</v>
      </c>
      <c r="B157">
        <v>500</v>
      </c>
      <c r="C157" t="s">
        <v>422</v>
      </c>
      <c r="D157" t="s">
        <v>76</v>
      </c>
      <c r="E157" t="s">
        <v>76</v>
      </c>
      <c r="F157">
        <v>6</v>
      </c>
      <c r="G157">
        <v>2.2000000000000002</v>
      </c>
      <c r="H157">
        <v>1.89</v>
      </c>
      <c r="I157">
        <v>3.24</v>
      </c>
      <c r="J157">
        <v>6.6</v>
      </c>
      <c r="K157">
        <v>0</v>
      </c>
      <c r="L157">
        <v>4.5</v>
      </c>
      <c r="M157">
        <v>2.1</v>
      </c>
      <c r="N157">
        <v>1</v>
      </c>
      <c r="O157">
        <v>14.2</v>
      </c>
      <c r="P157">
        <v>7.0000000000000007E-2</v>
      </c>
      <c r="Q157">
        <v>7.0000000000000007E-2</v>
      </c>
      <c r="R157">
        <v>0.3</v>
      </c>
      <c r="S157">
        <v>0.25</v>
      </c>
      <c r="T157">
        <v>0.3</v>
      </c>
      <c r="U157">
        <v>7.0000000000000007E-2</v>
      </c>
      <c r="X157">
        <v>4.5</v>
      </c>
      <c r="Z157">
        <v>18</v>
      </c>
      <c r="AC157">
        <v>2.7</v>
      </c>
      <c r="AD157">
        <v>0</v>
      </c>
    </row>
    <row r="158" spans="1:31" x14ac:dyDescent="0.3">
      <c r="A158">
        <v>5032</v>
      </c>
      <c r="B158">
        <v>500</v>
      </c>
      <c r="C158" t="s">
        <v>421</v>
      </c>
      <c r="D158" t="s">
        <v>76</v>
      </c>
      <c r="E158" t="s">
        <v>76</v>
      </c>
      <c r="F158">
        <v>6</v>
      </c>
      <c r="G158">
        <v>2</v>
      </c>
      <c r="H158">
        <v>1.71</v>
      </c>
      <c r="I158">
        <v>3.07</v>
      </c>
      <c r="J158">
        <v>5.8</v>
      </c>
      <c r="K158">
        <v>0</v>
      </c>
      <c r="L158">
        <v>2.8</v>
      </c>
      <c r="M158">
        <v>1.1000000000000001</v>
      </c>
      <c r="N158">
        <v>1</v>
      </c>
      <c r="O158">
        <v>10.7</v>
      </c>
      <c r="P158">
        <v>0.05</v>
      </c>
      <c r="Q158">
        <v>0.05</v>
      </c>
      <c r="R158">
        <v>0.2</v>
      </c>
      <c r="S158">
        <v>0.2</v>
      </c>
      <c r="T158">
        <v>0.3</v>
      </c>
      <c r="U158">
        <v>0.05</v>
      </c>
      <c r="X158">
        <v>4.5</v>
      </c>
      <c r="Z158">
        <v>18</v>
      </c>
      <c r="AC158">
        <v>2.5</v>
      </c>
      <c r="AD158">
        <v>0</v>
      </c>
    </row>
    <row r="159" spans="1:31" x14ac:dyDescent="0.3">
      <c r="A159">
        <v>3000</v>
      </c>
      <c r="B159">
        <v>900</v>
      </c>
      <c r="C159" t="s">
        <v>843</v>
      </c>
      <c r="D159" t="s">
        <v>788</v>
      </c>
      <c r="E159" t="s">
        <v>234</v>
      </c>
      <c r="F159">
        <v>0</v>
      </c>
    </row>
    <row r="160" spans="1:31" x14ac:dyDescent="0.3">
      <c r="A160">
        <v>3047</v>
      </c>
      <c r="B160">
        <v>900</v>
      </c>
      <c r="C160" t="s">
        <v>841</v>
      </c>
      <c r="D160" t="s">
        <v>788</v>
      </c>
      <c r="E160" t="s">
        <v>234</v>
      </c>
      <c r="F160">
        <v>0</v>
      </c>
    </row>
    <row r="161" spans="1:31" x14ac:dyDescent="0.3">
      <c r="A161">
        <v>3830</v>
      </c>
      <c r="B161">
        <v>830</v>
      </c>
      <c r="C161" t="s">
        <v>237</v>
      </c>
      <c r="D161" t="s">
        <v>237</v>
      </c>
      <c r="E161" t="s">
        <v>234</v>
      </c>
      <c r="F161">
        <v>0</v>
      </c>
    </row>
    <row r="162" spans="1:31" x14ac:dyDescent="0.3">
      <c r="A162">
        <v>3900</v>
      </c>
      <c r="B162">
        <v>900</v>
      </c>
      <c r="C162" t="s">
        <v>234</v>
      </c>
      <c r="D162" t="s">
        <v>788</v>
      </c>
      <c r="E162" t="s">
        <v>234</v>
      </c>
      <c r="F162">
        <v>0</v>
      </c>
    </row>
    <row r="163" spans="1:31" x14ac:dyDescent="0.3">
      <c r="A163">
        <v>3950</v>
      </c>
      <c r="B163">
        <v>950</v>
      </c>
      <c r="C163" t="s">
        <v>290</v>
      </c>
      <c r="D163" t="s">
        <v>789</v>
      </c>
      <c r="E163" t="s">
        <v>234</v>
      </c>
      <c r="F163">
        <v>0</v>
      </c>
    </row>
    <row r="164" spans="1:31" x14ac:dyDescent="0.3">
      <c r="A164">
        <v>0</v>
      </c>
      <c r="B164">
        <v>900</v>
      </c>
      <c r="C164" t="s">
        <v>625</v>
      </c>
      <c r="D164" t="s">
        <v>234</v>
      </c>
      <c r="E164" t="s">
        <v>787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20</v>
      </c>
      <c r="W164">
        <v>2</v>
      </c>
      <c r="X164">
        <v>0</v>
      </c>
      <c r="Y164">
        <v>0.3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3">
      <c r="A165">
        <v>57</v>
      </c>
      <c r="B165">
        <v>900</v>
      </c>
      <c r="C165" t="s">
        <v>624</v>
      </c>
      <c r="D165" t="s">
        <v>234</v>
      </c>
      <c r="E165" t="s">
        <v>787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20</v>
      </c>
      <c r="W165">
        <v>2</v>
      </c>
      <c r="X165">
        <v>8</v>
      </c>
      <c r="Y165">
        <v>0.3</v>
      </c>
      <c r="Z165">
        <v>57</v>
      </c>
      <c r="AA165">
        <v>0</v>
      </c>
      <c r="AB165">
        <v>0</v>
      </c>
      <c r="AC165">
        <v>3.5</v>
      </c>
      <c r="AE165">
        <v>0</v>
      </c>
    </row>
    <row r="166" spans="1:31" x14ac:dyDescent="0.3">
      <c r="A166">
        <v>69</v>
      </c>
      <c r="B166">
        <v>950</v>
      </c>
      <c r="C166" t="s">
        <v>846</v>
      </c>
      <c r="D166" t="s">
        <v>290</v>
      </c>
      <c r="E166" t="s">
        <v>787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20</v>
      </c>
      <c r="W166">
        <v>2</v>
      </c>
      <c r="X166">
        <v>0</v>
      </c>
      <c r="Y166">
        <v>0.3</v>
      </c>
      <c r="Z166">
        <v>20</v>
      </c>
      <c r="AA166">
        <v>0.28000000000000003</v>
      </c>
      <c r="AB166">
        <v>0</v>
      </c>
      <c r="AC166">
        <v>2.5</v>
      </c>
      <c r="AD166">
        <v>1</v>
      </c>
      <c r="AE166">
        <v>0</v>
      </c>
    </row>
    <row r="167" spans="1:31" x14ac:dyDescent="0.3">
      <c r="A167">
        <v>1900</v>
      </c>
      <c r="B167">
        <v>900</v>
      </c>
      <c r="C167" t="s">
        <v>625</v>
      </c>
      <c r="D167" t="s">
        <v>788</v>
      </c>
      <c r="E167" t="s">
        <v>787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0</v>
      </c>
      <c r="S167">
        <v>0</v>
      </c>
      <c r="T167">
        <v>1</v>
      </c>
      <c r="U167">
        <v>1</v>
      </c>
      <c r="V167">
        <v>25</v>
      </c>
      <c r="X167">
        <v>0</v>
      </c>
      <c r="Y167">
        <v>40.299999999999997</v>
      </c>
      <c r="Z167">
        <v>0</v>
      </c>
      <c r="AC167">
        <v>0</v>
      </c>
      <c r="AD167">
        <v>0</v>
      </c>
      <c r="AE167">
        <v>0</v>
      </c>
    </row>
    <row r="168" spans="1:31" x14ac:dyDescent="0.3">
      <c r="A168">
        <v>1950</v>
      </c>
      <c r="B168">
        <v>950</v>
      </c>
      <c r="C168" t="s">
        <v>623</v>
      </c>
      <c r="D168" t="s">
        <v>789</v>
      </c>
      <c r="E168" t="s">
        <v>787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1</v>
      </c>
      <c r="U168">
        <v>1</v>
      </c>
      <c r="V168">
        <v>25</v>
      </c>
      <c r="X168">
        <v>0</v>
      </c>
      <c r="Y168">
        <v>42.3</v>
      </c>
      <c r="Z168">
        <v>20</v>
      </c>
      <c r="AA168">
        <v>0.28000000000000003</v>
      </c>
      <c r="AC168">
        <v>2.5</v>
      </c>
      <c r="AD168">
        <v>0</v>
      </c>
      <c r="AE168">
        <v>0</v>
      </c>
    </row>
    <row r="169" spans="1:31" x14ac:dyDescent="0.3">
      <c r="A169">
        <v>2900</v>
      </c>
      <c r="B169">
        <v>900</v>
      </c>
      <c r="C169" t="s">
        <v>625</v>
      </c>
      <c r="D169" t="s">
        <v>788</v>
      </c>
      <c r="E169" t="s">
        <v>787</v>
      </c>
      <c r="F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0</v>
      </c>
      <c r="S169">
        <v>0</v>
      </c>
      <c r="T169">
        <v>1</v>
      </c>
      <c r="U169">
        <v>1</v>
      </c>
      <c r="AC169">
        <v>0</v>
      </c>
    </row>
    <row r="170" spans="1:31" x14ac:dyDescent="0.3">
      <c r="A170">
        <v>2901</v>
      </c>
      <c r="B170">
        <v>900</v>
      </c>
      <c r="C170" t="s">
        <v>624</v>
      </c>
      <c r="D170" t="s">
        <v>788</v>
      </c>
      <c r="E170" t="s">
        <v>787</v>
      </c>
      <c r="F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0</v>
      </c>
      <c r="S170">
        <v>0</v>
      </c>
      <c r="T170">
        <v>1</v>
      </c>
      <c r="U170">
        <v>1</v>
      </c>
      <c r="X170">
        <v>8</v>
      </c>
      <c r="Z170">
        <v>57</v>
      </c>
      <c r="AC170">
        <v>3.5</v>
      </c>
    </row>
    <row r="171" spans="1:31" x14ac:dyDescent="0.3">
      <c r="A171">
        <v>2950</v>
      </c>
      <c r="B171">
        <v>950</v>
      </c>
      <c r="C171" t="s">
        <v>623</v>
      </c>
      <c r="D171" t="s">
        <v>789</v>
      </c>
      <c r="E171" t="s">
        <v>787</v>
      </c>
      <c r="F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0</v>
      </c>
      <c r="S171">
        <v>0</v>
      </c>
      <c r="T171">
        <v>1</v>
      </c>
      <c r="U171">
        <v>1</v>
      </c>
      <c r="Z171">
        <v>20</v>
      </c>
      <c r="AA171">
        <v>0.28000000000000003</v>
      </c>
      <c r="AC171">
        <v>2.5</v>
      </c>
    </row>
    <row r="172" spans="1:31" x14ac:dyDescent="0.3">
      <c r="A172">
        <v>4055</v>
      </c>
      <c r="B172">
        <v>900</v>
      </c>
      <c r="C172" t="s">
        <v>801</v>
      </c>
      <c r="D172" t="s">
        <v>788</v>
      </c>
      <c r="E172" t="s">
        <v>787</v>
      </c>
      <c r="F172">
        <v>0</v>
      </c>
    </row>
    <row r="173" spans="1:31" x14ac:dyDescent="0.3">
      <c r="A173">
        <v>4061</v>
      </c>
      <c r="B173">
        <v>950</v>
      </c>
      <c r="C173" t="s">
        <v>797</v>
      </c>
      <c r="D173" t="s">
        <v>789</v>
      </c>
      <c r="E173" t="s">
        <v>787</v>
      </c>
      <c r="F173">
        <v>0</v>
      </c>
      <c r="G173">
        <v>1.1399999999999999</v>
      </c>
      <c r="H173">
        <v>0.98</v>
      </c>
      <c r="I173">
        <v>2.2200000000000002</v>
      </c>
      <c r="J173">
        <v>3</v>
      </c>
      <c r="K173">
        <v>0</v>
      </c>
      <c r="L173">
        <v>0.5</v>
      </c>
      <c r="M173">
        <v>0</v>
      </c>
      <c r="N173">
        <v>0</v>
      </c>
      <c r="O173">
        <v>3.5</v>
      </c>
      <c r="P173">
        <v>0.6</v>
      </c>
      <c r="Q173">
        <v>0.6</v>
      </c>
      <c r="R173">
        <v>0.25</v>
      </c>
      <c r="S173">
        <v>0</v>
      </c>
      <c r="T173">
        <v>0</v>
      </c>
      <c r="U173">
        <v>0.6</v>
      </c>
      <c r="AC173">
        <v>1.5</v>
      </c>
      <c r="AD173">
        <v>0</v>
      </c>
    </row>
    <row r="174" spans="1:31" x14ac:dyDescent="0.3">
      <c r="A174">
        <v>4063</v>
      </c>
      <c r="B174">
        <v>900</v>
      </c>
      <c r="C174" t="s">
        <v>796</v>
      </c>
      <c r="D174" t="s">
        <v>788</v>
      </c>
      <c r="E174" t="s">
        <v>787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AC174">
        <v>0</v>
      </c>
      <c r="AD174">
        <v>0</v>
      </c>
    </row>
    <row r="175" spans="1:31" x14ac:dyDescent="0.3">
      <c r="A175">
        <v>4830</v>
      </c>
      <c r="B175">
        <v>830</v>
      </c>
      <c r="C175" t="s">
        <v>237</v>
      </c>
      <c r="D175" t="s">
        <v>237</v>
      </c>
      <c r="E175" t="s">
        <v>787</v>
      </c>
      <c r="F175">
        <v>0</v>
      </c>
    </row>
    <row r="176" spans="1:31" x14ac:dyDescent="0.3">
      <c r="A176">
        <v>4900</v>
      </c>
      <c r="B176">
        <v>900</v>
      </c>
      <c r="C176" t="s">
        <v>234</v>
      </c>
      <c r="D176" t="s">
        <v>788</v>
      </c>
      <c r="E176" t="s">
        <v>787</v>
      </c>
      <c r="F176">
        <v>0</v>
      </c>
    </row>
    <row r="177" spans="1:31" x14ac:dyDescent="0.3">
      <c r="A177">
        <v>4950</v>
      </c>
      <c r="B177">
        <v>950</v>
      </c>
      <c r="C177" t="s">
        <v>290</v>
      </c>
      <c r="D177" t="s">
        <v>789</v>
      </c>
      <c r="E177" t="s">
        <v>787</v>
      </c>
      <c r="F177">
        <v>0</v>
      </c>
    </row>
    <row r="178" spans="1:31" x14ac:dyDescent="0.3">
      <c r="A178">
        <v>5000</v>
      </c>
      <c r="B178">
        <v>900</v>
      </c>
      <c r="C178" t="s">
        <v>453</v>
      </c>
      <c r="D178" t="s">
        <v>788</v>
      </c>
      <c r="E178" t="s">
        <v>787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U178">
        <v>0</v>
      </c>
      <c r="AC178">
        <v>1</v>
      </c>
      <c r="AD178">
        <v>0</v>
      </c>
    </row>
    <row r="179" spans="1:31" x14ac:dyDescent="0.3">
      <c r="A179">
        <v>5004</v>
      </c>
      <c r="B179">
        <v>900</v>
      </c>
      <c r="C179" t="s">
        <v>449</v>
      </c>
      <c r="D179" t="s">
        <v>788</v>
      </c>
      <c r="E179" t="s">
        <v>787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U179">
        <v>0</v>
      </c>
      <c r="AC179">
        <v>2</v>
      </c>
      <c r="AD179">
        <v>0</v>
      </c>
    </row>
    <row r="180" spans="1:31" x14ac:dyDescent="0.3">
      <c r="A180">
        <v>5006</v>
      </c>
      <c r="B180">
        <v>900</v>
      </c>
      <c r="C180" t="s">
        <v>447</v>
      </c>
      <c r="D180" t="s">
        <v>788</v>
      </c>
      <c r="E180" t="s">
        <v>787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U180">
        <v>0</v>
      </c>
      <c r="AC180">
        <v>1</v>
      </c>
      <c r="AD180">
        <v>0</v>
      </c>
    </row>
    <row r="181" spans="1:31" x14ac:dyDescent="0.3">
      <c r="A181">
        <v>5007</v>
      </c>
      <c r="B181">
        <v>900</v>
      </c>
      <c r="C181" t="s">
        <v>446</v>
      </c>
      <c r="D181" t="s">
        <v>788</v>
      </c>
      <c r="E181" t="s">
        <v>787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U181">
        <v>0</v>
      </c>
      <c r="AC181">
        <v>1</v>
      </c>
      <c r="AD181">
        <v>0</v>
      </c>
    </row>
    <row r="182" spans="1:31" x14ac:dyDescent="0.3">
      <c r="A182">
        <v>5010</v>
      </c>
      <c r="B182">
        <v>830</v>
      </c>
      <c r="C182" t="s">
        <v>443</v>
      </c>
      <c r="D182" t="s">
        <v>237</v>
      </c>
      <c r="E182" t="s">
        <v>787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U182">
        <v>0</v>
      </c>
      <c r="AC182">
        <v>2</v>
      </c>
      <c r="AD182">
        <v>0</v>
      </c>
    </row>
    <row r="183" spans="1:31" x14ac:dyDescent="0.3">
      <c r="A183">
        <v>5015</v>
      </c>
      <c r="B183">
        <v>950</v>
      </c>
      <c r="C183" t="s">
        <v>438</v>
      </c>
      <c r="D183" t="s">
        <v>789</v>
      </c>
      <c r="E183" t="s">
        <v>787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AC183">
        <v>4</v>
      </c>
      <c r="AD183">
        <v>0</v>
      </c>
    </row>
    <row r="184" spans="1:31" x14ac:dyDescent="0.3">
      <c r="A184">
        <v>5016</v>
      </c>
      <c r="B184">
        <v>900</v>
      </c>
      <c r="C184" t="s">
        <v>437</v>
      </c>
      <c r="D184" t="s">
        <v>788</v>
      </c>
      <c r="E184" t="s">
        <v>787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U184">
        <v>0</v>
      </c>
      <c r="AC184">
        <v>1</v>
      </c>
      <c r="AD184">
        <v>0</v>
      </c>
    </row>
    <row r="185" spans="1:31" x14ac:dyDescent="0.3">
      <c r="A185">
        <v>5017</v>
      </c>
      <c r="B185">
        <v>900</v>
      </c>
      <c r="C185" t="s">
        <v>436</v>
      </c>
      <c r="D185" t="s">
        <v>788</v>
      </c>
      <c r="E185" t="s">
        <v>787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U185">
        <v>0</v>
      </c>
      <c r="AC185">
        <v>1</v>
      </c>
      <c r="AD185">
        <v>0</v>
      </c>
    </row>
    <row r="186" spans="1:31" x14ac:dyDescent="0.3">
      <c r="A186">
        <v>0</v>
      </c>
      <c r="C186" t="s">
        <v>893</v>
      </c>
      <c r="D186" t="s">
        <v>893</v>
      </c>
      <c r="E186" t="s">
        <v>892</v>
      </c>
      <c r="F186">
        <v>0</v>
      </c>
    </row>
    <row r="187" spans="1:31" x14ac:dyDescent="0.3">
      <c r="A187">
        <v>67</v>
      </c>
      <c r="B187">
        <v>200</v>
      </c>
      <c r="C187" t="s">
        <v>644</v>
      </c>
      <c r="D187" t="s">
        <v>68</v>
      </c>
      <c r="E187" t="s">
        <v>68</v>
      </c>
      <c r="F187">
        <v>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1.8</v>
      </c>
      <c r="M187">
        <v>0.3</v>
      </c>
      <c r="N187">
        <v>0</v>
      </c>
      <c r="O187">
        <v>13.1</v>
      </c>
      <c r="P187">
        <v>0.6</v>
      </c>
      <c r="Q187">
        <v>0.6</v>
      </c>
      <c r="R187">
        <v>0.2</v>
      </c>
      <c r="S187">
        <v>0.34</v>
      </c>
      <c r="T187">
        <v>0</v>
      </c>
      <c r="U187">
        <v>0</v>
      </c>
      <c r="V187">
        <v>20</v>
      </c>
      <c r="W187">
        <v>2</v>
      </c>
      <c r="X187">
        <v>0</v>
      </c>
      <c r="Y187">
        <v>0.3</v>
      </c>
      <c r="Z187">
        <v>0</v>
      </c>
      <c r="AA187">
        <v>0</v>
      </c>
      <c r="AB187">
        <v>0</v>
      </c>
      <c r="AC187">
        <v>4.5</v>
      </c>
      <c r="AE187">
        <v>0</v>
      </c>
    </row>
    <row r="188" spans="1:31" x14ac:dyDescent="0.3">
      <c r="A188">
        <v>1200</v>
      </c>
      <c r="B188">
        <v>200</v>
      </c>
      <c r="C188" t="s">
        <v>644</v>
      </c>
      <c r="D188" t="s">
        <v>68</v>
      </c>
      <c r="E188" t="s">
        <v>68</v>
      </c>
      <c r="F188">
        <v>8</v>
      </c>
      <c r="G188">
        <v>0</v>
      </c>
      <c r="H188">
        <v>0</v>
      </c>
      <c r="I188">
        <v>0</v>
      </c>
      <c r="J188">
        <v>11</v>
      </c>
      <c r="K188">
        <v>0</v>
      </c>
      <c r="L188">
        <v>1.8</v>
      </c>
      <c r="M188">
        <v>0.3</v>
      </c>
      <c r="N188">
        <v>0</v>
      </c>
      <c r="O188">
        <v>13.1</v>
      </c>
      <c r="P188">
        <v>0.6</v>
      </c>
      <c r="Q188">
        <v>0.6</v>
      </c>
      <c r="R188">
        <v>0.2</v>
      </c>
      <c r="S188">
        <v>0.34</v>
      </c>
      <c r="T188">
        <v>1</v>
      </c>
      <c r="U188">
        <v>0.6</v>
      </c>
      <c r="V188">
        <v>25</v>
      </c>
      <c r="X188">
        <v>0</v>
      </c>
      <c r="Y188">
        <v>18.3</v>
      </c>
      <c r="Z188">
        <v>0</v>
      </c>
      <c r="AC188">
        <v>4.5</v>
      </c>
      <c r="AD188">
        <v>0</v>
      </c>
      <c r="AE188">
        <v>0</v>
      </c>
    </row>
    <row r="189" spans="1:31" x14ac:dyDescent="0.3">
      <c r="A189">
        <v>2200</v>
      </c>
      <c r="B189">
        <v>200</v>
      </c>
      <c r="C189" t="s">
        <v>644</v>
      </c>
      <c r="D189" t="s">
        <v>68</v>
      </c>
      <c r="E189" t="s">
        <v>68</v>
      </c>
      <c r="F189">
        <v>8</v>
      </c>
      <c r="J189">
        <v>11</v>
      </c>
      <c r="K189">
        <v>0</v>
      </c>
      <c r="L189">
        <v>1.8</v>
      </c>
      <c r="M189">
        <v>0.3</v>
      </c>
      <c r="N189">
        <v>0</v>
      </c>
      <c r="O189">
        <v>13.1</v>
      </c>
      <c r="P189">
        <v>0.6</v>
      </c>
      <c r="Q189">
        <v>0.6</v>
      </c>
      <c r="R189">
        <v>0.2</v>
      </c>
      <c r="S189">
        <v>0.34</v>
      </c>
      <c r="T189">
        <v>1</v>
      </c>
      <c r="U189">
        <v>0.6</v>
      </c>
      <c r="AC189">
        <v>4.5</v>
      </c>
    </row>
    <row r="190" spans="1:31" x14ac:dyDescent="0.3">
      <c r="A190">
        <v>3098</v>
      </c>
      <c r="B190">
        <v>200</v>
      </c>
      <c r="C190" t="s">
        <v>572</v>
      </c>
      <c r="D190" t="s">
        <v>68</v>
      </c>
      <c r="E190" t="s">
        <v>68</v>
      </c>
      <c r="F190">
        <v>8</v>
      </c>
      <c r="J190">
        <v>11</v>
      </c>
      <c r="K190">
        <v>0</v>
      </c>
      <c r="L190">
        <v>1.8</v>
      </c>
      <c r="M190">
        <v>0.3</v>
      </c>
      <c r="O190">
        <v>13.1</v>
      </c>
      <c r="P190">
        <v>0.6</v>
      </c>
      <c r="Q190">
        <v>0</v>
      </c>
      <c r="R190">
        <v>0.2</v>
      </c>
      <c r="S190">
        <v>0.34</v>
      </c>
      <c r="U190">
        <v>0.6</v>
      </c>
      <c r="AC190">
        <v>4.5</v>
      </c>
      <c r="AD190">
        <v>0</v>
      </c>
    </row>
    <row r="191" spans="1:31" x14ac:dyDescent="0.3">
      <c r="A191">
        <v>4057</v>
      </c>
      <c r="B191">
        <v>200</v>
      </c>
      <c r="C191" t="s">
        <v>800</v>
      </c>
      <c r="D191" t="s">
        <v>68</v>
      </c>
      <c r="E191" t="s">
        <v>68</v>
      </c>
      <c r="F191">
        <v>8</v>
      </c>
      <c r="G191">
        <v>0.78</v>
      </c>
      <c r="H191">
        <v>0.67</v>
      </c>
      <c r="I191">
        <v>2.71</v>
      </c>
      <c r="J191">
        <v>2</v>
      </c>
      <c r="K191">
        <v>0</v>
      </c>
      <c r="L191">
        <v>1.2</v>
      </c>
      <c r="M191">
        <v>1</v>
      </c>
      <c r="N191">
        <v>0</v>
      </c>
      <c r="O191">
        <v>4.2</v>
      </c>
      <c r="P191">
        <v>0.67</v>
      </c>
      <c r="Q191">
        <v>0.67</v>
      </c>
      <c r="R191">
        <v>0.25</v>
      </c>
      <c r="S191">
        <v>2</v>
      </c>
      <c r="T191">
        <v>0</v>
      </c>
      <c r="U191">
        <v>0.67</v>
      </c>
      <c r="AC191">
        <v>3.5</v>
      </c>
      <c r="AD191">
        <v>0</v>
      </c>
    </row>
    <row r="192" spans="1:31" x14ac:dyDescent="0.3">
      <c r="A192">
        <v>4200</v>
      </c>
      <c r="B192">
        <v>200</v>
      </c>
      <c r="C192" t="s">
        <v>68</v>
      </c>
      <c r="D192" t="s">
        <v>68</v>
      </c>
      <c r="E192" t="s">
        <v>68</v>
      </c>
      <c r="F192">
        <v>8</v>
      </c>
    </row>
    <row r="193" spans="1:31" x14ac:dyDescent="0.3">
      <c r="A193">
        <v>5012</v>
      </c>
      <c r="B193">
        <v>200</v>
      </c>
      <c r="C193" t="s">
        <v>441</v>
      </c>
      <c r="D193" t="s">
        <v>68</v>
      </c>
      <c r="E193" t="s">
        <v>68</v>
      </c>
      <c r="F193">
        <v>8</v>
      </c>
      <c r="G193">
        <v>2.2000000000000002</v>
      </c>
      <c r="H193">
        <v>1.89</v>
      </c>
      <c r="I193">
        <v>0</v>
      </c>
      <c r="J193">
        <v>6.6</v>
      </c>
      <c r="K193">
        <v>0</v>
      </c>
      <c r="L193">
        <v>0</v>
      </c>
      <c r="M193">
        <v>3.3</v>
      </c>
      <c r="N193">
        <v>0</v>
      </c>
      <c r="O193">
        <v>9.9</v>
      </c>
      <c r="P193">
        <v>0.05</v>
      </c>
      <c r="Q193">
        <v>0.05</v>
      </c>
      <c r="R193">
        <v>0</v>
      </c>
      <c r="S193">
        <v>0.15</v>
      </c>
      <c r="U193">
        <v>0.05</v>
      </c>
      <c r="AC193">
        <v>5</v>
      </c>
      <c r="AD193">
        <v>0</v>
      </c>
    </row>
    <row r="194" spans="1:31" x14ac:dyDescent="0.3">
      <c r="A194">
        <v>49</v>
      </c>
      <c r="B194">
        <v>450</v>
      </c>
      <c r="C194" t="s">
        <v>635</v>
      </c>
      <c r="D194" t="s">
        <v>250</v>
      </c>
      <c r="E194" t="s">
        <v>100</v>
      </c>
      <c r="F194">
        <v>3</v>
      </c>
      <c r="G194">
        <v>2.8</v>
      </c>
      <c r="H194">
        <v>2.4</v>
      </c>
      <c r="I194">
        <v>2</v>
      </c>
      <c r="J194">
        <v>0</v>
      </c>
      <c r="K194">
        <v>0</v>
      </c>
      <c r="L194">
        <v>0.4</v>
      </c>
      <c r="M194">
        <v>5</v>
      </c>
      <c r="N194">
        <v>0</v>
      </c>
      <c r="O194">
        <v>14.5</v>
      </c>
      <c r="P194">
        <v>0.1</v>
      </c>
      <c r="Q194">
        <v>0.1</v>
      </c>
      <c r="R194">
        <v>0.7</v>
      </c>
      <c r="S194">
        <v>0.15</v>
      </c>
      <c r="T194">
        <v>0</v>
      </c>
      <c r="U194">
        <v>0</v>
      </c>
      <c r="V194">
        <v>20</v>
      </c>
      <c r="W194">
        <v>2</v>
      </c>
      <c r="X194">
        <v>6</v>
      </c>
      <c r="Y194">
        <v>0.3</v>
      </c>
      <c r="Z194">
        <v>19</v>
      </c>
      <c r="AA194">
        <v>0.64</v>
      </c>
      <c r="AB194">
        <v>0</v>
      </c>
      <c r="AC194">
        <v>1.5</v>
      </c>
      <c r="AD194">
        <v>1</v>
      </c>
      <c r="AE194">
        <v>0</v>
      </c>
    </row>
    <row r="195" spans="1:31" x14ac:dyDescent="0.3">
      <c r="A195">
        <v>3026</v>
      </c>
      <c r="B195">
        <v>450</v>
      </c>
      <c r="C195" t="s">
        <v>605</v>
      </c>
      <c r="D195" t="s">
        <v>353</v>
      </c>
      <c r="E195" t="s">
        <v>100</v>
      </c>
      <c r="F195">
        <v>3</v>
      </c>
      <c r="J195">
        <v>9.1</v>
      </c>
      <c r="K195">
        <v>0</v>
      </c>
      <c r="L195">
        <v>0.4</v>
      </c>
      <c r="M195">
        <v>0.8</v>
      </c>
      <c r="O195">
        <v>10.3</v>
      </c>
      <c r="P195">
        <v>0.1</v>
      </c>
      <c r="Q195">
        <v>0</v>
      </c>
      <c r="R195">
        <v>0.7</v>
      </c>
      <c r="S195">
        <v>0.05</v>
      </c>
      <c r="U195">
        <v>0.1</v>
      </c>
      <c r="X195">
        <v>6</v>
      </c>
      <c r="Z195">
        <v>25</v>
      </c>
      <c r="AA195">
        <v>0.5</v>
      </c>
      <c r="AC195">
        <v>1.5</v>
      </c>
      <c r="AD195">
        <v>0</v>
      </c>
      <c r="AE195">
        <v>1</v>
      </c>
    </row>
    <row r="196" spans="1:31" x14ac:dyDescent="0.3">
      <c r="A196">
        <v>3050</v>
      </c>
      <c r="B196">
        <v>450</v>
      </c>
      <c r="C196" t="s">
        <v>587</v>
      </c>
      <c r="D196" t="s">
        <v>353</v>
      </c>
      <c r="E196" t="s">
        <v>100</v>
      </c>
      <c r="F196">
        <v>3</v>
      </c>
      <c r="J196">
        <v>9.1</v>
      </c>
      <c r="K196">
        <v>0</v>
      </c>
      <c r="L196">
        <v>0.4</v>
      </c>
      <c r="M196">
        <v>5</v>
      </c>
      <c r="O196">
        <v>14.5</v>
      </c>
      <c r="P196">
        <v>0.1</v>
      </c>
      <c r="Q196">
        <v>0</v>
      </c>
      <c r="R196">
        <v>0.7</v>
      </c>
      <c r="S196">
        <v>0.15</v>
      </c>
      <c r="U196">
        <v>0.1</v>
      </c>
      <c r="X196">
        <v>6</v>
      </c>
      <c r="Z196">
        <v>25</v>
      </c>
      <c r="AA196">
        <v>0.5</v>
      </c>
      <c r="AC196">
        <v>1.5</v>
      </c>
      <c r="AD196">
        <v>1</v>
      </c>
      <c r="AE196">
        <v>1</v>
      </c>
    </row>
    <row r="197" spans="1:31" x14ac:dyDescent="0.3">
      <c r="A197">
        <v>4052</v>
      </c>
      <c r="B197">
        <v>400</v>
      </c>
      <c r="C197" t="s">
        <v>802</v>
      </c>
      <c r="D197" t="s">
        <v>100</v>
      </c>
      <c r="E197" t="s">
        <v>100</v>
      </c>
      <c r="F197">
        <v>3</v>
      </c>
      <c r="G197">
        <v>1.08</v>
      </c>
      <c r="H197">
        <v>0.93</v>
      </c>
      <c r="I197">
        <v>2.82</v>
      </c>
      <c r="J197">
        <v>0.6</v>
      </c>
      <c r="K197">
        <v>1.3</v>
      </c>
      <c r="L197">
        <v>0.5</v>
      </c>
      <c r="M197">
        <v>0</v>
      </c>
      <c r="N197">
        <v>0</v>
      </c>
      <c r="O197">
        <v>2.4</v>
      </c>
      <c r="P197">
        <v>0.25</v>
      </c>
      <c r="Q197">
        <v>0.25</v>
      </c>
      <c r="R197">
        <v>0.25</v>
      </c>
      <c r="S197">
        <v>0</v>
      </c>
      <c r="T197">
        <v>0</v>
      </c>
      <c r="U197">
        <v>0.25</v>
      </c>
      <c r="AA197">
        <v>1</v>
      </c>
      <c r="AC197">
        <v>1.5</v>
      </c>
      <c r="AD197">
        <v>0</v>
      </c>
      <c r="AE197">
        <v>1</v>
      </c>
    </row>
    <row r="198" spans="1:31" x14ac:dyDescent="0.3">
      <c r="A198">
        <v>4133</v>
      </c>
      <c r="B198">
        <v>400</v>
      </c>
      <c r="C198" t="s">
        <v>793</v>
      </c>
      <c r="D198" t="s">
        <v>100</v>
      </c>
      <c r="E198" t="s">
        <v>100</v>
      </c>
      <c r="F198">
        <v>3</v>
      </c>
      <c r="AA198">
        <v>1</v>
      </c>
      <c r="AE198">
        <v>1</v>
      </c>
    </row>
    <row r="199" spans="1:31" x14ac:dyDescent="0.3">
      <c r="A199">
        <v>5026</v>
      </c>
      <c r="B199">
        <v>400</v>
      </c>
      <c r="C199" t="s">
        <v>427</v>
      </c>
      <c r="D199" t="s">
        <v>100</v>
      </c>
      <c r="E199" t="s">
        <v>100</v>
      </c>
      <c r="F199">
        <v>3</v>
      </c>
      <c r="G199">
        <v>2.95</v>
      </c>
      <c r="H199">
        <v>2.5299999999999998</v>
      </c>
      <c r="I199">
        <v>0</v>
      </c>
      <c r="J199">
        <v>10.9</v>
      </c>
      <c r="K199">
        <v>0</v>
      </c>
      <c r="L199">
        <v>0</v>
      </c>
      <c r="M199">
        <v>0</v>
      </c>
      <c r="N199">
        <v>0</v>
      </c>
      <c r="O199">
        <v>10.9</v>
      </c>
      <c r="P199">
        <v>0.1</v>
      </c>
      <c r="Q199">
        <v>0.1</v>
      </c>
      <c r="R199">
        <v>0</v>
      </c>
      <c r="S199">
        <v>0</v>
      </c>
      <c r="U199">
        <v>0.1</v>
      </c>
      <c r="AA199">
        <v>1</v>
      </c>
      <c r="AC199">
        <v>2</v>
      </c>
      <c r="AD199">
        <v>0</v>
      </c>
      <c r="AE199">
        <v>1</v>
      </c>
    </row>
    <row r="200" spans="1:31" x14ac:dyDescent="0.3">
      <c r="A200">
        <v>5027</v>
      </c>
      <c r="B200">
        <v>450</v>
      </c>
      <c r="C200" t="s">
        <v>426</v>
      </c>
      <c r="D200" t="s">
        <v>353</v>
      </c>
      <c r="E200" t="s">
        <v>100</v>
      </c>
      <c r="F200">
        <v>3</v>
      </c>
      <c r="G200">
        <v>2.7</v>
      </c>
      <c r="H200">
        <v>2.31</v>
      </c>
      <c r="I200">
        <v>3.99</v>
      </c>
      <c r="J200">
        <v>8.6999999999999993</v>
      </c>
      <c r="K200">
        <v>0</v>
      </c>
      <c r="L200">
        <v>6</v>
      </c>
      <c r="M200">
        <v>1.8</v>
      </c>
      <c r="N200">
        <v>0</v>
      </c>
      <c r="O200">
        <v>16.5</v>
      </c>
      <c r="P200">
        <v>0.1</v>
      </c>
      <c r="Q200">
        <v>0.1</v>
      </c>
      <c r="R200">
        <v>0.05</v>
      </c>
      <c r="S200">
        <v>0.2</v>
      </c>
      <c r="U200">
        <v>0.1</v>
      </c>
      <c r="AA200">
        <v>0.3</v>
      </c>
      <c r="AC200">
        <v>2.7</v>
      </c>
      <c r="AD200">
        <v>0</v>
      </c>
      <c r="AE200">
        <v>1</v>
      </c>
    </row>
    <row r="201" spans="1:31" x14ac:dyDescent="0.3">
      <c r="A201">
        <v>36</v>
      </c>
      <c r="B201">
        <v>300</v>
      </c>
      <c r="C201" t="s">
        <v>859</v>
      </c>
      <c r="D201" t="s">
        <v>91</v>
      </c>
      <c r="E201" t="s">
        <v>91</v>
      </c>
      <c r="F201">
        <v>2</v>
      </c>
      <c r="G201">
        <v>3</v>
      </c>
      <c r="H201">
        <v>2.6</v>
      </c>
      <c r="I201">
        <v>2.2000000000000002</v>
      </c>
      <c r="J201">
        <v>8</v>
      </c>
      <c r="K201">
        <v>2</v>
      </c>
      <c r="L201">
        <v>0.5</v>
      </c>
      <c r="M201">
        <v>1.71</v>
      </c>
      <c r="N201">
        <v>4.5</v>
      </c>
      <c r="O201">
        <v>16.71</v>
      </c>
      <c r="P201">
        <v>0.4</v>
      </c>
      <c r="Q201">
        <v>0.4</v>
      </c>
      <c r="R201">
        <v>0.2</v>
      </c>
      <c r="S201">
        <v>0.1</v>
      </c>
      <c r="T201">
        <v>0</v>
      </c>
      <c r="U201">
        <v>0</v>
      </c>
      <c r="V201">
        <v>20</v>
      </c>
      <c r="W201">
        <v>2</v>
      </c>
      <c r="X201">
        <v>30</v>
      </c>
      <c r="Y201">
        <v>0.3</v>
      </c>
      <c r="Z201">
        <v>38</v>
      </c>
      <c r="AA201">
        <v>0.28000000000000003</v>
      </c>
      <c r="AB201">
        <v>0</v>
      </c>
      <c r="AC201">
        <v>2.5</v>
      </c>
      <c r="AD201">
        <v>1</v>
      </c>
      <c r="AE201">
        <v>0</v>
      </c>
    </row>
    <row r="202" spans="1:31" x14ac:dyDescent="0.3">
      <c r="A202">
        <v>37</v>
      </c>
      <c r="B202">
        <v>300</v>
      </c>
      <c r="C202" t="s">
        <v>858</v>
      </c>
      <c r="D202" t="s">
        <v>91</v>
      </c>
      <c r="E202" t="s">
        <v>91</v>
      </c>
      <c r="F202">
        <v>2</v>
      </c>
      <c r="G202">
        <v>3</v>
      </c>
      <c r="H202">
        <v>2.6</v>
      </c>
      <c r="I202">
        <v>2.2000000000000002</v>
      </c>
      <c r="J202">
        <v>8</v>
      </c>
      <c r="K202">
        <v>2</v>
      </c>
      <c r="L202">
        <v>0.5</v>
      </c>
      <c r="M202">
        <v>3.3</v>
      </c>
      <c r="N202">
        <v>4.5</v>
      </c>
      <c r="O202">
        <v>18.3</v>
      </c>
      <c r="P202">
        <v>0.4</v>
      </c>
      <c r="Q202">
        <v>0.4</v>
      </c>
      <c r="R202">
        <v>0.2</v>
      </c>
      <c r="S202">
        <v>0.1</v>
      </c>
      <c r="T202">
        <v>0</v>
      </c>
      <c r="U202">
        <v>0</v>
      </c>
      <c r="V202">
        <v>20</v>
      </c>
      <c r="W202">
        <v>2</v>
      </c>
      <c r="X202">
        <v>25</v>
      </c>
      <c r="Y202">
        <v>0.3</v>
      </c>
      <c r="Z202">
        <v>46</v>
      </c>
      <c r="AA202">
        <v>0.28000000000000003</v>
      </c>
      <c r="AB202">
        <v>0</v>
      </c>
      <c r="AC202">
        <v>2.5</v>
      </c>
      <c r="AD202">
        <v>1</v>
      </c>
      <c r="AE202">
        <v>0</v>
      </c>
    </row>
    <row r="203" spans="1:31" x14ac:dyDescent="0.3">
      <c r="A203">
        <v>38</v>
      </c>
      <c r="B203">
        <v>300</v>
      </c>
      <c r="C203" t="s">
        <v>857</v>
      </c>
      <c r="D203" t="s">
        <v>91</v>
      </c>
      <c r="E203" t="s">
        <v>91</v>
      </c>
      <c r="F203">
        <v>2</v>
      </c>
      <c r="G203">
        <v>3</v>
      </c>
      <c r="H203">
        <v>2.6</v>
      </c>
      <c r="I203">
        <v>2.2000000000000002</v>
      </c>
      <c r="J203">
        <v>8</v>
      </c>
      <c r="K203">
        <v>2</v>
      </c>
      <c r="L203">
        <v>0.5</v>
      </c>
      <c r="M203">
        <v>2.11</v>
      </c>
      <c r="N203">
        <v>4.5</v>
      </c>
      <c r="O203">
        <v>17.11</v>
      </c>
      <c r="P203">
        <v>0.4</v>
      </c>
      <c r="Q203">
        <v>0.4</v>
      </c>
      <c r="R203">
        <v>0.2</v>
      </c>
      <c r="S203">
        <v>0.1</v>
      </c>
      <c r="T203">
        <v>0</v>
      </c>
      <c r="U203">
        <v>0</v>
      </c>
      <c r="V203">
        <v>20</v>
      </c>
      <c r="W203">
        <v>2</v>
      </c>
      <c r="X203">
        <v>30</v>
      </c>
      <c r="Y203">
        <v>0.3</v>
      </c>
      <c r="Z203">
        <v>42</v>
      </c>
      <c r="AA203">
        <v>0.28000000000000003</v>
      </c>
      <c r="AB203">
        <v>0</v>
      </c>
      <c r="AC203">
        <v>2.5</v>
      </c>
      <c r="AD203">
        <v>1</v>
      </c>
      <c r="AE203">
        <v>0</v>
      </c>
    </row>
    <row r="204" spans="1:31" x14ac:dyDescent="0.3">
      <c r="A204">
        <v>40</v>
      </c>
      <c r="B204">
        <v>300</v>
      </c>
      <c r="C204" t="s">
        <v>856</v>
      </c>
      <c r="D204" t="s">
        <v>91</v>
      </c>
      <c r="E204" t="s">
        <v>91</v>
      </c>
      <c r="F204">
        <v>2</v>
      </c>
      <c r="G204">
        <v>3</v>
      </c>
      <c r="H204">
        <v>2.6</v>
      </c>
      <c r="I204">
        <v>2.2000000000000002</v>
      </c>
      <c r="J204">
        <v>8</v>
      </c>
      <c r="K204">
        <v>2</v>
      </c>
      <c r="L204">
        <v>0.5</v>
      </c>
      <c r="M204">
        <v>1.4</v>
      </c>
      <c r="N204">
        <v>4.5</v>
      </c>
      <c r="O204">
        <v>16.399999999999999</v>
      </c>
      <c r="P204">
        <v>0.4</v>
      </c>
      <c r="Q204">
        <v>0.4</v>
      </c>
      <c r="R204">
        <v>0.2</v>
      </c>
      <c r="S204">
        <v>0.1</v>
      </c>
      <c r="T204">
        <v>0</v>
      </c>
      <c r="U204">
        <v>0</v>
      </c>
      <c r="V204">
        <v>20</v>
      </c>
      <c r="W204">
        <v>2</v>
      </c>
      <c r="X204">
        <v>20</v>
      </c>
      <c r="Y204">
        <v>0.3</v>
      </c>
      <c r="Z204">
        <v>32</v>
      </c>
      <c r="AA204">
        <v>0.28000000000000003</v>
      </c>
      <c r="AB204">
        <v>0</v>
      </c>
      <c r="AC204">
        <v>2.5</v>
      </c>
      <c r="AD204">
        <v>0</v>
      </c>
      <c r="AE204">
        <v>0</v>
      </c>
    </row>
    <row r="205" spans="1:31" x14ac:dyDescent="0.3">
      <c r="A205">
        <v>41</v>
      </c>
      <c r="B205">
        <v>300</v>
      </c>
      <c r="C205" t="s">
        <v>855</v>
      </c>
      <c r="D205" t="s">
        <v>91</v>
      </c>
      <c r="E205" t="s">
        <v>91</v>
      </c>
      <c r="F205">
        <v>2</v>
      </c>
      <c r="G205">
        <v>3</v>
      </c>
      <c r="H205">
        <v>2.6</v>
      </c>
      <c r="I205">
        <v>2.2000000000000002</v>
      </c>
      <c r="J205">
        <v>8</v>
      </c>
      <c r="K205">
        <v>2</v>
      </c>
      <c r="L205">
        <v>0.5</v>
      </c>
      <c r="M205">
        <v>2</v>
      </c>
      <c r="N205">
        <v>4.5</v>
      </c>
      <c r="O205">
        <v>17</v>
      </c>
      <c r="P205">
        <v>0.4</v>
      </c>
      <c r="Q205">
        <v>0.4</v>
      </c>
      <c r="R205">
        <v>0.2</v>
      </c>
      <c r="S205">
        <v>0.1</v>
      </c>
      <c r="T205">
        <v>0</v>
      </c>
      <c r="U205">
        <v>0</v>
      </c>
      <c r="V205">
        <v>20</v>
      </c>
      <c r="W205">
        <v>2</v>
      </c>
      <c r="X205">
        <v>25</v>
      </c>
      <c r="Y205">
        <v>0.3</v>
      </c>
      <c r="Z205">
        <v>20</v>
      </c>
      <c r="AA205">
        <v>0.28000000000000003</v>
      </c>
      <c r="AB205">
        <v>0</v>
      </c>
      <c r="AC205">
        <v>2.5</v>
      </c>
      <c r="AD205">
        <v>0</v>
      </c>
      <c r="AE205">
        <v>0</v>
      </c>
    </row>
    <row r="206" spans="1:31" x14ac:dyDescent="0.3">
      <c r="A206">
        <v>47</v>
      </c>
      <c r="B206">
        <v>300</v>
      </c>
      <c r="C206" t="s">
        <v>642</v>
      </c>
      <c r="D206" t="s">
        <v>91</v>
      </c>
      <c r="E206" t="s">
        <v>91</v>
      </c>
      <c r="F206">
        <v>2</v>
      </c>
      <c r="G206">
        <v>3</v>
      </c>
      <c r="H206">
        <v>2.6</v>
      </c>
      <c r="I206">
        <v>2</v>
      </c>
      <c r="J206">
        <v>0</v>
      </c>
      <c r="K206">
        <v>0</v>
      </c>
      <c r="L206">
        <v>0.4</v>
      </c>
      <c r="M206">
        <v>0.3</v>
      </c>
      <c r="N206">
        <v>0</v>
      </c>
      <c r="O206">
        <v>10.8</v>
      </c>
      <c r="P206">
        <v>0.6</v>
      </c>
      <c r="Q206">
        <v>0.6</v>
      </c>
      <c r="R206">
        <v>0.2</v>
      </c>
      <c r="S206">
        <v>0.2</v>
      </c>
      <c r="T206">
        <v>0</v>
      </c>
      <c r="U206">
        <v>0</v>
      </c>
      <c r="V206">
        <v>20</v>
      </c>
      <c r="W206">
        <v>2</v>
      </c>
      <c r="X206">
        <v>20</v>
      </c>
      <c r="Y206">
        <v>0.3</v>
      </c>
      <c r="Z206">
        <v>9</v>
      </c>
      <c r="AA206">
        <v>0.38</v>
      </c>
      <c r="AB206">
        <v>0</v>
      </c>
      <c r="AC206">
        <v>2</v>
      </c>
      <c r="AD206">
        <v>0</v>
      </c>
      <c r="AE206">
        <v>0</v>
      </c>
    </row>
    <row r="207" spans="1:31" x14ac:dyDescent="0.3">
      <c r="A207">
        <v>48</v>
      </c>
      <c r="B207">
        <v>310</v>
      </c>
      <c r="C207" t="s">
        <v>638</v>
      </c>
      <c r="D207" t="s">
        <v>850</v>
      </c>
      <c r="E207" t="s">
        <v>91</v>
      </c>
      <c r="F207">
        <v>2</v>
      </c>
      <c r="G207">
        <v>2</v>
      </c>
      <c r="H207">
        <v>1.7</v>
      </c>
      <c r="I207">
        <v>1</v>
      </c>
      <c r="J207">
        <v>0</v>
      </c>
      <c r="K207">
        <v>0</v>
      </c>
      <c r="L207">
        <v>0.1</v>
      </c>
      <c r="M207">
        <v>0.8</v>
      </c>
      <c r="N207">
        <v>0</v>
      </c>
      <c r="O207">
        <v>6.7</v>
      </c>
      <c r="P207">
        <v>0.3</v>
      </c>
      <c r="Q207">
        <v>0.3</v>
      </c>
      <c r="R207">
        <v>0.25</v>
      </c>
      <c r="S207">
        <v>0.05</v>
      </c>
      <c r="T207">
        <v>0</v>
      </c>
      <c r="U207">
        <v>0</v>
      </c>
      <c r="V207">
        <v>20</v>
      </c>
      <c r="W207">
        <v>2</v>
      </c>
      <c r="X207">
        <v>30</v>
      </c>
      <c r="Y207">
        <v>0.3</v>
      </c>
      <c r="Z207">
        <v>26</v>
      </c>
      <c r="AA207">
        <v>0.28000000000000003</v>
      </c>
      <c r="AB207">
        <v>0</v>
      </c>
      <c r="AC207">
        <v>2.5</v>
      </c>
      <c r="AD207">
        <v>0</v>
      </c>
      <c r="AE207">
        <v>0</v>
      </c>
    </row>
    <row r="208" spans="1:31" x14ac:dyDescent="0.3">
      <c r="A208">
        <v>51</v>
      </c>
      <c r="B208">
        <v>310</v>
      </c>
      <c r="C208" t="s">
        <v>852</v>
      </c>
      <c r="D208" t="s">
        <v>850</v>
      </c>
      <c r="E208" t="s">
        <v>91</v>
      </c>
      <c r="F208">
        <v>2</v>
      </c>
      <c r="G208">
        <v>2.7</v>
      </c>
      <c r="H208">
        <v>2.2999999999999998</v>
      </c>
      <c r="I208">
        <v>2</v>
      </c>
      <c r="J208">
        <v>0</v>
      </c>
      <c r="K208">
        <v>0</v>
      </c>
      <c r="L208">
        <v>0.4</v>
      </c>
      <c r="M208">
        <v>0</v>
      </c>
      <c r="N208">
        <v>0</v>
      </c>
      <c r="O208">
        <v>9.1</v>
      </c>
      <c r="P208">
        <v>0.35</v>
      </c>
      <c r="Q208">
        <v>0.35</v>
      </c>
      <c r="R208">
        <v>0.35</v>
      </c>
      <c r="S208">
        <v>0</v>
      </c>
      <c r="T208">
        <v>0</v>
      </c>
      <c r="U208">
        <v>0</v>
      </c>
      <c r="V208">
        <v>20</v>
      </c>
      <c r="W208">
        <v>2</v>
      </c>
      <c r="X208">
        <v>15</v>
      </c>
      <c r="Y208">
        <v>0.3</v>
      </c>
      <c r="Z208">
        <v>6</v>
      </c>
      <c r="AA208">
        <v>0.38</v>
      </c>
      <c r="AB208">
        <v>0</v>
      </c>
      <c r="AC208">
        <v>2</v>
      </c>
      <c r="AD208">
        <v>0</v>
      </c>
      <c r="AE208">
        <v>0</v>
      </c>
    </row>
    <row r="209" spans="1:31" x14ac:dyDescent="0.3">
      <c r="A209">
        <v>53</v>
      </c>
      <c r="B209">
        <v>310</v>
      </c>
      <c r="C209" t="s">
        <v>637</v>
      </c>
      <c r="D209" t="s">
        <v>850</v>
      </c>
      <c r="E209" t="s">
        <v>91</v>
      </c>
      <c r="F209">
        <v>2</v>
      </c>
      <c r="G209">
        <v>2</v>
      </c>
      <c r="H209">
        <v>1.7</v>
      </c>
      <c r="I209">
        <v>2</v>
      </c>
      <c r="J209">
        <v>0</v>
      </c>
      <c r="K209">
        <v>0</v>
      </c>
      <c r="L209">
        <v>0.4</v>
      </c>
      <c r="M209">
        <v>0</v>
      </c>
      <c r="N209">
        <v>0</v>
      </c>
      <c r="O209">
        <v>6.2</v>
      </c>
      <c r="P209">
        <v>0.25</v>
      </c>
      <c r="Q209">
        <v>0.25</v>
      </c>
      <c r="R209">
        <v>0.2</v>
      </c>
      <c r="S209">
        <v>0</v>
      </c>
      <c r="T209">
        <v>0</v>
      </c>
      <c r="U209">
        <v>0</v>
      </c>
      <c r="V209">
        <v>20</v>
      </c>
      <c r="W209">
        <v>2</v>
      </c>
      <c r="X209">
        <v>0</v>
      </c>
      <c r="Y209">
        <v>0.3</v>
      </c>
      <c r="Z209">
        <v>2</v>
      </c>
      <c r="AA209">
        <v>0.64</v>
      </c>
      <c r="AB209">
        <v>0</v>
      </c>
      <c r="AC209">
        <v>1.5</v>
      </c>
      <c r="AE209">
        <v>0</v>
      </c>
    </row>
    <row r="210" spans="1:31" x14ac:dyDescent="0.3">
      <c r="A210">
        <v>64</v>
      </c>
      <c r="B210">
        <v>350</v>
      </c>
      <c r="C210" t="s">
        <v>573</v>
      </c>
      <c r="D210" t="s">
        <v>266</v>
      </c>
      <c r="E210" t="s">
        <v>91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2.9</v>
      </c>
      <c r="P210">
        <v>0.8</v>
      </c>
      <c r="Q210">
        <v>0.8</v>
      </c>
      <c r="R210">
        <v>0</v>
      </c>
      <c r="S210">
        <v>0</v>
      </c>
      <c r="T210">
        <v>0</v>
      </c>
      <c r="U210">
        <v>0</v>
      </c>
      <c r="V210">
        <v>20</v>
      </c>
      <c r="W210">
        <v>2</v>
      </c>
      <c r="X210">
        <v>0</v>
      </c>
      <c r="Y210">
        <v>0.3</v>
      </c>
      <c r="Z210">
        <v>0</v>
      </c>
      <c r="AA210">
        <v>0.64</v>
      </c>
      <c r="AB210">
        <v>0</v>
      </c>
      <c r="AC210">
        <v>1.5</v>
      </c>
      <c r="AE210">
        <v>0</v>
      </c>
    </row>
    <row r="211" spans="1:31" x14ac:dyDescent="0.3">
      <c r="A211">
        <v>65</v>
      </c>
      <c r="B211">
        <v>360</v>
      </c>
      <c r="C211" t="s">
        <v>847</v>
      </c>
      <c r="D211" t="s">
        <v>265</v>
      </c>
      <c r="E211" t="s">
        <v>91</v>
      </c>
      <c r="F211">
        <v>2</v>
      </c>
      <c r="G211">
        <v>3</v>
      </c>
      <c r="H211">
        <v>2.6</v>
      </c>
      <c r="I211">
        <v>2.2000000000000002</v>
      </c>
      <c r="J211">
        <v>0</v>
      </c>
      <c r="K211">
        <v>0</v>
      </c>
      <c r="L211">
        <v>0.5</v>
      </c>
      <c r="M211">
        <v>1.8</v>
      </c>
      <c r="N211">
        <v>4.5</v>
      </c>
      <c r="O211">
        <v>16.8</v>
      </c>
      <c r="P211">
        <v>0.4</v>
      </c>
      <c r="Q211">
        <v>0.4</v>
      </c>
      <c r="R211">
        <v>0.2</v>
      </c>
      <c r="S211">
        <v>0.1</v>
      </c>
      <c r="T211">
        <v>0</v>
      </c>
      <c r="U211">
        <v>0</v>
      </c>
      <c r="V211">
        <v>20</v>
      </c>
      <c r="W211">
        <v>2</v>
      </c>
      <c r="X211">
        <v>0</v>
      </c>
      <c r="Y211">
        <v>0.3</v>
      </c>
      <c r="Z211">
        <v>20</v>
      </c>
      <c r="AA211">
        <v>0.28000000000000003</v>
      </c>
      <c r="AB211">
        <v>0</v>
      </c>
      <c r="AC211">
        <v>2.5</v>
      </c>
      <c r="AD211">
        <v>1</v>
      </c>
      <c r="AE211">
        <v>0</v>
      </c>
    </row>
    <row r="212" spans="1:31" x14ac:dyDescent="0.3">
      <c r="A212">
        <v>70</v>
      </c>
      <c r="B212">
        <v>370</v>
      </c>
      <c r="C212" t="s">
        <v>845</v>
      </c>
      <c r="D212" t="s">
        <v>263</v>
      </c>
      <c r="E212" t="s">
        <v>91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1.5</v>
      </c>
      <c r="O212">
        <v>3.1</v>
      </c>
      <c r="P212">
        <v>1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20</v>
      </c>
      <c r="W212">
        <v>2</v>
      </c>
      <c r="X212">
        <v>0</v>
      </c>
      <c r="Y212">
        <v>0.3</v>
      </c>
      <c r="Z212">
        <v>20</v>
      </c>
      <c r="AA212">
        <v>0.28000000000000003</v>
      </c>
      <c r="AB212">
        <v>0</v>
      </c>
      <c r="AC212">
        <v>2.5</v>
      </c>
      <c r="AD212">
        <v>1</v>
      </c>
      <c r="AE212">
        <v>0</v>
      </c>
    </row>
    <row r="213" spans="1:31" x14ac:dyDescent="0.3">
      <c r="A213">
        <v>71</v>
      </c>
      <c r="B213">
        <v>370</v>
      </c>
      <c r="C213" t="s">
        <v>844</v>
      </c>
      <c r="D213" t="s">
        <v>263</v>
      </c>
      <c r="E213" t="s">
        <v>91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3.5</v>
      </c>
      <c r="O213">
        <v>5.5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20</v>
      </c>
      <c r="W213">
        <v>2</v>
      </c>
      <c r="X213">
        <v>0</v>
      </c>
      <c r="Y213">
        <v>0.3</v>
      </c>
      <c r="Z213">
        <v>20</v>
      </c>
      <c r="AA213">
        <v>0.28000000000000003</v>
      </c>
      <c r="AB213">
        <v>0</v>
      </c>
      <c r="AC213">
        <v>2.5</v>
      </c>
      <c r="AD213">
        <v>1</v>
      </c>
      <c r="AE213">
        <v>0</v>
      </c>
    </row>
    <row r="214" spans="1:31" x14ac:dyDescent="0.3">
      <c r="A214">
        <v>76</v>
      </c>
      <c r="B214">
        <v>300</v>
      </c>
      <c r="C214" t="s">
        <v>639</v>
      </c>
      <c r="D214" t="s">
        <v>91</v>
      </c>
      <c r="E214" t="s">
        <v>91</v>
      </c>
      <c r="F214">
        <v>2</v>
      </c>
      <c r="G214">
        <v>2.4</v>
      </c>
      <c r="H214">
        <v>2.1</v>
      </c>
      <c r="I214">
        <v>2.5</v>
      </c>
      <c r="J214">
        <v>0</v>
      </c>
      <c r="K214">
        <v>0</v>
      </c>
      <c r="L214">
        <v>0.8</v>
      </c>
      <c r="M214">
        <v>2.4</v>
      </c>
      <c r="N214">
        <v>4.5</v>
      </c>
      <c r="O214">
        <v>15.1</v>
      </c>
      <c r="P214">
        <v>0.25</v>
      </c>
      <c r="Q214">
        <v>0.25</v>
      </c>
      <c r="R214">
        <v>0.2</v>
      </c>
      <c r="S214">
        <v>0.2</v>
      </c>
      <c r="T214">
        <v>0</v>
      </c>
      <c r="U214">
        <v>0</v>
      </c>
      <c r="V214">
        <v>20</v>
      </c>
      <c r="W214">
        <v>2</v>
      </c>
      <c r="X214">
        <v>40</v>
      </c>
      <c r="Y214">
        <v>0.3</v>
      </c>
      <c r="Z214">
        <v>21</v>
      </c>
      <c r="AA214">
        <v>0.28000000000000003</v>
      </c>
      <c r="AB214">
        <v>0</v>
      </c>
      <c r="AC214">
        <v>2.5</v>
      </c>
      <c r="AD214">
        <v>0</v>
      </c>
      <c r="AE214">
        <v>0</v>
      </c>
    </row>
    <row r="215" spans="1:31" x14ac:dyDescent="0.3">
      <c r="A215">
        <v>1303</v>
      </c>
      <c r="B215">
        <v>300</v>
      </c>
      <c r="C215" t="s">
        <v>640</v>
      </c>
      <c r="D215" t="s">
        <v>91</v>
      </c>
      <c r="E215" t="s">
        <v>91</v>
      </c>
      <c r="F215">
        <v>2</v>
      </c>
      <c r="G215">
        <v>3</v>
      </c>
      <c r="H215">
        <v>2.6</v>
      </c>
      <c r="I215">
        <v>2.2000000000000002</v>
      </c>
      <c r="J215">
        <v>8</v>
      </c>
      <c r="K215">
        <v>2</v>
      </c>
      <c r="L215">
        <v>0.5</v>
      </c>
      <c r="M215">
        <v>3.3</v>
      </c>
      <c r="N215">
        <v>4.5</v>
      </c>
      <c r="O215">
        <v>18.3</v>
      </c>
      <c r="P215">
        <v>0.4</v>
      </c>
      <c r="Q215">
        <v>0.4</v>
      </c>
      <c r="R215">
        <v>0.2</v>
      </c>
      <c r="S215">
        <v>0.1</v>
      </c>
      <c r="T215">
        <v>1</v>
      </c>
      <c r="U215">
        <v>0.4</v>
      </c>
      <c r="V215">
        <v>25</v>
      </c>
      <c r="X215">
        <v>25</v>
      </c>
      <c r="Y215">
        <v>21.3</v>
      </c>
      <c r="Z215">
        <v>46</v>
      </c>
      <c r="AA215">
        <v>0.28000000000000003</v>
      </c>
      <c r="AC215">
        <v>2.5</v>
      </c>
      <c r="AD215">
        <v>1</v>
      </c>
      <c r="AE215">
        <v>0</v>
      </c>
    </row>
    <row r="216" spans="1:31" x14ac:dyDescent="0.3">
      <c r="A216">
        <v>1350</v>
      </c>
      <c r="B216">
        <v>350</v>
      </c>
      <c r="C216" t="s">
        <v>573</v>
      </c>
      <c r="D216" t="s">
        <v>267</v>
      </c>
      <c r="E216" t="s">
        <v>91</v>
      </c>
      <c r="F216">
        <v>2</v>
      </c>
      <c r="G216">
        <v>0</v>
      </c>
      <c r="H216">
        <v>0</v>
      </c>
      <c r="I216">
        <v>0</v>
      </c>
      <c r="J216">
        <v>2.9</v>
      </c>
      <c r="K216">
        <v>0</v>
      </c>
      <c r="L216">
        <v>0</v>
      </c>
      <c r="M216">
        <v>0</v>
      </c>
      <c r="N216">
        <v>0</v>
      </c>
      <c r="O216">
        <v>2.9</v>
      </c>
      <c r="P216">
        <v>0.8</v>
      </c>
      <c r="Q216">
        <v>0.8</v>
      </c>
      <c r="R216">
        <v>0</v>
      </c>
      <c r="S216">
        <v>0</v>
      </c>
      <c r="T216">
        <v>1</v>
      </c>
      <c r="U216">
        <v>0.8</v>
      </c>
      <c r="V216">
        <v>25</v>
      </c>
      <c r="X216">
        <v>0</v>
      </c>
      <c r="Y216">
        <v>25.3</v>
      </c>
      <c r="Z216">
        <v>0</v>
      </c>
      <c r="AA216">
        <v>0.64</v>
      </c>
      <c r="AC216">
        <v>1.5</v>
      </c>
      <c r="AD216">
        <v>0</v>
      </c>
      <c r="AE216">
        <v>0</v>
      </c>
    </row>
    <row r="217" spans="1:31" x14ac:dyDescent="0.3">
      <c r="A217">
        <v>1360</v>
      </c>
      <c r="B217">
        <v>360</v>
      </c>
      <c r="C217" t="s">
        <v>636</v>
      </c>
      <c r="D217" t="s">
        <v>265</v>
      </c>
      <c r="E217" t="s">
        <v>91</v>
      </c>
      <c r="F217">
        <v>2</v>
      </c>
      <c r="G217">
        <v>3</v>
      </c>
      <c r="H217">
        <v>2.6</v>
      </c>
      <c r="I217">
        <v>2.2000000000000002</v>
      </c>
      <c r="J217">
        <v>10</v>
      </c>
      <c r="K217">
        <v>0</v>
      </c>
      <c r="L217">
        <v>0.5</v>
      </c>
      <c r="M217">
        <v>1.8</v>
      </c>
      <c r="N217">
        <v>4.5</v>
      </c>
      <c r="O217">
        <v>16.8</v>
      </c>
      <c r="P217">
        <v>0.4</v>
      </c>
      <c r="Q217">
        <v>0.4</v>
      </c>
      <c r="R217">
        <v>0.2</v>
      </c>
      <c r="S217">
        <v>0.1</v>
      </c>
      <c r="T217">
        <v>1</v>
      </c>
      <c r="U217">
        <v>0.4</v>
      </c>
      <c r="V217">
        <v>25</v>
      </c>
      <c r="X217">
        <v>0</v>
      </c>
      <c r="Y217">
        <v>26.3</v>
      </c>
      <c r="Z217">
        <v>20</v>
      </c>
      <c r="AA217">
        <v>0.28000000000000003</v>
      </c>
      <c r="AC217">
        <v>2.5</v>
      </c>
      <c r="AD217">
        <v>0</v>
      </c>
      <c r="AE217">
        <v>0</v>
      </c>
    </row>
    <row r="218" spans="1:31" x14ac:dyDescent="0.3">
      <c r="A218">
        <v>2301</v>
      </c>
      <c r="B218">
        <v>300</v>
      </c>
      <c r="C218" t="s">
        <v>642</v>
      </c>
      <c r="D218" t="s">
        <v>91</v>
      </c>
      <c r="E218" t="s">
        <v>91</v>
      </c>
      <c r="F218">
        <v>2</v>
      </c>
      <c r="G218">
        <v>3</v>
      </c>
      <c r="H218">
        <v>2.6</v>
      </c>
      <c r="I218">
        <v>2</v>
      </c>
      <c r="J218">
        <v>10.1</v>
      </c>
      <c r="K218">
        <v>0</v>
      </c>
      <c r="L218">
        <v>0.4</v>
      </c>
      <c r="M218">
        <v>0.3</v>
      </c>
      <c r="N218">
        <v>0</v>
      </c>
      <c r="O218">
        <v>10.8</v>
      </c>
      <c r="P218">
        <v>0.6</v>
      </c>
      <c r="Q218">
        <v>0.6</v>
      </c>
      <c r="R218">
        <v>0.2</v>
      </c>
      <c r="S218">
        <v>0.2</v>
      </c>
      <c r="T218">
        <v>1</v>
      </c>
      <c r="U218">
        <v>0.6</v>
      </c>
      <c r="X218">
        <v>20</v>
      </c>
      <c r="Z218">
        <v>9</v>
      </c>
      <c r="AA218">
        <v>0.38</v>
      </c>
      <c r="AC218">
        <v>2</v>
      </c>
      <c r="AD218">
        <v>0</v>
      </c>
    </row>
    <row r="219" spans="1:31" x14ac:dyDescent="0.3">
      <c r="A219">
        <v>2302</v>
      </c>
      <c r="B219">
        <v>300</v>
      </c>
      <c r="C219" t="s">
        <v>641</v>
      </c>
      <c r="D219" t="s">
        <v>91</v>
      </c>
      <c r="E219" t="s">
        <v>91</v>
      </c>
      <c r="F219">
        <v>2</v>
      </c>
      <c r="G219">
        <v>3</v>
      </c>
      <c r="H219">
        <v>2.6</v>
      </c>
      <c r="I219">
        <v>2.2000000000000002</v>
      </c>
      <c r="J219">
        <v>8</v>
      </c>
      <c r="K219">
        <v>2</v>
      </c>
      <c r="L219">
        <v>0.5</v>
      </c>
      <c r="M219">
        <v>1.4</v>
      </c>
      <c r="N219">
        <v>4.5</v>
      </c>
      <c r="O219">
        <v>16.399999999999999</v>
      </c>
      <c r="P219">
        <v>0.4</v>
      </c>
      <c r="Q219">
        <v>0.4</v>
      </c>
      <c r="R219">
        <v>0.2</v>
      </c>
      <c r="S219">
        <v>0.1</v>
      </c>
      <c r="T219">
        <v>1</v>
      </c>
      <c r="U219">
        <v>0.4</v>
      </c>
      <c r="X219">
        <v>20</v>
      </c>
      <c r="Z219">
        <v>32</v>
      </c>
      <c r="AA219">
        <v>0.28000000000000003</v>
      </c>
      <c r="AC219">
        <v>2.5</v>
      </c>
      <c r="AD219">
        <v>0</v>
      </c>
    </row>
    <row r="220" spans="1:31" x14ac:dyDescent="0.3">
      <c r="A220">
        <v>2303</v>
      </c>
      <c r="B220">
        <v>300</v>
      </c>
      <c r="C220" t="s">
        <v>640</v>
      </c>
      <c r="D220" t="s">
        <v>91</v>
      </c>
      <c r="E220" t="s">
        <v>91</v>
      </c>
      <c r="F220">
        <v>2</v>
      </c>
      <c r="G220">
        <v>3</v>
      </c>
      <c r="H220">
        <v>2.6</v>
      </c>
      <c r="I220">
        <v>2.2000000000000002</v>
      </c>
      <c r="J220">
        <v>8</v>
      </c>
      <c r="K220">
        <v>2</v>
      </c>
      <c r="L220">
        <v>0.5</v>
      </c>
      <c r="M220">
        <v>3.3</v>
      </c>
      <c r="N220">
        <v>4.5</v>
      </c>
      <c r="O220">
        <v>18.3</v>
      </c>
      <c r="P220">
        <v>0.4</v>
      </c>
      <c r="Q220">
        <v>0.4</v>
      </c>
      <c r="R220">
        <v>0.2</v>
      </c>
      <c r="S220">
        <v>0.1</v>
      </c>
      <c r="T220">
        <v>1</v>
      </c>
      <c r="U220">
        <v>0.4</v>
      </c>
      <c r="X220">
        <v>25</v>
      </c>
      <c r="Z220">
        <v>46</v>
      </c>
      <c r="AA220">
        <v>0.28000000000000003</v>
      </c>
      <c r="AC220">
        <v>2.5</v>
      </c>
      <c r="AD220">
        <v>1</v>
      </c>
    </row>
    <row r="221" spans="1:31" x14ac:dyDescent="0.3">
      <c r="A221">
        <v>2304</v>
      </c>
      <c r="B221">
        <v>300</v>
      </c>
      <c r="C221" t="s">
        <v>639</v>
      </c>
      <c r="D221" t="s">
        <v>91</v>
      </c>
      <c r="E221" t="s">
        <v>91</v>
      </c>
      <c r="F221">
        <v>2</v>
      </c>
      <c r="G221">
        <v>2.4</v>
      </c>
      <c r="H221">
        <v>2.1</v>
      </c>
      <c r="I221">
        <v>2.5</v>
      </c>
      <c r="J221">
        <v>7.4</v>
      </c>
      <c r="K221">
        <v>0</v>
      </c>
      <c r="L221">
        <v>0.8</v>
      </c>
      <c r="M221">
        <v>2.4</v>
      </c>
      <c r="N221">
        <v>4.5</v>
      </c>
      <c r="O221">
        <v>15.1</v>
      </c>
      <c r="P221">
        <v>0.25</v>
      </c>
      <c r="Q221">
        <v>0.25</v>
      </c>
      <c r="R221">
        <v>0.2</v>
      </c>
      <c r="S221">
        <v>0.2</v>
      </c>
      <c r="T221">
        <v>1</v>
      </c>
      <c r="U221">
        <v>0.25</v>
      </c>
      <c r="X221">
        <v>40</v>
      </c>
      <c r="Z221">
        <v>21</v>
      </c>
      <c r="AA221">
        <v>0.28000000000000003</v>
      </c>
      <c r="AC221">
        <v>2.5</v>
      </c>
      <c r="AD221">
        <v>0</v>
      </c>
    </row>
    <row r="222" spans="1:31" x14ac:dyDescent="0.3">
      <c r="A222">
        <v>2311</v>
      </c>
      <c r="B222">
        <v>310</v>
      </c>
      <c r="C222" t="s">
        <v>638</v>
      </c>
      <c r="D222" t="s">
        <v>779</v>
      </c>
      <c r="E222" t="s">
        <v>91</v>
      </c>
      <c r="F222">
        <v>2</v>
      </c>
      <c r="G222">
        <v>2</v>
      </c>
      <c r="H222">
        <v>1.7</v>
      </c>
      <c r="I222">
        <v>1</v>
      </c>
      <c r="J222">
        <v>5.8</v>
      </c>
      <c r="K222">
        <v>0</v>
      </c>
      <c r="L222">
        <v>0.1</v>
      </c>
      <c r="M222">
        <v>0.8</v>
      </c>
      <c r="N222">
        <v>0</v>
      </c>
      <c r="O222">
        <v>6.7</v>
      </c>
      <c r="P222">
        <v>0.3</v>
      </c>
      <c r="Q222">
        <v>0.3</v>
      </c>
      <c r="R222">
        <v>0.25</v>
      </c>
      <c r="S222">
        <v>0.05</v>
      </c>
      <c r="T222">
        <v>1</v>
      </c>
      <c r="U222">
        <v>0.3</v>
      </c>
      <c r="X222">
        <v>30</v>
      </c>
      <c r="Z222">
        <v>26</v>
      </c>
      <c r="AA222">
        <v>0.28000000000000003</v>
      </c>
      <c r="AC222">
        <v>2.5</v>
      </c>
      <c r="AD222">
        <v>0</v>
      </c>
    </row>
    <row r="223" spans="1:31" x14ac:dyDescent="0.3">
      <c r="A223">
        <v>2312</v>
      </c>
      <c r="B223">
        <v>310</v>
      </c>
      <c r="C223" t="s">
        <v>637</v>
      </c>
      <c r="D223" t="s">
        <v>779</v>
      </c>
      <c r="E223" t="s">
        <v>91</v>
      </c>
      <c r="F223">
        <v>2</v>
      </c>
      <c r="G223">
        <v>2</v>
      </c>
      <c r="H223">
        <v>1.7</v>
      </c>
      <c r="I223">
        <v>2</v>
      </c>
      <c r="J223">
        <v>5.8</v>
      </c>
      <c r="K223">
        <v>0</v>
      </c>
      <c r="L223">
        <v>0.4</v>
      </c>
      <c r="M223">
        <v>0</v>
      </c>
      <c r="N223">
        <v>0</v>
      </c>
      <c r="O223">
        <v>6.2</v>
      </c>
      <c r="P223">
        <v>0.25</v>
      </c>
      <c r="Q223">
        <v>0.25</v>
      </c>
      <c r="R223">
        <v>0.2</v>
      </c>
      <c r="S223">
        <v>0</v>
      </c>
      <c r="T223">
        <v>1</v>
      </c>
      <c r="U223">
        <v>0.25</v>
      </c>
      <c r="Z223">
        <v>2</v>
      </c>
      <c r="AA223">
        <v>0.64</v>
      </c>
      <c r="AC223">
        <v>1.5</v>
      </c>
      <c r="AD223">
        <v>0</v>
      </c>
    </row>
    <row r="224" spans="1:31" x14ac:dyDescent="0.3">
      <c r="A224">
        <v>2350</v>
      </c>
      <c r="B224">
        <v>350</v>
      </c>
      <c r="C224" t="s">
        <v>573</v>
      </c>
      <c r="D224" t="s">
        <v>267</v>
      </c>
      <c r="E224" t="s">
        <v>91</v>
      </c>
      <c r="F224">
        <v>2</v>
      </c>
      <c r="J224">
        <v>2.9</v>
      </c>
      <c r="K224">
        <v>0</v>
      </c>
      <c r="L224">
        <v>0</v>
      </c>
      <c r="M224">
        <v>0</v>
      </c>
      <c r="N224">
        <v>0</v>
      </c>
      <c r="O224">
        <v>2.9</v>
      </c>
      <c r="P224">
        <v>0.8</v>
      </c>
      <c r="Q224">
        <v>0.8</v>
      </c>
      <c r="R224">
        <v>0</v>
      </c>
      <c r="S224">
        <v>0</v>
      </c>
      <c r="T224">
        <v>1</v>
      </c>
      <c r="U224">
        <v>0.8</v>
      </c>
      <c r="AA224">
        <v>0.64</v>
      </c>
      <c r="AC224">
        <v>1.5</v>
      </c>
    </row>
    <row r="225" spans="1:30" x14ac:dyDescent="0.3">
      <c r="A225">
        <v>2360</v>
      </c>
      <c r="B225">
        <v>360</v>
      </c>
      <c r="C225" t="s">
        <v>636</v>
      </c>
      <c r="D225" t="s">
        <v>265</v>
      </c>
      <c r="E225" t="s">
        <v>91</v>
      </c>
      <c r="F225">
        <v>2</v>
      </c>
      <c r="G225">
        <v>3</v>
      </c>
      <c r="H225">
        <v>2.6</v>
      </c>
      <c r="I225">
        <v>2.2000000000000002</v>
      </c>
      <c r="J225">
        <v>10</v>
      </c>
      <c r="K225">
        <v>0</v>
      </c>
      <c r="L225">
        <v>0.5</v>
      </c>
      <c r="M225">
        <v>1.8</v>
      </c>
      <c r="N225">
        <v>4.5</v>
      </c>
      <c r="O225">
        <v>16.8</v>
      </c>
      <c r="P225">
        <v>0.4</v>
      </c>
      <c r="Q225">
        <v>0.4</v>
      </c>
      <c r="R225">
        <v>0.2</v>
      </c>
      <c r="S225">
        <v>0.1</v>
      </c>
      <c r="T225">
        <v>1</v>
      </c>
      <c r="U225">
        <v>0.4</v>
      </c>
      <c r="Z225">
        <v>20</v>
      </c>
      <c r="AA225">
        <v>0.28000000000000003</v>
      </c>
      <c r="AC225">
        <v>2.5</v>
      </c>
      <c r="AD225">
        <v>0</v>
      </c>
    </row>
    <row r="226" spans="1:30" x14ac:dyDescent="0.3">
      <c r="A226">
        <v>2370</v>
      </c>
      <c r="B226">
        <v>370</v>
      </c>
      <c r="C226" t="s">
        <v>263</v>
      </c>
      <c r="D226" t="s">
        <v>263</v>
      </c>
      <c r="E226" t="s">
        <v>91</v>
      </c>
      <c r="F226">
        <v>2</v>
      </c>
      <c r="J226">
        <v>1.6</v>
      </c>
      <c r="K226">
        <v>0</v>
      </c>
      <c r="L226">
        <v>0</v>
      </c>
      <c r="M226">
        <v>0</v>
      </c>
      <c r="N226">
        <v>1.5</v>
      </c>
      <c r="O226">
        <v>3.1</v>
      </c>
      <c r="P226">
        <v>1</v>
      </c>
      <c r="Q226">
        <v>1</v>
      </c>
      <c r="R226">
        <v>0</v>
      </c>
      <c r="S226">
        <v>0</v>
      </c>
      <c r="T226">
        <v>1</v>
      </c>
      <c r="U226">
        <v>1</v>
      </c>
      <c r="Z226">
        <v>20</v>
      </c>
      <c r="AA226">
        <v>0.28000000000000003</v>
      </c>
      <c r="AC226">
        <v>2.5</v>
      </c>
    </row>
    <row r="227" spans="1:30" x14ac:dyDescent="0.3">
      <c r="A227">
        <v>3021</v>
      </c>
      <c r="B227">
        <v>300</v>
      </c>
      <c r="C227" t="s">
        <v>610</v>
      </c>
      <c r="D227" t="s">
        <v>91</v>
      </c>
      <c r="E227" t="s">
        <v>91</v>
      </c>
      <c r="F227">
        <v>2</v>
      </c>
      <c r="J227">
        <v>5.8</v>
      </c>
      <c r="K227">
        <v>0</v>
      </c>
      <c r="L227">
        <v>1.8</v>
      </c>
      <c r="M227">
        <v>0</v>
      </c>
      <c r="O227">
        <v>7.6</v>
      </c>
      <c r="P227">
        <v>0.25</v>
      </c>
      <c r="Q227">
        <v>0</v>
      </c>
      <c r="R227">
        <v>0.35</v>
      </c>
      <c r="S227">
        <v>0</v>
      </c>
      <c r="U227">
        <v>0.25</v>
      </c>
      <c r="AA227">
        <v>0.4</v>
      </c>
      <c r="AC227">
        <v>2</v>
      </c>
    </row>
    <row r="228" spans="1:30" x14ac:dyDescent="0.3">
      <c r="A228">
        <v>3027</v>
      </c>
      <c r="B228">
        <v>310</v>
      </c>
      <c r="C228" t="s">
        <v>604</v>
      </c>
      <c r="D228" t="s">
        <v>779</v>
      </c>
      <c r="E228" t="s">
        <v>91</v>
      </c>
      <c r="F228">
        <v>2</v>
      </c>
      <c r="J228">
        <v>5.8</v>
      </c>
      <c r="K228">
        <v>0</v>
      </c>
      <c r="L228">
        <v>0.1</v>
      </c>
      <c r="M228">
        <v>0.8</v>
      </c>
      <c r="N228">
        <v>1</v>
      </c>
      <c r="O228">
        <v>7.7</v>
      </c>
      <c r="P228">
        <v>0.3</v>
      </c>
      <c r="Q228">
        <v>0</v>
      </c>
      <c r="R228">
        <v>0.25</v>
      </c>
      <c r="S228">
        <v>0.05</v>
      </c>
      <c r="T228">
        <v>1</v>
      </c>
      <c r="U228">
        <v>0.3</v>
      </c>
      <c r="X228">
        <v>12</v>
      </c>
      <c r="Z228">
        <v>25</v>
      </c>
      <c r="AA228">
        <v>0.4</v>
      </c>
      <c r="AC228">
        <v>2</v>
      </c>
    </row>
    <row r="229" spans="1:30" x14ac:dyDescent="0.3">
      <c r="A229">
        <v>3028</v>
      </c>
      <c r="B229">
        <v>310</v>
      </c>
      <c r="C229" t="s">
        <v>327</v>
      </c>
      <c r="D229" t="s">
        <v>779</v>
      </c>
      <c r="E229" t="s">
        <v>91</v>
      </c>
      <c r="F229">
        <v>2</v>
      </c>
      <c r="J229">
        <v>8.6999999999999993</v>
      </c>
      <c r="K229">
        <v>0</v>
      </c>
      <c r="L229">
        <v>0.4</v>
      </c>
      <c r="M229">
        <v>0</v>
      </c>
      <c r="O229">
        <v>9.1</v>
      </c>
      <c r="P229">
        <v>0.35</v>
      </c>
      <c r="Q229">
        <v>0</v>
      </c>
      <c r="R229">
        <v>0.35</v>
      </c>
      <c r="S229">
        <v>0</v>
      </c>
      <c r="U229">
        <v>0.35</v>
      </c>
      <c r="AA229">
        <v>0.3</v>
      </c>
      <c r="AC229">
        <v>2.5</v>
      </c>
    </row>
    <row r="230" spans="1:30" x14ac:dyDescent="0.3">
      <c r="A230">
        <v>3097</v>
      </c>
      <c r="B230">
        <v>350</v>
      </c>
      <c r="C230" t="s">
        <v>573</v>
      </c>
      <c r="D230" t="s">
        <v>267</v>
      </c>
      <c r="E230" t="s">
        <v>91</v>
      </c>
      <c r="F230">
        <v>2</v>
      </c>
      <c r="J230">
        <v>2.9</v>
      </c>
      <c r="K230">
        <v>0</v>
      </c>
      <c r="L230">
        <v>0</v>
      </c>
      <c r="M230">
        <v>0</v>
      </c>
      <c r="O230">
        <v>2.9</v>
      </c>
      <c r="P230">
        <v>0.8</v>
      </c>
      <c r="Q230">
        <v>0</v>
      </c>
      <c r="R230">
        <v>0</v>
      </c>
      <c r="S230">
        <v>0</v>
      </c>
      <c r="U230">
        <v>0.8</v>
      </c>
      <c r="AA230">
        <v>0.6</v>
      </c>
      <c r="AC230">
        <v>1.5</v>
      </c>
    </row>
    <row r="231" spans="1:30" x14ac:dyDescent="0.3">
      <c r="A231">
        <v>3350</v>
      </c>
      <c r="B231">
        <v>350</v>
      </c>
      <c r="C231" t="s">
        <v>266</v>
      </c>
      <c r="D231" t="s">
        <v>267</v>
      </c>
      <c r="E231" t="s">
        <v>91</v>
      </c>
      <c r="F231">
        <v>2</v>
      </c>
      <c r="AA231">
        <v>0.5</v>
      </c>
    </row>
    <row r="232" spans="1:30" x14ac:dyDescent="0.3">
      <c r="A232">
        <v>3360</v>
      </c>
      <c r="B232">
        <v>360</v>
      </c>
      <c r="C232" t="s">
        <v>265</v>
      </c>
      <c r="D232" t="s">
        <v>265</v>
      </c>
      <c r="E232" t="s">
        <v>91</v>
      </c>
      <c r="F232">
        <v>2</v>
      </c>
      <c r="AA232">
        <v>0.5</v>
      </c>
    </row>
    <row r="233" spans="1:30" x14ac:dyDescent="0.3">
      <c r="A233">
        <v>3370</v>
      </c>
      <c r="B233">
        <v>370</v>
      </c>
      <c r="C233" t="s">
        <v>263</v>
      </c>
      <c r="D233" t="s">
        <v>263</v>
      </c>
      <c r="E233" t="s">
        <v>91</v>
      </c>
      <c r="F233">
        <v>2</v>
      </c>
      <c r="AA233">
        <v>0.3</v>
      </c>
    </row>
    <row r="234" spans="1:30" x14ac:dyDescent="0.3">
      <c r="A234">
        <v>4009</v>
      </c>
      <c r="B234">
        <v>300</v>
      </c>
      <c r="C234" t="s">
        <v>832</v>
      </c>
      <c r="D234" t="s">
        <v>91</v>
      </c>
      <c r="E234" t="s">
        <v>91</v>
      </c>
      <c r="F234">
        <v>2</v>
      </c>
      <c r="G234">
        <v>3.05</v>
      </c>
      <c r="H234">
        <v>2.61</v>
      </c>
      <c r="I234">
        <v>2.96</v>
      </c>
      <c r="J234">
        <v>7.5</v>
      </c>
      <c r="K234">
        <v>4</v>
      </c>
      <c r="L234">
        <v>0.5</v>
      </c>
      <c r="M234">
        <v>1</v>
      </c>
      <c r="N234">
        <v>0</v>
      </c>
      <c r="O234">
        <v>13</v>
      </c>
      <c r="P234">
        <v>0.4</v>
      </c>
      <c r="Q234">
        <v>0.4</v>
      </c>
      <c r="R234">
        <v>0.35</v>
      </c>
      <c r="S234">
        <v>1.33</v>
      </c>
      <c r="T234">
        <v>0</v>
      </c>
      <c r="U234">
        <v>0.4</v>
      </c>
      <c r="AA234">
        <v>0.3</v>
      </c>
      <c r="AC234">
        <v>2.5</v>
      </c>
      <c r="AD234">
        <v>0</v>
      </c>
    </row>
    <row r="235" spans="1:30" x14ac:dyDescent="0.3">
      <c r="A235">
        <v>4011</v>
      </c>
      <c r="B235">
        <v>300</v>
      </c>
      <c r="C235" t="s">
        <v>830</v>
      </c>
      <c r="D235" t="s">
        <v>91</v>
      </c>
      <c r="E235" t="s">
        <v>91</v>
      </c>
      <c r="F235">
        <v>2</v>
      </c>
      <c r="G235">
        <v>2.97</v>
      </c>
      <c r="H235">
        <v>2.5499999999999998</v>
      </c>
      <c r="I235">
        <v>2.81</v>
      </c>
      <c r="J235">
        <v>10</v>
      </c>
      <c r="K235">
        <v>3.4</v>
      </c>
      <c r="L235">
        <v>0.7</v>
      </c>
      <c r="M235">
        <v>1</v>
      </c>
      <c r="N235">
        <v>0</v>
      </c>
      <c r="O235">
        <v>15.1</v>
      </c>
      <c r="P235">
        <v>0.67</v>
      </c>
      <c r="Q235">
        <v>0.67</v>
      </c>
      <c r="R235">
        <v>0.25</v>
      </c>
      <c r="S235">
        <v>1.33</v>
      </c>
      <c r="T235">
        <v>0</v>
      </c>
      <c r="U235">
        <v>0.67</v>
      </c>
      <c r="AA235">
        <v>0.3</v>
      </c>
      <c r="AC235">
        <v>2.5</v>
      </c>
      <c r="AD235">
        <v>0</v>
      </c>
    </row>
    <row r="236" spans="1:30" x14ac:dyDescent="0.3">
      <c r="A236">
        <v>4018</v>
      </c>
      <c r="B236">
        <v>300</v>
      </c>
      <c r="C236" t="s">
        <v>826</v>
      </c>
      <c r="D236" t="s">
        <v>91</v>
      </c>
      <c r="E236" t="s">
        <v>91</v>
      </c>
      <c r="F236">
        <v>2</v>
      </c>
      <c r="G236">
        <v>2.97</v>
      </c>
      <c r="H236">
        <v>2.5499999999999998</v>
      </c>
      <c r="I236">
        <v>2.14</v>
      </c>
      <c r="J236">
        <v>7.5</v>
      </c>
      <c r="K236">
        <v>3.6</v>
      </c>
      <c r="L236">
        <v>0.5</v>
      </c>
      <c r="M236">
        <v>0</v>
      </c>
      <c r="N236">
        <v>0</v>
      </c>
      <c r="O236">
        <v>11.6</v>
      </c>
      <c r="P236">
        <v>0.4</v>
      </c>
      <c r="Q236">
        <v>0.4</v>
      </c>
      <c r="R236">
        <v>0.35</v>
      </c>
      <c r="S236">
        <v>1.75</v>
      </c>
      <c r="T236">
        <v>0</v>
      </c>
      <c r="U236">
        <v>0.4</v>
      </c>
      <c r="AA236">
        <v>0.3</v>
      </c>
      <c r="AC236">
        <v>2.5</v>
      </c>
      <c r="AD236">
        <v>0</v>
      </c>
    </row>
    <row r="237" spans="1:30" x14ac:dyDescent="0.3">
      <c r="A237">
        <v>4021</v>
      </c>
      <c r="B237">
        <v>300</v>
      </c>
      <c r="C237" t="s">
        <v>825</v>
      </c>
      <c r="D237" t="s">
        <v>91</v>
      </c>
      <c r="E237" t="s">
        <v>91</v>
      </c>
      <c r="F237">
        <v>2</v>
      </c>
      <c r="G237">
        <v>3.34</v>
      </c>
      <c r="H237">
        <v>2.86</v>
      </c>
      <c r="I237">
        <v>2.2999999999999998</v>
      </c>
      <c r="J237">
        <v>6.7</v>
      </c>
      <c r="K237">
        <v>3.2</v>
      </c>
      <c r="L237">
        <v>0.6</v>
      </c>
      <c r="M237">
        <v>0</v>
      </c>
      <c r="N237">
        <v>0</v>
      </c>
      <c r="O237">
        <v>10.5</v>
      </c>
      <c r="P237">
        <v>0.67</v>
      </c>
      <c r="Q237">
        <v>0.67</v>
      </c>
      <c r="R237">
        <v>0.25</v>
      </c>
      <c r="S237">
        <v>1.75</v>
      </c>
      <c r="T237">
        <v>0</v>
      </c>
      <c r="U237">
        <v>0.67</v>
      </c>
      <c r="AA237">
        <v>0.3</v>
      </c>
      <c r="AC237">
        <v>2.5</v>
      </c>
      <c r="AD237">
        <v>0</v>
      </c>
    </row>
    <row r="238" spans="1:30" x14ac:dyDescent="0.3">
      <c r="A238">
        <v>4026</v>
      </c>
      <c r="B238">
        <v>300</v>
      </c>
      <c r="C238" t="s">
        <v>822</v>
      </c>
      <c r="D238" t="s">
        <v>91</v>
      </c>
      <c r="E238" t="s">
        <v>91</v>
      </c>
      <c r="F238">
        <v>2</v>
      </c>
      <c r="G238">
        <v>3.04</v>
      </c>
      <c r="H238">
        <v>2.61</v>
      </c>
      <c r="I238">
        <v>2.82</v>
      </c>
      <c r="J238">
        <v>7.8</v>
      </c>
      <c r="K238">
        <v>3.7</v>
      </c>
      <c r="L238">
        <v>1.4</v>
      </c>
      <c r="M238">
        <v>2</v>
      </c>
      <c r="N238">
        <v>0</v>
      </c>
      <c r="O238">
        <v>14.9</v>
      </c>
      <c r="P238">
        <v>0.67</v>
      </c>
      <c r="Q238">
        <v>0.67</v>
      </c>
      <c r="R238">
        <v>0.25</v>
      </c>
      <c r="S238">
        <v>2.08</v>
      </c>
      <c r="T238">
        <v>0</v>
      </c>
      <c r="U238">
        <v>0.67</v>
      </c>
      <c r="AA238">
        <v>0.3</v>
      </c>
      <c r="AC238">
        <v>2.5</v>
      </c>
      <c r="AD238">
        <v>0</v>
      </c>
    </row>
    <row r="239" spans="1:30" x14ac:dyDescent="0.3">
      <c r="A239">
        <v>4027</v>
      </c>
      <c r="B239">
        <v>300</v>
      </c>
      <c r="C239" t="s">
        <v>821</v>
      </c>
      <c r="D239" t="s">
        <v>91</v>
      </c>
      <c r="E239" t="s">
        <v>91</v>
      </c>
      <c r="F239">
        <v>2</v>
      </c>
      <c r="G239">
        <v>2.92</v>
      </c>
      <c r="H239">
        <v>2.5</v>
      </c>
      <c r="I239">
        <v>2.56</v>
      </c>
      <c r="J239">
        <v>3.8</v>
      </c>
      <c r="K239">
        <v>3.2</v>
      </c>
      <c r="L239">
        <v>0.6</v>
      </c>
      <c r="M239">
        <v>0.8</v>
      </c>
      <c r="N239">
        <v>0</v>
      </c>
      <c r="O239">
        <v>8.4</v>
      </c>
      <c r="P239">
        <v>0.67</v>
      </c>
      <c r="Q239">
        <v>0.67</v>
      </c>
      <c r="R239">
        <v>0.53</v>
      </c>
      <c r="S239">
        <v>1.33</v>
      </c>
      <c r="T239">
        <v>0</v>
      </c>
      <c r="U239">
        <v>0.67</v>
      </c>
      <c r="AA239">
        <v>0.3</v>
      </c>
      <c r="AC239">
        <v>2.5</v>
      </c>
      <c r="AD239">
        <v>0</v>
      </c>
    </row>
    <row r="240" spans="1:30" x14ac:dyDescent="0.3">
      <c r="A240">
        <v>4030</v>
      </c>
      <c r="B240">
        <v>310</v>
      </c>
      <c r="C240" t="s">
        <v>818</v>
      </c>
      <c r="D240" t="s">
        <v>779</v>
      </c>
      <c r="E240" t="s">
        <v>91</v>
      </c>
      <c r="F240">
        <v>2</v>
      </c>
      <c r="G240">
        <v>1.72</v>
      </c>
      <c r="H240">
        <v>1.47</v>
      </c>
      <c r="I240">
        <v>1.82</v>
      </c>
      <c r="J240">
        <v>1.3</v>
      </c>
      <c r="K240">
        <v>3.4</v>
      </c>
      <c r="L240">
        <v>0.2</v>
      </c>
      <c r="M240">
        <v>0</v>
      </c>
      <c r="N240">
        <v>0</v>
      </c>
      <c r="O240">
        <v>4.9000000000000004</v>
      </c>
      <c r="P240">
        <v>0.4</v>
      </c>
      <c r="Q240">
        <v>0.4</v>
      </c>
      <c r="R240">
        <v>0.35</v>
      </c>
      <c r="S240">
        <v>1.61</v>
      </c>
      <c r="T240">
        <v>0</v>
      </c>
      <c r="U240">
        <v>0.4</v>
      </c>
      <c r="AA240">
        <v>0.5</v>
      </c>
      <c r="AC240">
        <v>1.8</v>
      </c>
      <c r="AD240">
        <v>0</v>
      </c>
    </row>
    <row r="241" spans="1:30" x14ac:dyDescent="0.3">
      <c r="A241">
        <v>4031</v>
      </c>
      <c r="B241">
        <v>310</v>
      </c>
      <c r="C241" t="s">
        <v>817</v>
      </c>
      <c r="D241" t="s">
        <v>779</v>
      </c>
      <c r="E241" t="s">
        <v>91</v>
      </c>
      <c r="F241">
        <v>2</v>
      </c>
      <c r="G241">
        <v>2.88</v>
      </c>
      <c r="H241">
        <v>2.4700000000000002</v>
      </c>
      <c r="I241">
        <v>2.5099999999999998</v>
      </c>
      <c r="J241">
        <v>4.8</v>
      </c>
      <c r="K241">
        <v>2.8</v>
      </c>
      <c r="L241">
        <v>0.9</v>
      </c>
      <c r="M241">
        <v>0</v>
      </c>
      <c r="N241">
        <v>0</v>
      </c>
      <c r="O241">
        <v>8.5</v>
      </c>
      <c r="P241">
        <v>0.67</v>
      </c>
      <c r="Q241">
        <v>0.67</v>
      </c>
      <c r="R241">
        <v>0.25</v>
      </c>
      <c r="S241">
        <v>1.61</v>
      </c>
      <c r="T241">
        <v>0</v>
      </c>
      <c r="U241">
        <v>0.67</v>
      </c>
      <c r="AA241">
        <v>0.3</v>
      </c>
      <c r="AC241">
        <v>2.5</v>
      </c>
      <c r="AD241">
        <v>0</v>
      </c>
    </row>
    <row r="242" spans="1:30" x14ac:dyDescent="0.3">
      <c r="A242">
        <v>4032</v>
      </c>
      <c r="B242">
        <v>310</v>
      </c>
      <c r="C242" t="s">
        <v>816</v>
      </c>
      <c r="D242" t="s">
        <v>779</v>
      </c>
      <c r="E242" t="s">
        <v>91</v>
      </c>
      <c r="F242">
        <v>2</v>
      </c>
      <c r="G242">
        <v>1.72</v>
      </c>
      <c r="H242">
        <v>1.47</v>
      </c>
      <c r="I242">
        <v>2.87</v>
      </c>
      <c r="J242">
        <v>2.6</v>
      </c>
      <c r="K242">
        <v>2.1</v>
      </c>
      <c r="L242">
        <v>2.1</v>
      </c>
      <c r="M242">
        <v>0</v>
      </c>
      <c r="N242">
        <v>0</v>
      </c>
      <c r="O242">
        <v>6.8</v>
      </c>
      <c r="P242">
        <v>0.25</v>
      </c>
      <c r="Q242">
        <v>0.25</v>
      </c>
      <c r="R242">
        <v>0.25</v>
      </c>
      <c r="S242">
        <v>1.53</v>
      </c>
      <c r="T242">
        <v>0</v>
      </c>
      <c r="U242">
        <v>0.25</v>
      </c>
      <c r="AA242">
        <v>0.6</v>
      </c>
      <c r="AC242">
        <v>1.6</v>
      </c>
      <c r="AD242">
        <v>0</v>
      </c>
    </row>
    <row r="243" spans="1:30" x14ac:dyDescent="0.3">
      <c r="A243">
        <v>4033</v>
      </c>
      <c r="B243">
        <v>310</v>
      </c>
      <c r="C243" t="s">
        <v>815</v>
      </c>
      <c r="D243" t="s">
        <v>779</v>
      </c>
      <c r="E243" t="s">
        <v>91</v>
      </c>
      <c r="F243">
        <v>2</v>
      </c>
      <c r="G243">
        <v>3.12</v>
      </c>
      <c r="H243">
        <v>2.67</v>
      </c>
      <c r="I243">
        <v>2.8</v>
      </c>
      <c r="J243">
        <v>10.5</v>
      </c>
      <c r="K243">
        <v>2.6</v>
      </c>
      <c r="L243">
        <v>1.9</v>
      </c>
      <c r="M243">
        <v>0</v>
      </c>
      <c r="N243">
        <v>0</v>
      </c>
      <c r="O243">
        <v>15</v>
      </c>
      <c r="P243">
        <v>0.67</v>
      </c>
      <c r="Q243">
        <v>0.67</v>
      </c>
      <c r="R243">
        <v>0.25</v>
      </c>
      <c r="S243">
        <v>1.61</v>
      </c>
      <c r="T243">
        <v>0</v>
      </c>
      <c r="U243">
        <v>0.67</v>
      </c>
      <c r="AA243">
        <v>0.3</v>
      </c>
      <c r="AC243">
        <v>2.5</v>
      </c>
      <c r="AD243">
        <v>0</v>
      </c>
    </row>
    <row r="244" spans="1:30" x14ac:dyDescent="0.3">
      <c r="A244">
        <v>4034</v>
      </c>
      <c r="B244">
        <v>310</v>
      </c>
      <c r="C244" t="s">
        <v>814</v>
      </c>
      <c r="D244" t="s">
        <v>779</v>
      </c>
      <c r="E244" t="s">
        <v>91</v>
      </c>
      <c r="F244">
        <v>2</v>
      </c>
      <c r="G244">
        <v>1.9</v>
      </c>
      <c r="H244">
        <v>1.63</v>
      </c>
      <c r="I244">
        <v>2.35</v>
      </c>
      <c r="J244">
        <v>3.3</v>
      </c>
      <c r="K244">
        <v>2.1</v>
      </c>
      <c r="L244">
        <v>0.7</v>
      </c>
      <c r="M244">
        <v>0</v>
      </c>
      <c r="N244">
        <v>0</v>
      </c>
      <c r="O244">
        <v>6.1</v>
      </c>
      <c r="P244">
        <v>0.4</v>
      </c>
      <c r="Q244">
        <v>0.4</v>
      </c>
      <c r="R244">
        <v>0.35</v>
      </c>
      <c r="S244">
        <v>1.61</v>
      </c>
      <c r="T244">
        <v>0</v>
      </c>
      <c r="U244">
        <v>0.4</v>
      </c>
      <c r="AA244">
        <v>0.3</v>
      </c>
      <c r="AC244">
        <v>2.5</v>
      </c>
      <c r="AD244">
        <v>0</v>
      </c>
    </row>
    <row r="245" spans="1:30" x14ac:dyDescent="0.3">
      <c r="A245">
        <v>4035</v>
      </c>
      <c r="B245">
        <v>310</v>
      </c>
      <c r="C245" t="s">
        <v>813</v>
      </c>
      <c r="D245" t="s">
        <v>779</v>
      </c>
      <c r="E245" t="s">
        <v>91</v>
      </c>
      <c r="F245">
        <v>2</v>
      </c>
      <c r="G245">
        <v>2.2999999999999998</v>
      </c>
      <c r="H245">
        <v>1.97</v>
      </c>
      <c r="I245">
        <v>2.8</v>
      </c>
      <c r="J245">
        <v>6</v>
      </c>
      <c r="K245">
        <v>1</v>
      </c>
      <c r="L245">
        <v>1.4</v>
      </c>
      <c r="M245">
        <v>0</v>
      </c>
      <c r="N245">
        <v>0</v>
      </c>
      <c r="O245">
        <v>8.4</v>
      </c>
      <c r="P245">
        <v>0.67</v>
      </c>
      <c r="Q245">
        <v>0.67</v>
      </c>
      <c r="R245">
        <v>0.25</v>
      </c>
      <c r="S245">
        <v>1.61</v>
      </c>
      <c r="T245">
        <v>0</v>
      </c>
      <c r="U245">
        <v>0.67</v>
      </c>
      <c r="AA245">
        <v>0.3</v>
      </c>
      <c r="AC245">
        <v>2.5</v>
      </c>
      <c r="AD245">
        <v>0</v>
      </c>
    </row>
    <row r="246" spans="1:30" x14ac:dyDescent="0.3">
      <c r="A246">
        <v>4036</v>
      </c>
      <c r="B246">
        <v>310</v>
      </c>
      <c r="C246" t="s">
        <v>812</v>
      </c>
      <c r="D246" t="s">
        <v>779</v>
      </c>
      <c r="E246" t="s">
        <v>91</v>
      </c>
      <c r="F246">
        <v>2</v>
      </c>
      <c r="G246">
        <v>1.34</v>
      </c>
      <c r="H246">
        <v>1.1499999999999999</v>
      </c>
      <c r="I246">
        <v>2.85</v>
      </c>
      <c r="J246">
        <v>1.9</v>
      </c>
      <c r="K246">
        <v>1.6</v>
      </c>
      <c r="L246">
        <v>0.4</v>
      </c>
      <c r="M246">
        <v>0</v>
      </c>
      <c r="N246">
        <v>0</v>
      </c>
      <c r="O246">
        <v>3.9</v>
      </c>
      <c r="P246">
        <v>0.4</v>
      </c>
      <c r="Q246">
        <v>0.4</v>
      </c>
      <c r="R246">
        <v>0.35</v>
      </c>
      <c r="S246">
        <v>1.61</v>
      </c>
      <c r="T246">
        <v>0</v>
      </c>
      <c r="U246">
        <v>0.4</v>
      </c>
      <c r="AA246">
        <v>0.3</v>
      </c>
      <c r="AC246">
        <v>2.5</v>
      </c>
      <c r="AD246">
        <v>0</v>
      </c>
    </row>
    <row r="247" spans="1:30" x14ac:dyDescent="0.3">
      <c r="A247">
        <v>4049</v>
      </c>
      <c r="B247">
        <v>300</v>
      </c>
      <c r="C247" t="s">
        <v>804</v>
      </c>
      <c r="D247" t="s">
        <v>91</v>
      </c>
      <c r="E247" t="s">
        <v>91</v>
      </c>
      <c r="F247">
        <v>2</v>
      </c>
      <c r="G247">
        <v>1.46</v>
      </c>
      <c r="H247">
        <v>1.25</v>
      </c>
      <c r="I247">
        <v>2.82</v>
      </c>
      <c r="J247">
        <v>0.9</v>
      </c>
      <c r="K247">
        <v>2.2999999999999998</v>
      </c>
      <c r="L247">
        <v>1.2</v>
      </c>
      <c r="M247">
        <v>0</v>
      </c>
      <c r="N247">
        <v>0</v>
      </c>
      <c r="O247">
        <v>4.4000000000000004</v>
      </c>
      <c r="P247">
        <v>0.4</v>
      </c>
      <c r="Q247">
        <v>0.4</v>
      </c>
      <c r="R247">
        <v>0.35</v>
      </c>
      <c r="S247">
        <v>0</v>
      </c>
      <c r="T247">
        <v>0</v>
      </c>
      <c r="U247">
        <v>0.4</v>
      </c>
      <c r="AA247">
        <v>0.3</v>
      </c>
      <c r="AC247">
        <v>2.5</v>
      </c>
      <c r="AD247">
        <v>0</v>
      </c>
    </row>
    <row r="248" spans="1:30" x14ac:dyDescent="0.3">
      <c r="A248">
        <v>4059</v>
      </c>
      <c r="B248">
        <v>370</v>
      </c>
      <c r="C248" t="s">
        <v>798</v>
      </c>
      <c r="D248" t="s">
        <v>263</v>
      </c>
      <c r="E248" t="s">
        <v>91</v>
      </c>
      <c r="F248">
        <v>2</v>
      </c>
      <c r="G248">
        <v>1.76</v>
      </c>
      <c r="H248">
        <v>1.51</v>
      </c>
      <c r="I248">
        <v>2.85</v>
      </c>
      <c r="J248">
        <v>5</v>
      </c>
      <c r="K248">
        <v>0</v>
      </c>
      <c r="L248">
        <v>2</v>
      </c>
      <c r="M248">
        <v>1</v>
      </c>
      <c r="N248">
        <v>0</v>
      </c>
      <c r="O248">
        <v>8</v>
      </c>
      <c r="P248">
        <v>0.4</v>
      </c>
      <c r="Q248">
        <v>0.4</v>
      </c>
      <c r="R248">
        <v>0.35</v>
      </c>
      <c r="S248">
        <v>1.33</v>
      </c>
      <c r="T248">
        <v>0</v>
      </c>
      <c r="U248">
        <v>0.4</v>
      </c>
      <c r="AA248">
        <v>0.4</v>
      </c>
      <c r="AC248">
        <v>2</v>
      </c>
      <c r="AD248">
        <v>0</v>
      </c>
    </row>
    <row r="249" spans="1:30" x14ac:dyDescent="0.3">
      <c r="A249">
        <v>4350</v>
      </c>
      <c r="B249">
        <v>350</v>
      </c>
      <c r="C249" t="s">
        <v>267</v>
      </c>
      <c r="D249" t="s">
        <v>267</v>
      </c>
      <c r="E249" t="s">
        <v>91</v>
      </c>
      <c r="F249">
        <v>2</v>
      </c>
      <c r="O249">
        <v>1.6</v>
      </c>
      <c r="U249">
        <v>1</v>
      </c>
      <c r="AA249">
        <v>0.5</v>
      </c>
    </row>
    <row r="250" spans="1:30" x14ac:dyDescent="0.3">
      <c r="A250">
        <v>4360</v>
      </c>
      <c r="B250">
        <v>360</v>
      </c>
      <c r="C250" t="s">
        <v>265</v>
      </c>
      <c r="D250" t="s">
        <v>265</v>
      </c>
      <c r="E250" t="s">
        <v>91</v>
      </c>
      <c r="F250">
        <v>2</v>
      </c>
      <c r="O250">
        <v>3.2</v>
      </c>
      <c r="U250">
        <v>1</v>
      </c>
      <c r="AA250">
        <v>0.5</v>
      </c>
    </row>
    <row r="251" spans="1:30" x14ac:dyDescent="0.3">
      <c r="A251">
        <v>4370</v>
      </c>
      <c r="B251">
        <v>370</v>
      </c>
      <c r="C251" t="s">
        <v>263</v>
      </c>
      <c r="D251" t="s">
        <v>263</v>
      </c>
      <c r="E251" t="s">
        <v>91</v>
      </c>
      <c r="F251">
        <v>2</v>
      </c>
      <c r="G251">
        <v>1.76</v>
      </c>
      <c r="H251">
        <v>1.51</v>
      </c>
      <c r="I251">
        <v>2.85</v>
      </c>
      <c r="J251">
        <v>5</v>
      </c>
      <c r="K251">
        <v>0</v>
      </c>
      <c r="L251">
        <v>2</v>
      </c>
      <c r="M251">
        <v>1</v>
      </c>
      <c r="N251">
        <v>0</v>
      </c>
      <c r="O251">
        <v>8</v>
      </c>
      <c r="P251">
        <v>0.4</v>
      </c>
      <c r="Q251">
        <v>0.4</v>
      </c>
      <c r="R251">
        <v>0.35</v>
      </c>
      <c r="S251">
        <v>1.33</v>
      </c>
      <c r="T251">
        <v>0</v>
      </c>
      <c r="U251">
        <v>0.4</v>
      </c>
      <c r="AA251">
        <v>0.4</v>
      </c>
      <c r="AC251">
        <v>2</v>
      </c>
      <c r="AD251">
        <v>0</v>
      </c>
    </row>
    <row r="252" spans="1:30" x14ac:dyDescent="0.3">
      <c r="A252">
        <v>5009</v>
      </c>
      <c r="B252">
        <v>370</v>
      </c>
      <c r="C252" t="s">
        <v>444</v>
      </c>
      <c r="D252" t="s">
        <v>263</v>
      </c>
      <c r="E252" t="s">
        <v>91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U252">
        <v>0</v>
      </c>
      <c r="AA252">
        <v>1</v>
      </c>
      <c r="AC252">
        <v>1</v>
      </c>
      <c r="AD252">
        <v>0</v>
      </c>
    </row>
    <row r="253" spans="1:30" x14ac:dyDescent="0.3">
      <c r="A253">
        <v>5011</v>
      </c>
      <c r="B253">
        <v>350</v>
      </c>
      <c r="C253" t="s">
        <v>442</v>
      </c>
      <c r="D253" t="s">
        <v>267</v>
      </c>
      <c r="E253" t="s">
        <v>91</v>
      </c>
      <c r="F253">
        <v>2</v>
      </c>
      <c r="G253">
        <v>0.93</v>
      </c>
      <c r="H253">
        <v>0.8</v>
      </c>
      <c r="I253">
        <v>2.29</v>
      </c>
      <c r="J253">
        <v>2.4</v>
      </c>
      <c r="K253">
        <v>0</v>
      </c>
      <c r="L253">
        <v>0.6</v>
      </c>
      <c r="M253">
        <v>0</v>
      </c>
      <c r="N253">
        <v>0</v>
      </c>
      <c r="O253">
        <v>3</v>
      </c>
      <c r="P253">
        <v>0.2</v>
      </c>
      <c r="Q253">
        <v>0.2</v>
      </c>
      <c r="R253">
        <v>0.24</v>
      </c>
      <c r="S253">
        <v>0</v>
      </c>
      <c r="U253">
        <v>0.2</v>
      </c>
      <c r="AA253">
        <v>0.3</v>
      </c>
      <c r="AC253">
        <v>2.5</v>
      </c>
      <c r="AD253">
        <v>0</v>
      </c>
    </row>
    <row r="254" spans="1:30" x14ac:dyDescent="0.3">
      <c r="A254">
        <v>5014</v>
      </c>
      <c r="B254">
        <v>370</v>
      </c>
      <c r="C254" t="s">
        <v>439</v>
      </c>
      <c r="D254" t="s">
        <v>263</v>
      </c>
      <c r="E254" t="s">
        <v>91</v>
      </c>
      <c r="F254">
        <v>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U254">
        <v>0</v>
      </c>
      <c r="AA254">
        <v>0.2</v>
      </c>
      <c r="AC254">
        <v>4</v>
      </c>
      <c r="AD254">
        <v>0</v>
      </c>
    </row>
    <row r="255" spans="1:30" x14ac:dyDescent="0.3">
      <c r="A255">
        <v>5023</v>
      </c>
      <c r="B255">
        <v>300</v>
      </c>
      <c r="C255" t="s">
        <v>783</v>
      </c>
      <c r="D255" t="s">
        <v>91</v>
      </c>
      <c r="E255" t="s">
        <v>91</v>
      </c>
      <c r="F255">
        <v>2</v>
      </c>
      <c r="G255">
        <v>3.76</v>
      </c>
      <c r="H255">
        <v>3</v>
      </c>
      <c r="I255">
        <v>3.26</v>
      </c>
      <c r="J255">
        <v>11</v>
      </c>
      <c r="K255">
        <v>0</v>
      </c>
      <c r="L255">
        <v>3.6</v>
      </c>
      <c r="M255">
        <v>2.4</v>
      </c>
      <c r="N255">
        <v>0</v>
      </c>
      <c r="O255">
        <v>17</v>
      </c>
      <c r="P255">
        <v>0.3</v>
      </c>
      <c r="Q255">
        <v>0.3</v>
      </c>
      <c r="R255">
        <v>0.2</v>
      </c>
      <c r="S255">
        <v>0.2</v>
      </c>
      <c r="U255">
        <v>0.3</v>
      </c>
      <c r="AA255">
        <v>0.2</v>
      </c>
      <c r="AC255">
        <v>3</v>
      </c>
      <c r="AD255">
        <v>0</v>
      </c>
    </row>
    <row r="256" spans="1:30" x14ac:dyDescent="0.3">
      <c r="A256">
        <v>5024</v>
      </c>
      <c r="B256">
        <v>300</v>
      </c>
      <c r="C256" t="s">
        <v>782</v>
      </c>
      <c r="D256" t="s">
        <v>91</v>
      </c>
      <c r="E256" t="s">
        <v>91</v>
      </c>
      <c r="F256">
        <v>2</v>
      </c>
      <c r="G256">
        <v>3.41</v>
      </c>
      <c r="H256">
        <v>2.92</v>
      </c>
      <c r="I256">
        <v>2.99</v>
      </c>
      <c r="J256">
        <v>11</v>
      </c>
      <c r="K256">
        <v>0</v>
      </c>
      <c r="L256">
        <v>2.5</v>
      </c>
      <c r="M256">
        <v>2.4</v>
      </c>
      <c r="N256">
        <v>0</v>
      </c>
      <c r="O256">
        <v>15.9</v>
      </c>
      <c r="P256">
        <v>0.4</v>
      </c>
      <c r="Q256">
        <v>0.4</v>
      </c>
      <c r="R256">
        <v>0.1</v>
      </c>
      <c r="S256">
        <v>0.2</v>
      </c>
      <c r="U256">
        <v>0.4</v>
      </c>
      <c r="AA256">
        <v>0.3</v>
      </c>
      <c r="AC256">
        <v>3</v>
      </c>
      <c r="AD256">
        <v>0</v>
      </c>
    </row>
    <row r="257" spans="1:30" x14ac:dyDescent="0.3">
      <c r="A257">
        <v>5034</v>
      </c>
      <c r="B257">
        <v>310</v>
      </c>
      <c r="C257" t="s">
        <v>419</v>
      </c>
      <c r="D257" t="s">
        <v>779</v>
      </c>
      <c r="E257" t="s">
        <v>91</v>
      </c>
      <c r="F257">
        <v>2</v>
      </c>
      <c r="G257">
        <v>1.2</v>
      </c>
      <c r="H257">
        <v>1.03</v>
      </c>
      <c r="I257">
        <v>3.4</v>
      </c>
      <c r="J257">
        <v>3.2</v>
      </c>
      <c r="K257">
        <v>0</v>
      </c>
      <c r="L257">
        <v>6</v>
      </c>
      <c r="M257">
        <v>1.6</v>
      </c>
      <c r="N257">
        <v>0</v>
      </c>
      <c r="O257">
        <v>10.8</v>
      </c>
      <c r="P257">
        <v>0.1</v>
      </c>
      <c r="Q257">
        <v>0.1</v>
      </c>
      <c r="R257">
        <v>0.1</v>
      </c>
      <c r="S257">
        <v>0.3</v>
      </c>
      <c r="U257">
        <v>0.1</v>
      </c>
      <c r="AA257">
        <v>0.3</v>
      </c>
      <c r="AC257">
        <v>3</v>
      </c>
      <c r="AD257">
        <v>0</v>
      </c>
    </row>
    <row r="258" spans="1:30" x14ac:dyDescent="0.3">
      <c r="A258">
        <v>5036</v>
      </c>
      <c r="B258">
        <v>300</v>
      </c>
      <c r="C258" t="s">
        <v>417</v>
      </c>
      <c r="D258" t="s">
        <v>91</v>
      </c>
      <c r="E258" t="s">
        <v>91</v>
      </c>
      <c r="F258">
        <v>2</v>
      </c>
      <c r="G258">
        <v>3.07</v>
      </c>
      <c r="H258">
        <v>2.63</v>
      </c>
      <c r="I258">
        <v>3.33</v>
      </c>
      <c r="J258">
        <v>11</v>
      </c>
      <c r="K258">
        <v>0</v>
      </c>
      <c r="L258">
        <v>5</v>
      </c>
      <c r="M258">
        <v>2.1</v>
      </c>
      <c r="N258">
        <v>0</v>
      </c>
      <c r="O258">
        <v>18.100000000000001</v>
      </c>
      <c r="P258">
        <v>0.3</v>
      </c>
      <c r="Q258">
        <v>0.3</v>
      </c>
      <c r="R258">
        <v>0.3</v>
      </c>
      <c r="S258">
        <v>0.3</v>
      </c>
      <c r="U258">
        <v>0.3</v>
      </c>
      <c r="AA258">
        <v>0.2</v>
      </c>
      <c r="AC258">
        <v>3</v>
      </c>
      <c r="AD258">
        <v>0</v>
      </c>
    </row>
    <row r="259" spans="1:30" x14ac:dyDescent="0.3">
      <c r="A259">
        <v>5037</v>
      </c>
      <c r="B259">
        <v>310</v>
      </c>
      <c r="C259" t="s">
        <v>416</v>
      </c>
      <c r="D259" t="s">
        <v>779</v>
      </c>
      <c r="E259" t="s">
        <v>91</v>
      </c>
      <c r="F259">
        <v>2</v>
      </c>
      <c r="G259">
        <v>1.9</v>
      </c>
      <c r="H259">
        <v>1.63</v>
      </c>
      <c r="I259">
        <v>3.07</v>
      </c>
      <c r="J259">
        <v>5.5</v>
      </c>
      <c r="K259">
        <v>0</v>
      </c>
      <c r="L259">
        <v>2.8</v>
      </c>
      <c r="M259">
        <v>0.5</v>
      </c>
      <c r="N259">
        <v>0</v>
      </c>
      <c r="O259">
        <v>8.8000000000000007</v>
      </c>
      <c r="P259">
        <v>0.19</v>
      </c>
      <c r="Q259">
        <v>0.19</v>
      </c>
      <c r="R259">
        <v>0.1</v>
      </c>
      <c r="S259">
        <v>0.15</v>
      </c>
      <c r="U259">
        <v>0.19</v>
      </c>
      <c r="AA259">
        <v>0.3</v>
      </c>
      <c r="AC259">
        <v>2.1</v>
      </c>
      <c r="AD259">
        <v>0</v>
      </c>
    </row>
    <row r="260" spans="1:30" x14ac:dyDescent="0.3">
      <c r="A260">
        <v>5041</v>
      </c>
      <c r="B260">
        <v>300</v>
      </c>
      <c r="C260" t="s">
        <v>781</v>
      </c>
      <c r="D260" t="s">
        <v>91</v>
      </c>
      <c r="E260" t="s">
        <v>91</v>
      </c>
      <c r="F260">
        <v>2</v>
      </c>
      <c r="G260">
        <v>3.68</v>
      </c>
      <c r="H260">
        <v>3</v>
      </c>
      <c r="I260">
        <v>2.7</v>
      </c>
      <c r="J260">
        <v>11</v>
      </c>
      <c r="K260">
        <v>0</v>
      </c>
      <c r="L260">
        <v>1.1000000000000001</v>
      </c>
      <c r="M260">
        <v>0.5</v>
      </c>
      <c r="N260">
        <v>0</v>
      </c>
      <c r="O260">
        <v>12.6</v>
      </c>
      <c r="P260">
        <v>7.0000000000000007E-2</v>
      </c>
      <c r="Q260">
        <v>7.0000000000000007E-2</v>
      </c>
      <c r="R260">
        <v>0.2</v>
      </c>
      <c r="S260">
        <v>0.15</v>
      </c>
      <c r="U260">
        <v>7.0000000000000007E-2</v>
      </c>
      <c r="AA260">
        <v>0.2</v>
      </c>
      <c r="AC260">
        <v>2.8</v>
      </c>
      <c r="AD260">
        <v>0</v>
      </c>
    </row>
    <row r="261" spans="1:30" x14ac:dyDescent="0.3">
      <c r="A261">
        <v>5042</v>
      </c>
      <c r="B261">
        <v>300</v>
      </c>
      <c r="C261" t="s">
        <v>780</v>
      </c>
      <c r="D261" t="s">
        <v>91</v>
      </c>
      <c r="E261" t="s">
        <v>91</v>
      </c>
      <c r="F261">
        <v>2</v>
      </c>
      <c r="G261">
        <v>3.15</v>
      </c>
      <c r="H261">
        <v>2.7</v>
      </c>
      <c r="I261">
        <v>3.24</v>
      </c>
      <c r="J261">
        <v>11</v>
      </c>
      <c r="K261">
        <v>0</v>
      </c>
      <c r="L261">
        <v>4.5</v>
      </c>
      <c r="M261">
        <v>2.4</v>
      </c>
      <c r="N261">
        <v>0</v>
      </c>
      <c r="O261">
        <v>17.899999999999999</v>
      </c>
      <c r="P261">
        <v>7.0000000000000007E-2</v>
      </c>
      <c r="Q261">
        <v>7.0000000000000007E-2</v>
      </c>
      <c r="R261">
        <v>0.2</v>
      </c>
      <c r="S261">
        <v>0.1</v>
      </c>
      <c r="U261">
        <v>7.0000000000000007E-2</v>
      </c>
      <c r="AA261">
        <v>0.2</v>
      </c>
      <c r="AC261">
        <v>3</v>
      </c>
      <c r="AD261">
        <v>0</v>
      </c>
    </row>
    <row r="262" spans="1:30" x14ac:dyDescent="0.3">
      <c r="A262">
        <v>5045</v>
      </c>
      <c r="B262">
        <v>310</v>
      </c>
      <c r="C262" t="s">
        <v>409</v>
      </c>
      <c r="D262" t="s">
        <v>779</v>
      </c>
      <c r="E262" t="s">
        <v>91</v>
      </c>
      <c r="F262">
        <v>2</v>
      </c>
      <c r="G262">
        <v>1.4</v>
      </c>
      <c r="H262">
        <v>1.2</v>
      </c>
      <c r="I262">
        <v>2.98</v>
      </c>
      <c r="J262">
        <v>3.8</v>
      </c>
      <c r="K262">
        <v>0</v>
      </c>
      <c r="L262">
        <v>2.4</v>
      </c>
      <c r="M262">
        <v>0.4</v>
      </c>
      <c r="N262">
        <v>0</v>
      </c>
      <c r="O262">
        <v>6.6</v>
      </c>
      <c r="P262">
        <v>0.25</v>
      </c>
      <c r="Q262">
        <v>0.25</v>
      </c>
      <c r="R262">
        <v>0.1</v>
      </c>
      <c r="S262">
        <v>0.1</v>
      </c>
      <c r="U262">
        <v>0.25</v>
      </c>
      <c r="AA262">
        <v>0.2</v>
      </c>
      <c r="AC262">
        <v>2.5</v>
      </c>
      <c r="AD262">
        <v>0</v>
      </c>
    </row>
    <row r="263" spans="1:30" x14ac:dyDescent="0.3">
      <c r="A263">
        <v>5046</v>
      </c>
      <c r="B263">
        <v>310</v>
      </c>
      <c r="C263" t="s">
        <v>408</v>
      </c>
      <c r="D263" t="s">
        <v>779</v>
      </c>
      <c r="E263" t="s">
        <v>91</v>
      </c>
      <c r="F263">
        <v>2</v>
      </c>
      <c r="G263">
        <v>1.4</v>
      </c>
      <c r="H263">
        <v>1.2</v>
      </c>
      <c r="I263">
        <v>2.98</v>
      </c>
      <c r="J263">
        <v>3.8</v>
      </c>
      <c r="K263">
        <v>0</v>
      </c>
      <c r="L263">
        <v>2.4</v>
      </c>
      <c r="M263">
        <v>0.1</v>
      </c>
      <c r="N263">
        <v>0</v>
      </c>
      <c r="O263">
        <v>6.3</v>
      </c>
      <c r="P263">
        <v>0.15</v>
      </c>
      <c r="Q263">
        <v>0.15</v>
      </c>
      <c r="R263">
        <v>0.1</v>
      </c>
      <c r="S263">
        <v>0.1</v>
      </c>
      <c r="U263">
        <v>0.15</v>
      </c>
      <c r="AA263">
        <v>0.3</v>
      </c>
      <c r="AC263">
        <v>2.5</v>
      </c>
      <c r="AD26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98</vt:i4>
      </vt:variant>
    </vt:vector>
  </HeadingPairs>
  <TitlesOfParts>
    <vt:vector size="104" baseType="lpstr">
      <vt:lpstr>SpreadModels</vt:lpstr>
      <vt:lpstr>Instructions</vt:lpstr>
      <vt:lpstr>Notes</vt:lpstr>
      <vt:lpstr>AFDRS Fuel LUT</vt:lpstr>
      <vt:lpstr>lookup_tables</vt:lpstr>
      <vt:lpstr>NSW_Fuel_v402_LUT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fine_fuel_load_mk5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2024-10-18T05:39:35Z</dcterms:modified>
</cp:coreProperties>
</file>