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8800" windowHeight="13512"/>
  </bookViews>
  <sheets>
    <sheet name="AFDRS" sheetId="1" r:id="rId1"/>
    <sheet name="tables" sheetId="3" state="hidden" r:id="rId2"/>
  </sheets>
  <functionGroups builtInGroupCount="18"/>
  <definedNames>
    <definedName name="cov_o_mallee">AFDRS!$AM$4</definedName>
    <definedName name="curing_grass">AFDRS!$P$4</definedName>
    <definedName name="curing_woodland">AFDRS!$W$5</definedName>
    <definedName name="current_date">AFDRS!$B$2</definedName>
    <definedName name="current_time">AFDRS!$B$3</definedName>
    <definedName name="date_row1">AFDRS!$A$15</definedName>
    <definedName name="df_row1">AFDRS!$G$15</definedName>
    <definedName name="fl_b_forest">AFDRS!$K$7</definedName>
    <definedName name="fl_e_forest">AFDRS!$K$6</definedName>
    <definedName name="fl_ns_forest">AFDRS!$K$5</definedName>
    <definedName name="fl_o_forest">AFDRS!$K$8</definedName>
    <definedName name="fl_o_mallee">AFDRS!$AM$3</definedName>
    <definedName name="fl_s_forest">AFDRS!$K$4</definedName>
    <definedName name="fl_s_mallee">AFDRS!$AM$2</definedName>
    <definedName name="fl_woodland">AFDRS!$W$4</definedName>
    <definedName name="h_e_forest">AFDRS!$J$11</definedName>
    <definedName name="h_el_heath">AFDRS!$AC$5</definedName>
    <definedName name="h_ns_forest">AFDRS!$J$10</definedName>
    <definedName name="h_o_forest">AFDRS!$J$12</definedName>
    <definedName name="h_o_mallee">AFDRS!$AM$5</definedName>
    <definedName name="kbdi">AFDRS!$G$13</definedName>
    <definedName name="outputs_r1">AFDRS!$H$15:$AM$15</definedName>
    <definedName name="overstorey_heath">AFDRS!$AC$4</definedName>
    <definedName name="rain_heath">AFDRS!$AC$2</definedName>
    <definedName name="rain_mallee">AFDRS!$AM$7</definedName>
    <definedName name="rh_row1">AFDRS!$D$15</definedName>
    <definedName name="state_grass">AFDRS!$P$3</definedName>
    <definedName name="submodel_forest">AFDRS!$M$10</definedName>
    <definedName name="subtype_woodland">AFDRS!$W$3</definedName>
    <definedName name="temp_row1">AFDRS!$C$15</definedName>
    <definedName name="time_row1">AFDRS!$B$15</definedName>
    <definedName name="tsf_heath">AFDRS!$AC$6</definedName>
    <definedName name="tsf_mallee">AFDRS!$AM$6</definedName>
    <definedName name="tsr_heath">AFDRS!$AC$3</definedName>
    <definedName name="tsr_mallee">AFDRS!$AM$8</definedName>
    <definedName name="waf_forest">AFDRS!$J$2</definedName>
    <definedName name="waf_woodland">AFDRS!$W$6</definedName>
    <definedName name="wind_dir_row1">AFDRS!$E$15</definedName>
    <definedName name="wind_mag_row1">AFDRS!$F$15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5" i="1" l="1"/>
  <c r="J4" i="1"/>
  <c r="J7" i="1"/>
  <c r="H15" i="1"/>
  <c r="AH15" i="1"/>
  <c r="Q3" i="1"/>
  <c r="U15" i="1"/>
  <c r="S15" i="1"/>
  <c r="J5" i="1"/>
  <c r="V15" i="1"/>
  <c r="AM15" i="1"/>
  <c r="AC7" i="1"/>
  <c r="AC15" i="1"/>
  <c r="J6" i="1"/>
  <c r="P15" i="1"/>
  <c r="T15" i="1"/>
  <c r="AE15" i="1" a="1"/>
  <c r="W15" i="1"/>
  <c r="N15" i="1"/>
  <c r="AJ15" i="1"/>
  <c r="Z15" i="1"/>
  <c r="AK15" i="1"/>
  <c r="Q15" i="1"/>
  <c r="AI15" i="1"/>
  <c r="AF15" i="1" l="1"/>
  <c r="AG15" i="1"/>
  <c r="AE15" i="1"/>
  <c r="R15" i="1"/>
  <c r="AD15" i="1"/>
  <c r="J15" i="1"/>
  <c r="L15" i="1"/>
  <c r="M15" i="1"/>
  <c r="AA15" i="1"/>
  <c r="AL15" i="1"/>
  <c r="O15" i="1"/>
  <c r="AB15" i="1"/>
  <c r="Y15" i="1"/>
  <c r="K15" i="1"/>
  <c r="I15" i="1"/>
</calcChain>
</file>

<file path=xl/sharedStrings.xml><?xml version="1.0" encoding="utf-8"?>
<sst xmlns="http://schemas.openxmlformats.org/spreadsheetml/2006/main" count="198" uniqueCount="133">
  <si>
    <t>Drought Factor</t>
  </si>
  <si>
    <t>Weather</t>
  </si>
  <si>
    <t>Forest</t>
  </si>
  <si>
    <t>WAF</t>
  </si>
  <si>
    <t>ROS
(m/h)</t>
  </si>
  <si>
    <t>Intensity
(kW/m)</t>
  </si>
  <si>
    <t>Flame Height
(m)</t>
  </si>
  <si>
    <t>Spotting Distance
(m)</t>
  </si>
  <si>
    <t>FMC
(%)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</si>
  <si>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</si>
  <si>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</si>
  <si>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</si>
  <si>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</si>
  <si>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</si>
  <si>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</si>
  <si>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</si>
  <si>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</si>
  <si>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</si>
  <si>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</si>
  <si>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</si>
  <si>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</si>
  <si>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</si>
  <si>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 xml:space="preserve"> Fine Fuel Load t/ha</t>
  </si>
  <si>
    <t>canopy</t>
  </si>
  <si>
    <t>state</t>
  </si>
  <si>
    <t>Instructions</t>
  </si>
  <si>
    <t>Use inputs are light colored cells</t>
  </si>
  <si>
    <t>Darker cells are locked to protect formulae</t>
  </si>
  <si>
    <t>If using copy and paste, right click and choose 'Paste Values'</t>
  </si>
  <si>
    <t>forest</t>
  </si>
  <si>
    <t>fuel load</t>
  </si>
  <si>
    <t>DF</t>
  </si>
  <si>
    <t>fl_s</t>
  </si>
  <si>
    <t>fl_ns</t>
  </si>
  <si>
    <t>fl_e</t>
  </si>
  <si>
    <t>fl_o</t>
  </si>
  <si>
    <t>h_o</t>
  </si>
  <si>
    <t>U_10</t>
  </si>
  <si>
    <t>fhs_s</t>
  </si>
  <si>
    <t>fhs_ns</t>
  </si>
  <si>
    <t>h_ns</t>
  </si>
  <si>
    <t>temp</t>
  </si>
  <si>
    <t>rh</t>
  </si>
  <si>
    <t>curing</t>
  </si>
  <si>
    <t>grass</t>
  </si>
  <si>
    <t>to contribute to testing please use the development version (no date suffix) in the repository</t>
  </si>
  <si>
    <t>https://github.com/Geoffysicist/PyroXL</t>
  </si>
  <si>
    <t>Default values</t>
  </si>
  <si>
    <t>rain</t>
  </si>
  <si>
    <t>hours</t>
  </si>
  <si>
    <t>Heath</t>
  </si>
  <si>
    <t>time since precipitation (h)</t>
  </si>
  <si>
    <t>precipitation in last 48 hours (mm)</t>
  </si>
  <si>
    <t>woodland overstory?</t>
  </si>
  <si>
    <t>Heath overstorey</t>
  </si>
  <si>
    <t>overstorey</t>
  </si>
  <si>
    <t>WRF</t>
  </si>
  <si>
    <t>elevated fuel height (m)</t>
  </si>
  <si>
    <t>parameter</t>
  </si>
  <si>
    <t>value</t>
  </si>
  <si>
    <t>model</t>
  </si>
  <si>
    <t>heath</t>
  </si>
  <si>
    <t>h_el</t>
  </si>
  <si>
    <t>description</t>
  </si>
  <si>
    <t>presence of woodland overstorey</t>
  </si>
  <si>
    <t>time since fire (y)</t>
  </si>
  <si>
    <t>tsf</t>
  </si>
  <si>
    <t>fuel accumulation parameter</t>
  </si>
  <si>
    <t>feedback and bug reports to fba@rfs.nsw.gov.au</t>
  </si>
  <si>
    <t xml:space="preserve">VESTA Hazard Score </t>
  </si>
  <si>
    <t>all</t>
  </si>
  <si>
    <t>relative humidity %</t>
  </si>
  <si>
    <t>air temperature °C</t>
  </si>
  <si>
    <t>fuel hazard score near surface</t>
  </si>
  <si>
    <t>fuel hazard score surface</t>
  </si>
  <si>
    <t>fuel hazard score elevated</t>
  </si>
  <si>
    <t>fuel load near surface t/ha</t>
  </si>
  <si>
    <t>fuel load overstorey t/ha</t>
  </si>
  <si>
    <t>fuel load surface t/ha</t>
  </si>
  <si>
    <t>height near surface cm</t>
  </si>
  <si>
    <t>time since fire y</t>
  </si>
  <si>
    <t>10 m wind speed km/h</t>
  </si>
  <si>
    <t>drought factor 1-10</t>
  </si>
  <si>
    <t>steady state fuel load t/ha</t>
  </si>
  <si>
    <t>elevated fuel height m</t>
  </si>
  <si>
    <t>height overstorey m</t>
  </si>
  <si>
    <t>wind adjustment factor 1-6</t>
  </si>
  <si>
    <t>curing %</t>
  </si>
  <si>
    <t>natural, grazed, eaten-out</t>
  </si>
  <si>
    <t>time since rain h</t>
  </si>
  <si>
    <t>pine</t>
  </si>
  <si>
    <t>wind adjustment factor 3-5</t>
  </si>
  <si>
    <t>KBDI</t>
  </si>
  <si>
    <t>Keetch Byram drought index mm</t>
  </si>
  <si>
    <t xml:space="preserve">pine </t>
  </si>
  <si>
    <t>Pine</t>
  </si>
  <si>
    <t>KBDI (mm)</t>
  </si>
  <si>
    <t>FBI</t>
  </si>
  <si>
    <t>fl_total_max</t>
  </si>
  <si>
    <t>fk_total</t>
  </si>
  <si>
    <t>submodel</t>
  </si>
  <si>
    <t>Forest subtypes</t>
  </si>
  <si>
    <t>dry</t>
  </si>
  <si>
    <t>wet</t>
  </si>
  <si>
    <t>note: requires KBDI</t>
  </si>
  <si>
    <t>Mallee</t>
  </si>
  <si>
    <t>wet submodel requires KBDI</t>
  </si>
  <si>
    <t>Date
dd-mm-yyyy</t>
  </si>
  <si>
    <t>Time
hh:mm</t>
  </si>
  <si>
    <t>Temp
°C</t>
  </si>
  <si>
    <t>Relative Humidity
%</t>
  </si>
  <si>
    <t>Wind Direction 
° or cardinal</t>
  </si>
  <si>
    <t>Wind Speed
10m
km/h</t>
  </si>
  <si>
    <t>Direction of Spread
°</t>
  </si>
  <si>
    <t>surface fuel load (t/ha)</t>
  </si>
  <si>
    <t>canopy fuel load (t/ha)</t>
  </si>
  <si>
    <t>canopy cover %</t>
  </si>
  <si>
    <t>canopy height (m)</t>
  </si>
  <si>
    <t>Incident Name</t>
  </si>
  <si>
    <t>Date</t>
  </si>
  <si>
    <t>Time</t>
  </si>
  <si>
    <t>Woodland</t>
  </si>
  <si>
    <t>subtype</t>
  </si>
  <si>
    <t>grass fuel load (t/ha)</t>
  </si>
  <si>
    <t>Woodland subtypes</t>
  </si>
  <si>
    <t>woodland</t>
  </si>
  <si>
    <t>acacia_woodland</t>
  </si>
  <si>
    <t>woody_horticulture</t>
  </si>
  <si>
    <t>rural</t>
  </si>
  <si>
    <t>urban</t>
  </si>
  <si>
    <t>wind adjustment factor</t>
  </si>
  <si>
    <t>Wind reduction factor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</si>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</sst>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\-mm\-yyyy"/>
    <numFmt numFmtId="166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3C3C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1E3E3"/>
        <bgColor indexed="64"/>
      </patternFill>
    </fill>
    <fill>
      <patternFill patternType="solid">
        <fgColor rgb="FFC6D2B4"/>
        <bgColor indexed="64"/>
      </patternFill>
    </fill>
    <fill>
      <patternFill patternType="solid">
        <fgColor rgb="FFEBEFE5"/>
        <bgColor indexed="64"/>
      </patternFill>
    </fill>
    <fill>
      <patternFill patternType="solid">
        <fgColor rgb="FFACD4AC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theme="4" tint="0.3999755851924192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18">
    <xf numFmtId="0" fontId="0" fillId="0" borderId="0" xfId="0"/>
    <xf numFmtId="20" fontId="0" fillId="2" borderId="1" xfId="0" applyNumberFormat="1" applyFill="1" applyBorder="1" applyProtection="1"/>
    <xf numFmtId="0" fontId="0" fillId="2" borderId="1" xfId="0" applyFill="1" applyBorder="1" applyProtection="1"/>
    <xf numFmtId="0" fontId="2" fillId="5" borderId="1" xfId="0" applyFont="1" applyFill="1" applyBorder="1" applyProtection="1"/>
    <xf numFmtId="0" fontId="0" fillId="5" borderId="1" xfId="0" applyFill="1" applyBorder="1" applyProtection="1"/>
    <xf numFmtId="166" fontId="0" fillId="5" borderId="1" xfId="0" applyNumberFormat="1" applyFill="1" applyBorder="1" applyProtection="1"/>
    <xf numFmtId="0" fontId="2" fillId="6" borderId="1" xfId="0" applyFont="1" applyFill="1" applyBorder="1" applyProtection="1"/>
    <xf numFmtId="0" fontId="0" fillId="6" borderId="1" xfId="0" applyFill="1" applyBorder="1" applyProtection="1"/>
    <xf numFmtId="166" fontId="0" fillId="6" borderId="1" xfId="0" applyNumberFormat="1" applyFill="1" applyBorder="1" applyProtection="1"/>
    <xf numFmtId="0" fontId="0" fillId="0" borderId="1" xfId="0" applyBorder="1" applyProtection="1"/>
    <xf numFmtId="164" fontId="0" fillId="2" borderId="1" xfId="0" applyNumberFormat="1" applyFill="1" applyBorder="1" applyProtection="1"/>
    <xf numFmtId="0" fontId="1" fillId="5" borderId="1" xfId="0" applyFont="1" applyFill="1" applyBorder="1" applyAlignment="1" applyProtection="1">
      <alignment horizontal="right" indent="1"/>
    </xf>
    <xf numFmtId="0" fontId="1" fillId="5" borderId="1" xfId="0" applyFont="1" applyFill="1" applyBorder="1" applyProtection="1"/>
    <xf numFmtId="0" fontId="1" fillId="6" borderId="1" xfId="0" applyFont="1" applyFill="1" applyBorder="1" applyProtection="1"/>
    <xf numFmtId="0" fontId="0" fillId="5" borderId="1" xfId="0" applyFill="1" applyBorder="1" applyAlignment="1" applyProtection="1">
      <alignment horizontal="right" wrapText="1" indent="1"/>
    </xf>
    <xf numFmtId="0" fontId="1" fillId="5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/>
    <xf numFmtId="0" fontId="1" fillId="6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>
      <alignment horizontal="right" wrapText="1"/>
    </xf>
    <xf numFmtId="0" fontId="0" fillId="5" borderId="1" xfId="0" applyFill="1" applyBorder="1" applyAlignment="1" applyProtection="1">
      <alignment wrapText="1"/>
    </xf>
    <xf numFmtId="164" fontId="0" fillId="3" borderId="1" xfId="0" applyNumberFormat="1" applyFill="1" applyBorder="1" applyProtection="1">
      <protection locked="0"/>
    </xf>
    <xf numFmtId="20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164" fontId="3" fillId="2" borderId="1" xfId="0" applyNumberFormat="1" applyFont="1" applyFill="1" applyBorder="1" applyProtection="1"/>
    <xf numFmtId="0" fontId="1" fillId="0" borderId="0" xfId="0" applyFont="1"/>
    <xf numFmtId="164" fontId="4" fillId="2" borderId="1" xfId="1" applyNumberFormat="1" applyFill="1" applyBorder="1" applyProtection="1"/>
    <xf numFmtId="0" fontId="0" fillId="8" borderId="1" xfId="0" applyFill="1" applyBorder="1" applyProtection="1"/>
    <xf numFmtId="0" fontId="0" fillId="9" borderId="1" xfId="0" applyFill="1" applyBorder="1" applyProtection="1">
      <protection locked="0"/>
    </xf>
    <xf numFmtId="0" fontId="2" fillId="8" borderId="1" xfId="0" applyFont="1" applyFill="1" applyBorder="1" applyProtection="1"/>
    <xf numFmtId="0" fontId="1" fillId="8" borderId="1" xfId="0" applyFont="1" applyFill="1" applyBorder="1" applyAlignment="1" applyProtection="1">
      <alignment horizontal="right"/>
    </xf>
    <xf numFmtId="166" fontId="0" fillId="8" borderId="1" xfId="0" applyNumberFormat="1" applyFill="1" applyBorder="1" applyProtection="1"/>
    <xf numFmtId="1" fontId="0" fillId="5" borderId="1" xfId="0" applyNumberFormat="1" applyFill="1" applyBorder="1" applyProtection="1"/>
    <xf numFmtId="1" fontId="0" fillId="6" borderId="1" xfId="0" applyNumberFormat="1" applyFill="1" applyBorder="1" applyProtection="1"/>
    <xf numFmtId="1" fontId="0" fillId="8" borderId="1" xfId="0" applyNumberFormat="1" applyFill="1" applyBorder="1" applyProtection="1"/>
    <xf numFmtId="164" fontId="2" fillId="2" borderId="4" xfId="0" applyNumberFormat="1" applyFont="1" applyFill="1" applyBorder="1" applyProtection="1"/>
    <xf numFmtId="20" fontId="0" fillId="2" borderId="4" xfId="0" applyNumberFormat="1" applyFill="1" applyBorder="1" applyProtection="1"/>
    <xf numFmtId="0" fontId="0" fillId="2" borderId="4" xfId="0" applyFill="1" applyBorder="1" applyProtection="1"/>
    <xf numFmtId="0" fontId="0" fillId="5" borderId="4" xfId="0" applyFill="1" applyBorder="1" applyProtection="1"/>
    <xf numFmtId="166" fontId="0" fillId="5" borderId="4" xfId="0" applyNumberFormat="1" applyFill="1" applyBorder="1" applyProtection="1"/>
    <xf numFmtId="0" fontId="0" fillId="6" borderId="4" xfId="0" applyFill="1" applyBorder="1" applyProtection="1"/>
    <xf numFmtId="166" fontId="0" fillId="6" borderId="4" xfId="0" applyNumberFormat="1" applyFill="1" applyBorder="1" applyProtection="1"/>
    <xf numFmtId="0" fontId="0" fillId="8" borderId="4" xfId="0" applyFill="1" applyBorder="1" applyProtection="1"/>
    <xf numFmtId="164" fontId="0" fillId="3" borderId="5" xfId="0" applyNumberFormat="1" applyFill="1" applyBorder="1" applyProtection="1">
      <protection locked="0"/>
    </xf>
    <xf numFmtId="20" fontId="0" fillId="3" borderId="5" xfId="0" applyNumberFormat="1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5" borderId="5" xfId="0" applyFill="1" applyBorder="1" applyProtection="1"/>
    <xf numFmtId="1" fontId="0" fillId="5" borderId="5" xfId="0" applyNumberFormat="1" applyFill="1" applyBorder="1" applyProtection="1"/>
    <xf numFmtId="166" fontId="0" fillId="5" borderId="5" xfId="0" applyNumberFormat="1" applyFill="1" applyBorder="1" applyProtection="1"/>
    <xf numFmtId="0" fontId="0" fillId="6" borderId="5" xfId="0" applyFill="1" applyBorder="1" applyProtection="1"/>
    <xf numFmtId="1" fontId="0" fillId="6" borderId="5" xfId="0" applyNumberFormat="1" applyFill="1" applyBorder="1" applyProtection="1"/>
    <xf numFmtId="166" fontId="0" fillId="6" borderId="5" xfId="0" applyNumberFormat="1" applyFill="1" applyBorder="1" applyProtection="1"/>
    <xf numFmtId="0" fontId="0" fillId="8" borderId="5" xfId="0" applyFill="1" applyBorder="1" applyProtection="1"/>
    <xf numFmtId="1" fontId="0" fillId="8" borderId="5" xfId="0" applyNumberFormat="1" applyFill="1" applyBorder="1" applyProtection="1"/>
    <xf numFmtId="166" fontId="0" fillId="8" borderId="5" xfId="0" applyNumberFormat="1" applyFill="1" applyBorder="1" applyProtection="1"/>
    <xf numFmtId="164" fontId="1" fillId="2" borderId="3" xfId="0" applyNumberFormat="1" applyFont="1" applyFill="1" applyBorder="1" applyAlignment="1" applyProtection="1">
      <alignment horizontal="center" wrapText="1"/>
    </xf>
    <xf numFmtId="20" fontId="1" fillId="2" borderId="3" xfId="0" applyNumberFormat="1" applyFont="1" applyFill="1" applyBorder="1" applyAlignment="1" applyProtection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2" borderId="3" xfId="0" applyFont="1" applyFill="1" applyBorder="1" applyAlignment="1" applyProtection="1">
      <alignment horizontal="center" wrapText="1"/>
    </xf>
    <xf numFmtId="0" fontId="1" fillId="5" borderId="3" xfId="0" applyFont="1" applyFill="1" applyBorder="1" applyAlignment="1" applyProtection="1">
      <alignment horizontal="center" wrapText="1"/>
    </xf>
    <xf numFmtId="166" fontId="1" fillId="5" borderId="3" xfId="0" applyNumberFormat="1" applyFont="1" applyFill="1" applyBorder="1" applyAlignment="1" applyProtection="1">
      <alignment horizontal="center" wrapText="1"/>
    </xf>
    <xf numFmtId="0" fontId="1" fillId="6" borderId="3" xfId="0" applyFont="1" applyFill="1" applyBorder="1" applyAlignment="1" applyProtection="1">
      <alignment horizontal="center" wrapText="1"/>
    </xf>
    <xf numFmtId="166" fontId="1" fillId="6" borderId="3" xfId="0" applyNumberFormat="1" applyFont="1" applyFill="1" applyBorder="1" applyAlignment="1" applyProtection="1">
      <alignment horizontal="center" wrapText="1"/>
    </xf>
    <xf numFmtId="0" fontId="1" fillId="8" borderId="3" xfId="0" applyFont="1" applyFill="1" applyBorder="1" applyAlignment="1" applyProtection="1">
      <alignment horizontal="center" wrapText="1"/>
    </xf>
    <xf numFmtId="0" fontId="1" fillId="2" borderId="4" xfId="0" applyFont="1" applyFill="1" applyBorder="1" applyProtection="1"/>
    <xf numFmtId="0" fontId="0" fillId="3" borderId="4" xfId="0" applyFill="1" applyBorder="1" applyProtection="1">
      <protection locked="0"/>
    </xf>
    <xf numFmtId="166" fontId="0" fillId="4" borderId="1" xfId="0" applyNumberFormat="1" applyFill="1" applyBorder="1" applyProtection="1">
      <protection locked="0"/>
    </xf>
    <xf numFmtId="0" fontId="0" fillId="0" borderId="4" xfId="0" applyBorder="1" applyProtection="1"/>
    <xf numFmtId="0" fontId="0" fillId="0" borderId="5" xfId="0" applyBorder="1" applyProtection="1"/>
    <xf numFmtId="0" fontId="1" fillId="0" borderId="3" xfId="0" applyFont="1" applyBorder="1" applyAlignment="1" applyProtection="1">
      <alignment horizontal="center" wrapText="1"/>
    </xf>
    <xf numFmtId="0" fontId="0" fillId="2" borderId="5" xfId="0" applyFill="1" applyBorder="1" applyProtection="1"/>
    <xf numFmtId="0" fontId="0" fillId="2" borderId="6" xfId="0" applyFill="1" applyBorder="1" applyProtection="1"/>
    <xf numFmtId="0" fontId="2" fillId="10" borderId="1" xfId="0" applyFont="1" applyFill="1" applyBorder="1" applyProtection="1"/>
    <xf numFmtId="0" fontId="0" fillId="10" borderId="1" xfId="0" applyFill="1" applyBorder="1" applyProtection="1"/>
    <xf numFmtId="0" fontId="0" fillId="10" borderId="4" xfId="0" applyFill="1" applyBorder="1" applyProtection="1"/>
    <xf numFmtId="0" fontId="1" fillId="10" borderId="3" xfId="0" applyFont="1" applyFill="1" applyBorder="1" applyAlignment="1" applyProtection="1">
      <alignment horizontal="center" wrapText="1"/>
    </xf>
    <xf numFmtId="166" fontId="1" fillId="10" borderId="3" xfId="0" applyNumberFormat="1" applyFont="1" applyFill="1" applyBorder="1" applyAlignment="1" applyProtection="1">
      <alignment horizontal="center" wrapText="1"/>
    </xf>
    <xf numFmtId="0" fontId="0" fillId="10" borderId="5" xfId="0" applyFill="1" applyBorder="1" applyProtection="1"/>
    <xf numFmtId="0" fontId="0" fillId="11" borderId="1" xfId="0" applyFill="1" applyBorder="1" applyProtection="1"/>
    <xf numFmtId="0" fontId="0" fillId="11" borderId="4" xfId="0" applyFill="1" applyBorder="1" applyProtection="1"/>
    <xf numFmtId="0" fontId="0" fillId="11" borderId="5" xfId="0" applyFill="1" applyBorder="1" applyProtection="1"/>
    <xf numFmtId="0" fontId="1" fillId="11" borderId="3" xfId="0" applyFont="1" applyFill="1" applyBorder="1" applyAlignment="1" applyProtection="1">
      <alignment horizontal="center" wrapText="1"/>
    </xf>
    <xf numFmtId="166" fontId="0" fillId="10" borderId="1" xfId="0" applyNumberFormat="1" applyFill="1" applyBorder="1" applyProtection="1"/>
    <xf numFmtId="0" fontId="1" fillId="10" borderId="1" xfId="0" applyFont="1" applyFill="1" applyBorder="1" applyAlignment="1" applyProtection="1">
      <alignment horizontal="right"/>
    </xf>
    <xf numFmtId="0" fontId="0" fillId="12" borderId="1" xfId="0" applyFill="1" applyBorder="1" applyProtection="1">
      <protection locked="0"/>
    </xf>
    <xf numFmtId="166" fontId="0" fillId="10" borderId="5" xfId="0" applyNumberFormat="1" applyFill="1" applyBorder="1" applyProtection="1"/>
    <xf numFmtId="1" fontId="0" fillId="10" borderId="5" xfId="0" applyNumberFormat="1" applyFill="1" applyBorder="1" applyProtection="1"/>
    <xf numFmtId="1" fontId="0" fillId="10" borderId="1" xfId="0" applyNumberFormat="1" applyFill="1" applyBorder="1" applyProtection="1"/>
    <xf numFmtId="164" fontId="1" fillId="2" borderId="1" xfId="0" applyNumberFormat="1" applyFont="1" applyFill="1" applyBorder="1" applyProtection="1"/>
    <xf numFmtId="164" fontId="5" fillId="2" borderId="1" xfId="0" applyNumberFormat="1" applyFont="1" applyFill="1" applyBorder="1" applyProtection="1"/>
    <xf numFmtId="1" fontId="0" fillId="13" borderId="1" xfId="0" applyNumberFormat="1" applyFill="1" applyBorder="1" applyProtection="1"/>
    <xf numFmtId="1" fontId="2" fillId="13" borderId="1" xfId="0" applyNumberFormat="1" applyFont="1" applyFill="1" applyBorder="1" applyProtection="1"/>
    <xf numFmtId="166" fontId="0" fillId="13" borderId="1" xfId="0" applyNumberFormat="1" applyFill="1" applyBorder="1" applyProtection="1"/>
    <xf numFmtId="1" fontId="1" fillId="13" borderId="1" xfId="0" applyNumberFormat="1" applyFont="1" applyFill="1" applyBorder="1" applyAlignment="1" applyProtection="1">
      <alignment horizontal="right"/>
    </xf>
    <xf numFmtId="1" fontId="0" fillId="13" borderId="4" xfId="0" applyNumberFormat="1" applyFill="1" applyBorder="1" applyProtection="1"/>
    <xf numFmtId="166" fontId="0" fillId="13" borderId="4" xfId="0" applyNumberFormat="1" applyFill="1" applyBorder="1" applyProtection="1"/>
    <xf numFmtId="1" fontId="1" fillId="13" borderId="3" xfId="0" applyNumberFormat="1" applyFont="1" applyFill="1" applyBorder="1" applyAlignment="1" applyProtection="1">
      <alignment horizontal="center" wrapText="1"/>
    </xf>
    <xf numFmtId="166" fontId="1" fillId="13" borderId="3" xfId="0" applyNumberFormat="1" applyFont="1" applyFill="1" applyBorder="1" applyAlignment="1" applyProtection="1">
      <alignment horizontal="center" wrapText="1"/>
    </xf>
    <xf numFmtId="0" fontId="0" fillId="13" borderId="5" xfId="0" applyFill="1" applyBorder="1" applyProtection="1"/>
    <xf numFmtId="1" fontId="0" fillId="13" borderId="5" xfId="0" applyNumberFormat="1" applyFill="1" applyBorder="1" applyProtection="1"/>
    <xf numFmtId="166" fontId="0" fillId="13" borderId="5" xfId="0" applyNumberFormat="1" applyFill="1" applyBorder="1" applyProtection="1"/>
    <xf numFmtId="166" fontId="0" fillId="14" borderId="1" xfId="0" applyNumberFormat="1" applyFill="1" applyBorder="1" applyProtection="1">
      <protection locked="0"/>
    </xf>
    <xf numFmtId="0" fontId="0" fillId="14" borderId="1" xfId="0" applyFill="1" applyBorder="1" applyProtection="1">
      <protection locked="0"/>
    </xf>
    <xf numFmtId="0" fontId="2" fillId="15" borderId="1" xfId="0" applyFont="1" applyFill="1" applyBorder="1" applyProtection="1"/>
    <xf numFmtId="0" fontId="0" fillId="15" borderId="1" xfId="0" applyFill="1" applyBorder="1" applyProtection="1"/>
    <xf numFmtId="0" fontId="1" fillId="15" borderId="1" xfId="0" applyFont="1" applyFill="1" applyBorder="1" applyProtection="1"/>
    <xf numFmtId="0" fontId="1" fillId="15" borderId="1" xfId="0" applyFont="1" applyFill="1" applyBorder="1" applyAlignment="1" applyProtection="1">
      <alignment horizontal="right"/>
    </xf>
    <xf numFmtId="166" fontId="0" fillId="15" borderId="1" xfId="0" applyNumberFormat="1" applyFill="1" applyBorder="1" applyProtection="1"/>
    <xf numFmtId="0" fontId="0" fillId="15" borderId="4" xfId="0" applyFill="1" applyBorder="1" applyProtection="1"/>
    <xf numFmtId="0" fontId="1" fillId="15" borderId="3" xfId="0" applyFont="1" applyFill="1" applyBorder="1" applyAlignment="1" applyProtection="1">
      <alignment horizontal="center" wrapText="1"/>
    </xf>
    <xf numFmtId="0" fontId="0" fillId="15" borderId="5" xfId="0" applyFill="1" applyBorder="1" applyProtection="1"/>
    <xf numFmtId="1" fontId="0" fillId="15" borderId="5" xfId="0" applyNumberFormat="1" applyFill="1" applyBorder="1" applyProtection="1"/>
    <xf numFmtId="166" fontId="0" fillId="15" borderId="5" xfId="0" applyNumberFormat="1" applyFill="1" applyBorder="1" applyProtection="1"/>
    <xf numFmtId="1" fontId="0" fillId="15" borderId="1" xfId="0" applyNumberFormat="1" applyFill="1" applyBorder="1" applyProtection="1"/>
    <xf numFmtId="20" fontId="0" fillId="3" borderId="7" xfId="0" applyNumberFormat="1" applyFill="1" applyBorder="1" applyAlignment="1" applyProtection="1">
      <protection locked="0"/>
    </xf>
    <xf numFmtId="0" fontId="0" fillId="3" borderId="2" xfId="0" applyFill="1" applyBorder="1" applyAlignment="1" applyProtection="1">
      <protection locked="0"/>
    </xf>
  </cellXfs>
  <cellStyles count="2">
    <cellStyle name="Hyperlink" xfId="1" builtinId="8"/>
    <cellStyle name="Normal" xfId="0" builtinId="0"/>
  </cellStyles>
  <dxfs count="32"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ACD4AC"/>
      <color rgb="FFEBEFE5"/>
      <color rgb="FFC6D2B4"/>
      <color rgb="FF93C793"/>
      <color rgb="FFE3C3C3"/>
      <color rgb="FFF1E3E3"/>
      <color rgb="FFF4E8E8"/>
      <color rgb="FFDAAFAF"/>
      <color rgb="FFEFAFAF"/>
      <color rgb="FFE7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_grass_state" displayName="Table_grass_state" comment="lists acceptable grass states" ref="F1:F4" totalsRowShown="0">
  <autoFilter ref="F1:F4"/>
  <tableColumns count="1">
    <tableColumn id="1" name="Grass 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heath_overstorey" displayName="Table_heath_overstorey" ref="H1:I3" totalsRowShown="0">
  <autoFilter ref="H1:I3"/>
  <tableColumns count="2">
    <tableColumn id="1" name="Heath overstorey"/>
    <tableColumn id="2" name="WR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DRS"/>
  <dimension ref="A1:AM60"/>
  <sheetViews>
    <sheetView tabSelected="1" zoomScaleNormal="100" workbookViewId="0">
      <pane xSplit="8" ySplit="14" topLeftCell="I15" activePane="bottomRight" state="frozen"/>
      <selection pane="topRight" activeCell="I1" sqref="I1"/>
      <selection pane="bottomLeft" activeCell="A15" sqref="A15"/>
      <selection pane="bottomRight" activeCell="V24" sqref="V24"/>
    </sheetView>
  </sheetViews>
  <sheetFormatPr defaultRowHeight="14.4" x14ac:dyDescent="0.3"/>
  <cols>
    <col min="1" max="1" width="13.77734375" style="20" customWidth="1"/>
    <col min="2" max="2" width="10.77734375" style="21" customWidth="1"/>
    <col min="3" max="7" width="10.77734375" style="22" customWidth="1"/>
    <col min="8" max="8" width="10.77734375" style="80" customWidth="1"/>
    <col min="9" max="9" width="12.77734375" style="4" customWidth="1"/>
    <col min="10" max="11" width="8.88671875" style="34"/>
    <col min="12" max="12" width="8.88671875" style="5"/>
    <col min="13" max="13" width="8.88671875" style="4"/>
    <col min="14" max="14" width="8.88671875" style="5"/>
    <col min="15" max="15" width="8.88671875" style="7"/>
    <col min="16" max="17" width="8.88671875" style="35"/>
    <col min="18" max="19" width="8.88671875" style="8"/>
    <col min="20" max="22" width="8.88671875" style="92"/>
    <col min="23" max="24" width="8.88671875" style="94"/>
    <col min="25" max="25" width="8.88671875" style="29"/>
    <col min="26" max="27" width="8.88671875" style="36"/>
    <col min="28" max="29" width="8.88671875" style="33"/>
    <col min="30" max="30" width="8.88671875" style="106"/>
    <col min="31" max="32" width="8.88671875" style="115"/>
    <col min="33" max="34" width="8.88671875" style="109"/>
    <col min="35" max="35" width="8.88671875" style="75"/>
    <col min="36" max="37" width="8.88671875" style="89"/>
    <col min="38" max="38" width="8.88671875" style="84"/>
    <col min="39" max="39" width="8.88671875" style="75"/>
    <col min="40" max="16384" width="8.88671875" style="9"/>
  </cols>
  <sheetData>
    <row r="1" spans="1:39" ht="18" x14ac:dyDescent="0.35">
      <c r="A1" s="90" t="s">
        <v>118</v>
      </c>
      <c r="B1" s="116"/>
      <c r="C1" s="117"/>
      <c r="D1" s="2"/>
      <c r="E1" s="2"/>
      <c r="F1" s="2"/>
      <c r="G1" s="2"/>
      <c r="I1" s="3" t="s">
        <v>2</v>
      </c>
      <c r="J1" s="4"/>
      <c r="O1" s="6" t="s">
        <v>16</v>
      </c>
      <c r="P1" s="7"/>
      <c r="Q1" s="7"/>
      <c r="T1" s="93" t="s">
        <v>121</v>
      </c>
      <c r="Y1" s="31" t="s">
        <v>50</v>
      </c>
      <c r="Z1" s="29"/>
      <c r="AA1" s="29"/>
      <c r="AB1" s="29"/>
      <c r="AC1" s="29"/>
      <c r="AD1" s="105" t="s">
        <v>95</v>
      </c>
      <c r="AE1" s="106"/>
      <c r="AF1" s="106"/>
      <c r="AG1" s="106"/>
      <c r="AH1" s="106"/>
      <c r="AI1" s="74" t="s">
        <v>105</v>
      </c>
      <c r="AJ1" s="75"/>
      <c r="AK1" s="75"/>
      <c r="AL1" s="75"/>
    </row>
    <row r="2" spans="1:39" x14ac:dyDescent="0.3">
      <c r="A2" s="90" t="s">
        <v>119</v>
      </c>
      <c r="B2" s="45">
        <v>44833</v>
      </c>
      <c r="C2" s="2"/>
      <c r="D2" s="2"/>
      <c r="E2" s="2"/>
      <c r="F2" s="2"/>
      <c r="G2" s="2"/>
      <c r="I2" s="11" t="s">
        <v>56</v>
      </c>
      <c r="J2" s="23">
        <v>3</v>
      </c>
      <c r="K2" s="12" t="s">
        <v>131</v>
      </c>
      <c r="O2" s="13"/>
      <c r="P2" s="7"/>
      <c r="Q2" s="13" t="s">
        <v>22</v>
      </c>
      <c r="Z2" s="29"/>
      <c r="AA2" s="29"/>
      <c r="AB2" s="32" t="s">
        <v>52</v>
      </c>
      <c r="AC2" s="30">
        <v>0</v>
      </c>
      <c r="AD2" s="107" t="s">
        <v>104</v>
      </c>
      <c r="AE2" s="106"/>
      <c r="AF2" s="108"/>
      <c r="AH2" s="106"/>
      <c r="AJ2" s="75"/>
      <c r="AK2" s="75"/>
      <c r="AL2" s="85" t="s">
        <v>114</v>
      </c>
      <c r="AM2" s="86">
        <v>3</v>
      </c>
    </row>
    <row r="3" spans="1:39" x14ac:dyDescent="0.3">
      <c r="A3" s="90" t="s">
        <v>120</v>
      </c>
      <c r="B3" s="46">
        <v>0.57339120370370367</v>
      </c>
      <c r="C3" s="2"/>
      <c r="D3" s="2"/>
      <c r="E3" s="2"/>
      <c r="F3" s="2"/>
      <c r="G3" s="2"/>
      <c r="I3" s="14"/>
      <c r="J3" s="15" t="s">
        <v>69</v>
      </c>
      <c r="K3" s="16" t="s">
        <v>22</v>
      </c>
      <c r="O3" s="17" t="s">
        <v>24</v>
      </c>
      <c r="P3" s="25" t="s">
        <v>19</v>
      </c>
      <c r="Q3" s="7">
        <f>state_to_load_grass(P3)</f>
        <v>4.5</v>
      </c>
      <c r="V3" s="95" t="s">
        <v>122</v>
      </c>
      <c r="W3" s="103" t="s">
        <v>125</v>
      </c>
      <c r="Z3" s="29"/>
      <c r="AA3" s="29"/>
      <c r="AB3" s="32" t="s">
        <v>51</v>
      </c>
      <c r="AC3" s="30">
        <v>48</v>
      </c>
      <c r="AE3" s="106"/>
      <c r="AF3" s="108"/>
      <c r="AG3" s="108"/>
      <c r="AH3" s="106"/>
      <c r="AJ3" s="75"/>
      <c r="AK3" s="75"/>
      <c r="AL3" s="85" t="s">
        <v>115</v>
      </c>
      <c r="AM3" s="86">
        <v>1</v>
      </c>
    </row>
    <row r="4" spans="1:39" x14ac:dyDescent="0.3">
      <c r="A4" s="90"/>
      <c r="B4" s="1"/>
      <c r="C4" s="2"/>
      <c r="D4" s="2"/>
      <c r="E4" s="2"/>
      <c r="F4" s="2"/>
      <c r="G4" s="2"/>
      <c r="I4" s="18" t="s">
        <v>9</v>
      </c>
      <c r="J4" s="19">
        <f>fl_to_fhs(I4,K4)</f>
        <v>3</v>
      </c>
      <c r="K4" s="24">
        <v>10</v>
      </c>
      <c r="O4" s="17" t="s">
        <v>21</v>
      </c>
      <c r="P4" s="25">
        <v>80</v>
      </c>
      <c r="Q4" s="7"/>
      <c r="V4" s="95" t="s">
        <v>123</v>
      </c>
      <c r="W4" s="103">
        <v>4.5</v>
      </c>
      <c r="Z4" s="29"/>
      <c r="AA4" s="29"/>
      <c r="AB4" s="32" t="s">
        <v>53</v>
      </c>
      <c r="AC4" s="30" t="b">
        <v>0</v>
      </c>
      <c r="AE4" s="106"/>
      <c r="AF4" s="108"/>
      <c r="AG4" s="108"/>
      <c r="AH4" s="106"/>
      <c r="AJ4" s="75"/>
      <c r="AK4" s="75"/>
      <c r="AL4" s="85" t="s">
        <v>116</v>
      </c>
      <c r="AM4" s="86">
        <v>18</v>
      </c>
    </row>
    <row r="5" spans="1:39" ht="15.6" x14ac:dyDescent="0.3">
      <c r="A5" s="91" t="s">
        <v>25</v>
      </c>
      <c r="B5" s="1"/>
      <c r="C5" s="2"/>
      <c r="D5" s="2"/>
      <c r="E5" s="2"/>
      <c r="F5" s="2"/>
      <c r="G5" s="2"/>
      <c r="I5" s="18" t="s">
        <v>10</v>
      </c>
      <c r="J5" s="19">
        <f t="shared" ref="J5:J7" si="0">fl_to_fhs(I5,K5)</f>
        <v>3</v>
      </c>
      <c r="K5" s="24">
        <v>3.5</v>
      </c>
      <c r="P5" s="7"/>
      <c r="Q5" s="7"/>
      <c r="V5" s="95" t="s">
        <v>21</v>
      </c>
      <c r="W5" s="104">
        <v>80</v>
      </c>
      <c r="Z5" s="29"/>
      <c r="AA5" s="29"/>
      <c r="AB5" s="32" t="s">
        <v>57</v>
      </c>
      <c r="AC5" s="30">
        <v>2</v>
      </c>
      <c r="AE5" s="106"/>
      <c r="AF5" s="108"/>
      <c r="AG5" s="108"/>
      <c r="AH5" s="106"/>
      <c r="AJ5" s="75"/>
      <c r="AK5" s="75"/>
      <c r="AL5" s="85" t="s">
        <v>117</v>
      </c>
      <c r="AM5" s="86">
        <v>4.5</v>
      </c>
    </row>
    <row r="6" spans="1:39" x14ac:dyDescent="0.3">
      <c r="A6" s="10" t="s">
        <v>26</v>
      </c>
      <c r="B6" s="1"/>
      <c r="C6" s="2"/>
      <c r="D6" s="2"/>
      <c r="E6" s="2"/>
      <c r="F6" s="2"/>
      <c r="G6" s="2"/>
      <c r="I6" s="18" t="s">
        <v>11</v>
      </c>
      <c r="J6" s="19">
        <f t="shared" si="0"/>
        <v>2</v>
      </c>
      <c r="K6" s="24">
        <v>2</v>
      </c>
      <c r="P6" s="7"/>
      <c r="Q6" s="7"/>
      <c r="V6" s="95" t="s">
        <v>130</v>
      </c>
      <c r="W6" s="103">
        <v>0.5</v>
      </c>
      <c r="Z6" s="29"/>
      <c r="AA6" s="29"/>
      <c r="AB6" s="32" t="s">
        <v>65</v>
      </c>
      <c r="AC6" s="30">
        <v>25</v>
      </c>
      <c r="AE6" s="106"/>
      <c r="AF6" s="108"/>
      <c r="AG6" s="108"/>
      <c r="AH6" s="106"/>
      <c r="AJ6" s="75"/>
      <c r="AK6" s="75"/>
      <c r="AL6" s="85" t="s">
        <v>65</v>
      </c>
      <c r="AM6" s="86">
        <v>20</v>
      </c>
    </row>
    <row r="7" spans="1:39" x14ac:dyDescent="0.3">
      <c r="A7" s="26" t="s">
        <v>27</v>
      </c>
      <c r="B7" s="1"/>
      <c r="C7" s="2"/>
      <c r="D7" s="2"/>
      <c r="E7" s="2"/>
      <c r="F7" s="2"/>
      <c r="G7" s="73"/>
      <c r="H7" s="81"/>
      <c r="I7" s="18" t="s">
        <v>12</v>
      </c>
      <c r="J7" s="19">
        <f t="shared" si="0"/>
        <v>2</v>
      </c>
      <c r="K7" s="24">
        <v>2</v>
      </c>
      <c r="P7" s="7"/>
      <c r="Q7" s="7"/>
      <c r="Z7" s="29"/>
      <c r="AA7" s="29"/>
      <c r="AB7" s="32" t="s">
        <v>30</v>
      </c>
      <c r="AC7" s="36">
        <f>fuel_amount(tables!$C$19,AFDRS!$AC$6,tables!$C$22)</f>
        <v>19.865241060018292</v>
      </c>
      <c r="AE7" s="106"/>
      <c r="AF7" s="106"/>
      <c r="AG7" s="106"/>
      <c r="AH7" s="106"/>
      <c r="AJ7" s="75"/>
      <c r="AK7" s="75"/>
      <c r="AL7" s="85" t="s">
        <v>52</v>
      </c>
      <c r="AM7" s="86">
        <v>0</v>
      </c>
    </row>
    <row r="8" spans="1:39" x14ac:dyDescent="0.3">
      <c r="A8" s="10" t="s">
        <v>28</v>
      </c>
      <c r="B8" s="1"/>
      <c r="C8" s="2"/>
      <c r="D8" s="2"/>
      <c r="E8" s="2"/>
      <c r="F8" s="2"/>
      <c r="G8" s="72"/>
      <c r="H8" s="82"/>
      <c r="I8" s="18" t="s">
        <v>23</v>
      </c>
      <c r="J8" s="19"/>
      <c r="K8" s="24">
        <v>4.5</v>
      </c>
      <c r="P8" s="7"/>
      <c r="Q8" s="7"/>
      <c r="Z8" s="29"/>
      <c r="AA8" s="29"/>
      <c r="AB8" s="29"/>
      <c r="AC8" s="29"/>
      <c r="AE8" s="106"/>
      <c r="AF8" s="106"/>
      <c r="AG8" s="106"/>
      <c r="AH8" s="106"/>
      <c r="AJ8" s="75"/>
      <c r="AK8" s="75"/>
      <c r="AL8" s="85" t="s">
        <v>51</v>
      </c>
      <c r="AM8" s="86">
        <v>48</v>
      </c>
    </row>
    <row r="9" spans="1:39" x14ac:dyDescent="0.3">
      <c r="A9" s="10" t="s">
        <v>68</v>
      </c>
      <c r="B9" s="1"/>
      <c r="C9" s="2"/>
      <c r="D9" s="2"/>
      <c r="E9" s="2"/>
      <c r="F9" s="2"/>
      <c r="G9" s="2"/>
      <c r="I9" s="18"/>
      <c r="J9" s="16" t="s">
        <v>13</v>
      </c>
      <c r="K9" s="19"/>
      <c r="P9" s="7"/>
      <c r="Q9" s="7"/>
      <c r="Z9" s="29"/>
      <c r="AA9" s="29"/>
      <c r="AB9" s="29"/>
      <c r="AC9" s="29"/>
      <c r="AE9" s="106"/>
      <c r="AF9" s="106"/>
      <c r="AG9" s="106"/>
      <c r="AH9" s="106"/>
      <c r="AJ9" s="75"/>
      <c r="AK9" s="75"/>
      <c r="AL9" s="75"/>
    </row>
    <row r="10" spans="1:39" x14ac:dyDescent="0.3">
      <c r="A10" s="26" t="s">
        <v>45</v>
      </c>
      <c r="B10" s="1"/>
      <c r="C10" s="2"/>
      <c r="D10" s="2"/>
      <c r="E10" s="2"/>
      <c r="F10" s="2"/>
      <c r="G10" s="2"/>
      <c r="I10" s="18" t="s">
        <v>10</v>
      </c>
      <c r="J10" s="23">
        <v>20</v>
      </c>
      <c r="K10" s="12" t="s">
        <v>14</v>
      </c>
      <c r="L10" s="15" t="s">
        <v>100</v>
      </c>
      <c r="M10" s="68" t="s">
        <v>102</v>
      </c>
      <c r="P10" s="7"/>
      <c r="Q10" s="7"/>
      <c r="Z10" s="29"/>
      <c r="AA10" s="29"/>
      <c r="AB10" s="29"/>
      <c r="AC10" s="29"/>
      <c r="AE10" s="106"/>
      <c r="AF10" s="106"/>
      <c r="AG10" s="106"/>
      <c r="AH10" s="106"/>
      <c r="AJ10" s="75"/>
      <c r="AK10" s="75"/>
      <c r="AL10" s="75"/>
    </row>
    <row r="11" spans="1:39" x14ac:dyDescent="0.3">
      <c r="A11" s="28" t="s">
        <v>46</v>
      </c>
      <c r="B11" s="1"/>
      <c r="C11" s="2"/>
      <c r="D11" s="2"/>
      <c r="E11" s="2"/>
      <c r="F11" s="2"/>
      <c r="G11" s="2"/>
      <c r="I11" s="18" t="s">
        <v>11</v>
      </c>
      <c r="J11" s="23">
        <v>2</v>
      </c>
      <c r="K11" s="12" t="s">
        <v>15</v>
      </c>
      <c r="L11" s="5" t="s">
        <v>106</v>
      </c>
      <c r="P11" s="7"/>
      <c r="Q11" s="7"/>
      <c r="Z11" s="29"/>
      <c r="AA11" s="29"/>
      <c r="AB11" s="29"/>
      <c r="AC11" s="29"/>
      <c r="AE11" s="106"/>
      <c r="AF11" s="106"/>
      <c r="AG11" s="106"/>
      <c r="AH11" s="106"/>
      <c r="AJ11" s="75"/>
      <c r="AK11" s="75"/>
      <c r="AL11" s="75"/>
    </row>
    <row r="12" spans="1:39" x14ac:dyDescent="0.3">
      <c r="A12" s="26"/>
      <c r="B12" s="1"/>
      <c r="C12" s="2"/>
      <c r="D12" s="2"/>
      <c r="E12" s="2"/>
      <c r="F12" s="2"/>
      <c r="G12" s="2"/>
      <c r="I12" s="18" t="s">
        <v>23</v>
      </c>
      <c r="J12" s="23">
        <v>20</v>
      </c>
      <c r="K12" s="12" t="s">
        <v>15</v>
      </c>
      <c r="P12" s="7"/>
      <c r="Q12" s="7"/>
      <c r="Z12" s="29"/>
      <c r="AA12" s="29"/>
      <c r="AB12" s="29"/>
      <c r="AC12" s="29"/>
      <c r="AE12" s="106"/>
      <c r="AF12" s="106"/>
      <c r="AG12" s="106"/>
      <c r="AH12" s="106"/>
      <c r="AJ12" s="75"/>
      <c r="AK12" s="75"/>
      <c r="AL12" s="75"/>
    </row>
    <row r="13" spans="1:39" s="69" customFormat="1" ht="18" x14ac:dyDescent="0.35">
      <c r="A13" s="37" t="s">
        <v>1</v>
      </c>
      <c r="B13" s="38"/>
      <c r="C13" s="39"/>
      <c r="D13" s="39"/>
      <c r="E13" s="39"/>
      <c r="F13" s="66" t="s">
        <v>96</v>
      </c>
      <c r="G13" s="67">
        <v>100</v>
      </c>
      <c r="H13" s="81"/>
      <c r="I13" s="40"/>
      <c r="J13" s="40"/>
      <c r="K13" s="40"/>
      <c r="L13" s="41"/>
      <c r="M13" s="40"/>
      <c r="N13" s="41"/>
      <c r="O13" s="42"/>
      <c r="P13" s="42"/>
      <c r="Q13" s="42"/>
      <c r="R13" s="43"/>
      <c r="S13" s="43"/>
      <c r="T13" s="96"/>
      <c r="U13" s="96"/>
      <c r="V13" s="96"/>
      <c r="W13" s="97"/>
      <c r="X13" s="97"/>
      <c r="Y13" s="44"/>
      <c r="Z13" s="44"/>
      <c r="AA13" s="44"/>
      <c r="AB13" s="44"/>
      <c r="AC13" s="44"/>
      <c r="AD13" s="110"/>
      <c r="AE13" s="110"/>
      <c r="AF13" s="110"/>
      <c r="AG13" s="110"/>
      <c r="AH13" s="110"/>
      <c r="AI13" s="76"/>
      <c r="AJ13" s="76"/>
      <c r="AK13" s="76"/>
      <c r="AL13" s="76"/>
      <c r="AM13" s="76"/>
    </row>
    <row r="14" spans="1:39" s="71" customFormat="1" ht="60" customHeight="1" x14ac:dyDescent="0.3">
      <c r="A14" s="57" t="s">
        <v>107</v>
      </c>
      <c r="B14" s="58" t="s">
        <v>108</v>
      </c>
      <c r="C14" s="59" t="s">
        <v>109</v>
      </c>
      <c r="D14" s="59" t="s">
        <v>110</v>
      </c>
      <c r="E14" s="59" t="s">
        <v>111</v>
      </c>
      <c r="F14" s="60" t="s">
        <v>112</v>
      </c>
      <c r="G14" s="60" t="s">
        <v>0</v>
      </c>
      <c r="H14" s="83" t="s">
        <v>113</v>
      </c>
      <c r="I14" s="61" t="s">
        <v>97</v>
      </c>
      <c r="J14" s="61" t="s">
        <v>4</v>
      </c>
      <c r="K14" s="61" t="s">
        <v>5</v>
      </c>
      <c r="L14" s="62" t="s">
        <v>6</v>
      </c>
      <c r="M14" s="61" t="s">
        <v>7</v>
      </c>
      <c r="N14" s="62" t="s">
        <v>8</v>
      </c>
      <c r="O14" s="63" t="s">
        <v>97</v>
      </c>
      <c r="P14" s="63" t="s">
        <v>4</v>
      </c>
      <c r="Q14" s="63" t="s">
        <v>5</v>
      </c>
      <c r="R14" s="64" t="s">
        <v>6</v>
      </c>
      <c r="S14" s="64" t="s">
        <v>8</v>
      </c>
      <c r="T14" s="98" t="s">
        <v>97</v>
      </c>
      <c r="U14" s="98" t="s">
        <v>4</v>
      </c>
      <c r="V14" s="98" t="s">
        <v>5</v>
      </c>
      <c r="W14" s="99" t="s">
        <v>6</v>
      </c>
      <c r="X14" s="99" t="s">
        <v>8</v>
      </c>
      <c r="Y14" s="65" t="s">
        <v>97</v>
      </c>
      <c r="Z14" s="65" t="s">
        <v>4</v>
      </c>
      <c r="AA14" s="65" t="s">
        <v>5</v>
      </c>
      <c r="AB14" s="65" t="s">
        <v>6</v>
      </c>
      <c r="AC14" s="65" t="s">
        <v>8</v>
      </c>
      <c r="AD14" s="111" t="s">
        <v>97</v>
      </c>
      <c r="AE14" s="111" t="s">
        <v>4</v>
      </c>
      <c r="AF14" s="111" t="s">
        <v>5</v>
      </c>
      <c r="AG14" s="111" t="s">
        <v>6</v>
      </c>
      <c r="AH14" s="111" t="s">
        <v>8</v>
      </c>
      <c r="AI14" s="77" t="s">
        <v>97</v>
      </c>
      <c r="AJ14" s="77" t="s">
        <v>4</v>
      </c>
      <c r="AK14" s="77" t="s">
        <v>5</v>
      </c>
      <c r="AL14" s="78" t="s">
        <v>6</v>
      </c>
      <c r="AM14" s="78" t="s">
        <v>8</v>
      </c>
    </row>
    <row r="15" spans="1:39" s="70" customFormat="1" x14ac:dyDescent="0.3">
      <c r="A15" s="45">
        <v>44833</v>
      </c>
      <c r="B15" s="46">
        <v>0.57340277777777782</v>
      </c>
      <c r="C15" s="47">
        <v>25</v>
      </c>
      <c r="D15" s="47">
        <v>30</v>
      </c>
      <c r="E15" s="47" t="s">
        <v>132</v>
      </c>
      <c r="F15" s="47">
        <v>20</v>
      </c>
      <c r="G15" s="47">
        <v>8</v>
      </c>
      <c r="H15" s="82">
        <f>backbearing(E15)</f>
        <v>180</v>
      </c>
      <c r="I15" s="48">
        <f t="shared" ref="I15" si="1">fbi(K15,$I$1)</f>
        <v>18</v>
      </c>
      <c r="J15" s="49">
        <f>ROS_forest(F15,$J$4,$J$5,$J$10,N15,G15,$J$2,$G$13,$M$10)</f>
        <v>408.61795303209414</v>
      </c>
      <c r="K15" s="49">
        <f>Intensity_forest(J15,G15,L15,$K$4,$K$5,$K$6,$K$8,$J$12,$J$2,$G$13,$M$10)</f>
        <v>2617.8790392261863</v>
      </c>
      <c r="L15" s="50">
        <f>Flame_height_forest(J15,$J$11)</f>
        <v>5.738792896270752</v>
      </c>
      <c r="M15" s="48">
        <f>Spotting_forest(J15,F15,$J$4)</f>
        <v>252</v>
      </c>
      <c r="N15" s="50">
        <f>FMC_Forest(C15,D15,A15,B15)</f>
        <v>7.5449999999999999</v>
      </c>
      <c r="O15" s="51">
        <f>fbi(Q15,$O$1)</f>
        <v>18</v>
      </c>
      <c r="P15" s="52">
        <f>ROS_grass(F15,S15,$P$4,$P$3)</f>
        <v>2633.49365234375</v>
      </c>
      <c r="Q15" s="52">
        <f>Intensity(P15,$Q$3)</f>
        <v>6122.8725794984839</v>
      </c>
      <c r="R15" s="53">
        <f>Flame_height_grass(P15,$P$3)</f>
        <v>1.0213292837142944</v>
      </c>
      <c r="S15" s="53">
        <f>FMC_Grass(C15,D15)</f>
        <v>8.5950002670288086</v>
      </c>
      <c r="T15" s="100">
        <f>fbi(V15,$T$1)</f>
        <v>12</v>
      </c>
      <c r="U15" s="101">
        <f t="shared" ref="U15" si="2">ROS_woodland(F15,X15,curing_woodland,subtype_woodland,fl_woodland,waf_woodland)</f>
        <v>1316.746826171875</v>
      </c>
      <c r="V15" s="101">
        <f t="shared" ref="V15" si="3">Intensity_woodland(U15,fl_woodland)</f>
        <v>3061.436289749242</v>
      </c>
      <c r="W15" s="102">
        <f t="shared" ref="W15" si="4">Flame_height_woodland(U15,fl_woodland)</f>
        <v>0.83245730400085449</v>
      </c>
      <c r="X15" s="102">
        <f>FMC_woodland(C15,D15)</f>
        <v>8.5950002670288086</v>
      </c>
      <c r="Y15" s="54">
        <f>fbi(AA15,$Y$1)</f>
        <v>14</v>
      </c>
      <c r="Z15" s="55">
        <f>ROS_heath(F15,$AC$5,AC15,$AC$4)</f>
        <v>117.61177465976716</v>
      </c>
      <c r="AA15" s="55">
        <f>intensity_heath(Z15,tables!$C$19,$AC$7,0.2)</f>
        <v>1192.4541904556968</v>
      </c>
      <c r="AB15" s="56">
        <f>Flame_height_heath(AA15)</f>
        <v>1.4077964141083166</v>
      </c>
      <c r="AC15" s="56">
        <f>FMC_heath(C15,D15,$AC$2,$AC$3)</f>
        <v>8.3899999999999988</v>
      </c>
      <c r="AD15" s="112">
        <f>fbi(AF15,$AD$1)</f>
        <v>17</v>
      </c>
      <c r="AE15" s="113">
        <f t="array" ref="AE15:AG15">fb_pine_ensemble(F15,AH15,G15,$G$13)</f>
        <v>816.03883812382151</v>
      </c>
      <c r="AF15" s="113">
        <v>2251.8909951973737</v>
      </c>
      <c r="AG15" s="114">
        <v>4.0868029594421387</v>
      </c>
      <c r="AH15" s="114">
        <f>FMC_pine(C15,D15)</f>
        <v>7.3790998458862305</v>
      </c>
      <c r="AI15" s="79">
        <f>FBI_mallee(F15,AM15,$AM$4,AK15)</f>
        <v>5</v>
      </c>
      <c r="AJ15" s="88">
        <f>ROS_mallee(F15,AM15,$AM$4,$AM$5)</f>
        <v>0</v>
      </c>
      <c r="AK15" s="88">
        <f>Intensity(AJ15,fuel_load_mallee(F15,$AM$6,AM15,$AM$2,$AM$3))</f>
        <v>0</v>
      </c>
      <c r="AL15" s="87">
        <f>flame_height_mallee(AK15)</f>
        <v>0</v>
      </c>
      <c r="AM15" s="79">
        <f>FMC_mallee(C15,D15,A15,B15,$AM$7,$AM$8)</f>
        <v>9.98</v>
      </c>
    </row>
    <row r="16" spans="1:39" x14ac:dyDescent="0.3">
      <c r="A16" s="45"/>
      <c r="B16" s="46"/>
      <c r="C16" s="47"/>
      <c r="D16" s="47"/>
      <c r="E16" s="47"/>
      <c r="F16" s="47"/>
      <c r="G16" s="47"/>
      <c r="H16" s="82"/>
      <c r="I16" s="48"/>
      <c r="J16" s="49"/>
      <c r="K16" s="49"/>
      <c r="L16" s="50"/>
      <c r="M16" s="48"/>
      <c r="N16" s="50"/>
      <c r="O16" s="51"/>
      <c r="P16" s="52"/>
      <c r="Q16" s="52"/>
      <c r="R16" s="53"/>
      <c r="S16" s="53"/>
      <c r="T16" s="100"/>
      <c r="U16" s="101"/>
      <c r="V16" s="101"/>
      <c r="W16" s="102"/>
      <c r="X16" s="102"/>
      <c r="Y16" s="54"/>
      <c r="Z16" s="55"/>
      <c r="AA16" s="55"/>
      <c r="AB16" s="56"/>
      <c r="AC16" s="56"/>
      <c r="AD16" s="112"/>
      <c r="AE16" s="113"/>
      <c r="AF16" s="113"/>
      <c r="AG16" s="114"/>
      <c r="AH16" s="114"/>
      <c r="AI16" s="79"/>
      <c r="AJ16" s="88"/>
      <c r="AK16" s="88"/>
      <c r="AL16" s="87"/>
      <c r="AM16" s="79"/>
    </row>
    <row r="17" spans="1:39" x14ac:dyDescent="0.3">
      <c r="A17" s="45"/>
      <c r="B17" s="46"/>
      <c r="C17" s="47"/>
      <c r="D17" s="47"/>
      <c r="E17" s="47"/>
      <c r="F17" s="47"/>
      <c r="G17" s="47"/>
      <c r="H17" s="82"/>
      <c r="I17" s="48"/>
      <c r="J17" s="49"/>
      <c r="K17" s="49"/>
      <c r="L17" s="50"/>
      <c r="M17" s="48"/>
      <c r="N17" s="50"/>
      <c r="O17" s="51"/>
      <c r="P17" s="52"/>
      <c r="Q17" s="52"/>
      <c r="R17" s="53"/>
      <c r="S17" s="53"/>
      <c r="T17" s="100"/>
      <c r="U17" s="101"/>
      <c r="V17" s="101"/>
      <c r="W17" s="102"/>
      <c r="X17" s="102"/>
      <c r="Y17" s="54"/>
      <c r="Z17" s="55"/>
      <c r="AA17" s="55"/>
      <c r="AB17" s="56"/>
      <c r="AC17" s="56"/>
      <c r="AD17" s="112"/>
      <c r="AE17" s="113"/>
      <c r="AF17" s="113"/>
      <c r="AG17" s="114"/>
      <c r="AH17" s="114"/>
      <c r="AI17" s="79"/>
      <c r="AJ17" s="88"/>
      <c r="AK17" s="88"/>
      <c r="AL17" s="87"/>
      <c r="AM17" s="79"/>
    </row>
    <row r="18" spans="1:39" x14ac:dyDescent="0.3">
      <c r="A18" s="45"/>
      <c r="B18" s="46"/>
      <c r="C18" s="47"/>
      <c r="D18" s="47"/>
      <c r="E18" s="47"/>
      <c r="F18" s="47"/>
      <c r="G18" s="47"/>
      <c r="H18" s="82"/>
      <c r="I18" s="48"/>
      <c r="J18" s="49"/>
      <c r="K18" s="49"/>
      <c r="L18" s="50"/>
      <c r="M18" s="48"/>
      <c r="N18" s="50"/>
      <c r="O18" s="51"/>
      <c r="P18" s="52"/>
      <c r="Q18" s="52"/>
      <c r="R18" s="53"/>
      <c r="S18" s="53"/>
      <c r="T18" s="100"/>
      <c r="U18" s="101"/>
      <c r="V18" s="101"/>
      <c r="W18" s="102"/>
      <c r="X18" s="102"/>
      <c r="Y18" s="54"/>
      <c r="Z18" s="55"/>
      <c r="AA18" s="55"/>
      <c r="AB18" s="56"/>
      <c r="AC18" s="56"/>
      <c r="AD18" s="112"/>
      <c r="AE18" s="113"/>
      <c r="AF18" s="113"/>
      <c r="AG18" s="114"/>
      <c r="AH18" s="114"/>
      <c r="AI18" s="79"/>
      <c r="AJ18" s="88"/>
      <c r="AK18" s="88"/>
      <c r="AL18" s="87"/>
      <c r="AM18" s="79"/>
    </row>
    <row r="19" spans="1:39" x14ac:dyDescent="0.3">
      <c r="A19" s="45"/>
      <c r="B19" s="46"/>
      <c r="C19" s="47"/>
      <c r="D19" s="47"/>
      <c r="E19" s="47"/>
      <c r="F19" s="47"/>
      <c r="G19" s="47"/>
      <c r="H19" s="82"/>
      <c r="I19" s="48"/>
      <c r="J19" s="49"/>
      <c r="K19" s="49"/>
      <c r="L19" s="50"/>
      <c r="M19" s="48"/>
      <c r="N19" s="50"/>
      <c r="O19" s="51"/>
      <c r="P19" s="52"/>
      <c r="Q19" s="52"/>
      <c r="R19" s="53"/>
      <c r="S19" s="53"/>
      <c r="T19" s="100"/>
      <c r="U19" s="101"/>
      <c r="V19" s="101"/>
      <c r="W19" s="102"/>
      <c r="X19" s="102"/>
      <c r="Y19" s="54"/>
      <c r="Z19" s="55"/>
      <c r="AA19" s="55"/>
      <c r="AB19" s="56"/>
      <c r="AC19" s="56"/>
      <c r="AD19" s="112"/>
      <c r="AE19" s="113"/>
      <c r="AF19" s="113"/>
      <c r="AG19" s="114"/>
      <c r="AH19" s="114"/>
      <c r="AI19" s="79"/>
      <c r="AJ19" s="88"/>
      <c r="AK19" s="88"/>
      <c r="AL19" s="87"/>
      <c r="AM19" s="79"/>
    </row>
    <row r="20" spans="1:39" x14ac:dyDescent="0.3">
      <c r="A20" s="45"/>
      <c r="B20" s="46"/>
      <c r="C20" s="47"/>
      <c r="D20" s="47"/>
      <c r="E20" s="47"/>
      <c r="F20" s="47"/>
      <c r="G20" s="47"/>
      <c r="H20" s="82"/>
      <c r="I20" s="48"/>
      <c r="J20" s="49"/>
      <c r="K20" s="49"/>
      <c r="L20" s="50"/>
      <c r="M20" s="48"/>
      <c r="N20" s="50"/>
      <c r="O20" s="51"/>
      <c r="P20" s="52"/>
      <c r="Q20" s="52"/>
      <c r="R20" s="53"/>
      <c r="S20" s="53"/>
      <c r="T20" s="100"/>
      <c r="U20" s="101"/>
      <c r="V20" s="101"/>
      <c r="W20" s="102"/>
      <c r="X20" s="102"/>
      <c r="Y20" s="54"/>
      <c r="Z20" s="55"/>
      <c r="AA20" s="55"/>
      <c r="AB20" s="56"/>
      <c r="AC20" s="56"/>
      <c r="AD20" s="112"/>
      <c r="AE20" s="113"/>
      <c r="AF20" s="113"/>
      <c r="AG20" s="114"/>
      <c r="AH20" s="114"/>
      <c r="AI20" s="79"/>
      <c r="AJ20" s="88"/>
      <c r="AK20" s="88"/>
      <c r="AL20" s="87"/>
      <c r="AM20" s="79"/>
    </row>
    <row r="21" spans="1:39" x14ac:dyDescent="0.3">
      <c r="A21" s="45"/>
      <c r="B21" s="46"/>
      <c r="C21" s="47"/>
      <c r="D21" s="47"/>
      <c r="E21" s="47"/>
      <c r="F21" s="47"/>
      <c r="G21" s="47"/>
      <c r="H21" s="82"/>
      <c r="I21" s="48"/>
      <c r="J21" s="49"/>
      <c r="K21" s="49"/>
      <c r="L21" s="50"/>
      <c r="M21" s="48"/>
      <c r="N21" s="50"/>
      <c r="O21" s="51"/>
      <c r="P21" s="52"/>
      <c r="Q21" s="52"/>
      <c r="R21" s="53"/>
      <c r="S21" s="53"/>
      <c r="T21" s="100"/>
      <c r="U21" s="101"/>
      <c r="V21" s="101"/>
      <c r="W21" s="102"/>
      <c r="X21" s="102"/>
      <c r="Y21" s="54"/>
      <c r="Z21" s="55"/>
      <c r="AA21" s="55"/>
      <c r="AB21" s="56"/>
      <c r="AC21" s="56"/>
      <c r="AD21" s="112"/>
      <c r="AE21" s="113"/>
      <c r="AF21" s="113"/>
      <c r="AG21" s="114"/>
      <c r="AH21" s="114"/>
      <c r="AI21" s="79"/>
      <c r="AJ21" s="88"/>
      <c r="AK21" s="88"/>
      <c r="AL21" s="87"/>
      <c r="AM21" s="79"/>
    </row>
    <row r="22" spans="1:39" x14ac:dyDescent="0.3">
      <c r="A22" s="45"/>
      <c r="B22" s="46"/>
      <c r="C22" s="47"/>
      <c r="D22" s="47"/>
      <c r="E22" s="47"/>
      <c r="F22" s="47"/>
      <c r="G22" s="47"/>
      <c r="H22" s="82"/>
      <c r="I22" s="48"/>
      <c r="J22" s="49"/>
      <c r="K22" s="49"/>
      <c r="L22" s="50"/>
      <c r="M22" s="48"/>
      <c r="N22" s="50"/>
      <c r="O22" s="51"/>
      <c r="P22" s="52"/>
      <c r="Q22" s="52"/>
      <c r="R22" s="53"/>
      <c r="S22" s="53"/>
      <c r="T22" s="100"/>
      <c r="U22" s="101"/>
      <c r="V22" s="101"/>
      <c r="W22" s="102"/>
      <c r="X22" s="102"/>
      <c r="Y22" s="54"/>
      <c r="Z22" s="55"/>
      <c r="AA22" s="55"/>
      <c r="AB22" s="56"/>
      <c r="AC22" s="56"/>
      <c r="AD22" s="112"/>
      <c r="AE22" s="113"/>
      <c r="AF22" s="113"/>
      <c r="AG22" s="114"/>
      <c r="AH22" s="114"/>
      <c r="AI22" s="79"/>
      <c r="AJ22" s="88"/>
      <c r="AK22" s="88"/>
      <c r="AL22" s="87"/>
      <c r="AM22" s="79"/>
    </row>
    <row r="23" spans="1:39" x14ac:dyDescent="0.3">
      <c r="A23" s="45"/>
      <c r="B23" s="46"/>
      <c r="C23" s="47"/>
      <c r="D23" s="47"/>
      <c r="E23" s="47"/>
      <c r="F23" s="47"/>
      <c r="G23" s="47"/>
      <c r="H23" s="82"/>
      <c r="I23" s="48"/>
      <c r="J23" s="49"/>
      <c r="K23" s="49"/>
      <c r="L23" s="50"/>
      <c r="M23" s="48"/>
      <c r="N23" s="50"/>
      <c r="O23" s="51"/>
      <c r="P23" s="52"/>
      <c r="Q23" s="52"/>
      <c r="R23" s="53"/>
      <c r="S23" s="53"/>
      <c r="T23" s="100"/>
      <c r="U23" s="101"/>
      <c r="V23" s="101"/>
      <c r="W23" s="102"/>
      <c r="X23" s="102"/>
      <c r="Y23" s="54"/>
      <c r="Z23" s="55"/>
      <c r="AA23" s="55"/>
      <c r="AB23" s="56"/>
      <c r="AC23" s="56"/>
      <c r="AD23" s="112"/>
      <c r="AE23" s="113"/>
      <c r="AF23" s="113"/>
      <c r="AG23" s="114"/>
      <c r="AH23" s="114"/>
      <c r="AI23" s="79"/>
      <c r="AJ23" s="88"/>
      <c r="AK23" s="88"/>
      <c r="AL23" s="87"/>
      <c r="AM23" s="79"/>
    </row>
    <row r="24" spans="1:39" x14ac:dyDescent="0.3">
      <c r="A24" s="45"/>
      <c r="B24" s="46"/>
      <c r="C24" s="47"/>
      <c r="D24" s="47"/>
      <c r="E24" s="47"/>
      <c r="F24" s="47"/>
      <c r="G24" s="47"/>
      <c r="H24" s="82"/>
      <c r="I24" s="48"/>
      <c r="J24" s="49"/>
      <c r="K24" s="49"/>
      <c r="L24" s="50"/>
      <c r="M24" s="48"/>
      <c r="N24" s="50"/>
      <c r="O24" s="51"/>
      <c r="P24" s="52"/>
      <c r="Q24" s="52"/>
      <c r="R24" s="53"/>
      <c r="S24" s="53"/>
      <c r="T24" s="100"/>
      <c r="U24" s="101"/>
      <c r="V24" s="101"/>
      <c r="W24" s="102"/>
      <c r="X24" s="102"/>
      <c r="Y24" s="54"/>
      <c r="Z24" s="55"/>
      <c r="AA24" s="55"/>
      <c r="AB24" s="56"/>
      <c r="AC24" s="56"/>
      <c r="AD24" s="112"/>
      <c r="AE24" s="113"/>
      <c r="AF24" s="113"/>
      <c r="AG24" s="114"/>
      <c r="AH24" s="114"/>
      <c r="AI24" s="79"/>
      <c r="AJ24" s="88"/>
      <c r="AK24" s="88"/>
      <c r="AL24" s="87"/>
      <c r="AM24" s="79"/>
    </row>
    <row r="25" spans="1:39" x14ac:dyDescent="0.3">
      <c r="H25" s="82"/>
      <c r="I25" s="48"/>
      <c r="J25" s="49"/>
      <c r="K25" s="49"/>
      <c r="L25" s="50"/>
      <c r="M25" s="48"/>
      <c r="N25" s="50"/>
      <c r="O25" s="51"/>
      <c r="P25" s="52"/>
      <c r="Q25" s="52"/>
      <c r="R25" s="53"/>
      <c r="S25" s="53"/>
      <c r="T25" s="100"/>
      <c r="U25" s="101"/>
      <c r="V25" s="101"/>
      <c r="W25" s="102"/>
      <c r="X25" s="102"/>
      <c r="Y25" s="54"/>
      <c r="Z25" s="55"/>
      <c r="AA25" s="55"/>
      <c r="AB25" s="56"/>
      <c r="AC25" s="56"/>
      <c r="AD25" s="112"/>
      <c r="AE25" s="113"/>
      <c r="AF25" s="113"/>
      <c r="AG25" s="114"/>
      <c r="AH25" s="114"/>
      <c r="AI25" s="79"/>
      <c r="AJ25" s="88"/>
      <c r="AK25" s="88"/>
      <c r="AL25" s="87"/>
      <c r="AM25" s="79"/>
    </row>
    <row r="26" spans="1:39" x14ac:dyDescent="0.3">
      <c r="H26" s="82"/>
      <c r="I26" s="48"/>
      <c r="J26" s="49"/>
      <c r="K26" s="49"/>
      <c r="L26" s="50"/>
      <c r="M26" s="48"/>
      <c r="N26" s="50"/>
      <c r="O26" s="51"/>
      <c r="P26" s="52"/>
      <c r="Q26" s="52"/>
      <c r="R26" s="53"/>
      <c r="S26" s="53"/>
      <c r="T26" s="100"/>
      <c r="U26" s="101"/>
      <c r="V26" s="101"/>
      <c r="W26" s="102"/>
      <c r="X26" s="102"/>
      <c r="Y26" s="54"/>
      <c r="Z26" s="55"/>
      <c r="AA26" s="55"/>
      <c r="AB26" s="56"/>
      <c r="AC26" s="56"/>
      <c r="AD26" s="112"/>
      <c r="AE26" s="113"/>
      <c r="AF26" s="113"/>
      <c r="AG26" s="114"/>
      <c r="AH26" s="114"/>
      <c r="AI26" s="79"/>
      <c r="AJ26" s="88"/>
      <c r="AK26" s="88"/>
      <c r="AL26" s="87"/>
      <c r="AM26" s="79"/>
    </row>
    <row r="27" spans="1:39" x14ac:dyDescent="0.3">
      <c r="H27" s="82"/>
      <c r="I27" s="48"/>
      <c r="J27" s="49"/>
      <c r="K27" s="49"/>
      <c r="L27" s="50"/>
      <c r="M27" s="48"/>
      <c r="N27" s="50"/>
      <c r="O27" s="51"/>
      <c r="P27" s="52"/>
      <c r="Q27" s="52"/>
      <c r="R27" s="53"/>
      <c r="S27" s="53"/>
      <c r="T27" s="100"/>
      <c r="U27" s="101"/>
      <c r="V27" s="101"/>
      <c r="W27" s="102"/>
      <c r="X27" s="102"/>
      <c r="Y27" s="54"/>
      <c r="Z27" s="55"/>
      <c r="AA27" s="55"/>
      <c r="AB27" s="56"/>
      <c r="AC27" s="56"/>
      <c r="AD27" s="112"/>
      <c r="AE27" s="113"/>
      <c r="AF27" s="113"/>
      <c r="AG27" s="114"/>
      <c r="AH27" s="114"/>
      <c r="AI27" s="79"/>
      <c r="AJ27" s="88"/>
      <c r="AK27" s="88"/>
      <c r="AL27" s="87"/>
      <c r="AM27" s="79"/>
    </row>
    <row r="28" spans="1:39" x14ac:dyDescent="0.3">
      <c r="H28" s="82"/>
      <c r="I28" s="48"/>
      <c r="J28" s="49"/>
      <c r="K28" s="49"/>
      <c r="L28" s="50"/>
      <c r="M28" s="48"/>
      <c r="N28" s="50"/>
      <c r="O28" s="51"/>
      <c r="P28" s="52"/>
      <c r="Q28" s="52"/>
      <c r="R28" s="53"/>
      <c r="S28" s="53"/>
      <c r="T28" s="100"/>
      <c r="U28" s="101"/>
      <c r="V28" s="101"/>
      <c r="W28" s="102"/>
      <c r="X28" s="102"/>
      <c r="Y28" s="54"/>
      <c r="Z28" s="55"/>
      <c r="AA28" s="55"/>
      <c r="AB28" s="56"/>
      <c r="AC28" s="56"/>
      <c r="AD28" s="112"/>
      <c r="AE28" s="113"/>
      <c r="AF28" s="113"/>
      <c r="AG28" s="114"/>
      <c r="AH28" s="114"/>
      <c r="AI28" s="79"/>
      <c r="AJ28" s="88"/>
      <c r="AK28" s="88"/>
      <c r="AL28" s="87"/>
      <c r="AM28" s="79"/>
    </row>
    <row r="29" spans="1:39" x14ac:dyDescent="0.3">
      <c r="H29" s="82"/>
      <c r="I29" s="48"/>
      <c r="J29" s="49"/>
      <c r="K29" s="49"/>
      <c r="L29" s="50"/>
      <c r="M29" s="48"/>
      <c r="N29" s="50"/>
      <c r="O29" s="51"/>
      <c r="P29" s="52"/>
      <c r="Q29" s="52"/>
      <c r="R29" s="53"/>
      <c r="S29" s="53"/>
      <c r="T29" s="100"/>
      <c r="U29" s="101"/>
      <c r="V29" s="101"/>
      <c r="W29" s="102"/>
      <c r="X29" s="102"/>
      <c r="Y29" s="54"/>
      <c r="Z29" s="55"/>
      <c r="AA29" s="55"/>
      <c r="AB29" s="56"/>
      <c r="AC29" s="56"/>
      <c r="AD29" s="112"/>
      <c r="AE29" s="113"/>
      <c r="AF29" s="113"/>
      <c r="AG29" s="114"/>
      <c r="AH29" s="114"/>
      <c r="AI29" s="79"/>
      <c r="AJ29" s="88"/>
      <c r="AK29" s="88"/>
      <c r="AL29" s="87"/>
      <c r="AM29" s="79"/>
    </row>
    <row r="30" spans="1:39" x14ac:dyDescent="0.3">
      <c r="H30" s="82"/>
      <c r="I30" s="48"/>
      <c r="J30" s="49"/>
      <c r="K30" s="49"/>
      <c r="L30" s="50"/>
      <c r="M30" s="48"/>
      <c r="N30" s="50"/>
      <c r="O30" s="51"/>
      <c r="P30" s="52"/>
      <c r="Q30" s="52"/>
      <c r="R30" s="53"/>
      <c r="S30" s="53"/>
      <c r="T30" s="100"/>
      <c r="U30" s="101"/>
      <c r="V30" s="101"/>
      <c r="W30" s="102"/>
      <c r="X30" s="102"/>
      <c r="Y30" s="54"/>
      <c r="Z30" s="55"/>
      <c r="AA30" s="55"/>
      <c r="AB30" s="56"/>
      <c r="AC30" s="56"/>
      <c r="AD30" s="112"/>
      <c r="AE30" s="113"/>
      <c r="AF30" s="113"/>
      <c r="AG30" s="114"/>
      <c r="AH30" s="114"/>
      <c r="AI30" s="79"/>
      <c r="AJ30" s="88"/>
      <c r="AK30" s="88"/>
      <c r="AL30" s="87"/>
      <c r="AM30" s="79"/>
    </row>
    <row r="31" spans="1:39" x14ac:dyDescent="0.3">
      <c r="P31" s="7"/>
      <c r="Q31" s="7"/>
      <c r="T31" s="101"/>
      <c r="U31" s="101"/>
      <c r="V31" s="101"/>
      <c r="W31" s="102"/>
      <c r="X31" s="102"/>
      <c r="Y31" s="54"/>
      <c r="Z31" s="54"/>
      <c r="AA31" s="54"/>
      <c r="AD31" s="112"/>
      <c r="AE31" s="112"/>
    </row>
    <row r="32" spans="1:39" x14ac:dyDescent="0.3">
      <c r="P32" s="7"/>
      <c r="Q32" s="7"/>
      <c r="T32" s="101"/>
      <c r="U32" s="101"/>
      <c r="V32" s="101"/>
      <c r="W32" s="102"/>
      <c r="X32" s="102"/>
      <c r="Y32" s="54"/>
      <c r="Z32" s="54"/>
      <c r="AA32" s="54"/>
      <c r="AD32" s="112"/>
      <c r="AE32" s="112"/>
    </row>
    <row r="33" spans="16:31" x14ac:dyDescent="0.3">
      <c r="P33" s="7"/>
      <c r="Q33" s="7"/>
      <c r="T33" s="101"/>
      <c r="U33" s="101"/>
      <c r="V33" s="101"/>
      <c r="W33" s="102"/>
      <c r="X33" s="102"/>
      <c r="Y33" s="54"/>
      <c r="Z33" s="54"/>
      <c r="AA33" s="54"/>
      <c r="AD33" s="112"/>
      <c r="AE33" s="112"/>
    </row>
    <row r="34" spans="16:31" x14ac:dyDescent="0.3">
      <c r="P34" s="7"/>
      <c r="Q34" s="7"/>
      <c r="T34" s="101"/>
      <c r="U34" s="101"/>
      <c r="V34" s="101"/>
      <c r="W34" s="102"/>
      <c r="X34" s="102"/>
      <c r="Y34" s="54"/>
      <c r="Z34" s="54"/>
      <c r="AA34" s="54"/>
      <c r="AD34" s="112"/>
      <c r="AE34" s="112"/>
    </row>
    <row r="35" spans="16:31" x14ac:dyDescent="0.3">
      <c r="P35" s="7"/>
      <c r="Q35" s="7"/>
      <c r="T35" s="101"/>
      <c r="U35" s="101"/>
      <c r="V35" s="101"/>
      <c r="W35" s="102"/>
      <c r="X35" s="102"/>
      <c r="Y35" s="54"/>
      <c r="Z35" s="54"/>
      <c r="AA35" s="54"/>
      <c r="AD35" s="112"/>
      <c r="AE35" s="112"/>
    </row>
    <row r="36" spans="16:31" x14ac:dyDescent="0.3">
      <c r="P36" s="7"/>
      <c r="Q36" s="7"/>
      <c r="T36" s="101"/>
      <c r="U36" s="101"/>
      <c r="V36" s="101"/>
      <c r="W36" s="102"/>
      <c r="X36" s="102"/>
      <c r="Y36" s="54"/>
      <c r="Z36" s="54"/>
      <c r="AA36" s="54"/>
      <c r="AD36" s="112"/>
      <c r="AE36" s="112"/>
    </row>
    <row r="37" spans="16:31" x14ac:dyDescent="0.3">
      <c r="P37" s="7"/>
      <c r="Q37" s="7"/>
      <c r="T37" s="101"/>
      <c r="U37" s="101"/>
      <c r="V37" s="101"/>
      <c r="W37" s="102"/>
      <c r="X37" s="102"/>
      <c r="Y37" s="54"/>
      <c r="Z37" s="54"/>
      <c r="AA37" s="54"/>
      <c r="AD37" s="112"/>
      <c r="AE37" s="112"/>
    </row>
    <row r="38" spans="16:31" x14ac:dyDescent="0.3">
      <c r="P38" s="7"/>
      <c r="Q38" s="7"/>
      <c r="T38" s="101"/>
      <c r="U38" s="101"/>
      <c r="V38" s="101"/>
      <c r="W38" s="102"/>
      <c r="X38" s="102"/>
      <c r="Y38" s="54"/>
      <c r="Z38" s="54"/>
      <c r="AA38" s="54"/>
      <c r="AD38" s="112"/>
      <c r="AE38" s="112"/>
    </row>
    <row r="39" spans="16:31" x14ac:dyDescent="0.3">
      <c r="P39" s="7"/>
      <c r="Q39" s="7"/>
      <c r="T39" s="101"/>
      <c r="U39" s="101"/>
      <c r="V39" s="101"/>
      <c r="W39" s="102"/>
      <c r="X39" s="102"/>
      <c r="Y39" s="54"/>
      <c r="Z39" s="54"/>
      <c r="AA39" s="54"/>
      <c r="AD39" s="112"/>
      <c r="AE39" s="112"/>
    </row>
    <row r="40" spans="16:31" x14ac:dyDescent="0.3">
      <c r="P40" s="7"/>
      <c r="Q40" s="7"/>
      <c r="T40" s="101"/>
      <c r="U40" s="101"/>
      <c r="V40" s="101"/>
      <c r="W40" s="102"/>
      <c r="X40" s="102"/>
      <c r="Y40" s="54"/>
      <c r="Z40" s="54"/>
      <c r="AA40" s="54"/>
      <c r="AD40" s="112"/>
      <c r="AE40" s="112"/>
    </row>
    <row r="41" spans="16:31" x14ac:dyDescent="0.3">
      <c r="P41" s="7"/>
      <c r="Q41" s="7"/>
      <c r="T41" s="101"/>
      <c r="U41" s="101"/>
      <c r="V41" s="101"/>
      <c r="W41" s="102"/>
      <c r="X41" s="102"/>
      <c r="Y41" s="54"/>
      <c r="Z41" s="54"/>
      <c r="AA41" s="54"/>
      <c r="AD41" s="112"/>
      <c r="AE41" s="112"/>
    </row>
    <row r="42" spans="16:31" x14ac:dyDescent="0.3">
      <c r="P42" s="7"/>
      <c r="Q42" s="7"/>
      <c r="T42" s="101"/>
      <c r="U42" s="101"/>
      <c r="V42" s="101"/>
      <c r="W42" s="102"/>
      <c r="X42" s="102"/>
      <c r="Y42" s="54"/>
      <c r="Z42" s="54"/>
      <c r="AA42" s="54"/>
      <c r="AD42" s="112"/>
      <c r="AE42" s="112"/>
    </row>
    <row r="43" spans="16:31" x14ac:dyDescent="0.3">
      <c r="P43" s="7"/>
      <c r="Q43" s="7"/>
      <c r="T43" s="101"/>
      <c r="U43" s="101"/>
      <c r="V43" s="101"/>
      <c r="W43" s="102"/>
      <c r="X43" s="102"/>
      <c r="Y43" s="54"/>
      <c r="Z43" s="54"/>
      <c r="AA43" s="54"/>
      <c r="AD43" s="112"/>
      <c r="AE43" s="112"/>
    </row>
    <row r="44" spans="16:31" x14ac:dyDescent="0.3">
      <c r="P44" s="7"/>
      <c r="Q44" s="7"/>
      <c r="T44" s="101"/>
      <c r="U44" s="101"/>
      <c r="V44" s="101"/>
      <c r="W44" s="102"/>
      <c r="X44" s="102"/>
      <c r="Y44" s="54"/>
      <c r="Z44" s="54"/>
      <c r="AA44" s="54"/>
      <c r="AD44" s="112"/>
      <c r="AE44" s="112"/>
    </row>
    <row r="45" spans="16:31" x14ac:dyDescent="0.3">
      <c r="P45" s="7"/>
      <c r="Q45" s="7"/>
      <c r="T45" s="101"/>
      <c r="U45" s="101"/>
      <c r="V45" s="101"/>
      <c r="W45" s="102"/>
      <c r="X45" s="102"/>
      <c r="Y45" s="54"/>
      <c r="Z45" s="54"/>
      <c r="AA45" s="54"/>
      <c r="AD45" s="112"/>
      <c r="AE45" s="112"/>
    </row>
    <row r="46" spans="16:31" x14ac:dyDescent="0.3">
      <c r="P46" s="7"/>
      <c r="Q46" s="7"/>
      <c r="T46" s="101"/>
      <c r="U46" s="101"/>
      <c r="V46" s="101"/>
      <c r="W46" s="102"/>
      <c r="X46" s="102"/>
      <c r="Y46" s="54"/>
      <c r="Z46" s="54"/>
      <c r="AA46" s="54"/>
      <c r="AD46" s="112"/>
      <c r="AE46" s="112"/>
    </row>
    <row r="47" spans="16:31" x14ac:dyDescent="0.3">
      <c r="P47" s="7"/>
      <c r="Q47" s="7"/>
      <c r="T47" s="101"/>
      <c r="U47" s="101"/>
      <c r="V47" s="101"/>
      <c r="W47" s="102"/>
      <c r="X47" s="102"/>
      <c r="Y47" s="54"/>
      <c r="Z47" s="54"/>
      <c r="AA47" s="54"/>
      <c r="AD47" s="112"/>
      <c r="AE47" s="112"/>
    </row>
    <row r="48" spans="16:31" x14ac:dyDescent="0.3">
      <c r="P48" s="7"/>
      <c r="Q48" s="7"/>
      <c r="T48" s="101"/>
      <c r="U48" s="101"/>
      <c r="V48" s="101"/>
      <c r="W48" s="102"/>
      <c r="X48" s="102"/>
      <c r="Y48" s="54"/>
      <c r="Z48" s="54"/>
      <c r="AA48" s="54"/>
      <c r="AD48" s="112"/>
      <c r="AE48" s="112"/>
    </row>
    <row r="49" spans="16:31" x14ac:dyDescent="0.3">
      <c r="P49" s="7"/>
      <c r="Q49" s="7"/>
      <c r="T49" s="101"/>
      <c r="U49" s="101"/>
      <c r="V49" s="101"/>
      <c r="W49" s="102"/>
      <c r="X49" s="102"/>
      <c r="Y49" s="54"/>
      <c r="Z49" s="54"/>
      <c r="AA49" s="54"/>
      <c r="AD49" s="112"/>
      <c r="AE49" s="112"/>
    </row>
    <row r="50" spans="16:31" x14ac:dyDescent="0.3">
      <c r="P50" s="7"/>
      <c r="Q50" s="7"/>
      <c r="T50" s="101"/>
      <c r="U50" s="101"/>
      <c r="V50" s="101"/>
      <c r="W50" s="102"/>
      <c r="X50" s="102"/>
      <c r="Y50" s="54"/>
      <c r="Z50" s="54"/>
      <c r="AA50" s="54"/>
      <c r="AD50" s="112"/>
      <c r="AE50" s="112"/>
    </row>
    <row r="51" spans="16:31" x14ac:dyDescent="0.3">
      <c r="P51" s="7"/>
      <c r="Q51" s="7"/>
      <c r="T51" s="101"/>
      <c r="U51" s="101"/>
      <c r="V51" s="101"/>
      <c r="W51" s="102"/>
      <c r="X51" s="102"/>
      <c r="Y51" s="54"/>
      <c r="Z51" s="54"/>
      <c r="AA51" s="54"/>
      <c r="AD51" s="112"/>
      <c r="AE51" s="112"/>
    </row>
    <row r="52" spans="16:31" x14ac:dyDescent="0.3">
      <c r="P52" s="7"/>
      <c r="Q52" s="7"/>
      <c r="T52" s="101"/>
      <c r="U52" s="101"/>
      <c r="V52" s="101"/>
      <c r="W52" s="102"/>
      <c r="X52" s="102"/>
      <c r="Y52" s="54"/>
      <c r="Z52" s="54"/>
      <c r="AA52" s="54"/>
      <c r="AD52" s="112"/>
      <c r="AE52" s="112"/>
    </row>
    <row r="53" spans="16:31" x14ac:dyDescent="0.3">
      <c r="P53" s="7"/>
      <c r="Q53" s="7"/>
      <c r="T53" s="101"/>
      <c r="U53" s="101"/>
      <c r="V53" s="101"/>
      <c r="W53" s="102"/>
      <c r="X53" s="102"/>
      <c r="Y53" s="54"/>
      <c r="Z53" s="54"/>
      <c r="AA53" s="54"/>
      <c r="AD53" s="112"/>
      <c r="AE53" s="112"/>
    </row>
    <row r="54" spans="16:31" x14ac:dyDescent="0.3">
      <c r="P54" s="7"/>
      <c r="Q54" s="7"/>
      <c r="T54" s="101"/>
      <c r="U54" s="101"/>
      <c r="V54" s="101"/>
      <c r="W54" s="102"/>
      <c r="X54" s="102"/>
      <c r="Y54" s="54"/>
      <c r="Z54" s="54"/>
      <c r="AA54" s="54"/>
      <c r="AD54" s="112"/>
      <c r="AE54" s="112"/>
    </row>
    <row r="55" spans="16:31" x14ac:dyDescent="0.3">
      <c r="P55" s="7"/>
      <c r="Q55" s="7"/>
      <c r="T55" s="101"/>
      <c r="U55" s="101"/>
      <c r="V55" s="101"/>
      <c r="W55" s="102"/>
      <c r="X55" s="102"/>
      <c r="Y55" s="54"/>
      <c r="Z55" s="54"/>
      <c r="AA55" s="54"/>
      <c r="AD55" s="112"/>
      <c r="AE55" s="112"/>
    </row>
    <row r="56" spans="16:31" x14ac:dyDescent="0.3">
      <c r="P56" s="7"/>
      <c r="Q56" s="7"/>
      <c r="T56" s="101"/>
      <c r="U56" s="101"/>
      <c r="V56" s="101"/>
      <c r="W56" s="102"/>
      <c r="X56" s="102"/>
      <c r="Y56" s="54"/>
      <c r="Z56" s="54"/>
      <c r="AA56" s="54"/>
      <c r="AD56" s="112"/>
      <c r="AE56" s="112"/>
    </row>
    <row r="57" spans="16:31" x14ac:dyDescent="0.3">
      <c r="P57" s="7"/>
      <c r="Q57" s="7"/>
      <c r="T57" s="101"/>
      <c r="U57" s="101"/>
      <c r="V57" s="101"/>
      <c r="W57" s="102"/>
      <c r="X57" s="102"/>
      <c r="Y57" s="54"/>
      <c r="Z57" s="54"/>
      <c r="AA57" s="54"/>
    </row>
    <row r="58" spans="16:31" x14ac:dyDescent="0.3">
      <c r="P58" s="7"/>
      <c r="Q58" s="7"/>
      <c r="T58" s="101"/>
      <c r="U58" s="101"/>
      <c r="V58" s="101"/>
      <c r="W58" s="102"/>
      <c r="X58" s="102"/>
      <c r="Y58" s="54"/>
      <c r="Z58" s="54"/>
      <c r="AA58" s="54"/>
    </row>
    <row r="59" spans="16:31" x14ac:dyDescent="0.3">
      <c r="P59" s="7"/>
      <c r="Q59" s="7"/>
      <c r="T59" s="101"/>
      <c r="U59" s="101"/>
      <c r="V59" s="101"/>
      <c r="W59" s="102"/>
      <c r="X59" s="102"/>
      <c r="Y59" s="54"/>
      <c r="Z59" s="54"/>
      <c r="AA59" s="54"/>
    </row>
    <row r="60" spans="16:31" x14ac:dyDescent="0.3">
      <c r="P60" s="7"/>
      <c r="Q60" s="7"/>
    </row>
  </sheetData>
  <sheetProtection sheet="1" objects="1" scenarios="1"/>
  <mergeCells count="1">
    <mergeCell ref="B1:C1"/>
  </mergeCells>
  <conditionalFormatting sqref="O31:Q60 O15:O1048576">
    <cfRule type="expression" dxfId="31" priority="25">
      <formula>$O15&gt;=100</formula>
    </cfRule>
    <cfRule type="expression" dxfId="30" priority="26">
      <formula>$O15&gt;=50</formula>
    </cfRule>
    <cfRule type="expression" dxfId="29" priority="27">
      <formula>$O15&gt;=24</formula>
    </cfRule>
    <cfRule type="expression" dxfId="28" priority="28">
      <formula>$O15&gt;=12</formula>
    </cfRule>
  </conditionalFormatting>
  <conditionalFormatting sqref="I15:I1048576">
    <cfRule type="expression" dxfId="27" priority="29">
      <formula>$I15&gt;=100</formula>
    </cfRule>
    <cfRule type="expression" dxfId="26" priority="30">
      <formula>$I15&gt;50</formula>
    </cfRule>
    <cfRule type="expression" dxfId="25" priority="31">
      <formula>$I15&gt;=24</formula>
    </cfRule>
    <cfRule type="expression" dxfId="24" priority="32">
      <formula>$I15&gt;=12</formula>
    </cfRule>
  </conditionalFormatting>
  <conditionalFormatting sqref="Y60:Y179 Y15:Y30">
    <cfRule type="expression" dxfId="23" priority="24">
      <formula>$Y15&gt;=12</formula>
    </cfRule>
  </conditionalFormatting>
  <conditionalFormatting sqref="Y60:Y179 Y15:Y30">
    <cfRule type="expression" dxfId="22" priority="21">
      <formula>$Y15&gt;=100</formula>
    </cfRule>
    <cfRule type="expression" dxfId="21" priority="22">
      <formula>$Y15&gt;=50</formula>
    </cfRule>
    <cfRule type="expression" dxfId="20" priority="23">
      <formula>$Y15&gt;=24</formula>
    </cfRule>
  </conditionalFormatting>
  <conditionalFormatting sqref="AD57:AD179 AD15:AD30">
    <cfRule type="expression" dxfId="19" priority="20">
      <formula>$AD15&gt;=12</formula>
    </cfRule>
  </conditionalFormatting>
  <conditionalFormatting sqref="AD57:AD179 AD15:AD30">
    <cfRule type="expression" dxfId="18" priority="17">
      <formula>$AD15&gt;=100</formula>
    </cfRule>
    <cfRule type="expression" dxfId="17" priority="18">
      <formula>$AD15&gt;=50</formula>
    </cfRule>
    <cfRule type="expression" dxfId="16" priority="19">
      <formula>$AD15&gt;=24</formula>
    </cfRule>
  </conditionalFormatting>
  <conditionalFormatting sqref="AI15:AI30">
    <cfRule type="expression" dxfId="15" priority="16">
      <formula>AI15&gt;=12</formula>
    </cfRule>
  </conditionalFormatting>
  <conditionalFormatting sqref="AI15:AI30">
    <cfRule type="expression" dxfId="14" priority="13">
      <formula>AI15&gt;=100</formula>
    </cfRule>
    <cfRule type="expression" dxfId="13" priority="14">
      <formula>AI15&gt;=50</formula>
    </cfRule>
    <cfRule type="expression" dxfId="12" priority="15">
      <formula>AI15&gt;=24</formula>
    </cfRule>
  </conditionalFormatting>
  <conditionalFormatting sqref="Y31:AA59">
    <cfRule type="expression" dxfId="11" priority="12">
      <formula>$Y31&gt;=12</formula>
    </cfRule>
  </conditionalFormatting>
  <conditionalFormatting sqref="Y31:AA59">
    <cfRule type="expression" dxfId="10" priority="9">
      <formula>$Y31&gt;=100</formula>
    </cfRule>
    <cfRule type="expression" dxfId="9" priority="10">
      <formula>$Y31&gt;=50</formula>
    </cfRule>
    <cfRule type="expression" dxfId="8" priority="11">
      <formula>$Y31&gt;=24</formula>
    </cfRule>
  </conditionalFormatting>
  <conditionalFormatting sqref="AD31:AE56">
    <cfRule type="expression" dxfId="7" priority="8">
      <formula>$AD31&gt;=12</formula>
    </cfRule>
  </conditionalFormatting>
  <conditionalFormatting sqref="AD31:AE56">
    <cfRule type="expression" dxfId="6" priority="5">
      <formula>$AD31&gt;=100</formula>
    </cfRule>
    <cfRule type="expression" dxfId="5" priority="6">
      <formula>$AD31&gt;=50</formula>
    </cfRule>
    <cfRule type="expression" dxfId="4" priority="7">
      <formula>$AD31&gt;=24</formula>
    </cfRule>
  </conditionalFormatting>
  <conditionalFormatting sqref="T15:T30">
    <cfRule type="expression" dxfId="3" priority="1">
      <formula>$O15&gt;=100</formula>
    </cfRule>
    <cfRule type="expression" dxfId="2" priority="2">
      <formula>$O15&gt;=50</formula>
    </cfRule>
    <cfRule type="expression" dxfId="1" priority="3">
      <formula>$O15&gt;=24</formula>
    </cfRule>
    <cfRule type="expression" dxfId="0" priority="4">
      <formula>$O15&gt;=12</formula>
    </cfRule>
  </conditionalFormatting>
  <dataValidations count="23">
    <dataValidation type="decimal" allowBlank="1" showInputMessage="1" showErrorMessage="1" errorTitle="Invalid Curing %" error="Choose a value between 0 and 100" promptTitle="Curing (%)" prompt="select a value betwen 0 and 100" sqref="Q4:R4">
      <formula1>0</formula1>
      <formula2>100</formula2>
    </dataValidation>
    <dataValidation type="decimal" errorStyle="warning" showInputMessage="1" showErrorMessage="1" errorTitle="Invalid WAF" error="Enter a number between 1 and 6" promptTitle="WAF" prompt="Enter a number between 1 and 6._x000a_Dry-open eucalypt forest typically has values 3.0 to 3.5_x000a_Wet forest typically has values 4.5 to 6_x000a_" sqref="J2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J8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R2">
      <formula1>$B$2:$B$4</formula1>
    </dataValidation>
    <dataValidation type="decimal" showInputMessage="1" showErrorMessage="1" errorTitle="Invalid Fuel Load" error="Enter a near-surface fine fuel load between 0 and 8 t/ha" promptTitle="Fine Fuel Load" prompt="Enter a near-surface fine fuel load between 0 and 8 t/ha_x000a_Check that Fine Fuel Load is consistent with the entered VESTA Hazard Score" sqref="K5">
      <formula1>0</formula1>
      <formula2>8</formula2>
    </dataValidation>
    <dataValidation type="decimal" showInputMessage="1" showErrorMessage="1" errorTitle="Invalid Fuel Load" error="Enter a surface fine fuel load between 0 and 20 t/ha" promptTitle="Fine Fuel Load" prompt="Enter a surface fine fuel load between 0 and 20 t/ha_x000a_Check that Fine Fuel Load is consistent with the entered VESTA Hazard Score" sqref="K4">
      <formula1>0</formula1>
      <formula2>20</formula2>
    </dataValidation>
    <dataValidation type="decimal" showInputMessage="1" showErrorMessage="1" errorTitle="Invalid Fuel Load" error="Enter an elevated fine fuel load between 0 and 8 t/ha" promptTitle="Fine Fuel Load" prompt="Enter an elevated fine fuel load between 0 and 8 t/ha_x000a_Check that Fine Fuel Load is consistent with the entered VESTA Hazard Score" sqref="K6">
      <formula1>0</formula1>
      <formula2>8</formula2>
    </dataValidation>
    <dataValidation type="decimal" showInputMessage="1" showErrorMessage="1" errorTitle="Invalid Fuel Load" error="Enter a bark fine fuel load between 0 and 8 t/ha" promptTitle="Fine Fuel Load" prompt="Enter a bark fine fuel load between 0 and 8 t/ha_x000a_Check that Fine Fuel Load is consistent with the entered VESTA Hazard Score" sqref="K7">
      <formula1>0</formula1>
      <formula2>8</formula2>
    </dataValidation>
    <dataValidation type="decimal" showInputMessage="1" showErrorMessage="1" errorTitle="Invalid Fuel Load" error="Enter a canopy fine fuel load between 0 and 15 t/ha" promptTitle="Canopy Fuel Load" prompt="Enter a canopy fine fuel load between 0 and 15 t/ha" sqref="K8">
      <formula1>0</formula1>
      <formula2>15</formula2>
    </dataValidation>
    <dataValidation type="whole" showInputMessage="1" showErrorMessage="1" errorTitle="Invalid Height" error="Enter an AVERAGE near-surface fuel height between 0 and 40 cm" promptTitle="Near-surface Fuel Height" prompt="Enter an AVERAGE near-surface fuel height between 0 and 40 cm" sqref="J10">
      <formula1>0</formula1>
      <formula2>40</formula2>
    </dataValidation>
    <dataValidation type="decimal" showInputMessage="1" showErrorMessage="1" errorTitle="Invalid Fuel Height" error="Enter an AVERAGE elevated fuel height between 0 and 4 m" promptTitle="Elevated Fuel Height" prompt="Enter an AVERAGE elevated fuel height between 0 and 4 m" sqref="J11">
      <formula1>0</formula1>
      <formula2>4</formula2>
    </dataValidation>
    <dataValidation type="decimal" showInputMessage="1" showErrorMessage="1" promptTitle="Canopy Fuel Height" prompt="Enter an AVERAGE canopy fuel height between 10 and 60 m" sqref="J12">
      <formula1>10</formula1>
      <formula2>60</formula2>
    </dataValidation>
    <dataValidation type="decimal" allowBlank="1" showInputMessage="1" showErrorMessage="1" errorTitle="Invalid Curing %" error="Choose a value between 0 and 100" promptTitle="Curing (%)" prompt="enter a value betwen 0 and 100" sqref="P4 W5">
      <formula1>0</formula1>
      <formula2>100</formula2>
    </dataValidation>
    <dataValidation type="whole" allowBlank="1" showInputMessage="1" showErrorMessage="1" errorTitle="Invalid KBDI" error="enter a value between 0 and 200" promptTitle="KBDI" prompt="enter a value between 0 and 200 mm_x000a_Keetch Byram Drought Index is the precipitation necessary to saturate the soil" sqref="G13:H13">
      <formula1>0</formula1>
      <formula2>200</formula2>
    </dataValidation>
    <dataValidation type="whole" allowBlank="1" showInputMessage="1" showErrorMessage="1" errorTitle="Invalid precipitation" error="Enter a value between 0 and 100 mm" promptTitle="Precipitation last 48 hours" prompt="Enter a value between 1 and 100 mm" sqref="AC2 AM7">
      <formula1>0</formula1>
      <formula2>100</formula2>
    </dataValidation>
    <dataValidation type="whole" allowBlank="1" showInputMessage="1" showErrorMessage="1" errorTitle="Invalid" error="enter a value between 0 and 48 hours" promptTitle="Time since precipitation" prompt="enter a value between 0 and 48 hours" sqref="AC3 AM8">
      <formula1>0</formula1>
      <formula2>48</formula2>
    </dataValidation>
    <dataValidation type="decimal" allowBlank="1" showInputMessage="1" showErrorMessage="1" errorTitle="Invalid" error="Enter a value between 0 and 4 m" promptTitle="Elevated Fuel Height" prompt="Enter a value between 0 and 4 m" sqref="AC5">
      <formula1>0</formula1>
      <formula2>4</formula2>
    </dataValidation>
    <dataValidation type="whole" allowBlank="1" showInputMessage="1" showErrorMessage="1" errorTitle="Invalid" error="Enter a value between 0 and 25 y" promptTitle="Time since fire" prompt="Enter a value between 0 and 25 y" sqref="AC6 AM6">
      <formula1>0</formula1>
      <formula2>25</formula2>
    </dataValidation>
    <dataValidation type="decimal" allowBlank="1" showInputMessage="1" showErrorMessage="1" errorTitle="Invalid fuel load" error="enter a number between 0 and 20 t/ha" promptTitle="surface fuel load" prompt="enter the average surface fuel load (t/ha)" sqref="AM2">
      <formula1>0</formula1>
      <formula2>20</formula2>
    </dataValidation>
    <dataValidation type="decimal" allowBlank="1" showInputMessage="1" showErrorMessage="1" errorTitle="Invalid fuel load" error="enter a number between 0 and15 t/ha" promptTitle="surface fuel load" prompt="enter the average canopy (overstorey) fuel load (t/ha)" sqref="AM3">
      <formula1>0</formula1>
      <formula2>15</formula2>
    </dataValidation>
    <dataValidation type="decimal" allowBlank="1" showInputMessage="1" showErrorMessage="1" errorTitle="Invalid canopy height" error="enter a value between 1 and 10 m" promptTitle="Canopy height" prompt="enter the canopy (overstorey) height (m)" sqref="AM5">
      <formula1>0</formula1>
      <formula2>10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grassy woodland with 5-7m overstorey 0.5, grassy open forest with 10-15m overstorey 0.3." sqref="W6">
      <formula1>0.3</formula1>
      <formula2>1</formula2>
    </dataValidation>
    <dataValidation type="decimal" allowBlank="1" showInputMessage="1" showErrorMessage="1" errorTitle="Invalid grass fue load" error="Enter a value between 1 to 12 t/ha" promptTitle="Fuel load (grass)" prompt="enter the fuel load of the grass stratum (t/ha) in the range 1 to 12" sqref="W4">
      <formula1>1</formula1>
      <formula2>12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errorTitle="please select a valid grass stat" promptTitle="Grass State" prompt="Typical values are:_x000a_ natural: fuel load ≥ 6 t/ha_x000a_ grazed: fuel load between 3 and 6 t/ha_x000a_ eaten-out: fuel load &lt; 3 t/ha">
          <x14:formula1>
            <xm:f>tables!$F$2:$F$4</xm:f>
          </x14:formula1>
          <xm:sqref>P3</xm:sqref>
        </x14:dataValidation>
        <x14:dataValidation type="list" showInputMessage="1" showErrorMessage="1" promptTitle="Presence of overstorey" prompt="Choose TRUE if there is a woodland overstorey and FALSE if the overstorey is absent">
          <x14:formula1>
            <xm:f>tables!$H$2:$H$3</xm:f>
          </x14:formula1>
          <xm:sqref>AC4</xm:sqref>
        </x14:dataValidation>
        <x14:dataValidation type="list" showInputMessage="1" showErrorMessage="1" errorTitle="Invalid forest sub-type" error="Select value from drop-down list" promptTitle="Forest sub-type" prompt="dry: eucalypt forests and temperate woodlands._x000a_wet: forests with high moisture content due to the forest structure, topography, or inundation. eg. rainforest, wet sclerophyll forest, and swamp forests._x000a__x000a__x000a_">
          <x14:formula1>
            <xm:f>tables!$K$2:$K$3</xm:f>
          </x14:formula1>
          <xm:sqref>M10</xm:sqref>
        </x14:dataValidation>
        <x14:dataValidation type="list" showInputMessage="1" showErrorMessage="1" errorTitle="Invalid " error="Choose a woodland subtype from the list" promptTitle="Woodland subtype" prompt="Choose a woodland subtype">
          <x14:formula1>
            <xm:f>tables!$M$2:$M$6</xm:f>
          </x14:formula1>
          <xm:sqref>W3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s"/>
  <dimension ref="A1:M28"/>
  <sheetViews>
    <sheetView workbookViewId="0">
      <selection activeCell="M7" sqref="M7"/>
    </sheetView>
  </sheetViews>
  <sheetFormatPr defaultRowHeight="14.4" x14ac:dyDescent="0.3"/>
  <cols>
    <col min="2" max="2" width="9.77734375" bestFit="1" customWidth="1"/>
    <col min="4" max="4" width="28.77734375" bestFit="1" customWidth="1"/>
    <col min="6" max="6" width="12.109375" customWidth="1"/>
    <col min="8" max="8" width="17.33203125" customWidth="1"/>
  </cols>
  <sheetData>
    <row r="1" spans="1:13" x14ac:dyDescent="0.3">
      <c r="A1" s="27" t="s">
        <v>47</v>
      </c>
      <c r="F1" t="s">
        <v>17</v>
      </c>
      <c r="H1" t="s">
        <v>54</v>
      </c>
      <c r="I1" t="s">
        <v>56</v>
      </c>
      <c r="K1" s="27" t="s">
        <v>101</v>
      </c>
      <c r="M1" s="27" t="s">
        <v>124</v>
      </c>
    </row>
    <row r="2" spans="1:13" x14ac:dyDescent="0.3">
      <c r="A2" s="27" t="s">
        <v>60</v>
      </c>
      <c r="B2" s="27" t="s">
        <v>58</v>
      </c>
      <c r="C2" s="27" t="s">
        <v>59</v>
      </c>
      <c r="D2" s="27" t="s">
        <v>63</v>
      </c>
      <c r="F2" t="s">
        <v>18</v>
      </c>
      <c r="H2" t="b">
        <v>1</v>
      </c>
      <c r="I2">
        <v>0.35</v>
      </c>
      <c r="K2" t="s">
        <v>102</v>
      </c>
      <c r="M2" t="s">
        <v>125</v>
      </c>
    </row>
    <row r="3" spans="1:13" x14ac:dyDescent="0.3">
      <c r="A3" t="s">
        <v>70</v>
      </c>
      <c r="B3" t="s">
        <v>42</v>
      </c>
      <c r="C3">
        <v>30</v>
      </c>
      <c r="D3" t="s">
        <v>71</v>
      </c>
      <c r="F3" t="s">
        <v>19</v>
      </c>
      <c r="H3" t="b">
        <v>0</v>
      </c>
      <c r="I3">
        <v>0.66700000000000004</v>
      </c>
      <c r="K3" t="s">
        <v>103</v>
      </c>
      <c r="M3" t="s">
        <v>126</v>
      </c>
    </row>
    <row r="4" spans="1:13" x14ac:dyDescent="0.3">
      <c r="A4" t="s">
        <v>70</v>
      </c>
      <c r="B4" t="s">
        <v>41</v>
      </c>
      <c r="C4">
        <v>25</v>
      </c>
      <c r="D4" t="s">
        <v>72</v>
      </c>
      <c r="F4" t="s">
        <v>20</v>
      </c>
      <c r="M4" t="s">
        <v>127</v>
      </c>
    </row>
    <row r="5" spans="1:13" x14ac:dyDescent="0.3">
      <c r="A5" t="s">
        <v>70</v>
      </c>
      <c r="B5" t="s">
        <v>66</v>
      </c>
      <c r="C5">
        <v>25</v>
      </c>
      <c r="D5" t="s">
        <v>80</v>
      </c>
      <c r="M5" t="s">
        <v>128</v>
      </c>
    </row>
    <row r="6" spans="1:13" x14ac:dyDescent="0.3">
      <c r="A6" t="s">
        <v>70</v>
      </c>
      <c r="B6" t="s">
        <v>37</v>
      </c>
      <c r="C6">
        <v>20</v>
      </c>
      <c r="D6" t="s">
        <v>81</v>
      </c>
      <c r="M6" t="s">
        <v>129</v>
      </c>
    </row>
    <row r="7" spans="1:13" x14ac:dyDescent="0.3">
      <c r="A7" t="s">
        <v>29</v>
      </c>
      <c r="B7" t="s">
        <v>31</v>
      </c>
      <c r="C7">
        <v>8</v>
      </c>
      <c r="D7" t="s">
        <v>82</v>
      </c>
    </row>
    <row r="8" spans="1:13" x14ac:dyDescent="0.3">
      <c r="A8" t="s">
        <v>29</v>
      </c>
      <c r="B8" t="s">
        <v>39</v>
      </c>
      <c r="C8">
        <v>3</v>
      </c>
      <c r="D8" t="s">
        <v>73</v>
      </c>
    </row>
    <row r="9" spans="1:13" x14ac:dyDescent="0.3">
      <c r="A9" t="s">
        <v>29</v>
      </c>
      <c r="B9" t="s">
        <v>38</v>
      </c>
      <c r="C9">
        <v>3</v>
      </c>
      <c r="D9" t="s">
        <v>74</v>
      </c>
    </row>
    <row r="10" spans="1:13" x14ac:dyDescent="0.3">
      <c r="A10" t="s">
        <v>29</v>
      </c>
      <c r="B10" t="s">
        <v>34</v>
      </c>
      <c r="C10">
        <v>3</v>
      </c>
      <c r="D10" t="s">
        <v>75</v>
      </c>
    </row>
    <row r="11" spans="1:13" x14ac:dyDescent="0.3">
      <c r="A11" t="s">
        <v>29</v>
      </c>
      <c r="B11" t="s">
        <v>33</v>
      </c>
      <c r="C11">
        <v>3</v>
      </c>
      <c r="D11" t="s">
        <v>76</v>
      </c>
    </row>
    <row r="12" spans="1:13" x14ac:dyDescent="0.3">
      <c r="A12" t="s">
        <v>29</v>
      </c>
      <c r="B12" t="s">
        <v>35</v>
      </c>
      <c r="C12">
        <v>4.5</v>
      </c>
      <c r="D12" t="s">
        <v>77</v>
      </c>
    </row>
    <row r="13" spans="1:13" x14ac:dyDescent="0.3">
      <c r="A13" t="s">
        <v>29</v>
      </c>
      <c r="B13" t="s">
        <v>32</v>
      </c>
      <c r="C13">
        <v>10</v>
      </c>
      <c r="D13" t="s">
        <v>78</v>
      </c>
    </row>
    <row r="14" spans="1:13" x14ac:dyDescent="0.3">
      <c r="A14" t="s">
        <v>29</v>
      </c>
      <c r="B14" t="s">
        <v>40</v>
      </c>
      <c r="C14">
        <v>20</v>
      </c>
      <c r="D14" t="s">
        <v>79</v>
      </c>
    </row>
    <row r="15" spans="1:13" x14ac:dyDescent="0.3">
      <c r="A15" t="s">
        <v>29</v>
      </c>
      <c r="B15" t="s">
        <v>36</v>
      </c>
      <c r="C15">
        <v>20</v>
      </c>
      <c r="D15" t="s">
        <v>85</v>
      </c>
    </row>
    <row r="16" spans="1:13" x14ac:dyDescent="0.3">
      <c r="A16" t="s">
        <v>29</v>
      </c>
      <c r="B16" t="s">
        <v>3</v>
      </c>
      <c r="C16">
        <v>3</v>
      </c>
      <c r="D16" t="s">
        <v>86</v>
      </c>
    </row>
    <row r="17" spans="1:4" x14ac:dyDescent="0.3">
      <c r="A17" t="s">
        <v>44</v>
      </c>
      <c r="B17" t="s">
        <v>43</v>
      </c>
      <c r="C17">
        <v>100</v>
      </c>
      <c r="D17" t="s">
        <v>87</v>
      </c>
    </row>
    <row r="18" spans="1:4" x14ac:dyDescent="0.3">
      <c r="A18" t="s">
        <v>44</v>
      </c>
      <c r="B18" t="s">
        <v>24</v>
      </c>
      <c r="C18" t="s">
        <v>19</v>
      </c>
      <c r="D18" t="s">
        <v>88</v>
      </c>
    </row>
    <row r="19" spans="1:4" x14ac:dyDescent="0.3">
      <c r="A19" t="s">
        <v>61</v>
      </c>
      <c r="B19" t="s">
        <v>98</v>
      </c>
      <c r="C19">
        <v>20</v>
      </c>
      <c r="D19" t="s">
        <v>83</v>
      </c>
    </row>
    <row r="20" spans="1:4" x14ac:dyDescent="0.3">
      <c r="A20" t="s">
        <v>61</v>
      </c>
      <c r="B20" t="s">
        <v>62</v>
      </c>
      <c r="C20">
        <v>2</v>
      </c>
      <c r="D20" t="s">
        <v>84</v>
      </c>
    </row>
    <row r="21" spans="1:4" x14ac:dyDescent="0.3">
      <c r="A21" t="s">
        <v>61</v>
      </c>
      <c r="B21" t="s">
        <v>49</v>
      </c>
      <c r="C21">
        <v>48</v>
      </c>
      <c r="D21" t="s">
        <v>89</v>
      </c>
    </row>
    <row r="22" spans="1:4" x14ac:dyDescent="0.3">
      <c r="A22" t="s">
        <v>61</v>
      </c>
      <c r="B22" t="s">
        <v>99</v>
      </c>
      <c r="C22">
        <v>0.2</v>
      </c>
      <c r="D22" t="s">
        <v>67</v>
      </c>
    </row>
    <row r="23" spans="1:4" x14ac:dyDescent="0.3">
      <c r="A23" t="s">
        <v>61</v>
      </c>
      <c r="B23" t="s">
        <v>55</v>
      </c>
      <c r="C23" t="b">
        <v>0</v>
      </c>
      <c r="D23" t="s">
        <v>64</v>
      </c>
    </row>
    <row r="24" spans="1:4" x14ac:dyDescent="0.3">
      <c r="A24" t="s">
        <v>61</v>
      </c>
      <c r="B24" t="s">
        <v>48</v>
      </c>
    </row>
    <row r="25" spans="1:4" x14ac:dyDescent="0.3">
      <c r="A25" t="s">
        <v>90</v>
      </c>
      <c r="B25" t="s">
        <v>31</v>
      </c>
      <c r="C25">
        <v>8</v>
      </c>
      <c r="D25" t="s">
        <v>82</v>
      </c>
    </row>
    <row r="26" spans="1:4" x14ac:dyDescent="0.3">
      <c r="A26" t="s">
        <v>90</v>
      </c>
      <c r="B26" t="s">
        <v>3</v>
      </c>
      <c r="C26">
        <v>5</v>
      </c>
      <c r="D26" t="s">
        <v>91</v>
      </c>
    </row>
    <row r="27" spans="1:4" x14ac:dyDescent="0.3">
      <c r="A27" t="s">
        <v>90</v>
      </c>
      <c r="B27" t="s">
        <v>92</v>
      </c>
      <c r="C27">
        <v>100</v>
      </c>
      <c r="D27" t="s">
        <v>93</v>
      </c>
    </row>
    <row r="28" spans="1:4" x14ac:dyDescent="0.3">
      <c r="A28" t="s">
        <v>94</v>
      </c>
      <c r="B28" t="s">
        <v>32</v>
      </c>
      <c r="C28">
        <v>1.05</v>
      </c>
      <c r="D28" t="s">
        <v>78</v>
      </c>
    </row>
  </sheetData>
  <sheetProtection sheet="1" objects="1" scenarios="1"/>
  <sortState ref="A3:D24">
    <sortCondition ref="A3:A24"/>
    <sortCondition ref="B3:B24"/>
  </sortState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39</vt:i4>
      </vt:variant>
    </vt:vector>
  </HeadingPairs>
  <TitlesOfParts>
    <vt:vector size="41" baseType="lpstr">
      <vt:lpstr>AFDRS</vt:lpstr>
      <vt:lpstr>tables</vt:lpstr>
      <vt:lpstr>cov_o_mallee</vt:lpstr>
      <vt:lpstr>curing_grass</vt:lpstr>
      <vt:lpstr>curing_woodland</vt:lpstr>
      <vt:lpstr>current_date</vt:lpstr>
      <vt:lpstr>current_time</vt:lpstr>
      <vt:lpstr>date_row1</vt:lpstr>
      <vt:lpstr>df_row1</vt:lpstr>
      <vt:lpstr>fl_b_forest</vt:lpstr>
      <vt:lpstr>fl_e_forest</vt:lpstr>
      <vt:lpstr>fl_ns_forest</vt:lpstr>
      <vt:lpstr>fl_o_forest</vt:lpstr>
      <vt:lpstr>fl_o_mallee</vt:lpstr>
      <vt:lpstr>fl_s_forest</vt:lpstr>
      <vt:lpstr>fl_s_mallee</vt:lpstr>
      <vt:lpstr>fl_woodland</vt:lpstr>
      <vt:lpstr>h_e_forest</vt:lpstr>
      <vt:lpstr>h_el_heath</vt:lpstr>
      <vt:lpstr>h_ns_forest</vt:lpstr>
      <vt:lpstr>h_o_forest</vt:lpstr>
      <vt:lpstr>h_o_mallee</vt:lpstr>
      <vt:lpstr>kbdi</vt:lpstr>
      <vt:lpstr>outputs_r1</vt:lpstr>
      <vt:lpstr>overstorey_heath</vt:lpstr>
      <vt:lpstr>rain_heath</vt:lpstr>
      <vt:lpstr>rain_mallee</vt:lpstr>
      <vt:lpstr>rh_row1</vt:lpstr>
      <vt:lpstr>state_grass</vt:lpstr>
      <vt:lpstr>submodel_forest</vt:lpstr>
      <vt:lpstr>subtype_woodland</vt:lpstr>
      <vt:lpstr>temp_row1</vt:lpstr>
      <vt:lpstr>time_row1</vt:lpstr>
      <vt:lpstr>tsf_heath</vt:lpstr>
      <vt:lpstr>tsf_mallee</vt:lpstr>
      <vt:lpstr>tsr_heath</vt:lpstr>
      <vt:lpstr>tsr_mallee</vt:lpstr>
      <vt:lpstr>waf_forest</vt:lpstr>
      <vt:lpstr>waf_woodland</vt:lpstr>
      <vt:lpstr>wind_dir_row1</vt:lpstr>
      <vt:lpstr>wind_mag_row1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2022-09-29T03:46:20Z</dcterms:modified>
</cp:coreProperties>
</file>