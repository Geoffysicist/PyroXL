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s_forest">AFDRS!$K$4</definedName>
    <definedName name="h_e_forest">AFDRS!$J$11</definedName>
    <definedName name="h_ns_forest">AFDRS!$J$10</definedName>
    <definedName name="h_o_forest">AFDRS!$J$12</definedName>
    <definedName name="kbdi">AFDRS!$G$13</definedName>
    <definedName name="rh_row1">AFDRS!$D$15</definedName>
    <definedName name="submodel_forest">AFDRS!$M$10</definedName>
    <definedName name="temp_row1">AFDRS!$C$15</definedName>
    <definedName name="time_row1">AFDRS!$B$15</definedName>
    <definedName name="waf_forest">AFDRS!$J$2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J6" i="1"/>
  <c r="J4" i="1"/>
  <c r="H15" i="1"/>
  <c r="J5" i="1"/>
  <c r="AC15" i="1"/>
  <c r="X7" i="1"/>
  <c r="S15" i="1"/>
  <c r="J7" i="1"/>
  <c r="AH15" i="1"/>
  <c r="X15" i="1"/>
  <c r="AE15" i="1"/>
  <c r="U15" i="1"/>
  <c r="AD15" i="1"/>
  <c r="AF15" i="1"/>
  <c r="AG15" i="1" s="1"/>
  <c r="P15" i="1"/>
  <c r="Z15" i="1" a="1"/>
  <c r="N15" i="1"/>
  <c r="Q15" i="1"/>
  <c r="R15" i="1"/>
  <c r="AA15" i="1" l="1"/>
  <c r="AB15" i="1"/>
  <c r="Z15" i="1"/>
  <c r="V15" i="1"/>
  <c r="O15" i="1"/>
  <c r="Y15" i="1"/>
  <c r="J15" i="1"/>
  <c r="L15" i="1"/>
  <c r="M15" i="1"/>
  <c r="W15" i="1"/>
  <c r="T15" i="1"/>
  <c r="K15" i="1"/>
  <c r="I15" i="1"/>
</calcChain>
</file>

<file path=xl/sharedStrings.xml><?xml version="1.0" encoding="utf-8"?>
<sst xmlns="http://schemas.openxmlformats.org/spreadsheetml/2006/main" count="181" uniqueCount="123">
  <si>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</si>
  <si>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</si>
  <si>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</si>
  <si>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</si>
  <si>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</si>
  <si>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</si>
  <si>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</si>
  <si>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</si>
  <si>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</si>
  <si>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</si>
  <si>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</si>
  <si>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</si>
  <si>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</si>
  <si>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</si>
  <si>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</si>
  <si>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</si>
  <si>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</si>
  <si>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</si>
  <si>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</si>
  <si>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</si>
  <si>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</si>
  <si>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</si>
  <si>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</si>
  <si>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</si>
  <si>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</si>
  <si>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</si>
  <si>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</si>
  <si>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</si>
  <si>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</si>
  <si>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</si>
  <si>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</si>
  <si>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</si>
  <si>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</si>
  <si>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</si>
  <si>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</si>
  <si>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</si>
  <si>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</si>
  <si>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</si>
  <si>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</si>
  <si>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</si>
  <si>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</si>
  <si>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</si>
  <si>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</si>
  <si>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</si>
  <si>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</si>
  <si>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</si>
  <si>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</si>
  <si>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</si>
  <si>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</si>
  <si>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</si>
  <si>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</si>
  <si>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</si>
  <si>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</si>
  <si>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</si>
  <si>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</si>
  <si>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</si>
  <si>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</si>
  <si>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</si>
  <si>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</si>
  <si>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</si>
  <si>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</si>
  <si>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</si>
  <si>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</si>
  <si>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</si>
  <si>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</si>
  <si>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</si>
  <si>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</si>
  <si>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</si>
  <si>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</si>
  <si>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</si>
  <si>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</si>
  <si>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</si>
  <si>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</si>
  <si>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</si>
  <si>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</si>
  <si>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</si>
  <si>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</si>
  <si>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</si>
  <si>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</si>
  <si>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</si>
  <si>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</si>
  <si>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</si>
  <si>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</si>
  <si>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</si>
  <si>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</si>
  <si>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</si>
  <si>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</si>
  <si>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</si>
  <si>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</si>
  <si>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</si>
  <si>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</si>
  <si>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</si>
  <si>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</si>
  <si>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</si>
  <si>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</si>
  <si>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</si>
  <si>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</si>
  <si>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</si>
  <si>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</si>
  <si>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</si>
  <si>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</si>
  <si>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</si>
  <si>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</si>
  <si>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</si>
  <si>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</si>
  <si>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</si>
  <si>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</si>
  <si>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</si>
  <si>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</si>
  <si>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</si>
  <si>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</si>
  <si>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</si>
  <si>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</si>
  <si>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</si>
  <si>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</si>
  <si>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N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</si>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</sst>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FB56F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166" fontId="0" fillId="10" borderId="1" xfId="0" applyNumberFormat="1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1" fontId="0" fillId="10" borderId="5" xfId="0" applyNumberFormat="1" applyFill="1" applyBorder="1" applyProtection="1"/>
    <xf numFmtId="166" fontId="0" fillId="10" borderId="5" xfId="0" applyNumberFormat="1" applyFill="1" applyBorder="1" applyProtection="1"/>
    <xf numFmtId="1" fontId="0" fillId="10" borderId="1" xfId="0" applyNumberFormat="1" applyFill="1" applyBorder="1" applyProtection="1"/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1" borderId="1" xfId="0" applyFont="1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1" fillId="11" borderId="3" xfId="0" applyNumberFormat="1" applyFont="1" applyFill="1" applyBorder="1" applyAlignment="1" applyProtection="1">
      <alignment horizontal="center" wrapText="1"/>
    </xf>
    <xf numFmtId="0" fontId="0" fillId="11" borderId="5" xfId="0" applyFill="1" applyBorder="1" applyProtection="1"/>
    <xf numFmtId="0" fontId="0" fillId="12" borderId="1" xfId="0" applyFill="1" applyBorder="1" applyProtection="1"/>
    <xf numFmtId="0" fontId="0" fillId="12" borderId="4" xfId="0" applyFill="1" applyBorder="1" applyProtection="1"/>
    <xf numFmtId="0" fontId="0" fillId="12" borderId="5" xfId="0" applyFill="1" applyBorder="1" applyProtection="1"/>
    <xf numFmtId="0" fontId="0" fillId="12" borderId="4" xfId="0" applyFill="1" applyBorder="1" applyProtection="1">
      <protection locked="0"/>
    </xf>
    <xf numFmtId="0" fontId="1" fillId="12" borderId="3" xfId="0" applyFont="1" applyFill="1" applyBorder="1" applyAlignment="1" applyProtection="1">
      <alignment horizontal="center" wrapText="1"/>
    </xf>
    <xf numFmtId="0" fontId="0" fillId="12" borderId="5" xfId="0" applyFill="1" applyBorder="1" applyProtection="1">
      <protection locked="0"/>
    </xf>
    <xf numFmtId="0" fontId="0" fillId="12" borderId="1" xfId="0" applyFill="1" applyBorder="1" applyProtection="1">
      <protection locked="0"/>
    </xf>
    <xf numFmtId="166" fontId="0" fillId="11" borderId="1" xfId="0" applyNumberFormat="1" applyFill="1" applyBorder="1" applyProtection="1"/>
    <xf numFmtId="0" fontId="1" fillId="11" borderId="1" xfId="0" applyFont="1" applyFill="1" applyBorder="1" applyAlignment="1" applyProtection="1">
      <alignment horizontal="right"/>
    </xf>
    <xf numFmtId="0" fontId="0" fillId="13" borderId="1" xfId="0" applyFill="1" applyBorder="1" applyProtection="1">
      <protection locked="0"/>
    </xf>
    <xf numFmtId="166" fontId="0" fillId="11" borderId="5" xfId="0" applyNumberFormat="1" applyFill="1" applyBorder="1" applyProtection="1"/>
    <xf numFmtId="1" fontId="0" fillId="11" borderId="5" xfId="0" applyNumberFormat="1" applyFill="1" applyBorder="1" applyProtection="1"/>
    <xf numFmtId="1" fontId="0" fillId="11" borderId="1" xfId="0" applyNumberFormat="1" applyFill="1" applyBorder="1" applyProtection="1"/>
    <xf numFmtId="164" fontId="1" fillId="2" borderId="1" xfId="0" applyNumberFormat="1" applyFont="1" applyFill="1" applyBorder="1" applyProtection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4" fontId="5" fillId="2" borderId="1" xfId="0" applyNumberFormat="1" applyFont="1" applyFill="1" applyBorder="1" applyProtection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3C3C3"/>
      <color rgb="FFF1E3E3"/>
      <color rgb="FFF4E8E8"/>
      <color rgb="FFDAAFAF"/>
      <color rgb="FFEFAFAF"/>
      <color rgb="FFE78B8B"/>
      <color rgb="FFFF8B8B"/>
      <color rgb="FF6FB56F"/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H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97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0" width="8.88671875" style="29"/>
    <col min="21" max="22" width="8.88671875" style="36"/>
    <col min="23" max="24" width="8.88671875" style="33"/>
    <col min="25" max="25" width="8.88671875" style="70"/>
    <col min="26" max="27" width="8.88671875" style="79"/>
    <col min="28" max="29" width="8.88671875" style="73"/>
    <col min="30" max="30" width="8.88671875" style="86"/>
    <col min="31" max="32" width="8.88671875" style="103"/>
    <col min="33" max="33" width="8.88671875" style="98"/>
    <col min="34" max="34" width="8.88671875" style="86"/>
    <col min="35" max="16384" width="8.88671875" style="9"/>
  </cols>
  <sheetData>
    <row r="1" spans="1:34" ht="18" x14ac:dyDescent="0.35">
      <c r="A1" s="104" t="s">
        <v>120</v>
      </c>
      <c r="B1" s="105"/>
      <c r="C1" s="106"/>
      <c r="D1" s="2"/>
      <c r="E1" s="2"/>
      <c r="F1" s="2"/>
      <c r="G1" s="2"/>
      <c r="H1" s="91"/>
      <c r="I1" s="3" t="s">
        <v>2</v>
      </c>
      <c r="J1" s="4"/>
      <c r="O1" s="6" t="s">
        <v>17</v>
      </c>
      <c r="P1" s="7"/>
      <c r="Q1" s="7"/>
      <c r="T1" s="31" t="s">
        <v>51</v>
      </c>
      <c r="U1" s="29"/>
      <c r="V1" s="29"/>
      <c r="W1" s="29"/>
      <c r="X1" s="29"/>
      <c r="Y1" s="69" t="s">
        <v>96</v>
      </c>
      <c r="Z1" s="70"/>
      <c r="AA1" s="70"/>
      <c r="AB1" s="70"/>
      <c r="AC1" s="70"/>
      <c r="AD1" s="85" t="s">
        <v>106</v>
      </c>
      <c r="AE1" s="86"/>
      <c r="AF1" s="86"/>
      <c r="AG1" s="86"/>
    </row>
    <row r="2" spans="1:34" x14ac:dyDescent="0.3">
      <c r="A2" s="104" t="s">
        <v>121</v>
      </c>
      <c r="B2" s="45">
        <v>44832</v>
      </c>
      <c r="C2" s="2"/>
      <c r="D2" s="2"/>
      <c r="E2" s="2"/>
      <c r="F2" s="2"/>
      <c r="G2" s="2"/>
      <c r="H2" s="91"/>
      <c r="I2" s="11" t="s">
        <v>3</v>
      </c>
      <c r="J2" s="23">
        <v>3</v>
      </c>
      <c r="K2" s="12" t="s">
        <v>9</v>
      </c>
      <c r="O2" s="13"/>
      <c r="P2" s="7"/>
      <c r="Q2" s="13" t="s">
        <v>23</v>
      </c>
      <c r="U2" s="29"/>
      <c r="V2" s="29"/>
      <c r="W2" s="32" t="s">
        <v>53</v>
      </c>
      <c r="X2" s="30">
        <v>0</v>
      </c>
      <c r="Y2" s="71" t="s">
        <v>105</v>
      </c>
      <c r="Z2" s="70"/>
      <c r="AA2" s="72"/>
      <c r="AC2" s="70"/>
      <c r="AE2" s="86"/>
      <c r="AF2" s="86"/>
      <c r="AG2" s="99" t="s">
        <v>116</v>
      </c>
      <c r="AH2" s="100">
        <v>3</v>
      </c>
    </row>
    <row r="3" spans="1:34" x14ac:dyDescent="0.3">
      <c r="A3" s="104" t="s">
        <v>122</v>
      </c>
      <c r="B3" s="46">
        <v>0.76175925925925936</v>
      </c>
      <c r="C3" s="2"/>
      <c r="D3" s="2"/>
      <c r="E3" s="2"/>
      <c r="F3" s="2"/>
      <c r="G3" s="2"/>
      <c r="H3" s="91"/>
      <c r="I3" s="14"/>
      <c r="J3" s="15" t="s">
        <v>70</v>
      </c>
      <c r="K3" s="16" t="s">
        <v>23</v>
      </c>
      <c r="O3" s="17" t="s">
        <v>25</v>
      </c>
      <c r="P3" s="25" t="s">
        <v>20</v>
      </c>
      <c r="Q3" s="7">
        <f>state_to_load_grass(P3)</f>
        <v>4.5</v>
      </c>
      <c r="U3" s="29"/>
      <c r="V3" s="29"/>
      <c r="W3" s="32" t="s">
        <v>52</v>
      </c>
      <c r="X3" s="30">
        <v>48</v>
      </c>
      <c r="Z3" s="70"/>
      <c r="AA3" s="72"/>
      <c r="AB3" s="72"/>
      <c r="AC3" s="70"/>
      <c r="AE3" s="86"/>
      <c r="AF3" s="86"/>
      <c r="AG3" s="99" t="s">
        <v>117</v>
      </c>
      <c r="AH3" s="100">
        <v>1</v>
      </c>
    </row>
    <row r="4" spans="1:34" x14ac:dyDescent="0.3">
      <c r="A4" s="104"/>
      <c r="B4" s="1"/>
      <c r="C4" s="2"/>
      <c r="D4" s="2"/>
      <c r="E4" s="2"/>
      <c r="F4" s="2"/>
      <c r="G4" s="2"/>
      <c r="H4" s="91"/>
      <c r="I4" s="18" t="s">
        <v>10</v>
      </c>
      <c r="J4" s="19">
        <f>fl_to_fhs(I4,K4)</f>
        <v>3</v>
      </c>
      <c r="K4" s="24">
        <v>10</v>
      </c>
      <c r="O4" s="17" t="s">
        <v>22</v>
      </c>
      <c r="P4" s="25">
        <v>80</v>
      </c>
      <c r="Q4" s="7"/>
      <c r="U4" s="29"/>
      <c r="V4" s="29"/>
      <c r="W4" s="32" t="s">
        <v>54</v>
      </c>
      <c r="X4" s="30" t="b">
        <v>0</v>
      </c>
      <c r="Z4" s="70"/>
      <c r="AA4" s="72"/>
      <c r="AB4" s="72"/>
      <c r="AC4" s="70"/>
      <c r="AE4" s="86"/>
      <c r="AF4" s="86"/>
      <c r="AG4" s="99" t="s">
        <v>118</v>
      </c>
      <c r="AH4" s="100">
        <v>18</v>
      </c>
    </row>
    <row r="5" spans="1:34" ht="15.6" x14ac:dyDescent="0.3">
      <c r="A5" s="107" t="s">
        <v>26</v>
      </c>
      <c r="B5" s="1"/>
      <c r="C5" s="2"/>
      <c r="D5" s="2"/>
      <c r="E5" s="2"/>
      <c r="F5" s="2"/>
      <c r="G5" s="2"/>
      <c r="H5" s="91"/>
      <c r="I5" s="18" t="s">
        <v>11</v>
      </c>
      <c r="J5" s="19">
        <f t="shared" ref="J5:J7" si="0">fl_to_fhs(I5,K5)</f>
        <v>3</v>
      </c>
      <c r="K5" s="24">
        <v>3.5</v>
      </c>
      <c r="P5" s="7"/>
      <c r="Q5" s="7"/>
      <c r="U5" s="29"/>
      <c r="V5" s="29"/>
      <c r="W5" s="32" t="s">
        <v>58</v>
      </c>
      <c r="X5" s="30">
        <v>2</v>
      </c>
      <c r="Z5" s="70"/>
      <c r="AA5" s="72"/>
      <c r="AB5" s="72"/>
      <c r="AC5" s="70"/>
      <c r="AE5" s="86"/>
      <c r="AF5" s="86"/>
      <c r="AG5" s="99" t="s">
        <v>119</v>
      </c>
      <c r="AH5" s="100">
        <v>4.5</v>
      </c>
    </row>
    <row r="6" spans="1:34" x14ac:dyDescent="0.3">
      <c r="A6" s="10" t="s">
        <v>27</v>
      </c>
      <c r="B6" s="1"/>
      <c r="C6" s="2"/>
      <c r="D6" s="2"/>
      <c r="E6" s="2"/>
      <c r="F6" s="2"/>
      <c r="G6" s="2"/>
      <c r="H6" s="91"/>
      <c r="I6" s="18" t="s">
        <v>12</v>
      </c>
      <c r="J6" s="19">
        <f t="shared" si="0"/>
        <v>2</v>
      </c>
      <c r="K6" s="24">
        <v>2</v>
      </c>
      <c r="P6" s="7"/>
      <c r="Q6" s="7"/>
      <c r="U6" s="29"/>
      <c r="V6" s="29"/>
      <c r="W6" s="32" t="s">
        <v>66</v>
      </c>
      <c r="X6" s="30">
        <v>25</v>
      </c>
      <c r="Z6" s="70"/>
      <c r="AA6" s="72"/>
      <c r="AB6" s="72"/>
      <c r="AC6" s="70"/>
      <c r="AE6" s="86"/>
      <c r="AF6" s="86"/>
      <c r="AG6" s="99" t="s">
        <v>66</v>
      </c>
      <c r="AH6" s="100">
        <v>20</v>
      </c>
    </row>
    <row r="7" spans="1:34" x14ac:dyDescent="0.3">
      <c r="A7" s="26" t="s">
        <v>28</v>
      </c>
      <c r="B7" s="1"/>
      <c r="C7" s="2"/>
      <c r="D7" s="2"/>
      <c r="E7" s="2"/>
      <c r="F7" s="2"/>
      <c r="G7" s="84"/>
      <c r="H7" s="92"/>
      <c r="I7" s="18" t="s">
        <v>13</v>
      </c>
      <c r="J7" s="19">
        <f t="shared" si="0"/>
        <v>2</v>
      </c>
      <c r="K7" s="24">
        <v>2</v>
      </c>
      <c r="P7" s="7"/>
      <c r="Q7" s="7"/>
      <c r="U7" s="29"/>
      <c r="V7" s="29"/>
      <c r="W7" s="32" t="s">
        <v>31</v>
      </c>
      <c r="X7" s="33">
        <f>fuel_amount(tables!$C$19,AFDRS!$X$6,tables!$C$22)</f>
        <v>19.865241060018292</v>
      </c>
      <c r="Z7" s="70"/>
      <c r="AA7" s="70"/>
      <c r="AB7" s="70"/>
      <c r="AC7" s="70"/>
      <c r="AE7" s="86"/>
      <c r="AF7" s="86"/>
      <c r="AG7" s="99" t="s">
        <v>53</v>
      </c>
      <c r="AH7" s="100">
        <v>0</v>
      </c>
    </row>
    <row r="8" spans="1:34" x14ac:dyDescent="0.3">
      <c r="A8" s="10" t="s">
        <v>29</v>
      </c>
      <c r="B8" s="1"/>
      <c r="C8" s="2"/>
      <c r="D8" s="2"/>
      <c r="E8" s="2"/>
      <c r="F8" s="2"/>
      <c r="G8" s="83"/>
      <c r="H8" s="93"/>
      <c r="I8" s="18" t="s">
        <v>24</v>
      </c>
      <c r="J8" s="19"/>
      <c r="K8" s="24">
        <v>4.5</v>
      </c>
      <c r="P8" s="7"/>
      <c r="Q8" s="7"/>
      <c r="U8" s="29"/>
      <c r="V8" s="29"/>
      <c r="W8" s="29"/>
      <c r="X8" s="29"/>
      <c r="Z8" s="70"/>
      <c r="AA8" s="70"/>
      <c r="AB8" s="70"/>
      <c r="AC8" s="70"/>
      <c r="AE8" s="86"/>
      <c r="AF8" s="86"/>
      <c r="AG8" s="99" t="s">
        <v>52</v>
      </c>
      <c r="AH8" s="100">
        <v>48</v>
      </c>
    </row>
    <row r="9" spans="1:34" x14ac:dyDescent="0.3">
      <c r="A9" s="10" t="s">
        <v>69</v>
      </c>
      <c r="B9" s="1"/>
      <c r="C9" s="2"/>
      <c r="D9" s="2"/>
      <c r="E9" s="2"/>
      <c r="F9" s="2"/>
      <c r="G9" s="2"/>
      <c r="H9" s="91"/>
      <c r="I9" s="18"/>
      <c r="J9" s="16" t="s">
        <v>14</v>
      </c>
      <c r="K9" s="19"/>
      <c r="P9" s="7"/>
      <c r="Q9" s="7"/>
      <c r="U9" s="29"/>
      <c r="V9" s="29"/>
      <c r="W9" s="29"/>
      <c r="X9" s="29"/>
      <c r="Z9" s="70"/>
      <c r="AA9" s="70"/>
      <c r="AB9" s="70"/>
      <c r="AC9" s="70"/>
      <c r="AE9" s="86"/>
      <c r="AF9" s="86"/>
      <c r="AG9" s="86"/>
    </row>
    <row r="10" spans="1:34" x14ac:dyDescent="0.3">
      <c r="A10" s="26" t="s">
        <v>46</v>
      </c>
      <c r="B10" s="1"/>
      <c r="C10" s="2"/>
      <c r="D10" s="2"/>
      <c r="E10" s="2"/>
      <c r="F10" s="2"/>
      <c r="G10" s="2"/>
      <c r="H10" s="91"/>
      <c r="I10" s="18" t="s">
        <v>11</v>
      </c>
      <c r="J10" s="23">
        <v>20</v>
      </c>
      <c r="K10" s="12" t="s">
        <v>15</v>
      </c>
      <c r="L10" s="15" t="s">
        <v>101</v>
      </c>
      <c r="M10" s="68" t="s">
        <v>103</v>
      </c>
      <c r="P10" s="7"/>
      <c r="Q10" s="7"/>
      <c r="U10" s="29"/>
      <c r="V10" s="29"/>
      <c r="W10" s="29"/>
      <c r="X10" s="29"/>
      <c r="Z10" s="70"/>
      <c r="AA10" s="70"/>
      <c r="AB10" s="70"/>
      <c r="AC10" s="70"/>
      <c r="AE10" s="86"/>
      <c r="AF10" s="86"/>
      <c r="AG10" s="86"/>
    </row>
    <row r="11" spans="1:34" x14ac:dyDescent="0.3">
      <c r="A11" s="28" t="s">
        <v>47</v>
      </c>
      <c r="B11" s="1"/>
      <c r="C11" s="2"/>
      <c r="D11" s="2"/>
      <c r="E11" s="2"/>
      <c r="F11" s="2"/>
      <c r="G11" s="2"/>
      <c r="H11" s="91"/>
      <c r="I11" s="18" t="s">
        <v>12</v>
      </c>
      <c r="J11" s="23">
        <v>2</v>
      </c>
      <c r="K11" s="12" t="s">
        <v>16</v>
      </c>
      <c r="L11" s="5" t="s">
        <v>107</v>
      </c>
      <c r="P11" s="7"/>
      <c r="Q11" s="7"/>
      <c r="U11" s="29"/>
      <c r="V11" s="29"/>
      <c r="W11" s="29"/>
      <c r="X11" s="29"/>
      <c r="Z11" s="70"/>
      <c r="AA11" s="70"/>
      <c r="AB11" s="70"/>
      <c r="AC11" s="70"/>
      <c r="AE11" s="86"/>
      <c r="AF11" s="86"/>
      <c r="AG11" s="86"/>
    </row>
    <row r="12" spans="1:34" x14ac:dyDescent="0.3">
      <c r="A12" s="26"/>
      <c r="B12" s="1"/>
      <c r="C12" s="2"/>
      <c r="D12" s="2"/>
      <c r="E12" s="2"/>
      <c r="F12" s="2"/>
      <c r="G12" s="2"/>
      <c r="H12" s="91"/>
      <c r="I12" s="18" t="s">
        <v>24</v>
      </c>
      <c r="J12" s="23">
        <v>20</v>
      </c>
      <c r="K12" s="12" t="s">
        <v>16</v>
      </c>
      <c r="P12" s="7"/>
      <c r="Q12" s="7"/>
      <c r="U12" s="29"/>
      <c r="V12" s="29"/>
      <c r="W12" s="29"/>
      <c r="X12" s="29"/>
      <c r="Z12" s="70"/>
      <c r="AA12" s="70"/>
      <c r="AB12" s="70"/>
      <c r="AC12" s="70"/>
      <c r="AE12" s="86"/>
      <c r="AF12" s="86"/>
      <c r="AG12" s="86"/>
    </row>
    <row r="13" spans="1:34" s="80" customFormat="1" ht="18" x14ac:dyDescent="0.35">
      <c r="A13" s="37" t="s">
        <v>1</v>
      </c>
      <c r="B13" s="38"/>
      <c r="C13" s="39"/>
      <c r="D13" s="39"/>
      <c r="E13" s="39"/>
      <c r="F13" s="66" t="s">
        <v>97</v>
      </c>
      <c r="G13" s="67">
        <v>100</v>
      </c>
      <c r="H13" s="94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44"/>
      <c r="U13" s="44"/>
      <c r="V13" s="44"/>
      <c r="W13" s="44"/>
      <c r="X13" s="44"/>
      <c r="Y13" s="74"/>
      <c r="Z13" s="74"/>
      <c r="AA13" s="74"/>
      <c r="AB13" s="74"/>
      <c r="AC13" s="74"/>
      <c r="AD13" s="87"/>
      <c r="AE13" s="87"/>
      <c r="AF13" s="87"/>
      <c r="AG13" s="87"/>
      <c r="AH13" s="87"/>
    </row>
    <row r="14" spans="1:34" s="82" customFormat="1" ht="60" customHeight="1" x14ac:dyDescent="0.3">
      <c r="A14" s="57" t="s">
        <v>108</v>
      </c>
      <c r="B14" s="58" t="s">
        <v>109</v>
      </c>
      <c r="C14" s="59" t="s">
        <v>110</v>
      </c>
      <c r="D14" s="59" t="s">
        <v>111</v>
      </c>
      <c r="E14" s="59" t="s">
        <v>112</v>
      </c>
      <c r="F14" s="60" t="s">
        <v>113</v>
      </c>
      <c r="G14" s="60" t="s">
        <v>0</v>
      </c>
      <c r="H14" s="95" t="s">
        <v>114</v>
      </c>
      <c r="I14" s="61" t="s">
        <v>98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98</v>
      </c>
      <c r="P14" s="63" t="s">
        <v>4</v>
      </c>
      <c r="Q14" s="63" t="s">
        <v>5</v>
      </c>
      <c r="R14" s="64" t="s">
        <v>6</v>
      </c>
      <c r="S14" s="64" t="s">
        <v>8</v>
      </c>
      <c r="T14" s="65" t="s">
        <v>98</v>
      </c>
      <c r="U14" s="65" t="s">
        <v>4</v>
      </c>
      <c r="V14" s="65" t="s">
        <v>5</v>
      </c>
      <c r="W14" s="65" t="s">
        <v>6</v>
      </c>
      <c r="X14" s="65" t="s">
        <v>8</v>
      </c>
      <c r="Y14" s="75" t="s">
        <v>98</v>
      </c>
      <c r="Z14" s="75" t="s">
        <v>4</v>
      </c>
      <c r="AA14" s="75" t="s">
        <v>5</v>
      </c>
      <c r="AB14" s="75" t="s">
        <v>6</v>
      </c>
      <c r="AC14" s="75" t="s">
        <v>8</v>
      </c>
      <c r="AD14" s="88" t="s">
        <v>98</v>
      </c>
      <c r="AE14" s="88" t="s">
        <v>4</v>
      </c>
      <c r="AF14" s="88" t="s">
        <v>5</v>
      </c>
      <c r="AG14" s="89" t="s">
        <v>6</v>
      </c>
      <c r="AH14" s="89" t="s">
        <v>8</v>
      </c>
    </row>
    <row r="15" spans="1:34" s="81" customFormat="1" x14ac:dyDescent="0.3">
      <c r="A15" s="45">
        <v>44832</v>
      </c>
      <c r="B15" s="46">
        <v>0.76177083333333329</v>
      </c>
      <c r="C15" s="47">
        <v>25</v>
      </c>
      <c r="D15" s="47">
        <v>30</v>
      </c>
      <c r="E15" s="47" t="s">
        <v>115</v>
      </c>
      <c r="F15" s="47">
        <v>20</v>
      </c>
      <c r="G15" s="47">
        <v>8</v>
      </c>
      <c r="H15" s="96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54">
        <f>fbi(V15,$T$1)</f>
        <v>14</v>
      </c>
      <c r="U15" s="55">
        <f>ROS_heath(F15,$X$5,X15,$X$4)</f>
        <v>117.61177465976716</v>
      </c>
      <c r="V15" s="55">
        <f>intensity_heath(U15,tables!$C$19,$X$7,0.2)</f>
        <v>1192.4541904556968</v>
      </c>
      <c r="W15" s="56">
        <f>Flame_height_heath(V15)</f>
        <v>1.4077964141083166</v>
      </c>
      <c r="X15" s="56">
        <f>FMC_heath(C15,D15,$X$2,$X$3)</f>
        <v>8.3899999999999988</v>
      </c>
      <c r="Y15" s="76">
        <f>fbi(AA15,$Y$1)</f>
        <v>17</v>
      </c>
      <c r="Z15" s="77">
        <f t="array" ref="Z15:AB15">fb_pine_ensemble(F15,AC15,G15,$G$13)</f>
        <v>816.03883812382151</v>
      </c>
      <c r="AA15" s="77">
        <v>2251.8909951973737</v>
      </c>
      <c r="AB15" s="78">
        <v>4.0868029594421387</v>
      </c>
      <c r="AC15" s="78">
        <f>FMC_pine(C15,D15)</f>
        <v>7.3790998458862305</v>
      </c>
      <c r="AD15" s="90">
        <f>FBI_mallee(F15,AH15,$AH$4,AF15)</f>
        <v>5</v>
      </c>
      <c r="AE15" s="102">
        <f>ROS_mallee(F15,AH15,$AH$4,$AH$5)</f>
        <v>0</v>
      </c>
      <c r="AF15" s="102">
        <f>Intensity(AE15,fuel_load_mallee(F15,$AH$6,AH15,$AH$2,$AH$3))</f>
        <v>0</v>
      </c>
      <c r="AG15" s="101">
        <f>flame_height_mallee(AF15)</f>
        <v>0</v>
      </c>
      <c r="AH15" s="90">
        <f>FMC_mallee(C15,D15,A15,B15,$AH$7,$AH$8)</f>
        <v>9.98</v>
      </c>
    </row>
    <row r="16" spans="1:34" x14ac:dyDescent="0.3">
      <c r="A16" s="45"/>
      <c r="B16" s="46"/>
      <c r="C16" s="47"/>
      <c r="D16" s="47"/>
      <c r="E16" s="47"/>
      <c r="F16" s="47"/>
      <c r="G16" s="47"/>
      <c r="H16" s="96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54"/>
      <c r="U16" s="55"/>
      <c r="V16" s="55"/>
      <c r="W16" s="56"/>
      <c r="X16" s="56"/>
      <c r="Y16" s="76"/>
      <c r="Z16" s="77"/>
      <c r="AA16" s="77"/>
      <c r="AB16" s="78"/>
      <c r="AC16" s="78"/>
      <c r="AD16" s="90"/>
      <c r="AE16" s="102"/>
      <c r="AF16" s="102"/>
      <c r="AG16" s="101"/>
      <c r="AH16" s="90"/>
    </row>
    <row r="17" spans="1:34" x14ac:dyDescent="0.3">
      <c r="A17" s="45"/>
      <c r="B17" s="46"/>
      <c r="C17" s="47"/>
      <c r="D17" s="47"/>
      <c r="E17" s="47"/>
      <c r="F17" s="47"/>
      <c r="G17" s="47"/>
      <c r="H17" s="96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54"/>
      <c r="U17" s="55"/>
      <c r="V17" s="55"/>
      <c r="W17" s="56"/>
      <c r="X17" s="56"/>
      <c r="Y17" s="76"/>
      <c r="Z17" s="77"/>
      <c r="AA17" s="77"/>
      <c r="AB17" s="78"/>
      <c r="AC17" s="78"/>
      <c r="AD17" s="90"/>
      <c r="AE17" s="102"/>
      <c r="AF17" s="102"/>
      <c r="AG17" s="101"/>
      <c r="AH17" s="90"/>
    </row>
    <row r="18" spans="1:34" x14ac:dyDescent="0.3">
      <c r="A18" s="45"/>
      <c r="B18" s="46"/>
      <c r="C18" s="47"/>
      <c r="D18" s="47"/>
      <c r="E18" s="47"/>
      <c r="F18" s="47"/>
      <c r="G18" s="47"/>
      <c r="H18" s="96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54"/>
      <c r="U18" s="55"/>
      <c r="V18" s="55"/>
      <c r="W18" s="56"/>
      <c r="X18" s="56"/>
      <c r="Y18" s="76"/>
      <c r="Z18" s="77"/>
      <c r="AA18" s="77"/>
      <c r="AB18" s="78"/>
      <c r="AC18" s="78"/>
      <c r="AD18" s="90"/>
      <c r="AE18" s="102"/>
      <c r="AF18" s="102"/>
      <c r="AG18" s="101"/>
      <c r="AH18" s="90"/>
    </row>
    <row r="19" spans="1:34" x14ac:dyDescent="0.3">
      <c r="A19" s="45"/>
      <c r="B19" s="46"/>
      <c r="C19" s="47"/>
      <c r="D19" s="47"/>
      <c r="E19" s="47"/>
      <c r="F19" s="47"/>
      <c r="G19" s="47"/>
      <c r="H19" s="96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54"/>
      <c r="U19" s="55"/>
      <c r="V19" s="55"/>
      <c r="W19" s="56"/>
      <c r="X19" s="56"/>
      <c r="Y19" s="76"/>
      <c r="Z19" s="77"/>
      <c r="AA19" s="77"/>
      <c r="AB19" s="78"/>
      <c r="AC19" s="78"/>
      <c r="AD19" s="90"/>
      <c r="AE19" s="102"/>
      <c r="AF19" s="102"/>
      <c r="AG19" s="101"/>
      <c r="AH19" s="90"/>
    </row>
    <row r="20" spans="1:34" x14ac:dyDescent="0.3">
      <c r="A20" s="45"/>
      <c r="B20" s="46"/>
      <c r="C20" s="47"/>
      <c r="D20" s="47"/>
      <c r="E20" s="47"/>
      <c r="F20" s="47"/>
      <c r="G20" s="47"/>
      <c r="H20" s="96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54"/>
      <c r="U20" s="55"/>
      <c r="V20" s="55"/>
      <c r="W20" s="56"/>
      <c r="X20" s="56"/>
      <c r="Y20" s="76"/>
      <c r="Z20" s="77"/>
      <c r="AA20" s="77"/>
      <c r="AB20" s="78"/>
      <c r="AC20" s="78"/>
      <c r="AD20" s="90"/>
      <c r="AE20" s="102"/>
      <c r="AF20" s="102"/>
      <c r="AG20" s="101"/>
      <c r="AH20" s="90"/>
    </row>
    <row r="21" spans="1:34" x14ac:dyDescent="0.3">
      <c r="A21" s="45"/>
      <c r="B21" s="46"/>
      <c r="C21" s="47"/>
      <c r="D21" s="47"/>
      <c r="E21" s="47"/>
      <c r="F21" s="47"/>
      <c r="G21" s="47"/>
      <c r="H21" s="96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54"/>
      <c r="U21" s="55"/>
      <c r="V21" s="55"/>
      <c r="W21" s="56"/>
      <c r="X21" s="56"/>
      <c r="Y21" s="76"/>
      <c r="Z21" s="77"/>
      <c r="AA21" s="77"/>
      <c r="AB21" s="78"/>
      <c r="AC21" s="78"/>
      <c r="AD21" s="90"/>
      <c r="AE21" s="102"/>
      <c r="AF21" s="102"/>
      <c r="AG21" s="101"/>
      <c r="AH21" s="90"/>
    </row>
    <row r="22" spans="1:34" x14ac:dyDescent="0.3">
      <c r="A22" s="45"/>
      <c r="B22" s="46"/>
      <c r="C22" s="47"/>
      <c r="D22" s="47"/>
      <c r="E22" s="47"/>
      <c r="F22" s="47"/>
      <c r="G22" s="47"/>
      <c r="H22" s="96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54"/>
      <c r="U22" s="55"/>
      <c r="V22" s="55"/>
      <c r="W22" s="56"/>
      <c r="X22" s="56"/>
      <c r="Y22" s="76"/>
      <c r="Z22" s="77"/>
      <c r="AA22" s="77"/>
      <c r="AB22" s="78"/>
      <c r="AC22" s="78"/>
      <c r="AD22" s="90"/>
      <c r="AE22" s="102"/>
      <c r="AF22" s="102"/>
      <c r="AG22" s="101"/>
      <c r="AH22" s="90"/>
    </row>
    <row r="23" spans="1:34" x14ac:dyDescent="0.3">
      <c r="A23" s="45"/>
      <c r="B23" s="46"/>
      <c r="C23" s="47"/>
      <c r="D23" s="47"/>
      <c r="E23" s="47"/>
      <c r="F23" s="47"/>
      <c r="G23" s="47"/>
      <c r="H23" s="96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54"/>
      <c r="U23" s="55"/>
      <c r="V23" s="55"/>
      <c r="W23" s="56"/>
      <c r="X23" s="56"/>
      <c r="Y23" s="76"/>
      <c r="Z23" s="77"/>
      <c r="AA23" s="77"/>
      <c r="AB23" s="78"/>
      <c r="AC23" s="78"/>
      <c r="AD23" s="90"/>
      <c r="AE23" s="102"/>
      <c r="AF23" s="102"/>
      <c r="AG23" s="101"/>
      <c r="AH23" s="90"/>
    </row>
    <row r="24" spans="1:34" x14ac:dyDescent="0.3">
      <c r="A24" s="45"/>
      <c r="B24" s="46"/>
      <c r="C24" s="47"/>
      <c r="D24" s="47"/>
      <c r="E24" s="47"/>
      <c r="F24" s="47"/>
      <c r="G24" s="47"/>
      <c r="H24" s="96"/>
      <c r="I24" s="48"/>
      <c r="J24" s="49"/>
      <c r="K24" s="49"/>
      <c r="L24" s="50"/>
      <c r="M24" s="48"/>
      <c r="N24" s="50"/>
      <c r="P24" s="7"/>
      <c r="Q24" s="7"/>
      <c r="R24" s="53"/>
      <c r="S24" s="53"/>
      <c r="T24" s="54"/>
      <c r="U24" s="55"/>
      <c r="V24" s="55"/>
      <c r="W24" s="56"/>
      <c r="X24" s="56"/>
      <c r="Y24" s="76"/>
      <c r="Z24" s="77"/>
      <c r="AA24" s="77"/>
      <c r="AB24" s="78"/>
      <c r="AC24" s="78"/>
      <c r="AD24" s="90"/>
      <c r="AE24" s="102"/>
      <c r="AF24" s="102"/>
      <c r="AG24" s="101"/>
      <c r="AH24" s="90"/>
    </row>
    <row r="25" spans="1:34" x14ac:dyDescent="0.3">
      <c r="P25" s="7"/>
      <c r="Q25" s="7"/>
      <c r="T25" s="54"/>
      <c r="U25" s="54"/>
      <c r="V25" s="54"/>
      <c r="Y25" s="76"/>
      <c r="Z25" s="76"/>
    </row>
    <row r="26" spans="1:34" x14ac:dyDescent="0.3">
      <c r="P26" s="7"/>
      <c r="Q26" s="7"/>
      <c r="T26" s="54"/>
      <c r="U26" s="54"/>
      <c r="V26" s="54"/>
      <c r="Y26" s="76"/>
      <c r="Z26" s="76"/>
    </row>
    <row r="27" spans="1:34" x14ac:dyDescent="0.3">
      <c r="P27" s="7"/>
      <c r="Q27" s="7"/>
      <c r="T27" s="54"/>
      <c r="U27" s="54"/>
      <c r="V27" s="54"/>
      <c r="Y27" s="76"/>
      <c r="Z27" s="76"/>
    </row>
    <row r="28" spans="1:34" x14ac:dyDescent="0.3">
      <c r="P28" s="7"/>
      <c r="Q28" s="7"/>
      <c r="T28" s="54"/>
      <c r="U28" s="54"/>
      <c r="V28" s="54"/>
      <c r="Y28" s="76"/>
      <c r="Z28" s="76"/>
    </row>
    <row r="29" spans="1:34" x14ac:dyDescent="0.3">
      <c r="P29" s="7"/>
      <c r="Q29" s="7"/>
      <c r="T29" s="54"/>
      <c r="U29" s="54"/>
      <c r="V29" s="54"/>
      <c r="Y29" s="76"/>
      <c r="Z29" s="76"/>
    </row>
    <row r="30" spans="1:34" x14ac:dyDescent="0.3">
      <c r="P30" s="7"/>
      <c r="Q30" s="7"/>
      <c r="T30" s="54"/>
      <c r="U30" s="54"/>
      <c r="V30" s="54"/>
      <c r="Y30" s="76"/>
      <c r="Z30" s="76"/>
    </row>
    <row r="31" spans="1:34" x14ac:dyDescent="0.3">
      <c r="P31" s="7"/>
      <c r="Q31" s="7"/>
      <c r="T31" s="54"/>
      <c r="U31" s="54"/>
      <c r="V31" s="54"/>
      <c r="Y31" s="76"/>
      <c r="Z31" s="76"/>
    </row>
    <row r="32" spans="1:34" x14ac:dyDescent="0.3">
      <c r="P32" s="7"/>
      <c r="Q32" s="7"/>
      <c r="T32" s="54"/>
      <c r="U32" s="54"/>
      <c r="V32" s="54"/>
      <c r="Y32" s="76"/>
      <c r="Z32" s="76"/>
    </row>
    <row r="33" spans="16:26" x14ac:dyDescent="0.3">
      <c r="P33" s="7"/>
      <c r="Q33" s="7"/>
      <c r="T33" s="54"/>
      <c r="U33" s="54"/>
      <c r="V33" s="54"/>
      <c r="Y33" s="76"/>
      <c r="Z33" s="76"/>
    </row>
    <row r="34" spans="16:26" x14ac:dyDescent="0.3">
      <c r="P34" s="7"/>
      <c r="Q34" s="7"/>
      <c r="T34" s="54"/>
      <c r="U34" s="54"/>
      <c r="V34" s="54"/>
      <c r="Y34" s="76"/>
      <c r="Z34" s="76"/>
    </row>
    <row r="35" spans="16:26" x14ac:dyDescent="0.3">
      <c r="P35" s="7"/>
      <c r="Q35" s="7"/>
      <c r="T35" s="54"/>
      <c r="U35" s="54"/>
      <c r="V35" s="54"/>
      <c r="Y35" s="76"/>
      <c r="Z35" s="76"/>
    </row>
    <row r="36" spans="16:26" x14ac:dyDescent="0.3">
      <c r="P36" s="7"/>
      <c r="Q36" s="7"/>
      <c r="T36" s="54"/>
      <c r="U36" s="54"/>
      <c r="V36" s="54"/>
      <c r="Y36" s="76"/>
      <c r="Z36" s="76"/>
    </row>
    <row r="37" spans="16:26" x14ac:dyDescent="0.3">
      <c r="P37" s="7"/>
      <c r="Q37" s="7"/>
      <c r="T37" s="54"/>
      <c r="U37" s="54"/>
      <c r="V37" s="54"/>
      <c r="Y37" s="76"/>
      <c r="Z37" s="76"/>
    </row>
    <row r="38" spans="16:26" x14ac:dyDescent="0.3">
      <c r="P38" s="7"/>
      <c r="Q38" s="7"/>
      <c r="T38" s="54"/>
      <c r="U38" s="54"/>
      <c r="V38" s="54"/>
      <c r="Y38" s="76"/>
      <c r="Z38" s="76"/>
    </row>
    <row r="39" spans="16:26" x14ac:dyDescent="0.3">
      <c r="P39" s="7"/>
      <c r="Q39" s="7"/>
      <c r="T39" s="54"/>
      <c r="U39" s="54"/>
      <c r="V39" s="54"/>
      <c r="Y39" s="76"/>
      <c r="Z39" s="76"/>
    </row>
    <row r="40" spans="16:26" x14ac:dyDescent="0.3">
      <c r="P40" s="7"/>
      <c r="Q40" s="7"/>
      <c r="T40" s="54"/>
      <c r="U40" s="54"/>
      <c r="V40" s="54"/>
      <c r="Y40" s="76"/>
      <c r="Z40" s="76"/>
    </row>
    <row r="41" spans="16:26" x14ac:dyDescent="0.3">
      <c r="P41" s="7"/>
      <c r="Q41" s="7"/>
      <c r="T41" s="54"/>
      <c r="U41" s="54"/>
      <c r="V41" s="54"/>
      <c r="Y41" s="76"/>
      <c r="Z41" s="76"/>
    </row>
    <row r="42" spans="16:26" x14ac:dyDescent="0.3">
      <c r="P42" s="7"/>
      <c r="Q42" s="7"/>
      <c r="T42" s="54"/>
      <c r="U42" s="54"/>
      <c r="V42" s="54"/>
      <c r="Y42" s="76"/>
      <c r="Z42" s="76"/>
    </row>
    <row r="43" spans="16:26" x14ac:dyDescent="0.3">
      <c r="P43" s="7"/>
      <c r="Q43" s="7"/>
      <c r="T43" s="54"/>
      <c r="U43" s="54"/>
      <c r="V43" s="54"/>
      <c r="Y43" s="76"/>
      <c r="Z43" s="76"/>
    </row>
    <row r="44" spans="16:26" x14ac:dyDescent="0.3">
      <c r="P44" s="7"/>
      <c r="Q44" s="7"/>
      <c r="T44" s="54"/>
      <c r="U44" s="54"/>
      <c r="V44" s="54"/>
      <c r="Y44" s="76"/>
      <c r="Z44" s="76"/>
    </row>
    <row r="45" spans="16:26" x14ac:dyDescent="0.3">
      <c r="P45" s="7"/>
      <c r="Q45" s="7"/>
      <c r="T45" s="54"/>
      <c r="U45" s="54"/>
      <c r="V45" s="54"/>
      <c r="Y45" s="76"/>
      <c r="Z45" s="76"/>
    </row>
    <row r="46" spans="16:26" x14ac:dyDescent="0.3">
      <c r="P46" s="7"/>
      <c r="Q46" s="7"/>
      <c r="T46" s="54"/>
      <c r="U46" s="54"/>
      <c r="V46" s="54"/>
      <c r="Y46" s="76"/>
      <c r="Z46" s="76"/>
    </row>
    <row r="47" spans="16:26" x14ac:dyDescent="0.3">
      <c r="P47" s="7"/>
      <c r="Q47" s="7"/>
      <c r="T47" s="54"/>
      <c r="U47" s="54"/>
      <c r="V47" s="54"/>
      <c r="Y47" s="76"/>
      <c r="Z47" s="76"/>
    </row>
    <row r="48" spans="16:26" x14ac:dyDescent="0.3">
      <c r="P48" s="7"/>
      <c r="Q48" s="7"/>
      <c r="T48" s="54"/>
      <c r="U48" s="54"/>
      <c r="V48" s="54"/>
      <c r="Y48" s="76"/>
      <c r="Z48" s="76"/>
    </row>
    <row r="49" spans="16:26" x14ac:dyDescent="0.3">
      <c r="P49" s="7"/>
      <c r="Q49" s="7"/>
      <c r="T49" s="54"/>
      <c r="U49" s="54"/>
      <c r="V49" s="54"/>
      <c r="Y49" s="76"/>
      <c r="Z49" s="76"/>
    </row>
    <row r="50" spans="16:26" x14ac:dyDescent="0.3">
      <c r="P50" s="7"/>
      <c r="Q50" s="7"/>
      <c r="T50" s="54"/>
      <c r="U50" s="54"/>
      <c r="V50" s="54"/>
      <c r="Y50" s="76"/>
      <c r="Z50" s="76"/>
    </row>
    <row r="51" spans="16:26" x14ac:dyDescent="0.3">
      <c r="P51" s="7"/>
      <c r="Q51" s="7"/>
      <c r="T51" s="54"/>
      <c r="U51" s="54"/>
      <c r="V51" s="54"/>
      <c r="Y51" s="76"/>
      <c r="Z51" s="76"/>
    </row>
    <row r="52" spans="16:26" x14ac:dyDescent="0.3">
      <c r="P52" s="7"/>
      <c r="Q52" s="7"/>
      <c r="T52" s="54"/>
      <c r="U52" s="54"/>
      <c r="V52" s="54"/>
      <c r="Y52" s="76"/>
      <c r="Z52" s="76"/>
    </row>
    <row r="53" spans="16:26" x14ac:dyDescent="0.3">
      <c r="P53" s="7"/>
      <c r="Q53" s="7"/>
      <c r="T53" s="54"/>
      <c r="U53" s="54"/>
      <c r="V53" s="54"/>
      <c r="Y53" s="76"/>
      <c r="Z53" s="76"/>
    </row>
    <row r="54" spans="16:26" x14ac:dyDescent="0.3">
      <c r="P54" s="7"/>
      <c r="Q54" s="7"/>
      <c r="T54" s="54"/>
      <c r="U54" s="54"/>
      <c r="V54" s="54"/>
      <c r="Y54" s="76"/>
      <c r="Z54" s="76"/>
    </row>
    <row r="55" spans="16:26" x14ac:dyDescent="0.3">
      <c r="P55" s="7"/>
      <c r="Q55" s="7"/>
      <c r="T55" s="54"/>
      <c r="U55" s="54"/>
      <c r="V55" s="54"/>
      <c r="Y55" s="76"/>
      <c r="Z55" s="76"/>
    </row>
    <row r="56" spans="16:26" x14ac:dyDescent="0.3">
      <c r="P56" s="7"/>
      <c r="Q56" s="7"/>
      <c r="T56" s="54"/>
      <c r="U56" s="54"/>
      <c r="V56" s="54"/>
      <c r="Y56" s="76"/>
      <c r="Z56" s="76"/>
    </row>
    <row r="57" spans="16:26" x14ac:dyDescent="0.3">
      <c r="P57" s="7"/>
      <c r="Q57" s="7"/>
      <c r="T57" s="54"/>
      <c r="U57" s="54"/>
      <c r="V57" s="54"/>
    </row>
    <row r="58" spans="16:26" x14ac:dyDescent="0.3">
      <c r="P58" s="7"/>
      <c r="Q58" s="7"/>
      <c r="T58" s="54"/>
      <c r="U58" s="54"/>
      <c r="V58" s="54"/>
    </row>
    <row r="59" spans="16:26" x14ac:dyDescent="0.3">
      <c r="P59" s="7"/>
      <c r="Q59" s="7"/>
      <c r="T59" s="54"/>
      <c r="U59" s="54"/>
      <c r="V59" s="54"/>
    </row>
    <row r="60" spans="16:26" x14ac:dyDescent="0.3">
      <c r="P60" s="7"/>
      <c r="Q60" s="7"/>
    </row>
  </sheetData>
  <sheetProtection sheet="1" objects="1" scenarios="1"/>
  <mergeCells count="1">
    <mergeCell ref="B1:C1"/>
  </mergeCells>
  <conditionalFormatting sqref="O15:O1048576 O24:Q60">
    <cfRule type="expression" dxfId="19" priority="21">
      <formula>$O15&gt;=100</formula>
    </cfRule>
    <cfRule type="expression" dxfId="18" priority="22">
      <formula>$O15&gt;=50</formula>
    </cfRule>
    <cfRule type="expression" dxfId="17" priority="23">
      <formula>$O15&gt;=24</formula>
    </cfRule>
    <cfRule type="expression" dxfId="16" priority="24">
      <formula>$O15&gt;=12</formula>
    </cfRule>
  </conditionalFormatting>
  <conditionalFormatting sqref="I15:I1048576">
    <cfRule type="expression" dxfId="35" priority="25">
      <formula>$I15&gt;=100</formula>
    </cfRule>
    <cfRule type="expression" dxfId="34" priority="26">
      <formula>$I15&gt;50</formula>
    </cfRule>
    <cfRule type="expression" dxfId="33" priority="27">
      <formula>$I15&gt;=24</formula>
    </cfRule>
    <cfRule type="expression" dxfId="32" priority="28">
      <formula>$I15&gt;=12</formula>
    </cfRule>
  </conditionalFormatting>
  <conditionalFormatting sqref="T15:T24 T60:T179">
    <cfRule type="expression" dxfId="31" priority="20">
      <formula>$T15&gt;=12</formula>
    </cfRule>
  </conditionalFormatting>
  <conditionalFormatting sqref="T15:T24 T60:T179">
    <cfRule type="expression" dxfId="30" priority="17">
      <formula>$T15&gt;=100</formula>
    </cfRule>
    <cfRule type="expression" dxfId="29" priority="18">
      <formula>$T15&gt;=50</formula>
    </cfRule>
    <cfRule type="expression" dxfId="28" priority="19">
      <formula>$T15&gt;=24</formula>
    </cfRule>
  </conditionalFormatting>
  <conditionalFormatting sqref="Y15:Y24 Y57:Y179">
    <cfRule type="expression" dxfId="27" priority="16">
      <formula>$Y15&gt;=12</formula>
    </cfRule>
  </conditionalFormatting>
  <conditionalFormatting sqref="Y15:Y24 Y57:Y179">
    <cfRule type="expression" dxfId="26" priority="13">
      <formula>$Y15&gt;=100</formula>
    </cfRule>
    <cfRule type="expression" dxfId="25" priority="14">
      <formula>$Y15&gt;=50</formula>
    </cfRule>
    <cfRule type="expression" dxfId="24" priority="15">
      <formula>$Y15&gt;=24</formula>
    </cfRule>
  </conditionalFormatting>
  <conditionalFormatting sqref="AD15">
    <cfRule type="expression" dxfId="23" priority="12">
      <formula>AD15&gt;=12</formula>
    </cfRule>
  </conditionalFormatting>
  <conditionalFormatting sqref="AD15">
    <cfRule type="expression" dxfId="22" priority="9">
      <formula>AD15&gt;=100</formula>
    </cfRule>
    <cfRule type="expression" dxfId="21" priority="10">
      <formula>AD15&gt;=50</formula>
    </cfRule>
    <cfRule type="expression" dxfId="20" priority="11">
      <formula>AD15&gt;=24</formula>
    </cfRule>
  </conditionalFormatting>
  <conditionalFormatting sqref="T25:V59">
    <cfRule type="expression" dxfId="11" priority="8">
      <formula>$T25&gt;=12</formula>
    </cfRule>
  </conditionalFormatting>
  <conditionalFormatting sqref="T25:V59">
    <cfRule type="expression" dxfId="10" priority="5">
      <formula>$T25&gt;=100</formula>
    </cfRule>
    <cfRule type="expression" dxfId="9" priority="6">
      <formula>$T25&gt;=50</formula>
    </cfRule>
    <cfRule type="expression" dxfId="8" priority="7">
      <formula>$T25&gt;=24</formula>
    </cfRule>
  </conditionalFormatting>
  <conditionalFormatting sqref="Y25:Z56">
    <cfRule type="expression" dxfId="7" priority="4">
      <formula>$Y25&gt;=12</formula>
    </cfRule>
  </conditionalFormatting>
  <conditionalFormatting sqref="Y25:Z56">
    <cfRule type="expression" dxfId="6" priority="1">
      <formula>$Y25&gt;=100</formula>
    </cfRule>
    <cfRule type="expression" dxfId="5" priority="2">
      <formula>$Y25&gt;=50</formula>
    </cfRule>
    <cfRule type="expression" dxfId="4" priority="3">
      <formula>$Y25&gt;=24</formula>
    </cfRule>
  </conditionalFormatting>
  <dataValidations count="21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X2 AH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X3 AH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X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X6 AH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H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H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H5">
      <formula1>0</formula1>
      <formula2>10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X4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K28"/>
  <sheetViews>
    <sheetView workbookViewId="0">
      <selection activeCell="K2" sqref="K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1" x14ac:dyDescent="0.3">
      <c r="A1" s="27" t="s">
        <v>48</v>
      </c>
      <c r="F1" t="s">
        <v>18</v>
      </c>
      <c r="H1" t="s">
        <v>55</v>
      </c>
      <c r="I1" t="s">
        <v>57</v>
      </c>
      <c r="K1" s="27" t="s">
        <v>102</v>
      </c>
    </row>
    <row r="2" spans="1:11" x14ac:dyDescent="0.3">
      <c r="A2" s="27" t="s">
        <v>61</v>
      </c>
      <c r="B2" s="27" t="s">
        <v>59</v>
      </c>
      <c r="C2" s="27" t="s">
        <v>60</v>
      </c>
      <c r="D2" s="27" t="s">
        <v>64</v>
      </c>
      <c r="F2" t="s">
        <v>19</v>
      </c>
      <c r="H2" t="b">
        <v>1</v>
      </c>
      <c r="I2">
        <v>0.35</v>
      </c>
      <c r="K2" t="s">
        <v>103</v>
      </c>
    </row>
    <row r="3" spans="1:11" x14ac:dyDescent="0.3">
      <c r="A3" t="s">
        <v>71</v>
      </c>
      <c r="B3" t="s">
        <v>43</v>
      </c>
      <c r="C3">
        <v>30</v>
      </c>
      <c r="D3" t="s">
        <v>72</v>
      </c>
      <c r="F3" t="s">
        <v>20</v>
      </c>
      <c r="H3" t="b">
        <v>0</v>
      </c>
      <c r="I3">
        <v>0.66700000000000004</v>
      </c>
      <c r="K3" t="s">
        <v>104</v>
      </c>
    </row>
    <row r="4" spans="1:11" x14ac:dyDescent="0.3">
      <c r="A4" t="s">
        <v>71</v>
      </c>
      <c r="B4" t="s">
        <v>42</v>
      </c>
      <c r="C4">
        <v>25</v>
      </c>
      <c r="D4" t="s">
        <v>73</v>
      </c>
      <c r="F4" t="s">
        <v>21</v>
      </c>
    </row>
    <row r="5" spans="1:11" x14ac:dyDescent="0.3">
      <c r="A5" t="s">
        <v>71</v>
      </c>
      <c r="B5" t="s">
        <v>67</v>
      </c>
      <c r="C5">
        <v>25</v>
      </c>
      <c r="D5" t="s">
        <v>81</v>
      </c>
    </row>
    <row r="6" spans="1:11" x14ac:dyDescent="0.3">
      <c r="A6" t="s">
        <v>71</v>
      </c>
      <c r="B6" t="s">
        <v>38</v>
      </c>
      <c r="C6">
        <v>20</v>
      </c>
      <c r="D6" t="s">
        <v>82</v>
      </c>
    </row>
    <row r="7" spans="1:11" x14ac:dyDescent="0.3">
      <c r="A7" t="s">
        <v>30</v>
      </c>
      <c r="B7" t="s">
        <v>32</v>
      </c>
      <c r="C7">
        <v>8</v>
      </c>
      <c r="D7" t="s">
        <v>83</v>
      </c>
    </row>
    <row r="8" spans="1:11" x14ac:dyDescent="0.3">
      <c r="A8" t="s">
        <v>30</v>
      </c>
      <c r="B8" t="s">
        <v>40</v>
      </c>
      <c r="C8">
        <v>3</v>
      </c>
      <c r="D8" t="s">
        <v>74</v>
      </c>
    </row>
    <row r="9" spans="1:11" x14ac:dyDescent="0.3">
      <c r="A9" t="s">
        <v>30</v>
      </c>
      <c r="B9" t="s">
        <v>39</v>
      </c>
      <c r="C9">
        <v>3</v>
      </c>
      <c r="D9" t="s">
        <v>75</v>
      </c>
    </row>
    <row r="10" spans="1:11" x14ac:dyDescent="0.3">
      <c r="A10" t="s">
        <v>30</v>
      </c>
      <c r="B10" t="s">
        <v>35</v>
      </c>
      <c r="C10">
        <v>3</v>
      </c>
      <c r="D10" t="s">
        <v>76</v>
      </c>
    </row>
    <row r="11" spans="1:11" x14ac:dyDescent="0.3">
      <c r="A11" t="s">
        <v>30</v>
      </c>
      <c r="B11" t="s">
        <v>34</v>
      </c>
      <c r="C11">
        <v>3</v>
      </c>
      <c r="D11" t="s">
        <v>77</v>
      </c>
    </row>
    <row r="12" spans="1:11" x14ac:dyDescent="0.3">
      <c r="A12" t="s">
        <v>30</v>
      </c>
      <c r="B12" t="s">
        <v>36</v>
      </c>
      <c r="C12">
        <v>4.5</v>
      </c>
      <c r="D12" t="s">
        <v>78</v>
      </c>
    </row>
    <row r="13" spans="1:11" x14ac:dyDescent="0.3">
      <c r="A13" t="s">
        <v>30</v>
      </c>
      <c r="B13" t="s">
        <v>33</v>
      </c>
      <c r="C13">
        <v>10</v>
      </c>
      <c r="D13" t="s">
        <v>79</v>
      </c>
    </row>
    <row r="14" spans="1:11" x14ac:dyDescent="0.3">
      <c r="A14" t="s">
        <v>30</v>
      </c>
      <c r="B14" t="s">
        <v>41</v>
      </c>
      <c r="C14">
        <v>20</v>
      </c>
      <c r="D14" t="s">
        <v>80</v>
      </c>
    </row>
    <row r="15" spans="1:11" x14ac:dyDescent="0.3">
      <c r="A15" t="s">
        <v>30</v>
      </c>
      <c r="B15" t="s">
        <v>37</v>
      </c>
      <c r="C15">
        <v>20</v>
      </c>
      <c r="D15" t="s">
        <v>86</v>
      </c>
    </row>
    <row r="16" spans="1:11" x14ac:dyDescent="0.3">
      <c r="A16" t="s">
        <v>30</v>
      </c>
      <c r="B16" t="s">
        <v>3</v>
      </c>
      <c r="C16">
        <v>3</v>
      </c>
      <c r="D16" t="s">
        <v>87</v>
      </c>
    </row>
    <row r="17" spans="1:4" x14ac:dyDescent="0.3">
      <c r="A17" t="s">
        <v>45</v>
      </c>
      <c r="B17" t="s">
        <v>44</v>
      </c>
      <c r="C17">
        <v>100</v>
      </c>
      <c r="D17" t="s">
        <v>88</v>
      </c>
    </row>
    <row r="18" spans="1:4" x14ac:dyDescent="0.3">
      <c r="A18" t="s">
        <v>45</v>
      </c>
      <c r="B18" t="s">
        <v>25</v>
      </c>
      <c r="C18" t="s">
        <v>20</v>
      </c>
      <c r="D18" t="s">
        <v>89</v>
      </c>
    </row>
    <row r="19" spans="1:4" x14ac:dyDescent="0.3">
      <c r="A19" t="s">
        <v>62</v>
      </c>
      <c r="B19" t="s">
        <v>99</v>
      </c>
      <c r="C19">
        <v>20</v>
      </c>
      <c r="D19" t="s">
        <v>84</v>
      </c>
    </row>
    <row r="20" spans="1:4" x14ac:dyDescent="0.3">
      <c r="A20" t="s">
        <v>62</v>
      </c>
      <c r="B20" t="s">
        <v>63</v>
      </c>
      <c r="C20">
        <v>2</v>
      </c>
      <c r="D20" t="s">
        <v>85</v>
      </c>
    </row>
    <row r="21" spans="1:4" x14ac:dyDescent="0.3">
      <c r="A21" t="s">
        <v>62</v>
      </c>
      <c r="B21" t="s">
        <v>50</v>
      </c>
      <c r="C21">
        <v>48</v>
      </c>
      <c r="D21" t="s">
        <v>90</v>
      </c>
    </row>
    <row r="22" spans="1:4" x14ac:dyDescent="0.3">
      <c r="A22" t="s">
        <v>62</v>
      </c>
      <c r="B22" t="s">
        <v>100</v>
      </c>
      <c r="C22">
        <v>0.2</v>
      </c>
      <c r="D22" t="s">
        <v>68</v>
      </c>
    </row>
    <row r="23" spans="1:4" x14ac:dyDescent="0.3">
      <c r="A23" t="s">
        <v>62</v>
      </c>
      <c r="B23" t="s">
        <v>56</v>
      </c>
      <c r="C23" t="b">
        <v>0</v>
      </c>
      <c r="D23" t="s">
        <v>65</v>
      </c>
    </row>
    <row r="24" spans="1:4" x14ac:dyDescent="0.3">
      <c r="A24" t="s">
        <v>62</v>
      </c>
      <c r="B24" t="s">
        <v>49</v>
      </c>
    </row>
    <row r="25" spans="1:4" x14ac:dyDescent="0.3">
      <c r="A25" t="s">
        <v>91</v>
      </c>
      <c r="B25" t="s">
        <v>32</v>
      </c>
      <c r="C25">
        <v>8</v>
      </c>
      <c r="D25" t="s">
        <v>83</v>
      </c>
    </row>
    <row r="26" spans="1:4" x14ac:dyDescent="0.3">
      <c r="A26" t="s">
        <v>91</v>
      </c>
      <c r="B26" t="s">
        <v>3</v>
      </c>
      <c r="C26">
        <v>5</v>
      </c>
      <c r="D26" t="s">
        <v>92</v>
      </c>
    </row>
    <row r="27" spans="1:4" x14ac:dyDescent="0.3">
      <c r="A27" t="s">
        <v>91</v>
      </c>
      <c r="B27" t="s">
        <v>93</v>
      </c>
      <c r="C27">
        <v>100</v>
      </c>
      <c r="D27" t="s">
        <v>94</v>
      </c>
    </row>
    <row r="28" spans="1:4" x14ac:dyDescent="0.3">
      <c r="A28" t="s">
        <v>95</v>
      </c>
      <c r="B28" t="s">
        <v>33</v>
      </c>
      <c r="C28">
        <v>1.05</v>
      </c>
      <c r="D28" t="s">
        <v>79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AFDRS</vt:lpstr>
      <vt:lpstr>tables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fl_s_forest</vt:lpstr>
      <vt:lpstr>h_e_forest</vt:lpstr>
      <vt:lpstr>h_ns_forest</vt:lpstr>
      <vt:lpstr>h_o_forest</vt:lpstr>
      <vt:lpstr>kbdi</vt:lpstr>
      <vt:lpstr>rh_row1</vt:lpstr>
      <vt:lpstr>submodel_forest</vt:lpstr>
      <vt:lpstr>temp_row1</vt:lpstr>
      <vt:lpstr>time_row1</vt:lpstr>
      <vt:lpstr>waf_forest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2022-09-28T08:17:30Z</dcterms:modified>
</cp:coreProperties>
</file>