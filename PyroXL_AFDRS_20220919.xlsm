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5" i="1" l="1"/>
  <c r="X15" i="1" a="1"/>
  <c r="V15" i="1"/>
  <c r="V7" i="1"/>
  <c r="X15" i="1" l="1"/>
  <c r="Y15" i="1"/>
  <c r="Z15" i="1"/>
  <c r="W15" i="1"/>
  <c r="Q15" i="1"/>
  <c r="S15" i="1"/>
  <c r="T15" i="1"/>
  <c r="R15" i="1"/>
  <c r="U15" i="1"/>
  <c r="L15" i="1"/>
  <c r="H15" i="1"/>
  <c r="N15" i="1"/>
  <c r="P15" i="1" s="1"/>
  <c r="K15" i="1"/>
  <c r="O15" i="1"/>
  <c r="M15" i="1"/>
  <c r="J15" i="1"/>
  <c r="I15" i="1"/>
  <c r="G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<sst xmlns="http://schemas.openxmlformats.org/spreadsheetml/2006/main" count="156" uniqueCount="110">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</sst>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7" fontId="0" fillId="10" borderId="1" xfId="0" applyNumberFormat="1" applyFill="1" applyBorder="1" applyProtection="1"/>
    <xf numFmtId="1" fontId="0" fillId="10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15"/>
  <sheetViews>
    <sheetView tabSelected="1" workbookViewId="0">
      <selection activeCell="H5" sqref="H5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2"/>
    <col min="10" max="10" width="8.88671875" style="6"/>
    <col min="11" max="11" width="8.88671875" style="5"/>
    <col min="12" max="12" width="8.88671875" style="6"/>
    <col min="13" max="13" width="8.88671875" style="8"/>
    <col min="14" max="15" width="8.88671875" style="53"/>
    <col min="16" max="17" width="8.88671875" style="9"/>
    <col min="18" max="18" width="8.88671875" style="39"/>
    <col min="19" max="20" width="8.88671875" style="54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H1" s="5"/>
      <c r="I1" s="5"/>
      <c r="M1" s="7" t="s">
        <v>22</v>
      </c>
      <c r="N1" s="8"/>
      <c r="O1" s="8"/>
      <c r="R1" s="42" t="s">
        <v>58</v>
      </c>
      <c r="S1" s="39"/>
      <c r="T1" s="39"/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N2" s="8"/>
      <c r="O2" s="14" t="s">
        <v>30</v>
      </c>
      <c r="S2" s="39"/>
      <c r="T2" s="39"/>
      <c r="U2" s="43" t="s">
        <v>61</v>
      </c>
      <c r="V2" s="41">
        <v>0</v>
      </c>
      <c r="X2" s="45"/>
      <c r="Y2" s="48" t="s">
        <v>108</v>
      </c>
      <c r="Z2" s="49">
        <v>200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S3" s="39"/>
      <c r="T3" s="39"/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20">
        <v>3</v>
      </c>
      <c r="I4" s="33">
        <v>10</v>
      </c>
      <c r="M4" s="18" t="s">
        <v>27</v>
      </c>
      <c r="N4" s="34">
        <v>100</v>
      </c>
      <c r="O4" s="8"/>
      <c r="S4" s="39"/>
      <c r="T4" s="39"/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20">
        <v>1</v>
      </c>
      <c r="I5" s="33">
        <v>2</v>
      </c>
      <c r="N5" s="8"/>
      <c r="O5" s="8"/>
      <c r="S5" s="39"/>
      <c r="T5" s="39"/>
      <c r="U5" s="43" t="s">
        <v>66</v>
      </c>
      <c r="V5" s="41">
        <v>2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20">
        <v>2</v>
      </c>
      <c r="I6" s="33">
        <v>2</v>
      </c>
      <c r="N6" s="8"/>
      <c r="O6" s="8"/>
      <c r="S6" s="39"/>
      <c r="T6" s="39"/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20">
        <v>2</v>
      </c>
      <c r="I7" s="33">
        <v>2</v>
      </c>
      <c r="N7" s="8"/>
      <c r="O7" s="8"/>
      <c r="S7" s="39"/>
      <c r="T7" s="39"/>
      <c r="U7" s="43" t="s">
        <v>38</v>
      </c>
      <c r="V7" s="39">
        <f>Fuel_load(tables!$C$9,AFDRS!$V$6,tables!$C$8)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N8" s="8"/>
      <c r="O8" s="8"/>
      <c r="S8" s="39"/>
      <c r="T8" s="39"/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N9" s="8"/>
      <c r="O9" s="8"/>
      <c r="S9" s="39"/>
      <c r="T9" s="39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N10" s="8"/>
      <c r="O10" s="8"/>
      <c r="S10" s="39"/>
      <c r="T10" s="39"/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N11" s="8"/>
      <c r="O11" s="8"/>
      <c r="S11" s="39"/>
      <c r="T11" s="39"/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N12" s="8"/>
      <c r="O12" s="8"/>
      <c r="S12" s="39"/>
      <c r="T12" s="39"/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H13" s="5"/>
      <c r="I13" s="5"/>
      <c r="N13" s="8"/>
      <c r="O13" s="8"/>
      <c r="S13" s="39"/>
      <c r="T13" s="39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30</v>
      </c>
      <c r="D15" s="31">
        <v>10</v>
      </c>
      <c r="E15" s="31">
        <v>20</v>
      </c>
      <c r="F15" s="31">
        <v>9</v>
      </c>
      <c r="G15" s="5">
        <f t="shared" ref="G15" si="0">fbi(I15,$G$1)</f>
        <v>25</v>
      </c>
      <c r="H15" s="52">
        <f t="shared" ref="H15" si="1">ROS_forest(E15,fhs_s,fhs_ns,fh_ns,L15,F15,WAF)</f>
        <v>658.55242919921875</v>
      </c>
      <c r="I15" s="52">
        <f t="shared" ref="I15" si="2">Intensity_forest(H15,F15,J15,ffl_s,ffl_ns,ffl_e,ffl_o,ffh_o)</f>
        <v>4287.176281637946</v>
      </c>
      <c r="J15" s="6">
        <f t="shared" ref="J15" si="3">Flame_height_forest(H15,ffh_e)</f>
        <v>8.1036157608032227</v>
      </c>
      <c r="K15" s="5">
        <f t="shared" ref="K15" si="4">Spotting_forest(H15,E15,fhs_s)</f>
        <v>981</v>
      </c>
      <c r="L15" s="6">
        <f>FMC_Forest(C15,D15,A15,B15)</f>
        <v>3.4389998912811279</v>
      </c>
      <c r="M15" s="8">
        <f>fbi(O15,$M$1)</f>
        <v>30</v>
      </c>
      <c r="N15" s="53">
        <f t="shared" ref="N15" si="5">ROS_grass(E15,Q15,curing,state_grass)</f>
        <v>4737.390625</v>
      </c>
      <c r="O15" s="53">
        <f t="shared" ref="O15" si="6">Intensity(N15,fl_grass)</f>
        <v>11014.432911342166</v>
      </c>
      <c r="P15" s="9">
        <f t="shared" ref="P15" si="7">Flame_height_grass(N15,state_grass)</f>
        <v>1.2144869565963745</v>
      </c>
      <c r="Q15" s="9">
        <f>FMC_Grass(C15,D15)</f>
        <v>5</v>
      </c>
      <c r="R15" s="39">
        <f>fbi(T15,$R$1)</f>
        <v>8</v>
      </c>
      <c r="S15" s="54">
        <f>ROS_heath(E15,$V$5,V15,$V$4)</f>
        <v>173.73434448242188</v>
      </c>
      <c r="T15" s="54">
        <f>Intensity(S15,$V$7)</f>
        <v>269.28824464830689</v>
      </c>
      <c r="U15" s="44">
        <f>Flame_height_heath(T15)</f>
        <v>0.54888308048248291</v>
      </c>
      <c r="V15" s="44">
        <f>FMC_heath(C15,D15,$V$2,$V$3)</f>
        <v>5.2100000381469727</v>
      </c>
      <c r="W15" s="45">
        <f>fbi(Y15,$W$1)</f>
        <v>56</v>
      </c>
      <c r="X15" s="51">
        <f t="array" ref="X15:Z15">fb_pine_ensemble(E15,AA15,F15,$Z$2)</f>
        <v>1745.587890625</v>
      </c>
      <c r="Y15" s="51">
        <v>12588.9794921875</v>
      </c>
      <c r="Z15" s="50">
        <v>11.655679702758789</v>
      </c>
      <c r="AA15" s="50">
        <f>FMC_pine(C15,D15)</f>
        <v>4.8976001739501953</v>
      </c>
    </row>
  </sheetData>
  <sheetProtection sheet="1" objects="1" scenarios="1"/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21">
    <cfRule type="expression" dxfId="7" priority="8">
      <formula>$R15&gt;=12</formula>
    </cfRule>
  </conditionalFormatting>
  <conditionalFormatting sqref="R15:R21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21">
    <cfRule type="expression" dxfId="3" priority="4">
      <formula>$W15&gt;=12</formula>
    </cfRule>
  </conditionalFormatting>
  <conditionalFormatting sqref="W15:W21">
    <cfRule type="expression" dxfId="2" priority="1">
      <formula>$W15&gt;=100</formula>
    </cfRule>
    <cfRule type="expression" dxfId="1" priority="2">
      <formula>$W15&gt;=50</formula>
    </cfRule>
    <cfRule type="expression" dxfId="0" priority="3">
      <formula>$W15&gt;=24</formula>
    </cfRule>
  </conditionalFormatting>
  <dataValidations count="14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8"/>
  <sheetViews>
    <sheetView workbookViewId="0">
      <selection activeCell="C22" sqref="C2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2022-09-19T03:34:07Z</dcterms:modified>
</cp:coreProperties>
</file>