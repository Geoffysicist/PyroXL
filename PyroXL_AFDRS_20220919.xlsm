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definedNames>
    <definedName name="curing">AFDRS!$N$4</definedName>
    <definedName name="FBI_forest">AFDRS!$G$15:$G$1048576</definedName>
    <definedName name="ffh_e" comment="forest fuel height elevated">AFDRS!$H$11</definedName>
    <definedName name="ffh_o" comment="forest fuel height canopy (overstorey)">AFDRS!$H$12</definedName>
    <definedName name="ffl_b" comment="forest fuel load bark">AFDRS!$I$7</definedName>
    <definedName name="ffl_e" comment="forest fuel load elevated">AFDRS!$I$6</definedName>
    <definedName name="ffl_ns" comment="forest fuel load near surface">AFDRS!$I$5</definedName>
    <definedName name="ffl_o" comment="forest fuel load canopy (overstorey)">AFDRS!$I$8</definedName>
    <definedName name="ffl_s" comment="forest fuel load surface">AFDRS!$I$4</definedName>
    <definedName name="fh_ns">AFDRS!$H$10</definedName>
    <definedName name="fhs_ns">AFDRS!$H$5</definedName>
    <definedName name="fhs_s">AFDRS!$H$4</definedName>
    <definedName name="fl_grass">AFDRS!$O$3</definedName>
    <definedName name="Outputs">AFDRS!$G$15:$Q$15</definedName>
    <definedName name="start_date">AFDRS!$A$15</definedName>
    <definedName name="state_grass">AFDRS!$N$3</definedName>
    <definedName name="WAF">AFDRS!$H$2</definedName>
    <definedName name="weather">AFDRS!$A$15:$F$1048576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5" i="1" l="1"/>
  <c r="V7" i="1"/>
  <c r="AA15" i="1"/>
  <c r="X15" i="1" s="1" a="1"/>
  <c r="L15" i="1"/>
  <c r="S15" i="1"/>
  <c r="T15" i="1"/>
  <c r="U15" i="1"/>
  <c r="H15" i="1"/>
  <c r="Q15" i="1"/>
  <c r="N15" i="1" s="1"/>
  <c r="R15" i="1"/>
  <c r="J15" i="1"/>
  <c r="I15" i="1"/>
  <c r="G15" i="1" s="1"/>
  <c r="K15" i="1"/>
  <c r="O15" i="1"/>
  <c r="M15" i="1" s="1"/>
  <c r="X15" i="1" l="1"/>
  <c r="Y15" i="1"/>
  <c r="Z15" i="1"/>
  <c r="P15" i="1"/>
  <c r="W15" i="1"/>
</calcChain>
</file>

<file path=xl/sharedStrings.xml><?xml version="1.0" encoding="utf-8"?>
<sst xmlns="http://schemas.openxmlformats.org/spreadsheetml/2006/main" count="156" uniqueCount="110">
  <si>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</si>
  <si>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</si>
  <si>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</si>
  <si>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</si>
  <si>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</si>
  <si>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</si>
  <si>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</si>
  <si>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</si>
  <si>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</si>
  <si>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</si>
  <si>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</si>
  <si>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</si>
  <si>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</si>
  <si>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</si>
  <si>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</si>
  <si>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</si>
  <si>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</si>
  <si>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</si>
  <si>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</si>
  <si>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</si>
  <si>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</si>
  <si>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</si>
  <si>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</si>
  <si>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</si>
  <si>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</si>
  <si>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</si>
  <si>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</si>
  <si>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</si>
  <si>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</si>
  <si>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</si>
  <si>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</si>
  <si>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</si>
  <si>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</si>
  <si>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</si>
  <si>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</si>
  <si>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</si>
  <si>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</si>
  <si>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</si>
  <si>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</si>
  <si>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</si>
  <si>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</si>
  <si>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</si>
  <si>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</si>
  <si>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</si>
  <si>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</si>
  <si>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</si>
  <si>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</si>
  <si>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</si>
  <si>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</si>
  <si>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</si>
  <si>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</si>
  <si>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</si>
  <si>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</si>
  <si>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</si>
  <si>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</si>
  <si>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</si>
  <si>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</si>
  <si>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</si>
  <si>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</si>
  <si>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</si>
  <si>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FBI
heath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</si>
  <si>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</si>
  <si>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</si>
  <si>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</si>
  <si>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</si>
  <si>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</si>
  <si>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</si>
  <si>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</si>
  <si>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</si>
  <si>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</si>
  <si>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</si>
  <si>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</si>
  <si>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</si>
  <si>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</si>
  <si>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</si>
  <si>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</si>
  <si>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k</t>
  </si>
  <si>
    <t>fuel accumulation parameter</t>
  </si>
  <si>
    <t>fl_max</t>
  </si>
  <si>
    <t>feedback and bug reports to fba@rfs.nsw.gov.au</t>
  </si>
  <si>
    <t xml:space="preserve">VESTA Hazard Score </t>
  </si>
  <si>
    <t>all</t>
  </si>
  <si>
    <t>FHS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</si>
  <si>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</si>
  <si>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</si>
  <si>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</si>
  <si>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</si>
  <si>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</si>
  <si>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</si>
  <si>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</si>
  <si>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</si>
  <si>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</si>
  <si>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</si>
  <si>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</si>
  <si>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</si>
  <si>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</si>
  <si>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</si>
  <si>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</si>
  <si>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</si>
  <si>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</si>
  <si>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</si>
  <si>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</si>
  <si>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</si>
  <si>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</si>
  <si>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</si>
  <si>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</si>
  <si>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</si>
  <si>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</si>
  <si>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</si>
  <si>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
pine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</si>
</sst>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6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55A555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5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1" fillId="2" borderId="1" xfId="0" applyNumberFormat="1" applyFont="1" applyFill="1" applyBorder="1" applyAlignment="1" applyProtection="1">
      <alignment horizontal="center" wrapText="1"/>
    </xf>
    <xf numFmtId="165" fontId="1" fillId="2" borderId="1" xfId="0" applyNumberFormat="1" applyFont="1" applyFill="1" applyBorder="1" applyAlignment="1" applyProtection="1">
      <alignment horizontal="center" wrapText="1"/>
    </xf>
    <xf numFmtId="0" fontId="1" fillId="2" borderId="1" xfId="0" applyFont="1" applyFill="1" applyBorder="1" applyAlignment="1" applyProtection="1">
      <alignment horizontal="center" wrapText="1"/>
    </xf>
    <xf numFmtId="0" fontId="1" fillId="5" borderId="1" xfId="0" applyFont="1" applyFill="1" applyBorder="1" applyAlignment="1" applyProtection="1">
      <alignment horizontal="center" wrapText="1"/>
    </xf>
    <xf numFmtId="166" fontId="1" fillId="5" borderId="1" xfId="0" applyNumberFormat="1" applyFont="1" applyFill="1" applyBorder="1" applyAlignment="1" applyProtection="1">
      <alignment horizontal="center" wrapText="1"/>
    </xf>
    <xf numFmtId="0" fontId="1" fillId="6" borderId="1" xfId="0" applyFont="1" applyFill="1" applyBorder="1" applyAlignment="1" applyProtection="1">
      <alignment horizontal="center" wrapText="1"/>
    </xf>
    <xf numFmtId="166" fontId="1" fillId="6" borderId="1" xfId="0" applyNumberFormat="1" applyFont="1" applyFill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1" fillId="2" borderId="1" xfId="0" applyFont="1" applyFill="1" applyBorder="1" applyAlignment="1">
      <alignment horizontal="center" wrapText="1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1" fillId="8" borderId="1" xfId="0" applyFont="1" applyFill="1" applyBorder="1" applyAlignment="1" applyProtection="1">
      <alignment horizontal="center" wrapText="1"/>
    </xf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0" fontId="0" fillId="10" borderId="1" xfId="0" applyFill="1" applyBorder="1" applyProtection="1"/>
    <xf numFmtId="0" fontId="1" fillId="10" borderId="1" xfId="0" applyFont="1" applyFill="1" applyBorder="1" applyAlignment="1" applyProtection="1">
      <alignment horizontal="center" wrapText="1"/>
    </xf>
    <xf numFmtId="0" fontId="2" fillId="10" borderId="1" xfId="0" applyFon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5" borderId="1" xfId="0" applyFill="1" applyBorder="1" applyProtection="1">
      <protection locked="0"/>
    </xf>
    <xf numFmtId="166" fontId="0" fillId="10" borderId="1" xfId="0" applyNumberFormat="1" applyFill="1" applyBorder="1" applyProtection="1"/>
    <xf numFmtId="1" fontId="0" fillId="10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</cellXfs>
  <cellStyles count="2">
    <cellStyle name="Hyperlink" xfId="1" builtinId="8"/>
    <cellStyle name="Normal" xfId="0" builtinId="0"/>
  </cellStyles>
  <dxfs count="16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5A555"/>
      <color rgb="FF64A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I1:J3" totalsRowShown="0">
  <autoFilter ref="I1:J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A15"/>
  <sheetViews>
    <sheetView tabSelected="1" workbookViewId="0">
      <selection activeCell="I5" sqref="I5"/>
    </sheetView>
  </sheetViews>
  <sheetFormatPr defaultRowHeight="14.4" x14ac:dyDescent="0.3"/>
  <cols>
    <col min="1" max="1" width="13.77734375" style="29" customWidth="1"/>
    <col min="2" max="2" width="10.77734375" style="30" customWidth="1"/>
    <col min="3" max="6" width="10.77734375" style="31" customWidth="1"/>
    <col min="7" max="7" width="12.77734375" style="5" customWidth="1"/>
    <col min="8" max="9" width="8.88671875" style="52"/>
    <col min="10" max="10" width="8.88671875" style="6"/>
    <col min="11" max="11" width="8.88671875" style="5"/>
    <col min="12" max="12" width="8.88671875" style="6"/>
    <col min="13" max="13" width="8.88671875" style="8"/>
    <col min="14" max="15" width="8.88671875" style="53"/>
    <col min="16" max="17" width="8.88671875" style="9"/>
    <col min="18" max="18" width="8.88671875" style="39"/>
    <col min="19" max="20" width="8.88671875" style="54"/>
    <col min="21" max="22" width="8.88671875" style="44"/>
    <col min="23" max="23" width="8.88671875" style="45"/>
    <col min="24" max="25" width="8.88671875" style="51"/>
    <col min="26" max="27" width="8.88671875" style="50"/>
    <col min="28" max="16384" width="8.88671875" style="10"/>
  </cols>
  <sheetData>
    <row r="1" spans="1:27" ht="18" x14ac:dyDescent="0.35">
      <c r="A1" s="1" t="s">
        <v>33</v>
      </c>
      <c r="B1" s="2"/>
      <c r="C1" s="3"/>
      <c r="D1" s="3"/>
      <c r="E1" s="3"/>
      <c r="F1" s="3"/>
      <c r="G1" s="4" t="s">
        <v>6</v>
      </c>
      <c r="H1" s="5"/>
      <c r="I1" s="5"/>
      <c r="M1" s="7" t="s">
        <v>22</v>
      </c>
      <c r="N1" s="8"/>
      <c r="O1" s="8"/>
      <c r="R1" s="42" t="s">
        <v>58</v>
      </c>
      <c r="S1" s="39"/>
      <c r="T1" s="39"/>
      <c r="U1" s="39"/>
      <c r="V1" s="39"/>
      <c r="W1" s="47" t="s">
        <v>107</v>
      </c>
      <c r="X1" s="45"/>
      <c r="Y1" s="45"/>
      <c r="Z1" s="45"/>
      <c r="AA1" s="45"/>
    </row>
    <row r="2" spans="1:27" x14ac:dyDescent="0.3">
      <c r="A2" s="11" t="s">
        <v>34</v>
      </c>
      <c r="B2" s="2"/>
      <c r="C2" s="3"/>
      <c r="D2" s="3"/>
      <c r="E2" s="3"/>
      <c r="F2" s="3"/>
      <c r="G2" s="12" t="s">
        <v>7</v>
      </c>
      <c r="H2" s="32">
        <v>3</v>
      </c>
      <c r="I2" s="13" t="s">
        <v>14</v>
      </c>
      <c r="M2" s="14"/>
      <c r="N2" s="8"/>
      <c r="O2" s="14" t="s">
        <v>30</v>
      </c>
      <c r="S2" s="39"/>
      <c r="T2" s="39"/>
      <c r="U2" s="43" t="s">
        <v>61</v>
      </c>
      <c r="V2" s="41">
        <v>0</v>
      </c>
      <c r="X2" s="45"/>
      <c r="Y2" s="48" t="s">
        <v>108</v>
      </c>
      <c r="Z2" s="49">
        <v>200</v>
      </c>
      <c r="AA2" s="45"/>
    </row>
    <row r="3" spans="1:27" x14ac:dyDescent="0.3">
      <c r="A3" s="11" t="s">
        <v>35</v>
      </c>
      <c r="B3" s="2"/>
      <c r="C3" s="3"/>
      <c r="D3" s="3"/>
      <c r="E3" s="3"/>
      <c r="F3" s="3"/>
      <c r="G3" s="15"/>
      <c r="H3" s="16" t="s">
        <v>80</v>
      </c>
      <c r="I3" s="17" t="s">
        <v>30</v>
      </c>
      <c r="M3" s="18" t="s">
        <v>32</v>
      </c>
      <c r="N3" s="34" t="s">
        <v>25</v>
      </c>
      <c r="O3" s="8">
        <v>4.5</v>
      </c>
      <c r="S3" s="39"/>
      <c r="T3" s="39"/>
      <c r="U3" s="43" t="s">
        <v>59</v>
      </c>
      <c r="V3" s="41">
        <v>48</v>
      </c>
      <c r="X3" s="45"/>
      <c r="Y3" s="48"/>
      <c r="Z3" s="48"/>
      <c r="AA3" s="45"/>
    </row>
    <row r="4" spans="1:27" x14ac:dyDescent="0.3">
      <c r="A4" s="11" t="s">
        <v>36</v>
      </c>
      <c r="B4" s="2"/>
      <c r="C4" s="3"/>
      <c r="D4" s="3"/>
      <c r="E4" s="3"/>
      <c r="F4" s="3"/>
      <c r="G4" s="19" t="s">
        <v>15</v>
      </c>
      <c r="H4" s="20">
        <v>3</v>
      </c>
      <c r="I4" s="33">
        <v>10</v>
      </c>
      <c r="M4" s="18" t="s">
        <v>27</v>
      </c>
      <c r="N4" s="34">
        <v>100</v>
      </c>
      <c r="O4" s="8"/>
      <c r="S4" s="39"/>
      <c r="T4" s="39"/>
      <c r="U4" s="43" t="s">
        <v>62</v>
      </c>
      <c r="V4" s="41" t="b">
        <v>0</v>
      </c>
      <c r="X4" s="45"/>
      <c r="Y4" s="48"/>
      <c r="Z4" s="48"/>
      <c r="AA4" s="45"/>
    </row>
    <row r="5" spans="1:27" x14ac:dyDescent="0.3">
      <c r="A5" s="11"/>
      <c r="B5" s="2"/>
      <c r="C5" s="3"/>
      <c r="D5" s="3"/>
      <c r="E5" s="3"/>
      <c r="F5" s="3"/>
      <c r="G5" s="19" t="s">
        <v>16</v>
      </c>
      <c r="H5" s="20">
        <v>3</v>
      </c>
      <c r="I5" s="33">
        <v>3.5</v>
      </c>
      <c r="N5" s="8"/>
      <c r="O5" s="8"/>
      <c r="S5" s="39"/>
      <c r="T5" s="39"/>
      <c r="U5" s="43" t="s">
        <v>66</v>
      </c>
      <c r="V5" s="41">
        <v>2</v>
      </c>
      <c r="X5" s="45"/>
      <c r="Y5" s="48"/>
      <c r="Z5" s="48"/>
      <c r="AA5" s="45"/>
    </row>
    <row r="6" spans="1:27" x14ac:dyDescent="0.3">
      <c r="A6" s="36"/>
      <c r="B6" s="2"/>
      <c r="C6" s="3"/>
      <c r="D6" s="3"/>
      <c r="E6" s="3"/>
      <c r="F6" s="3"/>
      <c r="G6" s="19" t="s">
        <v>17</v>
      </c>
      <c r="H6" s="20">
        <v>2</v>
      </c>
      <c r="I6" s="33">
        <v>2</v>
      </c>
      <c r="N6" s="8"/>
      <c r="O6" s="8"/>
      <c r="S6" s="39"/>
      <c r="T6" s="39"/>
      <c r="U6" s="43" t="s">
        <v>74</v>
      </c>
      <c r="V6" s="41">
        <v>25</v>
      </c>
      <c r="X6" s="45"/>
      <c r="Y6" s="48"/>
      <c r="Z6" s="48"/>
      <c r="AA6" s="45"/>
    </row>
    <row r="7" spans="1:27" x14ac:dyDescent="0.3">
      <c r="A7" s="11" t="s">
        <v>79</v>
      </c>
      <c r="B7" s="2"/>
      <c r="C7" s="3"/>
      <c r="D7" s="3"/>
      <c r="E7" s="3"/>
      <c r="F7" s="3"/>
      <c r="G7" s="19" t="s">
        <v>18</v>
      </c>
      <c r="H7" s="20">
        <v>2</v>
      </c>
      <c r="I7" s="33">
        <v>2</v>
      </c>
      <c r="N7" s="8"/>
      <c r="O7" s="8"/>
      <c r="S7" s="39"/>
      <c r="T7" s="39"/>
      <c r="U7" s="43" t="s">
        <v>38</v>
      </c>
      <c r="V7" s="39">
        <f>Fuel_load(tables!$C$9,AFDRS!$V$6,tables!$C$8)</f>
        <v>3</v>
      </c>
      <c r="X7" s="45"/>
      <c r="Y7" s="45"/>
      <c r="Z7" s="45"/>
      <c r="AA7" s="45"/>
    </row>
    <row r="8" spans="1:27" x14ac:dyDescent="0.3">
      <c r="A8" s="11"/>
      <c r="B8" s="2"/>
      <c r="C8" s="3"/>
      <c r="D8" s="3"/>
      <c r="E8" s="3"/>
      <c r="F8" s="3"/>
      <c r="G8" s="19" t="s">
        <v>31</v>
      </c>
      <c r="H8" s="20"/>
      <c r="I8" s="33">
        <v>4.5</v>
      </c>
      <c r="N8" s="8"/>
      <c r="O8" s="8"/>
      <c r="S8" s="39"/>
      <c r="T8" s="39"/>
      <c r="U8" s="39"/>
      <c r="V8" s="39"/>
      <c r="X8" s="45"/>
      <c r="Y8" s="45"/>
      <c r="Z8" s="45"/>
      <c r="AA8" s="45"/>
    </row>
    <row r="9" spans="1:27" x14ac:dyDescent="0.3">
      <c r="A9" s="36" t="s">
        <v>53</v>
      </c>
      <c r="B9" s="2"/>
      <c r="C9" s="3"/>
      <c r="D9" s="3"/>
      <c r="E9" s="3"/>
      <c r="F9" s="3"/>
      <c r="G9" s="19"/>
      <c r="H9" s="17" t="s">
        <v>19</v>
      </c>
      <c r="I9" s="20"/>
      <c r="N9" s="8"/>
      <c r="O9" s="8"/>
      <c r="S9" s="39"/>
      <c r="T9" s="39"/>
      <c r="U9" s="39"/>
      <c r="V9" s="39"/>
      <c r="X9" s="45"/>
      <c r="Y9" s="45"/>
      <c r="Z9" s="45"/>
      <c r="AA9" s="45"/>
    </row>
    <row r="10" spans="1:27" x14ac:dyDescent="0.3">
      <c r="A10" s="38" t="s">
        <v>54</v>
      </c>
      <c r="B10" s="2"/>
      <c r="C10" s="3"/>
      <c r="D10" s="3"/>
      <c r="E10" s="3"/>
      <c r="F10" s="3"/>
      <c r="G10" s="19" t="s">
        <v>16</v>
      </c>
      <c r="H10" s="32">
        <v>20</v>
      </c>
      <c r="I10" s="13" t="s">
        <v>20</v>
      </c>
      <c r="N10" s="8"/>
      <c r="O10" s="8"/>
      <c r="S10" s="39"/>
      <c r="T10" s="39"/>
      <c r="U10" s="39"/>
      <c r="V10" s="39"/>
      <c r="X10" s="45"/>
      <c r="Y10" s="45"/>
      <c r="Z10" s="45"/>
      <c r="AA10" s="45"/>
    </row>
    <row r="11" spans="1:27" x14ac:dyDescent="0.3">
      <c r="A11" s="11"/>
      <c r="B11" s="2"/>
      <c r="C11" s="3"/>
      <c r="D11" s="3"/>
      <c r="E11" s="3"/>
      <c r="F11" s="3"/>
      <c r="G11" s="19" t="s">
        <v>17</v>
      </c>
      <c r="H11" s="32">
        <v>2</v>
      </c>
      <c r="I11" s="13" t="s">
        <v>21</v>
      </c>
      <c r="N11" s="8"/>
      <c r="O11" s="8"/>
      <c r="S11" s="39"/>
      <c r="T11" s="39"/>
      <c r="U11" s="39"/>
      <c r="V11" s="39"/>
      <c r="X11" s="45"/>
      <c r="Y11" s="45"/>
      <c r="Z11" s="45"/>
      <c r="AA11" s="45"/>
    </row>
    <row r="12" spans="1:27" x14ac:dyDescent="0.3">
      <c r="A12" s="36"/>
      <c r="B12" s="2"/>
      <c r="C12" s="3"/>
      <c r="D12" s="3"/>
      <c r="E12" s="3"/>
      <c r="F12" s="3"/>
      <c r="G12" s="19" t="s">
        <v>31</v>
      </c>
      <c r="H12" s="32">
        <v>20</v>
      </c>
      <c r="I12" s="13" t="s">
        <v>21</v>
      </c>
      <c r="N12" s="8"/>
      <c r="O12" s="8"/>
      <c r="S12" s="39"/>
      <c r="T12" s="39"/>
      <c r="U12" s="39"/>
      <c r="V12" s="39"/>
      <c r="X12" s="45"/>
      <c r="Y12" s="45"/>
      <c r="Z12" s="45"/>
      <c r="AA12" s="45"/>
    </row>
    <row r="13" spans="1:27" ht="18" x14ac:dyDescent="0.35">
      <c r="A13" s="1" t="s">
        <v>5</v>
      </c>
      <c r="B13" s="2"/>
      <c r="C13" s="3"/>
      <c r="D13" s="3"/>
      <c r="E13" s="3"/>
      <c r="F13" s="3"/>
      <c r="H13" s="5"/>
      <c r="I13" s="5"/>
      <c r="N13" s="8"/>
      <c r="O13" s="8"/>
      <c r="S13" s="39"/>
      <c r="T13" s="39"/>
      <c r="U13" s="39"/>
      <c r="V13" s="39"/>
      <c r="X13" s="45"/>
      <c r="Y13" s="45"/>
      <c r="Z13" s="45"/>
      <c r="AA13" s="45"/>
    </row>
    <row r="14" spans="1:27" s="28" customFormat="1" ht="60" customHeight="1" x14ac:dyDescent="0.3">
      <c r="A14" s="21" t="s">
        <v>0</v>
      </c>
      <c r="B14" s="22" t="s">
        <v>8</v>
      </c>
      <c r="C14" s="35" t="s">
        <v>1</v>
      </c>
      <c r="D14" s="35" t="s">
        <v>2</v>
      </c>
      <c r="E14" s="23" t="s">
        <v>3</v>
      </c>
      <c r="F14" s="23" t="s">
        <v>4</v>
      </c>
      <c r="G14" s="24" t="s">
        <v>29</v>
      </c>
      <c r="H14" s="24" t="s">
        <v>9</v>
      </c>
      <c r="I14" s="24" t="s">
        <v>10</v>
      </c>
      <c r="J14" s="25" t="s">
        <v>11</v>
      </c>
      <c r="K14" s="24" t="s">
        <v>12</v>
      </c>
      <c r="L14" s="25" t="s">
        <v>13</v>
      </c>
      <c r="M14" s="26" t="s">
        <v>28</v>
      </c>
      <c r="N14" s="26" t="s">
        <v>9</v>
      </c>
      <c r="O14" s="26" t="s">
        <v>10</v>
      </c>
      <c r="P14" s="27" t="s">
        <v>11</v>
      </c>
      <c r="Q14" s="27" t="s">
        <v>13</v>
      </c>
      <c r="R14" s="40" t="s">
        <v>60</v>
      </c>
      <c r="S14" s="40" t="s">
        <v>9</v>
      </c>
      <c r="T14" s="40" t="s">
        <v>10</v>
      </c>
      <c r="U14" s="40" t="s">
        <v>11</v>
      </c>
      <c r="V14" s="40" t="s">
        <v>13</v>
      </c>
      <c r="W14" s="46" t="s">
        <v>109</v>
      </c>
      <c r="X14" s="46" t="s">
        <v>9</v>
      </c>
      <c r="Y14" s="46" t="s">
        <v>10</v>
      </c>
      <c r="Z14" s="46" t="s">
        <v>11</v>
      </c>
      <c r="AA14" s="46" t="s">
        <v>13</v>
      </c>
    </row>
    <row r="15" spans="1:27" x14ac:dyDescent="0.3">
      <c r="A15" s="29">
        <v>22695</v>
      </c>
      <c r="B15" s="30">
        <v>0.625</v>
      </c>
      <c r="C15" s="31">
        <v>30</v>
      </c>
      <c r="D15" s="31">
        <v>10</v>
      </c>
      <c r="E15" s="31">
        <v>20</v>
      </c>
      <c r="F15" s="31">
        <v>9</v>
      </c>
      <c r="G15" s="5">
        <f t="shared" ref="G15" si="0">fbi(I15,$G$1)</f>
        <v>45</v>
      </c>
      <c r="H15" s="52">
        <f t="shared" ref="H15" si="1">ROS_forest(E15,fhs_s,fhs_ns,fh_ns,L15,F15,WAF)</f>
        <v>1255.1693115234375</v>
      </c>
      <c r="I15" s="52">
        <f t="shared" ref="I15" si="2">Intensity_forest(H15,F15,J15,ffl_s,ffl_ns,ffl_e,ffl_o,ffh_o)</f>
        <v>9046.6326891128265</v>
      </c>
      <c r="J15" s="6">
        <f t="shared" ref="J15" si="3">Flame_height_forest(H15,ffh_e)</f>
        <v>12.918134689331055</v>
      </c>
      <c r="K15" s="5">
        <f t="shared" ref="K15" si="4">Spotting_forest(H15,E15,fhs_s)</f>
        <v>2406</v>
      </c>
      <c r="L15" s="6">
        <f>FMC_Forest(C15,D15,A15,B15)</f>
        <v>3.4389998912811279</v>
      </c>
      <c r="M15" s="8">
        <f>fbi(O15,$M$1)</f>
        <v>30</v>
      </c>
      <c r="N15" s="53">
        <f t="shared" ref="N15" si="5">ROS_grass(E15,Q15,curing,state_grass)</f>
        <v>4737.390625</v>
      </c>
      <c r="O15" s="53">
        <f t="shared" ref="O15" si="6">Intensity(N15,fl_grass)</f>
        <v>11014.432911342166</v>
      </c>
      <c r="P15" s="9">
        <f t="shared" ref="P15" si="7">Flame_height_grass(N15,state_grass)</f>
        <v>1.2144869565963745</v>
      </c>
      <c r="Q15" s="9">
        <f>FMC_Grass(C15,D15)</f>
        <v>5</v>
      </c>
      <c r="R15" s="39">
        <f>fbi(T15,$R$1)</f>
        <v>8</v>
      </c>
      <c r="S15" s="54">
        <f>ROS_heath(E15,$V$5,V15,$V$4)</f>
        <v>173.73434448242188</v>
      </c>
      <c r="T15" s="54">
        <f>Intensity(S15,$V$7)</f>
        <v>269.28824464830689</v>
      </c>
      <c r="U15" s="44">
        <f>Flame_height_heath(T15)</f>
        <v>0.54888308048248291</v>
      </c>
      <c r="V15" s="44">
        <f>FMC_heath(C15,D15,$V$2,$V$3)</f>
        <v>5.2100000381469727</v>
      </c>
      <c r="W15" s="45">
        <f>fbi(Y15,$W$1)</f>
        <v>56</v>
      </c>
      <c r="X15" s="51">
        <f t="array" ref="X15:Z15">fb_pine_ensemble(E15,AA15,F15,$Z$2)</f>
        <v>1745.587890625</v>
      </c>
      <c r="Y15" s="51">
        <v>12588.9794921875</v>
      </c>
      <c r="Z15" s="50">
        <v>11.655679702758789</v>
      </c>
      <c r="AA15" s="50">
        <f>FMC_pine(C15,D15)</f>
        <v>4.8976001739501953</v>
      </c>
    </row>
  </sheetData>
  <sheetProtection sheet="1" objects="1" scenarios="1"/>
  <conditionalFormatting sqref="M15:M1048576">
    <cfRule type="expression" dxfId="15" priority="9">
      <formula>$M15&gt;=100</formula>
    </cfRule>
    <cfRule type="expression" dxfId="14" priority="10">
      <formula>$M15&gt;=50</formula>
    </cfRule>
    <cfRule type="expression" dxfId="13" priority="11">
      <formula>$M15&gt;=24</formula>
    </cfRule>
    <cfRule type="expression" dxfId="12" priority="12">
      <formula>$M15&gt;=12</formula>
    </cfRule>
  </conditionalFormatting>
  <conditionalFormatting sqref="G15:G1048576">
    <cfRule type="expression" dxfId="11" priority="13">
      <formula>$G15&gt;=100</formula>
    </cfRule>
    <cfRule type="expression" dxfId="10" priority="14">
      <formula>$G15&gt;50</formula>
    </cfRule>
    <cfRule type="expression" dxfId="9" priority="15">
      <formula>$G15&gt;=24</formula>
    </cfRule>
    <cfRule type="expression" dxfId="8" priority="16">
      <formula>$G15&gt;=12</formula>
    </cfRule>
  </conditionalFormatting>
  <conditionalFormatting sqref="R15:R21">
    <cfRule type="expression" dxfId="7" priority="8">
      <formula>$R15&gt;=12</formula>
    </cfRule>
  </conditionalFormatting>
  <conditionalFormatting sqref="R15:R21">
    <cfRule type="expression" dxfId="6" priority="5">
      <formula>$R15&gt;=100</formula>
    </cfRule>
    <cfRule type="expression" dxfId="5" priority="6">
      <formula>$R15&gt;=50</formula>
    </cfRule>
    <cfRule type="expression" dxfId="4" priority="7">
      <formula>$R15&gt;=24</formula>
    </cfRule>
  </conditionalFormatting>
  <conditionalFormatting sqref="W15:W21">
    <cfRule type="expression" dxfId="3" priority="4">
      <formula>$W15&gt;=12</formula>
    </cfRule>
  </conditionalFormatting>
  <conditionalFormatting sqref="W15:W21">
    <cfRule type="expression" dxfId="2" priority="1">
      <formula>$W15&gt;=100</formula>
    </cfRule>
    <cfRule type="expression" dxfId="1" priority="2">
      <formula>$W15&gt;=50</formula>
    </cfRule>
    <cfRule type="expression" dxfId="0" priority="3">
      <formula>$W15&gt;=24</formula>
    </cfRule>
  </conditionalFormatting>
  <dataValidations count="14">
    <dataValidation type="decimal" allowBlank="1" showInputMessage="1" showErrorMessage="1" errorTitle="Invalid Curing %" error="Choose a value between 0 and 100" promptTitle="Curing (%)" prompt="select a value betwen 0 and 100" sqref="O4:P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P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I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I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I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I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I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H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H11">
      <formula1>0</formula1>
      <formula2>4</formula2>
    </dataValidation>
    <dataValidation type="decimal" showInputMessage="1" showErrorMessage="1" promptTitle="Canopy Fuel Height" prompt="Enter an AVERAGE canopy fuel height between 10 and 60 m" sqref="H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N4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_x000a_Keetch Byram Drought Index is the precipitation necessary to saturate the soil" sqref="Z2">
      <formula1>0</formula1>
      <formula2>200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N3</xm:sqref>
        </x14:dataValidation>
        <x14:dataValidation type="list" showInputMessage="1" showErrorMessage="1">
          <x14:formula1>
            <xm:f>tables!$I$2:$I$3</xm:f>
          </x14:formula1>
          <xm:sqref>V4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8"/>
  <sheetViews>
    <sheetView workbookViewId="0">
      <selection activeCell="C22" sqref="C22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7" width="12.109375" customWidth="1"/>
    <col min="9" max="9" width="17.33203125" customWidth="1"/>
  </cols>
  <sheetData>
    <row r="1" spans="1:12" x14ac:dyDescent="0.3">
      <c r="A1" s="37" t="s">
        <v>55</v>
      </c>
      <c r="F1" t="s">
        <v>23</v>
      </c>
      <c r="I1" t="s">
        <v>63</v>
      </c>
      <c r="J1" t="s">
        <v>65</v>
      </c>
      <c r="L1" t="s">
        <v>82</v>
      </c>
    </row>
    <row r="2" spans="1:12" x14ac:dyDescent="0.3">
      <c r="A2" s="37" t="s">
        <v>69</v>
      </c>
      <c r="B2" s="37" t="s">
        <v>67</v>
      </c>
      <c r="C2" s="37" t="s">
        <v>68</v>
      </c>
      <c r="D2" s="37" t="s">
        <v>72</v>
      </c>
      <c r="F2" t="s">
        <v>24</v>
      </c>
      <c r="I2" t="b">
        <v>1</v>
      </c>
      <c r="J2">
        <v>0.35</v>
      </c>
    </row>
    <row r="3" spans="1:12" x14ac:dyDescent="0.3">
      <c r="A3" t="s">
        <v>81</v>
      </c>
      <c r="B3" t="s">
        <v>50</v>
      </c>
      <c r="C3">
        <v>30</v>
      </c>
      <c r="D3" t="s">
        <v>83</v>
      </c>
      <c r="F3" t="s">
        <v>25</v>
      </c>
      <c r="I3" t="b">
        <v>0</v>
      </c>
      <c r="J3">
        <v>0.66700000000000004</v>
      </c>
    </row>
    <row r="4" spans="1:12" x14ac:dyDescent="0.3">
      <c r="A4" t="s">
        <v>81</v>
      </c>
      <c r="B4" t="s">
        <v>49</v>
      </c>
      <c r="C4">
        <v>25</v>
      </c>
      <c r="D4" t="s">
        <v>84</v>
      </c>
      <c r="F4" t="s">
        <v>26</v>
      </c>
    </row>
    <row r="5" spans="1:12" x14ac:dyDescent="0.3">
      <c r="A5" t="s">
        <v>81</v>
      </c>
      <c r="B5" t="s">
        <v>75</v>
      </c>
      <c r="C5">
        <v>25</v>
      </c>
      <c r="D5" t="s">
        <v>92</v>
      </c>
    </row>
    <row r="6" spans="1:12" x14ac:dyDescent="0.3">
      <c r="A6" t="s">
        <v>81</v>
      </c>
      <c r="B6" t="s">
        <v>45</v>
      </c>
      <c r="C6">
        <v>20</v>
      </c>
      <c r="D6" t="s">
        <v>93</v>
      </c>
    </row>
    <row r="7" spans="1:12" x14ac:dyDescent="0.3">
      <c r="A7" t="s">
        <v>37</v>
      </c>
      <c r="B7" t="s">
        <v>39</v>
      </c>
      <c r="C7">
        <v>8</v>
      </c>
      <c r="D7" t="s">
        <v>94</v>
      </c>
    </row>
    <row r="8" spans="1:12" x14ac:dyDescent="0.3">
      <c r="A8" t="s">
        <v>37</v>
      </c>
      <c r="B8" t="s">
        <v>47</v>
      </c>
      <c r="C8">
        <v>3</v>
      </c>
      <c r="D8" t="s">
        <v>85</v>
      </c>
    </row>
    <row r="9" spans="1:12" x14ac:dyDescent="0.3">
      <c r="A9" t="s">
        <v>37</v>
      </c>
      <c r="B9" t="s">
        <v>46</v>
      </c>
      <c r="C9">
        <v>3</v>
      </c>
      <c r="D9" t="s">
        <v>86</v>
      </c>
    </row>
    <row r="10" spans="1:12" x14ac:dyDescent="0.3">
      <c r="A10" t="s">
        <v>37</v>
      </c>
      <c r="B10" t="s">
        <v>42</v>
      </c>
      <c r="C10">
        <v>3</v>
      </c>
      <c r="D10" t="s">
        <v>87</v>
      </c>
    </row>
    <row r="11" spans="1:12" x14ac:dyDescent="0.3">
      <c r="A11" t="s">
        <v>37</v>
      </c>
      <c r="B11" t="s">
        <v>41</v>
      </c>
      <c r="C11">
        <v>3</v>
      </c>
      <c r="D11" t="s">
        <v>88</v>
      </c>
    </row>
    <row r="12" spans="1:12" x14ac:dyDescent="0.3">
      <c r="A12" t="s">
        <v>37</v>
      </c>
      <c r="B12" t="s">
        <v>43</v>
      </c>
      <c r="C12">
        <v>4.5</v>
      </c>
      <c r="D12" t="s">
        <v>89</v>
      </c>
    </row>
    <row r="13" spans="1:12" x14ac:dyDescent="0.3">
      <c r="A13" t="s">
        <v>37</v>
      </c>
      <c r="B13" t="s">
        <v>40</v>
      </c>
      <c r="C13">
        <v>10</v>
      </c>
      <c r="D13" t="s">
        <v>90</v>
      </c>
    </row>
    <row r="14" spans="1:12" x14ac:dyDescent="0.3">
      <c r="A14" t="s">
        <v>37</v>
      </c>
      <c r="B14" t="s">
        <v>48</v>
      </c>
      <c r="C14">
        <v>20</v>
      </c>
      <c r="D14" t="s">
        <v>91</v>
      </c>
    </row>
    <row r="15" spans="1:12" x14ac:dyDescent="0.3">
      <c r="A15" t="s">
        <v>37</v>
      </c>
      <c r="B15" t="s">
        <v>44</v>
      </c>
      <c r="C15">
        <v>20</v>
      </c>
      <c r="D15" t="s">
        <v>97</v>
      </c>
    </row>
    <row r="16" spans="1:12" x14ac:dyDescent="0.3">
      <c r="A16" t="s">
        <v>37</v>
      </c>
      <c r="B16" t="s">
        <v>7</v>
      </c>
      <c r="C16">
        <v>3</v>
      </c>
      <c r="D16" t="s">
        <v>98</v>
      </c>
    </row>
    <row r="17" spans="1:4" x14ac:dyDescent="0.3">
      <c r="A17" t="s">
        <v>52</v>
      </c>
      <c r="B17" t="s">
        <v>51</v>
      </c>
      <c r="C17">
        <v>100</v>
      </c>
      <c r="D17" t="s">
        <v>99</v>
      </c>
    </row>
    <row r="18" spans="1:4" x14ac:dyDescent="0.3">
      <c r="A18" t="s">
        <v>52</v>
      </c>
      <c r="B18" t="s">
        <v>32</v>
      </c>
      <c r="C18" t="s">
        <v>25</v>
      </c>
      <c r="D18" t="s">
        <v>100</v>
      </c>
    </row>
    <row r="19" spans="1:4" x14ac:dyDescent="0.3">
      <c r="A19" t="s">
        <v>70</v>
      </c>
      <c r="B19" t="s">
        <v>78</v>
      </c>
      <c r="C19">
        <v>20</v>
      </c>
      <c r="D19" t="s">
        <v>95</v>
      </c>
    </row>
    <row r="20" spans="1:4" x14ac:dyDescent="0.3">
      <c r="A20" t="s">
        <v>70</v>
      </c>
      <c r="B20" t="s">
        <v>71</v>
      </c>
      <c r="C20">
        <v>2</v>
      </c>
      <c r="D20" t="s">
        <v>96</v>
      </c>
    </row>
    <row r="21" spans="1:4" x14ac:dyDescent="0.3">
      <c r="A21" t="s">
        <v>70</v>
      </c>
      <c r="B21" t="s">
        <v>57</v>
      </c>
      <c r="C21">
        <v>48</v>
      </c>
      <c r="D21" t="s">
        <v>101</v>
      </c>
    </row>
    <row r="22" spans="1:4" x14ac:dyDescent="0.3">
      <c r="A22" t="s">
        <v>70</v>
      </c>
      <c r="B22" t="s">
        <v>76</v>
      </c>
      <c r="C22">
        <v>0.2</v>
      </c>
      <c r="D22" t="s">
        <v>77</v>
      </c>
    </row>
    <row r="23" spans="1:4" x14ac:dyDescent="0.3">
      <c r="A23" t="s">
        <v>70</v>
      </c>
      <c r="B23" t="s">
        <v>64</v>
      </c>
      <c r="C23" t="b">
        <v>0</v>
      </c>
      <c r="D23" t="s">
        <v>73</v>
      </c>
    </row>
    <row r="24" spans="1:4" x14ac:dyDescent="0.3">
      <c r="A24" t="s">
        <v>70</v>
      </c>
      <c r="B24" t="s">
        <v>56</v>
      </c>
    </row>
    <row r="25" spans="1:4" x14ac:dyDescent="0.3">
      <c r="A25" t="s">
        <v>102</v>
      </c>
      <c r="B25" t="s">
        <v>39</v>
      </c>
      <c r="C25">
        <v>8</v>
      </c>
      <c r="D25" t="s">
        <v>94</v>
      </c>
    </row>
    <row r="26" spans="1:4" x14ac:dyDescent="0.3">
      <c r="A26" t="s">
        <v>102</v>
      </c>
      <c r="B26" t="s">
        <v>7</v>
      </c>
      <c r="C26">
        <v>5</v>
      </c>
      <c r="D26" t="s">
        <v>103</v>
      </c>
    </row>
    <row r="27" spans="1:4" x14ac:dyDescent="0.3">
      <c r="A27" t="s">
        <v>102</v>
      </c>
      <c r="B27" t="s">
        <v>104</v>
      </c>
      <c r="C27">
        <v>100</v>
      </c>
      <c r="D27" t="s">
        <v>105</v>
      </c>
    </row>
    <row r="28" spans="1:4" x14ac:dyDescent="0.3">
      <c r="A28" t="s">
        <v>106</v>
      </c>
      <c r="B28" t="s">
        <v>40</v>
      </c>
      <c r="C28">
        <v>1.05</v>
      </c>
      <c r="D28" t="s">
        <v>90</v>
      </c>
    </row>
  </sheetData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AFDRS</vt:lpstr>
      <vt:lpstr>tables</vt:lpstr>
      <vt:lpstr>curing</vt:lpstr>
      <vt:lpstr>FBI_forest</vt:lpstr>
      <vt:lpstr>ffh_e</vt:lpstr>
      <vt:lpstr>ffh_o</vt:lpstr>
      <vt:lpstr>ffl_b</vt:lpstr>
      <vt:lpstr>ffl_e</vt:lpstr>
      <vt:lpstr>ffl_ns</vt:lpstr>
      <vt:lpstr>ffl_o</vt:lpstr>
      <vt:lpstr>ffl_s</vt:lpstr>
      <vt:lpstr>fh_ns</vt:lpstr>
      <vt:lpstr>fhs_ns</vt:lpstr>
      <vt:lpstr>fhs_s</vt:lpstr>
      <vt:lpstr>fl_grass</vt:lpstr>
      <vt:lpstr>Outputs</vt:lpstr>
      <vt:lpstr>start_date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2022-09-19T05:15:17Z</dcterms:modified>
</cp:coreProperties>
</file>