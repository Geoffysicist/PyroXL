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5" i="1" l="1"/>
  <c r="J6" i="1"/>
  <c r="AC15" i="1"/>
  <c r="AO15" i="1"/>
  <c r="J7" i="1"/>
  <c r="AP15" i="1"/>
  <c r="AQ15" i="1"/>
  <c r="H15" i="1"/>
  <c r="AM15" i="1"/>
  <c r="Q3" i="1"/>
  <c r="S15" i="1"/>
  <c r="X15" i="1"/>
  <c r="J4" i="1"/>
  <c r="J5" i="1"/>
  <c r="U15" i="1"/>
  <c r="N15" i="1"/>
  <c r="AH15" i="1"/>
  <c r="AC7" i="1"/>
  <c r="Z15" i="1"/>
  <c r="P15" i="1"/>
  <c r="V15" i="1"/>
  <c r="T15" i="1" s="1"/>
  <c r="AI15" i="1"/>
  <c r="AJ15" i="1"/>
  <c r="AK15" i="1"/>
  <c r="AL15" i="1" s="1"/>
  <c r="J15" i="1"/>
  <c r="AA15" i="1"/>
  <c r="Y15" i="1" s="1"/>
  <c r="AB15" i="1"/>
  <c r="L15" i="1"/>
  <c r="Q15" i="1"/>
  <c r="R15" i="1"/>
  <c r="M15" i="1"/>
  <c r="K15" i="1"/>
  <c r="I15" i="1" s="1"/>
  <c r="O15" i="1"/>
  <c r="W15" i="1"/>
  <c r="AE15" i="1" a="1"/>
  <c r="AN15" i="1"/>
  <c r="AF15" i="1" l="1"/>
  <c r="AG15" i="1"/>
  <c r="AE15" i="1"/>
  <c r="AD15" i="1"/>
</calcChain>
</file>

<file path=xl/sharedStrings.xml><?xml version="1.0" encoding="utf-8"?>
<sst xmlns="http://schemas.openxmlformats.org/spreadsheetml/2006/main" count="309" uniqueCount="232">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</sst>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Normal="100" workbookViewId="0">
      <pane xSplit="8" ySplit="14" topLeftCell="AF15" activePane="bottomRight" state="frozen"/>
      <selection pane="topRight" activeCell="I1" sqref="I1"/>
      <selection pane="bottomLeft" activeCell="A15" sqref="A15"/>
      <selection pane="bottomRight" activeCell="P15" sqref="P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118</v>
      </c>
      <c r="B1" s="134"/>
      <c r="C1" s="135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  <c r="AN1" s="122" t="s">
        <v>133</v>
      </c>
    </row>
    <row r="2" spans="1:44" x14ac:dyDescent="0.3">
      <c r="A2" s="90" t="s">
        <v>119</v>
      </c>
      <c r="B2" s="45">
        <v>44838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  <c r="AQ2" s="132" t="s">
        <v>134</v>
      </c>
      <c r="AR2" s="123">
        <v>0</v>
      </c>
    </row>
    <row r="3" spans="1:44" x14ac:dyDescent="0.3">
      <c r="A3" s="90" t="s">
        <v>120</v>
      </c>
      <c r="B3" s="46">
        <v>0.47939814814814818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36" t="s">
        <v>125</v>
      </c>
      <c r="X3" s="137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  <c r="AQ3" s="132" t="s">
        <v>65</v>
      </c>
      <c r="AR3" s="123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  <c r="AQ6" s="132" t="s">
        <v>135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130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122</v>
      </c>
      <c r="AR8" s="123" t="s">
        <v>137</v>
      </c>
    </row>
    <row r="9" spans="1:44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97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44838</v>
      </c>
      <c r="B15" s="46">
        <v>0.47940972222222222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1">
        <f>fbi(AO15,$AN$1)</f>
        <v>23</v>
      </c>
      <c r="AO15" s="131">
        <f>ROS_spinifex(F15,tsf_spinifex,AR15,waf_spinifex,productivity_spinifex)</f>
        <v>1220.6514859078472</v>
      </c>
      <c r="AP15" s="131">
        <f>intensity_spinifex(AO15,tsf_spinifex,productivity_spinifex,subtype_spinifex)</f>
        <v>498.70366771565159</v>
      </c>
      <c r="AQ15" s="127">
        <f>flame_height_spinifex(AO15,tsf_spinifex,productivity_spinifex,subtype_spinifex)</f>
        <v>2.7812013626098633</v>
      </c>
      <c r="AR15" s="121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1"/>
      <c r="AO16" s="131"/>
      <c r="AP16" s="131"/>
      <c r="AQ16" s="127"/>
      <c r="AR16" s="121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1"/>
      <c r="AO17" s="131"/>
      <c r="AP17" s="131"/>
      <c r="AQ17" s="127"/>
      <c r="AR17" s="121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1"/>
      <c r="AO18" s="131"/>
      <c r="AP18" s="131"/>
      <c r="AQ18" s="127"/>
      <c r="AR18" s="121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1"/>
      <c r="AO19" s="131"/>
      <c r="AP19" s="131"/>
      <c r="AQ19" s="127"/>
      <c r="AR19" s="121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  <c r="AN20" s="121"/>
      <c r="AO20" s="131"/>
      <c r="AP20" s="131"/>
      <c r="AQ20" s="127"/>
      <c r="AR20" s="121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  <c r="AN21" s="121"/>
      <c r="AO21" s="131"/>
      <c r="AP21" s="131"/>
      <c r="AQ21" s="127"/>
      <c r="AR21" s="121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  <c r="AN22" s="121"/>
      <c r="AO22" s="131"/>
      <c r="AP22" s="131"/>
      <c r="AQ22" s="127"/>
      <c r="AR22" s="121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44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44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22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22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138</v>
      </c>
      <c r="G1" s="27" t="s">
        <v>139</v>
      </c>
      <c r="I1" t="s">
        <v>17</v>
      </c>
      <c r="K1" t="s">
        <v>54</v>
      </c>
      <c r="L1" t="s">
        <v>56</v>
      </c>
      <c r="N1" s="27" t="s">
        <v>101</v>
      </c>
      <c r="P1" s="27" t="s">
        <v>124</v>
      </c>
      <c r="S1" s="27" t="s">
        <v>136</v>
      </c>
    </row>
    <row r="2" spans="1:19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146</v>
      </c>
      <c r="G2" t="s">
        <v>192</v>
      </c>
      <c r="I2" t="s">
        <v>18</v>
      </c>
      <c r="K2" t="b">
        <v>1</v>
      </c>
      <c r="L2">
        <v>0.35</v>
      </c>
      <c r="N2" t="s">
        <v>102</v>
      </c>
      <c r="P2" t="s">
        <v>125</v>
      </c>
      <c r="S2" t="s">
        <v>137</v>
      </c>
    </row>
    <row r="3" spans="1:19" x14ac:dyDescent="0.3">
      <c r="A3" t="s">
        <v>70</v>
      </c>
      <c r="B3" t="s">
        <v>42</v>
      </c>
      <c r="C3">
        <v>30</v>
      </c>
      <c r="D3" t="s">
        <v>71</v>
      </c>
      <c r="F3" t="s">
        <v>165</v>
      </c>
      <c r="G3" t="s">
        <v>211</v>
      </c>
      <c r="I3" t="s">
        <v>19</v>
      </c>
      <c r="K3" t="b">
        <v>0</v>
      </c>
      <c r="L3">
        <v>0.66700000000000004</v>
      </c>
      <c r="N3" t="s">
        <v>103</v>
      </c>
      <c r="P3" t="s">
        <v>126</v>
      </c>
      <c r="S3" t="s">
        <v>125</v>
      </c>
    </row>
    <row r="4" spans="1:19" x14ac:dyDescent="0.3">
      <c r="A4" t="s">
        <v>70</v>
      </c>
      <c r="B4" t="s">
        <v>41</v>
      </c>
      <c r="C4">
        <v>25</v>
      </c>
      <c r="D4" t="s">
        <v>72</v>
      </c>
      <c r="F4" t="s">
        <v>178</v>
      </c>
      <c r="G4" t="s">
        <v>224</v>
      </c>
      <c r="I4" t="s">
        <v>20</v>
      </c>
      <c r="P4" t="s">
        <v>127</v>
      </c>
    </row>
    <row r="5" spans="1:19" x14ac:dyDescent="0.3">
      <c r="A5" t="s">
        <v>70</v>
      </c>
      <c r="B5" t="s">
        <v>66</v>
      </c>
      <c r="C5">
        <v>25</v>
      </c>
      <c r="D5" t="s">
        <v>80</v>
      </c>
      <c r="F5" t="s">
        <v>163</v>
      </c>
      <c r="G5" t="s">
        <v>209</v>
      </c>
      <c r="P5" t="s">
        <v>128</v>
      </c>
    </row>
    <row r="6" spans="1:19" x14ac:dyDescent="0.3">
      <c r="A6" t="s">
        <v>70</v>
      </c>
      <c r="B6" t="s">
        <v>37</v>
      </c>
      <c r="C6">
        <v>20</v>
      </c>
      <c r="D6" t="s">
        <v>81</v>
      </c>
      <c r="F6" t="s">
        <v>157</v>
      </c>
      <c r="G6" t="s">
        <v>203</v>
      </c>
      <c r="P6" t="s">
        <v>129</v>
      </c>
    </row>
    <row r="7" spans="1:19" x14ac:dyDescent="0.3">
      <c r="A7" t="s">
        <v>29</v>
      </c>
      <c r="B7" t="s">
        <v>31</v>
      </c>
      <c r="C7">
        <v>8</v>
      </c>
      <c r="D7" t="s">
        <v>82</v>
      </c>
      <c r="F7" t="s">
        <v>175</v>
      </c>
      <c r="G7" t="s">
        <v>221</v>
      </c>
    </row>
    <row r="8" spans="1:19" x14ac:dyDescent="0.3">
      <c r="A8" t="s">
        <v>29</v>
      </c>
      <c r="B8" t="s">
        <v>39</v>
      </c>
      <c r="C8">
        <v>3</v>
      </c>
      <c r="D8" t="s">
        <v>73</v>
      </c>
      <c r="F8" t="s">
        <v>154</v>
      </c>
      <c r="G8" t="s">
        <v>200</v>
      </c>
    </row>
    <row r="9" spans="1:19" x14ac:dyDescent="0.3">
      <c r="A9" t="s">
        <v>29</v>
      </c>
      <c r="B9" t="s">
        <v>38</v>
      </c>
      <c r="C9">
        <v>3</v>
      </c>
      <c r="D9" t="s">
        <v>74</v>
      </c>
      <c r="F9" t="s">
        <v>152</v>
      </c>
      <c r="G9" t="s">
        <v>198</v>
      </c>
    </row>
    <row r="10" spans="1:19" x14ac:dyDescent="0.3">
      <c r="A10" t="s">
        <v>29</v>
      </c>
      <c r="B10" t="s">
        <v>34</v>
      </c>
      <c r="C10">
        <v>3</v>
      </c>
      <c r="D10" t="s">
        <v>75</v>
      </c>
      <c r="F10" t="s">
        <v>141</v>
      </c>
      <c r="G10" t="s">
        <v>187</v>
      </c>
    </row>
    <row r="11" spans="1:19" x14ac:dyDescent="0.3">
      <c r="A11" t="s">
        <v>29</v>
      </c>
      <c r="B11" t="s">
        <v>33</v>
      </c>
      <c r="C11">
        <v>3</v>
      </c>
      <c r="D11" t="s">
        <v>76</v>
      </c>
      <c r="F11" t="s">
        <v>160</v>
      </c>
      <c r="G11" t="s">
        <v>206</v>
      </c>
    </row>
    <row r="12" spans="1:19" x14ac:dyDescent="0.3">
      <c r="A12" t="s">
        <v>29</v>
      </c>
      <c r="B12" t="s">
        <v>35</v>
      </c>
      <c r="C12">
        <v>4.5</v>
      </c>
      <c r="D12" t="s">
        <v>77</v>
      </c>
      <c r="F12" t="s">
        <v>176</v>
      </c>
      <c r="G12" t="s">
        <v>222</v>
      </c>
    </row>
    <row r="13" spans="1:19" x14ac:dyDescent="0.3">
      <c r="A13" t="s">
        <v>29</v>
      </c>
      <c r="B13" t="s">
        <v>32</v>
      </c>
      <c r="C13">
        <v>10</v>
      </c>
      <c r="D13" t="s">
        <v>78</v>
      </c>
      <c r="F13" t="s">
        <v>166</v>
      </c>
      <c r="G13" t="s">
        <v>212</v>
      </c>
    </row>
    <row r="14" spans="1:19" x14ac:dyDescent="0.3">
      <c r="A14" t="s">
        <v>29</v>
      </c>
      <c r="B14" t="s">
        <v>40</v>
      </c>
      <c r="C14">
        <v>20</v>
      </c>
      <c r="D14" t="s">
        <v>79</v>
      </c>
      <c r="F14" t="s">
        <v>179</v>
      </c>
      <c r="G14" t="s">
        <v>225</v>
      </c>
    </row>
    <row r="15" spans="1:19" x14ac:dyDescent="0.3">
      <c r="A15" t="s">
        <v>29</v>
      </c>
      <c r="B15" t="s">
        <v>36</v>
      </c>
      <c r="C15">
        <v>20</v>
      </c>
      <c r="D15" t="s">
        <v>85</v>
      </c>
      <c r="F15" s="133" t="s">
        <v>140</v>
      </c>
      <c r="G15" s="133" t="s">
        <v>186</v>
      </c>
    </row>
    <row r="16" spans="1:19" x14ac:dyDescent="0.3">
      <c r="A16" t="s">
        <v>29</v>
      </c>
      <c r="B16" t="s">
        <v>3</v>
      </c>
      <c r="C16">
        <v>3</v>
      </c>
      <c r="D16" t="s">
        <v>86</v>
      </c>
      <c r="F16" t="s">
        <v>177</v>
      </c>
      <c r="G16" t="s">
        <v>223</v>
      </c>
    </row>
    <row r="17" spans="1:7" x14ac:dyDescent="0.3">
      <c r="A17" t="s">
        <v>44</v>
      </c>
      <c r="B17" t="s">
        <v>43</v>
      </c>
      <c r="C17">
        <v>100</v>
      </c>
      <c r="D17" t="s">
        <v>87</v>
      </c>
      <c r="F17" t="s">
        <v>167</v>
      </c>
      <c r="G17" t="s">
        <v>213</v>
      </c>
    </row>
    <row r="18" spans="1:7" x14ac:dyDescent="0.3">
      <c r="A18" t="s">
        <v>44</v>
      </c>
      <c r="B18" t="s">
        <v>24</v>
      </c>
      <c r="C18" t="s">
        <v>19</v>
      </c>
      <c r="D18" t="s">
        <v>88</v>
      </c>
      <c r="F18" t="s">
        <v>180</v>
      </c>
      <c r="G18" t="s">
        <v>226</v>
      </c>
    </row>
    <row r="19" spans="1:7" x14ac:dyDescent="0.3">
      <c r="A19" t="s">
        <v>61</v>
      </c>
      <c r="B19" t="s">
        <v>98</v>
      </c>
      <c r="C19">
        <v>20</v>
      </c>
      <c r="D19" t="s">
        <v>83</v>
      </c>
      <c r="F19" t="s">
        <v>164</v>
      </c>
      <c r="G19" t="s">
        <v>210</v>
      </c>
    </row>
    <row r="20" spans="1:7" x14ac:dyDescent="0.3">
      <c r="A20" t="s">
        <v>61</v>
      </c>
      <c r="B20" t="s">
        <v>62</v>
      </c>
      <c r="C20">
        <v>2</v>
      </c>
      <c r="D20" t="s">
        <v>84</v>
      </c>
      <c r="F20" t="s">
        <v>182</v>
      </c>
      <c r="G20" t="s">
        <v>228</v>
      </c>
    </row>
    <row r="21" spans="1:7" x14ac:dyDescent="0.3">
      <c r="A21" t="s">
        <v>61</v>
      </c>
      <c r="B21" t="s">
        <v>49</v>
      </c>
      <c r="C21">
        <v>48</v>
      </c>
      <c r="D21" t="s">
        <v>89</v>
      </c>
      <c r="F21" t="s">
        <v>171</v>
      </c>
      <c r="G21" t="s">
        <v>217</v>
      </c>
    </row>
    <row r="22" spans="1:7" x14ac:dyDescent="0.3">
      <c r="A22" t="s">
        <v>61</v>
      </c>
      <c r="B22" t="s">
        <v>99</v>
      </c>
      <c r="C22">
        <v>0.2</v>
      </c>
      <c r="D22" t="s">
        <v>67</v>
      </c>
      <c r="F22" t="s">
        <v>174</v>
      </c>
      <c r="G22" t="s">
        <v>220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144</v>
      </c>
      <c r="G23" t="s">
        <v>190</v>
      </c>
    </row>
    <row r="24" spans="1:7" x14ac:dyDescent="0.3">
      <c r="A24" t="s">
        <v>61</v>
      </c>
      <c r="B24" t="s">
        <v>48</v>
      </c>
      <c r="F24" t="s">
        <v>145</v>
      </c>
      <c r="G24" t="s">
        <v>191</v>
      </c>
    </row>
    <row r="25" spans="1:7" x14ac:dyDescent="0.3">
      <c r="A25" t="s">
        <v>90</v>
      </c>
      <c r="B25" t="s">
        <v>31</v>
      </c>
      <c r="C25">
        <v>8</v>
      </c>
      <c r="D25" t="s">
        <v>82</v>
      </c>
      <c r="F25" t="s">
        <v>173</v>
      </c>
      <c r="G25" t="s">
        <v>219</v>
      </c>
    </row>
    <row r="26" spans="1:7" x14ac:dyDescent="0.3">
      <c r="A26" t="s">
        <v>90</v>
      </c>
      <c r="B26" t="s">
        <v>3</v>
      </c>
      <c r="C26">
        <v>5</v>
      </c>
      <c r="D26" t="s">
        <v>91</v>
      </c>
      <c r="F26" t="s">
        <v>168</v>
      </c>
      <c r="G26" t="s">
        <v>214</v>
      </c>
    </row>
    <row r="27" spans="1:7" x14ac:dyDescent="0.3">
      <c r="A27" t="s">
        <v>90</v>
      </c>
      <c r="B27" t="s">
        <v>92</v>
      </c>
      <c r="C27">
        <v>100</v>
      </c>
      <c r="D27" t="s">
        <v>93</v>
      </c>
      <c r="F27" t="s">
        <v>184</v>
      </c>
      <c r="G27" t="s">
        <v>230</v>
      </c>
    </row>
    <row r="28" spans="1:7" x14ac:dyDescent="0.3">
      <c r="A28" t="s">
        <v>94</v>
      </c>
      <c r="B28" t="s">
        <v>32</v>
      </c>
      <c r="C28">
        <v>1.05</v>
      </c>
      <c r="D28" t="s">
        <v>78</v>
      </c>
      <c r="F28" t="s">
        <v>185</v>
      </c>
      <c r="G28" t="s">
        <v>231</v>
      </c>
    </row>
    <row r="29" spans="1:7" x14ac:dyDescent="0.3">
      <c r="F29" t="s">
        <v>161</v>
      </c>
      <c r="G29" t="s">
        <v>207</v>
      </c>
    </row>
    <row r="30" spans="1:7" x14ac:dyDescent="0.3">
      <c r="F30" t="s">
        <v>147</v>
      </c>
      <c r="G30" t="s">
        <v>193</v>
      </c>
    </row>
    <row r="31" spans="1:7" x14ac:dyDescent="0.3">
      <c r="F31" t="s">
        <v>162</v>
      </c>
      <c r="G31" t="s">
        <v>208</v>
      </c>
    </row>
    <row r="32" spans="1:7" x14ac:dyDescent="0.3">
      <c r="F32" t="s">
        <v>158</v>
      </c>
      <c r="G32" t="s">
        <v>204</v>
      </c>
    </row>
    <row r="33" spans="6:7" x14ac:dyDescent="0.3">
      <c r="F33" t="s">
        <v>156</v>
      </c>
      <c r="G33" t="s">
        <v>202</v>
      </c>
    </row>
    <row r="34" spans="6:7" x14ac:dyDescent="0.3">
      <c r="F34" t="s">
        <v>159</v>
      </c>
      <c r="G34" t="s">
        <v>205</v>
      </c>
    </row>
    <row r="35" spans="6:7" x14ac:dyDescent="0.3">
      <c r="F35" t="s">
        <v>181</v>
      </c>
      <c r="G35" t="s">
        <v>227</v>
      </c>
    </row>
    <row r="36" spans="6:7" x14ac:dyDescent="0.3">
      <c r="F36" t="s">
        <v>153</v>
      </c>
      <c r="G36" t="s">
        <v>199</v>
      </c>
    </row>
    <row r="37" spans="6:7" x14ac:dyDescent="0.3">
      <c r="F37" t="s">
        <v>150</v>
      </c>
      <c r="G37" t="s">
        <v>196</v>
      </c>
    </row>
    <row r="38" spans="6:7" x14ac:dyDescent="0.3">
      <c r="F38" t="s">
        <v>149</v>
      </c>
      <c r="G38" t="s">
        <v>195</v>
      </c>
    </row>
    <row r="39" spans="6:7" x14ac:dyDescent="0.3">
      <c r="F39" t="s">
        <v>148</v>
      </c>
      <c r="G39" t="s">
        <v>194</v>
      </c>
    </row>
    <row r="40" spans="6:7" x14ac:dyDescent="0.3">
      <c r="F40" t="s">
        <v>151</v>
      </c>
      <c r="G40" t="s">
        <v>197</v>
      </c>
    </row>
    <row r="41" spans="6:7" x14ac:dyDescent="0.3">
      <c r="F41" t="s">
        <v>170</v>
      </c>
      <c r="G41" t="s">
        <v>216</v>
      </c>
    </row>
    <row r="42" spans="6:7" x14ac:dyDescent="0.3">
      <c r="F42" t="s">
        <v>169</v>
      </c>
      <c r="G42" t="s">
        <v>215</v>
      </c>
    </row>
    <row r="43" spans="6:7" x14ac:dyDescent="0.3">
      <c r="F43" t="s">
        <v>142</v>
      </c>
      <c r="G43" t="s">
        <v>188</v>
      </c>
    </row>
    <row r="44" spans="6:7" x14ac:dyDescent="0.3">
      <c r="F44" t="s">
        <v>172</v>
      </c>
      <c r="G44" t="s">
        <v>218</v>
      </c>
    </row>
    <row r="45" spans="6:7" x14ac:dyDescent="0.3">
      <c r="F45" t="s">
        <v>155</v>
      </c>
      <c r="G45" t="s">
        <v>201</v>
      </c>
    </row>
    <row r="46" spans="6:7" x14ac:dyDescent="0.3">
      <c r="F46" t="s">
        <v>143</v>
      </c>
      <c r="G46" t="s">
        <v>189</v>
      </c>
    </row>
    <row r="47" spans="6:7" x14ac:dyDescent="0.3">
      <c r="F47" t="s">
        <v>183</v>
      </c>
      <c r="G47" t="s">
        <v>229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AFDRS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2022-10-20T06:52:56Z</dcterms:modified>
</cp:coreProperties>
</file>